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力シート" sheetId="1" state="visible" r:id="rId1"/>
    <sheet name="2列_横に" sheetId="2" state="visible" r:id="rId2"/>
    <sheet name="2列_縦に" sheetId="3" state="visible" r:id="rId3"/>
    <sheet name="4列_横に" sheetId="4" state="visible" r:id="rId4"/>
    <sheet name="4列_縦に" sheetId="5" state="visible" r:id="rId5"/>
    <sheet name="1列_背の順" sheetId="6" state="visible" r:id="rId6"/>
  </sheets>
  <definedNames>
    <definedName name="_xlnm.Print_Area" localSheetId="1">'2列_横に'!$A$1:$C$25</definedName>
    <definedName name="_xlnm.Print_Area" localSheetId="2">'2列_縦に'!$A$1:$C$25</definedName>
    <definedName name="_xlnm.Print_Area" localSheetId="3">'4列_横に'!$A$1:$E$15</definedName>
    <definedName name="_xlnm.Print_Area" localSheetId="4">'4列_縦に'!$A$1:$E$15</definedName>
    <definedName name="_xlnm.Print_Area" localSheetId="5">'1列_背の順'!$A$1:$B$45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C00000"/>
      <sz val="11"/>
    </font>
    <font>
      <name val="游ゴシック"/>
      <b val="1"/>
      <sz val="12"/>
    </font>
    <font>
      <name val="游ゴシック"/>
      <color rgb="00808080"/>
      <sz val="9"/>
    </font>
    <font>
      <name val="游ゴシック"/>
      <b val="1"/>
      <sz val="16"/>
    </font>
    <font>
      <name val="游ゴシック"/>
      <b val="1"/>
      <sz val="14"/>
    </font>
    <font>
      <name val="游ゴシック"/>
      <color rgb="00808080"/>
      <sz val="10"/>
    </font>
    <font>
      <name val="游ゴシック"/>
      <sz val="14"/>
    </font>
    <font>
      <name val="游ゴシック"/>
      <sz val="12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20" customWidth="1" min="4" max="4"/>
    <col width="11" customWidth="1" min="5" max="5"/>
    <col width="12" customWidth="1" min="6" max="6"/>
    <col width="14" customWidth="1" min="8" max="8"/>
  </cols>
  <sheetData>
    <row r="1" ht="36" customHeight="1">
      <c r="A1" s="1" t="inlineStr">
        <is>
          <t>名前</t>
        </is>
      </c>
      <c r="B1" s="1" t="inlineStr">
        <is>
          <t>身長(cm)</t>
        </is>
      </c>
      <c r="C1" s="1" t="inlineStr">
        <is>
          <t>自動の順番</t>
        </is>
      </c>
      <c r="D1" s="1" t="inlineStr">
        <is>
          <t>手動の順番
(入れ替えたい時だけ)</t>
        </is>
      </c>
      <c r="E1" s="1" t="inlineStr">
        <is>
          <t>決定の順番</t>
        </is>
      </c>
      <c r="F1" s="1" t="inlineStr">
        <is>
          <t>チェック</t>
        </is>
      </c>
      <c r="H1" s="2" t="inlineStr">
        <is>
          <t>使い方</t>
        </is>
      </c>
    </row>
    <row r="2">
      <c r="A2" s="3" t="inlineStr">
        <is>
          <t>青木 あおい</t>
        </is>
      </c>
      <c r="B2" s="4" t="n">
        <v>130.9</v>
      </c>
      <c r="C2" s="5">
        <f>IF(OR(A2="",B2=""),"",COUNTIF($B$2:$B$41,"&lt;"&amp;B2)+COUNTIF($B$2:B2,B2))</f>
        <v/>
      </c>
      <c r="D2" s="6" t="n"/>
      <c r="E2" s="5">
        <f>IF(C2="","",IF(D2="",C2,D2))</f>
        <v/>
      </c>
      <c r="F2" s="7">
        <f>IF(E2="","",IF(COUNTIF($E$2:$E$41,E2)&gt;1,"⚠ 順番が重複",IF(E2&gt;COUNT($E$2:$E$41),"⚠ 番号が大きすぎ","")))</f>
        <v/>
      </c>
      <c r="H2" s="8" t="inlineStr">
        <is>
          <t>① 黄色の「名前」「身長」を入れる（コピー＆貼り付けOK・最大40人）</t>
        </is>
      </c>
    </row>
    <row r="3">
      <c r="A3" s="3" t="inlineStr">
        <is>
          <t>石川 はると</t>
        </is>
      </c>
      <c r="B3" s="4" t="n">
        <v>138.6</v>
      </c>
      <c r="C3" s="5">
        <f>IF(OR(A3="",B3=""),"",COUNTIF($B$2:$B$41,"&lt;"&amp;B3)+COUNTIF($B$2:B3,B3))</f>
        <v/>
      </c>
      <c r="D3" s="6" t="n"/>
      <c r="E3" s="5">
        <f>IF(C3="","",IF(D3="",C3,D3))</f>
        <v/>
      </c>
      <c r="F3" s="7">
        <f>IF(E3="","",IF(COUNTIF($E$2:$E$41,E3)&gt;1,"⚠ 順番が重複",IF(E3&gt;COUNT($E$2:$E$41),"⚠ 番号が大きすぎ","")))</f>
        <v/>
      </c>
      <c r="H3" s="8" t="inlineStr">
        <is>
          <t>② 他のシートに 2列・4列 の背の順が自動でできる</t>
        </is>
      </c>
    </row>
    <row r="4">
      <c r="A4" s="3" t="inlineStr">
        <is>
          <t>上田 ゆい</t>
        </is>
      </c>
      <c r="B4" s="4" t="n">
        <v>134.2</v>
      </c>
      <c r="C4" s="5">
        <f>IF(OR(A4="",B4=""),"",COUNTIF($B$2:$B$41,"&lt;"&amp;B4)+COUNTIF($B$2:B4,B4))</f>
        <v/>
      </c>
      <c r="D4" s="6" t="n"/>
      <c r="E4" s="5">
        <f>IF(C4="","",IF(D4="",C4,D4))</f>
        <v/>
      </c>
      <c r="F4" s="7">
        <f>IF(E4="","",IF(COUNTIF($E$2:$E$41,E4)&gt;1,"⚠ 順番が重複",IF(E4&gt;COUNT($E$2:$E$41),"⚠ 番号が大きすぎ","")))</f>
        <v/>
      </c>
      <c r="H4" s="8" t="inlineStr">
        <is>
          <t xml:space="preserve">　 ・「横に」…前から 1,2 / 3,4 … と横に並べる</t>
        </is>
      </c>
    </row>
    <row r="5">
      <c r="A5" s="3" t="inlineStr">
        <is>
          <t>江藤 そうた</t>
        </is>
      </c>
      <c r="B5" s="4" t="n">
        <v>145.9</v>
      </c>
      <c r="C5" s="5">
        <f>IF(OR(A5="",B5=""),"",COUNTIF($B$2:$B$41,"&lt;"&amp;B5)+COUNTIF($B$2:B5,B5))</f>
        <v/>
      </c>
      <c r="D5" s="6" t="n"/>
      <c r="E5" s="5">
        <f>IF(C5="","",IF(D5="",C5,D5))</f>
        <v/>
      </c>
      <c r="F5" s="7">
        <f>IF(E5="","",IF(COUNTIF($E$2:$E$41,E5)&gt;1,"⚠ 順番が重複",IF(E5&gt;COUNT($E$2:$E$41),"⚠ 番号が大きすぎ","")))</f>
        <v/>
      </c>
      <c r="H5" s="8" t="inlineStr">
        <is>
          <t xml:space="preserve">　 ・「縦に」…1列目を前から後ろまで埋めてから次の列へ</t>
        </is>
      </c>
    </row>
    <row r="6">
      <c r="A6" s="3" t="inlineStr">
        <is>
          <t>大野 めい</t>
        </is>
      </c>
      <c r="B6" s="4" t="n">
        <v>140.6</v>
      </c>
      <c r="C6" s="5">
        <f>IF(OR(A6="",B6=""),"",COUNTIF($B$2:$B$41,"&lt;"&amp;B6)+COUNTIF($B$2:B6,B6))</f>
        <v/>
      </c>
      <c r="D6" s="6" t="n"/>
      <c r="E6" s="5">
        <f>IF(C6="","",IF(D6="",C6,D6))</f>
        <v/>
      </c>
      <c r="F6" s="7">
        <f>IF(E6="","",IF(COUNTIF($E$2:$E$41,E6)&gt;1,"⚠ 順番が重複",IF(E6&gt;COUNT($E$2:$E$41),"⚠ 番号が大きすぎ","")))</f>
        <v/>
      </c>
      <c r="H6" s="8" t="inlineStr">
        <is>
          <t>③ 入れ替えたい子がいる時は「手動の順番」に番号を入れる</t>
        </is>
      </c>
    </row>
    <row r="7">
      <c r="A7" s="3" t="inlineStr">
        <is>
          <t>加藤 りく</t>
        </is>
      </c>
      <c r="B7" s="4" t="n">
        <v>126.6</v>
      </c>
      <c r="C7" s="5">
        <f>IF(OR(A7="",B7=""),"",COUNTIF($B$2:$B$41,"&lt;"&amp;B7)+COUNTIF($B$2:B7,B7))</f>
        <v/>
      </c>
      <c r="D7" s="6" t="n"/>
      <c r="E7" s="5">
        <f>IF(C7="","",IF(D7="",C7,D7))</f>
        <v/>
      </c>
      <c r="F7" s="7">
        <f>IF(E7="","",IF(COUNTIF($E$2:$E$41,E7)&gt;1,"⚠ 順番が重複",IF(E7&gt;COUNT($E$2:$E$41),"⚠ 番号が大きすぎ","")))</f>
        <v/>
      </c>
      <c r="H7" s="8" t="inlineStr">
        <is>
          <t xml:space="preserve">　 例：5番と6番を入れ替える → 5番の子に 6、6番の子に 5</t>
        </is>
      </c>
    </row>
    <row r="8">
      <c r="A8" s="3" t="inlineStr">
        <is>
          <t>木村 さくら</t>
        </is>
      </c>
      <c r="B8" s="4" t="n">
        <v>125.3</v>
      </c>
      <c r="C8" s="5">
        <f>IF(OR(A8="",B8=""),"",COUNTIF($B$2:$B$41,"&lt;"&amp;B8)+COUNTIF($B$2:B8,B8))</f>
        <v/>
      </c>
      <c r="D8" s="6" t="n"/>
      <c r="E8" s="5">
        <f>IF(C8="","",IF(D8="",C8,D8))</f>
        <v/>
      </c>
      <c r="F8" s="7">
        <f>IF(E8="","",IF(COUNTIF($E$2:$E$41,E8)&gt;1,"⚠ 順番が重複",IF(E8&gt;COUNT($E$2:$E$41),"⚠ 番号が大きすぎ","")))</f>
        <v/>
      </c>
      <c r="H8" s="8" t="inlineStr">
        <is>
          <t xml:space="preserve">　 「チェック」に ⚠ が出たら番号が重なっています</t>
        </is>
      </c>
    </row>
    <row r="9">
      <c r="A9" s="3" t="inlineStr">
        <is>
          <t>工藤 ゆうと</t>
        </is>
      </c>
      <c r="B9" s="4" t="n">
        <v>145.9</v>
      </c>
      <c r="C9" s="5">
        <f>IF(OR(A9="",B9=""),"",COUNTIF($B$2:$B$41,"&lt;"&amp;B9)+COUNTIF($B$2:B9,B9))</f>
        <v/>
      </c>
      <c r="D9" s="6" t="n"/>
      <c r="E9" s="5">
        <f>IF(C9="","",IF(D9="",C9,D9))</f>
        <v/>
      </c>
      <c r="F9" s="7">
        <f>IF(E9="","",IF(COUNTIF($E$2:$E$41,E9)&gt;1,"⚠ 順番が重複",IF(E9&gt;COUNT($E$2:$E$41),"⚠ 番号が大きすぎ","")))</f>
        <v/>
      </c>
      <c r="H9" s="8" t="inlineStr">
        <is>
          <t>※ 同じ身長の子は、上の行に書いた子が前になります</t>
        </is>
      </c>
    </row>
    <row r="10">
      <c r="A10" s="3" t="inlineStr">
        <is>
          <t>小林 ひなた</t>
        </is>
      </c>
      <c r="B10" s="4" t="n">
        <v>131.5</v>
      </c>
      <c r="C10" s="5">
        <f>IF(OR(A10="",B10=""),"",COUNTIF($B$2:$B$41,"&lt;"&amp;B10)+COUNTIF($B$2:B10,B10))</f>
        <v/>
      </c>
      <c r="D10" s="6" t="n"/>
      <c r="E10" s="5">
        <f>IF(C10="","",IF(D10="",C10,D10))</f>
        <v/>
      </c>
      <c r="F10" s="7">
        <f>IF(E10="","",IF(COUNTIF($E$2:$E$41,E10)&gt;1,"⚠ 順番が重複",IF(E10&gt;COUNT($E$2:$E$41),"⚠ 番号が大きすぎ","")))</f>
        <v/>
      </c>
      <c r="H10" s="8" t="inlineStr">
        <is>
          <t>※ 灰色のセルは自動計算です（さわらないでください）</t>
        </is>
      </c>
    </row>
    <row r="11">
      <c r="A11" s="3" t="inlineStr">
        <is>
          <t>佐藤 れん</t>
        </is>
      </c>
      <c r="B11" s="4" t="n">
        <v>130.9</v>
      </c>
      <c r="C11" s="5">
        <f>IF(OR(A11="",B11=""),"",COUNTIF($B$2:$B$41,"&lt;"&amp;B11)+COUNTIF($B$2:B11,B11))</f>
        <v/>
      </c>
      <c r="D11" s="6" t="n"/>
      <c r="E11" s="5">
        <f>IF(C11="","",IF(D11="",C11,D11))</f>
        <v/>
      </c>
      <c r="F11" s="7">
        <f>IF(E11="","",IF(COUNTIF($E$2:$E$41,E11)&gt;1,"⚠ 順番が重複",IF(E11&gt;COUNT($E$2:$E$41),"⚠ 番号が大きすぎ","")))</f>
        <v/>
      </c>
    </row>
    <row r="12">
      <c r="A12" s="3" t="inlineStr">
        <is>
          <t>清水 こはる</t>
        </is>
      </c>
      <c r="B12" s="4" t="n">
        <v>149.9</v>
      </c>
      <c r="C12" s="5">
        <f>IF(OR(A12="",B12=""),"",COUNTIF($B$2:$B$41,"&lt;"&amp;B12)+COUNTIF($B$2:B12,B12))</f>
        <v/>
      </c>
      <c r="D12" s="6" t="n"/>
      <c r="E12" s="5">
        <f>IF(C12="","",IF(D12="",C12,D12))</f>
        <v/>
      </c>
      <c r="F12" s="7">
        <f>IF(E12="","",IF(COUNTIF($E$2:$E$41,E12)&gt;1,"⚠ 順番が重複",IF(E12&gt;COUNT($E$2:$E$41),"⚠ 番号が大きすぎ","")))</f>
        <v/>
      </c>
      <c r="H12" s="9" t="inlineStr">
        <is>
          <t>入力した人数</t>
        </is>
      </c>
      <c r="J12" s="9">
        <f>COUNT(E2:E41)</f>
        <v/>
      </c>
    </row>
    <row r="13">
      <c r="A13" s="3" t="inlineStr">
        <is>
          <t>鈴木 たいが</t>
        </is>
      </c>
      <c r="B13" s="4" t="n">
        <v>136.8</v>
      </c>
      <c r="C13" s="5">
        <f>IF(OR(A13="",B13=""),"",COUNTIF($B$2:$B$41,"&lt;"&amp;B13)+COUNTIF($B$2:B13,B13))</f>
        <v/>
      </c>
      <c r="D13" s="6" t="n"/>
      <c r="E13" s="5">
        <f>IF(C13="","",IF(D13="",C13,D13))</f>
        <v/>
      </c>
      <c r="F13" s="7">
        <f>IF(E13="","",IF(COUNTIF($E$2:$E$41,E13)&gt;1,"⚠ 順番が重複",IF(E13&gt;COUNT($E$2:$E$41),"⚠ 番号が大きすぎ","")))</f>
        <v/>
      </c>
      <c r="H13" s="9" t="inlineStr">
        <is>
          <t>順番の重複</t>
        </is>
      </c>
      <c r="J13" s="10">
        <f>IF(COUNTIF(F2:F41,"⚠*")=0,"なし","あり（チェック欄を見てください）")</f>
        <v/>
      </c>
    </row>
    <row r="14">
      <c r="A14" s="3" t="inlineStr">
        <is>
          <t>田中 みお</t>
        </is>
      </c>
      <c r="B14" s="4" t="n">
        <v>145.9</v>
      </c>
      <c r="C14" s="5">
        <f>IF(OR(A14="",B14=""),"",COUNTIF($B$2:$B$41,"&lt;"&amp;B14)+COUNTIF($B$2:B14,B14))</f>
        <v/>
      </c>
      <c r="D14" s="6" t="n"/>
      <c r="E14" s="5">
        <f>IF(C14="","",IF(D14="",C14,D14))</f>
        <v/>
      </c>
      <c r="F14" s="7">
        <f>IF(E14="","",IF(COUNTIF($E$2:$E$41,E14)&gt;1,"⚠ 順番が重複",IF(E14&gt;COUNT($E$2:$E$41),"⚠ 番号が大きすぎ","")))</f>
        <v/>
      </c>
    </row>
    <row r="15">
      <c r="A15" s="3" t="inlineStr">
        <is>
          <t>千葉 かいと</t>
        </is>
      </c>
      <c r="B15" s="4" t="n">
        <v>136.9</v>
      </c>
      <c r="C15" s="5">
        <f>IF(OR(A15="",B15=""),"",COUNTIF($B$2:$B$41,"&lt;"&amp;B15)+COUNTIF($B$2:B15,B15))</f>
        <v/>
      </c>
      <c r="D15" s="6" t="n"/>
      <c r="E15" s="5">
        <f>IF(C15="","",IF(D15="",C15,D15))</f>
        <v/>
      </c>
      <c r="F15" s="7">
        <f>IF(E15="","",IF(COUNTIF($E$2:$E$41,E15)&gt;1,"⚠ 順番が重複",IF(E15&gt;COUNT($E$2:$E$41),"⚠ 番号が大きすぎ","")))</f>
        <v/>
      </c>
    </row>
    <row r="16">
      <c r="A16" s="3" t="inlineStr">
        <is>
          <t>土屋 ゆな</t>
        </is>
      </c>
      <c r="B16" s="4" t="n">
        <v>141</v>
      </c>
      <c r="C16" s="5">
        <f>IF(OR(A16="",B16=""),"",COUNTIF($B$2:$B$41,"&lt;"&amp;B16)+COUNTIF($B$2:B16,B16))</f>
        <v/>
      </c>
      <c r="D16" s="6" t="n"/>
      <c r="E16" s="5">
        <f>IF(C16="","",IF(D16="",C16,D16))</f>
        <v/>
      </c>
      <c r="F16" s="7">
        <f>IF(E16="","",IF(COUNTIF($E$2:$E$41,E16)&gt;1,"⚠ 順番が重複",IF(E16&gt;COUNT($E$2:$E$41),"⚠ 番号が大きすぎ","")))</f>
        <v/>
      </c>
    </row>
    <row r="17">
      <c r="A17" s="3" t="inlineStr">
        <is>
          <t>中村 あおと</t>
        </is>
      </c>
      <c r="B17" s="4" t="n">
        <v>128.8</v>
      </c>
      <c r="C17" s="5">
        <f>IF(OR(A17="",B17=""),"",COUNTIF($B$2:$B$41,"&lt;"&amp;B17)+COUNTIF($B$2:B17,B17))</f>
        <v/>
      </c>
      <c r="D17" s="6" t="n"/>
      <c r="E17" s="5">
        <f>IF(C17="","",IF(D17="",C17,D17))</f>
        <v/>
      </c>
      <c r="F17" s="7">
        <f>IF(E17="","",IF(COUNTIF($E$2:$E$41,E17)&gt;1,"⚠ 順番が重複",IF(E17&gt;COUNT($E$2:$E$41),"⚠ 番号が大きすぎ","")))</f>
        <v/>
      </c>
    </row>
    <row r="18">
      <c r="A18" s="3" t="inlineStr">
        <is>
          <t>西田 りこ</t>
        </is>
      </c>
      <c r="B18" s="4" t="n">
        <v>140.9</v>
      </c>
      <c r="C18" s="5">
        <f>IF(OR(A18="",B18=""),"",COUNTIF($B$2:$B$41,"&lt;"&amp;B18)+COUNTIF($B$2:B18,B18))</f>
        <v/>
      </c>
      <c r="D18" s="6" t="n"/>
      <c r="E18" s="5">
        <f>IF(C18="","",IF(D18="",C18,D18))</f>
        <v/>
      </c>
      <c r="F18" s="7">
        <f>IF(E18="","",IF(COUNTIF($E$2:$E$41,E18)&gt;1,"⚠ 順番が重複",IF(E18&gt;COUNT($E$2:$E$41),"⚠ 番号が大きすぎ","")))</f>
        <v/>
      </c>
    </row>
    <row r="19">
      <c r="A19" s="3" t="inlineStr">
        <is>
          <t>野口 そら</t>
        </is>
      </c>
      <c r="B19" s="4" t="n">
        <v>146.7</v>
      </c>
      <c r="C19" s="5">
        <f>IF(OR(A19="",B19=""),"",COUNTIF($B$2:$B$41,"&lt;"&amp;B19)+COUNTIF($B$2:B19,B19))</f>
        <v/>
      </c>
      <c r="D19" s="6" t="n"/>
      <c r="E19" s="5">
        <f>IF(C19="","",IF(D19="",C19,D19))</f>
        <v/>
      </c>
      <c r="F19" s="7">
        <f>IF(E19="","",IF(COUNTIF($E$2:$E$41,E19)&gt;1,"⚠ 順番が重複",IF(E19&gt;COUNT($E$2:$E$41),"⚠ 番号が大きすぎ","")))</f>
        <v/>
      </c>
    </row>
    <row r="20">
      <c r="A20" s="3" t="inlineStr">
        <is>
          <t>橋本 いろは</t>
        </is>
      </c>
      <c r="B20" s="4" t="n">
        <v>138.1</v>
      </c>
      <c r="C20" s="5">
        <f>IF(OR(A20="",B20=""),"",COUNTIF($B$2:$B$41,"&lt;"&amp;B20)+COUNTIF($B$2:B20,B20))</f>
        <v/>
      </c>
      <c r="D20" s="6" t="n"/>
      <c r="E20" s="5">
        <f>IF(C20="","",IF(D20="",C20,D20))</f>
        <v/>
      </c>
      <c r="F20" s="7">
        <f>IF(E20="","",IF(COUNTIF($E$2:$E$41,E20)&gt;1,"⚠ 順番が重複",IF(E20&gt;COUNT($E$2:$E$41),"⚠ 番号が大きすぎ","")))</f>
        <v/>
      </c>
    </row>
    <row r="21">
      <c r="A21" s="3" t="inlineStr">
        <is>
          <t>平野 ひろと</t>
        </is>
      </c>
      <c r="B21" s="4" t="n">
        <v>143.5</v>
      </c>
      <c r="C21" s="5">
        <f>IF(OR(A21="",B21=""),"",COUNTIF($B$2:$B$41,"&lt;"&amp;B21)+COUNTIF($B$2:B21,B21))</f>
        <v/>
      </c>
      <c r="D21" s="6" t="n"/>
      <c r="E21" s="5">
        <f>IF(C21="","",IF(D21="",C21,D21))</f>
        <v/>
      </c>
      <c r="F21" s="7">
        <f>IF(E21="","",IF(COUNTIF($E$2:$E$41,E21)&gt;1,"⚠ 順番が重複",IF(E21&gt;COUNT($E$2:$E$41),"⚠ 番号が大きすぎ","")))</f>
        <v/>
      </c>
    </row>
    <row r="22">
      <c r="A22" s="3" t="inlineStr">
        <is>
          <t>藤井 ことね</t>
        </is>
      </c>
      <c r="B22" s="4" t="n">
        <v>141.8</v>
      </c>
      <c r="C22" s="5">
        <f>IF(OR(A22="",B22=""),"",COUNTIF($B$2:$B$41,"&lt;"&amp;B22)+COUNTIF($B$2:B22,B22))</f>
        <v/>
      </c>
      <c r="D22" s="6" t="n"/>
      <c r="E22" s="5">
        <f>IF(C22="","",IF(D22="",C22,D22))</f>
        <v/>
      </c>
      <c r="F22" s="7">
        <f>IF(E22="","",IF(COUNTIF($E$2:$E$41,E22)&gt;1,"⚠ 順番が重複",IF(E22&gt;COUNT($E$2:$E$41),"⚠ 番号が大きすぎ","")))</f>
        <v/>
      </c>
    </row>
    <row r="23">
      <c r="A23" s="3" t="inlineStr">
        <is>
          <t>星野 だいき</t>
        </is>
      </c>
      <c r="B23" s="4" t="n">
        <v>126.6</v>
      </c>
      <c r="C23" s="5">
        <f>IF(OR(A23="",B23=""),"",COUNTIF($B$2:$B$41,"&lt;"&amp;B23)+COUNTIF($B$2:B23,B23))</f>
        <v/>
      </c>
      <c r="D23" s="6" t="n"/>
      <c r="E23" s="5">
        <f>IF(C23="","",IF(D23="",C23,D23))</f>
        <v/>
      </c>
      <c r="F23" s="7">
        <f>IF(E23="","",IF(COUNTIF($E$2:$E$41,E23)&gt;1,"⚠ 順番が重複",IF(E23&gt;COUNT($E$2:$E$41),"⚠ 番号が大きすぎ","")))</f>
        <v/>
      </c>
    </row>
    <row r="24">
      <c r="A24" s="3" t="inlineStr">
        <is>
          <t>松本 ゆずき</t>
        </is>
      </c>
      <c r="B24" s="4" t="n">
        <v>144</v>
      </c>
      <c r="C24" s="5">
        <f>IF(OR(A24="",B24=""),"",COUNTIF($B$2:$B$41,"&lt;"&amp;B24)+COUNTIF($B$2:B24,B24))</f>
        <v/>
      </c>
      <c r="D24" s="6" t="n"/>
      <c r="E24" s="5">
        <f>IF(C24="","",IF(D24="",C24,D24))</f>
        <v/>
      </c>
      <c r="F24" s="7">
        <f>IF(E24="","",IF(COUNTIF($E$2:$E$41,E24)&gt;1,"⚠ 順番が重複",IF(E24&gt;COUNT($E$2:$E$41),"⚠ 番号が大きすぎ","")))</f>
        <v/>
      </c>
    </row>
    <row r="25">
      <c r="A25" s="3" t="inlineStr">
        <is>
          <t>三浦 けんた</t>
        </is>
      </c>
      <c r="B25" s="4" t="n">
        <v>139.8</v>
      </c>
      <c r="C25" s="5">
        <f>IF(OR(A25="",B25=""),"",COUNTIF($B$2:$B$41,"&lt;"&amp;B25)+COUNTIF($B$2:B25,B25))</f>
        <v/>
      </c>
      <c r="D25" s="6" t="n"/>
      <c r="E25" s="5">
        <f>IF(C25="","",IF(D25="",C25,D25))</f>
        <v/>
      </c>
      <c r="F25" s="7">
        <f>IF(E25="","",IF(COUNTIF($E$2:$E$41,E25)&gt;1,"⚠ 順番が重複",IF(E25&gt;COUNT($E$2:$E$41),"⚠ 番号が大きすぎ","")))</f>
        <v/>
      </c>
    </row>
    <row r="26">
      <c r="A26" s="3" t="inlineStr">
        <is>
          <t>村上 あかり</t>
        </is>
      </c>
      <c r="B26" s="4" t="n">
        <v>132.5</v>
      </c>
      <c r="C26" s="5">
        <f>IF(OR(A26="",B26=""),"",COUNTIF($B$2:$B$41,"&lt;"&amp;B26)+COUNTIF($B$2:B26,B26))</f>
        <v/>
      </c>
      <c r="D26" s="6" t="n"/>
      <c r="E26" s="5">
        <f>IF(C26="","",IF(D26="",C26,D26))</f>
        <v/>
      </c>
      <c r="F26" s="7">
        <f>IF(E26="","",IF(COUNTIF($E$2:$E$41,E26)&gt;1,"⚠ 順番が重複",IF(E26&gt;COUNT($E$2:$E$41),"⚠ 番号が大きすぎ","")))</f>
        <v/>
      </c>
    </row>
    <row r="27">
      <c r="A27" s="3" t="inlineStr">
        <is>
          <t>森 しょう</t>
        </is>
      </c>
      <c r="B27" s="4" t="n">
        <v>125.8</v>
      </c>
      <c r="C27" s="5">
        <f>IF(OR(A27="",B27=""),"",COUNTIF($B$2:$B$41,"&lt;"&amp;B27)+COUNTIF($B$2:B27,B27))</f>
        <v/>
      </c>
      <c r="D27" s="6" t="n"/>
      <c r="E27" s="5">
        <f>IF(C27="","",IF(D27="",C27,D27))</f>
        <v/>
      </c>
      <c r="F27" s="7">
        <f>IF(E27="","",IF(COUNTIF($E$2:$E$41,E27)&gt;1,"⚠ 順番が重複",IF(E27&gt;COUNT($E$2:$E$41),"⚠ 番号が大きすぎ","")))</f>
        <v/>
      </c>
    </row>
    <row r="28">
      <c r="A28" s="3" t="inlineStr">
        <is>
          <t>山口 ほのか</t>
        </is>
      </c>
      <c r="B28" s="4" t="n">
        <v>146.6</v>
      </c>
      <c r="C28" s="5">
        <f>IF(OR(A28="",B28=""),"",COUNTIF($B$2:$B$41,"&lt;"&amp;B28)+COUNTIF($B$2:B28,B28))</f>
        <v/>
      </c>
      <c r="D28" s="6" t="n"/>
      <c r="E28" s="5">
        <f>IF(C28="","",IF(D28="",C28,D28))</f>
        <v/>
      </c>
      <c r="F28" s="7">
        <f>IF(E28="","",IF(COUNTIF($E$2:$E$41,E28)&gt;1,"⚠ 順番が重複",IF(E28&gt;COUNT($E$2:$E$41),"⚠ 番号が大きすぎ","")))</f>
        <v/>
      </c>
    </row>
    <row r="29">
      <c r="A29" s="3" t="inlineStr">
        <is>
          <t>山本 ゆうま</t>
        </is>
      </c>
      <c r="B29" s="4" t="n">
        <v>136.8</v>
      </c>
      <c r="C29" s="5">
        <f>IF(OR(A29="",B29=""),"",COUNTIF($B$2:$B$41,"&lt;"&amp;B29)+COUNTIF($B$2:B29,B29))</f>
        <v/>
      </c>
      <c r="D29" s="6" t="n"/>
      <c r="E29" s="5">
        <f>IF(C29="","",IF(D29="",C29,D29))</f>
        <v/>
      </c>
      <c r="F29" s="7">
        <f>IF(E29="","",IF(COUNTIF($E$2:$E$41,E29)&gt;1,"⚠ 順番が重複",IF(E29&gt;COUNT($E$2:$E$41),"⚠ 番号が大きすぎ","")))</f>
        <v/>
      </c>
    </row>
    <row r="30">
      <c r="A30" s="3" t="inlineStr">
        <is>
          <t>横山 ちひろ</t>
        </is>
      </c>
      <c r="B30" s="4" t="n">
        <v>143</v>
      </c>
      <c r="C30" s="5">
        <f>IF(OR(A30="",B30=""),"",COUNTIF($B$2:$B$41,"&lt;"&amp;B30)+COUNTIF($B$2:B30,B30))</f>
        <v/>
      </c>
      <c r="D30" s="6" t="n"/>
      <c r="E30" s="5">
        <f>IF(C30="","",IF(D30="",C30,D30))</f>
        <v/>
      </c>
      <c r="F30" s="7">
        <f>IF(E30="","",IF(COUNTIF($E$2:$E$41,E30)&gt;1,"⚠ 順番が重複",IF(E30&gt;COUNT($E$2:$E$41),"⚠ 番号が大きすぎ","")))</f>
        <v/>
      </c>
    </row>
    <row r="31">
      <c r="A31" s="3" t="inlineStr">
        <is>
          <t>吉田 はやと</t>
        </is>
      </c>
      <c r="B31" s="4" t="n">
        <v>147</v>
      </c>
      <c r="C31" s="5">
        <f>IF(OR(A31="",B31=""),"",COUNTIF($B$2:$B$41,"&lt;"&amp;B31)+COUNTIF($B$2:B31,B31))</f>
        <v/>
      </c>
      <c r="D31" s="6" t="n"/>
      <c r="E31" s="5">
        <f>IF(C31="","",IF(D31="",C31,D31))</f>
        <v/>
      </c>
      <c r="F31" s="7">
        <f>IF(E31="","",IF(COUNTIF($E$2:$E$41,E31)&gt;1,"⚠ 順番が重複",IF(E31&gt;COUNT($E$2:$E$41),"⚠ 番号が大きすぎ","")))</f>
        <v/>
      </c>
    </row>
    <row r="32">
      <c r="A32" s="3" t="inlineStr">
        <is>
          <t>渡辺 えま</t>
        </is>
      </c>
      <c r="B32" s="4" t="n">
        <v>142.9</v>
      </c>
      <c r="C32" s="5">
        <f>IF(OR(A32="",B32=""),"",COUNTIF($B$2:$B$41,"&lt;"&amp;B32)+COUNTIF($B$2:B32,B32))</f>
        <v/>
      </c>
      <c r="D32" s="6" t="n"/>
      <c r="E32" s="5">
        <f>IF(C32="","",IF(D32="",C32,D32))</f>
        <v/>
      </c>
      <c r="F32" s="7">
        <f>IF(E32="","",IF(COUNTIF($E$2:$E$41,E32)&gt;1,"⚠ 順番が重複",IF(E32&gt;COUNT($E$2:$E$41),"⚠ 番号が大きすぎ","")))</f>
        <v/>
      </c>
    </row>
    <row r="33">
      <c r="A33" s="3" t="inlineStr">
        <is>
          <t>和田 こうき</t>
        </is>
      </c>
      <c r="B33" s="4" t="n">
        <v>148</v>
      </c>
      <c r="C33" s="5">
        <f>IF(OR(A33="",B33=""),"",COUNTIF($B$2:$B$41,"&lt;"&amp;B33)+COUNTIF($B$2:B33,B33))</f>
        <v/>
      </c>
      <c r="D33" s="6" t="n"/>
      <c r="E33" s="5">
        <f>IF(C33="","",IF(D33="",C33,D33))</f>
        <v/>
      </c>
      <c r="F33" s="7">
        <f>IF(E33="","",IF(COUNTIF($E$2:$E$41,E33)&gt;1,"⚠ 順番が重複",IF(E33&gt;COUNT($E$2:$E$41),"⚠ 番号が大きすぎ","")))</f>
        <v/>
      </c>
    </row>
    <row r="34">
      <c r="A34" s="3" t="inlineStr">
        <is>
          <t>井上 のあ</t>
        </is>
      </c>
      <c r="B34" s="4" t="n">
        <v>134.9</v>
      </c>
      <c r="C34" s="5">
        <f>IF(OR(A34="",B34=""),"",COUNTIF($B$2:$B$41,"&lt;"&amp;B34)+COUNTIF($B$2:B34,B34))</f>
        <v/>
      </c>
      <c r="D34" s="6" t="n"/>
      <c r="E34" s="5">
        <f>IF(C34="","",IF(D34="",C34,D34))</f>
        <v/>
      </c>
      <c r="F34" s="7">
        <f>IF(E34="","",IF(COUNTIF($E$2:$E$41,E34)&gt;1,"⚠ 順番が重複",IF(E34&gt;COUNT($E$2:$E$41),"⚠ 番号が大きすぎ","")))</f>
        <v/>
      </c>
    </row>
    <row r="35">
      <c r="A35" s="3" t="inlineStr">
        <is>
          <t>岡田 たくみ</t>
        </is>
      </c>
      <c r="B35" s="4" t="n">
        <v>145</v>
      </c>
      <c r="C35" s="5">
        <f>IF(OR(A35="",B35=""),"",COUNTIF($B$2:$B$41,"&lt;"&amp;B35)+COUNTIF($B$2:B35,B35))</f>
        <v/>
      </c>
      <c r="D35" s="6" t="n"/>
      <c r="E35" s="5">
        <f>IF(C35="","",IF(D35="",C35,D35))</f>
        <v/>
      </c>
      <c r="F35" s="7">
        <f>IF(E35="","",IF(COUNTIF($E$2:$E$41,E35)&gt;1,"⚠ 順番が重複",IF(E35&gt;COUNT($E$2:$E$41),"⚠ 番号が大きすぎ","")))</f>
        <v/>
      </c>
    </row>
    <row r="36">
      <c r="A36" s="3" t="inlineStr">
        <is>
          <t>川口 さら</t>
        </is>
      </c>
      <c r="B36" s="4" t="n">
        <v>136.1</v>
      </c>
      <c r="C36" s="5">
        <f>IF(OR(A36="",B36=""),"",COUNTIF($B$2:$B$41,"&lt;"&amp;B36)+COUNTIF($B$2:B36,B36))</f>
        <v/>
      </c>
      <c r="D36" s="6" t="n"/>
      <c r="E36" s="5">
        <f>IF(C36="","",IF(D36="",C36,D36))</f>
        <v/>
      </c>
      <c r="F36" s="7">
        <f>IF(E36="","",IF(COUNTIF($E$2:$E$41,E36)&gt;1,"⚠ 順番が重複",IF(E36&gt;COUNT($E$2:$E$41),"⚠ 番号が大きすぎ","")))</f>
        <v/>
      </c>
    </row>
    <row r="37">
      <c r="A37" s="3" t="n"/>
      <c r="B37" s="4" t="n"/>
      <c r="C37" s="5">
        <f>IF(OR(A37="",B37=""),"",COUNTIF($B$2:$B$41,"&lt;"&amp;B37)+COUNTIF($B$2:B37,B37))</f>
        <v/>
      </c>
      <c r="D37" s="6" t="n"/>
      <c r="E37" s="5">
        <f>IF(C37="","",IF(D37="",C37,D37))</f>
        <v/>
      </c>
      <c r="F37" s="7">
        <f>IF(E37="","",IF(COUNTIF($E$2:$E$41,E37)&gt;1,"⚠ 順番が重複",IF(E37&gt;COUNT($E$2:$E$41),"⚠ 番号が大きすぎ","")))</f>
        <v/>
      </c>
    </row>
    <row r="38">
      <c r="A38" s="3" t="n"/>
      <c r="B38" s="4" t="n"/>
      <c r="C38" s="5">
        <f>IF(OR(A38="",B38=""),"",COUNTIF($B$2:$B$41,"&lt;"&amp;B38)+COUNTIF($B$2:B38,B38))</f>
        <v/>
      </c>
      <c r="D38" s="6" t="n"/>
      <c r="E38" s="5">
        <f>IF(C38="","",IF(D38="",C38,D38))</f>
        <v/>
      </c>
      <c r="F38" s="7">
        <f>IF(E38="","",IF(COUNTIF($E$2:$E$41,E38)&gt;1,"⚠ 順番が重複",IF(E38&gt;COUNT($E$2:$E$41),"⚠ 番号が大きすぎ","")))</f>
        <v/>
      </c>
    </row>
    <row r="39">
      <c r="A39" s="3" t="n"/>
      <c r="B39" s="4" t="n"/>
      <c r="C39" s="5">
        <f>IF(OR(A39="",B39=""),"",COUNTIF($B$2:$B$41,"&lt;"&amp;B39)+COUNTIF($B$2:B39,B39))</f>
        <v/>
      </c>
      <c r="D39" s="6" t="n"/>
      <c r="E39" s="5">
        <f>IF(C39="","",IF(D39="",C39,D39))</f>
        <v/>
      </c>
      <c r="F39" s="7">
        <f>IF(E39="","",IF(COUNTIF($E$2:$E$41,E39)&gt;1,"⚠ 順番が重複",IF(E39&gt;COUNT($E$2:$E$41),"⚠ 番号が大きすぎ","")))</f>
        <v/>
      </c>
    </row>
    <row r="40">
      <c r="A40" s="3" t="n"/>
      <c r="B40" s="4" t="n"/>
      <c r="C40" s="5">
        <f>IF(OR(A40="",B40=""),"",COUNTIF($B$2:$B$41,"&lt;"&amp;B40)+COUNTIF($B$2:B40,B40))</f>
        <v/>
      </c>
      <c r="D40" s="6" t="n"/>
      <c r="E40" s="5">
        <f>IF(C40="","",IF(D40="",C40,D40))</f>
        <v/>
      </c>
      <c r="F40" s="7">
        <f>IF(E40="","",IF(COUNTIF($E$2:$E$41,E40)&gt;1,"⚠ 順番が重複",IF(E40&gt;COUNT($E$2:$E$41),"⚠ 番号が大きすぎ","")))</f>
        <v/>
      </c>
    </row>
    <row r="41">
      <c r="A41" s="3" t="n"/>
      <c r="B41" s="4" t="n"/>
      <c r="C41" s="5">
        <f>IF(OR(A41="",B41=""),"",COUNTIF($B$2:$B$41,"&lt;"&amp;B41)+COUNTIF($B$2:B41,B41))</f>
        <v/>
      </c>
      <c r="D41" s="6" t="n"/>
      <c r="E41" s="5">
        <f>IF(C41="","",IF(D41="",C41,D41))</f>
        <v/>
      </c>
      <c r="F41" s="7">
        <f>IF(E41="","",IF(COUNTIF($E$2:$E$41,E41)&gt;1,"⚠ 順番が重複",IF(E41&gt;COUNT($E$2:$E$41),"⚠ 番号が大きすぎ","")))</f>
        <v/>
      </c>
    </row>
  </sheetData>
  <dataValidations count="2">
    <dataValidation sqref="B2:B41" showDropDown="0" showInputMessage="0" showErrorMessage="1" allowBlank="0" errorTitle="身長" error="身長は cm の数字で入れてください（例：132.5）" type="decimal" operator="between">
      <formula1>50</formula1>
      <formula2>250</formula2>
    </dataValidation>
    <dataValidation sqref="D2:D41" showDropDown="0" showInputMessage="0" showErrorMessage="1" allowBlank="0" errorTitle="手動の順番" error="1〜40 の整数を入れてください" type="whole" operator="between">
      <formula1>1</formula1>
      <formula2>40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</cols>
  <sheetData>
    <row r="1">
      <c r="A1" s="11" t="inlineStr">
        <is>
          <t>背の順　2列・横に</t>
        </is>
      </c>
      <c r="E1" s="12" t="inlineStr">
        <is>
          <t>人数</t>
        </is>
      </c>
      <c r="F1" s="12">
        <f>COUNT('入力シート'!$E$2:$E$41)</f>
        <v/>
      </c>
    </row>
    <row r="2">
      <c r="E2" s="12" t="inlineStr">
        <is>
          <t>行数</t>
        </is>
      </c>
      <c r="F2" s="12">
        <f>ROUNDUP(F1/2,0)</f>
        <v/>
      </c>
    </row>
    <row r="3">
      <c r="B3" s="13" t="inlineStr">
        <is>
          <t>前</t>
        </is>
      </c>
    </row>
    <row r="4">
      <c r="B4" s="1" t="inlineStr">
        <is>
          <t>1列目</t>
        </is>
      </c>
      <c r="C4" s="1" t="inlineStr">
        <is>
          <t>2列目</t>
        </is>
      </c>
    </row>
    <row r="5" ht="26" customHeight="1">
      <c r="A5" s="14">
        <f>IF(1&lt;=$F$2,"1","")</f>
        <v/>
      </c>
      <c r="B5" s="15">
        <f>IFERROR(INDEX('入力シート'!$A$2:$A$41,MATCH((1-1)*2+1,'入力シート'!$E$2:$E$41,0)),"")</f>
        <v/>
      </c>
      <c r="C5" s="15">
        <f>IFERROR(INDEX('入力シート'!$A$2:$A$41,MATCH((1-1)*2+2,'入力シート'!$E$2:$E$41,0)),"")</f>
        <v/>
      </c>
    </row>
    <row r="6" ht="26" customHeight="1">
      <c r="A6" s="14">
        <f>IF(2&lt;=$F$2,"2","")</f>
        <v/>
      </c>
      <c r="B6" s="15">
        <f>IFERROR(INDEX('入力シート'!$A$2:$A$41,MATCH((2-1)*2+1,'入力シート'!$E$2:$E$41,0)),"")</f>
        <v/>
      </c>
      <c r="C6" s="15">
        <f>IFERROR(INDEX('入力シート'!$A$2:$A$41,MATCH((2-1)*2+2,'入力シート'!$E$2:$E$41,0)),"")</f>
        <v/>
      </c>
    </row>
    <row r="7" ht="26" customHeight="1">
      <c r="A7" s="14">
        <f>IF(3&lt;=$F$2,"3","")</f>
        <v/>
      </c>
      <c r="B7" s="15">
        <f>IFERROR(INDEX('入力シート'!$A$2:$A$41,MATCH((3-1)*2+1,'入力シート'!$E$2:$E$41,0)),"")</f>
        <v/>
      </c>
      <c r="C7" s="15">
        <f>IFERROR(INDEX('入力シート'!$A$2:$A$41,MATCH((3-1)*2+2,'入力シート'!$E$2:$E$41,0)),"")</f>
        <v/>
      </c>
    </row>
    <row r="8" ht="26" customHeight="1">
      <c r="A8" s="14">
        <f>IF(4&lt;=$F$2,"4","")</f>
        <v/>
      </c>
      <c r="B8" s="15">
        <f>IFERROR(INDEX('入力シート'!$A$2:$A$41,MATCH((4-1)*2+1,'入力シート'!$E$2:$E$41,0)),"")</f>
        <v/>
      </c>
      <c r="C8" s="15">
        <f>IFERROR(INDEX('入力シート'!$A$2:$A$41,MATCH((4-1)*2+2,'入力シート'!$E$2:$E$41,0)),"")</f>
        <v/>
      </c>
    </row>
    <row r="9" ht="26" customHeight="1">
      <c r="A9" s="14">
        <f>IF(5&lt;=$F$2,"5","")</f>
        <v/>
      </c>
      <c r="B9" s="15">
        <f>IFERROR(INDEX('入力シート'!$A$2:$A$41,MATCH((5-1)*2+1,'入力シート'!$E$2:$E$41,0)),"")</f>
        <v/>
      </c>
      <c r="C9" s="15">
        <f>IFERROR(INDEX('入力シート'!$A$2:$A$41,MATCH((5-1)*2+2,'入力シート'!$E$2:$E$41,0)),"")</f>
        <v/>
      </c>
    </row>
    <row r="10" ht="26" customHeight="1">
      <c r="A10" s="14">
        <f>IF(6&lt;=$F$2,"6","")</f>
        <v/>
      </c>
      <c r="B10" s="15">
        <f>IFERROR(INDEX('入力シート'!$A$2:$A$41,MATCH((6-1)*2+1,'入力シート'!$E$2:$E$41,0)),"")</f>
        <v/>
      </c>
      <c r="C10" s="15">
        <f>IFERROR(INDEX('入力シート'!$A$2:$A$41,MATCH((6-1)*2+2,'入力シート'!$E$2:$E$41,0)),"")</f>
        <v/>
      </c>
    </row>
    <row r="11" ht="26" customHeight="1">
      <c r="A11" s="14">
        <f>IF(7&lt;=$F$2,"7","")</f>
        <v/>
      </c>
      <c r="B11" s="15">
        <f>IFERROR(INDEX('入力シート'!$A$2:$A$41,MATCH((7-1)*2+1,'入力シート'!$E$2:$E$41,0)),"")</f>
        <v/>
      </c>
      <c r="C11" s="15">
        <f>IFERROR(INDEX('入力シート'!$A$2:$A$41,MATCH((7-1)*2+2,'入力シート'!$E$2:$E$41,0)),"")</f>
        <v/>
      </c>
    </row>
    <row r="12" ht="26" customHeight="1">
      <c r="A12" s="14">
        <f>IF(8&lt;=$F$2,"8","")</f>
        <v/>
      </c>
      <c r="B12" s="15">
        <f>IFERROR(INDEX('入力シート'!$A$2:$A$41,MATCH((8-1)*2+1,'入力シート'!$E$2:$E$41,0)),"")</f>
        <v/>
      </c>
      <c r="C12" s="15">
        <f>IFERROR(INDEX('入力シート'!$A$2:$A$41,MATCH((8-1)*2+2,'入力シート'!$E$2:$E$41,0)),"")</f>
        <v/>
      </c>
    </row>
    <row r="13" ht="26" customHeight="1">
      <c r="A13" s="14">
        <f>IF(9&lt;=$F$2,"9","")</f>
        <v/>
      </c>
      <c r="B13" s="15">
        <f>IFERROR(INDEX('入力シート'!$A$2:$A$41,MATCH((9-1)*2+1,'入力シート'!$E$2:$E$41,0)),"")</f>
        <v/>
      </c>
      <c r="C13" s="15">
        <f>IFERROR(INDEX('入力シート'!$A$2:$A$41,MATCH((9-1)*2+2,'入力シート'!$E$2:$E$41,0)),"")</f>
        <v/>
      </c>
    </row>
    <row r="14" ht="26" customHeight="1">
      <c r="A14" s="14">
        <f>IF(10&lt;=$F$2,"10","")</f>
        <v/>
      </c>
      <c r="B14" s="15">
        <f>IFERROR(INDEX('入力シート'!$A$2:$A$41,MATCH((10-1)*2+1,'入力シート'!$E$2:$E$41,0)),"")</f>
        <v/>
      </c>
      <c r="C14" s="15">
        <f>IFERROR(INDEX('入力シート'!$A$2:$A$41,MATCH((10-1)*2+2,'入力シート'!$E$2:$E$41,0)),"")</f>
        <v/>
      </c>
    </row>
    <row r="15" ht="26" customHeight="1">
      <c r="A15" s="14">
        <f>IF(11&lt;=$F$2,"11","")</f>
        <v/>
      </c>
      <c r="B15" s="15">
        <f>IFERROR(INDEX('入力シート'!$A$2:$A$41,MATCH((11-1)*2+1,'入力シート'!$E$2:$E$41,0)),"")</f>
        <v/>
      </c>
      <c r="C15" s="15">
        <f>IFERROR(INDEX('入力シート'!$A$2:$A$41,MATCH((11-1)*2+2,'入力シート'!$E$2:$E$41,0)),"")</f>
        <v/>
      </c>
    </row>
    <row r="16" ht="26" customHeight="1">
      <c r="A16" s="14">
        <f>IF(12&lt;=$F$2,"12","")</f>
        <v/>
      </c>
      <c r="B16" s="15">
        <f>IFERROR(INDEX('入力シート'!$A$2:$A$41,MATCH((12-1)*2+1,'入力シート'!$E$2:$E$41,0)),"")</f>
        <v/>
      </c>
      <c r="C16" s="15">
        <f>IFERROR(INDEX('入力シート'!$A$2:$A$41,MATCH((12-1)*2+2,'入力シート'!$E$2:$E$41,0)),"")</f>
        <v/>
      </c>
    </row>
    <row r="17" ht="26" customHeight="1">
      <c r="A17" s="14">
        <f>IF(13&lt;=$F$2,"13","")</f>
        <v/>
      </c>
      <c r="B17" s="15">
        <f>IFERROR(INDEX('入力シート'!$A$2:$A$41,MATCH((13-1)*2+1,'入力シート'!$E$2:$E$41,0)),"")</f>
        <v/>
      </c>
      <c r="C17" s="15">
        <f>IFERROR(INDEX('入力シート'!$A$2:$A$41,MATCH((13-1)*2+2,'入力シート'!$E$2:$E$41,0)),"")</f>
        <v/>
      </c>
    </row>
    <row r="18" ht="26" customHeight="1">
      <c r="A18" s="14">
        <f>IF(14&lt;=$F$2,"14","")</f>
        <v/>
      </c>
      <c r="B18" s="15">
        <f>IFERROR(INDEX('入力シート'!$A$2:$A$41,MATCH((14-1)*2+1,'入力シート'!$E$2:$E$41,0)),"")</f>
        <v/>
      </c>
      <c r="C18" s="15">
        <f>IFERROR(INDEX('入力シート'!$A$2:$A$41,MATCH((14-1)*2+2,'入力シート'!$E$2:$E$41,0)),"")</f>
        <v/>
      </c>
    </row>
    <row r="19" ht="26" customHeight="1">
      <c r="A19" s="14">
        <f>IF(15&lt;=$F$2,"15","")</f>
        <v/>
      </c>
      <c r="B19" s="15">
        <f>IFERROR(INDEX('入力シート'!$A$2:$A$41,MATCH((15-1)*2+1,'入力シート'!$E$2:$E$41,0)),"")</f>
        <v/>
      </c>
      <c r="C19" s="15">
        <f>IFERROR(INDEX('入力シート'!$A$2:$A$41,MATCH((15-1)*2+2,'入力シート'!$E$2:$E$41,0)),"")</f>
        <v/>
      </c>
    </row>
    <row r="20" ht="26" customHeight="1">
      <c r="A20" s="14">
        <f>IF(16&lt;=$F$2,"16","")</f>
        <v/>
      </c>
      <c r="B20" s="15">
        <f>IFERROR(INDEX('入力シート'!$A$2:$A$41,MATCH((16-1)*2+1,'入力シート'!$E$2:$E$41,0)),"")</f>
        <v/>
      </c>
      <c r="C20" s="15">
        <f>IFERROR(INDEX('入力シート'!$A$2:$A$41,MATCH((16-1)*2+2,'入力シート'!$E$2:$E$41,0)),"")</f>
        <v/>
      </c>
    </row>
    <row r="21" ht="26" customHeight="1">
      <c r="A21" s="14">
        <f>IF(17&lt;=$F$2,"17","")</f>
        <v/>
      </c>
      <c r="B21" s="15">
        <f>IFERROR(INDEX('入力シート'!$A$2:$A$41,MATCH((17-1)*2+1,'入力シート'!$E$2:$E$41,0)),"")</f>
        <v/>
      </c>
      <c r="C21" s="15">
        <f>IFERROR(INDEX('入力シート'!$A$2:$A$41,MATCH((17-1)*2+2,'入力シート'!$E$2:$E$41,0)),"")</f>
        <v/>
      </c>
    </row>
    <row r="22" ht="26" customHeight="1">
      <c r="A22" s="14">
        <f>IF(18&lt;=$F$2,"18","")</f>
        <v/>
      </c>
      <c r="B22" s="15">
        <f>IFERROR(INDEX('入力シート'!$A$2:$A$41,MATCH((18-1)*2+1,'入力シート'!$E$2:$E$41,0)),"")</f>
        <v/>
      </c>
      <c r="C22" s="15">
        <f>IFERROR(INDEX('入力シート'!$A$2:$A$41,MATCH((18-1)*2+2,'入力シート'!$E$2:$E$41,0)),"")</f>
        <v/>
      </c>
    </row>
    <row r="23" ht="26" customHeight="1">
      <c r="A23" s="14">
        <f>IF(19&lt;=$F$2,"19","")</f>
        <v/>
      </c>
      <c r="B23" s="15">
        <f>IFERROR(INDEX('入力シート'!$A$2:$A$41,MATCH((19-1)*2+1,'入力シート'!$E$2:$E$41,0)),"")</f>
        <v/>
      </c>
      <c r="C23" s="15">
        <f>IFERROR(INDEX('入力シート'!$A$2:$A$41,MATCH((19-1)*2+2,'入力シート'!$E$2:$E$41,0)),"")</f>
        <v/>
      </c>
    </row>
    <row r="24" ht="26" customHeight="1">
      <c r="A24" s="14">
        <f>IF(20&lt;=$F$2,"20","")</f>
        <v/>
      </c>
      <c r="B24" s="15">
        <f>IFERROR(INDEX('入力シート'!$A$2:$A$41,MATCH((20-1)*2+1,'入力シート'!$E$2:$E$41,0)),"")</f>
        <v/>
      </c>
      <c r="C24" s="15">
        <f>IFERROR(INDEX('入力シート'!$A$2:$A$41,MATCH((20-1)*2+2,'入力シート'!$E$2:$E$41,0)),"")</f>
        <v/>
      </c>
    </row>
    <row r="25">
      <c r="B25" s="13" t="inlineStr">
        <is>
          <t>後ろ</t>
        </is>
      </c>
    </row>
  </sheetData>
  <mergeCells count="3">
    <mergeCell ref="A1:C1"/>
    <mergeCell ref="B3:C3"/>
    <mergeCell ref="B25:C25"/>
  </mergeCells>
  <printOptions horizontalCentered="1"/>
  <pageMargins left="0.75" right="0.75" top="1" bottom="1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</cols>
  <sheetData>
    <row r="1">
      <c r="A1" s="11" t="inlineStr">
        <is>
          <t>背の順　2列・縦に</t>
        </is>
      </c>
      <c r="E1" s="12" t="inlineStr">
        <is>
          <t>人数</t>
        </is>
      </c>
      <c r="F1" s="12">
        <f>COUNT('入力シート'!$E$2:$E$41)</f>
        <v/>
      </c>
    </row>
    <row r="2">
      <c r="E2" s="12" t="inlineStr">
        <is>
          <t>行数</t>
        </is>
      </c>
      <c r="F2" s="12">
        <f>ROUNDUP(F1/2,0)</f>
        <v/>
      </c>
    </row>
    <row r="3">
      <c r="B3" s="13" t="inlineStr">
        <is>
          <t>前</t>
        </is>
      </c>
    </row>
    <row r="4">
      <c r="B4" s="1" t="inlineStr">
        <is>
          <t>1列目</t>
        </is>
      </c>
      <c r="C4" s="1" t="inlineStr">
        <is>
          <t>2列目</t>
        </is>
      </c>
    </row>
    <row r="5" ht="26" customHeight="1">
      <c r="A5" s="14">
        <f>IF(1&lt;=$F$2,"1","")</f>
        <v/>
      </c>
      <c r="B5" s="15">
        <f>IF(1&gt;$F$2,"",IFERROR(INDEX('入力シート'!$A$2:$A$41,MATCH((1-1)*$F$2+1,'入力シート'!$E$2:$E$41,0)),""))</f>
        <v/>
      </c>
      <c r="C5" s="15">
        <f>IF(1&gt;$F$2,"",IFERROR(INDEX('入力シート'!$A$2:$A$41,MATCH((2-1)*$F$2+1,'入力シート'!$E$2:$E$41,0)),""))</f>
        <v/>
      </c>
    </row>
    <row r="6" ht="26" customHeight="1">
      <c r="A6" s="14">
        <f>IF(2&lt;=$F$2,"2","")</f>
        <v/>
      </c>
      <c r="B6" s="15">
        <f>IF(2&gt;$F$2,"",IFERROR(INDEX('入力シート'!$A$2:$A$41,MATCH((1-1)*$F$2+2,'入力シート'!$E$2:$E$41,0)),""))</f>
        <v/>
      </c>
      <c r="C6" s="15">
        <f>IF(2&gt;$F$2,"",IFERROR(INDEX('入力シート'!$A$2:$A$41,MATCH((2-1)*$F$2+2,'入力シート'!$E$2:$E$41,0)),""))</f>
        <v/>
      </c>
    </row>
    <row r="7" ht="26" customHeight="1">
      <c r="A7" s="14">
        <f>IF(3&lt;=$F$2,"3","")</f>
        <v/>
      </c>
      <c r="B7" s="15">
        <f>IF(3&gt;$F$2,"",IFERROR(INDEX('入力シート'!$A$2:$A$41,MATCH((1-1)*$F$2+3,'入力シート'!$E$2:$E$41,0)),""))</f>
        <v/>
      </c>
      <c r="C7" s="15">
        <f>IF(3&gt;$F$2,"",IFERROR(INDEX('入力シート'!$A$2:$A$41,MATCH((2-1)*$F$2+3,'入力シート'!$E$2:$E$41,0)),""))</f>
        <v/>
      </c>
    </row>
    <row r="8" ht="26" customHeight="1">
      <c r="A8" s="14">
        <f>IF(4&lt;=$F$2,"4","")</f>
        <v/>
      </c>
      <c r="B8" s="15">
        <f>IF(4&gt;$F$2,"",IFERROR(INDEX('入力シート'!$A$2:$A$41,MATCH((1-1)*$F$2+4,'入力シート'!$E$2:$E$41,0)),""))</f>
        <v/>
      </c>
      <c r="C8" s="15">
        <f>IF(4&gt;$F$2,"",IFERROR(INDEX('入力シート'!$A$2:$A$41,MATCH((2-1)*$F$2+4,'入力シート'!$E$2:$E$41,0)),""))</f>
        <v/>
      </c>
    </row>
    <row r="9" ht="26" customHeight="1">
      <c r="A9" s="14">
        <f>IF(5&lt;=$F$2,"5","")</f>
        <v/>
      </c>
      <c r="B9" s="15">
        <f>IF(5&gt;$F$2,"",IFERROR(INDEX('入力シート'!$A$2:$A$41,MATCH((1-1)*$F$2+5,'入力シート'!$E$2:$E$41,0)),""))</f>
        <v/>
      </c>
      <c r="C9" s="15">
        <f>IF(5&gt;$F$2,"",IFERROR(INDEX('入力シート'!$A$2:$A$41,MATCH((2-1)*$F$2+5,'入力シート'!$E$2:$E$41,0)),""))</f>
        <v/>
      </c>
    </row>
    <row r="10" ht="26" customHeight="1">
      <c r="A10" s="14">
        <f>IF(6&lt;=$F$2,"6","")</f>
        <v/>
      </c>
      <c r="B10" s="15">
        <f>IF(6&gt;$F$2,"",IFERROR(INDEX('入力シート'!$A$2:$A$41,MATCH((1-1)*$F$2+6,'入力シート'!$E$2:$E$41,0)),""))</f>
        <v/>
      </c>
      <c r="C10" s="15">
        <f>IF(6&gt;$F$2,"",IFERROR(INDEX('入力シート'!$A$2:$A$41,MATCH((2-1)*$F$2+6,'入力シート'!$E$2:$E$41,0)),""))</f>
        <v/>
      </c>
    </row>
    <row r="11" ht="26" customHeight="1">
      <c r="A11" s="14">
        <f>IF(7&lt;=$F$2,"7","")</f>
        <v/>
      </c>
      <c r="B11" s="15">
        <f>IF(7&gt;$F$2,"",IFERROR(INDEX('入力シート'!$A$2:$A$41,MATCH((1-1)*$F$2+7,'入力シート'!$E$2:$E$41,0)),""))</f>
        <v/>
      </c>
      <c r="C11" s="15">
        <f>IF(7&gt;$F$2,"",IFERROR(INDEX('入力シート'!$A$2:$A$41,MATCH((2-1)*$F$2+7,'入力シート'!$E$2:$E$41,0)),""))</f>
        <v/>
      </c>
    </row>
    <row r="12" ht="26" customHeight="1">
      <c r="A12" s="14">
        <f>IF(8&lt;=$F$2,"8","")</f>
        <v/>
      </c>
      <c r="B12" s="15">
        <f>IF(8&gt;$F$2,"",IFERROR(INDEX('入力シート'!$A$2:$A$41,MATCH((1-1)*$F$2+8,'入力シート'!$E$2:$E$41,0)),""))</f>
        <v/>
      </c>
      <c r="C12" s="15">
        <f>IF(8&gt;$F$2,"",IFERROR(INDEX('入力シート'!$A$2:$A$41,MATCH((2-1)*$F$2+8,'入力シート'!$E$2:$E$41,0)),""))</f>
        <v/>
      </c>
    </row>
    <row r="13" ht="26" customHeight="1">
      <c r="A13" s="14">
        <f>IF(9&lt;=$F$2,"9","")</f>
        <v/>
      </c>
      <c r="B13" s="15">
        <f>IF(9&gt;$F$2,"",IFERROR(INDEX('入力シート'!$A$2:$A$41,MATCH((1-1)*$F$2+9,'入力シート'!$E$2:$E$41,0)),""))</f>
        <v/>
      </c>
      <c r="C13" s="15">
        <f>IF(9&gt;$F$2,"",IFERROR(INDEX('入力シート'!$A$2:$A$41,MATCH((2-1)*$F$2+9,'入力シート'!$E$2:$E$41,0)),""))</f>
        <v/>
      </c>
    </row>
    <row r="14" ht="26" customHeight="1">
      <c r="A14" s="14">
        <f>IF(10&lt;=$F$2,"10","")</f>
        <v/>
      </c>
      <c r="B14" s="15">
        <f>IF(10&gt;$F$2,"",IFERROR(INDEX('入力シート'!$A$2:$A$41,MATCH((1-1)*$F$2+10,'入力シート'!$E$2:$E$41,0)),""))</f>
        <v/>
      </c>
      <c r="C14" s="15">
        <f>IF(10&gt;$F$2,"",IFERROR(INDEX('入力シート'!$A$2:$A$41,MATCH((2-1)*$F$2+10,'入力シート'!$E$2:$E$41,0)),""))</f>
        <v/>
      </c>
    </row>
    <row r="15" ht="26" customHeight="1">
      <c r="A15" s="14">
        <f>IF(11&lt;=$F$2,"11","")</f>
        <v/>
      </c>
      <c r="B15" s="15">
        <f>IF(11&gt;$F$2,"",IFERROR(INDEX('入力シート'!$A$2:$A$41,MATCH((1-1)*$F$2+11,'入力シート'!$E$2:$E$41,0)),""))</f>
        <v/>
      </c>
      <c r="C15" s="15">
        <f>IF(11&gt;$F$2,"",IFERROR(INDEX('入力シート'!$A$2:$A$41,MATCH((2-1)*$F$2+11,'入力シート'!$E$2:$E$41,0)),""))</f>
        <v/>
      </c>
    </row>
    <row r="16" ht="26" customHeight="1">
      <c r="A16" s="14">
        <f>IF(12&lt;=$F$2,"12","")</f>
        <v/>
      </c>
      <c r="B16" s="15">
        <f>IF(12&gt;$F$2,"",IFERROR(INDEX('入力シート'!$A$2:$A$41,MATCH((1-1)*$F$2+12,'入力シート'!$E$2:$E$41,0)),""))</f>
        <v/>
      </c>
      <c r="C16" s="15">
        <f>IF(12&gt;$F$2,"",IFERROR(INDEX('入力シート'!$A$2:$A$41,MATCH((2-1)*$F$2+12,'入力シート'!$E$2:$E$41,0)),""))</f>
        <v/>
      </c>
    </row>
    <row r="17" ht="26" customHeight="1">
      <c r="A17" s="14">
        <f>IF(13&lt;=$F$2,"13","")</f>
        <v/>
      </c>
      <c r="B17" s="15">
        <f>IF(13&gt;$F$2,"",IFERROR(INDEX('入力シート'!$A$2:$A$41,MATCH((1-1)*$F$2+13,'入力シート'!$E$2:$E$41,0)),""))</f>
        <v/>
      </c>
      <c r="C17" s="15">
        <f>IF(13&gt;$F$2,"",IFERROR(INDEX('入力シート'!$A$2:$A$41,MATCH((2-1)*$F$2+13,'入力シート'!$E$2:$E$41,0)),""))</f>
        <v/>
      </c>
    </row>
    <row r="18" ht="26" customHeight="1">
      <c r="A18" s="14">
        <f>IF(14&lt;=$F$2,"14","")</f>
        <v/>
      </c>
      <c r="B18" s="15">
        <f>IF(14&gt;$F$2,"",IFERROR(INDEX('入力シート'!$A$2:$A$41,MATCH((1-1)*$F$2+14,'入力シート'!$E$2:$E$41,0)),""))</f>
        <v/>
      </c>
      <c r="C18" s="15">
        <f>IF(14&gt;$F$2,"",IFERROR(INDEX('入力シート'!$A$2:$A$41,MATCH((2-1)*$F$2+14,'入力シート'!$E$2:$E$41,0)),""))</f>
        <v/>
      </c>
    </row>
    <row r="19" ht="26" customHeight="1">
      <c r="A19" s="14">
        <f>IF(15&lt;=$F$2,"15","")</f>
        <v/>
      </c>
      <c r="B19" s="15">
        <f>IF(15&gt;$F$2,"",IFERROR(INDEX('入力シート'!$A$2:$A$41,MATCH((1-1)*$F$2+15,'入力シート'!$E$2:$E$41,0)),""))</f>
        <v/>
      </c>
      <c r="C19" s="15">
        <f>IF(15&gt;$F$2,"",IFERROR(INDEX('入力シート'!$A$2:$A$41,MATCH((2-1)*$F$2+15,'入力シート'!$E$2:$E$41,0)),""))</f>
        <v/>
      </c>
    </row>
    <row r="20" ht="26" customHeight="1">
      <c r="A20" s="14">
        <f>IF(16&lt;=$F$2,"16","")</f>
        <v/>
      </c>
      <c r="B20" s="15">
        <f>IF(16&gt;$F$2,"",IFERROR(INDEX('入力シート'!$A$2:$A$41,MATCH((1-1)*$F$2+16,'入力シート'!$E$2:$E$41,0)),""))</f>
        <v/>
      </c>
      <c r="C20" s="15">
        <f>IF(16&gt;$F$2,"",IFERROR(INDEX('入力シート'!$A$2:$A$41,MATCH((2-1)*$F$2+16,'入力シート'!$E$2:$E$41,0)),""))</f>
        <v/>
      </c>
    </row>
    <row r="21" ht="26" customHeight="1">
      <c r="A21" s="14">
        <f>IF(17&lt;=$F$2,"17","")</f>
        <v/>
      </c>
      <c r="B21" s="15">
        <f>IF(17&gt;$F$2,"",IFERROR(INDEX('入力シート'!$A$2:$A$41,MATCH((1-1)*$F$2+17,'入力シート'!$E$2:$E$41,0)),""))</f>
        <v/>
      </c>
      <c r="C21" s="15">
        <f>IF(17&gt;$F$2,"",IFERROR(INDEX('入力シート'!$A$2:$A$41,MATCH((2-1)*$F$2+17,'入力シート'!$E$2:$E$41,0)),""))</f>
        <v/>
      </c>
    </row>
    <row r="22" ht="26" customHeight="1">
      <c r="A22" s="14">
        <f>IF(18&lt;=$F$2,"18","")</f>
        <v/>
      </c>
      <c r="B22" s="15">
        <f>IF(18&gt;$F$2,"",IFERROR(INDEX('入力シート'!$A$2:$A$41,MATCH((1-1)*$F$2+18,'入力シート'!$E$2:$E$41,0)),""))</f>
        <v/>
      </c>
      <c r="C22" s="15">
        <f>IF(18&gt;$F$2,"",IFERROR(INDEX('入力シート'!$A$2:$A$41,MATCH((2-1)*$F$2+18,'入力シート'!$E$2:$E$41,0)),""))</f>
        <v/>
      </c>
    </row>
    <row r="23" ht="26" customHeight="1">
      <c r="A23" s="14">
        <f>IF(19&lt;=$F$2,"19","")</f>
        <v/>
      </c>
      <c r="B23" s="15">
        <f>IF(19&gt;$F$2,"",IFERROR(INDEX('入力シート'!$A$2:$A$41,MATCH((1-1)*$F$2+19,'入力シート'!$E$2:$E$41,0)),""))</f>
        <v/>
      </c>
      <c r="C23" s="15">
        <f>IF(19&gt;$F$2,"",IFERROR(INDEX('入力シート'!$A$2:$A$41,MATCH((2-1)*$F$2+19,'入力シート'!$E$2:$E$41,0)),""))</f>
        <v/>
      </c>
    </row>
    <row r="24" ht="26" customHeight="1">
      <c r="A24" s="14">
        <f>IF(20&lt;=$F$2,"20","")</f>
        <v/>
      </c>
      <c r="B24" s="15">
        <f>IF(20&gt;$F$2,"",IFERROR(INDEX('入力シート'!$A$2:$A$41,MATCH((1-1)*$F$2+20,'入力シート'!$E$2:$E$41,0)),""))</f>
        <v/>
      </c>
      <c r="C24" s="15">
        <f>IF(20&gt;$F$2,"",IFERROR(INDEX('入力シート'!$A$2:$A$41,MATCH((2-1)*$F$2+20,'入力シート'!$E$2:$E$41,0)),""))</f>
        <v/>
      </c>
    </row>
    <row r="25">
      <c r="B25" s="13" t="inlineStr">
        <is>
          <t>後ろ</t>
        </is>
      </c>
    </row>
  </sheetData>
  <mergeCells count="3">
    <mergeCell ref="A1:C1"/>
    <mergeCell ref="B3:C3"/>
    <mergeCell ref="B25:C25"/>
  </mergeCells>
  <printOptions horizontalCentered="1"/>
  <pageMargins left="0.75" right="0.75" top="1" bottom="1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1" t="inlineStr">
        <is>
          <t>背の順　4列・横に</t>
        </is>
      </c>
      <c r="G1" s="12" t="inlineStr">
        <is>
          <t>人数</t>
        </is>
      </c>
      <c r="H1" s="12">
        <f>COUNT('入力シート'!$E$2:$E$41)</f>
        <v/>
      </c>
    </row>
    <row r="2">
      <c r="G2" s="12" t="inlineStr">
        <is>
          <t>行数</t>
        </is>
      </c>
      <c r="H2" s="12">
        <f>ROUNDUP(H1/4,0)</f>
        <v/>
      </c>
    </row>
    <row r="3">
      <c r="B3" s="13" t="inlineStr">
        <is>
          <t>前</t>
        </is>
      </c>
    </row>
    <row r="4">
      <c r="B4" s="1" t="inlineStr">
        <is>
          <t>1列目</t>
        </is>
      </c>
      <c r="C4" s="1" t="inlineStr">
        <is>
          <t>2列目</t>
        </is>
      </c>
      <c r="D4" s="1" t="inlineStr">
        <is>
          <t>3列目</t>
        </is>
      </c>
      <c r="E4" s="1" t="inlineStr">
        <is>
          <t>4列目</t>
        </is>
      </c>
    </row>
    <row r="5" ht="26" customHeight="1">
      <c r="A5" s="14">
        <f>IF(1&lt;=$H$2,"1","")</f>
        <v/>
      </c>
      <c r="B5" s="16">
        <f>IFERROR(INDEX('入力シート'!$A$2:$A$41,MATCH((1-1)*4+1,'入力シート'!$E$2:$E$41,0)),"")</f>
        <v/>
      </c>
      <c r="C5" s="16">
        <f>IFERROR(INDEX('入力シート'!$A$2:$A$41,MATCH((1-1)*4+2,'入力シート'!$E$2:$E$41,0)),"")</f>
        <v/>
      </c>
      <c r="D5" s="16">
        <f>IFERROR(INDEX('入力シート'!$A$2:$A$41,MATCH((1-1)*4+3,'入力シート'!$E$2:$E$41,0)),"")</f>
        <v/>
      </c>
      <c r="E5" s="16">
        <f>IFERROR(INDEX('入力シート'!$A$2:$A$41,MATCH((1-1)*4+4,'入力シート'!$E$2:$E$41,0)),"")</f>
        <v/>
      </c>
    </row>
    <row r="6" ht="26" customHeight="1">
      <c r="A6" s="14">
        <f>IF(2&lt;=$H$2,"2","")</f>
        <v/>
      </c>
      <c r="B6" s="16">
        <f>IFERROR(INDEX('入力シート'!$A$2:$A$41,MATCH((2-1)*4+1,'入力シート'!$E$2:$E$41,0)),"")</f>
        <v/>
      </c>
      <c r="C6" s="16">
        <f>IFERROR(INDEX('入力シート'!$A$2:$A$41,MATCH((2-1)*4+2,'入力シート'!$E$2:$E$41,0)),"")</f>
        <v/>
      </c>
      <c r="D6" s="16">
        <f>IFERROR(INDEX('入力シート'!$A$2:$A$41,MATCH((2-1)*4+3,'入力シート'!$E$2:$E$41,0)),"")</f>
        <v/>
      </c>
      <c r="E6" s="16">
        <f>IFERROR(INDEX('入力シート'!$A$2:$A$41,MATCH((2-1)*4+4,'入力シート'!$E$2:$E$41,0)),"")</f>
        <v/>
      </c>
    </row>
    <row r="7" ht="26" customHeight="1">
      <c r="A7" s="14">
        <f>IF(3&lt;=$H$2,"3","")</f>
        <v/>
      </c>
      <c r="B7" s="16">
        <f>IFERROR(INDEX('入力シート'!$A$2:$A$41,MATCH((3-1)*4+1,'入力シート'!$E$2:$E$41,0)),"")</f>
        <v/>
      </c>
      <c r="C7" s="16">
        <f>IFERROR(INDEX('入力シート'!$A$2:$A$41,MATCH((3-1)*4+2,'入力シート'!$E$2:$E$41,0)),"")</f>
        <v/>
      </c>
      <c r="D7" s="16">
        <f>IFERROR(INDEX('入力シート'!$A$2:$A$41,MATCH((3-1)*4+3,'入力シート'!$E$2:$E$41,0)),"")</f>
        <v/>
      </c>
      <c r="E7" s="16">
        <f>IFERROR(INDEX('入力シート'!$A$2:$A$41,MATCH((3-1)*4+4,'入力シート'!$E$2:$E$41,0)),"")</f>
        <v/>
      </c>
    </row>
    <row r="8" ht="26" customHeight="1">
      <c r="A8" s="14">
        <f>IF(4&lt;=$H$2,"4","")</f>
        <v/>
      </c>
      <c r="B8" s="16">
        <f>IFERROR(INDEX('入力シート'!$A$2:$A$41,MATCH((4-1)*4+1,'入力シート'!$E$2:$E$41,0)),"")</f>
        <v/>
      </c>
      <c r="C8" s="16">
        <f>IFERROR(INDEX('入力シート'!$A$2:$A$41,MATCH((4-1)*4+2,'入力シート'!$E$2:$E$41,0)),"")</f>
        <v/>
      </c>
      <c r="D8" s="16">
        <f>IFERROR(INDEX('入力シート'!$A$2:$A$41,MATCH((4-1)*4+3,'入力シート'!$E$2:$E$41,0)),"")</f>
        <v/>
      </c>
      <c r="E8" s="16">
        <f>IFERROR(INDEX('入力シート'!$A$2:$A$41,MATCH((4-1)*4+4,'入力シート'!$E$2:$E$41,0)),"")</f>
        <v/>
      </c>
    </row>
    <row r="9" ht="26" customHeight="1">
      <c r="A9" s="14">
        <f>IF(5&lt;=$H$2,"5","")</f>
        <v/>
      </c>
      <c r="B9" s="16">
        <f>IFERROR(INDEX('入力シート'!$A$2:$A$41,MATCH((5-1)*4+1,'入力シート'!$E$2:$E$41,0)),"")</f>
        <v/>
      </c>
      <c r="C9" s="16">
        <f>IFERROR(INDEX('入力シート'!$A$2:$A$41,MATCH((5-1)*4+2,'入力シート'!$E$2:$E$41,0)),"")</f>
        <v/>
      </c>
      <c r="D9" s="16">
        <f>IFERROR(INDEX('入力シート'!$A$2:$A$41,MATCH((5-1)*4+3,'入力シート'!$E$2:$E$41,0)),"")</f>
        <v/>
      </c>
      <c r="E9" s="16">
        <f>IFERROR(INDEX('入力シート'!$A$2:$A$41,MATCH((5-1)*4+4,'入力シート'!$E$2:$E$41,0)),"")</f>
        <v/>
      </c>
    </row>
    <row r="10" ht="26" customHeight="1">
      <c r="A10" s="14">
        <f>IF(6&lt;=$H$2,"6","")</f>
        <v/>
      </c>
      <c r="B10" s="16">
        <f>IFERROR(INDEX('入力シート'!$A$2:$A$41,MATCH((6-1)*4+1,'入力シート'!$E$2:$E$41,0)),"")</f>
        <v/>
      </c>
      <c r="C10" s="16">
        <f>IFERROR(INDEX('入力シート'!$A$2:$A$41,MATCH((6-1)*4+2,'入力シート'!$E$2:$E$41,0)),"")</f>
        <v/>
      </c>
      <c r="D10" s="16">
        <f>IFERROR(INDEX('入力シート'!$A$2:$A$41,MATCH((6-1)*4+3,'入力シート'!$E$2:$E$41,0)),"")</f>
        <v/>
      </c>
      <c r="E10" s="16">
        <f>IFERROR(INDEX('入力シート'!$A$2:$A$41,MATCH((6-1)*4+4,'入力シート'!$E$2:$E$41,0)),"")</f>
        <v/>
      </c>
    </row>
    <row r="11" ht="26" customHeight="1">
      <c r="A11" s="14">
        <f>IF(7&lt;=$H$2,"7","")</f>
        <v/>
      </c>
      <c r="B11" s="16">
        <f>IFERROR(INDEX('入力シート'!$A$2:$A$41,MATCH((7-1)*4+1,'入力シート'!$E$2:$E$41,0)),"")</f>
        <v/>
      </c>
      <c r="C11" s="16">
        <f>IFERROR(INDEX('入力シート'!$A$2:$A$41,MATCH((7-1)*4+2,'入力シート'!$E$2:$E$41,0)),"")</f>
        <v/>
      </c>
      <c r="D11" s="16">
        <f>IFERROR(INDEX('入力シート'!$A$2:$A$41,MATCH((7-1)*4+3,'入力シート'!$E$2:$E$41,0)),"")</f>
        <v/>
      </c>
      <c r="E11" s="16">
        <f>IFERROR(INDEX('入力シート'!$A$2:$A$41,MATCH((7-1)*4+4,'入力シート'!$E$2:$E$41,0)),"")</f>
        <v/>
      </c>
    </row>
    <row r="12" ht="26" customHeight="1">
      <c r="A12" s="14">
        <f>IF(8&lt;=$H$2,"8","")</f>
        <v/>
      </c>
      <c r="B12" s="16">
        <f>IFERROR(INDEX('入力シート'!$A$2:$A$41,MATCH((8-1)*4+1,'入力シート'!$E$2:$E$41,0)),"")</f>
        <v/>
      </c>
      <c r="C12" s="16">
        <f>IFERROR(INDEX('入力シート'!$A$2:$A$41,MATCH((8-1)*4+2,'入力シート'!$E$2:$E$41,0)),"")</f>
        <v/>
      </c>
      <c r="D12" s="16">
        <f>IFERROR(INDEX('入力シート'!$A$2:$A$41,MATCH((8-1)*4+3,'入力シート'!$E$2:$E$41,0)),"")</f>
        <v/>
      </c>
      <c r="E12" s="16">
        <f>IFERROR(INDEX('入力シート'!$A$2:$A$41,MATCH((8-1)*4+4,'入力シート'!$E$2:$E$41,0)),"")</f>
        <v/>
      </c>
    </row>
    <row r="13" ht="26" customHeight="1">
      <c r="A13" s="14">
        <f>IF(9&lt;=$H$2,"9","")</f>
        <v/>
      </c>
      <c r="B13" s="16">
        <f>IFERROR(INDEX('入力シート'!$A$2:$A$41,MATCH((9-1)*4+1,'入力シート'!$E$2:$E$41,0)),"")</f>
        <v/>
      </c>
      <c r="C13" s="16">
        <f>IFERROR(INDEX('入力シート'!$A$2:$A$41,MATCH((9-1)*4+2,'入力シート'!$E$2:$E$41,0)),"")</f>
        <v/>
      </c>
      <c r="D13" s="16">
        <f>IFERROR(INDEX('入力シート'!$A$2:$A$41,MATCH((9-1)*4+3,'入力シート'!$E$2:$E$41,0)),"")</f>
        <v/>
      </c>
      <c r="E13" s="16">
        <f>IFERROR(INDEX('入力シート'!$A$2:$A$41,MATCH((9-1)*4+4,'入力シート'!$E$2:$E$41,0)),"")</f>
        <v/>
      </c>
    </row>
    <row r="14" ht="26" customHeight="1">
      <c r="A14" s="14">
        <f>IF(10&lt;=$H$2,"10","")</f>
        <v/>
      </c>
      <c r="B14" s="16">
        <f>IFERROR(INDEX('入力シート'!$A$2:$A$41,MATCH((10-1)*4+1,'入力シート'!$E$2:$E$41,0)),"")</f>
        <v/>
      </c>
      <c r="C14" s="16">
        <f>IFERROR(INDEX('入力シート'!$A$2:$A$41,MATCH((10-1)*4+2,'入力シート'!$E$2:$E$41,0)),"")</f>
        <v/>
      </c>
      <c r="D14" s="16">
        <f>IFERROR(INDEX('入力シート'!$A$2:$A$41,MATCH((10-1)*4+3,'入力シート'!$E$2:$E$41,0)),"")</f>
        <v/>
      </c>
      <c r="E14" s="16">
        <f>IFERROR(INDEX('入力シート'!$A$2:$A$41,MATCH((10-1)*4+4,'入力シート'!$E$2:$E$41,0)),"")</f>
        <v/>
      </c>
    </row>
    <row r="15">
      <c r="B15" s="13" t="inlineStr">
        <is>
          <t>後ろ</t>
        </is>
      </c>
    </row>
  </sheetData>
  <mergeCells count="3">
    <mergeCell ref="B15:E15"/>
    <mergeCell ref="A1:E1"/>
    <mergeCell ref="B3:E3"/>
  </mergeCells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1" t="inlineStr">
        <is>
          <t>背の順　4列・縦に</t>
        </is>
      </c>
      <c r="G1" s="12" t="inlineStr">
        <is>
          <t>人数</t>
        </is>
      </c>
      <c r="H1" s="12">
        <f>COUNT('入力シート'!$E$2:$E$41)</f>
        <v/>
      </c>
    </row>
    <row r="2">
      <c r="G2" s="12" t="inlineStr">
        <is>
          <t>行数</t>
        </is>
      </c>
      <c r="H2" s="12">
        <f>ROUNDUP(H1/4,0)</f>
        <v/>
      </c>
    </row>
    <row r="3">
      <c r="B3" s="13" t="inlineStr">
        <is>
          <t>前</t>
        </is>
      </c>
    </row>
    <row r="4">
      <c r="B4" s="1" t="inlineStr">
        <is>
          <t>1列目</t>
        </is>
      </c>
      <c r="C4" s="1" t="inlineStr">
        <is>
          <t>2列目</t>
        </is>
      </c>
      <c r="D4" s="1" t="inlineStr">
        <is>
          <t>3列目</t>
        </is>
      </c>
      <c r="E4" s="1" t="inlineStr">
        <is>
          <t>4列目</t>
        </is>
      </c>
    </row>
    <row r="5" ht="26" customHeight="1">
      <c r="A5" s="14">
        <f>IF(1&lt;=$H$2,"1","")</f>
        <v/>
      </c>
      <c r="B5" s="16">
        <f>IF(1&gt;$H$2,"",IFERROR(INDEX('入力シート'!$A$2:$A$41,MATCH((1-1)*$H$2+1,'入力シート'!$E$2:$E$41,0)),""))</f>
        <v/>
      </c>
      <c r="C5" s="16">
        <f>IF(1&gt;$H$2,"",IFERROR(INDEX('入力シート'!$A$2:$A$41,MATCH((2-1)*$H$2+1,'入力シート'!$E$2:$E$41,0)),""))</f>
        <v/>
      </c>
      <c r="D5" s="16">
        <f>IF(1&gt;$H$2,"",IFERROR(INDEX('入力シート'!$A$2:$A$41,MATCH((3-1)*$H$2+1,'入力シート'!$E$2:$E$41,0)),""))</f>
        <v/>
      </c>
      <c r="E5" s="16">
        <f>IF(1&gt;$H$2,"",IFERROR(INDEX('入力シート'!$A$2:$A$41,MATCH((4-1)*$H$2+1,'入力シート'!$E$2:$E$41,0)),""))</f>
        <v/>
      </c>
    </row>
    <row r="6" ht="26" customHeight="1">
      <c r="A6" s="14">
        <f>IF(2&lt;=$H$2,"2","")</f>
        <v/>
      </c>
      <c r="B6" s="16">
        <f>IF(2&gt;$H$2,"",IFERROR(INDEX('入力シート'!$A$2:$A$41,MATCH((1-1)*$H$2+2,'入力シート'!$E$2:$E$41,0)),""))</f>
        <v/>
      </c>
      <c r="C6" s="16">
        <f>IF(2&gt;$H$2,"",IFERROR(INDEX('入力シート'!$A$2:$A$41,MATCH((2-1)*$H$2+2,'入力シート'!$E$2:$E$41,0)),""))</f>
        <v/>
      </c>
      <c r="D6" s="16">
        <f>IF(2&gt;$H$2,"",IFERROR(INDEX('入力シート'!$A$2:$A$41,MATCH((3-1)*$H$2+2,'入力シート'!$E$2:$E$41,0)),""))</f>
        <v/>
      </c>
      <c r="E6" s="16">
        <f>IF(2&gt;$H$2,"",IFERROR(INDEX('入力シート'!$A$2:$A$41,MATCH((4-1)*$H$2+2,'入力シート'!$E$2:$E$41,0)),""))</f>
        <v/>
      </c>
    </row>
    <row r="7" ht="26" customHeight="1">
      <c r="A7" s="14">
        <f>IF(3&lt;=$H$2,"3","")</f>
        <v/>
      </c>
      <c r="B7" s="16">
        <f>IF(3&gt;$H$2,"",IFERROR(INDEX('入力シート'!$A$2:$A$41,MATCH((1-1)*$H$2+3,'入力シート'!$E$2:$E$41,0)),""))</f>
        <v/>
      </c>
      <c r="C7" s="16">
        <f>IF(3&gt;$H$2,"",IFERROR(INDEX('入力シート'!$A$2:$A$41,MATCH((2-1)*$H$2+3,'入力シート'!$E$2:$E$41,0)),""))</f>
        <v/>
      </c>
      <c r="D7" s="16">
        <f>IF(3&gt;$H$2,"",IFERROR(INDEX('入力シート'!$A$2:$A$41,MATCH((3-1)*$H$2+3,'入力シート'!$E$2:$E$41,0)),""))</f>
        <v/>
      </c>
      <c r="E7" s="16">
        <f>IF(3&gt;$H$2,"",IFERROR(INDEX('入力シート'!$A$2:$A$41,MATCH((4-1)*$H$2+3,'入力シート'!$E$2:$E$41,0)),""))</f>
        <v/>
      </c>
    </row>
    <row r="8" ht="26" customHeight="1">
      <c r="A8" s="14">
        <f>IF(4&lt;=$H$2,"4","")</f>
        <v/>
      </c>
      <c r="B8" s="16">
        <f>IF(4&gt;$H$2,"",IFERROR(INDEX('入力シート'!$A$2:$A$41,MATCH((1-1)*$H$2+4,'入力シート'!$E$2:$E$41,0)),""))</f>
        <v/>
      </c>
      <c r="C8" s="16">
        <f>IF(4&gt;$H$2,"",IFERROR(INDEX('入力シート'!$A$2:$A$41,MATCH((2-1)*$H$2+4,'入力シート'!$E$2:$E$41,0)),""))</f>
        <v/>
      </c>
      <c r="D8" s="16">
        <f>IF(4&gt;$H$2,"",IFERROR(INDEX('入力シート'!$A$2:$A$41,MATCH((3-1)*$H$2+4,'入力シート'!$E$2:$E$41,0)),""))</f>
        <v/>
      </c>
      <c r="E8" s="16">
        <f>IF(4&gt;$H$2,"",IFERROR(INDEX('入力シート'!$A$2:$A$41,MATCH((4-1)*$H$2+4,'入力シート'!$E$2:$E$41,0)),""))</f>
        <v/>
      </c>
    </row>
    <row r="9" ht="26" customHeight="1">
      <c r="A9" s="14">
        <f>IF(5&lt;=$H$2,"5","")</f>
        <v/>
      </c>
      <c r="B9" s="16">
        <f>IF(5&gt;$H$2,"",IFERROR(INDEX('入力シート'!$A$2:$A$41,MATCH((1-1)*$H$2+5,'入力シート'!$E$2:$E$41,0)),""))</f>
        <v/>
      </c>
      <c r="C9" s="16">
        <f>IF(5&gt;$H$2,"",IFERROR(INDEX('入力シート'!$A$2:$A$41,MATCH((2-1)*$H$2+5,'入力シート'!$E$2:$E$41,0)),""))</f>
        <v/>
      </c>
      <c r="D9" s="16">
        <f>IF(5&gt;$H$2,"",IFERROR(INDEX('入力シート'!$A$2:$A$41,MATCH((3-1)*$H$2+5,'入力シート'!$E$2:$E$41,0)),""))</f>
        <v/>
      </c>
      <c r="E9" s="16">
        <f>IF(5&gt;$H$2,"",IFERROR(INDEX('入力シート'!$A$2:$A$41,MATCH((4-1)*$H$2+5,'入力シート'!$E$2:$E$41,0)),""))</f>
        <v/>
      </c>
    </row>
    <row r="10" ht="26" customHeight="1">
      <c r="A10" s="14">
        <f>IF(6&lt;=$H$2,"6","")</f>
        <v/>
      </c>
      <c r="B10" s="16">
        <f>IF(6&gt;$H$2,"",IFERROR(INDEX('入力シート'!$A$2:$A$41,MATCH((1-1)*$H$2+6,'入力シート'!$E$2:$E$41,0)),""))</f>
        <v/>
      </c>
      <c r="C10" s="16">
        <f>IF(6&gt;$H$2,"",IFERROR(INDEX('入力シート'!$A$2:$A$41,MATCH((2-1)*$H$2+6,'入力シート'!$E$2:$E$41,0)),""))</f>
        <v/>
      </c>
      <c r="D10" s="16">
        <f>IF(6&gt;$H$2,"",IFERROR(INDEX('入力シート'!$A$2:$A$41,MATCH((3-1)*$H$2+6,'入力シート'!$E$2:$E$41,0)),""))</f>
        <v/>
      </c>
      <c r="E10" s="16">
        <f>IF(6&gt;$H$2,"",IFERROR(INDEX('入力シート'!$A$2:$A$41,MATCH((4-1)*$H$2+6,'入力シート'!$E$2:$E$41,0)),""))</f>
        <v/>
      </c>
    </row>
    <row r="11" ht="26" customHeight="1">
      <c r="A11" s="14">
        <f>IF(7&lt;=$H$2,"7","")</f>
        <v/>
      </c>
      <c r="B11" s="16">
        <f>IF(7&gt;$H$2,"",IFERROR(INDEX('入力シート'!$A$2:$A$41,MATCH((1-1)*$H$2+7,'入力シート'!$E$2:$E$41,0)),""))</f>
        <v/>
      </c>
      <c r="C11" s="16">
        <f>IF(7&gt;$H$2,"",IFERROR(INDEX('入力シート'!$A$2:$A$41,MATCH((2-1)*$H$2+7,'入力シート'!$E$2:$E$41,0)),""))</f>
        <v/>
      </c>
      <c r="D11" s="16">
        <f>IF(7&gt;$H$2,"",IFERROR(INDEX('入力シート'!$A$2:$A$41,MATCH((3-1)*$H$2+7,'入力シート'!$E$2:$E$41,0)),""))</f>
        <v/>
      </c>
      <c r="E11" s="16">
        <f>IF(7&gt;$H$2,"",IFERROR(INDEX('入力シート'!$A$2:$A$41,MATCH((4-1)*$H$2+7,'入力シート'!$E$2:$E$41,0)),""))</f>
        <v/>
      </c>
    </row>
    <row r="12" ht="26" customHeight="1">
      <c r="A12" s="14">
        <f>IF(8&lt;=$H$2,"8","")</f>
        <v/>
      </c>
      <c r="B12" s="16">
        <f>IF(8&gt;$H$2,"",IFERROR(INDEX('入力シート'!$A$2:$A$41,MATCH((1-1)*$H$2+8,'入力シート'!$E$2:$E$41,0)),""))</f>
        <v/>
      </c>
      <c r="C12" s="16">
        <f>IF(8&gt;$H$2,"",IFERROR(INDEX('入力シート'!$A$2:$A$41,MATCH((2-1)*$H$2+8,'入力シート'!$E$2:$E$41,0)),""))</f>
        <v/>
      </c>
      <c r="D12" s="16">
        <f>IF(8&gt;$H$2,"",IFERROR(INDEX('入力シート'!$A$2:$A$41,MATCH((3-1)*$H$2+8,'入力シート'!$E$2:$E$41,0)),""))</f>
        <v/>
      </c>
      <c r="E12" s="16">
        <f>IF(8&gt;$H$2,"",IFERROR(INDEX('入力シート'!$A$2:$A$41,MATCH((4-1)*$H$2+8,'入力シート'!$E$2:$E$41,0)),""))</f>
        <v/>
      </c>
    </row>
    <row r="13" ht="26" customHeight="1">
      <c r="A13" s="14">
        <f>IF(9&lt;=$H$2,"9","")</f>
        <v/>
      </c>
      <c r="B13" s="16">
        <f>IF(9&gt;$H$2,"",IFERROR(INDEX('入力シート'!$A$2:$A$41,MATCH((1-1)*$H$2+9,'入力シート'!$E$2:$E$41,0)),""))</f>
        <v/>
      </c>
      <c r="C13" s="16">
        <f>IF(9&gt;$H$2,"",IFERROR(INDEX('入力シート'!$A$2:$A$41,MATCH((2-1)*$H$2+9,'入力シート'!$E$2:$E$41,0)),""))</f>
        <v/>
      </c>
      <c r="D13" s="16">
        <f>IF(9&gt;$H$2,"",IFERROR(INDEX('入力シート'!$A$2:$A$41,MATCH((3-1)*$H$2+9,'入力シート'!$E$2:$E$41,0)),""))</f>
        <v/>
      </c>
      <c r="E13" s="16">
        <f>IF(9&gt;$H$2,"",IFERROR(INDEX('入力シート'!$A$2:$A$41,MATCH((4-1)*$H$2+9,'入力シート'!$E$2:$E$41,0)),""))</f>
        <v/>
      </c>
    </row>
    <row r="14" ht="26" customHeight="1">
      <c r="A14" s="14">
        <f>IF(10&lt;=$H$2,"10","")</f>
        <v/>
      </c>
      <c r="B14" s="16">
        <f>IF(10&gt;$H$2,"",IFERROR(INDEX('入力シート'!$A$2:$A$41,MATCH((1-1)*$H$2+10,'入力シート'!$E$2:$E$41,0)),""))</f>
        <v/>
      </c>
      <c r="C14" s="16">
        <f>IF(10&gt;$H$2,"",IFERROR(INDEX('入力シート'!$A$2:$A$41,MATCH((2-1)*$H$2+10,'入力シート'!$E$2:$E$41,0)),""))</f>
        <v/>
      </c>
      <c r="D14" s="16">
        <f>IF(10&gt;$H$2,"",IFERROR(INDEX('入力シート'!$A$2:$A$41,MATCH((3-1)*$H$2+10,'入力シート'!$E$2:$E$41,0)),""))</f>
        <v/>
      </c>
      <c r="E14" s="16">
        <f>IF(10&gt;$H$2,"",IFERROR(INDEX('入力シート'!$A$2:$A$41,MATCH((4-1)*$H$2+10,'入力シート'!$E$2:$E$41,0)),""))</f>
        <v/>
      </c>
    </row>
    <row r="15">
      <c r="B15" s="13" t="inlineStr">
        <is>
          <t>後ろ</t>
        </is>
      </c>
    </row>
  </sheetData>
  <mergeCells count="3">
    <mergeCell ref="B15:E15"/>
    <mergeCell ref="A1:E1"/>
    <mergeCell ref="B3:E3"/>
  </mergeCells>
  <printOptions horizontalCentered="1"/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</cols>
  <sheetData>
    <row r="1">
      <c r="A1" s="11" t="inlineStr">
        <is>
          <t>背の順　1列・背の順</t>
        </is>
      </c>
      <c r="D1" s="12" t="inlineStr">
        <is>
          <t>人数</t>
        </is>
      </c>
      <c r="E1" s="12">
        <f>COUNT('入力シート'!$E$2:$E$41)</f>
        <v/>
      </c>
    </row>
    <row r="2">
      <c r="D2" s="12" t="inlineStr">
        <is>
          <t>行数</t>
        </is>
      </c>
      <c r="E2" s="12">
        <f>ROUNDUP(E1/1,0)</f>
        <v/>
      </c>
    </row>
    <row r="3">
      <c r="B3" s="13" t="inlineStr">
        <is>
          <t>前</t>
        </is>
      </c>
    </row>
    <row r="4">
      <c r="B4" s="1" t="inlineStr">
        <is>
          <t>1列目</t>
        </is>
      </c>
    </row>
    <row r="5" ht="26" customHeight="1">
      <c r="A5" s="14">
        <f>IF(1&lt;=$E$2,"1","")</f>
        <v/>
      </c>
      <c r="B5" s="16">
        <f>IFERROR(INDEX('入力シート'!$A$2:$A$41,MATCH((1-1)*1+1,'入力シート'!$E$2:$E$41,0)),"")</f>
        <v/>
      </c>
    </row>
    <row r="6" ht="26" customHeight="1">
      <c r="A6" s="14">
        <f>IF(2&lt;=$E$2,"2","")</f>
        <v/>
      </c>
      <c r="B6" s="16">
        <f>IFERROR(INDEX('入力シート'!$A$2:$A$41,MATCH((2-1)*1+1,'入力シート'!$E$2:$E$41,0)),"")</f>
        <v/>
      </c>
    </row>
    <row r="7" ht="26" customHeight="1">
      <c r="A7" s="14">
        <f>IF(3&lt;=$E$2,"3","")</f>
        <v/>
      </c>
      <c r="B7" s="16">
        <f>IFERROR(INDEX('入力シート'!$A$2:$A$41,MATCH((3-1)*1+1,'入力シート'!$E$2:$E$41,0)),"")</f>
        <v/>
      </c>
    </row>
    <row r="8" ht="26" customHeight="1">
      <c r="A8" s="14">
        <f>IF(4&lt;=$E$2,"4","")</f>
        <v/>
      </c>
      <c r="B8" s="16">
        <f>IFERROR(INDEX('入力シート'!$A$2:$A$41,MATCH((4-1)*1+1,'入力シート'!$E$2:$E$41,0)),"")</f>
        <v/>
      </c>
    </row>
    <row r="9" ht="26" customHeight="1">
      <c r="A9" s="14">
        <f>IF(5&lt;=$E$2,"5","")</f>
        <v/>
      </c>
      <c r="B9" s="16">
        <f>IFERROR(INDEX('入力シート'!$A$2:$A$41,MATCH((5-1)*1+1,'入力シート'!$E$2:$E$41,0)),"")</f>
        <v/>
      </c>
    </row>
    <row r="10" ht="26" customHeight="1">
      <c r="A10" s="14">
        <f>IF(6&lt;=$E$2,"6","")</f>
        <v/>
      </c>
      <c r="B10" s="16">
        <f>IFERROR(INDEX('入力シート'!$A$2:$A$41,MATCH((6-1)*1+1,'入力シート'!$E$2:$E$41,0)),"")</f>
        <v/>
      </c>
    </row>
    <row r="11" ht="26" customHeight="1">
      <c r="A11" s="14">
        <f>IF(7&lt;=$E$2,"7","")</f>
        <v/>
      </c>
      <c r="B11" s="16">
        <f>IFERROR(INDEX('入力シート'!$A$2:$A$41,MATCH((7-1)*1+1,'入力シート'!$E$2:$E$41,0)),"")</f>
        <v/>
      </c>
    </row>
    <row r="12" ht="26" customHeight="1">
      <c r="A12" s="14">
        <f>IF(8&lt;=$E$2,"8","")</f>
        <v/>
      </c>
      <c r="B12" s="16">
        <f>IFERROR(INDEX('入力シート'!$A$2:$A$41,MATCH((8-1)*1+1,'入力シート'!$E$2:$E$41,0)),"")</f>
        <v/>
      </c>
    </row>
    <row r="13" ht="26" customHeight="1">
      <c r="A13" s="14">
        <f>IF(9&lt;=$E$2,"9","")</f>
        <v/>
      </c>
      <c r="B13" s="16">
        <f>IFERROR(INDEX('入力シート'!$A$2:$A$41,MATCH((9-1)*1+1,'入力シート'!$E$2:$E$41,0)),"")</f>
        <v/>
      </c>
    </row>
    <row r="14" ht="26" customHeight="1">
      <c r="A14" s="14">
        <f>IF(10&lt;=$E$2,"10","")</f>
        <v/>
      </c>
      <c r="B14" s="16">
        <f>IFERROR(INDEX('入力シート'!$A$2:$A$41,MATCH((10-1)*1+1,'入力シート'!$E$2:$E$41,0)),"")</f>
        <v/>
      </c>
    </row>
    <row r="15" ht="26" customHeight="1">
      <c r="A15" s="14">
        <f>IF(11&lt;=$E$2,"11","")</f>
        <v/>
      </c>
      <c r="B15" s="16">
        <f>IFERROR(INDEX('入力シート'!$A$2:$A$41,MATCH((11-1)*1+1,'入力シート'!$E$2:$E$41,0)),"")</f>
        <v/>
      </c>
    </row>
    <row r="16" ht="26" customHeight="1">
      <c r="A16" s="14">
        <f>IF(12&lt;=$E$2,"12","")</f>
        <v/>
      </c>
      <c r="B16" s="16">
        <f>IFERROR(INDEX('入力シート'!$A$2:$A$41,MATCH((12-1)*1+1,'入力シート'!$E$2:$E$41,0)),"")</f>
        <v/>
      </c>
    </row>
    <row r="17" ht="26" customHeight="1">
      <c r="A17" s="14">
        <f>IF(13&lt;=$E$2,"13","")</f>
        <v/>
      </c>
      <c r="B17" s="16">
        <f>IFERROR(INDEX('入力シート'!$A$2:$A$41,MATCH((13-1)*1+1,'入力シート'!$E$2:$E$41,0)),"")</f>
        <v/>
      </c>
    </row>
    <row r="18" ht="26" customHeight="1">
      <c r="A18" s="14">
        <f>IF(14&lt;=$E$2,"14","")</f>
        <v/>
      </c>
      <c r="B18" s="16">
        <f>IFERROR(INDEX('入力シート'!$A$2:$A$41,MATCH((14-1)*1+1,'入力シート'!$E$2:$E$41,0)),"")</f>
        <v/>
      </c>
    </row>
    <row r="19" ht="26" customHeight="1">
      <c r="A19" s="14">
        <f>IF(15&lt;=$E$2,"15","")</f>
        <v/>
      </c>
      <c r="B19" s="16">
        <f>IFERROR(INDEX('入力シート'!$A$2:$A$41,MATCH((15-1)*1+1,'入力シート'!$E$2:$E$41,0)),"")</f>
        <v/>
      </c>
    </row>
    <row r="20" ht="26" customHeight="1">
      <c r="A20" s="14">
        <f>IF(16&lt;=$E$2,"16","")</f>
        <v/>
      </c>
      <c r="B20" s="16">
        <f>IFERROR(INDEX('入力シート'!$A$2:$A$41,MATCH((16-1)*1+1,'入力シート'!$E$2:$E$41,0)),"")</f>
        <v/>
      </c>
    </row>
    <row r="21" ht="26" customHeight="1">
      <c r="A21" s="14">
        <f>IF(17&lt;=$E$2,"17","")</f>
        <v/>
      </c>
      <c r="B21" s="16">
        <f>IFERROR(INDEX('入力シート'!$A$2:$A$41,MATCH((17-1)*1+1,'入力シート'!$E$2:$E$41,0)),"")</f>
        <v/>
      </c>
    </row>
    <row r="22" ht="26" customHeight="1">
      <c r="A22" s="14">
        <f>IF(18&lt;=$E$2,"18","")</f>
        <v/>
      </c>
      <c r="B22" s="16">
        <f>IFERROR(INDEX('入力シート'!$A$2:$A$41,MATCH((18-1)*1+1,'入力シート'!$E$2:$E$41,0)),"")</f>
        <v/>
      </c>
    </row>
    <row r="23" ht="26" customHeight="1">
      <c r="A23" s="14">
        <f>IF(19&lt;=$E$2,"19","")</f>
        <v/>
      </c>
      <c r="B23" s="16">
        <f>IFERROR(INDEX('入力シート'!$A$2:$A$41,MATCH((19-1)*1+1,'入力シート'!$E$2:$E$41,0)),"")</f>
        <v/>
      </c>
    </row>
    <row r="24" ht="26" customHeight="1">
      <c r="A24" s="14">
        <f>IF(20&lt;=$E$2,"20","")</f>
        <v/>
      </c>
      <c r="B24" s="16">
        <f>IFERROR(INDEX('入力シート'!$A$2:$A$41,MATCH((20-1)*1+1,'入力シート'!$E$2:$E$41,0)),"")</f>
        <v/>
      </c>
    </row>
    <row r="25" ht="26" customHeight="1">
      <c r="A25" s="14">
        <f>IF(21&lt;=$E$2,"21","")</f>
        <v/>
      </c>
      <c r="B25" s="16">
        <f>IFERROR(INDEX('入力シート'!$A$2:$A$41,MATCH((21-1)*1+1,'入力シート'!$E$2:$E$41,0)),"")</f>
        <v/>
      </c>
    </row>
    <row r="26" ht="26" customHeight="1">
      <c r="A26" s="14">
        <f>IF(22&lt;=$E$2,"22","")</f>
        <v/>
      </c>
      <c r="B26" s="16">
        <f>IFERROR(INDEX('入力シート'!$A$2:$A$41,MATCH((22-1)*1+1,'入力シート'!$E$2:$E$41,0)),"")</f>
        <v/>
      </c>
    </row>
    <row r="27" ht="26" customHeight="1">
      <c r="A27" s="14">
        <f>IF(23&lt;=$E$2,"23","")</f>
        <v/>
      </c>
      <c r="B27" s="16">
        <f>IFERROR(INDEX('入力シート'!$A$2:$A$41,MATCH((23-1)*1+1,'入力シート'!$E$2:$E$41,0)),"")</f>
        <v/>
      </c>
    </row>
    <row r="28" ht="26" customHeight="1">
      <c r="A28" s="14">
        <f>IF(24&lt;=$E$2,"24","")</f>
        <v/>
      </c>
      <c r="B28" s="16">
        <f>IFERROR(INDEX('入力シート'!$A$2:$A$41,MATCH((24-1)*1+1,'入力シート'!$E$2:$E$41,0)),"")</f>
        <v/>
      </c>
    </row>
    <row r="29" ht="26" customHeight="1">
      <c r="A29" s="14">
        <f>IF(25&lt;=$E$2,"25","")</f>
        <v/>
      </c>
      <c r="B29" s="16">
        <f>IFERROR(INDEX('入力シート'!$A$2:$A$41,MATCH((25-1)*1+1,'入力シート'!$E$2:$E$41,0)),"")</f>
        <v/>
      </c>
    </row>
    <row r="30" ht="26" customHeight="1">
      <c r="A30" s="14">
        <f>IF(26&lt;=$E$2,"26","")</f>
        <v/>
      </c>
      <c r="B30" s="16">
        <f>IFERROR(INDEX('入力シート'!$A$2:$A$41,MATCH((26-1)*1+1,'入力シート'!$E$2:$E$41,0)),"")</f>
        <v/>
      </c>
    </row>
    <row r="31" ht="26" customHeight="1">
      <c r="A31" s="14">
        <f>IF(27&lt;=$E$2,"27","")</f>
        <v/>
      </c>
      <c r="B31" s="16">
        <f>IFERROR(INDEX('入力シート'!$A$2:$A$41,MATCH((27-1)*1+1,'入力シート'!$E$2:$E$41,0)),"")</f>
        <v/>
      </c>
    </row>
    <row r="32" ht="26" customHeight="1">
      <c r="A32" s="14">
        <f>IF(28&lt;=$E$2,"28","")</f>
        <v/>
      </c>
      <c r="B32" s="16">
        <f>IFERROR(INDEX('入力シート'!$A$2:$A$41,MATCH((28-1)*1+1,'入力シート'!$E$2:$E$41,0)),"")</f>
        <v/>
      </c>
    </row>
    <row r="33" ht="26" customHeight="1">
      <c r="A33" s="14">
        <f>IF(29&lt;=$E$2,"29","")</f>
        <v/>
      </c>
      <c r="B33" s="16">
        <f>IFERROR(INDEX('入力シート'!$A$2:$A$41,MATCH((29-1)*1+1,'入力シート'!$E$2:$E$41,0)),"")</f>
        <v/>
      </c>
    </row>
    <row r="34" ht="26" customHeight="1">
      <c r="A34" s="14">
        <f>IF(30&lt;=$E$2,"30","")</f>
        <v/>
      </c>
      <c r="B34" s="16">
        <f>IFERROR(INDEX('入力シート'!$A$2:$A$41,MATCH((30-1)*1+1,'入力シート'!$E$2:$E$41,0)),"")</f>
        <v/>
      </c>
    </row>
    <row r="35" ht="26" customHeight="1">
      <c r="A35" s="14">
        <f>IF(31&lt;=$E$2,"31","")</f>
        <v/>
      </c>
      <c r="B35" s="16">
        <f>IFERROR(INDEX('入力シート'!$A$2:$A$41,MATCH((31-1)*1+1,'入力シート'!$E$2:$E$41,0)),"")</f>
        <v/>
      </c>
    </row>
    <row r="36" ht="26" customHeight="1">
      <c r="A36" s="14">
        <f>IF(32&lt;=$E$2,"32","")</f>
        <v/>
      </c>
      <c r="B36" s="16">
        <f>IFERROR(INDEX('入力シート'!$A$2:$A$41,MATCH((32-1)*1+1,'入力シート'!$E$2:$E$41,0)),"")</f>
        <v/>
      </c>
    </row>
    <row r="37" ht="26" customHeight="1">
      <c r="A37" s="14">
        <f>IF(33&lt;=$E$2,"33","")</f>
        <v/>
      </c>
      <c r="B37" s="16">
        <f>IFERROR(INDEX('入力シート'!$A$2:$A$41,MATCH((33-1)*1+1,'入力シート'!$E$2:$E$41,0)),"")</f>
        <v/>
      </c>
    </row>
    <row r="38" ht="26" customHeight="1">
      <c r="A38" s="14">
        <f>IF(34&lt;=$E$2,"34","")</f>
        <v/>
      </c>
      <c r="B38" s="16">
        <f>IFERROR(INDEX('入力シート'!$A$2:$A$41,MATCH((34-1)*1+1,'入力シート'!$E$2:$E$41,0)),"")</f>
        <v/>
      </c>
    </row>
    <row r="39" ht="26" customHeight="1">
      <c r="A39" s="14">
        <f>IF(35&lt;=$E$2,"35","")</f>
        <v/>
      </c>
      <c r="B39" s="16">
        <f>IFERROR(INDEX('入力シート'!$A$2:$A$41,MATCH((35-1)*1+1,'入力シート'!$E$2:$E$41,0)),"")</f>
        <v/>
      </c>
    </row>
    <row r="40" ht="26" customHeight="1">
      <c r="A40" s="14">
        <f>IF(36&lt;=$E$2,"36","")</f>
        <v/>
      </c>
      <c r="B40" s="16">
        <f>IFERROR(INDEX('入力シート'!$A$2:$A$41,MATCH((36-1)*1+1,'入力シート'!$E$2:$E$41,0)),"")</f>
        <v/>
      </c>
    </row>
    <row r="41" ht="26" customHeight="1">
      <c r="A41" s="14">
        <f>IF(37&lt;=$E$2,"37","")</f>
        <v/>
      </c>
      <c r="B41" s="16">
        <f>IFERROR(INDEX('入力シート'!$A$2:$A$41,MATCH((37-1)*1+1,'入力シート'!$E$2:$E$41,0)),"")</f>
        <v/>
      </c>
    </row>
    <row r="42" ht="26" customHeight="1">
      <c r="A42" s="14">
        <f>IF(38&lt;=$E$2,"38","")</f>
        <v/>
      </c>
      <c r="B42" s="16">
        <f>IFERROR(INDEX('入力シート'!$A$2:$A$41,MATCH((38-1)*1+1,'入力シート'!$E$2:$E$41,0)),"")</f>
        <v/>
      </c>
    </row>
    <row r="43" ht="26" customHeight="1">
      <c r="A43" s="14">
        <f>IF(39&lt;=$E$2,"39","")</f>
        <v/>
      </c>
      <c r="B43" s="16">
        <f>IFERROR(INDEX('入力シート'!$A$2:$A$41,MATCH((39-1)*1+1,'入力シート'!$E$2:$E$41,0)),"")</f>
        <v/>
      </c>
    </row>
    <row r="44" ht="26" customHeight="1">
      <c r="A44" s="14">
        <f>IF(40&lt;=$E$2,"40","")</f>
        <v/>
      </c>
      <c r="B44" s="16">
        <f>IFERROR(INDEX('入力シート'!$A$2:$A$41,MATCH((40-1)*1+1,'入力シート'!$E$2:$E$41,0)),"")</f>
        <v/>
      </c>
    </row>
    <row r="45">
      <c r="B45" s="13" t="inlineStr">
        <is>
          <t>後ろ</t>
        </is>
      </c>
    </row>
  </sheetData>
  <mergeCells count="3">
    <mergeCell ref="B3"/>
    <mergeCell ref="B45"/>
    <mergeCell ref="A1:B1"/>
  </mergeCells>
  <printOptions horizontalCentered="1"/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2026-09-29T21:56:17Z</dcterms:created>
  <dcterms:modified xsi:type="dcterms:W3CDTF">2026-09-29T21:56:17Z</dcterms:modified>
</cp:coreProperties>
</file>