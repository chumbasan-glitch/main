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3280" windowHeight="14880" tabRatio="500" firstSheet="0" activeTab="0" autoFilterDateGrouping="1"/>
  </bookViews>
  <sheets>
    <sheet name="①データ入力" sheetId="1" state="visible" r:id="rId1"/>
    <sheet name="組ごとタイム順" sheetId="2" state="visible" r:id="rId2"/>
    <sheet name="4人組" sheetId="3" state="visible" r:id="rId3"/>
    <sheet name="手直し" sheetId="4" state="visible" r:id="rId4"/>
    <sheet name="決定版" sheetId="5" state="visible" r:id="rId5"/>
    <sheet name="計算用" sheetId="6" state="visible" r:id="rId6"/>
  </sheets>
  <definedNames>
    <definedName name="_xlnm.Print_Area" localSheetId="1">OFFSET(組ごとタイム順!$A$1,0,0,3+MAX(計算用!$Q$2:$Q$5),17)</definedName>
    <definedName name="_xlnm.Print_Area" localSheetId="2">OFFSET('4人組'!$A$1,0,0,3+MAX(計算用!$Q$9,計算用!$Q$11),31)</definedName>
    <definedName name="_xlnm.Print_Area" localSheetId="3">手直し!$A$1:$Q$55</definedName>
    <definedName name="_xlnm.Print_Area" localSheetId="4">OFFSET(決定版!$A$1,0,0,3+MAX(計算用!$Q$13,計算用!$Q$14),31)</definedName>
    <definedName name="_xlnm.Print_Titles" localSheetId="1">'組ごとタイム順'!$1:$3</definedName>
    <definedName name="_xlnm.Print_Titles" localSheetId="2">'4人組'!$1:$3</definedName>
    <definedName name="_xlnm.Print_Titles" localSheetId="4">'決定版'!$1:$3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;-0;;@"/>
  </numFmts>
  <fonts count="12">
    <font>
      <name val="ＭＳ Ｐゴシック"/>
      <charset val="128"/>
      <family val="2"/>
      <color theme="1"/>
      <sz val="11"/>
    </font>
    <font>
      <name val="ＭＳ Ｐゴシック"/>
      <charset val="128"/>
      <family val="3"/>
      <color theme="1"/>
      <sz val="12"/>
    </font>
    <font>
      <name val="ＭＳ Ｐゴシック"/>
      <charset val="128"/>
      <family val="2"/>
      <sz val="6"/>
    </font>
    <font>
      <name val="UD Digi Kyokasho NP-B"/>
      <charset val="128"/>
      <family val="1"/>
      <color theme="1"/>
      <sz val="11"/>
    </font>
    <font>
      <name val="UD Digi Kyokasho NP-B"/>
      <charset val="128"/>
      <family val="1"/>
      <b val="1"/>
      <sz val="11"/>
    </font>
    <font>
      <name val="UD Digi Kyokasho NP-B"/>
      <charset val="128"/>
      <family val="1"/>
      <b val="1"/>
      <color rgb="FFFF0000"/>
      <sz val="11"/>
    </font>
    <font>
      <name val="ＭＳ Ｐゴシック"/>
      <charset val="128"/>
      <family val="3"/>
      <sz val="11"/>
    </font>
    <font>
      <name val="ＭＳ Ｐゴシック"/>
      <charset val="128"/>
      <family val="3"/>
      <b val="1"/>
      <color rgb="FFFF0000"/>
      <sz val="11"/>
    </font>
    <font>
      <name val="ＭＳ Ｐゴシック"/>
      <charset val="128"/>
      <family val="3"/>
      <b val="1"/>
      <sz val="11"/>
    </font>
    <font>
      <b val="1"/>
    </font>
    <font>
      <b val="1"/>
      <color rgb="FFFF00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FFEDEDED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0" fillId="0" borderId="3" applyAlignment="1">
      <alignment vertical="center"/>
    </xf>
    <xf numFmtId="0" fontId="1" fillId="0" borderId="3" applyAlignment="1">
      <alignment vertical="center"/>
    </xf>
  </cellStyleXfs>
  <cellXfs count="33">
    <xf numFmtId="0" fontId="0" fillId="0" borderId="0" applyAlignment="1" pivotButton="0" quotePrefix="0" xfId="0">
      <alignment vertical="center"/>
    </xf>
    <xf numFmtId="0" fontId="3" fillId="0" borderId="0" pivotButton="0" quotePrefix="0" xfId="0"/>
    <xf numFmtId="0" fontId="3" fillId="0" borderId="1" applyAlignment="1" pivotButton="0" quotePrefix="0" xfId="0">
      <alignment horizontal="center"/>
    </xf>
    <xf numFmtId="0" fontId="3" fillId="0" borderId="0" applyAlignment="1" pivotButton="0" quotePrefix="0" xfId="0">
      <alignment vertical="center"/>
    </xf>
    <xf numFmtId="0" fontId="3" fillId="0" borderId="1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wrapText="1"/>
    </xf>
    <xf numFmtId="2" fontId="3" fillId="0" borderId="1" pivotButton="0" quotePrefix="0" xfId="0"/>
    <xf numFmtId="0" fontId="0" fillId="0" borderId="1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0" pivotButton="0" quotePrefix="0" xfId="0"/>
    <xf numFmtId="0" fontId="7" fillId="0" borderId="0" pivotButton="0" quotePrefix="0" xfId="0"/>
    <xf numFmtId="0" fontId="6" fillId="0" borderId="3" applyAlignment="1" pivotButton="0" quotePrefix="0" xfId="0">
      <alignment vertical="center"/>
    </xf>
    <xf numFmtId="2" fontId="6" fillId="0" borderId="3" applyAlignment="1" pivotButton="0" quotePrefix="0" xfId="0">
      <alignment vertical="center"/>
    </xf>
    <xf numFmtId="0" fontId="6" fillId="0" borderId="3" pivotButton="0" quotePrefix="0" xfId="0"/>
    <xf numFmtId="2" fontId="6" fillId="0" borderId="3" pivotButton="0" quotePrefix="0" xfId="0"/>
    <xf numFmtId="0" fontId="8" fillId="0" borderId="0" pivotButton="0" quotePrefix="0" xfId="0"/>
    <xf numFmtId="0" fontId="8" fillId="0" borderId="4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8" fillId="0" borderId="4" applyAlignment="1" pivotButton="0" quotePrefix="0" xfId="0">
      <alignment horizontal="center" vertical="center"/>
    </xf>
    <xf numFmtId="0" fontId="9" fillId="0" borderId="0" pivotButton="0" quotePrefix="0" xfId="0"/>
    <xf numFmtId="0" fontId="10" fillId="0" borderId="0" pivotButton="0" quotePrefix="0" xfId="0"/>
    <xf numFmtId="0" fontId="9" fillId="0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9" fillId="2" borderId="9" applyAlignment="1" pivotButton="0" quotePrefix="0" xfId="0">
      <alignment horizontal="center" vertical="center"/>
    </xf>
    <xf numFmtId="0" fontId="0" fillId="0" borderId="9" pivotButton="0" quotePrefix="0" xfId="0"/>
    <xf numFmtId="164" fontId="0" fillId="0" borderId="0" applyAlignment="1" pivotButton="0" quotePrefix="0" xfId="0">
      <alignment horizontal="center" vertical="center"/>
    </xf>
    <xf numFmtId="0" fontId="0" fillId="2" borderId="0" pivotButton="0" quotePrefix="0" xfId="0"/>
  </cellXfs>
  <cellStyles count="2">
    <cellStyle name="標準" xfId="0" builtinId="0"/>
    <cellStyle name="標準 4" xfId="1"/>
  </cellStyles>
  <dxfs count="15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F2CC"/>
        </patternFill>
      </fill>
      <border>
        <left style="thin"/>
        <right style="thin"/>
        <top style="thin"/>
        <bottom style="thin"/>
      </border>
    </dxf>
    <dxf>
      <fill>
        <patternFill patternType="solid">
          <bgColor rgb="FFF8CBAD"/>
        </patternFill>
      </fill>
    </dxf>
    <dxf>
      <border>
        <left style="thin"/>
        <right style="thin"/>
        <top style="thin"/>
        <bottom style="thin"/>
      </border>
    </dxf>
    <dxf>
      <font>
        <b val="1"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F9999"/>
        </patternFill>
      </fill>
      <border>
        <left style="thin"/>
        <right style="thin"/>
        <top style="thin"/>
        <bottom style="thin"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4B6B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9"/>
  <sheetViews>
    <sheetView tabSelected="1" view="pageBreakPreview" zoomScaleNormal="100" workbookViewId="0">
      <pane xSplit="1" ySplit="2" topLeftCell="I3" activePane="bottomRight" state="frozen"/>
      <selection activeCell="B20" sqref="B20"/>
      <selection pane="topRight" activeCell="B20" sqref="B20"/>
      <selection pane="bottomLeft" activeCell="B20" sqref="B20"/>
      <selection pane="bottomRight" activeCell="S6" sqref="S6"/>
    </sheetView>
  </sheetViews>
  <sheetFormatPr baseColWidth="8" defaultColWidth="8.5" defaultRowHeight="15"/>
  <cols>
    <col width="5" customWidth="1" style="1" min="1" max="1"/>
    <col width="14" customWidth="1" style="1" min="2" max="2"/>
    <col width="10" customWidth="1" style="1" min="3" max="4"/>
    <col width="4.625" customWidth="1" style="1" min="5" max="5"/>
    <col width="3" customWidth="1" style="1" min="6" max="6"/>
    <col width="14" customWidth="1" style="1" min="7" max="7"/>
    <col width="10" customWidth="1" style="1" min="8" max="9"/>
    <col width="4.625" customWidth="1" style="1" min="10" max="10"/>
    <col width="3" customWidth="1" style="1" min="11" max="11"/>
    <col width="14" customWidth="1" style="1" min="12" max="12"/>
    <col width="10" customWidth="1" style="1" min="13" max="14"/>
    <col width="4.625" customWidth="1" style="1" min="15" max="15"/>
    <col width="3" customWidth="1" style="1" min="16" max="16"/>
    <col width="14" customWidth="1" style="1" min="17" max="17"/>
    <col width="10" customWidth="1" style="1" min="18" max="19"/>
    <col width="4.625" customWidth="1" style="1" min="20" max="20"/>
    <col width="2.375" customWidth="1" style="3" min="21" max="21"/>
    <col width="14" customWidth="1" style="3" min="22" max="22"/>
    <col width="8.5" customWidth="1" style="3" min="23" max="23"/>
    <col width="9.875" customWidth="1" style="3" min="24" max="24"/>
    <col width="4.625" customWidth="1" style="3" min="25" max="25"/>
    <col width="8.5" customWidth="1" style="3" min="26" max="26"/>
    <col width="8.5" customWidth="1" style="3" min="27" max="16384"/>
  </cols>
  <sheetData>
    <row r="1">
      <c r="A1" s="6" t="n"/>
      <c r="I1" s="1" t="inlineStr">
        <is>
          <t>名簿から名前をコピペして使ってください。３年生以上は性別欄を記入しないと動きません。タイムまで入力したら②のシートへ</t>
        </is>
      </c>
    </row>
    <row r="2" ht="46.5" customHeight="1" s="11">
      <c r="A2" s="5" t="inlineStr">
        <is>
          <t>No.</t>
        </is>
      </c>
      <c r="B2" s="7" t="inlineStr">
        <is>
          <t>1組 名前</t>
        </is>
      </c>
      <c r="C2" s="7" t="inlineStr">
        <is>
          <t>性別
(1=男子
2=女子)</t>
        </is>
      </c>
      <c r="D2" s="7" t="inlineStr">
        <is>
          <t>タイム
(1/100秒)</t>
        </is>
      </c>
      <c r="E2" s="7" t="inlineStr">
        <is>
          <t>赤or白</t>
        </is>
      </c>
      <c r="G2" s="7" t="inlineStr">
        <is>
          <t>2組 名前</t>
        </is>
      </c>
      <c r="H2" s="7" t="inlineStr">
        <is>
          <t>性別
(1=男子
2=女子)</t>
        </is>
      </c>
      <c r="I2" s="7" t="inlineStr">
        <is>
          <t>タイム
(1/100秒)</t>
        </is>
      </c>
      <c r="J2" s="7" t="inlineStr">
        <is>
          <t>赤or白</t>
        </is>
      </c>
      <c r="L2" s="7" t="inlineStr">
        <is>
          <t>3組 名前</t>
        </is>
      </c>
      <c r="M2" s="7" t="inlineStr">
        <is>
          <t>性別
(1=男子
2=女子)</t>
        </is>
      </c>
      <c r="N2" s="7" t="inlineStr">
        <is>
          <t>タイム
(1/100秒)</t>
        </is>
      </c>
      <c r="O2" s="7" t="inlineStr">
        <is>
          <t>赤or白</t>
        </is>
      </c>
      <c r="Q2" s="7" t="inlineStr">
        <is>
          <t>4組 名前</t>
        </is>
      </c>
      <c r="R2" s="7" t="inlineStr">
        <is>
          <t>性別
(1=男子
2=女子)</t>
        </is>
      </c>
      <c r="S2" s="7" t="inlineStr">
        <is>
          <t>タイム
(1/100秒)</t>
        </is>
      </c>
      <c r="T2" s="7" t="inlineStr">
        <is>
          <t>赤or白</t>
        </is>
      </c>
      <c r="V2" s="7" t="inlineStr">
        <is>
          <t>5組 名前</t>
        </is>
      </c>
      <c r="W2" s="7" t="inlineStr">
        <is>
          <t>性別
(1=男子
2=女子)</t>
        </is>
      </c>
      <c r="X2" s="7" t="inlineStr">
        <is>
          <t>タイム
(1/100秒)</t>
        </is>
      </c>
      <c r="Y2" s="7" t="inlineStr">
        <is>
          <t>赤or白</t>
        </is>
      </c>
    </row>
    <row r="3" ht="15" customHeight="1" s="11">
      <c r="A3" s="2" t="n">
        <v>1</v>
      </c>
      <c r="B3" s="4" t="inlineStr">
        <is>
          <t>近藤 りく</t>
        </is>
      </c>
      <c r="C3" s="2" t="n">
        <v>1</v>
      </c>
      <c r="D3" s="8" t="n">
        <v>8.890000000000001</v>
      </c>
      <c r="E3" s="8" t="inlineStr">
        <is>
          <t>赤</t>
        </is>
      </c>
      <c r="G3" s="4" t="inlineStr">
        <is>
          <t>木村 ひまり</t>
        </is>
      </c>
      <c r="H3" s="2" t="n">
        <v>2</v>
      </c>
      <c r="I3" s="8" t="n">
        <v>9.58</v>
      </c>
      <c r="J3" s="8" t="inlineStr">
        <is>
          <t>赤</t>
        </is>
      </c>
      <c r="L3" s="4" t="inlineStr">
        <is>
          <t>鈴木 たいが</t>
        </is>
      </c>
      <c r="M3" s="2" t="n">
        <v>1</v>
      </c>
      <c r="N3" s="8" t="n">
        <v>10.43</v>
      </c>
      <c r="O3" s="8" t="inlineStr">
        <is>
          <t>赤</t>
        </is>
      </c>
      <c r="Q3" s="4" t="inlineStr">
        <is>
          <t>山口 しょう</t>
        </is>
      </c>
      <c r="R3" s="2" t="n">
        <v>1</v>
      </c>
      <c r="S3" s="8" t="n">
        <v>9.57</v>
      </c>
      <c r="T3" s="8" t="inlineStr">
        <is>
          <t>赤</t>
        </is>
      </c>
      <c r="V3" s="4" t="n"/>
      <c r="W3" s="2" t="n"/>
      <c r="X3" s="8" t="n"/>
      <c r="Y3" s="8" t="n"/>
    </row>
    <row r="4" ht="15" customHeight="1" s="11">
      <c r="A4" s="2" t="n">
        <v>2</v>
      </c>
      <c r="B4" s="4" t="inlineStr">
        <is>
          <t>小林 ゆな</t>
        </is>
      </c>
      <c r="C4" s="2" t="n">
        <v>2</v>
      </c>
      <c r="D4" s="8" t="n">
        <v>9.630000000000001</v>
      </c>
      <c r="E4" s="8" t="inlineStr">
        <is>
          <t>白</t>
        </is>
      </c>
      <c r="G4" s="4" t="inlineStr">
        <is>
          <t>高橋 ひまり</t>
        </is>
      </c>
      <c r="H4" s="2" t="n">
        <v>2</v>
      </c>
      <c r="I4" s="8" t="n">
        <v>8.970000000000001</v>
      </c>
      <c r="J4" s="8" t="inlineStr">
        <is>
          <t>赤</t>
        </is>
      </c>
      <c r="L4" s="4" t="inlineStr">
        <is>
          <t>伊藤 たいが</t>
        </is>
      </c>
      <c r="M4" s="2" t="n">
        <v>1</v>
      </c>
      <c r="N4" s="8" t="n">
        <v>8.050000000000001</v>
      </c>
      <c r="O4" s="8" t="inlineStr">
        <is>
          <t>白</t>
        </is>
      </c>
      <c r="Q4" s="4" t="inlineStr">
        <is>
          <t>池田 ゆい</t>
        </is>
      </c>
      <c r="R4" s="2" t="n">
        <v>2</v>
      </c>
      <c r="S4" s="8" t="n">
        <v>10.31</v>
      </c>
      <c r="T4" s="8" t="inlineStr">
        <is>
          <t>白</t>
        </is>
      </c>
      <c r="V4" s="4" t="n"/>
      <c r="W4" s="2" t="n"/>
      <c r="X4" s="8" t="n"/>
      <c r="Y4" s="8" t="n"/>
    </row>
    <row r="5" ht="15" customHeight="1" s="11">
      <c r="A5" s="2" t="n">
        <v>3</v>
      </c>
      <c r="B5" s="4" t="inlineStr">
        <is>
          <t>木村 ひなた</t>
        </is>
      </c>
      <c r="C5" s="2" t="n">
        <v>1</v>
      </c>
      <c r="D5" s="8" t="n">
        <v>9.34</v>
      </c>
      <c r="E5" s="8" t="inlineStr">
        <is>
          <t>赤</t>
        </is>
      </c>
      <c r="G5" s="4" t="inlineStr">
        <is>
          <t>鈴木 はると</t>
        </is>
      </c>
      <c r="H5" s="2" t="n">
        <v>1</v>
      </c>
      <c r="I5" s="8" t="n">
        <v>9.34</v>
      </c>
      <c r="J5" s="8" t="inlineStr">
        <is>
          <t>赤</t>
        </is>
      </c>
      <c r="L5" s="4" t="inlineStr">
        <is>
          <t>木村 さく</t>
        </is>
      </c>
      <c r="M5" s="2" t="n">
        <v>1</v>
      </c>
      <c r="N5" s="8" t="n">
        <v>8.470000000000001</v>
      </c>
      <c r="O5" s="8" t="inlineStr">
        <is>
          <t>白</t>
        </is>
      </c>
      <c r="Q5" s="4" t="inlineStr">
        <is>
          <t>清水 そら</t>
        </is>
      </c>
      <c r="R5" s="2" t="n">
        <v>1</v>
      </c>
      <c r="S5" s="8" t="n">
        <v>9.109999999999999</v>
      </c>
      <c r="T5" s="8" t="inlineStr">
        <is>
          <t>赤</t>
        </is>
      </c>
      <c r="V5" s="4" t="n"/>
      <c r="W5" s="2" t="n"/>
      <c r="X5" s="8" t="n"/>
      <c r="Y5" s="8" t="n"/>
    </row>
    <row r="6" ht="15" customHeight="1" s="11">
      <c r="A6" s="2" t="n">
        <v>4</v>
      </c>
      <c r="B6" s="4" t="inlineStr">
        <is>
          <t>後藤 かのん</t>
        </is>
      </c>
      <c r="C6" s="2" t="n">
        <v>2</v>
      </c>
      <c r="D6" s="8" t="n">
        <v>9.31</v>
      </c>
      <c r="E6" s="8" t="inlineStr">
        <is>
          <t>白</t>
        </is>
      </c>
      <c r="G6" s="4" t="inlineStr">
        <is>
          <t>高橋 さく</t>
        </is>
      </c>
      <c r="H6" s="2" t="n">
        <v>1</v>
      </c>
      <c r="I6" s="8" t="n">
        <v>8.470000000000001</v>
      </c>
      <c r="J6" s="8" t="inlineStr">
        <is>
          <t>白</t>
        </is>
      </c>
      <c r="L6" s="4" t="inlineStr">
        <is>
          <t>井上 いつき</t>
        </is>
      </c>
      <c r="M6" s="2" t="n">
        <v>1</v>
      </c>
      <c r="N6" s="8" t="n">
        <v>8.82</v>
      </c>
      <c r="O6" s="8" t="inlineStr">
        <is>
          <t>赤</t>
        </is>
      </c>
      <c r="Q6" s="4" t="inlineStr">
        <is>
          <t>後藤 ゆな</t>
        </is>
      </c>
      <c r="R6" s="2" t="n">
        <v>2</v>
      </c>
      <c r="S6" s="8" t="n">
        <v>9.289999999999999</v>
      </c>
      <c r="T6" s="8" t="inlineStr">
        <is>
          <t>白</t>
        </is>
      </c>
      <c r="V6" s="4" t="n"/>
      <c r="W6" s="2" t="n"/>
      <c r="X6" s="8" t="n"/>
      <c r="Y6" s="8" t="n"/>
    </row>
    <row r="7" ht="15" customHeight="1" s="11">
      <c r="A7" s="2" t="n">
        <v>5</v>
      </c>
      <c r="B7" s="4" t="inlineStr">
        <is>
          <t>井上 ほのか</t>
        </is>
      </c>
      <c r="C7" s="2" t="n">
        <v>2</v>
      </c>
      <c r="D7" s="8" t="n">
        <v>9.300000000000001</v>
      </c>
      <c r="E7" s="8" t="inlineStr">
        <is>
          <t>白</t>
        </is>
      </c>
      <c r="G7" s="4" t="inlineStr">
        <is>
          <t>後藤 けんた</t>
        </is>
      </c>
      <c r="H7" s="2" t="n">
        <v>1</v>
      </c>
      <c r="I7" s="8" t="n">
        <v>9.710000000000001</v>
      </c>
      <c r="J7" s="8" t="inlineStr">
        <is>
          <t>白</t>
        </is>
      </c>
      <c r="L7" s="4" t="inlineStr">
        <is>
          <t>斎藤 だいち</t>
        </is>
      </c>
      <c r="M7" s="2" t="n">
        <v>1</v>
      </c>
      <c r="N7" s="8" t="n">
        <v>10.02</v>
      </c>
      <c r="O7" s="8" t="inlineStr">
        <is>
          <t>白</t>
        </is>
      </c>
      <c r="Q7" s="4" t="inlineStr">
        <is>
          <t>清水 しょう</t>
        </is>
      </c>
      <c r="R7" s="2" t="n">
        <v>1</v>
      </c>
      <c r="S7" s="8" t="n">
        <v>8.73</v>
      </c>
      <c r="T7" s="8" t="inlineStr">
        <is>
          <t>白</t>
        </is>
      </c>
      <c r="V7" s="4" t="n"/>
      <c r="W7" s="2" t="n"/>
      <c r="X7" s="8" t="n"/>
      <c r="Y7" s="8" t="n"/>
    </row>
    <row r="8" ht="15" customHeight="1" s="11">
      <c r="A8" s="2" t="n">
        <v>6</v>
      </c>
      <c r="B8" s="4" t="inlineStr">
        <is>
          <t>前田 かいと</t>
        </is>
      </c>
      <c r="C8" s="2" t="n">
        <v>1</v>
      </c>
      <c r="D8" s="8" t="n">
        <v>8.359999999999999</v>
      </c>
      <c r="E8" s="8" t="inlineStr">
        <is>
          <t>白</t>
        </is>
      </c>
      <c r="G8" s="4" t="inlineStr">
        <is>
          <t>松本 かいと</t>
        </is>
      </c>
      <c r="H8" s="2" t="n">
        <v>1</v>
      </c>
      <c r="I8" s="8" t="n">
        <v>9.42</v>
      </c>
      <c r="J8" s="8" t="inlineStr">
        <is>
          <t>白</t>
        </is>
      </c>
      <c r="L8" s="4" t="inlineStr">
        <is>
          <t>木村 ゆな</t>
        </is>
      </c>
      <c r="M8" s="2" t="n">
        <v>2</v>
      </c>
      <c r="N8" s="8" t="n">
        <v>9.49</v>
      </c>
      <c r="O8" s="8" t="inlineStr">
        <is>
          <t>白</t>
        </is>
      </c>
      <c r="Q8" s="4" t="inlineStr">
        <is>
          <t>長谷川 ひまり</t>
        </is>
      </c>
      <c r="R8" s="2" t="n">
        <v>2</v>
      </c>
      <c r="S8" s="8" t="n">
        <v>10.17</v>
      </c>
      <c r="T8" s="8" t="inlineStr">
        <is>
          <t>白</t>
        </is>
      </c>
      <c r="V8" s="4" t="n"/>
      <c r="W8" s="2" t="n"/>
      <c r="X8" s="8" t="n"/>
      <c r="Y8" s="8" t="n"/>
    </row>
    <row r="9" ht="15" customHeight="1" s="11">
      <c r="A9" s="2" t="n">
        <v>7</v>
      </c>
      <c r="B9" s="4" t="inlineStr">
        <is>
          <t>山本 けんた</t>
        </is>
      </c>
      <c r="C9" s="2" t="n">
        <v>1</v>
      </c>
      <c r="D9" s="8" t="n">
        <v>8.369999999999999</v>
      </c>
      <c r="E9" s="8" t="inlineStr">
        <is>
          <t>赤</t>
        </is>
      </c>
      <c r="G9" s="4" t="inlineStr">
        <is>
          <t>松本 たいが</t>
        </is>
      </c>
      <c r="H9" s="2" t="n">
        <v>1</v>
      </c>
      <c r="I9" s="8" t="n">
        <v>9.609999999999999</v>
      </c>
      <c r="J9" s="8" t="inlineStr">
        <is>
          <t>赤</t>
        </is>
      </c>
      <c r="L9" s="4" t="inlineStr">
        <is>
          <t>伊藤 つむぎ</t>
        </is>
      </c>
      <c r="M9" s="2" t="n">
        <v>2</v>
      </c>
      <c r="N9" s="8" t="n">
        <v>10.12</v>
      </c>
      <c r="O9" s="8" t="inlineStr">
        <is>
          <t>赤</t>
        </is>
      </c>
      <c r="Q9" s="4" t="inlineStr">
        <is>
          <t>佐藤 そうた</t>
        </is>
      </c>
      <c r="R9" s="2" t="n">
        <v>1</v>
      </c>
      <c r="S9" s="8" t="n">
        <v>10.24</v>
      </c>
      <c r="T9" s="8" t="inlineStr">
        <is>
          <t>白</t>
        </is>
      </c>
      <c r="V9" s="4" t="n"/>
      <c r="W9" s="2" t="n"/>
      <c r="X9" s="8" t="n"/>
      <c r="Y9" s="8" t="n"/>
    </row>
    <row r="10" ht="15" customHeight="1" s="11">
      <c r="A10" s="2" t="n">
        <v>8</v>
      </c>
      <c r="B10" s="4" t="inlineStr">
        <is>
          <t>清水 こはる</t>
        </is>
      </c>
      <c r="C10" s="2" t="n">
        <v>2</v>
      </c>
      <c r="D10" s="8" t="n">
        <v>9.93</v>
      </c>
      <c r="E10" s="8" t="inlineStr">
        <is>
          <t>赤</t>
        </is>
      </c>
      <c r="G10" s="4" t="inlineStr">
        <is>
          <t>伊藤 ゆな</t>
        </is>
      </c>
      <c r="H10" s="2" t="n">
        <v>2</v>
      </c>
      <c r="I10" s="8" t="n">
        <v>11.04</v>
      </c>
      <c r="J10" s="8" t="inlineStr">
        <is>
          <t>赤</t>
        </is>
      </c>
      <c r="L10" s="4" t="inlineStr">
        <is>
          <t>橋本 ひなた</t>
        </is>
      </c>
      <c r="M10" s="2" t="n">
        <v>1</v>
      </c>
      <c r="N10" s="8" t="n">
        <v>10.03</v>
      </c>
      <c r="O10" s="8" t="inlineStr">
        <is>
          <t>赤</t>
        </is>
      </c>
      <c r="Q10" s="4" t="inlineStr">
        <is>
          <t>山本 つばさ</t>
        </is>
      </c>
      <c r="R10" s="2" t="n">
        <v>1</v>
      </c>
      <c r="S10" s="8" t="n">
        <v>8.85</v>
      </c>
      <c r="T10" s="8" t="inlineStr">
        <is>
          <t>白</t>
        </is>
      </c>
      <c r="V10" s="4" t="n"/>
      <c r="W10" s="2" t="n"/>
      <c r="X10" s="8" t="n"/>
      <c r="Y10" s="8" t="n"/>
    </row>
    <row r="11" ht="15" customHeight="1" s="11">
      <c r="A11" s="2" t="n">
        <v>9</v>
      </c>
      <c r="B11" s="4" t="inlineStr">
        <is>
          <t>佐藤 けんた</t>
        </is>
      </c>
      <c r="C11" s="2" t="n">
        <v>1</v>
      </c>
      <c r="D11" s="8" t="n">
        <v>9.17</v>
      </c>
      <c r="E11" s="8" t="inlineStr">
        <is>
          <t>赤</t>
        </is>
      </c>
      <c r="G11" s="4" t="inlineStr">
        <is>
          <t>渡辺 みなと</t>
        </is>
      </c>
      <c r="H11" s="2" t="n">
        <v>1</v>
      </c>
      <c r="I11" s="8" t="n">
        <v>9.81</v>
      </c>
      <c r="J11" s="8" t="inlineStr">
        <is>
          <t>白</t>
        </is>
      </c>
      <c r="L11" s="4" t="inlineStr">
        <is>
          <t>吉田 ひなた</t>
        </is>
      </c>
      <c r="M11" s="2" t="n">
        <v>1</v>
      </c>
      <c r="N11" s="8" t="n">
        <v>9.630000000000001</v>
      </c>
      <c r="O11" s="8" t="inlineStr">
        <is>
          <t>赤</t>
        </is>
      </c>
      <c r="Q11" s="4" t="inlineStr">
        <is>
          <t>清水 ひな</t>
        </is>
      </c>
      <c r="R11" s="2" t="n">
        <v>2</v>
      </c>
      <c r="S11" s="8" t="n">
        <v>9.24</v>
      </c>
      <c r="T11" s="8" t="inlineStr">
        <is>
          <t>白</t>
        </is>
      </c>
      <c r="V11" s="4" t="n"/>
      <c r="W11" s="2" t="n"/>
      <c r="X11" s="8" t="n"/>
      <c r="Y11" s="8" t="n"/>
    </row>
    <row r="12" ht="15" customHeight="1" s="11">
      <c r="A12" s="2" t="n">
        <v>10</v>
      </c>
      <c r="B12" s="4" t="inlineStr">
        <is>
          <t>岡田 さら</t>
        </is>
      </c>
      <c r="C12" s="2" t="n">
        <v>2</v>
      </c>
      <c r="D12" s="8" t="n">
        <v>10.33</v>
      </c>
      <c r="E12" s="8" t="inlineStr">
        <is>
          <t>白</t>
        </is>
      </c>
      <c r="G12" s="4" t="inlineStr">
        <is>
          <t>山田 あかり</t>
        </is>
      </c>
      <c r="H12" s="2" t="n">
        <v>2</v>
      </c>
      <c r="I12" s="8" t="n">
        <v>9.67</v>
      </c>
      <c r="J12" s="8" t="inlineStr">
        <is>
          <t>白</t>
        </is>
      </c>
      <c r="L12" s="4" t="inlineStr">
        <is>
          <t>石川 めい</t>
        </is>
      </c>
      <c r="M12" s="2" t="n">
        <v>2</v>
      </c>
      <c r="N12" s="8" t="n">
        <v>9.84</v>
      </c>
      <c r="O12" s="8" t="inlineStr">
        <is>
          <t>赤</t>
        </is>
      </c>
      <c r="Q12" s="4" t="inlineStr">
        <is>
          <t>伊藤 ひまり</t>
        </is>
      </c>
      <c r="R12" s="2" t="n">
        <v>2</v>
      </c>
      <c r="S12" s="8" t="n">
        <v>10.05</v>
      </c>
      <c r="T12" s="8" t="inlineStr">
        <is>
          <t>赤</t>
        </is>
      </c>
      <c r="V12" s="4" t="n"/>
      <c r="W12" s="2" t="n"/>
      <c r="X12" s="8" t="n"/>
      <c r="Y12" s="8" t="n"/>
    </row>
    <row r="13" ht="15" customHeight="1" s="11">
      <c r="A13" s="2" t="n">
        <v>11</v>
      </c>
      <c r="B13" s="4" t="inlineStr">
        <is>
          <t>中村 ゆな</t>
        </is>
      </c>
      <c r="C13" s="2" t="n">
        <v>2</v>
      </c>
      <c r="D13" s="8" t="n">
        <v>8.619999999999999</v>
      </c>
      <c r="E13" s="8" t="inlineStr">
        <is>
          <t>白</t>
        </is>
      </c>
      <c r="G13" s="4" t="inlineStr">
        <is>
          <t>山本 かのん</t>
        </is>
      </c>
      <c r="H13" s="2" t="n">
        <v>2</v>
      </c>
      <c r="I13" s="8" t="n">
        <v>9.289999999999999</v>
      </c>
      <c r="J13" s="8" t="inlineStr">
        <is>
          <t>白</t>
        </is>
      </c>
      <c r="L13" s="4" t="inlineStr">
        <is>
          <t>小林 ほのか</t>
        </is>
      </c>
      <c r="M13" s="2" t="n">
        <v>2</v>
      </c>
      <c r="N13" s="8" t="n">
        <v>9.51</v>
      </c>
      <c r="O13" s="8" t="inlineStr">
        <is>
          <t>赤</t>
        </is>
      </c>
      <c r="Q13" s="4" t="inlineStr">
        <is>
          <t>森 りく</t>
        </is>
      </c>
      <c r="R13" s="2" t="n">
        <v>1</v>
      </c>
      <c r="S13" s="8" t="n">
        <v>8.5</v>
      </c>
      <c r="T13" s="8" t="inlineStr">
        <is>
          <t>赤</t>
        </is>
      </c>
      <c r="V13" s="4" t="n"/>
      <c r="W13" s="2" t="n"/>
      <c r="X13" s="8" t="n"/>
      <c r="Y13" s="8" t="n"/>
    </row>
    <row r="14" ht="15" customHeight="1" s="11">
      <c r="A14" s="2" t="n">
        <v>12</v>
      </c>
      <c r="B14" s="4" t="inlineStr">
        <is>
          <t>木村 りょう</t>
        </is>
      </c>
      <c r="C14" s="2" t="n">
        <v>1</v>
      </c>
      <c r="D14" s="8" t="n">
        <v>9.619999999999999</v>
      </c>
      <c r="E14" s="8" t="inlineStr">
        <is>
          <t>赤</t>
        </is>
      </c>
      <c r="G14" s="4" t="inlineStr">
        <is>
          <t>中村 りく</t>
        </is>
      </c>
      <c r="H14" s="2" t="n">
        <v>1</v>
      </c>
      <c r="I14" s="8" t="n">
        <v>9</v>
      </c>
      <c r="J14" s="8" t="inlineStr">
        <is>
          <t>白</t>
        </is>
      </c>
      <c r="L14" s="4" t="inlineStr">
        <is>
          <t>森 みなと</t>
        </is>
      </c>
      <c r="M14" s="2" t="n">
        <v>1</v>
      </c>
      <c r="N14" s="8" t="n">
        <v>8.74</v>
      </c>
      <c r="O14" s="8" t="inlineStr">
        <is>
          <t>白</t>
        </is>
      </c>
      <c r="Q14" s="4" t="inlineStr">
        <is>
          <t>石川 あかり</t>
        </is>
      </c>
      <c r="R14" s="2" t="n">
        <v>2</v>
      </c>
      <c r="S14" s="8" t="n">
        <v>10.83</v>
      </c>
      <c r="T14" s="8" t="inlineStr">
        <is>
          <t>赤</t>
        </is>
      </c>
      <c r="V14" s="4" t="n"/>
      <c r="W14" s="2" t="n"/>
      <c r="X14" s="8" t="n"/>
      <c r="Y14" s="8" t="n"/>
    </row>
    <row r="15" ht="15" customHeight="1" s="11">
      <c r="A15" s="2" t="n">
        <v>13</v>
      </c>
      <c r="B15" s="4" t="inlineStr">
        <is>
          <t>山本 はると</t>
        </is>
      </c>
      <c r="C15" s="2" t="n">
        <v>1</v>
      </c>
      <c r="D15" s="8" t="n">
        <v>9.550000000000001</v>
      </c>
      <c r="E15" s="8" t="inlineStr">
        <is>
          <t>白</t>
        </is>
      </c>
      <c r="G15" s="4" t="inlineStr">
        <is>
          <t>山田 ゆな</t>
        </is>
      </c>
      <c r="H15" s="2" t="n">
        <v>2</v>
      </c>
      <c r="I15" s="8" t="n">
        <v>9.27</v>
      </c>
      <c r="J15" s="8" t="inlineStr">
        <is>
          <t>白</t>
        </is>
      </c>
      <c r="L15" s="4" t="inlineStr">
        <is>
          <t>近藤 つむぎ</t>
        </is>
      </c>
      <c r="M15" s="2" t="n">
        <v>2</v>
      </c>
      <c r="N15" s="8" t="n">
        <v>10.23</v>
      </c>
      <c r="O15" s="8" t="inlineStr">
        <is>
          <t>白</t>
        </is>
      </c>
      <c r="Q15" s="4" t="inlineStr">
        <is>
          <t>村上 こうき</t>
        </is>
      </c>
      <c r="R15" s="2" t="n">
        <v>1</v>
      </c>
      <c r="S15" s="8" t="n">
        <v>9.82</v>
      </c>
      <c r="T15" s="8" t="inlineStr">
        <is>
          <t>赤</t>
        </is>
      </c>
      <c r="V15" s="4" t="n"/>
      <c r="W15" s="2" t="n"/>
      <c r="X15" s="8" t="n"/>
      <c r="Y15" s="8" t="n"/>
    </row>
    <row r="16" ht="15" customHeight="1" s="11">
      <c r="A16" s="2" t="n">
        <v>14</v>
      </c>
      <c r="B16" s="4" t="inlineStr">
        <is>
          <t>石川 みなと</t>
        </is>
      </c>
      <c r="C16" s="2" t="n">
        <v>1</v>
      </c>
      <c r="D16" s="8" t="n">
        <v>9.130000000000001</v>
      </c>
      <c r="E16" s="8" t="inlineStr">
        <is>
          <t>赤</t>
        </is>
      </c>
      <c r="G16" s="4" t="inlineStr">
        <is>
          <t>高橋 ひなた</t>
        </is>
      </c>
      <c r="H16" s="2" t="n">
        <v>1</v>
      </c>
      <c r="I16" s="8" t="n">
        <v>9.08</v>
      </c>
      <c r="J16" s="8" t="inlineStr">
        <is>
          <t>赤</t>
        </is>
      </c>
      <c r="L16" s="4" t="inlineStr">
        <is>
          <t>佐藤 しょう</t>
        </is>
      </c>
      <c r="M16" s="2" t="n">
        <v>1</v>
      </c>
      <c r="N16" s="8" t="n">
        <v>9.26</v>
      </c>
      <c r="O16" s="8" t="inlineStr">
        <is>
          <t>赤</t>
        </is>
      </c>
      <c r="Q16" s="4" t="inlineStr">
        <is>
          <t>伊藤 さら</t>
        </is>
      </c>
      <c r="R16" s="2" t="n">
        <v>2</v>
      </c>
      <c r="S16" s="8" t="n">
        <v>10.5</v>
      </c>
      <c r="T16" s="8" t="inlineStr">
        <is>
          <t>白</t>
        </is>
      </c>
      <c r="V16" s="4" t="n"/>
      <c r="W16" s="2" t="n"/>
      <c r="X16" s="8" t="n"/>
      <c r="Y16" s="8" t="n"/>
    </row>
    <row r="17" ht="15" customHeight="1" s="11">
      <c r="A17" s="2" t="n">
        <v>15</v>
      </c>
      <c r="B17" s="4" t="inlineStr">
        <is>
          <t>長谷川 あかり</t>
        </is>
      </c>
      <c r="C17" s="2" t="n">
        <v>2</v>
      </c>
      <c r="D17" s="8" t="n">
        <v>10.3</v>
      </c>
      <c r="E17" s="8" t="inlineStr">
        <is>
          <t>白</t>
        </is>
      </c>
      <c r="G17" s="4" t="inlineStr">
        <is>
          <t>中村 はな</t>
        </is>
      </c>
      <c r="H17" s="2" t="n">
        <v>2</v>
      </c>
      <c r="I17" s="8" t="n">
        <v>9.66</v>
      </c>
      <c r="J17" s="8" t="inlineStr">
        <is>
          <t>赤</t>
        </is>
      </c>
      <c r="L17" s="4" t="inlineStr">
        <is>
          <t>田中 あおい</t>
        </is>
      </c>
      <c r="M17" s="2" t="n">
        <v>2</v>
      </c>
      <c r="N17" s="8" t="n">
        <v>8.77</v>
      </c>
      <c r="O17" s="8" t="inlineStr">
        <is>
          <t>赤</t>
        </is>
      </c>
      <c r="Q17" s="4" t="inlineStr">
        <is>
          <t>橋本 かのん</t>
        </is>
      </c>
      <c r="R17" s="2" t="n">
        <v>2</v>
      </c>
      <c r="S17" s="8" t="n">
        <v>10.41</v>
      </c>
      <c r="T17" s="8" t="inlineStr">
        <is>
          <t>赤</t>
        </is>
      </c>
      <c r="V17" s="4" t="n"/>
      <c r="W17" s="2" t="n"/>
      <c r="X17" s="8" t="n"/>
      <c r="Y17" s="8" t="n"/>
    </row>
    <row r="18" ht="15" customHeight="1" s="11">
      <c r="A18" s="2" t="n">
        <v>16</v>
      </c>
      <c r="B18" s="4" t="inlineStr">
        <is>
          <t>井上 ひまり</t>
        </is>
      </c>
      <c r="C18" s="2" t="n">
        <v>2</v>
      </c>
      <c r="D18" s="8" t="n">
        <v>10.05</v>
      </c>
      <c r="E18" s="8" t="inlineStr">
        <is>
          <t>赤</t>
        </is>
      </c>
      <c r="G18" s="4" t="inlineStr">
        <is>
          <t>高橋 たいが</t>
        </is>
      </c>
      <c r="H18" s="2" t="n">
        <v>1</v>
      </c>
      <c r="I18" s="8" t="n">
        <v>9.35</v>
      </c>
      <c r="J18" s="8" t="inlineStr">
        <is>
          <t>赤</t>
        </is>
      </c>
      <c r="L18" s="4" t="inlineStr">
        <is>
          <t>吉田 あおい</t>
        </is>
      </c>
      <c r="M18" s="2" t="n">
        <v>1</v>
      </c>
      <c r="N18" s="8" t="n">
        <v>8.5</v>
      </c>
      <c r="O18" s="8" t="inlineStr">
        <is>
          <t>赤</t>
        </is>
      </c>
      <c r="Q18" s="4" t="inlineStr">
        <is>
          <t>前田 ひな</t>
        </is>
      </c>
      <c r="R18" s="2" t="n">
        <v>2</v>
      </c>
      <c r="S18" s="8" t="n">
        <v>9.609999999999999</v>
      </c>
      <c r="T18" s="8" t="inlineStr">
        <is>
          <t>赤</t>
        </is>
      </c>
      <c r="V18" s="4" t="n"/>
      <c r="W18" s="2" t="n"/>
      <c r="X18" s="8" t="n"/>
      <c r="Y18" s="8" t="n"/>
    </row>
    <row r="19" ht="15" customHeight="1" s="11">
      <c r="A19" s="2" t="n">
        <v>17</v>
      </c>
      <c r="B19" s="4" t="inlineStr">
        <is>
          <t>鈴木 りく</t>
        </is>
      </c>
      <c r="C19" s="2" t="n">
        <v>1</v>
      </c>
      <c r="D19" s="8" t="n">
        <v>9.17</v>
      </c>
      <c r="E19" s="8" t="inlineStr">
        <is>
          <t>白</t>
        </is>
      </c>
      <c r="G19" s="4" t="inlineStr">
        <is>
          <t>近藤 そうた</t>
        </is>
      </c>
      <c r="H19" s="2" t="n">
        <v>1</v>
      </c>
      <c r="I19" s="8" t="n">
        <v>9.85</v>
      </c>
      <c r="J19" s="8" t="inlineStr">
        <is>
          <t>赤</t>
        </is>
      </c>
      <c r="L19" s="4" t="inlineStr">
        <is>
          <t>前田 えま</t>
        </is>
      </c>
      <c r="M19" s="2" t="n">
        <v>2</v>
      </c>
      <c r="N19" s="8" t="n">
        <v>9.619999999999999</v>
      </c>
      <c r="O19" s="8" t="inlineStr">
        <is>
          <t>赤</t>
        </is>
      </c>
      <c r="Q19" s="4" t="inlineStr">
        <is>
          <t>鈴木 つばさ</t>
        </is>
      </c>
      <c r="R19" s="2" t="n">
        <v>1</v>
      </c>
      <c r="S19" s="8" t="n">
        <v>9.289999999999999</v>
      </c>
      <c r="T19" s="8" t="inlineStr">
        <is>
          <t>白</t>
        </is>
      </c>
      <c r="V19" s="4" t="n"/>
      <c r="W19" s="2" t="n"/>
      <c r="X19" s="8" t="n"/>
      <c r="Y19" s="8" t="n"/>
    </row>
    <row r="20" ht="15" customHeight="1" s="11">
      <c r="A20" s="2" t="n">
        <v>18</v>
      </c>
      <c r="B20" s="4" t="inlineStr">
        <is>
          <t>池田 こうき</t>
        </is>
      </c>
      <c r="C20" s="2" t="n">
        <v>1</v>
      </c>
      <c r="D20" s="8" t="n">
        <v>11.33</v>
      </c>
      <c r="E20" s="8" t="inlineStr">
        <is>
          <t>白</t>
        </is>
      </c>
      <c r="G20" s="4" t="inlineStr">
        <is>
          <t>伊藤 りょう</t>
        </is>
      </c>
      <c r="H20" s="2" t="n">
        <v>1</v>
      </c>
      <c r="I20" s="8" t="n">
        <v>9.08</v>
      </c>
      <c r="J20" s="8" t="inlineStr">
        <is>
          <t>赤</t>
        </is>
      </c>
      <c r="L20" s="4" t="inlineStr">
        <is>
          <t>小林 ゆい</t>
        </is>
      </c>
      <c r="M20" s="2" t="n">
        <v>2</v>
      </c>
      <c r="N20" s="8" t="n">
        <v>10.2</v>
      </c>
      <c r="O20" s="8" t="inlineStr">
        <is>
          <t>白</t>
        </is>
      </c>
      <c r="Q20" s="4" t="inlineStr">
        <is>
          <t>池田 りょう</t>
        </is>
      </c>
      <c r="R20" s="2" t="n">
        <v>1</v>
      </c>
      <c r="S20" s="8" t="n">
        <v>9.59</v>
      </c>
      <c r="T20" s="8" t="inlineStr">
        <is>
          <t>赤</t>
        </is>
      </c>
      <c r="V20" s="4" t="n"/>
      <c r="W20" s="2" t="n"/>
      <c r="X20" s="8" t="n"/>
      <c r="Y20" s="8" t="n"/>
    </row>
    <row r="21" ht="15" customHeight="1" s="11">
      <c r="A21" s="2" t="n">
        <v>19</v>
      </c>
      <c r="B21" s="4" t="inlineStr">
        <is>
          <t>渡辺 めい</t>
        </is>
      </c>
      <c r="C21" s="2" t="n">
        <v>2</v>
      </c>
      <c r="D21" s="8" t="n">
        <v>9.24</v>
      </c>
      <c r="E21" s="8" t="inlineStr">
        <is>
          <t>赤</t>
        </is>
      </c>
      <c r="G21" s="4" t="inlineStr">
        <is>
          <t>伊藤 りん</t>
        </is>
      </c>
      <c r="H21" s="2" t="n">
        <v>2</v>
      </c>
      <c r="I21" s="8" t="n">
        <v>9.890000000000001</v>
      </c>
      <c r="J21" s="8" t="inlineStr">
        <is>
          <t>白</t>
        </is>
      </c>
      <c r="L21" s="4" t="inlineStr">
        <is>
          <t>小林 ことね</t>
        </is>
      </c>
      <c r="M21" s="2" t="n">
        <v>2</v>
      </c>
      <c r="N21" s="8" t="n">
        <v>10.2</v>
      </c>
      <c r="O21" s="8" t="inlineStr">
        <is>
          <t>白</t>
        </is>
      </c>
      <c r="Q21" s="4" t="inlineStr">
        <is>
          <t>山口 だいち</t>
        </is>
      </c>
      <c r="R21" s="2" t="n">
        <v>1</v>
      </c>
      <c r="S21" s="8" t="n">
        <v>10.61</v>
      </c>
      <c r="T21" s="8" t="inlineStr">
        <is>
          <t>赤</t>
        </is>
      </c>
      <c r="V21" s="4" t="n"/>
      <c r="W21" s="2" t="n"/>
      <c r="X21" s="8" t="n"/>
      <c r="Y21" s="8" t="n"/>
    </row>
    <row r="22" ht="15" customHeight="1" s="11">
      <c r="A22" s="2" t="n">
        <v>20</v>
      </c>
      <c r="B22" s="4" t="inlineStr">
        <is>
          <t>林 さく</t>
        </is>
      </c>
      <c r="C22" s="2" t="n">
        <v>1</v>
      </c>
      <c r="D22" s="8" t="n">
        <v>10.25</v>
      </c>
      <c r="E22" s="8" t="inlineStr">
        <is>
          <t>赤</t>
        </is>
      </c>
      <c r="G22" s="4" t="inlineStr">
        <is>
          <t>斎藤 みお</t>
        </is>
      </c>
      <c r="H22" s="2" t="n">
        <v>2</v>
      </c>
      <c r="I22" s="8" t="n">
        <v>9.550000000000001</v>
      </c>
      <c r="J22" s="8" t="inlineStr">
        <is>
          <t>白</t>
        </is>
      </c>
      <c r="L22" s="4" t="inlineStr">
        <is>
          <t>橋本 あおい</t>
        </is>
      </c>
      <c r="M22" s="2" t="n">
        <v>1</v>
      </c>
      <c r="N22" s="8" t="n">
        <v>9.32</v>
      </c>
      <c r="O22" s="8" t="inlineStr">
        <is>
          <t>白</t>
        </is>
      </c>
      <c r="Q22" s="4" t="inlineStr">
        <is>
          <t>橋本 ひな</t>
        </is>
      </c>
      <c r="R22" s="2" t="n">
        <v>2</v>
      </c>
      <c r="S22" s="8" t="n">
        <v>10.19</v>
      </c>
      <c r="T22" s="8" t="inlineStr">
        <is>
          <t>赤</t>
        </is>
      </c>
      <c r="V22" s="4" t="n"/>
      <c r="W22" s="2" t="n"/>
      <c r="X22" s="8" t="n"/>
      <c r="Y22" s="8" t="n"/>
    </row>
    <row r="23" ht="15" customHeight="1" s="11">
      <c r="A23" s="2" t="n">
        <v>21</v>
      </c>
      <c r="B23" s="4" t="inlineStr">
        <is>
          <t>加藤 ひな</t>
        </is>
      </c>
      <c r="C23" s="2" t="n">
        <v>2</v>
      </c>
      <c r="D23" s="8" t="n">
        <v>9.6</v>
      </c>
      <c r="E23" s="8" t="inlineStr">
        <is>
          <t>赤</t>
        </is>
      </c>
      <c r="G23" s="4" t="inlineStr">
        <is>
          <t>池田 めい</t>
        </is>
      </c>
      <c r="H23" s="2" t="n">
        <v>2</v>
      </c>
      <c r="I23" s="8" t="n">
        <v>10.26</v>
      </c>
      <c r="J23" s="8" t="inlineStr">
        <is>
          <t>赤</t>
        </is>
      </c>
      <c r="L23" s="4" t="inlineStr">
        <is>
          <t>高橋 けんた</t>
        </is>
      </c>
      <c r="M23" s="2" t="n">
        <v>1</v>
      </c>
      <c r="N23" s="8" t="n">
        <v>10.19</v>
      </c>
      <c r="O23" s="8" t="inlineStr">
        <is>
          <t>白</t>
        </is>
      </c>
      <c r="Q23" s="4" t="inlineStr">
        <is>
          <t>後藤 つむぎ</t>
        </is>
      </c>
      <c r="R23" s="2" t="n">
        <v>2</v>
      </c>
      <c r="S23" s="8" t="n">
        <v>10.04</v>
      </c>
      <c r="T23" s="8" t="inlineStr">
        <is>
          <t>白</t>
        </is>
      </c>
      <c r="V23" s="4" t="n"/>
      <c r="W23" s="2" t="n"/>
      <c r="X23" s="8" t="n"/>
      <c r="Y23" s="8" t="n"/>
    </row>
    <row r="24" ht="15" customHeight="1" s="11">
      <c r="A24" s="2" t="n">
        <v>22</v>
      </c>
      <c r="B24" s="4" t="inlineStr">
        <is>
          <t>佐藤 れん</t>
        </is>
      </c>
      <c r="C24" s="2" t="n">
        <v>1</v>
      </c>
      <c r="D24" s="8" t="n">
        <v>8.859999999999999</v>
      </c>
      <c r="E24" s="8" t="inlineStr">
        <is>
          <t>白</t>
        </is>
      </c>
      <c r="G24" s="4" t="inlineStr">
        <is>
          <t>加藤 ことね</t>
        </is>
      </c>
      <c r="H24" s="2" t="n">
        <v>2</v>
      </c>
      <c r="I24" s="8" t="n">
        <v>9.42</v>
      </c>
      <c r="J24" s="8" t="inlineStr">
        <is>
          <t>白</t>
        </is>
      </c>
      <c r="L24" s="4" t="inlineStr">
        <is>
          <t>森 みお</t>
        </is>
      </c>
      <c r="M24" s="2" t="n">
        <v>2</v>
      </c>
      <c r="N24" s="8" t="n">
        <v>9.19</v>
      </c>
      <c r="O24" s="8" t="inlineStr">
        <is>
          <t>白</t>
        </is>
      </c>
      <c r="Q24" s="4" t="inlineStr">
        <is>
          <t>田中 こうき</t>
        </is>
      </c>
      <c r="R24" s="2" t="n">
        <v>1</v>
      </c>
      <c r="S24" s="8" t="n">
        <v>8.68</v>
      </c>
      <c r="T24" s="8" t="inlineStr">
        <is>
          <t>白</t>
        </is>
      </c>
      <c r="V24" s="4" t="n"/>
      <c r="W24" s="2" t="n"/>
      <c r="X24" s="8" t="n"/>
      <c r="Y24" s="8" t="n"/>
    </row>
    <row r="25" ht="15" customHeight="1" s="11">
      <c r="A25" s="2" t="n">
        <v>23</v>
      </c>
      <c r="B25" s="4" t="inlineStr">
        <is>
          <t>石川 さら</t>
        </is>
      </c>
      <c r="C25" s="2" t="n">
        <v>2</v>
      </c>
      <c r="D25" s="8" t="n">
        <v>10.04</v>
      </c>
      <c r="E25" s="8" t="inlineStr">
        <is>
          <t>赤</t>
        </is>
      </c>
      <c r="G25" s="4" t="n"/>
      <c r="H25" s="2" t="n"/>
      <c r="I25" s="8" t="n"/>
      <c r="J25" s="8" t="n"/>
      <c r="L25" s="4" t="n"/>
      <c r="M25" s="2" t="n"/>
      <c r="N25" s="8" t="n"/>
      <c r="O25" s="8" t="n"/>
      <c r="Q25" s="4" t="n"/>
      <c r="R25" s="2" t="n"/>
      <c r="S25" s="8" t="n"/>
      <c r="T25" s="8" t="n"/>
      <c r="V25" s="4" t="n"/>
      <c r="W25" s="2" t="n"/>
      <c r="X25" s="8" t="n"/>
      <c r="Y25" s="8" t="n"/>
    </row>
    <row r="26" ht="15" customHeight="1" s="11">
      <c r="A26" s="2" t="n">
        <v>24</v>
      </c>
      <c r="B26" s="4" t="inlineStr">
        <is>
          <t>村上 かいと</t>
        </is>
      </c>
      <c r="C26" s="2" t="n">
        <v>1</v>
      </c>
      <c r="D26" s="8" t="n">
        <v>7.97</v>
      </c>
      <c r="E26" s="8" t="inlineStr">
        <is>
          <t>白</t>
        </is>
      </c>
      <c r="G26" s="4" t="n"/>
      <c r="H26" s="2" t="n"/>
      <c r="I26" s="8" t="n"/>
      <c r="J26" s="8" t="n"/>
      <c r="L26" s="4" t="n"/>
      <c r="M26" s="2" t="n"/>
      <c r="N26" s="8" t="n"/>
      <c r="O26" s="8" t="n"/>
      <c r="Q26" s="4" t="n"/>
      <c r="R26" s="2" t="n"/>
      <c r="S26" s="8" t="n"/>
      <c r="T26" s="8" t="n"/>
      <c r="V26" s="4" t="n"/>
      <c r="W26" s="2" t="n"/>
      <c r="X26" s="8" t="n"/>
      <c r="Y26" s="8" t="n"/>
    </row>
    <row r="27" ht="15" customHeight="1" s="11">
      <c r="A27" s="2" t="n">
        <v>25</v>
      </c>
      <c r="B27" s="4" t="n"/>
      <c r="C27" s="2" t="n"/>
      <c r="D27" s="8" t="n"/>
      <c r="E27" s="8" t="n"/>
      <c r="G27" s="4" t="n"/>
      <c r="H27" s="2" t="n"/>
      <c r="I27" s="8" t="n"/>
      <c r="J27" s="8" t="n"/>
      <c r="L27" s="4" t="n"/>
      <c r="M27" s="2" t="n"/>
      <c r="N27" s="8" t="n"/>
      <c r="O27" s="8" t="n"/>
      <c r="Q27" s="4" t="n"/>
      <c r="R27" s="2" t="n"/>
      <c r="S27" s="8" t="n"/>
      <c r="T27" s="8" t="n"/>
      <c r="V27" s="4" t="n"/>
      <c r="W27" s="2" t="n"/>
      <c r="X27" s="8" t="n"/>
      <c r="Y27" s="8" t="n"/>
    </row>
    <row r="28" ht="15" customHeight="1" s="11">
      <c r="A28" s="2" t="n">
        <v>26</v>
      </c>
      <c r="B28" s="4" t="n"/>
      <c r="C28" s="2" t="n"/>
      <c r="D28" s="8" t="n"/>
      <c r="E28" s="8" t="n"/>
      <c r="G28" s="4" t="n"/>
      <c r="H28" s="2" t="n"/>
      <c r="I28" s="8" t="n"/>
      <c r="J28" s="8" t="n"/>
      <c r="L28" s="4" t="n"/>
      <c r="M28" s="2" t="n"/>
      <c r="N28" s="8" t="n"/>
      <c r="O28" s="8" t="n"/>
      <c r="Q28" s="4" t="n"/>
      <c r="R28" s="2" t="n"/>
      <c r="S28" s="8" t="n"/>
      <c r="T28" s="8" t="n"/>
      <c r="V28" s="4" t="n"/>
      <c r="W28" s="2" t="n"/>
      <c r="X28" s="8" t="n"/>
      <c r="Y28" s="8" t="n"/>
    </row>
    <row r="29" ht="15" customHeight="1" s="11">
      <c r="A29" s="2" t="n">
        <v>27</v>
      </c>
      <c r="B29" s="4" t="n"/>
      <c r="C29" s="2" t="n"/>
      <c r="D29" s="8" t="n"/>
      <c r="E29" s="8" t="n"/>
      <c r="G29" s="4" t="n"/>
      <c r="H29" s="2" t="n"/>
      <c r="I29" s="8" t="n"/>
      <c r="J29" s="8" t="n"/>
      <c r="L29" s="4" t="n"/>
      <c r="M29" s="2" t="n"/>
      <c r="N29" s="8" t="n"/>
      <c r="O29" s="8" t="n"/>
      <c r="Q29" s="4" t="n"/>
      <c r="R29" s="2" t="n"/>
      <c r="S29" s="8" t="n"/>
      <c r="T29" s="8" t="n"/>
      <c r="V29" s="4" t="n"/>
      <c r="W29" s="2" t="n"/>
      <c r="X29" s="8" t="n"/>
      <c r="Y29" s="8" t="n"/>
    </row>
    <row r="30" ht="15" customHeight="1" s="11">
      <c r="A30" s="2" t="n">
        <v>28</v>
      </c>
      <c r="B30" s="4" t="n"/>
      <c r="C30" s="2" t="n"/>
      <c r="D30" s="8" t="n"/>
      <c r="E30" s="8" t="n"/>
      <c r="G30" s="4" t="n"/>
      <c r="H30" s="2" t="n"/>
      <c r="I30" s="8" t="n"/>
      <c r="J30" s="8" t="n"/>
      <c r="L30" s="4" t="n"/>
      <c r="M30" s="2" t="n"/>
      <c r="N30" s="8" t="n"/>
      <c r="O30" s="8" t="n"/>
      <c r="Q30" s="4" t="n"/>
      <c r="R30" s="2" t="n"/>
      <c r="S30" s="8" t="n"/>
      <c r="T30" s="8" t="n"/>
      <c r="V30" s="4" t="n"/>
      <c r="W30" s="2" t="n"/>
      <c r="X30" s="8" t="n"/>
      <c r="Y30" s="8" t="n"/>
    </row>
    <row r="31" ht="15" customHeight="1" s="11">
      <c r="A31" s="2" t="n">
        <v>29</v>
      </c>
      <c r="B31" s="4" t="n"/>
      <c r="C31" s="2" t="n"/>
      <c r="D31" s="8" t="n"/>
      <c r="E31" s="8" t="n"/>
      <c r="G31" s="4" t="n"/>
      <c r="H31" s="2" t="n"/>
      <c r="I31" s="8" t="n"/>
      <c r="J31" s="8" t="n"/>
      <c r="L31" s="4" t="n"/>
      <c r="M31" s="2" t="n"/>
      <c r="N31" s="8" t="n"/>
      <c r="O31" s="8" t="n"/>
      <c r="Q31" s="4" t="n"/>
      <c r="R31" s="2" t="n"/>
      <c r="S31" s="8" t="n"/>
      <c r="T31" s="8" t="n"/>
      <c r="V31" s="4" t="n"/>
      <c r="W31" s="2" t="n"/>
      <c r="X31" s="8" t="n"/>
      <c r="Y31" s="8" t="n"/>
    </row>
    <row r="32" ht="15" customHeight="1" s="11">
      <c r="A32" s="2" t="n">
        <v>30</v>
      </c>
      <c r="B32" s="4" t="n"/>
      <c r="C32" s="2" t="n"/>
      <c r="D32" s="8" t="n"/>
      <c r="E32" s="8" t="n"/>
      <c r="G32" s="4" t="n"/>
      <c r="H32" s="2" t="n"/>
      <c r="I32" s="8" t="n"/>
      <c r="J32" s="8" t="n"/>
      <c r="L32" s="4" t="n"/>
      <c r="M32" s="2" t="n"/>
      <c r="N32" s="8" t="n"/>
      <c r="O32" s="8" t="n"/>
      <c r="Q32" s="4" t="n"/>
      <c r="R32" s="2" t="n"/>
      <c r="S32" s="8" t="n"/>
      <c r="T32" s="8" t="n"/>
      <c r="V32" s="4" t="n"/>
      <c r="W32" s="2" t="n"/>
      <c r="X32" s="8" t="n"/>
      <c r="Y32" s="8" t="n"/>
    </row>
    <row r="33" ht="15" customHeight="1" s="11">
      <c r="A33" s="2" t="n">
        <v>31</v>
      </c>
      <c r="B33" s="4" t="n"/>
      <c r="C33" s="2" t="n"/>
      <c r="D33" s="8" t="n"/>
      <c r="E33" s="8" t="n"/>
      <c r="G33" s="4" t="n"/>
      <c r="H33" s="2" t="n"/>
      <c r="I33" s="8" t="n"/>
      <c r="J33" s="8" t="n"/>
      <c r="L33" s="4" t="n"/>
      <c r="M33" s="2" t="n"/>
      <c r="N33" s="8" t="n"/>
      <c r="O33" s="8" t="n"/>
      <c r="Q33" s="4" t="n"/>
      <c r="R33" s="2" t="n"/>
      <c r="S33" s="8" t="n"/>
      <c r="T33" s="8" t="n"/>
      <c r="V33" s="4" t="n"/>
      <c r="W33" s="2" t="n"/>
      <c r="X33" s="8" t="n"/>
      <c r="Y33" s="8" t="n"/>
    </row>
    <row r="34" ht="15" customHeight="1" s="11">
      <c r="A34" s="2" t="n">
        <v>32</v>
      </c>
      <c r="B34" s="4" t="n"/>
      <c r="C34" s="2" t="n"/>
      <c r="D34" s="8" t="n"/>
      <c r="E34" s="8" t="n"/>
      <c r="G34" s="4" t="n"/>
      <c r="H34" s="2" t="n"/>
      <c r="I34" s="8" t="n"/>
      <c r="J34" s="8" t="n"/>
      <c r="L34" s="4" t="n"/>
      <c r="M34" s="2" t="n"/>
      <c r="N34" s="8" t="n"/>
      <c r="O34" s="8" t="n"/>
      <c r="Q34" s="4" t="n"/>
      <c r="R34" s="2" t="n"/>
      <c r="S34" s="8" t="n"/>
      <c r="T34" s="8" t="n"/>
      <c r="V34" s="4" t="n"/>
      <c r="W34" s="2" t="n"/>
      <c r="X34" s="8" t="n"/>
      <c r="Y34" s="8" t="n"/>
    </row>
    <row r="35" ht="15" customHeight="1" s="11">
      <c r="A35" s="2" t="n">
        <v>33</v>
      </c>
      <c r="B35" s="4" t="n"/>
      <c r="C35" s="2" t="n"/>
      <c r="D35" s="8" t="n"/>
      <c r="E35" s="8" t="n"/>
      <c r="G35" s="4" t="n"/>
      <c r="H35" s="2" t="n"/>
      <c r="I35" s="8" t="n"/>
      <c r="J35" s="8" t="n"/>
      <c r="L35" s="4" t="n"/>
      <c r="M35" s="2" t="n"/>
      <c r="N35" s="8" t="n"/>
      <c r="O35" s="8" t="n"/>
      <c r="Q35" s="4" t="n"/>
      <c r="R35" s="2" t="n"/>
      <c r="S35" s="8" t="n"/>
      <c r="T35" s="8" t="n"/>
      <c r="V35" s="4" t="n"/>
      <c r="W35" s="2" t="n"/>
      <c r="X35" s="8" t="n"/>
      <c r="Y35" s="8" t="n"/>
    </row>
    <row r="36" ht="15" customHeight="1" s="11">
      <c r="A36" s="2" t="n">
        <v>34</v>
      </c>
      <c r="B36" s="4" t="n"/>
      <c r="C36" s="2" t="n"/>
      <c r="D36" s="8" t="n"/>
      <c r="E36" s="8" t="n"/>
      <c r="G36" s="4" t="n"/>
      <c r="H36" s="2" t="n"/>
      <c r="I36" s="8" t="n"/>
      <c r="J36" s="8" t="n"/>
      <c r="L36" s="4" t="n"/>
      <c r="M36" s="2" t="n"/>
      <c r="N36" s="8" t="n"/>
      <c r="O36" s="8" t="n"/>
      <c r="Q36" s="4" t="n"/>
      <c r="R36" s="2" t="n"/>
      <c r="S36" s="8" t="n"/>
      <c r="T36" s="8" t="n"/>
      <c r="V36" s="4" t="n"/>
      <c r="W36" s="2" t="n"/>
      <c r="X36" s="8" t="n"/>
      <c r="Y36" s="8" t="n"/>
    </row>
    <row r="37" ht="15" customHeight="1" s="11">
      <c r="A37" s="2" t="n">
        <v>35</v>
      </c>
      <c r="B37" s="4" t="n"/>
      <c r="C37" s="2" t="n"/>
      <c r="D37" s="8" t="n"/>
      <c r="E37" s="8" t="n"/>
      <c r="G37" s="4" t="n"/>
      <c r="H37" s="2" t="n"/>
      <c r="I37" s="8" t="n"/>
      <c r="J37" s="8" t="n"/>
      <c r="L37" s="4" t="n"/>
      <c r="M37" s="2" t="n"/>
      <c r="N37" s="8" t="n"/>
      <c r="O37" s="8" t="n"/>
      <c r="Q37" s="4" t="n"/>
      <c r="R37" s="2" t="n"/>
      <c r="S37" s="8" t="n"/>
      <c r="T37" s="8" t="n"/>
      <c r="V37" s="4" t="n"/>
      <c r="W37" s="2" t="n"/>
      <c r="X37" s="8" t="n"/>
      <c r="Y37" s="8" t="n"/>
    </row>
    <row r="38" ht="15" customHeight="1" s="11">
      <c r="A38" s="2" t="n">
        <v>36</v>
      </c>
      <c r="B38" s="4" t="n"/>
      <c r="C38" s="2" t="n"/>
      <c r="D38" s="8" t="n"/>
      <c r="E38" s="8" t="n"/>
      <c r="G38" s="4" t="n"/>
      <c r="H38" s="2" t="n"/>
      <c r="I38" s="8" t="n"/>
      <c r="J38" s="8" t="n"/>
      <c r="L38" s="4" t="n"/>
      <c r="M38" s="2" t="n"/>
      <c r="N38" s="8" t="n"/>
      <c r="O38" s="8" t="n"/>
      <c r="Q38" s="4" t="n"/>
      <c r="R38" s="2" t="n"/>
      <c r="S38" s="8" t="n"/>
      <c r="T38" s="8" t="n"/>
      <c r="V38" s="4" t="n"/>
      <c r="W38" s="2" t="n"/>
      <c r="X38" s="8" t="n"/>
      <c r="Y38" s="8" t="n"/>
    </row>
    <row r="39" ht="15" customHeight="1" s="11">
      <c r="A39" s="2" t="n">
        <v>37</v>
      </c>
      <c r="B39" s="4" t="n"/>
      <c r="C39" s="2" t="n"/>
      <c r="D39" s="8" t="n"/>
      <c r="E39" s="8" t="n"/>
      <c r="G39" s="4" t="n"/>
      <c r="H39" s="2" t="n"/>
      <c r="I39" s="8" t="n"/>
      <c r="J39" s="8" t="n"/>
      <c r="L39" s="4" t="n"/>
      <c r="M39" s="2" t="n"/>
      <c r="N39" s="8" t="n"/>
      <c r="O39" s="8" t="n"/>
      <c r="Q39" s="4" t="n"/>
      <c r="R39" s="2" t="n"/>
      <c r="S39" s="8" t="n"/>
      <c r="T39" s="8" t="n"/>
      <c r="V39" s="4" t="n"/>
      <c r="W39" s="2" t="n"/>
      <c r="X39" s="8" t="n"/>
      <c r="Y39" s="8" t="n"/>
    </row>
  </sheetData>
  <dataValidations count="2">
    <dataValidation sqref="C3:C39 H3:H39 M3:M39 R3:R39 W3:W39" showDropDown="0" showInputMessage="1" showErrorMessage="1" allowBlank="1" errorTitle="入力エラー" error="1か2を入力してください" promptTitle="性別" prompt="1=男子 / 2=女子" type="list">
      <formula1>"1,2"</formula1>
      <formula2>0</formula2>
    </dataValidation>
    <dataValidation sqref="E3:E39 J3:J39 O3:O39 T3:T39 Y3:Y39" showDropDown="0" showInputMessage="1" showErrorMessage="1" allowBlank="1" errorTitle="入力エラー" error="赤か白を入力してください" promptTitle="赤or白" prompt="赤 / 白" type="list">
      <formula1>"赤,白"</formula1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S188"/>
  <sheetViews>
    <sheetView workbookViewId="0">
      <selection activeCell="I9" sqref="I9"/>
    </sheetView>
  </sheetViews>
  <sheetFormatPr baseColWidth="8" defaultRowHeight="13.5"/>
  <cols>
    <col width="1.5" customWidth="1" style="11" min="5" max="5"/>
    <col width="5.25" customWidth="1" style="11" min="9" max="9"/>
    <col width="1" customWidth="1" style="11" min="14" max="14"/>
  </cols>
  <sheetData>
    <row r="1">
      <c r="A1" s="0" t="inlineStr">
        <is>
          <t>男子</t>
        </is>
      </c>
      <c r="J1" s="0" t="inlineStr">
        <is>
          <t>女子</t>
        </is>
      </c>
      <c r="S1" s="12">
        <f>IF(計算用!$Q$6&gt;0,"※名前はあるのに性別・タイム・赤白のどれかが未入力で、表に出ていない人が"&amp;計算用!$Q$6&amp;"人います","")</f>
        <v/>
      </c>
    </row>
    <row r="2">
      <c r="B2" s="0" t="inlineStr">
        <is>
          <t>赤組</t>
        </is>
      </c>
      <c r="F2" s="0" t="inlineStr">
        <is>
          <t>白組</t>
        </is>
      </c>
      <c r="K2" s="0" t="inlineStr">
        <is>
          <t>赤組</t>
        </is>
      </c>
      <c r="O2" s="0" t="inlineStr">
        <is>
          <t>白組</t>
        </is>
      </c>
    </row>
    <row r="3">
      <c r="A3" s="9" t="n"/>
      <c r="B3" s="9" t="inlineStr">
        <is>
          <t>名前</t>
        </is>
      </c>
      <c r="C3" s="9" t="inlineStr">
        <is>
          <t>クラス</t>
        </is>
      </c>
      <c r="D3" s="9" t="inlineStr">
        <is>
          <t>タイム</t>
        </is>
      </c>
      <c r="E3" s="10" t="n"/>
      <c r="F3" s="9" t="inlineStr">
        <is>
          <t>名前</t>
        </is>
      </c>
      <c r="G3" s="9" t="inlineStr">
        <is>
          <t>クラス</t>
        </is>
      </c>
      <c r="H3" s="9" t="inlineStr">
        <is>
          <t>タイム</t>
        </is>
      </c>
      <c r="J3" s="9" t="n"/>
      <c r="K3" s="9" t="inlineStr">
        <is>
          <t>名前</t>
        </is>
      </c>
      <c r="L3" s="9" t="inlineStr">
        <is>
          <t>クラス</t>
        </is>
      </c>
      <c r="M3" s="9" t="inlineStr">
        <is>
          <t>タイム</t>
        </is>
      </c>
      <c r="N3" s="10" t="n"/>
      <c r="O3" s="9" t="inlineStr">
        <is>
          <t>名前</t>
        </is>
      </c>
      <c r="P3" s="9" t="inlineStr">
        <is>
          <t>クラス</t>
        </is>
      </c>
      <c r="Q3" s="9" t="inlineStr">
        <is>
          <t>タイム</t>
        </is>
      </c>
    </row>
    <row r="4">
      <c r="A4" s="13">
        <f>IF(ROW()-3&lt;=MAX(計算用!$Q$2,計算用!$Q$3),ROW()-3,"")</f>
        <v/>
      </c>
      <c r="B4" s="13">
        <f>IFERROR(INDEX(計算用!$D$2:$D$186,MATCH("男赤"&amp;$A4,計算用!$L$2:$L$186,0)),"")</f>
        <v/>
      </c>
      <c r="C4" s="13">
        <f>IFERROR(INDEX(計算用!$M$2:$M$186,MATCH("男赤"&amp;$A4,計算用!$L$2:$L$186,0)),"")</f>
        <v/>
      </c>
      <c r="D4" s="14">
        <f>IFERROR(INDEX(計算用!$G$2:$G$186,MATCH("男赤"&amp;$A4,計算用!$L$2:$L$186,0)),"")</f>
        <v/>
      </c>
      <c r="E4" s="13" t="n"/>
      <c r="F4" s="13">
        <f>IFERROR(INDEX(計算用!$D$2:$D$186,MATCH("男白"&amp;$A4,計算用!$L$2:$L$186,0)),"")</f>
        <v/>
      </c>
      <c r="G4" s="13">
        <f>IFERROR(INDEX(計算用!$M$2:$M$186,MATCH("男白"&amp;$A4,計算用!$L$2:$L$186,0)),"")</f>
        <v/>
      </c>
      <c r="H4" s="14">
        <f>IFERROR(INDEX(計算用!$G$2:$G$186,MATCH("男白"&amp;$A4,計算用!$L$2:$L$186,0)),"")</f>
        <v/>
      </c>
      <c r="I4" s="15" t="n"/>
      <c r="J4" s="13">
        <f>IF(ROW()-3&lt;=MAX(計算用!$Q$4,計算用!$Q$5),ROW()-3,"")</f>
        <v/>
      </c>
      <c r="K4" s="13">
        <f>IFERROR(INDEX(計算用!$D$2:$D$186,MATCH("女赤"&amp;$J4,計算用!$L$2:$L$186,0)),"")</f>
        <v/>
      </c>
      <c r="L4" s="13">
        <f>IFERROR(INDEX(計算用!$M$2:$M$186,MATCH("女赤"&amp;$J4,計算用!$L$2:$L$186,0)),"")</f>
        <v/>
      </c>
      <c r="M4" s="14">
        <f>IFERROR(INDEX(計算用!$G$2:$G$186,MATCH("女赤"&amp;$J4,計算用!$L$2:$L$186,0)),"")</f>
        <v/>
      </c>
      <c r="N4" s="13" t="n"/>
      <c r="O4" s="13">
        <f>IFERROR(INDEX(計算用!$D$2:$D$186,MATCH("女白"&amp;$J4,計算用!$L$2:$L$186,0)),"")</f>
        <v/>
      </c>
      <c r="P4" s="13">
        <f>IFERROR(INDEX(計算用!$M$2:$M$186,MATCH("女白"&amp;$J4,計算用!$L$2:$L$186,0)),"")</f>
        <v/>
      </c>
      <c r="Q4" s="14">
        <f>IFERROR(INDEX(計算用!$G$2:$G$186,MATCH("女白"&amp;$J4,計算用!$L$2:$L$186,0)),"")</f>
        <v/>
      </c>
    </row>
    <row r="5">
      <c r="A5" s="13">
        <f>IF(ROW()-3&lt;=MAX(計算用!$Q$2,計算用!$Q$3),ROW()-3,"")</f>
        <v/>
      </c>
      <c r="B5" s="13">
        <f>IFERROR(INDEX(計算用!$D$2:$D$186,MATCH("男赤"&amp;$A5,計算用!$L$2:$L$186,0)),"")</f>
        <v/>
      </c>
      <c r="C5" s="13">
        <f>IFERROR(INDEX(計算用!$M$2:$M$186,MATCH("男赤"&amp;$A5,計算用!$L$2:$L$186,0)),"")</f>
        <v/>
      </c>
      <c r="D5" s="14">
        <f>IFERROR(INDEX(計算用!$G$2:$G$186,MATCH("男赤"&amp;$A5,計算用!$L$2:$L$186,0)),"")</f>
        <v/>
      </c>
      <c r="E5" s="13" t="n"/>
      <c r="F5" s="13">
        <f>IFERROR(INDEX(計算用!$D$2:$D$186,MATCH("男白"&amp;$A5,計算用!$L$2:$L$186,0)),"")</f>
        <v/>
      </c>
      <c r="G5" s="13">
        <f>IFERROR(INDEX(計算用!$M$2:$M$186,MATCH("男白"&amp;$A5,計算用!$L$2:$L$186,0)),"")</f>
        <v/>
      </c>
      <c r="H5" s="14">
        <f>IFERROR(INDEX(計算用!$G$2:$G$186,MATCH("男白"&amp;$A5,計算用!$L$2:$L$186,0)),"")</f>
        <v/>
      </c>
      <c r="I5" s="15" t="n"/>
      <c r="J5" s="13">
        <f>IF(ROW()-3&lt;=MAX(計算用!$Q$4,計算用!$Q$5),ROW()-3,"")</f>
        <v/>
      </c>
      <c r="K5" s="13">
        <f>IFERROR(INDEX(計算用!$D$2:$D$186,MATCH("女赤"&amp;$J5,計算用!$L$2:$L$186,0)),"")</f>
        <v/>
      </c>
      <c r="L5" s="13">
        <f>IFERROR(INDEX(計算用!$M$2:$M$186,MATCH("女赤"&amp;$J5,計算用!$L$2:$L$186,0)),"")</f>
        <v/>
      </c>
      <c r="M5" s="14">
        <f>IFERROR(INDEX(計算用!$G$2:$G$186,MATCH("女赤"&amp;$J5,計算用!$L$2:$L$186,0)),"")</f>
        <v/>
      </c>
      <c r="N5" s="13" t="n"/>
      <c r="O5" s="13">
        <f>IFERROR(INDEX(計算用!$D$2:$D$186,MATCH("女白"&amp;$J5,計算用!$L$2:$L$186,0)),"")</f>
        <v/>
      </c>
      <c r="P5" s="13">
        <f>IFERROR(INDEX(計算用!$M$2:$M$186,MATCH("女白"&amp;$J5,計算用!$L$2:$L$186,0)),"")</f>
        <v/>
      </c>
      <c r="Q5" s="14">
        <f>IFERROR(INDEX(計算用!$G$2:$G$186,MATCH("女白"&amp;$J5,計算用!$L$2:$L$186,0)),"")</f>
        <v/>
      </c>
    </row>
    <row r="6">
      <c r="A6" s="15">
        <f>IF(ROW()-3&lt;=MAX(計算用!$Q$2,計算用!$Q$3),ROW()-3,"")</f>
        <v/>
      </c>
      <c r="B6" s="15">
        <f>IFERROR(INDEX(計算用!$D$2:$D$186,MATCH("男赤"&amp;$A6,計算用!$L$2:$L$186,0)),"")</f>
        <v/>
      </c>
      <c r="C6" s="15">
        <f>IFERROR(INDEX(計算用!$M$2:$M$186,MATCH("男赤"&amp;$A6,計算用!$L$2:$L$186,0)),"")</f>
        <v/>
      </c>
      <c r="D6" s="16">
        <f>IFERROR(INDEX(計算用!$G$2:$G$186,MATCH("男赤"&amp;$A6,計算用!$L$2:$L$186,0)),"")</f>
        <v/>
      </c>
      <c r="E6" s="15" t="n"/>
      <c r="F6" s="15">
        <f>IFERROR(INDEX(計算用!$D$2:$D$186,MATCH("男白"&amp;$A6,計算用!$L$2:$L$186,0)),"")</f>
        <v/>
      </c>
      <c r="G6" s="15">
        <f>IFERROR(INDEX(計算用!$M$2:$M$186,MATCH("男白"&amp;$A6,計算用!$L$2:$L$186,0)),"")</f>
        <v/>
      </c>
      <c r="H6" s="16">
        <f>IFERROR(INDEX(計算用!$G$2:$G$186,MATCH("男白"&amp;$A6,計算用!$L$2:$L$186,0)),"")</f>
        <v/>
      </c>
      <c r="I6" s="15" t="n"/>
      <c r="J6" s="15">
        <f>IF(ROW()-3&lt;=MAX(計算用!$Q$4,計算用!$Q$5),ROW()-3,"")</f>
        <v/>
      </c>
      <c r="K6" s="15">
        <f>IFERROR(INDEX(計算用!$D$2:$D$186,MATCH("女赤"&amp;$J6,計算用!$L$2:$L$186,0)),"")</f>
        <v/>
      </c>
      <c r="L6" s="15">
        <f>IFERROR(INDEX(計算用!$M$2:$M$186,MATCH("女赤"&amp;$J6,計算用!$L$2:$L$186,0)),"")</f>
        <v/>
      </c>
      <c r="M6" s="16">
        <f>IFERROR(INDEX(計算用!$G$2:$G$186,MATCH("女赤"&amp;$J6,計算用!$L$2:$L$186,0)),"")</f>
        <v/>
      </c>
      <c r="N6" s="15" t="n"/>
      <c r="O6" s="15">
        <f>IFERROR(INDEX(計算用!$D$2:$D$186,MATCH("女白"&amp;$J6,計算用!$L$2:$L$186,0)),"")</f>
        <v/>
      </c>
      <c r="P6" s="15">
        <f>IFERROR(INDEX(計算用!$M$2:$M$186,MATCH("女白"&amp;$J6,計算用!$L$2:$L$186,0)),"")</f>
        <v/>
      </c>
      <c r="Q6" s="16">
        <f>IFERROR(INDEX(計算用!$G$2:$G$186,MATCH("女白"&amp;$J6,計算用!$L$2:$L$186,0)),"")</f>
        <v/>
      </c>
    </row>
    <row r="7">
      <c r="A7" s="15">
        <f>IF(ROW()-3&lt;=MAX(計算用!$Q$2,計算用!$Q$3),ROW()-3,"")</f>
        <v/>
      </c>
      <c r="B7" s="15">
        <f>IFERROR(INDEX(計算用!$D$2:$D$186,MATCH("男赤"&amp;$A7,計算用!$L$2:$L$186,0)),"")</f>
        <v/>
      </c>
      <c r="C7" s="15">
        <f>IFERROR(INDEX(計算用!$M$2:$M$186,MATCH("男赤"&amp;$A7,計算用!$L$2:$L$186,0)),"")</f>
        <v/>
      </c>
      <c r="D7" s="16">
        <f>IFERROR(INDEX(計算用!$G$2:$G$186,MATCH("男赤"&amp;$A7,計算用!$L$2:$L$186,0)),"")</f>
        <v/>
      </c>
      <c r="E7" s="15" t="n"/>
      <c r="F7" s="15">
        <f>IFERROR(INDEX(計算用!$D$2:$D$186,MATCH("男白"&amp;$A7,計算用!$L$2:$L$186,0)),"")</f>
        <v/>
      </c>
      <c r="G7" s="15">
        <f>IFERROR(INDEX(計算用!$M$2:$M$186,MATCH("男白"&amp;$A7,計算用!$L$2:$L$186,0)),"")</f>
        <v/>
      </c>
      <c r="H7" s="16">
        <f>IFERROR(INDEX(計算用!$G$2:$G$186,MATCH("男白"&amp;$A7,計算用!$L$2:$L$186,0)),"")</f>
        <v/>
      </c>
      <c r="I7" s="15" t="n"/>
      <c r="J7" s="15">
        <f>IF(ROW()-3&lt;=MAX(計算用!$Q$4,計算用!$Q$5),ROW()-3,"")</f>
        <v/>
      </c>
      <c r="K7" s="15">
        <f>IFERROR(INDEX(計算用!$D$2:$D$186,MATCH("女赤"&amp;$J7,計算用!$L$2:$L$186,0)),"")</f>
        <v/>
      </c>
      <c r="L7" s="15">
        <f>IFERROR(INDEX(計算用!$M$2:$M$186,MATCH("女赤"&amp;$J7,計算用!$L$2:$L$186,0)),"")</f>
        <v/>
      </c>
      <c r="M7" s="16">
        <f>IFERROR(INDEX(計算用!$G$2:$G$186,MATCH("女赤"&amp;$J7,計算用!$L$2:$L$186,0)),"")</f>
        <v/>
      </c>
      <c r="N7" s="15" t="n"/>
      <c r="O7" s="15">
        <f>IFERROR(INDEX(計算用!$D$2:$D$186,MATCH("女白"&amp;$J7,計算用!$L$2:$L$186,0)),"")</f>
        <v/>
      </c>
      <c r="P7" s="15">
        <f>IFERROR(INDEX(計算用!$M$2:$M$186,MATCH("女白"&amp;$J7,計算用!$L$2:$L$186,0)),"")</f>
        <v/>
      </c>
      <c r="Q7" s="16">
        <f>IFERROR(INDEX(計算用!$G$2:$G$186,MATCH("女白"&amp;$J7,計算用!$L$2:$L$186,0)),"")</f>
        <v/>
      </c>
    </row>
    <row r="8">
      <c r="A8" s="15">
        <f>IF(ROW()-3&lt;=MAX(計算用!$Q$2,計算用!$Q$3),ROW()-3,"")</f>
        <v/>
      </c>
      <c r="B8" s="15">
        <f>IFERROR(INDEX(計算用!$D$2:$D$186,MATCH("男赤"&amp;$A8,計算用!$L$2:$L$186,0)),"")</f>
        <v/>
      </c>
      <c r="C8" s="15">
        <f>IFERROR(INDEX(計算用!$M$2:$M$186,MATCH("男赤"&amp;$A8,計算用!$L$2:$L$186,0)),"")</f>
        <v/>
      </c>
      <c r="D8" s="16">
        <f>IFERROR(INDEX(計算用!$G$2:$G$186,MATCH("男赤"&amp;$A8,計算用!$L$2:$L$186,0)),"")</f>
        <v/>
      </c>
      <c r="E8" s="15" t="n"/>
      <c r="F8" s="15">
        <f>IFERROR(INDEX(計算用!$D$2:$D$186,MATCH("男白"&amp;$A8,計算用!$L$2:$L$186,0)),"")</f>
        <v/>
      </c>
      <c r="G8" s="15">
        <f>IFERROR(INDEX(計算用!$M$2:$M$186,MATCH("男白"&amp;$A8,計算用!$L$2:$L$186,0)),"")</f>
        <v/>
      </c>
      <c r="H8" s="16">
        <f>IFERROR(INDEX(計算用!$G$2:$G$186,MATCH("男白"&amp;$A8,計算用!$L$2:$L$186,0)),"")</f>
        <v/>
      </c>
      <c r="I8" s="15" t="n"/>
      <c r="J8" s="15">
        <f>IF(ROW()-3&lt;=MAX(計算用!$Q$4,計算用!$Q$5),ROW()-3,"")</f>
        <v/>
      </c>
      <c r="K8" s="15">
        <f>IFERROR(INDEX(計算用!$D$2:$D$186,MATCH("女赤"&amp;$J8,計算用!$L$2:$L$186,0)),"")</f>
        <v/>
      </c>
      <c r="L8" s="15">
        <f>IFERROR(INDEX(計算用!$M$2:$M$186,MATCH("女赤"&amp;$J8,計算用!$L$2:$L$186,0)),"")</f>
        <v/>
      </c>
      <c r="M8" s="16">
        <f>IFERROR(INDEX(計算用!$G$2:$G$186,MATCH("女赤"&amp;$J8,計算用!$L$2:$L$186,0)),"")</f>
        <v/>
      </c>
      <c r="N8" s="15" t="n"/>
      <c r="O8" s="15">
        <f>IFERROR(INDEX(計算用!$D$2:$D$186,MATCH("女白"&amp;$J8,計算用!$L$2:$L$186,0)),"")</f>
        <v/>
      </c>
      <c r="P8" s="15">
        <f>IFERROR(INDEX(計算用!$M$2:$M$186,MATCH("女白"&amp;$J8,計算用!$L$2:$L$186,0)),"")</f>
        <v/>
      </c>
      <c r="Q8" s="16">
        <f>IFERROR(INDEX(計算用!$G$2:$G$186,MATCH("女白"&amp;$J8,計算用!$L$2:$L$186,0)),"")</f>
        <v/>
      </c>
    </row>
    <row r="9">
      <c r="A9" s="15">
        <f>IF(ROW()-3&lt;=MAX(計算用!$Q$2,計算用!$Q$3),ROW()-3,"")</f>
        <v/>
      </c>
      <c r="B9" s="15">
        <f>IFERROR(INDEX(計算用!$D$2:$D$186,MATCH("男赤"&amp;$A9,計算用!$L$2:$L$186,0)),"")</f>
        <v/>
      </c>
      <c r="C9" s="15">
        <f>IFERROR(INDEX(計算用!$M$2:$M$186,MATCH("男赤"&amp;$A9,計算用!$L$2:$L$186,0)),"")</f>
        <v/>
      </c>
      <c r="D9" s="16">
        <f>IFERROR(INDEX(計算用!$G$2:$G$186,MATCH("男赤"&amp;$A9,計算用!$L$2:$L$186,0)),"")</f>
        <v/>
      </c>
      <c r="E9" s="15" t="n"/>
      <c r="F9" s="15">
        <f>IFERROR(INDEX(計算用!$D$2:$D$186,MATCH("男白"&amp;$A9,計算用!$L$2:$L$186,0)),"")</f>
        <v/>
      </c>
      <c r="G9" s="15">
        <f>IFERROR(INDEX(計算用!$M$2:$M$186,MATCH("男白"&amp;$A9,計算用!$L$2:$L$186,0)),"")</f>
        <v/>
      </c>
      <c r="H9" s="16">
        <f>IFERROR(INDEX(計算用!$G$2:$G$186,MATCH("男白"&amp;$A9,計算用!$L$2:$L$186,0)),"")</f>
        <v/>
      </c>
      <c r="I9" s="15" t="n"/>
      <c r="J9" s="15">
        <f>IF(ROW()-3&lt;=MAX(計算用!$Q$4,計算用!$Q$5),ROW()-3,"")</f>
        <v/>
      </c>
      <c r="K9" s="15">
        <f>IFERROR(INDEX(計算用!$D$2:$D$186,MATCH("女赤"&amp;$J9,計算用!$L$2:$L$186,0)),"")</f>
        <v/>
      </c>
      <c r="L9" s="15">
        <f>IFERROR(INDEX(計算用!$M$2:$M$186,MATCH("女赤"&amp;$J9,計算用!$L$2:$L$186,0)),"")</f>
        <v/>
      </c>
      <c r="M9" s="16">
        <f>IFERROR(INDEX(計算用!$G$2:$G$186,MATCH("女赤"&amp;$J9,計算用!$L$2:$L$186,0)),"")</f>
        <v/>
      </c>
      <c r="N9" s="15" t="n"/>
      <c r="O9" s="15">
        <f>IFERROR(INDEX(計算用!$D$2:$D$186,MATCH("女白"&amp;$J9,計算用!$L$2:$L$186,0)),"")</f>
        <v/>
      </c>
      <c r="P9" s="15">
        <f>IFERROR(INDEX(計算用!$M$2:$M$186,MATCH("女白"&amp;$J9,計算用!$L$2:$L$186,0)),"")</f>
        <v/>
      </c>
      <c r="Q9" s="16">
        <f>IFERROR(INDEX(計算用!$G$2:$G$186,MATCH("女白"&amp;$J9,計算用!$L$2:$L$186,0)),"")</f>
        <v/>
      </c>
    </row>
    <row r="10">
      <c r="A10" s="15">
        <f>IF(ROW()-3&lt;=MAX(計算用!$Q$2,計算用!$Q$3),ROW()-3,"")</f>
        <v/>
      </c>
      <c r="B10" s="15">
        <f>IFERROR(INDEX(計算用!$D$2:$D$186,MATCH("男赤"&amp;$A10,計算用!$L$2:$L$186,0)),"")</f>
        <v/>
      </c>
      <c r="C10" s="15">
        <f>IFERROR(INDEX(計算用!$M$2:$M$186,MATCH("男赤"&amp;$A10,計算用!$L$2:$L$186,0)),"")</f>
        <v/>
      </c>
      <c r="D10" s="16">
        <f>IFERROR(INDEX(計算用!$G$2:$G$186,MATCH("男赤"&amp;$A10,計算用!$L$2:$L$186,0)),"")</f>
        <v/>
      </c>
      <c r="E10" s="15" t="n"/>
      <c r="F10" s="15">
        <f>IFERROR(INDEX(計算用!$D$2:$D$186,MATCH("男白"&amp;$A10,計算用!$L$2:$L$186,0)),"")</f>
        <v/>
      </c>
      <c r="G10" s="15">
        <f>IFERROR(INDEX(計算用!$M$2:$M$186,MATCH("男白"&amp;$A10,計算用!$L$2:$L$186,0)),"")</f>
        <v/>
      </c>
      <c r="H10" s="16">
        <f>IFERROR(INDEX(計算用!$G$2:$G$186,MATCH("男白"&amp;$A10,計算用!$L$2:$L$186,0)),"")</f>
        <v/>
      </c>
      <c r="I10" s="15" t="n"/>
      <c r="J10" s="15">
        <f>IF(ROW()-3&lt;=MAX(計算用!$Q$4,計算用!$Q$5),ROW()-3,"")</f>
        <v/>
      </c>
      <c r="K10" s="15">
        <f>IFERROR(INDEX(計算用!$D$2:$D$186,MATCH("女赤"&amp;$J10,計算用!$L$2:$L$186,0)),"")</f>
        <v/>
      </c>
      <c r="L10" s="15">
        <f>IFERROR(INDEX(計算用!$M$2:$M$186,MATCH("女赤"&amp;$J10,計算用!$L$2:$L$186,0)),"")</f>
        <v/>
      </c>
      <c r="M10" s="16">
        <f>IFERROR(INDEX(計算用!$G$2:$G$186,MATCH("女赤"&amp;$J10,計算用!$L$2:$L$186,0)),"")</f>
        <v/>
      </c>
      <c r="N10" s="15" t="n"/>
      <c r="O10" s="15">
        <f>IFERROR(INDEX(計算用!$D$2:$D$186,MATCH("女白"&amp;$J10,計算用!$L$2:$L$186,0)),"")</f>
        <v/>
      </c>
      <c r="P10" s="15">
        <f>IFERROR(INDEX(計算用!$M$2:$M$186,MATCH("女白"&amp;$J10,計算用!$L$2:$L$186,0)),"")</f>
        <v/>
      </c>
      <c r="Q10" s="16">
        <f>IFERROR(INDEX(計算用!$G$2:$G$186,MATCH("女白"&amp;$J10,計算用!$L$2:$L$186,0)),"")</f>
        <v/>
      </c>
    </row>
    <row r="11">
      <c r="A11" s="15">
        <f>IF(ROW()-3&lt;=MAX(計算用!$Q$2,計算用!$Q$3),ROW()-3,"")</f>
        <v/>
      </c>
      <c r="B11" s="15">
        <f>IFERROR(INDEX(計算用!$D$2:$D$186,MATCH("男赤"&amp;$A11,計算用!$L$2:$L$186,0)),"")</f>
        <v/>
      </c>
      <c r="C11" s="15">
        <f>IFERROR(INDEX(計算用!$M$2:$M$186,MATCH("男赤"&amp;$A11,計算用!$L$2:$L$186,0)),"")</f>
        <v/>
      </c>
      <c r="D11" s="16">
        <f>IFERROR(INDEX(計算用!$G$2:$G$186,MATCH("男赤"&amp;$A11,計算用!$L$2:$L$186,0)),"")</f>
        <v/>
      </c>
      <c r="E11" s="15" t="n"/>
      <c r="F11" s="15">
        <f>IFERROR(INDEX(計算用!$D$2:$D$186,MATCH("男白"&amp;$A11,計算用!$L$2:$L$186,0)),"")</f>
        <v/>
      </c>
      <c r="G11" s="15">
        <f>IFERROR(INDEX(計算用!$M$2:$M$186,MATCH("男白"&amp;$A11,計算用!$L$2:$L$186,0)),"")</f>
        <v/>
      </c>
      <c r="H11" s="16">
        <f>IFERROR(INDEX(計算用!$G$2:$G$186,MATCH("男白"&amp;$A11,計算用!$L$2:$L$186,0)),"")</f>
        <v/>
      </c>
      <c r="I11" s="15" t="n"/>
      <c r="J11" s="15">
        <f>IF(ROW()-3&lt;=MAX(計算用!$Q$4,計算用!$Q$5),ROW()-3,"")</f>
        <v/>
      </c>
      <c r="K11" s="15">
        <f>IFERROR(INDEX(計算用!$D$2:$D$186,MATCH("女赤"&amp;$J11,計算用!$L$2:$L$186,0)),"")</f>
        <v/>
      </c>
      <c r="L11" s="15">
        <f>IFERROR(INDEX(計算用!$M$2:$M$186,MATCH("女赤"&amp;$J11,計算用!$L$2:$L$186,0)),"")</f>
        <v/>
      </c>
      <c r="M11" s="16">
        <f>IFERROR(INDEX(計算用!$G$2:$G$186,MATCH("女赤"&amp;$J11,計算用!$L$2:$L$186,0)),"")</f>
        <v/>
      </c>
      <c r="N11" s="15" t="n"/>
      <c r="O11" s="15">
        <f>IFERROR(INDEX(計算用!$D$2:$D$186,MATCH("女白"&amp;$J11,計算用!$L$2:$L$186,0)),"")</f>
        <v/>
      </c>
      <c r="P11" s="15">
        <f>IFERROR(INDEX(計算用!$M$2:$M$186,MATCH("女白"&amp;$J11,計算用!$L$2:$L$186,0)),"")</f>
        <v/>
      </c>
      <c r="Q11" s="16">
        <f>IFERROR(INDEX(計算用!$G$2:$G$186,MATCH("女白"&amp;$J11,計算用!$L$2:$L$186,0)),"")</f>
        <v/>
      </c>
    </row>
    <row r="12">
      <c r="A12" s="15">
        <f>IF(ROW()-3&lt;=MAX(計算用!$Q$2,計算用!$Q$3),ROW()-3,"")</f>
        <v/>
      </c>
      <c r="B12" s="15">
        <f>IFERROR(INDEX(計算用!$D$2:$D$186,MATCH("男赤"&amp;$A12,計算用!$L$2:$L$186,0)),"")</f>
        <v/>
      </c>
      <c r="C12" s="15">
        <f>IFERROR(INDEX(計算用!$M$2:$M$186,MATCH("男赤"&amp;$A12,計算用!$L$2:$L$186,0)),"")</f>
        <v/>
      </c>
      <c r="D12" s="16">
        <f>IFERROR(INDEX(計算用!$G$2:$G$186,MATCH("男赤"&amp;$A12,計算用!$L$2:$L$186,0)),"")</f>
        <v/>
      </c>
      <c r="E12" s="15" t="n"/>
      <c r="F12" s="15">
        <f>IFERROR(INDEX(計算用!$D$2:$D$186,MATCH("男白"&amp;$A12,計算用!$L$2:$L$186,0)),"")</f>
        <v/>
      </c>
      <c r="G12" s="15">
        <f>IFERROR(INDEX(計算用!$M$2:$M$186,MATCH("男白"&amp;$A12,計算用!$L$2:$L$186,0)),"")</f>
        <v/>
      </c>
      <c r="H12" s="16">
        <f>IFERROR(INDEX(計算用!$G$2:$G$186,MATCH("男白"&amp;$A12,計算用!$L$2:$L$186,0)),"")</f>
        <v/>
      </c>
      <c r="I12" s="15" t="n"/>
      <c r="J12" s="15">
        <f>IF(ROW()-3&lt;=MAX(計算用!$Q$4,計算用!$Q$5),ROW()-3,"")</f>
        <v/>
      </c>
      <c r="K12" s="15">
        <f>IFERROR(INDEX(計算用!$D$2:$D$186,MATCH("女赤"&amp;$J12,計算用!$L$2:$L$186,0)),"")</f>
        <v/>
      </c>
      <c r="L12" s="15">
        <f>IFERROR(INDEX(計算用!$M$2:$M$186,MATCH("女赤"&amp;$J12,計算用!$L$2:$L$186,0)),"")</f>
        <v/>
      </c>
      <c r="M12" s="16">
        <f>IFERROR(INDEX(計算用!$G$2:$G$186,MATCH("女赤"&amp;$J12,計算用!$L$2:$L$186,0)),"")</f>
        <v/>
      </c>
      <c r="N12" s="15" t="n"/>
      <c r="O12" s="15">
        <f>IFERROR(INDEX(計算用!$D$2:$D$186,MATCH("女白"&amp;$J12,計算用!$L$2:$L$186,0)),"")</f>
        <v/>
      </c>
      <c r="P12" s="15">
        <f>IFERROR(INDEX(計算用!$M$2:$M$186,MATCH("女白"&amp;$J12,計算用!$L$2:$L$186,0)),"")</f>
        <v/>
      </c>
      <c r="Q12" s="16">
        <f>IFERROR(INDEX(計算用!$G$2:$G$186,MATCH("女白"&amp;$J12,計算用!$L$2:$L$186,0)),"")</f>
        <v/>
      </c>
    </row>
    <row r="13">
      <c r="A13" s="15">
        <f>IF(ROW()-3&lt;=MAX(計算用!$Q$2,計算用!$Q$3),ROW()-3,"")</f>
        <v/>
      </c>
      <c r="B13" s="15">
        <f>IFERROR(INDEX(計算用!$D$2:$D$186,MATCH("男赤"&amp;$A13,計算用!$L$2:$L$186,0)),"")</f>
        <v/>
      </c>
      <c r="C13" s="15">
        <f>IFERROR(INDEX(計算用!$M$2:$M$186,MATCH("男赤"&amp;$A13,計算用!$L$2:$L$186,0)),"")</f>
        <v/>
      </c>
      <c r="D13" s="16">
        <f>IFERROR(INDEX(計算用!$G$2:$G$186,MATCH("男赤"&amp;$A13,計算用!$L$2:$L$186,0)),"")</f>
        <v/>
      </c>
      <c r="E13" s="15" t="n"/>
      <c r="F13" s="15">
        <f>IFERROR(INDEX(計算用!$D$2:$D$186,MATCH("男白"&amp;$A13,計算用!$L$2:$L$186,0)),"")</f>
        <v/>
      </c>
      <c r="G13" s="15">
        <f>IFERROR(INDEX(計算用!$M$2:$M$186,MATCH("男白"&amp;$A13,計算用!$L$2:$L$186,0)),"")</f>
        <v/>
      </c>
      <c r="H13" s="16">
        <f>IFERROR(INDEX(計算用!$G$2:$G$186,MATCH("男白"&amp;$A13,計算用!$L$2:$L$186,0)),"")</f>
        <v/>
      </c>
      <c r="I13" s="15" t="n"/>
      <c r="J13" s="15">
        <f>IF(ROW()-3&lt;=MAX(計算用!$Q$4,計算用!$Q$5),ROW()-3,"")</f>
        <v/>
      </c>
      <c r="K13" s="15">
        <f>IFERROR(INDEX(計算用!$D$2:$D$186,MATCH("女赤"&amp;$J13,計算用!$L$2:$L$186,0)),"")</f>
        <v/>
      </c>
      <c r="L13" s="15">
        <f>IFERROR(INDEX(計算用!$M$2:$M$186,MATCH("女赤"&amp;$J13,計算用!$L$2:$L$186,0)),"")</f>
        <v/>
      </c>
      <c r="M13" s="16">
        <f>IFERROR(INDEX(計算用!$G$2:$G$186,MATCH("女赤"&amp;$J13,計算用!$L$2:$L$186,0)),"")</f>
        <v/>
      </c>
      <c r="N13" s="15" t="n"/>
      <c r="O13" s="15">
        <f>IFERROR(INDEX(計算用!$D$2:$D$186,MATCH("女白"&amp;$J13,計算用!$L$2:$L$186,0)),"")</f>
        <v/>
      </c>
      <c r="P13" s="15">
        <f>IFERROR(INDEX(計算用!$M$2:$M$186,MATCH("女白"&amp;$J13,計算用!$L$2:$L$186,0)),"")</f>
        <v/>
      </c>
      <c r="Q13" s="16">
        <f>IFERROR(INDEX(計算用!$G$2:$G$186,MATCH("女白"&amp;$J13,計算用!$L$2:$L$186,0)),"")</f>
        <v/>
      </c>
    </row>
    <row r="14">
      <c r="A14" s="15">
        <f>IF(ROW()-3&lt;=MAX(計算用!$Q$2,計算用!$Q$3),ROW()-3,"")</f>
        <v/>
      </c>
      <c r="B14" s="15">
        <f>IFERROR(INDEX(計算用!$D$2:$D$186,MATCH("男赤"&amp;$A14,計算用!$L$2:$L$186,0)),"")</f>
        <v/>
      </c>
      <c r="C14" s="15">
        <f>IFERROR(INDEX(計算用!$M$2:$M$186,MATCH("男赤"&amp;$A14,計算用!$L$2:$L$186,0)),"")</f>
        <v/>
      </c>
      <c r="D14" s="16">
        <f>IFERROR(INDEX(計算用!$G$2:$G$186,MATCH("男赤"&amp;$A14,計算用!$L$2:$L$186,0)),"")</f>
        <v/>
      </c>
      <c r="E14" s="15" t="n"/>
      <c r="F14" s="15">
        <f>IFERROR(INDEX(計算用!$D$2:$D$186,MATCH("男白"&amp;$A14,計算用!$L$2:$L$186,0)),"")</f>
        <v/>
      </c>
      <c r="G14" s="15">
        <f>IFERROR(INDEX(計算用!$M$2:$M$186,MATCH("男白"&amp;$A14,計算用!$L$2:$L$186,0)),"")</f>
        <v/>
      </c>
      <c r="H14" s="16">
        <f>IFERROR(INDEX(計算用!$G$2:$G$186,MATCH("男白"&amp;$A14,計算用!$L$2:$L$186,0)),"")</f>
        <v/>
      </c>
      <c r="I14" s="15" t="n"/>
      <c r="J14" s="15">
        <f>IF(ROW()-3&lt;=MAX(計算用!$Q$4,計算用!$Q$5),ROW()-3,"")</f>
        <v/>
      </c>
      <c r="K14" s="15">
        <f>IFERROR(INDEX(計算用!$D$2:$D$186,MATCH("女赤"&amp;$J14,計算用!$L$2:$L$186,0)),"")</f>
        <v/>
      </c>
      <c r="L14" s="15">
        <f>IFERROR(INDEX(計算用!$M$2:$M$186,MATCH("女赤"&amp;$J14,計算用!$L$2:$L$186,0)),"")</f>
        <v/>
      </c>
      <c r="M14" s="16">
        <f>IFERROR(INDEX(計算用!$G$2:$G$186,MATCH("女赤"&amp;$J14,計算用!$L$2:$L$186,0)),"")</f>
        <v/>
      </c>
      <c r="N14" s="15" t="n"/>
      <c r="O14" s="15">
        <f>IFERROR(INDEX(計算用!$D$2:$D$186,MATCH("女白"&amp;$J14,計算用!$L$2:$L$186,0)),"")</f>
        <v/>
      </c>
      <c r="P14" s="15">
        <f>IFERROR(INDEX(計算用!$M$2:$M$186,MATCH("女白"&amp;$J14,計算用!$L$2:$L$186,0)),"")</f>
        <v/>
      </c>
      <c r="Q14" s="16">
        <f>IFERROR(INDEX(計算用!$G$2:$G$186,MATCH("女白"&amp;$J14,計算用!$L$2:$L$186,0)),"")</f>
        <v/>
      </c>
    </row>
    <row r="15">
      <c r="A15" s="15">
        <f>IF(ROW()-3&lt;=MAX(計算用!$Q$2,計算用!$Q$3),ROW()-3,"")</f>
        <v/>
      </c>
      <c r="B15" s="15">
        <f>IFERROR(INDEX(計算用!$D$2:$D$186,MATCH("男赤"&amp;$A15,計算用!$L$2:$L$186,0)),"")</f>
        <v/>
      </c>
      <c r="C15" s="15">
        <f>IFERROR(INDEX(計算用!$M$2:$M$186,MATCH("男赤"&amp;$A15,計算用!$L$2:$L$186,0)),"")</f>
        <v/>
      </c>
      <c r="D15" s="16">
        <f>IFERROR(INDEX(計算用!$G$2:$G$186,MATCH("男赤"&amp;$A15,計算用!$L$2:$L$186,0)),"")</f>
        <v/>
      </c>
      <c r="E15" s="15" t="n"/>
      <c r="F15" s="15">
        <f>IFERROR(INDEX(計算用!$D$2:$D$186,MATCH("男白"&amp;$A15,計算用!$L$2:$L$186,0)),"")</f>
        <v/>
      </c>
      <c r="G15" s="15">
        <f>IFERROR(INDEX(計算用!$M$2:$M$186,MATCH("男白"&amp;$A15,計算用!$L$2:$L$186,0)),"")</f>
        <v/>
      </c>
      <c r="H15" s="16">
        <f>IFERROR(INDEX(計算用!$G$2:$G$186,MATCH("男白"&amp;$A15,計算用!$L$2:$L$186,0)),"")</f>
        <v/>
      </c>
      <c r="I15" s="15" t="n"/>
      <c r="J15" s="15">
        <f>IF(ROW()-3&lt;=MAX(計算用!$Q$4,計算用!$Q$5),ROW()-3,"")</f>
        <v/>
      </c>
      <c r="K15" s="15">
        <f>IFERROR(INDEX(計算用!$D$2:$D$186,MATCH("女赤"&amp;$J15,計算用!$L$2:$L$186,0)),"")</f>
        <v/>
      </c>
      <c r="L15" s="15">
        <f>IFERROR(INDEX(計算用!$M$2:$M$186,MATCH("女赤"&amp;$J15,計算用!$L$2:$L$186,0)),"")</f>
        <v/>
      </c>
      <c r="M15" s="16">
        <f>IFERROR(INDEX(計算用!$G$2:$G$186,MATCH("女赤"&amp;$J15,計算用!$L$2:$L$186,0)),"")</f>
        <v/>
      </c>
      <c r="N15" s="15" t="n"/>
      <c r="O15" s="15">
        <f>IFERROR(INDEX(計算用!$D$2:$D$186,MATCH("女白"&amp;$J15,計算用!$L$2:$L$186,0)),"")</f>
        <v/>
      </c>
      <c r="P15" s="15">
        <f>IFERROR(INDEX(計算用!$M$2:$M$186,MATCH("女白"&amp;$J15,計算用!$L$2:$L$186,0)),"")</f>
        <v/>
      </c>
      <c r="Q15" s="16">
        <f>IFERROR(INDEX(計算用!$G$2:$G$186,MATCH("女白"&amp;$J15,計算用!$L$2:$L$186,0)),"")</f>
        <v/>
      </c>
    </row>
    <row r="16">
      <c r="A16" s="15">
        <f>IF(ROW()-3&lt;=MAX(計算用!$Q$2,計算用!$Q$3),ROW()-3,"")</f>
        <v/>
      </c>
      <c r="B16" s="15">
        <f>IFERROR(INDEX(計算用!$D$2:$D$186,MATCH("男赤"&amp;$A16,計算用!$L$2:$L$186,0)),"")</f>
        <v/>
      </c>
      <c r="C16" s="15">
        <f>IFERROR(INDEX(計算用!$M$2:$M$186,MATCH("男赤"&amp;$A16,計算用!$L$2:$L$186,0)),"")</f>
        <v/>
      </c>
      <c r="D16" s="16">
        <f>IFERROR(INDEX(計算用!$G$2:$G$186,MATCH("男赤"&amp;$A16,計算用!$L$2:$L$186,0)),"")</f>
        <v/>
      </c>
      <c r="E16" s="15" t="n"/>
      <c r="F16" s="15">
        <f>IFERROR(INDEX(計算用!$D$2:$D$186,MATCH("男白"&amp;$A16,計算用!$L$2:$L$186,0)),"")</f>
        <v/>
      </c>
      <c r="G16" s="15">
        <f>IFERROR(INDEX(計算用!$M$2:$M$186,MATCH("男白"&amp;$A16,計算用!$L$2:$L$186,0)),"")</f>
        <v/>
      </c>
      <c r="H16" s="16">
        <f>IFERROR(INDEX(計算用!$G$2:$G$186,MATCH("男白"&amp;$A16,計算用!$L$2:$L$186,0)),"")</f>
        <v/>
      </c>
      <c r="I16" s="15" t="n"/>
      <c r="J16" s="15">
        <f>IF(ROW()-3&lt;=MAX(計算用!$Q$4,計算用!$Q$5),ROW()-3,"")</f>
        <v/>
      </c>
      <c r="K16" s="15">
        <f>IFERROR(INDEX(計算用!$D$2:$D$186,MATCH("女赤"&amp;$J16,計算用!$L$2:$L$186,0)),"")</f>
        <v/>
      </c>
      <c r="L16" s="15">
        <f>IFERROR(INDEX(計算用!$M$2:$M$186,MATCH("女赤"&amp;$J16,計算用!$L$2:$L$186,0)),"")</f>
        <v/>
      </c>
      <c r="M16" s="16">
        <f>IFERROR(INDEX(計算用!$G$2:$G$186,MATCH("女赤"&amp;$J16,計算用!$L$2:$L$186,0)),"")</f>
        <v/>
      </c>
      <c r="N16" s="15" t="n"/>
      <c r="O16" s="15">
        <f>IFERROR(INDEX(計算用!$D$2:$D$186,MATCH("女白"&amp;$J16,計算用!$L$2:$L$186,0)),"")</f>
        <v/>
      </c>
      <c r="P16" s="15">
        <f>IFERROR(INDEX(計算用!$M$2:$M$186,MATCH("女白"&amp;$J16,計算用!$L$2:$L$186,0)),"")</f>
        <v/>
      </c>
      <c r="Q16" s="16">
        <f>IFERROR(INDEX(計算用!$G$2:$G$186,MATCH("女白"&amp;$J16,計算用!$L$2:$L$186,0)),"")</f>
        <v/>
      </c>
    </row>
    <row r="17">
      <c r="A17" s="15">
        <f>IF(ROW()-3&lt;=MAX(計算用!$Q$2,計算用!$Q$3),ROW()-3,"")</f>
        <v/>
      </c>
      <c r="B17" s="15">
        <f>IFERROR(INDEX(計算用!$D$2:$D$186,MATCH("男赤"&amp;$A17,計算用!$L$2:$L$186,0)),"")</f>
        <v/>
      </c>
      <c r="C17" s="15">
        <f>IFERROR(INDEX(計算用!$M$2:$M$186,MATCH("男赤"&amp;$A17,計算用!$L$2:$L$186,0)),"")</f>
        <v/>
      </c>
      <c r="D17" s="16">
        <f>IFERROR(INDEX(計算用!$G$2:$G$186,MATCH("男赤"&amp;$A17,計算用!$L$2:$L$186,0)),"")</f>
        <v/>
      </c>
      <c r="E17" s="15" t="n"/>
      <c r="F17" s="15">
        <f>IFERROR(INDEX(計算用!$D$2:$D$186,MATCH("男白"&amp;$A17,計算用!$L$2:$L$186,0)),"")</f>
        <v/>
      </c>
      <c r="G17" s="15">
        <f>IFERROR(INDEX(計算用!$M$2:$M$186,MATCH("男白"&amp;$A17,計算用!$L$2:$L$186,0)),"")</f>
        <v/>
      </c>
      <c r="H17" s="16">
        <f>IFERROR(INDEX(計算用!$G$2:$G$186,MATCH("男白"&amp;$A17,計算用!$L$2:$L$186,0)),"")</f>
        <v/>
      </c>
      <c r="I17" s="15" t="n"/>
      <c r="J17" s="15">
        <f>IF(ROW()-3&lt;=MAX(計算用!$Q$4,計算用!$Q$5),ROW()-3,"")</f>
        <v/>
      </c>
      <c r="K17" s="15">
        <f>IFERROR(INDEX(計算用!$D$2:$D$186,MATCH("女赤"&amp;$J17,計算用!$L$2:$L$186,0)),"")</f>
        <v/>
      </c>
      <c r="L17" s="15">
        <f>IFERROR(INDEX(計算用!$M$2:$M$186,MATCH("女赤"&amp;$J17,計算用!$L$2:$L$186,0)),"")</f>
        <v/>
      </c>
      <c r="M17" s="16">
        <f>IFERROR(INDEX(計算用!$G$2:$G$186,MATCH("女赤"&amp;$J17,計算用!$L$2:$L$186,0)),"")</f>
        <v/>
      </c>
      <c r="N17" s="15" t="n"/>
      <c r="O17" s="15">
        <f>IFERROR(INDEX(計算用!$D$2:$D$186,MATCH("女白"&amp;$J17,計算用!$L$2:$L$186,0)),"")</f>
        <v/>
      </c>
      <c r="P17" s="15">
        <f>IFERROR(INDEX(計算用!$M$2:$M$186,MATCH("女白"&amp;$J17,計算用!$L$2:$L$186,0)),"")</f>
        <v/>
      </c>
      <c r="Q17" s="16">
        <f>IFERROR(INDEX(計算用!$G$2:$G$186,MATCH("女白"&amp;$J17,計算用!$L$2:$L$186,0)),"")</f>
        <v/>
      </c>
    </row>
    <row r="18">
      <c r="A18" s="15">
        <f>IF(ROW()-3&lt;=MAX(計算用!$Q$2,計算用!$Q$3),ROW()-3,"")</f>
        <v/>
      </c>
      <c r="B18" s="15">
        <f>IFERROR(INDEX(計算用!$D$2:$D$186,MATCH("男赤"&amp;$A18,計算用!$L$2:$L$186,0)),"")</f>
        <v/>
      </c>
      <c r="C18" s="15">
        <f>IFERROR(INDEX(計算用!$M$2:$M$186,MATCH("男赤"&amp;$A18,計算用!$L$2:$L$186,0)),"")</f>
        <v/>
      </c>
      <c r="D18" s="16">
        <f>IFERROR(INDEX(計算用!$G$2:$G$186,MATCH("男赤"&amp;$A18,計算用!$L$2:$L$186,0)),"")</f>
        <v/>
      </c>
      <c r="E18" s="15" t="n"/>
      <c r="F18" s="15">
        <f>IFERROR(INDEX(計算用!$D$2:$D$186,MATCH("男白"&amp;$A18,計算用!$L$2:$L$186,0)),"")</f>
        <v/>
      </c>
      <c r="G18" s="15">
        <f>IFERROR(INDEX(計算用!$M$2:$M$186,MATCH("男白"&amp;$A18,計算用!$L$2:$L$186,0)),"")</f>
        <v/>
      </c>
      <c r="H18" s="16">
        <f>IFERROR(INDEX(計算用!$G$2:$G$186,MATCH("男白"&amp;$A18,計算用!$L$2:$L$186,0)),"")</f>
        <v/>
      </c>
      <c r="I18" s="15" t="n"/>
      <c r="J18" s="15">
        <f>IF(ROW()-3&lt;=MAX(計算用!$Q$4,計算用!$Q$5),ROW()-3,"")</f>
        <v/>
      </c>
      <c r="K18" s="15">
        <f>IFERROR(INDEX(計算用!$D$2:$D$186,MATCH("女赤"&amp;$J18,計算用!$L$2:$L$186,0)),"")</f>
        <v/>
      </c>
      <c r="L18" s="15">
        <f>IFERROR(INDEX(計算用!$M$2:$M$186,MATCH("女赤"&amp;$J18,計算用!$L$2:$L$186,0)),"")</f>
        <v/>
      </c>
      <c r="M18" s="16">
        <f>IFERROR(INDEX(計算用!$G$2:$G$186,MATCH("女赤"&amp;$J18,計算用!$L$2:$L$186,0)),"")</f>
        <v/>
      </c>
      <c r="N18" s="15" t="n"/>
      <c r="O18" s="15">
        <f>IFERROR(INDEX(計算用!$D$2:$D$186,MATCH("女白"&amp;$J18,計算用!$L$2:$L$186,0)),"")</f>
        <v/>
      </c>
      <c r="P18" s="15">
        <f>IFERROR(INDEX(計算用!$M$2:$M$186,MATCH("女白"&amp;$J18,計算用!$L$2:$L$186,0)),"")</f>
        <v/>
      </c>
      <c r="Q18" s="16">
        <f>IFERROR(INDEX(計算用!$G$2:$G$186,MATCH("女白"&amp;$J18,計算用!$L$2:$L$186,0)),"")</f>
        <v/>
      </c>
    </row>
    <row r="19">
      <c r="A19" s="15">
        <f>IF(ROW()-3&lt;=MAX(計算用!$Q$2,計算用!$Q$3),ROW()-3,"")</f>
        <v/>
      </c>
      <c r="B19" s="15">
        <f>IFERROR(INDEX(計算用!$D$2:$D$186,MATCH("男赤"&amp;$A19,計算用!$L$2:$L$186,0)),"")</f>
        <v/>
      </c>
      <c r="C19" s="15">
        <f>IFERROR(INDEX(計算用!$M$2:$M$186,MATCH("男赤"&amp;$A19,計算用!$L$2:$L$186,0)),"")</f>
        <v/>
      </c>
      <c r="D19" s="16">
        <f>IFERROR(INDEX(計算用!$G$2:$G$186,MATCH("男赤"&amp;$A19,計算用!$L$2:$L$186,0)),"")</f>
        <v/>
      </c>
      <c r="E19" s="15" t="n"/>
      <c r="F19" s="15">
        <f>IFERROR(INDEX(計算用!$D$2:$D$186,MATCH("男白"&amp;$A19,計算用!$L$2:$L$186,0)),"")</f>
        <v/>
      </c>
      <c r="G19" s="15">
        <f>IFERROR(INDEX(計算用!$M$2:$M$186,MATCH("男白"&amp;$A19,計算用!$L$2:$L$186,0)),"")</f>
        <v/>
      </c>
      <c r="H19" s="16">
        <f>IFERROR(INDEX(計算用!$G$2:$G$186,MATCH("男白"&amp;$A19,計算用!$L$2:$L$186,0)),"")</f>
        <v/>
      </c>
      <c r="I19" s="15" t="n"/>
      <c r="J19" s="15">
        <f>IF(ROW()-3&lt;=MAX(計算用!$Q$4,計算用!$Q$5),ROW()-3,"")</f>
        <v/>
      </c>
      <c r="K19" s="15">
        <f>IFERROR(INDEX(計算用!$D$2:$D$186,MATCH("女赤"&amp;$J19,計算用!$L$2:$L$186,0)),"")</f>
        <v/>
      </c>
      <c r="L19" s="15">
        <f>IFERROR(INDEX(計算用!$M$2:$M$186,MATCH("女赤"&amp;$J19,計算用!$L$2:$L$186,0)),"")</f>
        <v/>
      </c>
      <c r="M19" s="16">
        <f>IFERROR(INDEX(計算用!$G$2:$G$186,MATCH("女赤"&amp;$J19,計算用!$L$2:$L$186,0)),"")</f>
        <v/>
      </c>
      <c r="N19" s="15" t="n"/>
      <c r="O19" s="15">
        <f>IFERROR(INDEX(計算用!$D$2:$D$186,MATCH("女白"&amp;$J19,計算用!$L$2:$L$186,0)),"")</f>
        <v/>
      </c>
      <c r="P19" s="15">
        <f>IFERROR(INDEX(計算用!$M$2:$M$186,MATCH("女白"&amp;$J19,計算用!$L$2:$L$186,0)),"")</f>
        <v/>
      </c>
      <c r="Q19" s="16">
        <f>IFERROR(INDEX(計算用!$G$2:$G$186,MATCH("女白"&amp;$J19,計算用!$L$2:$L$186,0)),"")</f>
        <v/>
      </c>
    </row>
    <row r="20">
      <c r="A20" s="15">
        <f>IF(ROW()-3&lt;=MAX(計算用!$Q$2,計算用!$Q$3),ROW()-3,"")</f>
        <v/>
      </c>
      <c r="B20" s="15">
        <f>IFERROR(INDEX(計算用!$D$2:$D$186,MATCH("男赤"&amp;$A20,計算用!$L$2:$L$186,0)),"")</f>
        <v/>
      </c>
      <c r="C20" s="15">
        <f>IFERROR(INDEX(計算用!$M$2:$M$186,MATCH("男赤"&amp;$A20,計算用!$L$2:$L$186,0)),"")</f>
        <v/>
      </c>
      <c r="D20" s="16">
        <f>IFERROR(INDEX(計算用!$G$2:$G$186,MATCH("男赤"&amp;$A20,計算用!$L$2:$L$186,0)),"")</f>
        <v/>
      </c>
      <c r="E20" s="15" t="n"/>
      <c r="F20" s="15">
        <f>IFERROR(INDEX(計算用!$D$2:$D$186,MATCH("男白"&amp;$A20,計算用!$L$2:$L$186,0)),"")</f>
        <v/>
      </c>
      <c r="G20" s="15">
        <f>IFERROR(INDEX(計算用!$M$2:$M$186,MATCH("男白"&amp;$A20,計算用!$L$2:$L$186,0)),"")</f>
        <v/>
      </c>
      <c r="H20" s="16">
        <f>IFERROR(INDEX(計算用!$G$2:$G$186,MATCH("男白"&amp;$A20,計算用!$L$2:$L$186,0)),"")</f>
        <v/>
      </c>
      <c r="I20" s="15" t="n"/>
      <c r="J20" s="15">
        <f>IF(ROW()-3&lt;=MAX(計算用!$Q$4,計算用!$Q$5),ROW()-3,"")</f>
        <v/>
      </c>
      <c r="K20" s="15">
        <f>IFERROR(INDEX(計算用!$D$2:$D$186,MATCH("女赤"&amp;$J20,計算用!$L$2:$L$186,0)),"")</f>
        <v/>
      </c>
      <c r="L20" s="15">
        <f>IFERROR(INDEX(計算用!$M$2:$M$186,MATCH("女赤"&amp;$J20,計算用!$L$2:$L$186,0)),"")</f>
        <v/>
      </c>
      <c r="M20" s="16">
        <f>IFERROR(INDEX(計算用!$G$2:$G$186,MATCH("女赤"&amp;$J20,計算用!$L$2:$L$186,0)),"")</f>
        <v/>
      </c>
      <c r="N20" s="15" t="n"/>
      <c r="O20" s="15">
        <f>IFERROR(INDEX(計算用!$D$2:$D$186,MATCH("女白"&amp;$J20,計算用!$L$2:$L$186,0)),"")</f>
        <v/>
      </c>
      <c r="P20" s="15">
        <f>IFERROR(INDEX(計算用!$M$2:$M$186,MATCH("女白"&amp;$J20,計算用!$L$2:$L$186,0)),"")</f>
        <v/>
      </c>
      <c r="Q20" s="16">
        <f>IFERROR(INDEX(計算用!$G$2:$G$186,MATCH("女白"&amp;$J20,計算用!$L$2:$L$186,0)),"")</f>
        <v/>
      </c>
    </row>
    <row r="21">
      <c r="A21" s="15">
        <f>IF(ROW()-3&lt;=MAX(計算用!$Q$2,計算用!$Q$3),ROW()-3,"")</f>
        <v/>
      </c>
      <c r="B21" s="15">
        <f>IFERROR(INDEX(計算用!$D$2:$D$186,MATCH("男赤"&amp;$A21,計算用!$L$2:$L$186,0)),"")</f>
        <v/>
      </c>
      <c r="C21" s="15">
        <f>IFERROR(INDEX(計算用!$M$2:$M$186,MATCH("男赤"&amp;$A21,計算用!$L$2:$L$186,0)),"")</f>
        <v/>
      </c>
      <c r="D21" s="16">
        <f>IFERROR(INDEX(計算用!$G$2:$G$186,MATCH("男赤"&amp;$A21,計算用!$L$2:$L$186,0)),"")</f>
        <v/>
      </c>
      <c r="E21" s="15" t="n"/>
      <c r="F21" s="15">
        <f>IFERROR(INDEX(計算用!$D$2:$D$186,MATCH("男白"&amp;$A21,計算用!$L$2:$L$186,0)),"")</f>
        <v/>
      </c>
      <c r="G21" s="15">
        <f>IFERROR(INDEX(計算用!$M$2:$M$186,MATCH("男白"&amp;$A21,計算用!$L$2:$L$186,0)),"")</f>
        <v/>
      </c>
      <c r="H21" s="16">
        <f>IFERROR(INDEX(計算用!$G$2:$G$186,MATCH("男白"&amp;$A21,計算用!$L$2:$L$186,0)),"")</f>
        <v/>
      </c>
      <c r="I21" s="15" t="n"/>
      <c r="J21" s="15">
        <f>IF(ROW()-3&lt;=MAX(計算用!$Q$4,計算用!$Q$5),ROW()-3,"")</f>
        <v/>
      </c>
      <c r="K21" s="15">
        <f>IFERROR(INDEX(計算用!$D$2:$D$186,MATCH("女赤"&amp;$J21,計算用!$L$2:$L$186,0)),"")</f>
        <v/>
      </c>
      <c r="L21" s="15">
        <f>IFERROR(INDEX(計算用!$M$2:$M$186,MATCH("女赤"&amp;$J21,計算用!$L$2:$L$186,0)),"")</f>
        <v/>
      </c>
      <c r="M21" s="16">
        <f>IFERROR(INDEX(計算用!$G$2:$G$186,MATCH("女赤"&amp;$J21,計算用!$L$2:$L$186,0)),"")</f>
        <v/>
      </c>
      <c r="N21" s="15" t="n"/>
      <c r="O21" s="15">
        <f>IFERROR(INDEX(計算用!$D$2:$D$186,MATCH("女白"&amp;$J21,計算用!$L$2:$L$186,0)),"")</f>
        <v/>
      </c>
      <c r="P21" s="15">
        <f>IFERROR(INDEX(計算用!$M$2:$M$186,MATCH("女白"&amp;$J21,計算用!$L$2:$L$186,0)),"")</f>
        <v/>
      </c>
      <c r="Q21" s="16">
        <f>IFERROR(INDEX(計算用!$G$2:$G$186,MATCH("女白"&amp;$J21,計算用!$L$2:$L$186,0)),"")</f>
        <v/>
      </c>
    </row>
    <row r="22">
      <c r="A22" s="15">
        <f>IF(ROW()-3&lt;=MAX(計算用!$Q$2,計算用!$Q$3),ROW()-3,"")</f>
        <v/>
      </c>
      <c r="B22" s="15">
        <f>IFERROR(INDEX(計算用!$D$2:$D$186,MATCH("男赤"&amp;$A22,計算用!$L$2:$L$186,0)),"")</f>
        <v/>
      </c>
      <c r="C22" s="15">
        <f>IFERROR(INDEX(計算用!$M$2:$M$186,MATCH("男赤"&amp;$A22,計算用!$L$2:$L$186,0)),"")</f>
        <v/>
      </c>
      <c r="D22" s="16">
        <f>IFERROR(INDEX(計算用!$G$2:$G$186,MATCH("男赤"&amp;$A22,計算用!$L$2:$L$186,0)),"")</f>
        <v/>
      </c>
      <c r="E22" s="15" t="n"/>
      <c r="F22" s="15">
        <f>IFERROR(INDEX(計算用!$D$2:$D$186,MATCH("男白"&amp;$A22,計算用!$L$2:$L$186,0)),"")</f>
        <v/>
      </c>
      <c r="G22" s="15">
        <f>IFERROR(INDEX(計算用!$M$2:$M$186,MATCH("男白"&amp;$A22,計算用!$L$2:$L$186,0)),"")</f>
        <v/>
      </c>
      <c r="H22" s="16">
        <f>IFERROR(INDEX(計算用!$G$2:$G$186,MATCH("男白"&amp;$A22,計算用!$L$2:$L$186,0)),"")</f>
        <v/>
      </c>
      <c r="I22" s="15" t="n"/>
      <c r="J22" s="15">
        <f>IF(ROW()-3&lt;=MAX(計算用!$Q$4,計算用!$Q$5),ROW()-3,"")</f>
        <v/>
      </c>
      <c r="K22" s="15">
        <f>IFERROR(INDEX(計算用!$D$2:$D$186,MATCH("女赤"&amp;$J22,計算用!$L$2:$L$186,0)),"")</f>
        <v/>
      </c>
      <c r="L22" s="15">
        <f>IFERROR(INDEX(計算用!$M$2:$M$186,MATCH("女赤"&amp;$J22,計算用!$L$2:$L$186,0)),"")</f>
        <v/>
      </c>
      <c r="M22" s="16">
        <f>IFERROR(INDEX(計算用!$G$2:$G$186,MATCH("女赤"&amp;$J22,計算用!$L$2:$L$186,0)),"")</f>
        <v/>
      </c>
      <c r="N22" s="15" t="n"/>
      <c r="O22" s="15">
        <f>IFERROR(INDEX(計算用!$D$2:$D$186,MATCH("女白"&amp;$J22,計算用!$L$2:$L$186,0)),"")</f>
        <v/>
      </c>
      <c r="P22" s="15">
        <f>IFERROR(INDEX(計算用!$M$2:$M$186,MATCH("女白"&amp;$J22,計算用!$L$2:$L$186,0)),"")</f>
        <v/>
      </c>
      <c r="Q22" s="16">
        <f>IFERROR(INDEX(計算用!$G$2:$G$186,MATCH("女白"&amp;$J22,計算用!$L$2:$L$186,0)),"")</f>
        <v/>
      </c>
    </row>
    <row r="23">
      <c r="A23" s="15">
        <f>IF(ROW()-3&lt;=MAX(計算用!$Q$2,計算用!$Q$3),ROW()-3,"")</f>
        <v/>
      </c>
      <c r="B23" s="15">
        <f>IFERROR(INDEX(計算用!$D$2:$D$186,MATCH("男赤"&amp;$A23,計算用!$L$2:$L$186,0)),"")</f>
        <v/>
      </c>
      <c r="C23" s="15">
        <f>IFERROR(INDEX(計算用!$M$2:$M$186,MATCH("男赤"&amp;$A23,計算用!$L$2:$L$186,0)),"")</f>
        <v/>
      </c>
      <c r="D23" s="16">
        <f>IFERROR(INDEX(計算用!$G$2:$G$186,MATCH("男赤"&amp;$A23,計算用!$L$2:$L$186,0)),"")</f>
        <v/>
      </c>
      <c r="E23" s="15" t="n"/>
      <c r="F23" s="15">
        <f>IFERROR(INDEX(計算用!$D$2:$D$186,MATCH("男白"&amp;$A23,計算用!$L$2:$L$186,0)),"")</f>
        <v/>
      </c>
      <c r="G23" s="15">
        <f>IFERROR(INDEX(計算用!$M$2:$M$186,MATCH("男白"&amp;$A23,計算用!$L$2:$L$186,0)),"")</f>
        <v/>
      </c>
      <c r="H23" s="16">
        <f>IFERROR(INDEX(計算用!$G$2:$G$186,MATCH("男白"&amp;$A23,計算用!$L$2:$L$186,0)),"")</f>
        <v/>
      </c>
      <c r="I23" s="15" t="n"/>
      <c r="J23" s="15">
        <f>IF(ROW()-3&lt;=MAX(計算用!$Q$4,計算用!$Q$5),ROW()-3,"")</f>
        <v/>
      </c>
      <c r="K23" s="15">
        <f>IFERROR(INDEX(計算用!$D$2:$D$186,MATCH("女赤"&amp;$J23,計算用!$L$2:$L$186,0)),"")</f>
        <v/>
      </c>
      <c r="L23" s="15">
        <f>IFERROR(INDEX(計算用!$M$2:$M$186,MATCH("女赤"&amp;$J23,計算用!$L$2:$L$186,0)),"")</f>
        <v/>
      </c>
      <c r="M23" s="16">
        <f>IFERROR(INDEX(計算用!$G$2:$G$186,MATCH("女赤"&amp;$J23,計算用!$L$2:$L$186,0)),"")</f>
        <v/>
      </c>
      <c r="N23" s="15" t="n"/>
      <c r="O23" s="15">
        <f>IFERROR(INDEX(計算用!$D$2:$D$186,MATCH("女白"&amp;$J23,計算用!$L$2:$L$186,0)),"")</f>
        <v/>
      </c>
      <c r="P23" s="15">
        <f>IFERROR(INDEX(計算用!$M$2:$M$186,MATCH("女白"&amp;$J23,計算用!$L$2:$L$186,0)),"")</f>
        <v/>
      </c>
      <c r="Q23" s="16">
        <f>IFERROR(INDEX(計算用!$G$2:$G$186,MATCH("女白"&amp;$J23,計算用!$L$2:$L$186,0)),"")</f>
        <v/>
      </c>
    </row>
    <row r="24">
      <c r="A24" s="15">
        <f>IF(ROW()-3&lt;=MAX(計算用!$Q$2,計算用!$Q$3),ROW()-3,"")</f>
        <v/>
      </c>
      <c r="B24" s="15">
        <f>IFERROR(INDEX(計算用!$D$2:$D$186,MATCH("男赤"&amp;$A24,計算用!$L$2:$L$186,0)),"")</f>
        <v/>
      </c>
      <c r="C24" s="15">
        <f>IFERROR(INDEX(計算用!$M$2:$M$186,MATCH("男赤"&amp;$A24,計算用!$L$2:$L$186,0)),"")</f>
        <v/>
      </c>
      <c r="D24" s="16">
        <f>IFERROR(INDEX(計算用!$G$2:$G$186,MATCH("男赤"&amp;$A24,計算用!$L$2:$L$186,0)),"")</f>
        <v/>
      </c>
      <c r="E24" s="15" t="n"/>
      <c r="F24" s="15">
        <f>IFERROR(INDEX(計算用!$D$2:$D$186,MATCH("男白"&amp;$A24,計算用!$L$2:$L$186,0)),"")</f>
        <v/>
      </c>
      <c r="G24" s="15">
        <f>IFERROR(INDEX(計算用!$M$2:$M$186,MATCH("男白"&amp;$A24,計算用!$L$2:$L$186,0)),"")</f>
        <v/>
      </c>
      <c r="H24" s="16">
        <f>IFERROR(INDEX(計算用!$G$2:$G$186,MATCH("男白"&amp;$A24,計算用!$L$2:$L$186,0)),"")</f>
        <v/>
      </c>
      <c r="I24" s="15" t="n"/>
      <c r="J24" s="15">
        <f>IF(ROW()-3&lt;=MAX(計算用!$Q$4,計算用!$Q$5),ROW()-3,"")</f>
        <v/>
      </c>
      <c r="K24" s="15">
        <f>IFERROR(INDEX(計算用!$D$2:$D$186,MATCH("女赤"&amp;$J24,計算用!$L$2:$L$186,0)),"")</f>
        <v/>
      </c>
      <c r="L24" s="15">
        <f>IFERROR(INDEX(計算用!$M$2:$M$186,MATCH("女赤"&amp;$J24,計算用!$L$2:$L$186,0)),"")</f>
        <v/>
      </c>
      <c r="M24" s="16">
        <f>IFERROR(INDEX(計算用!$G$2:$G$186,MATCH("女赤"&amp;$J24,計算用!$L$2:$L$186,0)),"")</f>
        <v/>
      </c>
      <c r="N24" s="15" t="n"/>
      <c r="O24" s="15">
        <f>IFERROR(INDEX(計算用!$D$2:$D$186,MATCH("女白"&amp;$J24,計算用!$L$2:$L$186,0)),"")</f>
        <v/>
      </c>
      <c r="P24" s="15">
        <f>IFERROR(INDEX(計算用!$M$2:$M$186,MATCH("女白"&amp;$J24,計算用!$L$2:$L$186,0)),"")</f>
        <v/>
      </c>
      <c r="Q24" s="16">
        <f>IFERROR(INDEX(計算用!$G$2:$G$186,MATCH("女白"&amp;$J24,計算用!$L$2:$L$186,0)),"")</f>
        <v/>
      </c>
    </row>
    <row r="25">
      <c r="A25" s="15">
        <f>IF(ROW()-3&lt;=MAX(計算用!$Q$2,計算用!$Q$3),ROW()-3,"")</f>
        <v/>
      </c>
      <c r="B25" s="15">
        <f>IFERROR(INDEX(計算用!$D$2:$D$186,MATCH("男赤"&amp;$A25,計算用!$L$2:$L$186,0)),"")</f>
        <v/>
      </c>
      <c r="C25" s="15">
        <f>IFERROR(INDEX(計算用!$M$2:$M$186,MATCH("男赤"&amp;$A25,計算用!$L$2:$L$186,0)),"")</f>
        <v/>
      </c>
      <c r="D25" s="16">
        <f>IFERROR(INDEX(計算用!$G$2:$G$186,MATCH("男赤"&amp;$A25,計算用!$L$2:$L$186,0)),"")</f>
        <v/>
      </c>
      <c r="E25" s="15" t="n"/>
      <c r="F25" s="15">
        <f>IFERROR(INDEX(計算用!$D$2:$D$186,MATCH("男白"&amp;$A25,計算用!$L$2:$L$186,0)),"")</f>
        <v/>
      </c>
      <c r="G25" s="15">
        <f>IFERROR(INDEX(計算用!$M$2:$M$186,MATCH("男白"&amp;$A25,計算用!$L$2:$L$186,0)),"")</f>
        <v/>
      </c>
      <c r="H25" s="16">
        <f>IFERROR(INDEX(計算用!$G$2:$G$186,MATCH("男白"&amp;$A25,計算用!$L$2:$L$186,0)),"")</f>
        <v/>
      </c>
      <c r="I25" s="15" t="n"/>
      <c r="J25" s="15">
        <f>IF(ROW()-3&lt;=MAX(計算用!$Q$4,計算用!$Q$5),ROW()-3,"")</f>
        <v/>
      </c>
      <c r="K25" s="15">
        <f>IFERROR(INDEX(計算用!$D$2:$D$186,MATCH("女赤"&amp;$J25,計算用!$L$2:$L$186,0)),"")</f>
        <v/>
      </c>
      <c r="L25" s="15">
        <f>IFERROR(INDEX(計算用!$M$2:$M$186,MATCH("女赤"&amp;$J25,計算用!$L$2:$L$186,0)),"")</f>
        <v/>
      </c>
      <c r="M25" s="16">
        <f>IFERROR(INDEX(計算用!$G$2:$G$186,MATCH("女赤"&amp;$J25,計算用!$L$2:$L$186,0)),"")</f>
        <v/>
      </c>
      <c r="N25" s="15" t="n"/>
      <c r="O25" s="15">
        <f>IFERROR(INDEX(計算用!$D$2:$D$186,MATCH("女白"&amp;$J25,計算用!$L$2:$L$186,0)),"")</f>
        <v/>
      </c>
      <c r="P25" s="15">
        <f>IFERROR(INDEX(計算用!$M$2:$M$186,MATCH("女白"&amp;$J25,計算用!$L$2:$L$186,0)),"")</f>
        <v/>
      </c>
      <c r="Q25" s="16">
        <f>IFERROR(INDEX(計算用!$G$2:$G$186,MATCH("女白"&amp;$J25,計算用!$L$2:$L$186,0)),"")</f>
        <v/>
      </c>
    </row>
    <row r="26">
      <c r="A26" s="15">
        <f>IF(ROW()-3&lt;=MAX(計算用!$Q$2,計算用!$Q$3),ROW()-3,"")</f>
        <v/>
      </c>
      <c r="B26" s="15">
        <f>IFERROR(INDEX(計算用!$D$2:$D$186,MATCH("男赤"&amp;$A26,計算用!$L$2:$L$186,0)),"")</f>
        <v/>
      </c>
      <c r="C26" s="15">
        <f>IFERROR(INDEX(計算用!$M$2:$M$186,MATCH("男赤"&amp;$A26,計算用!$L$2:$L$186,0)),"")</f>
        <v/>
      </c>
      <c r="D26" s="16">
        <f>IFERROR(INDEX(計算用!$G$2:$G$186,MATCH("男赤"&amp;$A26,計算用!$L$2:$L$186,0)),"")</f>
        <v/>
      </c>
      <c r="E26" s="15" t="n"/>
      <c r="F26" s="15">
        <f>IFERROR(INDEX(計算用!$D$2:$D$186,MATCH("男白"&amp;$A26,計算用!$L$2:$L$186,0)),"")</f>
        <v/>
      </c>
      <c r="G26" s="15">
        <f>IFERROR(INDEX(計算用!$M$2:$M$186,MATCH("男白"&amp;$A26,計算用!$L$2:$L$186,0)),"")</f>
        <v/>
      </c>
      <c r="H26" s="16">
        <f>IFERROR(INDEX(計算用!$G$2:$G$186,MATCH("男白"&amp;$A26,計算用!$L$2:$L$186,0)),"")</f>
        <v/>
      </c>
      <c r="I26" s="15" t="n"/>
      <c r="J26" s="15">
        <f>IF(ROW()-3&lt;=MAX(計算用!$Q$4,計算用!$Q$5),ROW()-3,"")</f>
        <v/>
      </c>
      <c r="K26" s="15">
        <f>IFERROR(INDEX(計算用!$D$2:$D$186,MATCH("女赤"&amp;$J26,計算用!$L$2:$L$186,0)),"")</f>
        <v/>
      </c>
      <c r="L26" s="15">
        <f>IFERROR(INDEX(計算用!$M$2:$M$186,MATCH("女赤"&amp;$J26,計算用!$L$2:$L$186,0)),"")</f>
        <v/>
      </c>
      <c r="M26" s="16">
        <f>IFERROR(INDEX(計算用!$G$2:$G$186,MATCH("女赤"&amp;$J26,計算用!$L$2:$L$186,0)),"")</f>
        <v/>
      </c>
      <c r="N26" s="15" t="n"/>
      <c r="O26" s="15">
        <f>IFERROR(INDEX(計算用!$D$2:$D$186,MATCH("女白"&amp;$J26,計算用!$L$2:$L$186,0)),"")</f>
        <v/>
      </c>
      <c r="P26" s="15">
        <f>IFERROR(INDEX(計算用!$M$2:$M$186,MATCH("女白"&amp;$J26,計算用!$L$2:$L$186,0)),"")</f>
        <v/>
      </c>
      <c r="Q26" s="16">
        <f>IFERROR(INDEX(計算用!$G$2:$G$186,MATCH("女白"&amp;$J26,計算用!$L$2:$L$186,0)),"")</f>
        <v/>
      </c>
    </row>
    <row r="27">
      <c r="A27" s="15">
        <f>IF(ROW()-3&lt;=MAX(計算用!$Q$2,計算用!$Q$3),ROW()-3,"")</f>
        <v/>
      </c>
      <c r="B27" s="15">
        <f>IFERROR(INDEX(計算用!$D$2:$D$186,MATCH("男赤"&amp;$A27,計算用!$L$2:$L$186,0)),"")</f>
        <v/>
      </c>
      <c r="C27" s="15">
        <f>IFERROR(INDEX(計算用!$M$2:$M$186,MATCH("男赤"&amp;$A27,計算用!$L$2:$L$186,0)),"")</f>
        <v/>
      </c>
      <c r="D27" s="16">
        <f>IFERROR(INDEX(計算用!$G$2:$G$186,MATCH("男赤"&amp;$A27,計算用!$L$2:$L$186,0)),"")</f>
        <v/>
      </c>
      <c r="E27" s="15" t="n"/>
      <c r="F27" s="15">
        <f>IFERROR(INDEX(計算用!$D$2:$D$186,MATCH("男白"&amp;$A27,計算用!$L$2:$L$186,0)),"")</f>
        <v/>
      </c>
      <c r="G27" s="15">
        <f>IFERROR(INDEX(計算用!$M$2:$M$186,MATCH("男白"&amp;$A27,計算用!$L$2:$L$186,0)),"")</f>
        <v/>
      </c>
      <c r="H27" s="16">
        <f>IFERROR(INDEX(計算用!$G$2:$G$186,MATCH("男白"&amp;$A27,計算用!$L$2:$L$186,0)),"")</f>
        <v/>
      </c>
      <c r="I27" s="15" t="n"/>
      <c r="J27" s="15">
        <f>IF(ROW()-3&lt;=MAX(計算用!$Q$4,計算用!$Q$5),ROW()-3,"")</f>
        <v/>
      </c>
      <c r="K27" s="15">
        <f>IFERROR(INDEX(計算用!$D$2:$D$186,MATCH("女赤"&amp;$J27,計算用!$L$2:$L$186,0)),"")</f>
        <v/>
      </c>
      <c r="L27" s="15">
        <f>IFERROR(INDEX(計算用!$M$2:$M$186,MATCH("女赤"&amp;$J27,計算用!$L$2:$L$186,0)),"")</f>
        <v/>
      </c>
      <c r="M27" s="16">
        <f>IFERROR(INDEX(計算用!$G$2:$G$186,MATCH("女赤"&amp;$J27,計算用!$L$2:$L$186,0)),"")</f>
        <v/>
      </c>
      <c r="N27" s="15" t="n"/>
      <c r="O27" s="15">
        <f>IFERROR(INDEX(計算用!$D$2:$D$186,MATCH("女白"&amp;$J27,計算用!$L$2:$L$186,0)),"")</f>
        <v/>
      </c>
      <c r="P27" s="15">
        <f>IFERROR(INDEX(計算用!$M$2:$M$186,MATCH("女白"&amp;$J27,計算用!$L$2:$L$186,0)),"")</f>
        <v/>
      </c>
      <c r="Q27" s="16">
        <f>IFERROR(INDEX(計算用!$G$2:$G$186,MATCH("女白"&amp;$J27,計算用!$L$2:$L$186,0)),"")</f>
        <v/>
      </c>
    </row>
    <row r="28">
      <c r="A28" s="15">
        <f>IF(ROW()-3&lt;=MAX(計算用!$Q$2,計算用!$Q$3),ROW()-3,"")</f>
        <v/>
      </c>
      <c r="B28" s="15">
        <f>IFERROR(INDEX(計算用!$D$2:$D$186,MATCH("男赤"&amp;$A28,計算用!$L$2:$L$186,0)),"")</f>
        <v/>
      </c>
      <c r="C28" s="15">
        <f>IFERROR(INDEX(計算用!$M$2:$M$186,MATCH("男赤"&amp;$A28,計算用!$L$2:$L$186,0)),"")</f>
        <v/>
      </c>
      <c r="D28" s="16">
        <f>IFERROR(INDEX(計算用!$G$2:$G$186,MATCH("男赤"&amp;$A28,計算用!$L$2:$L$186,0)),"")</f>
        <v/>
      </c>
      <c r="E28" s="15" t="n"/>
      <c r="F28" s="15">
        <f>IFERROR(INDEX(計算用!$D$2:$D$186,MATCH("男白"&amp;$A28,計算用!$L$2:$L$186,0)),"")</f>
        <v/>
      </c>
      <c r="G28" s="15">
        <f>IFERROR(INDEX(計算用!$M$2:$M$186,MATCH("男白"&amp;$A28,計算用!$L$2:$L$186,0)),"")</f>
        <v/>
      </c>
      <c r="H28" s="16">
        <f>IFERROR(INDEX(計算用!$G$2:$G$186,MATCH("男白"&amp;$A28,計算用!$L$2:$L$186,0)),"")</f>
        <v/>
      </c>
      <c r="I28" s="15" t="n"/>
      <c r="J28" s="15">
        <f>IF(ROW()-3&lt;=MAX(計算用!$Q$4,計算用!$Q$5),ROW()-3,"")</f>
        <v/>
      </c>
      <c r="K28" s="15">
        <f>IFERROR(INDEX(計算用!$D$2:$D$186,MATCH("女赤"&amp;$J28,計算用!$L$2:$L$186,0)),"")</f>
        <v/>
      </c>
      <c r="L28" s="15">
        <f>IFERROR(INDEX(計算用!$M$2:$M$186,MATCH("女赤"&amp;$J28,計算用!$L$2:$L$186,0)),"")</f>
        <v/>
      </c>
      <c r="M28" s="16">
        <f>IFERROR(INDEX(計算用!$G$2:$G$186,MATCH("女赤"&amp;$J28,計算用!$L$2:$L$186,0)),"")</f>
        <v/>
      </c>
      <c r="N28" s="15" t="n"/>
      <c r="O28" s="15">
        <f>IFERROR(INDEX(計算用!$D$2:$D$186,MATCH("女白"&amp;$J28,計算用!$L$2:$L$186,0)),"")</f>
        <v/>
      </c>
      <c r="P28" s="15">
        <f>IFERROR(INDEX(計算用!$M$2:$M$186,MATCH("女白"&amp;$J28,計算用!$L$2:$L$186,0)),"")</f>
        <v/>
      </c>
      <c r="Q28" s="16">
        <f>IFERROR(INDEX(計算用!$G$2:$G$186,MATCH("女白"&amp;$J28,計算用!$L$2:$L$186,0)),"")</f>
        <v/>
      </c>
    </row>
    <row r="29">
      <c r="A29" s="15">
        <f>IF(ROW()-3&lt;=MAX(計算用!$Q$2,計算用!$Q$3),ROW()-3,"")</f>
        <v/>
      </c>
      <c r="B29" s="15">
        <f>IFERROR(INDEX(計算用!$D$2:$D$186,MATCH("男赤"&amp;$A29,計算用!$L$2:$L$186,0)),"")</f>
        <v/>
      </c>
      <c r="C29" s="15">
        <f>IFERROR(INDEX(計算用!$M$2:$M$186,MATCH("男赤"&amp;$A29,計算用!$L$2:$L$186,0)),"")</f>
        <v/>
      </c>
      <c r="D29" s="16">
        <f>IFERROR(INDEX(計算用!$G$2:$G$186,MATCH("男赤"&amp;$A29,計算用!$L$2:$L$186,0)),"")</f>
        <v/>
      </c>
      <c r="E29" s="15" t="n"/>
      <c r="F29" s="15">
        <f>IFERROR(INDEX(計算用!$D$2:$D$186,MATCH("男白"&amp;$A29,計算用!$L$2:$L$186,0)),"")</f>
        <v/>
      </c>
      <c r="G29" s="15">
        <f>IFERROR(INDEX(計算用!$M$2:$M$186,MATCH("男白"&amp;$A29,計算用!$L$2:$L$186,0)),"")</f>
        <v/>
      </c>
      <c r="H29" s="16">
        <f>IFERROR(INDEX(計算用!$G$2:$G$186,MATCH("男白"&amp;$A29,計算用!$L$2:$L$186,0)),"")</f>
        <v/>
      </c>
      <c r="I29" s="15" t="n"/>
      <c r="J29" s="15">
        <f>IF(ROW()-3&lt;=MAX(計算用!$Q$4,計算用!$Q$5),ROW()-3,"")</f>
        <v/>
      </c>
      <c r="K29" s="15">
        <f>IFERROR(INDEX(計算用!$D$2:$D$186,MATCH("女赤"&amp;$J29,計算用!$L$2:$L$186,0)),"")</f>
        <v/>
      </c>
      <c r="L29" s="15">
        <f>IFERROR(INDEX(計算用!$M$2:$M$186,MATCH("女赤"&amp;$J29,計算用!$L$2:$L$186,0)),"")</f>
        <v/>
      </c>
      <c r="M29" s="16">
        <f>IFERROR(INDEX(計算用!$G$2:$G$186,MATCH("女赤"&amp;$J29,計算用!$L$2:$L$186,0)),"")</f>
        <v/>
      </c>
      <c r="N29" s="15" t="n"/>
      <c r="O29" s="15">
        <f>IFERROR(INDEX(計算用!$D$2:$D$186,MATCH("女白"&amp;$J29,計算用!$L$2:$L$186,0)),"")</f>
        <v/>
      </c>
      <c r="P29" s="15">
        <f>IFERROR(INDEX(計算用!$M$2:$M$186,MATCH("女白"&amp;$J29,計算用!$L$2:$L$186,0)),"")</f>
        <v/>
      </c>
      <c r="Q29" s="16">
        <f>IFERROR(INDEX(計算用!$G$2:$G$186,MATCH("女白"&amp;$J29,計算用!$L$2:$L$186,0)),"")</f>
        <v/>
      </c>
    </row>
    <row r="30">
      <c r="A30" s="15">
        <f>IF(ROW()-3&lt;=MAX(計算用!$Q$2,計算用!$Q$3),ROW()-3,"")</f>
        <v/>
      </c>
      <c r="B30" s="15">
        <f>IFERROR(INDEX(計算用!$D$2:$D$186,MATCH("男赤"&amp;$A30,計算用!$L$2:$L$186,0)),"")</f>
        <v/>
      </c>
      <c r="C30" s="15">
        <f>IFERROR(INDEX(計算用!$M$2:$M$186,MATCH("男赤"&amp;$A30,計算用!$L$2:$L$186,0)),"")</f>
        <v/>
      </c>
      <c r="D30" s="16">
        <f>IFERROR(INDEX(計算用!$G$2:$G$186,MATCH("男赤"&amp;$A30,計算用!$L$2:$L$186,0)),"")</f>
        <v/>
      </c>
      <c r="E30" s="15" t="n"/>
      <c r="F30" s="15">
        <f>IFERROR(INDEX(計算用!$D$2:$D$186,MATCH("男白"&amp;$A30,計算用!$L$2:$L$186,0)),"")</f>
        <v/>
      </c>
      <c r="G30" s="15">
        <f>IFERROR(INDEX(計算用!$M$2:$M$186,MATCH("男白"&amp;$A30,計算用!$L$2:$L$186,0)),"")</f>
        <v/>
      </c>
      <c r="H30" s="16">
        <f>IFERROR(INDEX(計算用!$G$2:$G$186,MATCH("男白"&amp;$A30,計算用!$L$2:$L$186,0)),"")</f>
        <v/>
      </c>
      <c r="I30" s="15" t="n"/>
      <c r="J30" s="15">
        <f>IF(ROW()-3&lt;=MAX(計算用!$Q$4,計算用!$Q$5),ROW()-3,"")</f>
        <v/>
      </c>
      <c r="K30" s="15">
        <f>IFERROR(INDEX(計算用!$D$2:$D$186,MATCH("女赤"&amp;$J30,計算用!$L$2:$L$186,0)),"")</f>
        <v/>
      </c>
      <c r="L30" s="15">
        <f>IFERROR(INDEX(計算用!$M$2:$M$186,MATCH("女赤"&amp;$J30,計算用!$L$2:$L$186,0)),"")</f>
        <v/>
      </c>
      <c r="M30" s="16">
        <f>IFERROR(INDEX(計算用!$G$2:$G$186,MATCH("女赤"&amp;$J30,計算用!$L$2:$L$186,0)),"")</f>
        <v/>
      </c>
      <c r="N30" s="15" t="n"/>
      <c r="O30" s="15">
        <f>IFERROR(INDEX(計算用!$D$2:$D$186,MATCH("女白"&amp;$J30,計算用!$L$2:$L$186,0)),"")</f>
        <v/>
      </c>
      <c r="P30" s="15">
        <f>IFERROR(INDEX(計算用!$M$2:$M$186,MATCH("女白"&amp;$J30,計算用!$L$2:$L$186,0)),"")</f>
        <v/>
      </c>
      <c r="Q30" s="16">
        <f>IFERROR(INDEX(計算用!$G$2:$G$186,MATCH("女白"&amp;$J30,計算用!$L$2:$L$186,0)),"")</f>
        <v/>
      </c>
    </row>
    <row r="31">
      <c r="A31" s="15">
        <f>IF(ROW()-3&lt;=MAX(計算用!$Q$2,計算用!$Q$3),ROW()-3,"")</f>
        <v/>
      </c>
      <c r="B31" s="15">
        <f>IFERROR(INDEX(計算用!$D$2:$D$186,MATCH("男赤"&amp;$A31,計算用!$L$2:$L$186,0)),"")</f>
        <v/>
      </c>
      <c r="C31" s="15">
        <f>IFERROR(INDEX(計算用!$M$2:$M$186,MATCH("男赤"&amp;$A31,計算用!$L$2:$L$186,0)),"")</f>
        <v/>
      </c>
      <c r="D31" s="16">
        <f>IFERROR(INDEX(計算用!$G$2:$G$186,MATCH("男赤"&amp;$A31,計算用!$L$2:$L$186,0)),"")</f>
        <v/>
      </c>
      <c r="E31" s="15" t="n"/>
      <c r="F31" s="15">
        <f>IFERROR(INDEX(計算用!$D$2:$D$186,MATCH("男白"&amp;$A31,計算用!$L$2:$L$186,0)),"")</f>
        <v/>
      </c>
      <c r="G31" s="15">
        <f>IFERROR(INDEX(計算用!$M$2:$M$186,MATCH("男白"&amp;$A31,計算用!$L$2:$L$186,0)),"")</f>
        <v/>
      </c>
      <c r="H31" s="16">
        <f>IFERROR(INDEX(計算用!$G$2:$G$186,MATCH("男白"&amp;$A31,計算用!$L$2:$L$186,0)),"")</f>
        <v/>
      </c>
      <c r="I31" s="15" t="n"/>
      <c r="J31" s="15">
        <f>IF(ROW()-3&lt;=MAX(計算用!$Q$4,計算用!$Q$5),ROW()-3,"")</f>
        <v/>
      </c>
      <c r="K31" s="15">
        <f>IFERROR(INDEX(計算用!$D$2:$D$186,MATCH("女赤"&amp;$J31,計算用!$L$2:$L$186,0)),"")</f>
        <v/>
      </c>
      <c r="L31" s="15">
        <f>IFERROR(INDEX(計算用!$M$2:$M$186,MATCH("女赤"&amp;$J31,計算用!$L$2:$L$186,0)),"")</f>
        <v/>
      </c>
      <c r="M31" s="16">
        <f>IFERROR(INDEX(計算用!$G$2:$G$186,MATCH("女赤"&amp;$J31,計算用!$L$2:$L$186,0)),"")</f>
        <v/>
      </c>
      <c r="N31" s="15" t="n"/>
      <c r="O31" s="15">
        <f>IFERROR(INDEX(計算用!$D$2:$D$186,MATCH("女白"&amp;$J31,計算用!$L$2:$L$186,0)),"")</f>
        <v/>
      </c>
      <c r="P31" s="15">
        <f>IFERROR(INDEX(計算用!$M$2:$M$186,MATCH("女白"&amp;$J31,計算用!$L$2:$L$186,0)),"")</f>
        <v/>
      </c>
      <c r="Q31" s="16">
        <f>IFERROR(INDEX(計算用!$G$2:$G$186,MATCH("女白"&amp;$J31,計算用!$L$2:$L$186,0)),"")</f>
        <v/>
      </c>
    </row>
    <row r="32">
      <c r="A32" s="15">
        <f>IF(ROW()-3&lt;=MAX(計算用!$Q$2,計算用!$Q$3),ROW()-3,"")</f>
        <v/>
      </c>
      <c r="B32" s="15">
        <f>IFERROR(INDEX(計算用!$D$2:$D$186,MATCH("男赤"&amp;$A32,計算用!$L$2:$L$186,0)),"")</f>
        <v/>
      </c>
      <c r="C32" s="15">
        <f>IFERROR(INDEX(計算用!$M$2:$M$186,MATCH("男赤"&amp;$A32,計算用!$L$2:$L$186,0)),"")</f>
        <v/>
      </c>
      <c r="D32" s="16">
        <f>IFERROR(INDEX(計算用!$G$2:$G$186,MATCH("男赤"&amp;$A32,計算用!$L$2:$L$186,0)),"")</f>
        <v/>
      </c>
      <c r="E32" s="15" t="n"/>
      <c r="F32" s="15">
        <f>IFERROR(INDEX(計算用!$D$2:$D$186,MATCH("男白"&amp;$A32,計算用!$L$2:$L$186,0)),"")</f>
        <v/>
      </c>
      <c r="G32" s="15">
        <f>IFERROR(INDEX(計算用!$M$2:$M$186,MATCH("男白"&amp;$A32,計算用!$L$2:$L$186,0)),"")</f>
        <v/>
      </c>
      <c r="H32" s="16">
        <f>IFERROR(INDEX(計算用!$G$2:$G$186,MATCH("男白"&amp;$A32,計算用!$L$2:$L$186,0)),"")</f>
        <v/>
      </c>
      <c r="I32" s="15" t="n"/>
      <c r="J32" s="15">
        <f>IF(ROW()-3&lt;=MAX(計算用!$Q$4,計算用!$Q$5),ROW()-3,"")</f>
        <v/>
      </c>
      <c r="K32" s="15">
        <f>IFERROR(INDEX(計算用!$D$2:$D$186,MATCH("女赤"&amp;$J32,計算用!$L$2:$L$186,0)),"")</f>
        <v/>
      </c>
      <c r="L32" s="15">
        <f>IFERROR(INDEX(計算用!$M$2:$M$186,MATCH("女赤"&amp;$J32,計算用!$L$2:$L$186,0)),"")</f>
        <v/>
      </c>
      <c r="M32" s="16">
        <f>IFERROR(INDEX(計算用!$G$2:$G$186,MATCH("女赤"&amp;$J32,計算用!$L$2:$L$186,0)),"")</f>
        <v/>
      </c>
      <c r="N32" s="15" t="n"/>
      <c r="O32" s="15">
        <f>IFERROR(INDEX(計算用!$D$2:$D$186,MATCH("女白"&amp;$J32,計算用!$L$2:$L$186,0)),"")</f>
        <v/>
      </c>
      <c r="P32" s="15">
        <f>IFERROR(INDEX(計算用!$M$2:$M$186,MATCH("女白"&amp;$J32,計算用!$L$2:$L$186,0)),"")</f>
        <v/>
      </c>
      <c r="Q32" s="16">
        <f>IFERROR(INDEX(計算用!$G$2:$G$186,MATCH("女白"&amp;$J32,計算用!$L$2:$L$186,0)),"")</f>
        <v/>
      </c>
    </row>
    <row r="33">
      <c r="A33" s="15">
        <f>IF(ROW()-3&lt;=MAX(計算用!$Q$2,計算用!$Q$3),ROW()-3,"")</f>
        <v/>
      </c>
      <c r="B33" s="15">
        <f>IFERROR(INDEX(計算用!$D$2:$D$186,MATCH("男赤"&amp;$A33,計算用!$L$2:$L$186,0)),"")</f>
        <v/>
      </c>
      <c r="C33" s="15">
        <f>IFERROR(INDEX(計算用!$M$2:$M$186,MATCH("男赤"&amp;$A33,計算用!$L$2:$L$186,0)),"")</f>
        <v/>
      </c>
      <c r="D33" s="16">
        <f>IFERROR(INDEX(計算用!$G$2:$G$186,MATCH("男赤"&amp;$A33,計算用!$L$2:$L$186,0)),"")</f>
        <v/>
      </c>
      <c r="E33" s="15" t="n"/>
      <c r="F33" s="15">
        <f>IFERROR(INDEX(計算用!$D$2:$D$186,MATCH("男白"&amp;$A33,計算用!$L$2:$L$186,0)),"")</f>
        <v/>
      </c>
      <c r="G33" s="15">
        <f>IFERROR(INDEX(計算用!$M$2:$M$186,MATCH("男白"&amp;$A33,計算用!$L$2:$L$186,0)),"")</f>
        <v/>
      </c>
      <c r="H33" s="16">
        <f>IFERROR(INDEX(計算用!$G$2:$G$186,MATCH("男白"&amp;$A33,計算用!$L$2:$L$186,0)),"")</f>
        <v/>
      </c>
      <c r="I33" s="15" t="n"/>
      <c r="J33" s="15">
        <f>IF(ROW()-3&lt;=MAX(計算用!$Q$4,計算用!$Q$5),ROW()-3,"")</f>
        <v/>
      </c>
      <c r="K33" s="15">
        <f>IFERROR(INDEX(計算用!$D$2:$D$186,MATCH("女赤"&amp;$J33,計算用!$L$2:$L$186,0)),"")</f>
        <v/>
      </c>
      <c r="L33" s="15">
        <f>IFERROR(INDEX(計算用!$M$2:$M$186,MATCH("女赤"&amp;$J33,計算用!$L$2:$L$186,0)),"")</f>
        <v/>
      </c>
      <c r="M33" s="16">
        <f>IFERROR(INDEX(計算用!$G$2:$G$186,MATCH("女赤"&amp;$J33,計算用!$L$2:$L$186,0)),"")</f>
        <v/>
      </c>
      <c r="N33" s="15" t="n"/>
      <c r="O33" s="15">
        <f>IFERROR(INDEX(計算用!$D$2:$D$186,MATCH("女白"&amp;$J33,計算用!$L$2:$L$186,0)),"")</f>
        <v/>
      </c>
      <c r="P33" s="15">
        <f>IFERROR(INDEX(計算用!$M$2:$M$186,MATCH("女白"&amp;$J33,計算用!$L$2:$L$186,0)),"")</f>
        <v/>
      </c>
      <c r="Q33" s="16">
        <f>IFERROR(INDEX(計算用!$G$2:$G$186,MATCH("女白"&amp;$J33,計算用!$L$2:$L$186,0)),"")</f>
        <v/>
      </c>
    </row>
    <row r="34">
      <c r="A34" s="15">
        <f>IF(ROW()-3&lt;=MAX(計算用!$Q$2,計算用!$Q$3),ROW()-3,"")</f>
        <v/>
      </c>
      <c r="B34" s="15">
        <f>IFERROR(INDEX(計算用!$D$2:$D$186,MATCH("男赤"&amp;$A34,計算用!$L$2:$L$186,0)),"")</f>
        <v/>
      </c>
      <c r="C34" s="15">
        <f>IFERROR(INDEX(計算用!$M$2:$M$186,MATCH("男赤"&amp;$A34,計算用!$L$2:$L$186,0)),"")</f>
        <v/>
      </c>
      <c r="D34" s="16">
        <f>IFERROR(INDEX(計算用!$G$2:$G$186,MATCH("男赤"&amp;$A34,計算用!$L$2:$L$186,0)),"")</f>
        <v/>
      </c>
      <c r="E34" s="15" t="n"/>
      <c r="F34" s="15">
        <f>IFERROR(INDEX(計算用!$D$2:$D$186,MATCH("男白"&amp;$A34,計算用!$L$2:$L$186,0)),"")</f>
        <v/>
      </c>
      <c r="G34" s="15">
        <f>IFERROR(INDEX(計算用!$M$2:$M$186,MATCH("男白"&amp;$A34,計算用!$L$2:$L$186,0)),"")</f>
        <v/>
      </c>
      <c r="H34" s="16">
        <f>IFERROR(INDEX(計算用!$G$2:$G$186,MATCH("男白"&amp;$A34,計算用!$L$2:$L$186,0)),"")</f>
        <v/>
      </c>
      <c r="I34" s="15" t="n"/>
      <c r="J34" s="15">
        <f>IF(ROW()-3&lt;=MAX(計算用!$Q$4,計算用!$Q$5),ROW()-3,"")</f>
        <v/>
      </c>
      <c r="K34" s="15">
        <f>IFERROR(INDEX(計算用!$D$2:$D$186,MATCH("女赤"&amp;$J34,計算用!$L$2:$L$186,0)),"")</f>
        <v/>
      </c>
      <c r="L34" s="15">
        <f>IFERROR(INDEX(計算用!$M$2:$M$186,MATCH("女赤"&amp;$J34,計算用!$L$2:$L$186,0)),"")</f>
        <v/>
      </c>
      <c r="M34" s="16">
        <f>IFERROR(INDEX(計算用!$G$2:$G$186,MATCH("女赤"&amp;$J34,計算用!$L$2:$L$186,0)),"")</f>
        <v/>
      </c>
      <c r="N34" s="15" t="n"/>
      <c r="O34" s="15">
        <f>IFERROR(INDEX(計算用!$D$2:$D$186,MATCH("女白"&amp;$J34,計算用!$L$2:$L$186,0)),"")</f>
        <v/>
      </c>
      <c r="P34" s="15">
        <f>IFERROR(INDEX(計算用!$M$2:$M$186,MATCH("女白"&amp;$J34,計算用!$L$2:$L$186,0)),"")</f>
        <v/>
      </c>
      <c r="Q34" s="16">
        <f>IFERROR(INDEX(計算用!$G$2:$G$186,MATCH("女白"&amp;$J34,計算用!$L$2:$L$186,0)),"")</f>
        <v/>
      </c>
    </row>
    <row r="35">
      <c r="A35" s="15">
        <f>IF(ROW()-3&lt;=MAX(計算用!$Q$2,計算用!$Q$3),ROW()-3,"")</f>
        <v/>
      </c>
      <c r="B35" s="15">
        <f>IFERROR(INDEX(計算用!$D$2:$D$186,MATCH("男赤"&amp;$A35,計算用!$L$2:$L$186,0)),"")</f>
        <v/>
      </c>
      <c r="C35" s="15">
        <f>IFERROR(INDEX(計算用!$M$2:$M$186,MATCH("男赤"&amp;$A35,計算用!$L$2:$L$186,0)),"")</f>
        <v/>
      </c>
      <c r="D35" s="16">
        <f>IFERROR(INDEX(計算用!$G$2:$G$186,MATCH("男赤"&amp;$A35,計算用!$L$2:$L$186,0)),"")</f>
        <v/>
      </c>
      <c r="E35" s="15" t="n"/>
      <c r="F35" s="15">
        <f>IFERROR(INDEX(計算用!$D$2:$D$186,MATCH("男白"&amp;$A35,計算用!$L$2:$L$186,0)),"")</f>
        <v/>
      </c>
      <c r="G35" s="15">
        <f>IFERROR(INDEX(計算用!$M$2:$M$186,MATCH("男白"&amp;$A35,計算用!$L$2:$L$186,0)),"")</f>
        <v/>
      </c>
      <c r="H35" s="16">
        <f>IFERROR(INDEX(計算用!$G$2:$G$186,MATCH("男白"&amp;$A35,計算用!$L$2:$L$186,0)),"")</f>
        <v/>
      </c>
      <c r="I35" s="15" t="n"/>
      <c r="J35" s="15">
        <f>IF(ROW()-3&lt;=MAX(計算用!$Q$4,計算用!$Q$5),ROW()-3,"")</f>
        <v/>
      </c>
      <c r="K35" s="15">
        <f>IFERROR(INDEX(計算用!$D$2:$D$186,MATCH("女赤"&amp;$J35,計算用!$L$2:$L$186,0)),"")</f>
        <v/>
      </c>
      <c r="L35" s="15">
        <f>IFERROR(INDEX(計算用!$M$2:$M$186,MATCH("女赤"&amp;$J35,計算用!$L$2:$L$186,0)),"")</f>
        <v/>
      </c>
      <c r="M35" s="16">
        <f>IFERROR(INDEX(計算用!$G$2:$G$186,MATCH("女赤"&amp;$J35,計算用!$L$2:$L$186,0)),"")</f>
        <v/>
      </c>
      <c r="N35" s="15" t="n"/>
      <c r="O35" s="15">
        <f>IFERROR(INDEX(計算用!$D$2:$D$186,MATCH("女白"&amp;$J35,計算用!$L$2:$L$186,0)),"")</f>
        <v/>
      </c>
      <c r="P35" s="15">
        <f>IFERROR(INDEX(計算用!$M$2:$M$186,MATCH("女白"&amp;$J35,計算用!$L$2:$L$186,0)),"")</f>
        <v/>
      </c>
      <c r="Q35" s="16">
        <f>IFERROR(INDEX(計算用!$G$2:$G$186,MATCH("女白"&amp;$J35,計算用!$L$2:$L$186,0)),"")</f>
        <v/>
      </c>
    </row>
    <row r="36">
      <c r="A36" s="15">
        <f>IF(ROW()-3&lt;=MAX(計算用!$Q$2,計算用!$Q$3),ROW()-3,"")</f>
        <v/>
      </c>
      <c r="B36" s="15">
        <f>IFERROR(INDEX(計算用!$D$2:$D$186,MATCH("男赤"&amp;$A36,計算用!$L$2:$L$186,0)),"")</f>
        <v/>
      </c>
      <c r="C36" s="15">
        <f>IFERROR(INDEX(計算用!$M$2:$M$186,MATCH("男赤"&amp;$A36,計算用!$L$2:$L$186,0)),"")</f>
        <v/>
      </c>
      <c r="D36" s="16">
        <f>IFERROR(INDEX(計算用!$G$2:$G$186,MATCH("男赤"&amp;$A36,計算用!$L$2:$L$186,0)),"")</f>
        <v/>
      </c>
      <c r="E36" s="15" t="n"/>
      <c r="F36" s="15">
        <f>IFERROR(INDEX(計算用!$D$2:$D$186,MATCH("男白"&amp;$A36,計算用!$L$2:$L$186,0)),"")</f>
        <v/>
      </c>
      <c r="G36" s="15">
        <f>IFERROR(INDEX(計算用!$M$2:$M$186,MATCH("男白"&amp;$A36,計算用!$L$2:$L$186,0)),"")</f>
        <v/>
      </c>
      <c r="H36" s="16">
        <f>IFERROR(INDEX(計算用!$G$2:$G$186,MATCH("男白"&amp;$A36,計算用!$L$2:$L$186,0)),"")</f>
        <v/>
      </c>
      <c r="I36" s="15" t="n"/>
      <c r="J36" s="15">
        <f>IF(ROW()-3&lt;=MAX(計算用!$Q$4,計算用!$Q$5),ROW()-3,"")</f>
        <v/>
      </c>
      <c r="K36" s="15">
        <f>IFERROR(INDEX(計算用!$D$2:$D$186,MATCH("女赤"&amp;$J36,計算用!$L$2:$L$186,0)),"")</f>
        <v/>
      </c>
      <c r="L36" s="15">
        <f>IFERROR(INDEX(計算用!$M$2:$M$186,MATCH("女赤"&amp;$J36,計算用!$L$2:$L$186,0)),"")</f>
        <v/>
      </c>
      <c r="M36" s="16">
        <f>IFERROR(INDEX(計算用!$G$2:$G$186,MATCH("女赤"&amp;$J36,計算用!$L$2:$L$186,0)),"")</f>
        <v/>
      </c>
      <c r="N36" s="15" t="n"/>
      <c r="O36" s="15">
        <f>IFERROR(INDEX(計算用!$D$2:$D$186,MATCH("女白"&amp;$J36,計算用!$L$2:$L$186,0)),"")</f>
        <v/>
      </c>
      <c r="P36" s="15">
        <f>IFERROR(INDEX(計算用!$M$2:$M$186,MATCH("女白"&amp;$J36,計算用!$L$2:$L$186,0)),"")</f>
        <v/>
      </c>
      <c r="Q36" s="16">
        <f>IFERROR(INDEX(計算用!$G$2:$G$186,MATCH("女白"&amp;$J36,計算用!$L$2:$L$186,0)),"")</f>
        <v/>
      </c>
    </row>
    <row r="37">
      <c r="A37" s="15">
        <f>IF(ROW()-3&lt;=MAX(計算用!$Q$2,計算用!$Q$3),ROW()-3,"")</f>
        <v/>
      </c>
      <c r="B37" s="15">
        <f>IFERROR(INDEX(計算用!$D$2:$D$186,MATCH("男赤"&amp;$A37,計算用!$L$2:$L$186,0)),"")</f>
        <v/>
      </c>
      <c r="C37" s="15">
        <f>IFERROR(INDEX(計算用!$M$2:$M$186,MATCH("男赤"&amp;$A37,計算用!$L$2:$L$186,0)),"")</f>
        <v/>
      </c>
      <c r="D37" s="16">
        <f>IFERROR(INDEX(計算用!$G$2:$G$186,MATCH("男赤"&amp;$A37,計算用!$L$2:$L$186,0)),"")</f>
        <v/>
      </c>
      <c r="E37" s="15" t="n"/>
      <c r="F37" s="15">
        <f>IFERROR(INDEX(計算用!$D$2:$D$186,MATCH("男白"&amp;$A37,計算用!$L$2:$L$186,0)),"")</f>
        <v/>
      </c>
      <c r="G37" s="15">
        <f>IFERROR(INDEX(計算用!$M$2:$M$186,MATCH("男白"&amp;$A37,計算用!$L$2:$L$186,0)),"")</f>
        <v/>
      </c>
      <c r="H37" s="16">
        <f>IFERROR(INDEX(計算用!$G$2:$G$186,MATCH("男白"&amp;$A37,計算用!$L$2:$L$186,0)),"")</f>
        <v/>
      </c>
      <c r="I37" s="15" t="n"/>
      <c r="J37" s="15">
        <f>IF(ROW()-3&lt;=MAX(計算用!$Q$4,計算用!$Q$5),ROW()-3,"")</f>
        <v/>
      </c>
      <c r="K37" s="15">
        <f>IFERROR(INDEX(計算用!$D$2:$D$186,MATCH("女赤"&amp;$J37,計算用!$L$2:$L$186,0)),"")</f>
        <v/>
      </c>
      <c r="L37" s="15">
        <f>IFERROR(INDEX(計算用!$M$2:$M$186,MATCH("女赤"&amp;$J37,計算用!$L$2:$L$186,0)),"")</f>
        <v/>
      </c>
      <c r="M37" s="16">
        <f>IFERROR(INDEX(計算用!$G$2:$G$186,MATCH("女赤"&amp;$J37,計算用!$L$2:$L$186,0)),"")</f>
        <v/>
      </c>
      <c r="N37" s="15" t="n"/>
      <c r="O37" s="15">
        <f>IFERROR(INDEX(計算用!$D$2:$D$186,MATCH("女白"&amp;$J37,計算用!$L$2:$L$186,0)),"")</f>
        <v/>
      </c>
      <c r="P37" s="15">
        <f>IFERROR(INDEX(計算用!$M$2:$M$186,MATCH("女白"&amp;$J37,計算用!$L$2:$L$186,0)),"")</f>
        <v/>
      </c>
      <c r="Q37" s="16">
        <f>IFERROR(INDEX(計算用!$G$2:$G$186,MATCH("女白"&amp;$J37,計算用!$L$2:$L$186,0)),"")</f>
        <v/>
      </c>
    </row>
    <row r="38">
      <c r="A38" s="15">
        <f>IF(ROW()-3&lt;=MAX(計算用!$Q$2,計算用!$Q$3),ROW()-3,"")</f>
        <v/>
      </c>
      <c r="B38" s="15">
        <f>IFERROR(INDEX(計算用!$D$2:$D$186,MATCH("男赤"&amp;$A38,計算用!$L$2:$L$186,0)),"")</f>
        <v/>
      </c>
      <c r="C38" s="15">
        <f>IFERROR(INDEX(計算用!$M$2:$M$186,MATCH("男赤"&amp;$A38,計算用!$L$2:$L$186,0)),"")</f>
        <v/>
      </c>
      <c r="D38" s="16">
        <f>IFERROR(INDEX(計算用!$G$2:$G$186,MATCH("男赤"&amp;$A38,計算用!$L$2:$L$186,0)),"")</f>
        <v/>
      </c>
      <c r="E38" s="15" t="n"/>
      <c r="F38" s="15">
        <f>IFERROR(INDEX(計算用!$D$2:$D$186,MATCH("男白"&amp;$A38,計算用!$L$2:$L$186,0)),"")</f>
        <v/>
      </c>
      <c r="G38" s="15">
        <f>IFERROR(INDEX(計算用!$M$2:$M$186,MATCH("男白"&amp;$A38,計算用!$L$2:$L$186,0)),"")</f>
        <v/>
      </c>
      <c r="H38" s="16">
        <f>IFERROR(INDEX(計算用!$G$2:$G$186,MATCH("男白"&amp;$A38,計算用!$L$2:$L$186,0)),"")</f>
        <v/>
      </c>
      <c r="I38" s="15" t="n"/>
      <c r="J38" s="15">
        <f>IF(ROW()-3&lt;=MAX(計算用!$Q$4,計算用!$Q$5),ROW()-3,"")</f>
        <v/>
      </c>
      <c r="K38" s="15">
        <f>IFERROR(INDEX(計算用!$D$2:$D$186,MATCH("女赤"&amp;$J38,計算用!$L$2:$L$186,0)),"")</f>
        <v/>
      </c>
      <c r="L38" s="15">
        <f>IFERROR(INDEX(計算用!$M$2:$M$186,MATCH("女赤"&amp;$J38,計算用!$L$2:$L$186,0)),"")</f>
        <v/>
      </c>
      <c r="M38" s="16">
        <f>IFERROR(INDEX(計算用!$G$2:$G$186,MATCH("女赤"&amp;$J38,計算用!$L$2:$L$186,0)),"")</f>
        <v/>
      </c>
      <c r="N38" s="15" t="n"/>
      <c r="O38" s="15">
        <f>IFERROR(INDEX(計算用!$D$2:$D$186,MATCH("女白"&amp;$J38,計算用!$L$2:$L$186,0)),"")</f>
        <v/>
      </c>
      <c r="P38" s="15">
        <f>IFERROR(INDEX(計算用!$M$2:$M$186,MATCH("女白"&amp;$J38,計算用!$L$2:$L$186,0)),"")</f>
        <v/>
      </c>
      <c r="Q38" s="16">
        <f>IFERROR(INDEX(計算用!$G$2:$G$186,MATCH("女白"&amp;$J38,計算用!$L$2:$L$186,0)),"")</f>
        <v/>
      </c>
    </row>
    <row r="39">
      <c r="A39" s="15">
        <f>IF(ROW()-3&lt;=MAX(計算用!$Q$2,計算用!$Q$3),ROW()-3,"")</f>
        <v/>
      </c>
      <c r="B39" s="15">
        <f>IFERROR(INDEX(計算用!$D$2:$D$186,MATCH("男赤"&amp;$A39,計算用!$L$2:$L$186,0)),"")</f>
        <v/>
      </c>
      <c r="C39" s="15">
        <f>IFERROR(INDEX(計算用!$M$2:$M$186,MATCH("男赤"&amp;$A39,計算用!$L$2:$L$186,0)),"")</f>
        <v/>
      </c>
      <c r="D39" s="16">
        <f>IFERROR(INDEX(計算用!$G$2:$G$186,MATCH("男赤"&amp;$A39,計算用!$L$2:$L$186,0)),"")</f>
        <v/>
      </c>
      <c r="E39" s="15" t="n"/>
      <c r="F39" s="15">
        <f>IFERROR(INDEX(計算用!$D$2:$D$186,MATCH("男白"&amp;$A39,計算用!$L$2:$L$186,0)),"")</f>
        <v/>
      </c>
      <c r="G39" s="15">
        <f>IFERROR(INDEX(計算用!$M$2:$M$186,MATCH("男白"&amp;$A39,計算用!$L$2:$L$186,0)),"")</f>
        <v/>
      </c>
      <c r="H39" s="16">
        <f>IFERROR(INDEX(計算用!$G$2:$G$186,MATCH("男白"&amp;$A39,計算用!$L$2:$L$186,0)),"")</f>
        <v/>
      </c>
      <c r="I39" s="15" t="n"/>
      <c r="J39" s="15">
        <f>IF(ROW()-3&lt;=MAX(計算用!$Q$4,計算用!$Q$5),ROW()-3,"")</f>
        <v/>
      </c>
      <c r="K39" s="15">
        <f>IFERROR(INDEX(計算用!$D$2:$D$186,MATCH("女赤"&amp;$J39,計算用!$L$2:$L$186,0)),"")</f>
        <v/>
      </c>
      <c r="L39" s="15">
        <f>IFERROR(INDEX(計算用!$M$2:$M$186,MATCH("女赤"&amp;$J39,計算用!$L$2:$L$186,0)),"")</f>
        <v/>
      </c>
      <c r="M39" s="16">
        <f>IFERROR(INDEX(計算用!$G$2:$G$186,MATCH("女赤"&amp;$J39,計算用!$L$2:$L$186,0)),"")</f>
        <v/>
      </c>
      <c r="N39" s="15" t="n"/>
      <c r="O39" s="15">
        <f>IFERROR(INDEX(計算用!$D$2:$D$186,MATCH("女白"&amp;$J39,計算用!$L$2:$L$186,0)),"")</f>
        <v/>
      </c>
      <c r="P39" s="15">
        <f>IFERROR(INDEX(計算用!$M$2:$M$186,MATCH("女白"&amp;$J39,計算用!$L$2:$L$186,0)),"")</f>
        <v/>
      </c>
      <c r="Q39" s="16">
        <f>IFERROR(INDEX(計算用!$G$2:$G$186,MATCH("女白"&amp;$J39,計算用!$L$2:$L$186,0)),"")</f>
        <v/>
      </c>
    </row>
    <row r="40">
      <c r="A40" s="15">
        <f>IF(ROW()-3&lt;=MAX(計算用!$Q$2,計算用!$Q$3),ROW()-3,"")</f>
        <v/>
      </c>
      <c r="B40" s="15">
        <f>IFERROR(INDEX(計算用!$D$2:$D$186,MATCH("男赤"&amp;$A40,計算用!$L$2:$L$186,0)),"")</f>
        <v/>
      </c>
      <c r="C40" s="15">
        <f>IFERROR(INDEX(計算用!$M$2:$M$186,MATCH("男赤"&amp;$A40,計算用!$L$2:$L$186,0)),"")</f>
        <v/>
      </c>
      <c r="D40" s="16">
        <f>IFERROR(INDEX(計算用!$G$2:$G$186,MATCH("男赤"&amp;$A40,計算用!$L$2:$L$186,0)),"")</f>
        <v/>
      </c>
      <c r="E40" s="15" t="n"/>
      <c r="F40" s="15">
        <f>IFERROR(INDEX(計算用!$D$2:$D$186,MATCH("男白"&amp;$A40,計算用!$L$2:$L$186,0)),"")</f>
        <v/>
      </c>
      <c r="G40" s="15">
        <f>IFERROR(INDEX(計算用!$M$2:$M$186,MATCH("男白"&amp;$A40,計算用!$L$2:$L$186,0)),"")</f>
        <v/>
      </c>
      <c r="H40" s="16">
        <f>IFERROR(INDEX(計算用!$G$2:$G$186,MATCH("男白"&amp;$A40,計算用!$L$2:$L$186,0)),"")</f>
        <v/>
      </c>
      <c r="I40" s="15" t="n"/>
      <c r="J40" s="15">
        <f>IF(ROW()-3&lt;=MAX(計算用!$Q$4,計算用!$Q$5),ROW()-3,"")</f>
        <v/>
      </c>
      <c r="K40" s="15">
        <f>IFERROR(INDEX(計算用!$D$2:$D$186,MATCH("女赤"&amp;$J40,計算用!$L$2:$L$186,0)),"")</f>
        <v/>
      </c>
      <c r="L40" s="15">
        <f>IFERROR(INDEX(計算用!$M$2:$M$186,MATCH("女赤"&amp;$J40,計算用!$L$2:$L$186,0)),"")</f>
        <v/>
      </c>
      <c r="M40" s="16">
        <f>IFERROR(INDEX(計算用!$G$2:$G$186,MATCH("女赤"&amp;$J40,計算用!$L$2:$L$186,0)),"")</f>
        <v/>
      </c>
      <c r="N40" s="15" t="n"/>
      <c r="O40" s="15">
        <f>IFERROR(INDEX(計算用!$D$2:$D$186,MATCH("女白"&amp;$J40,計算用!$L$2:$L$186,0)),"")</f>
        <v/>
      </c>
      <c r="P40" s="15">
        <f>IFERROR(INDEX(計算用!$M$2:$M$186,MATCH("女白"&amp;$J40,計算用!$L$2:$L$186,0)),"")</f>
        <v/>
      </c>
      <c r="Q40" s="16">
        <f>IFERROR(INDEX(計算用!$G$2:$G$186,MATCH("女白"&amp;$J40,計算用!$L$2:$L$186,0)),"")</f>
        <v/>
      </c>
    </row>
    <row r="41">
      <c r="A41" s="15">
        <f>IF(ROW()-3&lt;=MAX(計算用!$Q$2,計算用!$Q$3),ROW()-3,"")</f>
        <v/>
      </c>
      <c r="B41" s="15">
        <f>IFERROR(INDEX(計算用!$D$2:$D$186,MATCH("男赤"&amp;$A41,計算用!$L$2:$L$186,0)),"")</f>
        <v/>
      </c>
      <c r="C41" s="15">
        <f>IFERROR(INDEX(計算用!$M$2:$M$186,MATCH("男赤"&amp;$A41,計算用!$L$2:$L$186,0)),"")</f>
        <v/>
      </c>
      <c r="D41" s="16">
        <f>IFERROR(INDEX(計算用!$G$2:$G$186,MATCH("男赤"&amp;$A41,計算用!$L$2:$L$186,0)),"")</f>
        <v/>
      </c>
      <c r="E41" s="15" t="n"/>
      <c r="F41" s="15">
        <f>IFERROR(INDEX(計算用!$D$2:$D$186,MATCH("男白"&amp;$A41,計算用!$L$2:$L$186,0)),"")</f>
        <v/>
      </c>
      <c r="G41" s="15">
        <f>IFERROR(INDEX(計算用!$M$2:$M$186,MATCH("男白"&amp;$A41,計算用!$L$2:$L$186,0)),"")</f>
        <v/>
      </c>
      <c r="H41" s="16">
        <f>IFERROR(INDEX(計算用!$G$2:$G$186,MATCH("男白"&amp;$A41,計算用!$L$2:$L$186,0)),"")</f>
        <v/>
      </c>
      <c r="I41" s="15" t="n"/>
      <c r="J41" s="15">
        <f>IF(ROW()-3&lt;=MAX(計算用!$Q$4,計算用!$Q$5),ROW()-3,"")</f>
        <v/>
      </c>
      <c r="K41" s="15">
        <f>IFERROR(INDEX(計算用!$D$2:$D$186,MATCH("女赤"&amp;$J41,計算用!$L$2:$L$186,0)),"")</f>
        <v/>
      </c>
      <c r="L41" s="15">
        <f>IFERROR(INDEX(計算用!$M$2:$M$186,MATCH("女赤"&amp;$J41,計算用!$L$2:$L$186,0)),"")</f>
        <v/>
      </c>
      <c r="M41" s="16">
        <f>IFERROR(INDEX(計算用!$G$2:$G$186,MATCH("女赤"&amp;$J41,計算用!$L$2:$L$186,0)),"")</f>
        <v/>
      </c>
      <c r="N41" s="15" t="n"/>
      <c r="O41" s="15">
        <f>IFERROR(INDEX(計算用!$D$2:$D$186,MATCH("女白"&amp;$J41,計算用!$L$2:$L$186,0)),"")</f>
        <v/>
      </c>
      <c r="P41" s="15">
        <f>IFERROR(INDEX(計算用!$M$2:$M$186,MATCH("女白"&amp;$J41,計算用!$L$2:$L$186,0)),"")</f>
        <v/>
      </c>
      <c r="Q41" s="16">
        <f>IFERROR(INDEX(計算用!$G$2:$G$186,MATCH("女白"&amp;$J41,計算用!$L$2:$L$186,0)),"")</f>
        <v/>
      </c>
    </row>
    <row r="42">
      <c r="A42" s="15">
        <f>IF(ROW()-3&lt;=MAX(計算用!$Q$2,計算用!$Q$3),ROW()-3,"")</f>
        <v/>
      </c>
      <c r="B42" s="15">
        <f>IFERROR(INDEX(計算用!$D$2:$D$186,MATCH("男赤"&amp;$A42,計算用!$L$2:$L$186,0)),"")</f>
        <v/>
      </c>
      <c r="C42" s="15">
        <f>IFERROR(INDEX(計算用!$M$2:$M$186,MATCH("男赤"&amp;$A42,計算用!$L$2:$L$186,0)),"")</f>
        <v/>
      </c>
      <c r="D42" s="16">
        <f>IFERROR(INDEX(計算用!$G$2:$G$186,MATCH("男赤"&amp;$A42,計算用!$L$2:$L$186,0)),"")</f>
        <v/>
      </c>
      <c r="E42" s="15" t="n"/>
      <c r="F42" s="15">
        <f>IFERROR(INDEX(計算用!$D$2:$D$186,MATCH("男白"&amp;$A42,計算用!$L$2:$L$186,0)),"")</f>
        <v/>
      </c>
      <c r="G42" s="15">
        <f>IFERROR(INDEX(計算用!$M$2:$M$186,MATCH("男白"&amp;$A42,計算用!$L$2:$L$186,0)),"")</f>
        <v/>
      </c>
      <c r="H42" s="16">
        <f>IFERROR(INDEX(計算用!$G$2:$G$186,MATCH("男白"&amp;$A42,計算用!$L$2:$L$186,0)),"")</f>
        <v/>
      </c>
      <c r="I42" s="15" t="n"/>
      <c r="J42" s="15">
        <f>IF(ROW()-3&lt;=MAX(計算用!$Q$4,計算用!$Q$5),ROW()-3,"")</f>
        <v/>
      </c>
      <c r="K42" s="15">
        <f>IFERROR(INDEX(計算用!$D$2:$D$186,MATCH("女赤"&amp;$J42,計算用!$L$2:$L$186,0)),"")</f>
        <v/>
      </c>
      <c r="L42" s="15">
        <f>IFERROR(INDEX(計算用!$M$2:$M$186,MATCH("女赤"&amp;$J42,計算用!$L$2:$L$186,0)),"")</f>
        <v/>
      </c>
      <c r="M42" s="16">
        <f>IFERROR(INDEX(計算用!$G$2:$G$186,MATCH("女赤"&amp;$J42,計算用!$L$2:$L$186,0)),"")</f>
        <v/>
      </c>
      <c r="N42" s="15" t="n"/>
      <c r="O42" s="15">
        <f>IFERROR(INDEX(計算用!$D$2:$D$186,MATCH("女白"&amp;$J42,計算用!$L$2:$L$186,0)),"")</f>
        <v/>
      </c>
      <c r="P42" s="15">
        <f>IFERROR(INDEX(計算用!$M$2:$M$186,MATCH("女白"&amp;$J42,計算用!$L$2:$L$186,0)),"")</f>
        <v/>
      </c>
      <c r="Q42" s="16">
        <f>IFERROR(INDEX(計算用!$G$2:$G$186,MATCH("女白"&amp;$J42,計算用!$L$2:$L$186,0)),"")</f>
        <v/>
      </c>
    </row>
    <row r="43">
      <c r="A43" s="15">
        <f>IF(ROW()-3&lt;=MAX(計算用!$Q$2,計算用!$Q$3),ROW()-3,"")</f>
        <v/>
      </c>
      <c r="B43" s="15">
        <f>IFERROR(INDEX(計算用!$D$2:$D$186,MATCH("男赤"&amp;$A43,計算用!$L$2:$L$186,0)),"")</f>
        <v/>
      </c>
      <c r="C43" s="15">
        <f>IFERROR(INDEX(計算用!$M$2:$M$186,MATCH("男赤"&amp;$A43,計算用!$L$2:$L$186,0)),"")</f>
        <v/>
      </c>
      <c r="D43" s="16">
        <f>IFERROR(INDEX(計算用!$G$2:$G$186,MATCH("男赤"&amp;$A43,計算用!$L$2:$L$186,0)),"")</f>
        <v/>
      </c>
      <c r="E43" s="15" t="n"/>
      <c r="F43" s="15">
        <f>IFERROR(INDEX(計算用!$D$2:$D$186,MATCH("男白"&amp;$A43,計算用!$L$2:$L$186,0)),"")</f>
        <v/>
      </c>
      <c r="G43" s="15">
        <f>IFERROR(INDEX(計算用!$M$2:$M$186,MATCH("男白"&amp;$A43,計算用!$L$2:$L$186,0)),"")</f>
        <v/>
      </c>
      <c r="H43" s="16">
        <f>IFERROR(INDEX(計算用!$G$2:$G$186,MATCH("男白"&amp;$A43,計算用!$L$2:$L$186,0)),"")</f>
        <v/>
      </c>
      <c r="I43" s="15" t="n"/>
      <c r="J43" s="15">
        <f>IF(ROW()-3&lt;=MAX(計算用!$Q$4,計算用!$Q$5),ROW()-3,"")</f>
        <v/>
      </c>
      <c r="K43" s="15">
        <f>IFERROR(INDEX(計算用!$D$2:$D$186,MATCH("女赤"&amp;$J43,計算用!$L$2:$L$186,0)),"")</f>
        <v/>
      </c>
      <c r="L43" s="15">
        <f>IFERROR(INDEX(計算用!$M$2:$M$186,MATCH("女赤"&amp;$J43,計算用!$L$2:$L$186,0)),"")</f>
        <v/>
      </c>
      <c r="M43" s="16">
        <f>IFERROR(INDEX(計算用!$G$2:$G$186,MATCH("女赤"&amp;$J43,計算用!$L$2:$L$186,0)),"")</f>
        <v/>
      </c>
      <c r="N43" s="15" t="n"/>
      <c r="O43" s="15">
        <f>IFERROR(INDEX(計算用!$D$2:$D$186,MATCH("女白"&amp;$J43,計算用!$L$2:$L$186,0)),"")</f>
        <v/>
      </c>
      <c r="P43" s="15">
        <f>IFERROR(INDEX(計算用!$M$2:$M$186,MATCH("女白"&amp;$J43,計算用!$L$2:$L$186,0)),"")</f>
        <v/>
      </c>
      <c r="Q43" s="16">
        <f>IFERROR(INDEX(計算用!$G$2:$G$186,MATCH("女白"&amp;$J43,計算用!$L$2:$L$186,0)),"")</f>
        <v/>
      </c>
    </row>
    <row r="44">
      <c r="A44" s="15">
        <f>IF(ROW()-3&lt;=MAX(計算用!$Q$2,計算用!$Q$3),ROW()-3,"")</f>
        <v/>
      </c>
      <c r="B44" s="15">
        <f>IFERROR(INDEX(計算用!$D$2:$D$186,MATCH("男赤"&amp;$A44,計算用!$L$2:$L$186,0)),"")</f>
        <v/>
      </c>
      <c r="C44" s="15">
        <f>IFERROR(INDEX(計算用!$M$2:$M$186,MATCH("男赤"&amp;$A44,計算用!$L$2:$L$186,0)),"")</f>
        <v/>
      </c>
      <c r="D44" s="16">
        <f>IFERROR(INDEX(計算用!$G$2:$G$186,MATCH("男赤"&amp;$A44,計算用!$L$2:$L$186,0)),"")</f>
        <v/>
      </c>
      <c r="E44" s="15" t="n"/>
      <c r="F44" s="15">
        <f>IFERROR(INDEX(計算用!$D$2:$D$186,MATCH("男白"&amp;$A44,計算用!$L$2:$L$186,0)),"")</f>
        <v/>
      </c>
      <c r="G44" s="15">
        <f>IFERROR(INDEX(計算用!$M$2:$M$186,MATCH("男白"&amp;$A44,計算用!$L$2:$L$186,0)),"")</f>
        <v/>
      </c>
      <c r="H44" s="16">
        <f>IFERROR(INDEX(計算用!$G$2:$G$186,MATCH("男白"&amp;$A44,計算用!$L$2:$L$186,0)),"")</f>
        <v/>
      </c>
      <c r="I44" s="15" t="n"/>
      <c r="J44" s="15">
        <f>IF(ROW()-3&lt;=MAX(計算用!$Q$4,計算用!$Q$5),ROW()-3,"")</f>
        <v/>
      </c>
      <c r="K44" s="15">
        <f>IFERROR(INDEX(計算用!$D$2:$D$186,MATCH("女赤"&amp;$J44,計算用!$L$2:$L$186,0)),"")</f>
        <v/>
      </c>
      <c r="L44" s="15">
        <f>IFERROR(INDEX(計算用!$M$2:$M$186,MATCH("女赤"&amp;$J44,計算用!$L$2:$L$186,0)),"")</f>
        <v/>
      </c>
      <c r="M44" s="16">
        <f>IFERROR(INDEX(計算用!$G$2:$G$186,MATCH("女赤"&amp;$J44,計算用!$L$2:$L$186,0)),"")</f>
        <v/>
      </c>
      <c r="N44" s="15" t="n"/>
      <c r="O44" s="15">
        <f>IFERROR(INDEX(計算用!$D$2:$D$186,MATCH("女白"&amp;$J44,計算用!$L$2:$L$186,0)),"")</f>
        <v/>
      </c>
      <c r="P44" s="15">
        <f>IFERROR(INDEX(計算用!$M$2:$M$186,MATCH("女白"&amp;$J44,計算用!$L$2:$L$186,0)),"")</f>
        <v/>
      </c>
      <c r="Q44" s="16">
        <f>IFERROR(INDEX(計算用!$G$2:$G$186,MATCH("女白"&amp;$J44,計算用!$L$2:$L$186,0)),"")</f>
        <v/>
      </c>
    </row>
    <row r="45">
      <c r="A45" s="15">
        <f>IF(ROW()-3&lt;=MAX(計算用!$Q$2,計算用!$Q$3),ROW()-3,"")</f>
        <v/>
      </c>
      <c r="B45" s="15">
        <f>IFERROR(INDEX(計算用!$D$2:$D$186,MATCH("男赤"&amp;$A45,計算用!$L$2:$L$186,0)),"")</f>
        <v/>
      </c>
      <c r="C45" s="15">
        <f>IFERROR(INDEX(計算用!$M$2:$M$186,MATCH("男赤"&amp;$A45,計算用!$L$2:$L$186,0)),"")</f>
        <v/>
      </c>
      <c r="D45" s="16">
        <f>IFERROR(INDEX(計算用!$G$2:$G$186,MATCH("男赤"&amp;$A45,計算用!$L$2:$L$186,0)),"")</f>
        <v/>
      </c>
      <c r="E45" s="15" t="n"/>
      <c r="F45" s="15">
        <f>IFERROR(INDEX(計算用!$D$2:$D$186,MATCH("男白"&amp;$A45,計算用!$L$2:$L$186,0)),"")</f>
        <v/>
      </c>
      <c r="G45" s="15">
        <f>IFERROR(INDEX(計算用!$M$2:$M$186,MATCH("男白"&amp;$A45,計算用!$L$2:$L$186,0)),"")</f>
        <v/>
      </c>
      <c r="H45" s="16">
        <f>IFERROR(INDEX(計算用!$G$2:$G$186,MATCH("男白"&amp;$A45,計算用!$L$2:$L$186,0)),"")</f>
        <v/>
      </c>
      <c r="I45" s="15" t="n"/>
      <c r="J45" s="15">
        <f>IF(ROW()-3&lt;=MAX(計算用!$Q$4,計算用!$Q$5),ROW()-3,"")</f>
        <v/>
      </c>
      <c r="K45" s="15">
        <f>IFERROR(INDEX(計算用!$D$2:$D$186,MATCH("女赤"&amp;$J45,計算用!$L$2:$L$186,0)),"")</f>
        <v/>
      </c>
      <c r="L45" s="15">
        <f>IFERROR(INDEX(計算用!$M$2:$M$186,MATCH("女赤"&amp;$J45,計算用!$L$2:$L$186,0)),"")</f>
        <v/>
      </c>
      <c r="M45" s="16">
        <f>IFERROR(INDEX(計算用!$G$2:$G$186,MATCH("女赤"&amp;$J45,計算用!$L$2:$L$186,0)),"")</f>
        <v/>
      </c>
      <c r="N45" s="15" t="n"/>
      <c r="O45" s="15">
        <f>IFERROR(INDEX(計算用!$D$2:$D$186,MATCH("女白"&amp;$J45,計算用!$L$2:$L$186,0)),"")</f>
        <v/>
      </c>
      <c r="P45" s="15">
        <f>IFERROR(INDEX(計算用!$M$2:$M$186,MATCH("女白"&amp;$J45,計算用!$L$2:$L$186,0)),"")</f>
        <v/>
      </c>
      <c r="Q45" s="16">
        <f>IFERROR(INDEX(計算用!$G$2:$G$186,MATCH("女白"&amp;$J45,計算用!$L$2:$L$186,0)),"")</f>
        <v/>
      </c>
    </row>
    <row r="46">
      <c r="A46" s="15">
        <f>IF(ROW()-3&lt;=MAX(計算用!$Q$2,計算用!$Q$3),ROW()-3,"")</f>
        <v/>
      </c>
      <c r="B46" s="15">
        <f>IFERROR(INDEX(計算用!$D$2:$D$186,MATCH("男赤"&amp;$A46,計算用!$L$2:$L$186,0)),"")</f>
        <v/>
      </c>
      <c r="C46" s="15">
        <f>IFERROR(INDEX(計算用!$M$2:$M$186,MATCH("男赤"&amp;$A46,計算用!$L$2:$L$186,0)),"")</f>
        <v/>
      </c>
      <c r="D46" s="16">
        <f>IFERROR(INDEX(計算用!$G$2:$G$186,MATCH("男赤"&amp;$A46,計算用!$L$2:$L$186,0)),"")</f>
        <v/>
      </c>
      <c r="E46" s="15" t="n"/>
      <c r="F46" s="15">
        <f>IFERROR(INDEX(計算用!$D$2:$D$186,MATCH("男白"&amp;$A46,計算用!$L$2:$L$186,0)),"")</f>
        <v/>
      </c>
      <c r="G46" s="15">
        <f>IFERROR(INDEX(計算用!$M$2:$M$186,MATCH("男白"&amp;$A46,計算用!$L$2:$L$186,0)),"")</f>
        <v/>
      </c>
      <c r="H46" s="16">
        <f>IFERROR(INDEX(計算用!$G$2:$G$186,MATCH("男白"&amp;$A46,計算用!$L$2:$L$186,0)),"")</f>
        <v/>
      </c>
      <c r="I46" s="15" t="n"/>
      <c r="J46" s="15">
        <f>IF(ROW()-3&lt;=MAX(計算用!$Q$4,計算用!$Q$5),ROW()-3,"")</f>
        <v/>
      </c>
      <c r="K46" s="15">
        <f>IFERROR(INDEX(計算用!$D$2:$D$186,MATCH("女赤"&amp;$J46,計算用!$L$2:$L$186,0)),"")</f>
        <v/>
      </c>
      <c r="L46" s="15">
        <f>IFERROR(INDEX(計算用!$M$2:$M$186,MATCH("女赤"&amp;$J46,計算用!$L$2:$L$186,0)),"")</f>
        <v/>
      </c>
      <c r="M46" s="16">
        <f>IFERROR(INDEX(計算用!$G$2:$G$186,MATCH("女赤"&amp;$J46,計算用!$L$2:$L$186,0)),"")</f>
        <v/>
      </c>
      <c r="N46" s="15" t="n"/>
      <c r="O46" s="15">
        <f>IFERROR(INDEX(計算用!$D$2:$D$186,MATCH("女白"&amp;$J46,計算用!$L$2:$L$186,0)),"")</f>
        <v/>
      </c>
      <c r="P46" s="15">
        <f>IFERROR(INDEX(計算用!$M$2:$M$186,MATCH("女白"&amp;$J46,計算用!$L$2:$L$186,0)),"")</f>
        <v/>
      </c>
      <c r="Q46" s="16">
        <f>IFERROR(INDEX(計算用!$G$2:$G$186,MATCH("女白"&amp;$J46,計算用!$L$2:$L$186,0)),"")</f>
        <v/>
      </c>
    </row>
    <row r="47">
      <c r="A47" s="15">
        <f>IF(ROW()-3&lt;=MAX(計算用!$Q$2,計算用!$Q$3),ROW()-3,"")</f>
        <v/>
      </c>
      <c r="B47" s="15">
        <f>IFERROR(INDEX(計算用!$D$2:$D$186,MATCH("男赤"&amp;$A47,計算用!$L$2:$L$186,0)),"")</f>
        <v/>
      </c>
      <c r="C47" s="15">
        <f>IFERROR(INDEX(計算用!$M$2:$M$186,MATCH("男赤"&amp;$A47,計算用!$L$2:$L$186,0)),"")</f>
        <v/>
      </c>
      <c r="D47" s="16">
        <f>IFERROR(INDEX(計算用!$G$2:$G$186,MATCH("男赤"&amp;$A47,計算用!$L$2:$L$186,0)),"")</f>
        <v/>
      </c>
      <c r="E47" s="15" t="n"/>
      <c r="F47" s="15">
        <f>IFERROR(INDEX(計算用!$D$2:$D$186,MATCH("男白"&amp;$A47,計算用!$L$2:$L$186,0)),"")</f>
        <v/>
      </c>
      <c r="G47" s="15">
        <f>IFERROR(INDEX(計算用!$M$2:$M$186,MATCH("男白"&amp;$A47,計算用!$L$2:$L$186,0)),"")</f>
        <v/>
      </c>
      <c r="H47" s="16">
        <f>IFERROR(INDEX(計算用!$G$2:$G$186,MATCH("男白"&amp;$A47,計算用!$L$2:$L$186,0)),"")</f>
        <v/>
      </c>
      <c r="I47" s="15" t="n"/>
      <c r="J47" s="15">
        <f>IF(ROW()-3&lt;=MAX(計算用!$Q$4,計算用!$Q$5),ROW()-3,"")</f>
        <v/>
      </c>
      <c r="K47" s="15">
        <f>IFERROR(INDEX(計算用!$D$2:$D$186,MATCH("女赤"&amp;$J47,計算用!$L$2:$L$186,0)),"")</f>
        <v/>
      </c>
      <c r="L47" s="15">
        <f>IFERROR(INDEX(計算用!$M$2:$M$186,MATCH("女赤"&amp;$J47,計算用!$L$2:$L$186,0)),"")</f>
        <v/>
      </c>
      <c r="M47" s="16">
        <f>IFERROR(INDEX(計算用!$G$2:$G$186,MATCH("女赤"&amp;$J47,計算用!$L$2:$L$186,0)),"")</f>
        <v/>
      </c>
      <c r="N47" s="15" t="n"/>
      <c r="O47" s="15">
        <f>IFERROR(INDEX(計算用!$D$2:$D$186,MATCH("女白"&amp;$J47,計算用!$L$2:$L$186,0)),"")</f>
        <v/>
      </c>
      <c r="P47" s="15">
        <f>IFERROR(INDEX(計算用!$M$2:$M$186,MATCH("女白"&amp;$J47,計算用!$L$2:$L$186,0)),"")</f>
        <v/>
      </c>
      <c r="Q47" s="16">
        <f>IFERROR(INDEX(計算用!$G$2:$G$186,MATCH("女白"&amp;$J47,計算用!$L$2:$L$186,0)),"")</f>
        <v/>
      </c>
    </row>
    <row r="48">
      <c r="A48" s="15">
        <f>IF(ROW()-3&lt;=MAX(計算用!$Q$2,計算用!$Q$3),ROW()-3,"")</f>
        <v/>
      </c>
      <c r="B48" s="15">
        <f>IFERROR(INDEX(計算用!$D$2:$D$186,MATCH("男赤"&amp;$A48,計算用!$L$2:$L$186,0)),"")</f>
        <v/>
      </c>
      <c r="C48" s="15">
        <f>IFERROR(INDEX(計算用!$M$2:$M$186,MATCH("男赤"&amp;$A48,計算用!$L$2:$L$186,0)),"")</f>
        <v/>
      </c>
      <c r="D48" s="16">
        <f>IFERROR(INDEX(計算用!$G$2:$G$186,MATCH("男赤"&amp;$A48,計算用!$L$2:$L$186,0)),"")</f>
        <v/>
      </c>
      <c r="E48" s="15" t="n"/>
      <c r="F48" s="15">
        <f>IFERROR(INDEX(計算用!$D$2:$D$186,MATCH("男白"&amp;$A48,計算用!$L$2:$L$186,0)),"")</f>
        <v/>
      </c>
      <c r="G48" s="15">
        <f>IFERROR(INDEX(計算用!$M$2:$M$186,MATCH("男白"&amp;$A48,計算用!$L$2:$L$186,0)),"")</f>
        <v/>
      </c>
      <c r="H48" s="16">
        <f>IFERROR(INDEX(計算用!$G$2:$G$186,MATCH("男白"&amp;$A48,計算用!$L$2:$L$186,0)),"")</f>
        <v/>
      </c>
      <c r="I48" s="15" t="n"/>
      <c r="J48" s="15">
        <f>IF(ROW()-3&lt;=MAX(計算用!$Q$4,計算用!$Q$5),ROW()-3,"")</f>
        <v/>
      </c>
      <c r="K48" s="15">
        <f>IFERROR(INDEX(計算用!$D$2:$D$186,MATCH("女赤"&amp;$J48,計算用!$L$2:$L$186,0)),"")</f>
        <v/>
      </c>
      <c r="L48" s="15">
        <f>IFERROR(INDEX(計算用!$M$2:$M$186,MATCH("女赤"&amp;$J48,計算用!$L$2:$L$186,0)),"")</f>
        <v/>
      </c>
      <c r="M48" s="16">
        <f>IFERROR(INDEX(計算用!$G$2:$G$186,MATCH("女赤"&amp;$J48,計算用!$L$2:$L$186,0)),"")</f>
        <v/>
      </c>
      <c r="N48" s="15" t="n"/>
      <c r="O48" s="15">
        <f>IFERROR(INDEX(計算用!$D$2:$D$186,MATCH("女白"&amp;$J48,計算用!$L$2:$L$186,0)),"")</f>
        <v/>
      </c>
      <c r="P48" s="15">
        <f>IFERROR(INDEX(計算用!$M$2:$M$186,MATCH("女白"&amp;$J48,計算用!$L$2:$L$186,0)),"")</f>
        <v/>
      </c>
      <c r="Q48" s="16">
        <f>IFERROR(INDEX(計算用!$G$2:$G$186,MATCH("女白"&amp;$J48,計算用!$L$2:$L$186,0)),"")</f>
        <v/>
      </c>
    </row>
    <row r="49">
      <c r="A49" s="15">
        <f>IF(ROW()-3&lt;=MAX(計算用!$Q$2,計算用!$Q$3),ROW()-3,"")</f>
        <v/>
      </c>
      <c r="B49" s="15">
        <f>IFERROR(INDEX(計算用!$D$2:$D$186,MATCH("男赤"&amp;$A49,計算用!$L$2:$L$186,0)),"")</f>
        <v/>
      </c>
      <c r="C49" s="15">
        <f>IFERROR(INDEX(計算用!$M$2:$M$186,MATCH("男赤"&amp;$A49,計算用!$L$2:$L$186,0)),"")</f>
        <v/>
      </c>
      <c r="D49" s="16">
        <f>IFERROR(INDEX(計算用!$G$2:$G$186,MATCH("男赤"&amp;$A49,計算用!$L$2:$L$186,0)),"")</f>
        <v/>
      </c>
      <c r="E49" s="15" t="n"/>
      <c r="F49" s="15">
        <f>IFERROR(INDEX(計算用!$D$2:$D$186,MATCH("男白"&amp;$A49,計算用!$L$2:$L$186,0)),"")</f>
        <v/>
      </c>
      <c r="G49" s="15">
        <f>IFERROR(INDEX(計算用!$M$2:$M$186,MATCH("男白"&amp;$A49,計算用!$L$2:$L$186,0)),"")</f>
        <v/>
      </c>
      <c r="H49" s="16">
        <f>IFERROR(INDEX(計算用!$G$2:$G$186,MATCH("男白"&amp;$A49,計算用!$L$2:$L$186,0)),"")</f>
        <v/>
      </c>
      <c r="I49" s="15" t="n"/>
      <c r="J49" s="15">
        <f>IF(ROW()-3&lt;=MAX(計算用!$Q$4,計算用!$Q$5),ROW()-3,"")</f>
        <v/>
      </c>
      <c r="K49" s="15">
        <f>IFERROR(INDEX(計算用!$D$2:$D$186,MATCH("女赤"&amp;$J49,計算用!$L$2:$L$186,0)),"")</f>
        <v/>
      </c>
      <c r="L49" s="15">
        <f>IFERROR(INDEX(計算用!$M$2:$M$186,MATCH("女赤"&amp;$J49,計算用!$L$2:$L$186,0)),"")</f>
        <v/>
      </c>
      <c r="M49" s="16">
        <f>IFERROR(INDEX(計算用!$G$2:$G$186,MATCH("女赤"&amp;$J49,計算用!$L$2:$L$186,0)),"")</f>
        <v/>
      </c>
      <c r="N49" s="15" t="n"/>
      <c r="O49" s="15">
        <f>IFERROR(INDEX(計算用!$D$2:$D$186,MATCH("女白"&amp;$J49,計算用!$L$2:$L$186,0)),"")</f>
        <v/>
      </c>
      <c r="P49" s="15">
        <f>IFERROR(INDEX(計算用!$M$2:$M$186,MATCH("女白"&amp;$J49,計算用!$L$2:$L$186,0)),"")</f>
        <v/>
      </c>
      <c r="Q49" s="16">
        <f>IFERROR(INDEX(計算用!$G$2:$G$186,MATCH("女白"&amp;$J49,計算用!$L$2:$L$186,0)),"")</f>
        <v/>
      </c>
    </row>
    <row r="50">
      <c r="A50" s="15">
        <f>IF(ROW()-3&lt;=MAX(計算用!$Q$2,計算用!$Q$3),ROW()-3,"")</f>
        <v/>
      </c>
      <c r="B50" s="15">
        <f>IFERROR(INDEX(計算用!$D$2:$D$186,MATCH("男赤"&amp;$A50,計算用!$L$2:$L$186,0)),"")</f>
        <v/>
      </c>
      <c r="C50" s="15">
        <f>IFERROR(INDEX(計算用!$M$2:$M$186,MATCH("男赤"&amp;$A50,計算用!$L$2:$L$186,0)),"")</f>
        <v/>
      </c>
      <c r="D50" s="16">
        <f>IFERROR(INDEX(計算用!$G$2:$G$186,MATCH("男赤"&amp;$A50,計算用!$L$2:$L$186,0)),"")</f>
        <v/>
      </c>
      <c r="E50" s="15" t="n"/>
      <c r="F50" s="15">
        <f>IFERROR(INDEX(計算用!$D$2:$D$186,MATCH("男白"&amp;$A50,計算用!$L$2:$L$186,0)),"")</f>
        <v/>
      </c>
      <c r="G50" s="15">
        <f>IFERROR(INDEX(計算用!$M$2:$M$186,MATCH("男白"&amp;$A50,計算用!$L$2:$L$186,0)),"")</f>
        <v/>
      </c>
      <c r="H50" s="16">
        <f>IFERROR(INDEX(計算用!$G$2:$G$186,MATCH("男白"&amp;$A50,計算用!$L$2:$L$186,0)),"")</f>
        <v/>
      </c>
      <c r="I50" s="15" t="n"/>
      <c r="J50" s="15">
        <f>IF(ROW()-3&lt;=MAX(計算用!$Q$4,計算用!$Q$5),ROW()-3,"")</f>
        <v/>
      </c>
      <c r="K50" s="15">
        <f>IFERROR(INDEX(計算用!$D$2:$D$186,MATCH("女赤"&amp;$J50,計算用!$L$2:$L$186,0)),"")</f>
        <v/>
      </c>
      <c r="L50" s="15">
        <f>IFERROR(INDEX(計算用!$M$2:$M$186,MATCH("女赤"&amp;$J50,計算用!$L$2:$L$186,0)),"")</f>
        <v/>
      </c>
      <c r="M50" s="16">
        <f>IFERROR(INDEX(計算用!$G$2:$G$186,MATCH("女赤"&amp;$J50,計算用!$L$2:$L$186,0)),"")</f>
        <v/>
      </c>
      <c r="N50" s="15" t="n"/>
      <c r="O50" s="15">
        <f>IFERROR(INDEX(計算用!$D$2:$D$186,MATCH("女白"&amp;$J50,計算用!$L$2:$L$186,0)),"")</f>
        <v/>
      </c>
      <c r="P50" s="15">
        <f>IFERROR(INDEX(計算用!$M$2:$M$186,MATCH("女白"&amp;$J50,計算用!$L$2:$L$186,0)),"")</f>
        <v/>
      </c>
      <c r="Q50" s="16">
        <f>IFERROR(INDEX(計算用!$G$2:$G$186,MATCH("女白"&amp;$J50,計算用!$L$2:$L$186,0)),"")</f>
        <v/>
      </c>
    </row>
    <row r="51">
      <c r="A51" s="15">
        <f>IF(ROW()-3&lt;=MAX(計算用!$Q$2,計算用!$Q$3),ROW()-3,"")</f>
        <v/>
      </c>
      <c r="B51" s="15">
        <f>IFERROR(INDEX(計算用!$D$2:$D$186,MATCH("男赤"&amp;$A51,計算用!$L$2:$L$186,0)),"")</f>
        <v/>
      </c>
      <c r="C51" s="15">
        <f>IFERROR(INDEX(計算用!$M$2:$M$186,MATCH("男赤"&amp;$A51,計算用!$L$2:$L$186,0)),"")</f>
        <v/>
      </c>
      <c r="D51" s="16">
        <f>IFERROR(INDEX(計算用!$G$2:$G$186,MATCH("男赤"&amp;$A51,計算用!$L$2:$L$186,0)),"")</f>
        <v/>
      </c>
      <c r="E51" s="15" t="n"/>
      <c r="F51" s="15">
        <f>IFERROR(INDEX(計算用!$D$2:$D$186,MATCH("男白"&amp;$A51,計算用!$L$2:$L$186,0)),"")</f>
        <v/>
      </c>
      <c r="G51" s="15">
        <f>IFERROR(INDEX(計算用!$M$2:$M$186,MATCH("男白"&amp;$A51,計算用!$L$2:$L$186,0)),"")</f>
        <v/>
      </c>
      <c r="H51" s="16">
        <f>IFERROR(INDEX(計算用!$G$2:$G$186,MATCH("男白"&amp;$A51,計算用!$L$2:$L$186,0)),"")</f>
        <v/>
      </c>
      <c r="I51" s="15" t="n"/>
      <c r="J51" s="15">
        <f>IF(ROW()-3&lt;=MAX(計算用!$Q$4,計算用!$Q$5),ROW()-3,"")</f>
        <v/>
      </c>
      <c r="K51" s="15">
        <f>IFERROR(INDEX(計算用!$D$2:$D$186,MATCH("女赤"&amp;$J51,計算用!$L$2:$L$186,0)),"")</f>
        <v/>
      </c>
      <c r="L51" s="15">
        <f>IFERROR(INDEX(計算用!$M$2:$M$186,MATCH("女赤"&amp;$J51,計算用!$L$2:$L$186,0)),"")</f>
        <v/>
      </c>
      <c r="M51" s="16">
        <f>IFERROR(INDEX(計算用!$G$2:$G$186,MATCH("女赤"&amp;$J51,計算用!$L$2:$L$186,0)),"")</f>
        <v/>
      </c>
      <c r="N51" s="15" t="n"/>
      <c r="O51" s="15">
        <f>IFERROR(INDEX(計算用!$D$2:$D$186,MATCH("女白"&amp;$J51,計算用!$L$2:$L$186,0)),"")</f>
        <v/>
      </c>
      <c r="P51" s="15">
        <f>IFERROR(INDEX(計算用!$M$2:$M$186,MATCH("女白"&amp;$J51,計算用!$L$2:$L$186,0)),"")</f>
        <v/>
      </c>
      <c r="Q51" s="16">
        <f>IFERROR(INDEX(計算用!$G$2:$G$186,MATCH("女白"&amp;$J51,計算用!$L$2:$L$186,0)),"")</f>
        <v/>
      </c>
    </row>
    <row r="52">
      <c r="A52" s="15">
        <f>IF(ROW()-3&lt;=MAX(計算用!$Q$2,計算用!$Q$3),ROW()-3,"")</f>
        <v/>
      </c>
      <c r="B52" s="15">
        <f>IFERROR(INDEX(計算用!$D$2:$D$186,MATCH("男赤"&amp;$A52,計算用!$L$2:$L$186,0)),"")</f>
        <v/>
      </c>
      <c r="C52" s="15">
        <f>IFERROR(INDEX(計算用!$M$2:$M$186,MATCH("男赤"&amp;$A52,計算用!$L$2:$L$186,0)),"")</f>
        <v/>
      </c>
      <c r="D52" s="16">
        <f>IFERROR(INDEX(計算用!$G$2:$G$186,MATCH("男赤"&amp;$A52,計算用!$L$2:$L$186,0)),"")</f>
        <v/>
      </c>
      <c r="E52" s="15" t="n"/>
      <c r="F52" s="15">
        <f>IFERROR(INDEX(計算用!$D$2:$D$186,MATCH("男白"&amp;$A52,計算用!$L$2:$L$186,0)),"")</f>
        <v/>
      </c>
      <c r="G52" s="15">
        <f>IFERROR(INDEX(計算用!$M$2:$M$186,MATCH("男白"&amp;$A52,計算用!$L$2:$L$186,0)),"")</f>
        <v/>
      </c>
      <c r="H52" s="16">
        <f>IFERROR(INDEX(計算用!$G$2:$G$186,MATCH("男白"&amp;$A52,計算用!$L$2:$L$186,0)),"")</f>
        <v/>
      </c>
      <c r="I52" s="15" t="n"/>
      <c r="J52" s="15">
        <f>IF(ROW()-3&lt;=MAX(計算用!$Q$4,計算用!$Q$5),ROW()-3,"")</f>
        <v/>
      </c>
      <c r="K52" s="15">
        <f>IFERROR(INDEX(計算用!$D$2:$D$186,MATCH("女赤"&amp;$J52,計算用!$L$2:$L$186,0)),"")</f>
        <v/>
      </c>
      <c r="L52" s="15">
        <f>IFERROR(INDEX(計算用!$M$2:$M$186,MATCH("女赤"&amp;$J52,計算用!$L$2:$L$186,0)),"")</f>
        <v/>
      </c>
      <c r="M52" s="16">
        <f>IFERROR(INDEX(計算用!$G$2:$G$186,MATCH("女赤"&amp;$J52,計算用!$L$2:$L$186,0)),"")</f>
        <v/>
      </c>
      <c r="N52" s="15" t="n"/>
      <c r="O52" s="15">
        <f>IFERROR(INDEX(計算用!$D$2:$D$186,MATCH("女白"&amp;$J52,計算用!$L$2:$L$186,0)),"")</f>
        <v/>
      </c>
      <c r="P52" s="15">
        <f>IFERROR(INDEX(計算用!$M$2:$M$186,MATCH("女白"&amp;$J52,計算用!$L$2:$L$186,0)),"")</f>
        <v/>
      </c>
      <c r="Q52" s="16">
        <f>IFERROR(INDEX(計算用!$G$2:$G$186,MATCH("女白"&amp;$J52,計算用!$L$2:$L$186,0)),"")</f>
        <v/>
      </c>
    </row>
    <row r="53">
      <c r="A53" s="15">
        <f>IF(ROW()-3&lt;=MAX(計算用!$Q$2,計算用!$Q$3),ROW()-3,"")</f>
        <v/>
      </c>
      <c r="B53" s="15">
        <f>IFERROR(INDEX(計算用!$D$2:$D$186,MATCH("男赤"&amp;$A53,計算用!$L$2:$L$186,0)),"")</f>
        <v/>
      </c>
      <c r="C53" s="15">
        <f>IFERROR(INDEX(計算用!$M$2:$M$186,MATCH("男赤"&amp;$A53,計算用!$L$2:$L$186,0)),"")</f>
        <v/>
      </c>
      <c r="D53" s="16">
        <f>IFERROR(INDEX(計算用!$G$2:$G$186,MATCH("男赤"&amp;$A53,計算用!$L$2:$L$186,0)),"")</f>
        <v/>
      </c>
      <c r="E53" s="15" t="n"/>
      <c r="F53" s="15">
        <f>IFERROR(INDEX(計算用!$D$2:$D$186,MATCH("男白"&amp;$A53,計算用!$L$2:$L$186,0)),"")</f>
        <v/>
      </c>
      <c r="G53" s="15">
        <f>IFERROR(INDEX(計算用!$M$2:$M$186,MATCH("男白"&amp;$A53,計算用!$L$2:$L$186,0)),"")</f>
        <v/>
      </c>
      <c r="H53" s="16">
        <f>IFERROR(INDEX(計算用!$G$2:$G$186,MATCH("男白"&amp;$A53,計算用!$L$2:$L$186,0)),"")</f>
        <v/>
      </c>
      <c r="I53" s="15" t="n"/>
      <c r="J53" s="15">
        <f>IF(ROW()-3&lt;=MAX(計算用!$Q$4,計算用!$Q$5),ROW()-3,"")</f>
        <v/>
      </c>
      <c r="K53" s="15">
        <f>IFERROR(INDEX(計算用!$D$2:$D$186,MATCH("女赤"&amp;$J53,計算用!$L$2:$L$186,0)),"")</f>
        <v/>
      </c>
      <c r="L53" s="15">
        <f>IFERROR(INDEX(計算用!$M$2:$M$186,MATCH("女赤"&amp;$J53,計算用!$L$2:$L$186,0)),"")</f>
        <v/>
      </c>
      <c r="M53" s="16">
        <f>IFERROR(INDEX(計算用!$G$2:$G$186,MATCH("女赤"&amp;$J53,計算用!$L$2:$L$186,0)),"")</f>
        <v/>
      </c>
      <c r="N53" s="15" t="n"/>
      <c r="O53" s="15">
        <f>IFERROR(INDEX(計算用!$D$2:$D$186,MATCH("女白"&amp;$J53,計算用!$L$2:$L$186,0)),"")</f>
        <v/>
      </c>
      <c r="P53" s="15">
        <f>IFERROR(INDEX(計算用!$M$2:$M$186,MATCH("女白"&amp;$J53,計算用!$L$2:$L$186,0)),"")</f>
        <v/>
      </c>
      <c r="Q53" s="16">
        <f>IFERROR(INDEX(計算用!$G$2:$G$186,MATCH("女白"&amp;$J53,計算用!$L$2:$L$186,0)),"")</f>
        <v/>
      </c>
    </row>
    <row r="54">
      <c r="A54" s="15">
        <f>IF(ROW()-3&lt;=MAX(計算用!$Q$2,計算用!$Q$3),ROW()-3,"")</f>
        <v/>
      </c>
      <c r="B54" s="15">
        <f>IFERROR(INDEX(計算用!$D$2:$D$186,MATCH("男赤"&amp;$A54,計算用!$L$2:$L$186,0)),"")</f>
        <v/>
      </c>
      <c r="C54" s="15">
        <f>IFERROR(INDEX(計算用!$M$2:$M$186,MATCH("男赤"&amp;$A54,計算用!$L$2:$L$186,0)),"")</f>
        <v/>
      </c>
      <c r="D54" s="16">
        <f>IFERROR(INDEX(計算用!$G$2:$G$186,MATCH("男赤"&amp;$A54,計算用!$L$2:$L$186,0)),"")</f>
        <v/>
      </c>
      <c r="E54" s="15" t="n"/>
      <c r="F54" s="15">
        <f>IFERROR(INDEX(計算用!$D$2:$D$186,MATCH("男白"&amp;$A54,計算用!$L$2:$L$186,0)),"")</f>
        <v/>
      </c>
      <c r="G54" s="15">
        <f>IFERROR(INDEX(計算用!$M$2:$M$186,MATCH("男白"&amp;$A54,計算用!$L$2:$L$186,0)),"")</f>
        <v/>
      </c>
      <c r="H54" s="16">
        <f>IFERROR(INDEX(計算用!$G$2:$G$186,MATCH("男白"&amp;$A54,計算用!$L$2:$L$186,0)),"")</f>
        <v/>
      </c>
      <c r="I54" s="15" t="n"/>
      <c r="J54" s="15">
        <f>IF(ROW()-3&lt;=MAX(計算用!$Q$4,計算用!$Q$5),ROW()-3,"")</f>
        <v/>
      </c>
      <c r="K54" s="15">
        <f>IFERROR(INDEX(計算用!$D$2:$D$186,MATCH("女赤"&amp;$J54,計算用!$L$2:$L$186,0)),"")</f>
        <v/>
      </c>
      <c r="L54" s="15">
        <f>IFERROR(INDEX(計算用!$M$2:$M$186,MATCH("女赤"&amp;$J54,計算用!$L$2:$L$186,0)),"")</f>
        <v/>
      </c>
      <c r="M54" s="16">
        <f>IFERROR(INDEX(計算用!$G$2:$G$186,MATCH("女赤"&amp;$J54,計算用!$L$2:$L$186,0)),"")</f>
        <v/>
      </c>
      <c r="N54" s="15" t="n"/>
      <c r="O54" s="15">
        <f>IFERROR(INDEX(計算用!$D$2:$D$186,MATCH("女白"&amp;$J54,計算用!$L$2:$L$186,0)),"")</f>
        <v/>
      </c>
      <c r="P54" s="15">
        <f>IFERROR(INDEX(計算用!$M$2:$M$186,MATCH("女白"&amp;$J54,計算用!$L$2:$L$186,0)),"")</f>
        <v/>
      </c>
      <c r="Q54" s="16">
        <f>IFERROR(INDEX(計算用!$G$2:$G$186,MATCH("女白"&amp;$J54,計算用!$L$2:$L$186,0)),"")</f>
        <v/>
      </c>
    </row>
    <row r="55">
      <c r="A55" s="15">
        <f>IF(ROW()-3&lt;=MAX(計算用!$Q$2,計算用!$Q$3),ROW()-3,"")</f>
        <v/>
      </c>
      <c r="B55" s="15">
        <f>IFERROR(INDEX(計算用!$D$2:$D$186,MATCH("男赤"&amp;$A55,計算用!$L$2:$L$186,0)),"")</f>
        <v/>
      </c>
      <c r="C55" s="15">
        <f>IFERROR(INDEX(計算用!$M$2:$M$186,MATCH("男赤"&amp;$A55,計算用!$L$2:$L$186,0)),"")</f>
        <v/>
      </c>
      <c r="D55" s="16">
        <f>IFERROR(INDEX(計算用!$G$2:$G$186,MATCH("男赤"&amp;$A55,計算用!$L$2:$L$186,0)),"")</f>
        <v/>
      </c>
      <c r="E55" s="15" t="n"/>
      <c r="F55" s="15">
        <f>IFERROR(INDEX(計算用!$D$2:$D$186,MATCH("男白"&amp;$A55,計算用!$L$2:$L$186,0)),"")</f>
        <v/>
      </c>
      <c r="G55" s="15">
        <f>IFERROR(INDEX(計算用!$M$2:$M$186,MATCH("男白"&amp;$A55,計算用!$L$2:$L$186,0)),"")</f>
        <v/>
      </c>
      <c r="H55" s="16">
        <f>IFERROR(INDEX(計算用!$G$2:$G$186,MATCH("男白"&amp;$A55,計算用!$L$2:$L$186,0)),"")</f>
        <v/>
      </c>
      <c r="I55" s="15" t="n"/>
      <c r="J55" s="15">
        <f>IF(ROW()-3&lt;=MAX(計算用!$Q$4,計算用!$Q$5),ROW()-3,"")</f>
        <v/>
      </c>
      <c r="K55" s="15">
        <f>IFERROR(INDEX(計算用!$D$2:$D$186,MATCH("女赤"&amp;$J55,計算用!$L$2:$L$186,0)),"")</f>
        <v/>
      </c>
      <c r="L55" s="15">
        <f>IFERROR(INDEX(計算用!$M$2:$M$186,MATCH("女赤"&amp;$J55,計算用!$L$2:$L$186,0)),"")</f>
        <v/>
      </c>
      <c r="M55" s="16">
        <f>IFERROR(INDEX(計算用!$G$2:$G$186,MATCH("女赤"&amp;$J55,計算用!$L$2:$L$186,0)),"")</f>
        <v/>
      </c>
      <c r="N55" s="15" t="n"/>
      <c r="O55" s="15">
        <f>IFERROR(INDEX(計算用!$D$2:$D$186,MATCH("女白"&amp;$J55,計算用!$L$2:$L$186,0)),"")</f>
        <v/>
      </c>
      <c r="P55" s="15">
        <f>IFERROR(INDEX(計算用!$M$2:$M$186,MATCH("女白"&amp;$J55,計算用!$L$2:$L$186,0)),"")</f>
        <v/>
      </c>
      <c r="Q55" s="16">
        <f>IFERROR(INDEX(計算用!$G$2:$G$186,MATCH("女白"&amp;$J55,計算用!$L$2:$L$186,0)),"")</f>
        <v/>
      </c>
    </row>
    <row r="56">
      <c r="A56" s="15">
        <f>IF(ROW()-3&lt;=MAX(計算用!$Q$2,計算用!$Q$3),ROW()-3,"")</f>
        <v/>
      </c>
      <c r="B56" s="15">
        <f>IFERROR(INDEX(計算用!$D$2:$D$186,MATCH("男赤"&amp;$A56,計算用!$L$2:$L$186,0)),"")</f>
        <v/>
      </c>
      <c r="C56" s="15">
        <f>IFERROR(INDEX(計算用!$M$2:$M$186,MATCH("男赤"&amp;$A56,計算用!$L$2:$L$186,0)),"")</f>
        <v/>
      </c>
      <c r="D56" s="16">
        <f>IFERROR(INDEX(計算用!$G$2:$G$186,MATCH("男赤"&amp;$A56,計算用!$L$2:$L$186,0)),"")</f>
        <v/>
      </c>
      <c r="E56" s="15" t="n"/>
      <c r="F56" s="15">
        <f>IFERROR(INDEX(計算用!$D$2:$D$186,MATCH("男白"&amp;$A56,計算用!$L$2:$L$186,0)),"")</f>
        <v/>
      </c>
      <c r="G56" s="15">
        <f>IFERROR(INDEX(計算用!$M$2:$M$186,MATCH("男白"&amp;$A56,計算用!$L$2:$L$186,0)),"")</f>
        <v/>
      </c>
      <c r="H56" s="16">
        <f>IFERROR(INDEX(計算用!$G$2:$G$186,MATCH("男白"&amp;$A56,計算用!$L$2:$L$186,0)),"")</f>
        <v/>
      </c>
      <c r="I56" s="15" t="n"/>
      <c r="J56" s="15">
        <f>IF(ROW()-3&lt;=MAX(計算用!$Q$4,計算用!$Q$5),ROW()-3,"")</f>
        <v/>
      </c>
      <c r="K56" s="15">
        <f>IFERROR(INDEX(計算用!$D$2:$D$186,MATCH("女赤"&amp;$J56,計算用!$L$2:$L$186,0)),"")</f>
        <v/>
      </c>
      <c r="L56" s="15">
        <f>IFERROR(INDEX(計算用!$M$2:$M$186,MATCH("女赤"&amp;$J56,計算用!$L$2:$L$186,0)),"")</f>
        <v/>
      </c>
      <c r="M56" s="16">
        <f>IFERROR(INDEX(計算用!$G$2:$G$186,MATCH("女赤"&amp;$J56,計算用!$L$2:$L$186,0)),"")</f>
        <v/>
      </c>
      <c r="N56" s="15" t="n"/>
      <c r="O56" s="15">
        <f>IFERROR(INDEX(計算用!$D$2:$D$186,MATCH("女白"&amp;$J56,計算用!$L$2:$L$186,0)),"")</f>
        <v/>
      </c>
      <c r="P56" s="15">
        <f>IFERROR(INDEX(計算用!$M$2:$M$186,MATCH("女白"&amp;$J56,計算用!$L$2:$L$186,0)),"")</f>
        <v/>
      </c>
      <c r="Q56" s="16">
        <f>IFERROR(INDEX(計算用!$G$2:$G$186,MATCH("女白"&amp;$J56,計算用!$L$2:$L$186,0)),"")</f>
        <v/>
      </c>
    </row>
    <row r="57">
      <c r="A57" s="15">
        <f>IF(ROW()-3&lt;=MAX(計算用!$Q$2,計算用!$Q$3),ROW()-3,"")</f>
        <v/>
      </c>
      <c r="B57" s="15">
        <f>IFERROR(INDEX(計算用!$D$2:$D$186,MATCH("男赤"&amp;$A57,計算用!$L$2:$L$186,0)),"")</f>
        <v/>
      </c>
      <c r="C57" s="15">
        <f>IFERROR(INDEX(計算用!$M$2:$M$186,MATCH("男赤"&amp;$A57,計算用!$L$2:$L$186,0)),"")</f>
        <v/>
      </c>
      <c r="D57" s="16">
        <f>IFERROR(INDEX(計算用!$G$2:$G$186,MATCH("男赤"&amp;$A57,計算用!$L$2:$L$186,0)),"")</f>
        <v/>
      </c>
      <c r="E57" s="15" t="n"/>
      <c r="F57" s="15">
        <f>IFERROR(INDEX(計算用!$D$2:$D$186,MATCH("男白"&amp;$A57,計算用!$L$2:$L$186,0)),"")</f>
        <v/>
      </c>
      <c r="G57" s="15">
        <f>IFERROR(INDEX(計算用!$M$2:$M$186,MATCH("男白"&amp;$A57,計算用!$L$2:$L$186,0)),"")</f>
        <v/>
      </c>
      <c r="H57" s="16">
        <f>IFERROR(INDEX(計算用!$G$2:$G$186,MATCH("男白"&amp;$A57,計算用!$L$2:$L$186,0)),"")</f>
        <v/>
      </c>
      <c r="I57" s="15" t="n"/>
      <c r="J57" s="15">
        <f>IF(ROW()-3&lt;=MAX(計算用!$Q$4,計算用!$Q$5),ROW()-3,"")</f>
        <v/>
      </c>
      <c r="K57" s="15">
        <f>IFERROR(INDEX(計算用!$D$2:$D$186,MATCH("女赤"&amp;$J57,計算用!$L$2:$L$186,0)),"")</f>
        <v/>
      </c>
      <c r="L57" s="15">
        <f>IFERROR(INDEX(計算用!$M$2:$M$186,MATCH("女赤"&amp;$J57,計算用!$L$2:$L$186,0)),"")</f>
        <v/>
      </c>
      <c r="M57" s="16">
        <f>IFERROR(INDEX(計算用!$G$2:$G$186,MATCH("女赤"&amp;$J57,計算用!$L$2:$L$186,0)),"")</f>
        <v/>
      </c>
      <c r="N57" s="15" t="n"/>
      <c r="O57" s="15">
        <f>IFERROR(INDEX(計算用!$D$2:$D$186,MATCH("女白"&amp;$J57,計算用!$L$2:$L$186,0)),"")</f>
        <v/>
      </c>
      <c r="P57" s="15">
        <f>IFERROR(INDEX(計算用!$M$2:$M$186,MATCH("女白"&amp;$J57,計算用!$L$2:$L$186,0)),"")</f>
        <v/>
      </c>
      <c r="Q57" s="16">
        <f>IFERROR(INDEX(計算用!$G$2:$G$186,MATCH("女白"&amp;$J57,計算用!$L$2:$L$186,0)),"")</f>
        <v/>
      </c>
    </row>
    <row r="58">
      <c r="A58" s="15">
        <f>IF(ROW()-3&lt;=MAX(計算用!$Q$2,計算用!$Q$3),ROW()-3,"")</f>
        <v/>
      </c>
      <c r="B58" s="15">
        <f>IFERROR(INDEX(計算用!$D$2:$D$186,MATCH("男赤"&amp;$A58,計算用!$L$2:$L$186,0)),"")</f>
        <v/>
      </c>
      <c r="C58" s="15">
        <f>IFERROR(INDEX(計算用!$M$2:$M$186,MATCH("男赤"&amp;$A58,計算用!$L$2:$L$186,0)),"")</f>
        <v/>
      </c>
      <c r="D58" s="16">
        <f>IFERROR(INDEX(計算用!$G$2:$G$186,MATCH("男赤"&amp;$A58,計算用!$L$2:$L$186,0)),"")</f>
        <v/>
      </c>
      <c r="E58" s="15" t="n"/>
      <c r="F58" s="15">
        <f>IFERROR(INDEX(計算用!$D$2:$D$186,MATCH("男白"&amp;$A58,計算用!$L$2:$L$186,0)),"")</f>
        <v/>
      </c>
      <c r="G58" s="15">
        <f>IFERROR(INDEX(計算用!$M$2:$M$186,MATCH("男白"&amp;$A58,計算用!$L$2:$L$186,0)),"")</f>
        <v/>
      </c>
      <c r="H58" s="16">
        <f>IFERROR(INDEX(計算用!$G$2:$G$186,MATCH("男白"&amp;$A58,計算用!$L$2:$L$186,0)),"")</f>
        <v/>
      </c>
      <c r="I58" s="15" t="n"/>
      <c r="J58" s="15">
        <f>IF(ROW()-3&lt;=MAX(計算用!$Q$4,計算用!$Q$5),ROW()-3,"")</f>
        <v/>
      </c>
      <c r="K58" s="15">
        <f>IFERROR(INDEX(計算用!$D$2:$D$186,MATCH("女赤"&amp;$J58,計算用!$L$2:$L$186,0)),"")</f>
        <v/>
      </c>
      <c r="L58" s="15">
        <f>IFERROR(INDEX(計算用!$M$2:$M$186,MATCH("女赤"&amp;$J58,計算用!$L$2:$L$186,0)),"")</f>
        <v/>
      </c>
      <c r="M58" s="16">
        <f>IFERROR(INDEX(計算用!$G$2:$G$186,MATCH("女赤"&amp;$J58,計算用!$L$2:$L$186,0)),"")</f>
        <v/>
      </c>
      <c r="N58" s="15" t="n"/>
      <c r="O58" s="15">
        <f>IFERROR(INDEX(計算用!$D$2:$D$186,MATCH("女白"&amp;$J58,計算用!$L$2:$L$186,0)),"")</f>
        <v/>
      </c>
      <c r="P58" s="15">
        <f>IFERROR(INDEX(計算用!$M$2:$M$186,MATCH("女白"&amp;$J58,計算用!$L$2:$L$186,0)),"")</f>
        <v/>
      </c>
      <c r="Q58" s="16">
        <f>IFERROR(INDEX(計算用!$G$2:$G$186,MATCH("女白"&amp;$J58,計算用!$L$2:$L$186,0)),"")</f>
        <v/>
      </c>
    </row>
    <row r="59">
      <c r="A59" s="15">
        <f>IF(ROW()-3&lt;=MAX(計算用!$Q$2,計算用!$Q$3),ROW()-3,"")</f>
        <v/>
      </c>
      <c r="B59" s="15">
        <f>IFERROR(INDEX(計算用!$D$2:$D$186,MATCH("男赤"&amp;$A59,計算用!$L$2:$L$186,0)),"")</f>
        <v/>
      </c>
      <c r="C59" s="15">
        <f>IFERROR(INDEX(計算用!$M$2:$M$186,MATCH("男赤"&amp;$A59,計算用!$L$2:$L$186,0)),"")</f>
        <v/>
      </c>
      <c r="D59" s="16">
        <f>IFERROR(INDEX(計算用!$G$2:$G$186,MATCH("男赤"&amp;$A59,計算用!$L$2:$L$186,0)),"")</f>
        <v/>
      </c>
      <c r="E59" s="15" t="n"/>
      <c r="F59" s="15">
        <f>IFERROR(INDEX(計算用!$D$2:$D$186,MATCH("男白"&amp;$A59,計算用!$L$2:$L$186,0)),"")</f>
        <v/>
      </c>
      <c r="G59" s="15">
        <f>IFERROR(INDEX(計算用!$M$2:$M$186,MATCH("男白"&amp;$A59,計算用!$L$2:$L$186,0)),"")</f>
        <v/>
      </c>
      <c r="H59" s="16">
        <f>IFERROR(INDEX(計算用!$G$2:$G$186,MATCH("男白"&amp;$A59,計算用!$L$2:$L$186,0)),"")</f>
        <v/>
      </c>
      <c r="I59" s="15" t="n"/>
      <c r="J59" s="15">
        <f>IF(ROW()-3&lt;=MAX(計算用!$Q$4,計算用!$Q$5),ROW()-3,"")</f>
        <v/>
      </c>
      <c r="K59" s="15">
        <f>IFERROR(INDEX(計算用!$D$2:$D$186,MATCH("女赤"&amp;$J59,計算用!$L$2:$L$186,0)),"")</f>
        <v/>
      </c>
      <c r="L59" s="15">
        <f>IFERROR(INDEX(計算用!$M$2:$M$186,MATCH("女赤"&amp;$J59,計算用!$L$2:$L$186,0)),"")</f>
        <v/>
      </c>
      <c r="M59" s="16">
        <f>IFERROR(INDEX(計算用!$G$2:$G$186,MATCH("女赤"&amp;$J59,計算用!$L$2:$L$186,0)),"")</f>
        <v/>
      </c>
      <c r="N59" s="15" t="n"/>
      <c r="O59" s="15">
        <f>IFERROR(INDEX(計算用!$D$2:$D$186,MATCH("女白"&amp;$J59,計算用!$L$2:$L$186,0)),"")</f>
        <v/>
      </c>
      <c r="P59" s="15">
        <f>IFERROR(INDEX(計算用!$M$2:$M$186,MATCH("女白"&amp;$J59,計算用!$L$2:$L$186,0)),"")</f>
        <v/>
      </c>
      <c r="Q59" s="16">
        <f>IFERROR(INDEX(計算用!$G$2:$G$186,MATCH("女白"&amp;$J59,計算用!$L$2:$L$186,0)),"")</f>
        <v/>
      </c>
    </row>
    <row r="60">
      <c r="A60" s="15">
        <f>IF(ROW()-3&lt;=MAX(計算用!$Q$2,計算用!$Q$3),ROW()-3,"")</f>
        <v/>
      </c>
      <c r="B60" s="15">
        <f>IFERROR(INDEX(計算用!$D$2:$D$186,MATCH("男赤"&amp;$A60,計算用!$L$2:$L$186,0)),"")</f>
        <v/>
      </c>
      <c r="C60" s="15">
        <f>IFERROR(INDEX(計算用!$M$2:$M$186,MATCH("男赤"&amp;$A60,計算用!$L$2:$L$186,0)),"")</f>
        <v/>
      </c>
      <c r="D60" s="16">
        <f>IFERROR(INDEX(計算用!$G$2:$G$186,MATCH("男赤"&amp;$A60,計算用!$L$2:$L$186,0)),"")</f>
        <v/>
      </c>
      <c r="E60" s="15" t="n"/>
      <c r="F60" s="15">
        <f>IFERROR(INDEX(計算用!$D$2:$D$186,MATCH("男白"&amp;$A60,計算用!$L$2:$L$186,0)),"")</f>
        <v/>
      </c>
      <c r="G60" s="15">
        <f>IFERROR(INDEX(計算用!$M$2:$M$186,MATCH("男白"&amp;$A60,計算用!$L$2:$L$186,0)),"")</f>
        <v/>
      </c>
      <c r="H60" s="16">
        <f>IFERROR(INDEX(計算用!$G$2:$G$186,MATCH("男白"&amp;$A60,計算用!$L$2:$L$186,0)),"")</f>
        <v/>
      </c>
      <c r="I60" s="15" t="n"/>
      <c r="J60" s="15">
        <f>IF(ROW()-3&lt;=MAX(計算用!$Q$4,計算用!$Q$5),ROW()-3,"")</f>
        <v/>
      </c>
      <c r="K60" s="15">
        <f>IFERROR(INDEX(計算用!$D$2:$D$186,MATCH("女赤"&amp;$J60,計算用!$L$2:$L$186,0)),"")</f>
        <v/>
      </c>
      <c r="L60" s="15">
        <f>IFERROR(INDEX(計算用!$M$2:$M$186,MATCH("女赤"&amp;$J60,計算用!$L$2:$L$186,0)),"")</f>
        <v/>
      </c>
      <c r="M60" s="16">
        <f>IFERROR(INDEX(計算用!$G$2:$G$186,MATCH("女赤"&amp;$J60,計算用!$L$2:$L$186,0)),"")</f>
        <v/>
      </c>
      <c r="N60" s="15" t="n"/>
      <c r="O60" s="15">
        <f>IFERROR(INDEX(計算用!$D$2:$D$186,MATCH("女白"&amp;$J60,計算用!$L$2:$L$186,0)),"")</f>
        <v/>
      </c>
      <c r="P60" s="15">
        <f>IFERROR(INDEX(計算用!$M$2:$M$186,MATCH("女白"&amp;$J60,計算用!$L$2:$L$186,0)),"")</f>
        <v/>
      </c>
      <c r="Q60" s="16">
        <f>IFERROR(INDEX(計算用!$G$2:$G$186,MATCH("女白"&amp;$J60,計算用!$L$2:$L$186,0)),"")</f>
        <v/>
      </c>
    </row>
    <row r="61">
      <c r="A61" s="15">
        <f>IF(ROW()-3&lt;=MAX(計算用!$Q$2,計算用!$Q$3),ROW()-3,"")</f>
        <v/>
      </c>
      <c r="B61" s="15">
        <f>IFERROR(INDEX(計算用!$D$2:$D$186,MATCH("男赤"&amp;$A61,計算用!$L$2:$L$186,0)),"")</f>
        <v/>
      </c>
      <c r="C61" s="15">
        <f>IFERROR(INDEX(計算用!$M$2:$M$186,MATCH("男赤"&amp;$A61,計算用!$L$2:$L$186,0)),"")</f>
        <v/>
      </c>
      <c r="D61" s="16">
        <f>IFERROR(INDEX(計算用!$G$2:$G$186,MATCH("男赤"&amp;$A61,計算用!$L$2:$L$186,0)),"")</f>
        <v/>
      </c>
      <c r="E61" s="15" t="n"/>
      <c r="F61" s="15">
        <f>IFERROR(INDEX(計算用!$D$2:$D$186,MATCH("男白"&amp;$A61,計算用!$L$2:$L$186,0)),"")</f>
        <v/>
      </c>
      <c r="G61" s="15">
        <f>IFERROR(INDEX(計算用!$M$2:$M$186,MATCH("男白"&amp;$A61,計算用!$L$2:$L$186,0)),"")</f>
        <v/>
      </c>
      <c r="H61" s="16">
        <f>IFERROR(INDEX(計算用!$G$2:$G$186,MATCH("男白"&amp;$A61,計算用!$L$2:$L$186,0)),"")</f>
        <v/>
      </c>
      <c r="I61" s="15" t="n"/>
      <c r="J61" s="15">
        <f>IF(ROW()-3&lt;=MAX(計算用!$Q$4,計算用!$Q$5),ROW()-3,"")</f>
        <v/>
      </c>
      <c r="K61" s="15">
        <f>IFERROR(INDEX(計算用!$D$2:$D$186,MATCH("女赤"&amp;$J61,計算用!$L$2:$L$186,0)),"")</f>
        <v/>
      </c>
      <c r="L61" s="15">
        <f>IFERROR(INDEX(計算用!$M$2:$M$186,MATCH("女赤"&amp;$J61,計算用!$L$2:$L$186,0)),"")</f>
        <v/>
      </c>
      <c r="M61" s="16">
        <f>IFERROR(INDEX(計算用!$G$2:$G$186,MATCH("女赤"&amp;$J61,計算用!$L$2:$L$186,0)),"")</f>
        <v/>
      </c>
      <c r="N61" s="15" t="n"/>
      <c r="O61" s="15">
        <f>IFERROR(INDEX(計算用!$D$2:$D$186,MATCH("女白"&amp;$J61,計算用!$L$2:$L$186,0)),"")</f>
        <v/>
      </c>
      <c r="P61" s="15">
        <f>IFERROR(INDEX(計算用!$M$2:$M$186,MATCH("女白"&amp;$J61,計算用!$L$2:$L$186,0)),"")</f>
        <v/>
      </c>
      <c r="Q61" s="16">
        <f>IFERROR(INDEX(計算用!$G$2:$G$186,MATCH("女白"&amp;$J61,計算用!$L$2:$L$186,0)),"")</f>
        <v/>
      </c>
    </row>
    <row r="62">
      <c r="A62" s="15">
        <f>IF(ROW()-3&lt;=MAX(計算用!$Q$2,計算用!$Q$3),ROW()-3,"")</f>
        <v/>
      </c>
      <c r="B62" s="15">
        <f>IFERROR(INDEX(計算用!$D$2:$D$186,MATCH("男赤"&amp;$A62,計算用!$L$2:$L$186,0)),"")</f>
        <v/>
      </c>
      <c r="C62" s="15">
        <f>IFERROR(INDEX(計算用!$M$2:$M$186,MATCH("男赤"&amp;$A62,計算用!$L$2:$L$186,0)),"")</f>
        <v/>
      </c>
      <c r="D62" s="16">
        <f>IFERROR(INDEX(計算用!$G$2:$G$186,MATCH("男赤"&amp;$A62,計算用!$L$2:$L$186,0)),"")</f>
        <v/>
      </c>
      <c r="E62" s="15" t="n"/>
      <c r="F62" s="15">
        <f>IFERROR(INDEX(計算用!$D$2:$D$186,MATCH("男白"&amp;$A62,計算用!$L$2:$L$186,0)),"")</f>
        <v/>
      </c>
      <c r="G62" s="15">
        <f>IFERROR(INDEX(計算用!$M$2:$M$186,MATCH("男白"&amp;$A62,計算用!$L$2:$L$186,0)),"")</f>
        <v/>
      </c>
      <c r="H62" s="16">
        <f>IFERROR(INDEX(計算用!$G$2:$G$186,MATCH("男白"&amp;$A62,計算用!$L$2:$L$186,0)),"")</f>
        <v/>
      </c>
      <c r="I62" s="15" t="n"/>
      <c r="J62" s="15">
        <f>IF(ROW()-3&lt;=MAX(計算用!$Q$4,計算用!$Q$5),ROW()-3,"")</f>
        <v/>
      </c>
      <c r="K62" s="15">
        <f>IFERROR(INDEX(計算用!$D$2:$D$186,MATCH("女赤"&amp;$J62,計算用!$L$2:$L$186,0)),"")</f>
        <v/>
      </c>
      <c r="L62" s="15">
        <f>IFERROR(INDEX(計算用!$M$2:$M$186,MATCH("女赤"&amp;$J62,計算用!$L$2:$L$186,0)),"")</f>
        <v/>
      </c>
      <c r="M62" s="16">
        <f>IFERROR(INDEX(計算用!$G$2:$G$186,MATCH("女赤"&amp;$J62,計算用!$L$2:$L$186,0)),"")</f>
        <v/>
      </c>
      <c r="N62" s="15" t="n"/>
      <c r="O62" s="15">
        <f>IFERROR(INDEX(計算用!$D$2:$D$186,MATCH("女白"&amp;$J62,計算用!$L$2:$L$186,0)),"")</f>
        <v/>
      </c>
      <c r="P62" s="15">
        <f>IFERROR(INDEX(計算用!$M$2:$M$186,MATCH("女白"&amp;$J62,計算用!$L$2:$L$186,0)),"")</f>
        <v/>
      </c>
      <c r="Q62" s="16">
        <f>IFERROR(INDEX(計算用!$G$2:$G$186,MATCH("女白"&amp;$J62,計算用!$L$2:$L$186,0)),"")</f>
        <v/>
      </c>
    </row>
    <row r="63">
      <c r="A63" s="15">
        <f>IF(ROW()-3&lt;=MAX(計算用!$Q$2,計算用!$Q$3),ROW()-3,"")</f>
        <v/>
      </c>
      <c r="B63" s="15">
        <f>IFERROR(INDEX(計算用!$D$2:$D$186,MATCH("男赤"&amp;$A63,計算用!$L$2:$L$186,0)),"")</f>
        <v/>
      </c>
      <c r="C63" s="15">
        <f>IFERROR(INDEX(計算用!$M$2:$M$186,MATCH("男赤"&amp;$A63,計算用!$L$2:$L$186,0)),"")</f>
        <v/>
      </c>
      <c r="D63" s="16">
        <f>IFERROR(INDEX(計算用!$G$2:$G$186,MATCH("男赤"&amp;$A63,計算用!$L$2:$L$186,0)),"")</f>
        <v/>
      </c>
      <c r="E63" s="15" t="n"/>
      <c r="F63" s="15">
        <f>IFERROR(INDEX(計算用!$D$2:$D$186,MATCH("男白"&amp;$A63,計算用!$L$2:$L$186,0)),"")</f>
        <v/>
      </c>
      <c r="G63" s="15">
        <f>IFERROR(INDEX(計算用!$M$2:$M$186,MATCH("男白"&amp;$A63,計算用!$L$2:$L$186,0)),"")</f>
        <v/>
      </c>
      <c r="H63" s="16">
        <f>IFERROR(INDEX(計算用!$G$2:$G$186,MATCH("男白"&amp;$A63,計算用!$L$2:$L$186,0)),"")</f>
        <v/>
      </c>
      <c r="I63" s="15" t="n"/>
      <c r="J63" s="15">
        <f>IF(ROW()-3&lt;=MAX(計算用!$Q$4,計算用!$Q$5),ROW()-3,"")</f>
        <v/>
      </c>
      <c r="K63" s="15">
        <f>IFERROR(INDEX(計算用!$D$2:$D$186,MATCH("女赤"&amp;$J63,計算用!$L$2:$L$186,0)),"")</f>
        <v/>
      </c>
      <c r="L63" s="15">
        <f>IFERROR(INDEX(計算用!$M$2:$M$186,MATCH("女赤"&amp;$J63,計算用!$L$2:$L$186,0)),"")</f>
        <v/>
      </c>
      <c r="M63" s="16">
        <f>IFERROR(INDEX(計算用!$G$2:$G$186,MATCH("女赤"&amp;$J63,計算用!$L$2:$L$186,0)),"")</f>
        <v/>
      </c>
      <c r="N63" s="15" t="n"/>
      <c r="O63" s="15">
        <f>IFERROR(INDEX(計算用!$D$2:$D$186,MATCH("女白"&amp;$J63,計算用!$L$2:$L$186,0)),"")</f>
        <v/>
      </c>
      <c r="P63" s="15">
        <f>IFERROR(INDEX(計算用!$M$2:$M$186,MATCH("女白"&amp;$J63,計算用!$L$2:$L$186,0)),"")</f>
        <v/>
      </c>
      <c r="Q63" s="16">
        <f>IFERROR(INDEX(計算用!$G$2:$G$186,MATCH("女白"&amp;$J63,計算用!$L$2:$L$186,0)),"")</f>
        <v/>
      </c>
    </row>
    <row r="64">
      <c r="A64" s="15">
        <f>IF(ROW()-3&lt;=MAX(計算用!$Q$2,計算用!$Q$3),ROW()-3,"")</f>
        <v/>
      </c>
      <c r="B64" s="15">
        <f>IFERROR(INDEX(計算用!$D$2:$D$186,MATCH("男赤"&amp;$A64,計算用!$L$2:$L$186,0)),"")</f>
        <v/>
      </c>
      <c r="C64" s="15">
        <f>IFERROR(INDEX(計算用!$M$2:$M$186,MATCH("男赤"&amp;$A64,計算用!$L$2:$L$186,0)),"")</f>
        <v/>
      </c>
      <c r="D64" s="16">
        <f>IFERROR(INDEX(計算用!$G$2:$G$186,MATCH("男赤"&amp;$A64,計算用!$L$2:$L$186,0)),"")</f>
        <v/>
      </c>
      <c r="E64" s="15" t="n"/>
      <c r="F64" s="15">
        <f>IFERROR(INDEX(計算用!$D$2:$D$186,MATCH("男白"&amp;$A64,計算用!$L$2:$L$186,0)),"")</f>
        <v/>
      </c>
      <c r="G64" s="15">
        <f>IFERROR(INDEX(計算用!$M$2:$M$186,MATCH("男白"&amp;$A64,計算用!$L$2:$L$186,0)),"")</f>
        <v/>
      </c>
      <c r="H64" s="16">
        <f>IFERROR(INDEX(計算用!$G$2:$G$186,MATCH("男白"&amp;$A64,計算用!$L$2:$L$186,0)),"")</f>
        <v/>
      </c>
      <c r="I64" s="15" t="n"/>
      <c r="J64" s="15">
        <f>IF(ROW()-3&lt;=MAX(計算用!$Q$4,計算用!$Q$5),ROW()-3,"")</f>
        <v/>
      </c>
      <c r="K64" s="15">
        <f>IFERROR(INDEX(計算用!$D$2:$D$186,MATCH("女赤"&amp;$J64,計算用!$L$2:$L$186,0)),"")</f>
        <v/>
      </c>
      <c r="L64" s="15">
        <f>IFERROR(INDEX(計算用!$M$2:$M$186,MATCH("女赤"&amp;$J64,計算用!$L$2:$L$186,0)),"")</f>
        <v/>
      </c>
      <c r="M64" s="16">
        <f>IFERROR(INDEX(計算用!$G$2:$G$186,MATCH("女赤"&amp;$J64,計算用!$L$2:$L$186,0)),"")</f>
        <v/>
      </c>
      <c r="N64" s="15" t="n"/>
      <c r="O64" s="15">
        <f>IFERROR(INDEX(計算用!$D$2:$D$186,MATCH("女白"&amp;$J64,計算用!$L$2:$L$186,0)),"")</f>
        <v/>
      </c>
      <c r="P64" s="15">
        <f>IFERROR(INDEX(計算用!$M$2:$M$186,MATCH("女白"&amp;$J64,計算用!$L$2:$L$186,0)),"")</f>
        <v/>
      </c>
      <c r="Q64" s="16">
        <f>IFERROR(INDEX(計算用!$G$2:$G$186,MATCH("女白"&amp;$J64,計算用!$L$2:$L$186,0)),"")</f>
        <v/>
      </c>
    </row>
    <row r="65">
      <c r="A65" s="15">
        <f>IF(ROW()-3&lt;=MAX(計算用!$Q$2,計算用!$Q$3),ROW()-3,"")</f>
        <v/>
      </c>
      <c r="B65" s="15">
        <f>IFERROR(INDEX(計算用!$D$2:$D$186,MATCH("男赤"&amp;$A65,計算用!$L$2:$L$186,0)),"")</f>
        <v/>
      </c>
      <c r="C65" s="15">
        <f>IFERROR(INDEX(計算用!$M$2:$M$186,MATCH("男赤"&amp;$A65,計算用!$L$2:$L$186,0)),"")</f>
        <v/>
      </c>
      <c r="D65" s="16">
        <f>IFERROR(INDEX(計算用!$G$2:$G$186,MATCH("男赤"&amp;$A65,計算用!$L$2:$L$186,0)),"")</f>
        <v/>
      </c>
      <c r="E65" s="15" t="n"/>
      <c r="F65" s="15">
        <f>IFERROR(INDEX(計算用!$D$2:$D$186,MATCH("男白"&amp;$A65,計算用!$L$2:$L$186,0)),"")</f>
        <v/>
      </c>
      <c r="G65" s="15">
        <f>IFERROR(INDEX(計算用!$M$2:$M$186,MATCH("男白"&amp;$A65,計算用!$L$2:$L$186,0)),"")</f>
        <v/>
      </c>
      <c r="H65" s="16">
        <f>IFERROR(INDEX(計算用!$G$2:$G$186,MATCH("男白"&amp;$A65,計算用!$L$2:$L$186,0)),"")</f>
        <v/>
      </c>
      <c r="I65" s="15" t="n"/>
      <c r="J65" s="15">
        <f>IF(ROW()-3&lt;=MAX(計算用!$Q$4,計算用!$Q$5),ROW()-3,"")</f>
        <v/>
      </c>
      <c r="K65" s="15">
        <f>IFERROR(INDEX(計算用!$D$2:$D$186,MATCH("女赤"&amp;$J65,計算用!$L$2:$L$186,0)),"")</f>
        <v/>
      </c>
      <c r="L65" s="15">
        <f>IFERROR(INDEX(計算用!$M$2:$M$186,MATCH("女赤"&amp;$J65,計算用!$L$2:$L$186,0)),"")</f>
        <v/>
      </c>
      <c r="M65" s="16">
        <f>IFERROR(INDEX(計算用!$G$2:$G$186,MATCH("女赤"&amp;$J65,計算用!$L$2:$L$186,0)),"")</f>
        <v/>
      </c>
      <c r="N65" s="15" t="n"/>
      <c r="O65" s="15">
        <f>IFERROR(INDEX(計算用!$D$2:$D$186,MATCH("女白"&amp;$J65,計算用!$L$2:$L$186,0)),"")</f>
        <v/>
      </c>
      <c r="P65" s="15">
        <f>IFERROR(INDEX(計算用!$M$2:$M$186,MATCH("女白"&amp;$J65,計算用!$L$2:$L$186,0)),"")</f>
        <v/>
      </c>
      <c r="Q65" s="16">
        <f>IFERROR(INDEX(計算用!$G$2:$G$186,MATCH("女白"&amp;$J65,計算用!$L$2:$L$186,0)),"")</f>
        <v/>
      </c>
    </row>
    <row r="66">
      <c r="A66" s="15">
        <f>IF(ROW()-3&lt;=MAX(計算用!$Q$2,計算用!$Q$3),ROW()-3,"")</f>
        <v/>
      </c>
      <c r="B66" s="15">
        <f>IFERROR(INDEX(計算用!$D$2:$D$186,MATCH("男赤"&amp;$A66,計算用!$L$2:$L$186,0)),"")</f>
        <v/>
      </c>
      <c r="C66" s="15">
        <f>IFERROR(INDEX(計算用!$M$2:$M$186,MATCH("男赤"&amp;$A66,計算用!$L$2:$L$186,0)),"")</f>
        <v/>
      </c>
      <c r="D66" s="16">
        <f>IFERROR(INDEX(計算用!$G$2:$G$186,MATCH("男赤"&amp;$A66,計算用!$L$2:$L$186,0)),"")</f>
        <v/>
      </c>
      <c r="E66" s="15" t="n"/>
      <c r="F66" s="15">
        <f>IFERROR(INDEX(計算用!$D$2:$D$186,MATCH("男白"&amp;$A66,計算用!$L$2:$L$186,0)),"")</f>
        <v/>
      </c>
      <c r="G66" s="15">
        <f>IFERROR(INDEX(計算用!$M$2:$M$186,MATCH("男白"&amp;$A66,計算用!$L$2:$L$186,0)),"")</f>
        <v/>
      </c>
      <c r="H66" s="16">
        <f>IFERROR(INDEX(計算用!$G$2:$G$186,MATCH("男白"&amp;$A66,計算用!$L$2:$L$186,0)),"")</f>
        <v/>
      </c>
      <c r="I66" s="15" t="n"/>
      <c r="J66" s="15">
        <f>IF(ROW()-3&lt;=MAX(計算用!$Q$4,計算用!$Q$5),ROW()-3,"")</f>
        <v/>
      </c>
      <c r="K66" s="15">
        <f>IFERROR(INDEX(計算用!$D$2:$D$186,MATCH("女赤"&amp;$J66,計算用!$L$2:$L$186,0)),"")</f>
        <v/>
      </c>
      <c r="L66" s="15">
        <f>IFERROR(INDEX(計算用!$M$2:$M$186,MATCH("女赤"&amp;$J66,計算用!$L$2:$L$186,0)),"")</f>
        <v/>
      </c>
      <c r="M66" s="16">
        <f>IFERROR(INDEX(計算用!$G$2:$G$186,MATCH("女赤"&amp;$J66,計算用!$L$2:$L$186,0)),"")</f>
        <v/>
      </c>
      <c r="N66" s="15" t="n"/>
      <c r="O66" s="15">
        <f>IFERROR(INDEX(計算用!$D$2:$D$186,MATCH("女白"&amp;$J66,計算用!$L$2:$L$186,0)),"")</f>
        <v/>
      </c>
      <c r="P66" s="15">
        <f>IFERROR(INDEX(計算用!$M$2:$M$186,MATCH("女白"&amp;$J66,計算用!$L$2:$L$186,0)),"")</f>
        <v/>
      </c>
      <c r="Q66" s="16">
        <f>IFERROR(INDEX(計算用!$G$2:$G$186,MATCH("女白"&amp;$J66,計算用!$L$2:$L$186,0)),"")</f>
        <v/>
      </c>
    </row>
    <row r="67">
      <c r="A67" s="15">
        <f>IF(ROW()-3&lt;=MAX(計算用!$Q$2,計算用!$Q$3),ROW()-3,"")</f>
        <v/>
      </c>
      <c r="B67" s="15">
        <f>IFERROR(INDEX(計算用!$D$2:$D$186,MATCH("男赤"&amp;$A67,計算用!$L$2:$L$186,0)),"")</f>
        <v/>
      </c>
      <c r="C67" s="15">
        <f>IFERROR(INDEX(計算用!$M$2:$M$186,MATCH("男赤"&amp;$A67,計算用!$L$2:$L$186,0)),"")</f>
        <v/>
      </c>
      <c r="D67" s="16">
        <f>IFERROR(INDEX(計算用!$G$2:$G$186,MATCH("男赤"&amp;$A67,計算用!$L$2:$L$186,0)),"")</f>
        <v/>
      </c>
      <c r="E67" s="15" t="n"/>
      <c r="F67" s="15">
        <f>IFERROR(INDEX(計算用!$D$2:$D$186,MATCH("男白"&amp;$A67,計算用!$L$2:$L$186,0)),"")</f>
        <v/>
      </c>
      <c r="G67" s="15">
        <f>IFERROR(INDEX(計算用!$M$2:$M$186,MATCH("男白"&amp;$A67,計算用!$L$2:$L$186,0)),"")</f>
        <v/>
      </c>
      <c r="H67" s="16">
        <f>IFERROR(INDEX(計算用!$G$2:$G$186,MATCH("男白"&amp;$A67,計算用!$L$2:$L$186,0)),"")</f>
        <v/>
      </c>
      <c r="I67" s="15" t="n"/>
      <c r="J67" s="15">
        <f>IF(ROW()-3&lt;=MAX(計算用!$Q$4,計算用!$Q$5),ROW()-3,"")</f>
        <v/>
      </c>
      <c r="K67" s="15">
        <f>IFERROR(INDEX(計算用!$D$2:$D$186,MATCH("女赤"&amp;$J67,計算用!$L$2:$L$186,0)),"")</f>
        <v/>
      </c>
      <c r="L67" s="15">
        <f>IFERROR(INDEX(計算用!$M$2:$M$186,MATCH("女赤"&amp;$J67,計算用!$L$2:$L$186,0)),"")</f>
        <v/>
      </c>
      <c r="M67" s="16">
        <f>IFERROR(INDEX(計算用!$G$2:$G$186,MATCH("女赤"&amp;$J67,計算用!$L$2:$L$186,0)),"")</f>
        <v/>
      </c>
      <c r="N67" s="15" t="n"/>
      <c r="O67" s="15">
        <f>IFERROR(INDEX(計算用!$D$2:$D$186,MATCH("女白"&amp;$J67,計算用!$L$2:$L$186,0)),"")</f>
        <v/>
      </c>
      <c r="P67" s="15">
        <f>IFERROR(INDEX(計算用!$M$2:$M$186,MATCH("女白"&amp;$J67,計算用!$L$2:$L$186,0)),"")</f>
        <v/>
      </c>
      <c r="Q67" s="16">
        <f>IFERROR(INDEX(計算用!$G$2:$G$186,MATCH("女白"&amp;$J67,計算用!$L$2:$L$186,0)),"")</f>
        <v/>
      </c>
    </row>
    <row r="68">
      <c r="A68" s="15">
        <f>IF(ROW()-3&lt;=MAX(計算用!$Q$2,計算用!$Q$3),ROW()-3,"")</f>
        <v/>
      </c>
      <c r="B68" s="15">
        <f>IFERROR(INDEX(計算用!$D$2:$D$186,MATCH("男赤"&amp;$A68,計算用!$L$2:$L$186,0)),"")</f>
        <v/>
      </c>
      <c r="C68" s="15">
        <f>IFERROR(INDEX(計算用!$M$2:$M$186,MATCH("男赤"&amp;$A68,計算用!$L$2:$L$186,0)),"")</f>
        <v/>
      </c>
      <c r="D68" s="16">
        <f>IFERROR(INDEX(計算用!$G$2:$G$186,MATCH("男赤"&amp;$A68,計算用!$L$2:$L$186,0)),"")</f>
        <v/>
      </c>
      <c r="E68" s="15" t="n"/>
      <c r="F68" s="15">
        <f>IFERROR(INDEX(計算用!$D$2:$D$186,MATCH("男白"&amp;$A68,計算用!$L$2:$L$186,0)),"")</f>
        <v/>
      </c>
      <c r="G68" s="15">
        <f>IFERROR(INDEX(計算用!$M$2:$M$186,MATCH("男白"&amp;$A68,計算用!$L$2:$L$186,0)),"")</f>
        <v/>
      </c>
      <c r="H68" s="16">
        <f>IFERROR(INDEX(計算用!$G$2:$G$186,MATCH("男白"&amp;$A68,計算用!$L$2:$L$186,0)),"")</f>
        <v/>
      </c>
      <c r="I68" s="15" t="n"/>
      <c r="J68" s="15">
        <f>IF(ROW()-3&lt;=MAX(計算用!$Q$4,計算用!$Q$5),ROW()-3,"")</f>
        <v/>
      </c>
      <c r="K68" s="15">
        <f>IFERROR(INDEX(計算用!$D$2:$D$186,MATCH("女赤"&amp;$J68,計算用!$L$2:$L$186,0)),"")</f>
        <v/>
      </c>
      <c r="L68" s="15">
        <f>IFERROR(INDEX(計算用!$M$2:$M$186,MATCH("女赤"&amp;$J68,計算用!$L$2:$L$186,0)),"")</f>
        <v/>
      </c>
      <c r="M68" s="16">
        <f>IFERROR(INDEX(計算用!$G$2:$G$186,MATCH("女赤"&amp;$J68,計算用!$L$2:$L$186,0)),"")</f>
        <v/>
      </c>
      <c r="N68" s="15" t="n"/>
      <c r="O68" s="15">
        <f>IFERROR(INDEX(計算用!$D$2:$D$186,MATCH("女白"&amp;$J68,計算用!$L$2:$L$186,0)),"")</f>
        <v/>
      </c>
      <c r="P68" s="15">
        <f>IFERROR(INDEX(計算用!$M$2:$M$186,MATCH("女白"&amp;$J68,計算用!$L$2:$L$186,0)),"")</f>
        <v/>
      </c>
      <c r="Q68" s="16">
        <f>IFERROR(INDEX(計算用!$G$2:$G$186,MATCH("女白"&amp;$J68,計算用!$L$2:$L$186,0)),"")</f>
        <v/>
      </c>
    </row>
    <row r="69">
      <c r="A69" s="15">
        <f>IF(ROW()-3&lt;=MAX(計算用!$Q$2,計算用!$Q$3),ROW()-3,"")</f>
        <v/>
      </c>
      <c r="B69" s="15">
        <f>IFERROR(INDEX(計算用!$D$2:$D$186,MATCH("男赤"&amp;$A69,計算用!$L$2:$L$186,0)),"")</f>
        <v/>
      </c>
      <c r="C69" s="15">
        <f>IFERROR(INDEX(計算用!$M$2:$M$186,MATCH("男赤"&amp;$A69,計算用!$L$2:$L$186,0)),"")</f>
        <v/>
      </c>
      <c r="D69" s="16">
        <f>IFERROR(INDEX(計算用!$G$2:$G$186,MATCH("男赤"&amp;$A69,計算用!$L$2:$L$186,0)),"")</f>
        <v/>
      </c>
      <c r="E69" s="15" t="n"/>
      <c r="F69" s="15">
        <f>IFERROR(INDEX(計算用!$D$2:$D$186,MATCH("男白"&amp;$A69,計算用!$L$2:$L$186,0)),"")</f>
        <v/>
      </c>
      <c r="G69" s="15">
        <f>IFERROR(INDEX(計算用!$M$2:$M$186,MATCH("男白"&amp;$A69,計算用!$L$2:$L$186,0)),"")</f>
        <v/>
      </c>
      <c r="H69" s="16">
        <f>IFERROR(INDEX(計算用!$G$2:$G$186,MATCH("男白"&amp;$A69,計算用!$L$2:$L$186,0)),"")</f>
        <v/>
      </c>
      <c r="I69" s="15" t="n"/>
      <c r="J69" s="15">
        <f>IF(ROW()-3&lt;=MAX(計算用!$Q$4,計算用!$Q$5),ROW()-3,"")</f>
        <v/>
      </c>
      <c r="K69" s="15">
        <f>IFERROR(INDEX(計算用!$D$2:$D$186,MATCH("女赤"&amp;$J69,計算用!$L$2:$L$186,0)),"")</f>
        <v/>
      </c>
      <c r="L69" s="15">
        <f>IFERROR(INDEX(計算用!$M$2:$M$186,MATCH("女赤"&amp;$J69,計算用!$L$2:$L$186,0)),"")</f>
        <v/>
      </c>
      <c r="M69" s="16">
        <f>IFERROR(INDEX(計算用!$G$2:$G$186,MATCH("女赤"&amp;$J69,計算用!$L$2:$L$186,0)),"")</f>
        <v/>
      </c>
      <c r="N69" s="15" t="n"/>
      <c r="O69" s="15">
        <f>IFERROR(INDEX(計算用!$D$2:$D$186,MATCH("女白"&amp;$J69,計算用!$L$2:$L$186,0)),"")</f>
        <v/>
      </c>
      <c r="P69" s="15">
        <f>IFERROR(INDEX(計算用!$M$2:$M$186,MATCH("女白"&amp;$J69,計算用!$L$2:$L$186,0)),"")</f>
        <v/>
      </c>
      <c r="Q69" s="16">
        <f>IFERROR(INDEX(計算用!$G$2:$G$186,MATCH("女白"&amp;$J69,計算用!$L$2:$L$186,0)),"")</f>
        <v/>
      </c>
    </row>
    <row r="70">
      <c r="A70" s="15">
        <f>IF(ROW()-3&lt;=MAX(計算用!$Q$2,計算用!$Q$3),ROW()-3,"")</f>
        <v/>
      </c>
      <c r="B70" s="15">
        <f>IFERROR(INDEX(計算用!$D$2:$D$186,MATCH("男赤"&amp;$A70,計算用!$L$2:$L$186,0)),"")</f>
        <v/>
      </c>
      <c r="C70" s="15">
        <f>IFERROR(INDEX(計算用!$M$2:$M$186,MATCH("男赤"&amp;$A70,計算用!$L$2:$L$186,0)),"")</f>
        <v/>
      </c>
      <c r="D70" s="16">
        <f>IFERROR(INDEX(計算用!$G$2:$G$186,MATCH("男赤"&amp;$A70,計算用!$L$2:$L$186,0)),"")</f>
        <v/>
      </c>
      <c r="E70" s="15" t="n"/>
      <c r="F70" s="15">
        <f>IFERROR(INDEX(計算用!$D$2:$D$186,MATCH("男白"&amp;$A70,計算用!$L$2:$L$186,0)),"")</f>
        <v/>
      </c>
      <c r="G70" s="15">
        <f>IFERROR(INDEX(計算用!$M$2:$M$186,MATCH("男白"&amp;$A70,計算用!$L$2:$L$186,0)),"")</f>
        <v/>
      </c>
      <c r="H70" s="16">
        <f>IFERROR(INDEX(計算用!$G$2:$G$186,MATCH("男白"&amp;$A70,計算用!$L$2:$L$186,0)),"")</f>
        <v/>
      </c>
      <c r="I70" s="15" t="n"/>
      <c r="J70" s="15">
        <f>IF(ROW()-3&lt;=MAX(計算用!$Q$4,計算用!$Q$5),ROW()-3,"")</f>
        <v/>
      </c>
      <c r="K70" s="15">
        <f>IFERROR(INDEX(計算用!$D$2:$D$186,MATCH("女赤"&amp;$J70,計算用!$L$2:$L$186,0)),"")</f>
        <v/>
      </c>
      <c r="L70" s="15">
        <f>IFERROR(INDEX(計算用!$M$2:$M$186,MATCH("女赤"&amp;$J70,計算用!$L$2:$L$186,0)),"")</f>
        <v/>
      </c>
      <c r="M70" s="16">
        <f>IFERROR(INDEX(計算用!$G$2:$G$186,MATCH("女赤"&amp;$J70,計算用!$L$2:$L$186,0)),"")</f>
        <v/>
      </c>
      <c r="N70" s="15" t="n"/>
      <c r="O70" s="15">
        <f>IFERROR(INDEX(計算用!$D$2:$D$186,MATCH("女白"&amp;$J70,計算用!$L$2:$L$186,0)),"")</f>
        <v/>
      </c>
      <c r="P70" s="15">
        <f>IFERROR(INDEX(計算用!$M$2:$M$186,MATCH("女白"&amp;$J70,計算用!$L$2:$L$186,0)),"")</f>
        <v/>
      </c>
      <c r="Q70" s="16">
        <f>IFERROR(INDEX(計算用!$G$2:$G$186,MATCH("女白"&amp;$J70,計算用!$L$2:$L$186,0)),"")</f>
        <v/>
      </c>
    </row>
    <row r="71">
      <c r="A71" s="15">
        <f>IF(ROW()-3&lt;=MAX(計算用!$Q$2,計算用!$Q$3),ROW()-3,"")</f>
        <v/>
      </c>
      <c r="B71" s="15">
        <f>IFERROR(INDEX(計算用!$D$2:$D$186,MATCH("男赤"&amp;$A71,計算用!$L$2:$L$186,0)),"")</f>
        <v/>
      </c>
      <c r="C71" s="15">
        <f>IFERROR(INDEX(計算用!$M$2:$M$186,MATCH("男赤"&amp;$A71,計算用!$L$2:$L$186,0)),"")</f>
        <v/>
      </c>
      <c r="D71" s="16">
        <f>IFERROR(INDEX(計算用!$G$2:$G$186,MATCH("男赤"&amp;$A71,計算用!$L$2:$L$186,0)),"")</f>
        <v/>
      </c>
      <c r="E71" s="15" t="n"/>
      <c r="F71" s="15">
        <f>IFERROR(INDEX(計算用!$D$2:$D$186,MATCH("男白"&amp;$A71,計算用!$L$2:$L$186,0)),"")</f>
        <v/>
      </c>
      <c r="G71" s="15">
        <f>IFERROR(INDEX(計算用!$M$2:$M$186,MATCH("男白"&amp;$A71,計算用!$L$2:$L$186,0)),"")</f>
        <v/>
      </c>
      <c r="H71" s="16">
        <f>IFERROR(INDEX(計算用!$G$2:$G$186,MATCH("男白"&amp;$A71,計算用!$L$2:$L$186,0)),"")</f>
        <v/>
      </c>
      <c r="I71" s="15" t="n"/>
      <c r="J71" s="15">
        <f>IF(ROW()-3&lt;=MAX(計算用!$Q$4,計算用!$Q$5),ROW()-3,"")</f>
        <v/>
      </c>
      <c r="K71" s="15">
        <f>IFERROR(INDEX(計算用!$D$2:$D$186,MATCH("女赤"&amp;$J71,計算用!$L$2:$L$186,0)),"")</f>
        <v/>
      </c>
      <c r="L71" s="15">
        <f>IFERROR(INDEX(計算用!$M$2:$M$186,MATCH("女赤"&amp;$J71,計算用!$L$2:$L$186,0)),"")</f>
        <v/>
      </c>
      <c r="M71" s="16">
        <f>IFERROR(INDEX(計算用!$G$2:$G$186,MATCH("女赤"&amp;$J71,計算用!$L$2:$L$186,0)),"")</f>
        <v/>
      </c>
      <c r="N71" s="15" t="n"/>
      <c r="O71" s="15">
        <f>IFERROR(INDEX(計算用!$D$2:$D$186,MATCH("女白"&amp;$J71,計算用!$L$2:$L$186,0)),"")</f>
        <v/>
      </c>
      <c r="P71" s="15">
        <f>IFERROR(INDEX(計算用!$M$2:$M$186,MATCH("女白"&amp;$J71,計算用!$L$2:$L$186,0)),"")</f>
        <v/>
      </c>
      <c r="Q71" s="16">
        <f>IFERROR(INDEX(計算用!$G$2:$G$186,MATCH("女白"&amp;$J71,計算用!$L$2:$L$186,0)),"")</f>
        <v/>
      </c>
    </row>
    <row r="72">
      <c r="A72" s="15">
        <f>IF(ROW()-3&lt;=MAX(計算用!$Q$2,計算用!$Q$3),ROW()-3,"")</f>
        <v/>
      </c>
      <c r="B72" s="15">
        <f>IFERROR(INDEX(計算用!$D$2:$D$186,MATCH("男赤"&amp;$A72,計算用!$L$2:$L$186,0)),"")</f>
        <v/>
      </c>
      <c r="C72" s="15">
        <f>IFERROR(INDEX(計算用!$M$2:$M$186,MATCH("男赤"&amp;$A72,計算用!$L$2:$L$186,0)),"")</f>
        <v/>
      </c>
      <c r="D72" s="16">
        <f>IFERROR(INDEX(計算用!$G$2:$G$186,MATCH("男赤"&amp;$A72,計算用!$L$2:$L$186,0)),"")</f>
        <v/>
      </c>
      <c r="E72" s="15" t="n"/>
      <c r="F72" s="15">
        <f>IFERROR(INDEX(計算用!$D$2:$D$186,MATCH("男白"&amp;$A72,計算用!$L$2:$L$186,0)),"")</f>
        <v/>
      </c>
      <c r="G72" s="15">
        <f>IFERROR(INDEX(計算用!$M$2:$M$186,MATCH("男白"&amp;$A72,計算用!$L$2:$L$186,0)),"")</f>
        <v/>
      </c>
      <c r="H72" s="16">
        <f>IFERROR(INDEX(計算用!$G$2:$G$186,MATCH("男白"&amp;$A72,計算用!$L$2:$L$186,0)),"")</f>
        <v/>
      </c>
      <c r="I72" s="15" t="n"/>
      <c r="J72" s="15">
        <f>IF(ROW()-3&lt;=MAX(計算用!$Q$4,計算用!$Q$5),ROW()-3,"")</f>
        <v/>
      </c>
      <c r="K72" s="15">
        <f>IFERROR(INDEX(計算用!$D$2:$D$186,MATCH("女赤"&amp;$J72,計算用!$L$2:$L$186,0)),"")</f>
        <v/>
      </c>
      <c r="L72" s="15">
        <f>IFERROR(INDEX(計算用!$M$2:$M$186,MATCH("女赤"&amp;$J72,計算用!$L$2:$L$186,0)),"")</f>
        <v/>
      </c>
      <c r="M72" s="16">
        <f>IFERROR(INDEX(計算用!$G$2:$G$186,MATCH("女赤"&amp;$J72,計算用!$L$2:$L$186,0)),"")</f>
        <v/>
      </c>
      <c r="N72" s="15" t="n"/>
      <c r="O72" s="15">
        <f>IFERROR(INDEX(計算用!$D$2:$D$186,MATCH("女白"&amp;$J72,計算用!$L$2:$L$186,0)),"")</f>
        <v/>
      </c>
      <c r="P72" s="15">
        <f>IFERROR(INDEX(計算用!$M$2:$M$186,MATCH("女白"&amp;$J72,計算用!$L$2:$L$186,0)),"")</f>
        <v/>
      </c>
      <c r="Q72" s="16">
        <f>IFERROR(INDEX(計算用!$G$2:$G$186,MATCH("女白"&amp;$J72,計算用!$L$2:$L$186,0)),"")</f>
        <v/>
      </c>
    </row>
    <row r="73">
      <c r="A73" s="15">
        <f>IF(ROW()-3&lt;=MAX(計算用!$Q$2,計算用!$Q$3),ROW()-3,"")</f>
        <v/>
      </c>
      <c r="B73" s="15">
        <f>IFERROR(INDEX(計算用!$D$2:$D$186,MATCH("男赤"&amp;$A73,計算用!$L$2:$L$186,0)),"")</f>
        <v/>
      </c>
      <c r="C73" s="15">
        <f>IFERROR(INDEX(計算用!$M$2:$M$186,MATCH("男赤"&amp;$A73,計算用!$L$2:$L$186,0)),"")</f>
        <v/>
      </c>
      <c r="D73" s="16">
        <f>IFERROR(INDEX(計算用!$G$2:$G$186,MATCH("男赤"&amp;$A73,計算用!$L$2:$L$186,0)),"")</f>
        <v/>
      </c>
      <c r="E73" s="15" t="n"/>
      <c r="F73" s="15">
        <f>IFERROR(INDEX(計算用!$D$2:$D$186,MATCH("男白"&amp;$A73,計算用!$L$2:$L$186,0)),"")</f>
        <v/>
      </c>
      <c r="G73" s="15">
        <f>IFERROR(INDEX(計算用!$M$2:$M$186,MATCH("男白"&amp;$A73,計算用!$L$2:$L$186,0)),"")</f>
        <v/>
      </c>
      <c r="H73" s="16">
        <f>IFERROR(INDEX(計算用!$G$2:$G$186,MATCH("男白"&amp;$A73,計算用!$L$2:$L$186,0)),"")</f>
        <v/>
      </c>
      <c r="I73" s="15" t="n"/>
      <c r="J73" s="15">
        <f>IF(ROW()-3&lt;=MAX(計算用!$Q$4,計算用!$Q$5),ROW()-3,"")</f>
        <v/>
      </c>
      <c r="K73" s="15">
        <f>IFERROR(INDEX(計算用!$D$2:$D$186,MATCH("女赤"&amp;$J73,計算用!$L$2:$L$186,0)),"")</f>
        <v/>
      </c>
      <c r="L73" s="15">
        <f>IFERROR(INDEX(計算用!$M$2:$M$186,MATCH("女赤"&amp;$J73,計算用!$L$2:$L$186,0)),"")</f>
        <v/>
      </c>
      <c r="M73" s="16">
        <f>IFERROR(INDEX(計算用!$G$2:$G$186,MATCH("女赤"&amp;$J73,計算用!$L$2:$L$186,0)),"")</f>
        <v/>
      </c>
      <c r="N73" s="15" t="n"/>
      <c r="O73" s="15">
        <f>IFERROR(INDEX(計算用!$D$2:$D$186,MATCH("女白"&amp;$J73,計算用!$L$2:$L$186,0)),"")</f>
        <v/>
      </c>
      <c r="P73" s="15">
        <f>IFERROR(INDEX(計算用!$M$2:$M$186,MATCH("女白"&amp;$J73,計算用!$L$2:$L$186,0)),"")</f>
        <v/>
      </c>
      <c r="Q73" s="16">
        <f>IFERROR(INDEX(計算用!$G$2:$G$186,MATCH("女白"&amp;$J73,計算用!$L$2:$L$186,0)),"")</f>
        <v/>
      </c>
    </row>
    <row r="74">
      <c r="A74" s="15">
        <f>IF(ROW()-3&lt;=MAX(計算用!$Q$2,計算用!$Q$3),ROW()-3,"")</f>
        <v/>
      </c>
      <c r="B74" s="15">
        <f>IFERROR(INDEX(計算用!$D$2:$D$186,MATCH("男赤"&amp;$A74,計算用!$L$2:$L$186,0)),"")</f>
        <v/>
      </c>
      <c r="C74" s="15">
        <f>IFERROR(INDEX(計算用!$M$2:$M$186,MATCH("男赤"&amp;$A74,計算用!$L$2:$L$186,0)),"")</f>
        <v/>
      </c>
      <c r="D74" s="16">
        <f>IFERROR(INDEX(計算用!$G$2:$G$186,MATCH("男赤"&amp;$A74,計算用!$L$2:$L$186,0)),"")</f>
        <v/>
      </c>
      <c r="E74" s="15" t="n"/>
      <c r="F74" s="15">
        <f>IFERROR(INDEX(計算用!$D$2:$D$186,MATCH("男白"&amp;$A74,計算用!$L$2:$L$186,0)),"")</f>
        <v/>
      </c>
      <c r="G74" s="15">
        <f>IFERROR(INDEX(計算用!$M$2:$M$186,MATCH("男白"&amp;$A74,計算用!$L$2:$L$186,0)),"")</f>
        <v/>
      </c>
      <c r="H74" s="16">
        <f>IFERROR(INDEX(計算用!$G$2:$G$186,MATCH("男白"&amp;$A74,計算用!$L$2:$L$186,0)),"")</f>
        <v/>
      </c>
      <c r="I74" s="15" t="n"/>
      <c r="J74" s="15">
        <f>IF(ROW()-3&lt;=MAX(計算用!$Q$4,計算用!$Q$5),ROW()-3,"")</f>
        <v/>
      </c>
      <c r="K74" s="15">
        <f>IFERROR(INDEX(計算用!$D$2:$D$186,MATCH("女赤"&amp;$J74,計算用!$L$2:$L$186,0)),"")</f>
        <v/>
      </c>
      <c r="L74" s="15">
        <f>IFERROR(INDEX(計算用!$M$2:$M$186,MATCH("女赤"&amp;$J74,計算用!$L$2:$L$186,0)),"")</f>
        <v/>
      </c>
      <c r="M74" s="16">
        <f>IFERROR(INDEX(計算用!$G$2:$G$186,MATCH("女赤"&amp;$J74,計算用!$L$2:$L$186,0)),"")</f>
        <v/>
      </c>
      <c r="N74" s="15" t="n"/>
      <c r="O74" s="15">
        <f>IFERROR(INDEX(計算用!$D$2:$D$186,MATCH("女白"&amp;$J74,計算用!$L$2:$L$186,0)),"")</f>
        <v/>
      </c>
      <c r="P74" s="15">
        <f>IFERROR(INDEX(計算用!$M$2:$M$186,MATCH("女白"&amp;$J74,計算用!$L$2:$L$186,0)),"")</f>
        <v/>
      </c>
      <c r="Q74" s="16">
        <f>IFERROR(INDEX(計算用!$G$2:$G$186,MATCH("女白"&amp;$J74,計算用!$L$2:$L$186,0)),"")</f>
        <v/>
      </c>
    </row>
    <row r="75">
      <c r="A75" s="15">
        <f>IF(ROW()-3&lt;=MAX(計算用!$Q$2,計算用!$Q$3),ROW()-3,"")</f>
        <v/>
      </c>
      <c r="B75" s="15">
        <f>IFERROR(INDEX(計算用!$D$2:$D$186,MATCH("男赤"&amp;$A75,計算用!$L$2:$L$186,0)),"")</f>
        <v/>
      </c>
      <c r="C75" s="15">
        <f>IFERROR(INDEX(計算用!$M$2:$M$186,MATCH("男赤"&amp;$A75,計算用!$L$2:$L$186,0)),"")</f>
        <v/>
      </c>
      <c r="D75" s="16">
        <f>IFERROR(INDEX(計算用!$G$2:$G$186,MATCH("男赤"&amp;$A75,計算用!$L$2:$L$186,0)),"")</f>
        <v/>
      </c>
      <c r="E75" s="15" t="n"/>
      <c r="F75" s="15">
        <f>IFERROR(INDEX(計算用!$D$2:$D$186,MATCH("男白"&amp;$A75,計算用!$L$2:$L$186,0)),"")</f>
        <v/>
      </c>
      <c r="G75" s="15">
        <f>IFERROR(INDEX(計算用!$M$2:$M$186,MATCH("男白"&amp;$A75,計算用!$L$2:$L$186,0)),"")</f>
        <v/>
      </c>
      <c r="H75" s="16">
        <f>IFERROR(INDEX(計算用!$G$2:$G$186,MATCH("男白"&amp;$A75,計算用!$L$2:$L$186,0)),"")</f>
        <v/>
      </c>
      <c r="I75" s="15" t="n"/>
      <c r="J75" s="15">
        <f>IF(ROW()-3&lt;=MAX(計算用!$Q$4,計算用!$Q$5),ROW()-3,"")</f>
        <v/>
      </c>
      <c r="K75" s="15">
        <f>IFERROR(INDEX(計算用!$D$2:$D$186,MATCH("女赤"&amp;$J75,計算用!$L$2:$L$186,0)),"")</f>
        <v/>
      </c>
      <c r="L75" s="15">
        <f>IFERROR(INDEX(計算用!$M$2:$M$186,MATCH("女赤"&amp;$J75,計算用!$L$2:$L$186,0)),"")</f>
        <v/>
      </c>
      <c r="M75" s="16">
        <f>IFERROR(INDEX(計算用!$G$2:$G$186,MATCH("女赤"&amp;$J75,計算用!$L$2:$L$186,0)),"")</f>
        <v/>
      </c>
      <c r="N75" s="15" t="n"/>
      <c r="O75" s="15">
        <f>IFERROR(INDEX(計算用!$D$2:$D$186,MATCH("女白"&amp;$J75,計算用!$L$2:$L$186,0)),"")</f>
        <v/>
      </c>
      <c r="P75" s="15">
        <f>IFERROR(INDEX(計算用!$M$2:$M$186,MATCH("女白"&amp;$J75,計算用!$L$2:$L$186,0)),"")</f>
        <v/>
      </c>
      <c r="Q75" s="16">
        <f>IFERROR(INDEX(計算用!$G$2:$G$186,MATCH("女白"&amp;$J75,計算用!$L$2:$L$186,0)),"")</f>
        <v/>
      </c>
    </row>
    <row r="76">
      <c r="A76" s="15">
        <f>IF(ROW()-3&lt;=MAX(計算用!$Q$2,計算用!$Q$3),ROW()-3,"")</f>
        <v/>
      </c>
      <c r="B76" s="15">
        <f>IFERROR(INDEX(計算用!$D$2:$D$186,MATCH("男赤"&amp;$A76,計算用!$L$2:$L$186,0)),"")</f>
        <v/>
      </c>
      <c r="C76" s="15">
        <f>IFERROR(INDEX(計算用!$M$2:$M$186,MATCH("男赤"&amp;$A76,計算用!$L$2:$L$186,0)),"")</f>
        <v/>
      </c>
      <c r="D76" s="16">
        <f>IFERROR(INDEX(計算用!$G$2:$G$186,MATCH("男赤"&amp;$A76,計算用!$L$2:$L$186,0)),"")</f>
        <v/>
      </c>
      <c r="E76" s="15" t="n"/>
      <c r="F76" s="15">
        <f>IFERROR(INDEX(計算用!$D$2:$D$186,MATCH("男白"&amp;$A76,計算用!$L$2:$L$186,0)),"")</f>
        <v/>
      </c>
      <c r="G76" s="15">
        <f>IFERROR(INDEX(計算用!$M$2:$M$186,MATCH("男白"&amp;$A76,計算用!$L$2:$L$186,0)),"")</f>
        <v/>
      </c>
      <c r="H76" s="16">
        <f>IFERROR(INDEX(計算用!$G$2:$G$186,MATCH("男白"&amp;$A76,計算用!$L$2:$L$186,0)),"")</f>
        <v/>
      </c>
      <c r="I76" s="15" t="n"/>
      <c r="J76" s="15">
        <f>IF(ROW()-3&lt;=MAX(計算用!$Q$4,計算用!$Q$5),ROW()-3,"")</f>
        <v/>
      </c>
      <c r="K76" s="15">
        <f>IFERROR(INDEX(計算用!$D$2:$D$186,MATCH("女赤"&amp;$J76,計算用!$L$2:$L$186,0)),"")</f>
        <v/>
      </c>
      <c r="L76" s="15">
        <f>IFERROR(INDEX(計算用!$M$2:$M$186,MATCH("女赤"&amp;$J76,計算用!$L$2:$L$186,0)),"")</f>
        <v/>
      </c>
      <c r="M76" s="16">
        <f>IFERROR(INDEX(計算用!$G$2:$G$186,MATCH("女赤"&amp;$J76,計算用!$L$2:$L$186,0)),"")</f>
        <v/>
      </c>
      <c r="N76" s="15" t="n"/>
      <c r="O76" s="15">
        <f>IFERROR(INDEX(計算用!$D$2:$D$186,MATCH("女白"&amp;$J76,計算用!$L$2:$L$186,0)),"")</f>
        <v/>
      </c>
      <c r="P76" s="15">
        <f>IFERROR(INDEX(計算用!$M$2:$M$186,MATCH("女白"&amp;$J76,計算用!$L$2:$L$186,0)),"")</f>
        <v/>
      </c>
      <c r="Q76" s="16">
        <f>IFERROR(INDEX(計算用!$G$2:$G$186,MATCH("女白"&amp;$J76,計算用!$L$2:$L$186,0)),"")</f>
        <v/>
      </c>
    </row>
    <row r="77">
      <c r="A77" s="15">
        <f>IF(ROW()-3&lt;=MAX(計算用!$Q$2,計算用!$Q$3),ROW()-3,"")</f>
        <v/>
      </c>
      <c r="B77" s="15">
        <f>IFERROR(INDEX(計算用!$D$2:$D$186,MATCH("男赤"&amp;$A77,計算用!$L$2:$L$186,0)),"")</f>
        <v/>
      </c>
      <c r="C77" s="15">
        <f>IFERROR(INDEX(計算用!$M$2:$M$186,MATCH("男赤"&amp;$A77,計算用!$L$2:$L$186,0)),"")</f>
        <v/>
      </c>
      <c r="D77" s="16">
        <f>IFERROR(INDEX(計算用!$G$2:$G$186,MATCH("男赤"&amp;$A77,計算用!$L$2:$L$186,0)),"")</f>
        <v/>
      </c>
      <c r="E77" s="15" t="n"/>
      <c r="F77" s="15">
        <f>IFERROR(INDEX(計算用!$D$2:$D$186,MATCH("男白"&amp;$A77,計算用!$L$2:$L$186,0)),"")</f>
        <v/>
      </c>
      <c r="G77" s="15">
        <f>IFERROR(INDEX(計算用!$M$2:$M$186,MATCH("男白"&amp;$A77,計算用!$L$2:$L$186,0)),"")</f>
        <v/>
      </c>
      <c r="H77" s="16">
        <f>IFERROR(INDEX(計算用!$G$2:$G$186,MATCH("男白"&amp;$A77,計算用!$L$2:$L$186,0)),"")</f>
        <v/>
      </c>
      <c r="I77" s="15" t="n"/>
      <c r="J77" s="15">
        <f>IF(ROW()-3&lt;=MAX(計算用!$Q$4,計算用!$Q$5),ROW()-3,"")</f>
        <v/>
      </c>
      <c r="K77" s="15">
        <f>IFERROR(INDEX(計算用!$D$2:$D$186,MATCH("女赤"&amp;$J77,計算用!$L$2:$L$186,0)),"")</f>
        <v/>
      </c>
      <c r="L77" s="15">
        <f>IFERROR(INDEX(計算用!$M$2:$M$186,MATCH("女赤"&amp;$J77,計算用!$L$2:$L$186,0)),"")</f>
        <v/>
      </c>
      <c r="M77" s="16">
        <f>IFERROR(INDEX(計算用!$G$2:$G$186,MATCH("女赤"&amp;$J77,計算用!$L$2:$L$186,0)),"")</f>
        <v/>
      </c>
      <c r="N77" s="15" t="n"/>
      <c r="O77" s="15">
        <f>IFERROR(INDEX(計算用!$D$2:$D$186,MATCH("女白"&amp;$J77,計算用!$L$2:$L$186,0)),"")</f>
        <v/>
      </c>
      <c r="P77" s="15">
        <f>IFERROR(INDEX(計算用!$M$2:$M$186,MATCH("女白"&amp;$J77,計算用!$L$2:$L$186,0)),"")</f>
        <v/>
      </c>
      <c r="Q77" s="16">
        <f>IFERROR(INDEX(計算用!$G$2:$G$186,MATCH("女白"&amp;$J77,計算用!$L$2:$L$186,0)),"")</f>
        <v/>
      </c>
    </row>
    <row r="78">
      <c r="A78" s="15">
        <f>IF(ROW()-3&lt;=MAX(計算用!$Q$2,計算用!$Q$3),ROW()-3,"")</f>
        <v/>
      </c>
      <c r="B78" s="15">
        <f>IFERROR(INDEX(計算用!$D$2:$D$186,MATCH("男赤"&amp;$A78,計算用!$L$2:$L$186,0)),"")</f>
        <v/>
      </c>
      <c r="C78" s="15">
        <f>IFERROR(INDEX(計算用!$M$2:$M$186,MATCH("男赤"&amp;$A78,計算用!$L$2:$L$186,0)),"")</f>
        <v/>
      </c>
      <c r="D78" s="16">
        <f>IFERROR(INDEX(計算用!$G$2:$G$186,MATCH("男赤"&amp;$A78,計算用!$L$2:$L$186,0)),"")</f>
        <v/>
      </c>
      <c r="E78" s="15" t="n"/>
      <c r="F78" s="15">
        <f>IFERROR(INDEX(計算用!$D$2:$D$186,MATCH("男白"&amp;$A78,計算用!$L$2:$L$186,0)),"")</f>
        <v/>
      </c>
      <c r="G78" s="15">
        <f>IFERROR(INDEX(計算用!$M$2:$M$186,MATCH("男白"&amp;$A78,計算用!$L$2:$L$186,0)),"")</f>
        <v/>
      </c>
      <c r="H78" s="16">
        <f>IFERROR(INDEX(計算用!$G$2:$G$186,MATCH("男白"&amp;$A78,計算用!$L$2:$L$186,0)),"")</f>
        <v/>
      </c>
      <c r="I78" s="15" t="n"/>
      <c r="J78" s="15">
        <f>IF(ROW()-3&lt;=MAX(計算用!$Q$4,計算用!$Q$5),ROW()-3,"")</f>
        <v/>
      </c>
      <c r="K78" s="15">
        <f>IFERROR(INDEX(計算用!$D$2:$D$186,MATCH("女赤"&amp;$J78,計算用!$L$2:$L$186,0)),"")</f>
        <v/>
      </c>
      <c r="L78" s="15">
        <f>IFERROR(INDEX(計算用!$M$2:$M$186,MATCH("女赤"&amp;$J78,計算用!$L$2:$L$186,0)),"")</f>
        <v/>
      </c>
      <c r="M78" s="16">
        <f>IFERROR(INDEX(計算用!$G$2:$G$186,MATCH("女赤"&amp;$J78,計算用!$L$2:$L$186,0)),"")</f>
        <v/>
      </c>
      <c r="N78" s="15" t="n"/>
      <c r="O78" s="15">
        <f>IFERROR(INDEX(計算用!$D$2:$D$186,MATCH("女白"&amp;$J78,計算用!$L$2:$L$186,0)),"")</f>
        <v/>
      </c>
      <c r="P78" s="15">
        <f>IFERROR(INDEX(計算用!$M$2:$M$186,MATCH("女白"&amp;$J78,計算用!$L$2:$L$186,0)),"")</f>
        <v/>
      </c>
      <c r="Q78" s="16">
        <f>IFERROR(INDEX(計算用!$G$2:$G$186,MATCH("女白"&amp;$J78,計算用!$L$2:$L$186,0)),"")</f>
        <v/>
      </c>
    </row>
    <row r="79">
      <c r="A79" s="15">
        <f>IF(ROW()-3&lt;=MAX(計算用!$Q$2,計算用!$Q$3),ROW()-3,"")</f>
        <v/>
      </c>
      <c r="B79" s="15">
        <f>IFERROR(INDEX(計算用!$D$2:$D$186,MATCH("男赤"&amp;$A79,計算用!$L$2:$L$186,0)),"")</f>
        <v/>
      </c>
      <c r="C79" s="15">
        <f>IFERROR(INDEX(計算用!$M$2:$M$186,MATCH("男赤"&amp;$A79,計算用!$L$2:$L$186,0)),"")</f>
        <v/>
      </c>
      <c r="D79" s="16">
        <f>IFERROR(INDEX(計算用!$G$2:$G$186,MATCH("男赤"&amp;$A79,計算用!$L$2:$L$186,0)),"")</f>
        <v/>
      </c>
      <c r="E79" s="15" t="n"/>
      <c r="F79" s="15">
        <f>IFERROR(INDEX(計算用!$D$2:$D$186,MATCH("男白"&amp;$A79,計算用!$L$2:$L$186,0)),"")</f>
        <v/>
      </c>
      <c r="G79" s="15">
        <f>IFERROR(INDEX(計算用!$M$2:$M$186,MATCH("男白"&amp;$A79,計算用!$L$2:$L$186,0)),"")</f>
        <v/>
      </c>
      <c r="H79" s="16">
        <f>IFERROR(INDEX(計算用!$G$2:$G$186,MATCH("男白"&amp;$A79,計算用!$L$2:$L$186,0)),"")</f>
        <v/>
      </c>
      <c r="I79" s="15" t="n"/>
      <c r="J79" s="15">
        <f>IF(ROW()-3&lt;=MAX(計算用!$Q$4,計算用!$Q$5),ROW()-3,"")</f>
        <v/>
      </c>
      <c r="K79" s="15">
        <f>IFERROR(INDEX(計算用!$D$2:$D$186,MATCH("女赤"&amp;$J79,計算用!$L$2:$L$186,0)),"")</f>
        <v/>
      </c>
      <c r="L79" s="15">
        <f>IFERROR(INDEX(計算用!$M$2:$M$186,MATCH("女赤"&amp;$J79,計算用!$L$2:$L$186,0)),"")</f>
        <v/>
      </c>
      <c r="M79" s="16">
        <f>IFERROR(INDEX(計算用!$G$2:$G$186,MATCH("女赤"&amp;$J79,計算用!$L$2:$L$186,0)),"")</f>
        <v/>
      </c>
      <c r="N79" s="15" t="n"/>
      <c r="O79" s="15">
        <f>IFERROR(INDEX(計算用!$D$2:$D$186,MATCH("女白"&amp;$J79,計算用!$L$2:$L$186,0)),"")</f>
        <v/>
      </c>
      <c r="P79" s="15">
        <f>IFERROR(INDEX(計算用!$M$2:$M$186,MATCH("女白"&amp;$J79,計算用!$L$2:$L$186,0)),"")</f>
        <v/>
      </c>
      <c r="Q79" s="16">
        <f>IFERROR(INDEX(計算用!$G$2:$G$186,MATCH("女白"&amp;$J79,計算用!$L$2:$L$186,0)),"")</f>
        <v/>
      </c>
    </row>
    <row r="80">
      <c r="A80" s="15">
        <f>IF(ROW()-3&lt;=MAX(計算用!$Q$2,計算用!$Q$3),ROW()-3,"")</f>
        <v/>
      </c>
      <c r="B80" s="15">
        <f>IFERROR(INDEX(計算用!$D$2:$D$186,MATCH("男赤"&amp;$A80,計算用!$L$2:$L$186,0)),"")</f>
        <v/>
      </c>
      <c r="C80" s="15">
        <f>IFERROR(INDEX(計算用!$M$2:$M$186,MATCH("男赤"&amp;$A80,計算用!$L$2:$L$186,0)),"")</f>
        <v/>
      </c>
      <c r="D80" s="16">
        <f>IFERROR(INDEX(計算用!$G$2:$G$186,MATCH("男赤"&amp;$A80,計算用!$L$2:$L$186,0)),"")</f>
        <v/>
      </c>
      <c r="E80" s="15" t="n"/>
      <c r="F80" s="15">
        <f>IFERROR(INDEX(計算用!$D$2:$D$186,MATCH("男白"&amp;$A80,計算用!$L$2:$L$186,0)),"")</f>
        <v/>
      </c>
      <c r="G80" s="15">
        <f>IFERROR(INDEX(計算用!$M$2:$M$186,MATCH("男白"&amp;$A80,計算用!$L$2:$L$186,0)),"")</f>
        <v/>
      </c>
      <c r="H80" s="16">
        <f>IFERROR(INDEX(計算用!$G$2:$G$186,MATCH("男白"&amp;$A80,計算用!$L$2:$L$186,0)),"")</f>
        <v/>
      </c>
      <c r="I80" s="15" t="n"/>
      <c r="J80" s="15">
        <f>IF(ROW()-3&lt;=MAX(計算用!$Q$4,計算用!$Q$5),ROW()-3,"")</f>
        <v/>
      </c>
      <c r="K80" s="15">
        <f>IFERROR(INDEX(計算用!$D$2:$D$186,MATCH("女赤"&amp;$J80,計算用!$L$2:$L$186,0)),"")</f>
        <v/>
      </c>
      <c r="L80" s="15">
        <f>IFERROR(INDEX(計算用!$M$2:$M$186,MATCH("女赤"&amp;$J80,計算用!$L$2:$L$186,0)),"")</f>
        <v/>
      </c>
      <c r="M80" s="16">
        <f>IFERROR(INDEX(計算用!$G$2:$G$186,MATCH("女赤"&amp;$J80,計算用!$L$2:$L$186,0)),"")</f>
        <v/>
      </c>
      <c r="N80" s="15" t="n"/>
      <c r="O80" s="15">
        <f>IFERROR(INDEX(計算用!$D$2:$D$186,MATCH("女白"&amp;$J80,計算用!$L$2:$L$186,0)),"")</f>
        <v/>
      </c>
      <c r="P80" s="15">
        <f>IFERROR(INDEX(計算用!$M$2:$M$186,MATCH("女白"&amp;$J80,計算用!$L$2:$L$186,0)),"")</f>
        <v/>
      </c>
      <c r="Q80" s="16">
        <f>IFERROR(INDEX(計算用!$G$2:$G$186,MATCH("女白"&amp;$J80,計算用!$L$2:$L$186,0)),"")</f>
        <v/>
      </c>
    </row>
    <row r="81">
      <c r="A81" s="15">
        <f>IF(ROW()-3&lt;=MAX(計算用!$Q$2,計算用!$Q$3),ROW()-3,"")</f>
        <v/>
      </c>
      <c r="B81" s="15">
        <f>IFERROR(INDEX(計算用!$D$2:$D$186,MATCH("男赤"&amp;$A81,計算用!$L$2:$L$186,0)),"")</f>
        <v/>
      </c>
      <c r="C81" s="15">
        <f>IFERROR(INDEX(計算用!$M$2:$M$186,MATCH("男赤"&amp;$A81,計算用!$L$2:$L$186,0)),"")</f>
        <v/>
      </c>
      <c r="D81" s="16">
        <f>IFERROR(INDEX(計算用!$G$2:$G$186,MATCH("男赤"&amp;$A81,計算用!$L$2:$L$186,0)),"")</f>
        <v/>
      </c>
      <c r="E81" s="15" t="n"/>
      <c r="F81" s="15">
        <f>IFERROR(INDEX(計算用!$D$2:$D$186,MATCH("男白"&amp;$A81,計算用!$L$2:$L$186,0)),"")</f>
        <v/>
      </c>
      <c r="G81" s="15">
        <f>IFERROR(INDEX(計算用!$M$2:$M$186,MATCH("男白"&amp;$A81,計算用!$L$2:$L$186,0)),"")</f>
        <v/>
      </c>
      <c r="H81" s="16">
        <f>IFERROR(INDEX(計算用!$G$2:$G$186,MATCH("男白"&amp;$A81,計算用!$L$2:$L$186,0)),"")</f>
        <v/>
      </c>
      <c r="I81" s="15" t="n"/>
      <c r="J81" s="15">
        <f>IF(ROW()-3&lt;=MAX(計算用!$Q$4,計算用!$Q$5),ROW()-3,"")</f>
        <v/>
      </c>
      <c r="K81" s="15">
        <f>IFERROR(INDEX(計算用!$D$2:$D$186,MATCH("女赤"&amp;$J81,計算用!$L$2:$L$186,0)),"")</f>
        <v/>
      </c>
      <c r="L81" s="15">
        <f>IFERROR(INDEX(計算用!$M$2:$M$186,MATCH("女赤"&amp;$J81,計算用!$L$2:$L$186,0)),"")</f>
        <v/>
      </c>
      <c r="M81" s="16">
        <f>IFERROR(INDEX(計算用!$G$2:$G$186,MATCH("女赤"&amp;$J81,計算用!$L$2:$L$186,0)),"")</f>
        <v/>
      </c>
      <c r="N81" s="15" t="n"/>
      <c r="O81" s="15">
        <f>IFERROR(INDEX(計算用!$D$2:$D$186,MATCH("女白"&amp;$J81,計算用!$L$2:$L$186,0)),"")</f>
        <v/>
      </c>
      <c r="P81" s="15">
        <f>IFERROR(INDEX(計算用!$M$2:$M$186,MATCH("女白"&amp;$J81,計算用!$L$2:$L$186,0)),"")</f>
        <v/>
      </c>
      <c r="Q81" s="16">
        <f>IFERROR(INDEX(計算用!$G$2:$G$186,MATCH("女白"&amp;$J81,計算用!$L$2:$L$186,0)),"")</f>
        <v/>
      </c>
    </row>
    <row r="82">
      <c r="A82" s="15">
        <f>IF(ROW()-3&lt;=MAX(計算用!$Q$2,計算用!$Q$3),ROW()-3,"")</f>
        <v/>
      </c>
      <c r="B82" s="15">
        <f>IFERROR(INDEX(計算用!$D$2:$D$186,MATCH("男赤"&amp;$A82,計算用!$L$2:$L$186,0)),"")</f>
        <v/>
      </c>
      <c r="C82" s="15">
        <f>IFERROR(INDEX(計算用!$M$2:$M$186,MATCH("男赤"&amp;$A82,計算用!$L$2:$L$186,0)),"")</f>
        <v/>
      </c>
      <c r="D82" s="16">
        <f>IFERROR(INDEX(計算用!$G$2:$G$186,MATCH("男赤"&amp;$A82,計算用!$L$2:$L$186,0)),"")</f>
        <v/>
      </c>
      <c r="E82" s="15" t="n"/>
      <c r="F82" s="15">
        <f>IFERROR(INDEX(計算用!$D$2:$D$186,MATCH("男白"&amp;$A82,計算用!$L$2:$L$186,0)),"")</f>
        <v/>
      </c>
      <c r="G82" s="15">
        <f>IFERROR(INDEX(計算用!$M$2:$M$186,MATCH("男白"&amp;$A82,計算用!$L$2:$L$186,0)),"")</f>
        <v/>
      </c>
      <c r="H82" s="16">
        <f>IFERROR(INDEX(計算用!$G$2:$G$186,MATCH("男白"&amp;$A82,計算用!$L$2:$L$186,0)),"")</f>
        <v/>
      </c>
      <c r="I82" s="15" t="n"/>
      <c r="J82" s="15">
        <f>IF(ROW()-3&lt;=MAX(計算用!$Q$4,計算用!$Q$5),ROW()-3,"")</f>
        <v/>
      </c>
      <c r="K82" s="15">
        <f>IFERROR(INDEX(計算用!$D$2:$D$186,MATCH("女赤"&amp;$J82,計算用!$L$2:$L$186,0)),"")</f>
        <v/>
      </c>
      <c r="L82" s="15">
        <f>IFERROR(INDEX(計算用!$M$2:$M$186,MATCH("女赤"&amp;$J82,計算用!$L$2:$L$186,0)),"")</f>
        <v/>
      </c>
      <c r="M82" s="16">
        <f>IFERROR(INDEX(計算用!$G$2:$G$186,MATCH("女赤"&amp;$J82,計算用!$L$2:$L$186,0)),"")</f>
        <v/>
      </c>
      <c r="N82" s="15" t="n"/>
      <c r="O82" s="15">
        <f>IFERROR(INDEX(計算用!$D$2:$D$186,MATCH("女白"&amp;$J82,計算用!$L$2:$L$186,0)),"")</f>
        <v/>
      </c>
      <c r="P82" s="15">
        <f>IFERROR(INDEX(計算用!$M$2:$M$186,MATCH("女白"&amp;$J82,計算用!$L$2:$L$186,0)),"")</f>
        <v/>
      </c>
      <c r="Q82" s="16">
        <f>IFERROR(INDEX(計算用!$G$2:$G$186,MATCH("女白"&amp;$J82,計算用!$L$2:$L$186,0)),"")</f>
        <v/>
      </c>
    </row>
    <row r="83">
      <c r="A83" s="15">
        <f>IF(ROW()-3&lt;=MAX(計算用!$Q$2,計算用!$Q$3),ROW()-3,"")</f>
        <v/>
      </c>
      <c r="B83" s="15">
        <f>IFERROR(INDEX(計算用!$D$2:$D$186,MATCH("男赤"&amp;$A83,計算用!$L$2:$L$186,0)),"")</f>
        <v/>
      </c>
      <c r="C83" s="15">
        <f>IFERROR(INDEX(計算用!$M$2:$M$186,MATCH("男赤"&amp;$A83,計算用!$L$2:$L$186,0)),"")</f>
        <v/>
      </c>
      <c r="D83" s="16">
        <f>IFERROR(INDEX(計算用!$G$2:$G$186,MATCH("男赤"&amp;$A83,計算用!$L$2:$L$186,0)),"")</f>
        <v/>
      </c>
      <c r="E83" s="15" t="n"/>
      <c r="F83" s="15">
        <f>IFERROR(INDEX(計算用!$D$2:$D$186,MATCH("男白"&amp;$A83,計算用!$L$2:$L$186,0)),"")</f>
        <v/>
      </c>
      <c r="G83" s="15">
        <f>IFERROR(INDEX(計算用!$M$2:$M$186,MATCH("男白"&amp;$A83,計算用!$L$2:$L$186,0)),"")</f>
        <v/>
      </c>
      <c r="H83" s="16">
        <f>IFERROR(INDEX(計算用!$G$2:$G$186,MATCH("男白"&amp;$A83,計算用!$L$2:$L$186,0)),"")</f>
        <v/>
      </c>
      <c r="I83" s="15" t="n"/>
      <c r="J83" s="15">
        <f>IF(ROW()-3&lt;=MAX(計算用!$Q$4,計算用!$Q$5),ROW()-3,"")</f>
        <v/>
      </c>
      <c r="K83" s="15">
        <f>IFERROR(INDEX(計算用!$D$2:$D$186,MATCH("女赤"&amp;$J83,計算用!$L$2:$L$186,0)),"")</f>
        <v/>
      </c>
      <c r="L83" s="15">
        <f>IFERROR(INDEX(計算用!$M$2:$M$186,MATCH("女赤"&amp;$J83,計算用!$L$2:$L$186,0)),"")</f>
        <v/>
      </c>
      <c r="M83" s="16">
        <f>IFERROR(INDEX(計算用!$G$2:$G$186,MATCH("女赤"&amp;$J83,計算用!$L$2:$L$186,0)),"")</f>
        <v/>
      </c>
      <c r="N83" s="15" t="n"/>
      <c r="O83" s="15">
        <f>IFERROR(INDEX(計算用!$D$2:$D$186,MATCH("女白"&amp;$J83,計算用!$L$2:$L$186,0)),"")</f>
        <v/>
      </c>
      <c r="P83" s="15">
        <f>IFERROR(INDEX(計算用!$M$2:$M$186,MATCH("女白"&amp;$J83,計算用!$L$2:$L$186,0)),"")</f>
        <v/>
      </c>
      <c r="Q83" s="16">
        <f>IFERROR(INDEX(計算用!$G$2:$G$186,MATCH("女白"&amp;$J83,計算用!$L$2:$L$186,0)),"")</f>
        <v/>
      </c>
    </row>
    <row r="84">
      <c r="A84" s="15">
        <f>IF(ROW()-3&lt;=MAX(計算用!$Q$2,計算用!$Q$3),ROW()-3,"")</f>
        <v/>
      </c>
      <c r="B84" s="15">
        <f>IFERROR(INDEX(計算用!$D$2:$D$186,MATCH("男赤"&amp;$A84,計算用!$L$2:$L$186,0)),"")</f>
        <v/>
      </c>
      <c r="C84" s="15">
        <f>IFERROR(INDEX(計算用!$M$2:$M$186,MATCH("男赤"&amp;$A84,計算用!$L$2:$L$186,0)),"")</f>
        <v/>
      </c>
      <c r="D84" s="16">
        <f>IFERROR(INDEX(計算用!$G$2:$G$186,MATCH("男赤"&amp;$A84,計算用!$L$2:$L$186,0)),"")</f>
        <v/>
      </c>
      <c r="E84" s="15" t="n"/>
      <c r="F84" s="15">
        <f>IFERROR(INDEX(計算用!$D$2:$D$186,MATCH("男白"&amp;$A84,計算用!$L$2:$L$186,0)),"")</f>
        <v/>
      </c>
      <c r="G84" s="15">
        <f>IFERROR(INDEX(計算用!$M$2:$M$186,MATCH("男白"&amp;$A84,計算用!$L$2:$L$186,0)),"")</f>
        <v/>
      </c>
      <c r="H84" s="16">
        <f>IFERROR(INDEX(計算用!$G$2:$G$186,MATCH("男白"&amp;$A84,計算用!$L$2:$L$186,0)),"")</f>
        <v/>
      </c>
      <c r="I84" s="15" t="n"/>
      <c r="J84" s="15">
        <f>IF(ROW()-3&lt;=MAX(計算用!$Q$4,計算用!$Q$5),ROW()-3,"")</f>
        <v/>
      </c>
      <c r="K84" s="15">
        <f>IFERROR(INDEX(計算用!$D$2:$D$186,MATCH("女赤"&amp;$J84,計算用!$L$2:$L$186,0)),"")</f>
        <v/>
      </c>
      <c r="L84" s="15">
        <f>IFERROR(INDEX(計算用!$M$2:$M$186,MATCH("女赤"&amp;$J84,計算用!$L$2:$L$186,0)),"")</f>
        <v/>
      </c>
      <c r="M84" s="16">
        <f>IFERROR(INDEX(計算用!$G$2:$G$186,MATCH("女赤"&amp;$J84,計算用!$L$2:$L$186,0)),"")</f>
        <v/>
      </c>
      <c r="N84" s="15" t="n"/>
      <c r="O84" s="15">
        <f>IFERROR(INDEX(計算用!$D$2:$D$186,MATCH("女白"&amp;$J84,計算用!$L$2:$L$186,0)),"")</f>
        <v/>
      </c>
      <c r="P84" s="15">
        <f>IFERROR(INDEX(計算用!$M$2:$M$186,MATCH("女白"&amp;$J84,計算用!$L$2:$L$186,0)),"")</f>
        <v/>
      </c>
      <c r="Q84" s="16">
        <f>IFERROR(INDEX(計算用!$G$2:$G$186,MATCH("女白"&amp;$J84,計算用!$L$2:$L$186,0)),"")</f>
        <v/>
      </c>
    </row>
    <row r="85">
      <c r="A85" s="15">
        <f>IF(ROW()-3&lt;=MAX(計算用!$Q$2,計算用!$Q$3),ROW()-3,"")</f>
        <v/>
      </c>
      <c r="B85" s="15">
        <f>IFERROR(INDEX(計算用!$D$2:$D$186,MATCH("男赤"&amp;$A85,計算用!$L$2:$L$186,0)),"")</f>
        <v/>
      </c>
      <c r="C85" s="15">
        <f>IFERROR(INDEX(計算用!$M$2:$M$186,MATCH("男赤"&amp;$A85,計算用!$L$2:$L$186,0)),"")</f>
        <v/>
      </c>
      <c r="D85" s="16">
        <f>IFERROR(INDEX(計算用!$G$2:$G$186,MATCH("男赤"&amp;$A85,計算用!$L$2:$L$186,0)),"")</f>
        <v/>
      </c>
      <c r="E85" s="15" t="n"/>
      <c r="F85" s="15">
        <f>IFERROR(INDEX(計算用!$D$2:$D$186,MATCH("男白"&amp;$A85,計算用!$L$2:$L$186,0)),"")</f>
        <v/>
      </c>
      <c r="G85" s="15">
        <f>IFERROR(INDEX(計算用!$M$2:$M$186,MATCH("男白"&amp;$A85,計算用!$L$2:$L$186,0)),"")</f>
        <v/>
      </c>
      <c r="H85" s="16">
        <f>IFERROR(INDEX(計算用!$G$2:$G$186,MATCH("男白"&amp;$A85,計算用!$L$2:$L$186,0)),"")</f>
        <v/>
      </c>
      <c r="I85" s="15" t="n"/>
      <c r="J85" s="15">
        <f>IF(ROW()-3&lt;=MAX(計算用!$Q$4,計算用!$Q$5),ROW()-3,"")</f>
        <v/>
      </c>
      <c r="K85" s="15">
        <f>IFERROR(INDEX(計算用!$D$2:$D$186,MATCH("女赤"&amp;$J85,計算用!$L$2:$L$186,0)),"")</f>
        <v/>
      </c>
      <c r="L85" s="15">
        <f>IFERROR(INDEX(計算用!$M$2:$M$186,MATCH("女赤"&amp;$J85,計算用!$L$2:$L$186,0)),"")</f>
        <v/>
      </c>
      <c r="M85" s="16">
        <f>IFERROR(INDEX(計算用!$G$2:$G$186,MATCH("女赤"&amp;$J85,計算用!$L$2:$L$186,0)),"")</f>
        <v/>
      </c>
      <c r="N85" s="15" t="n"/>
      <c r="O85" s="15">
        <f>IFERROR(INDEX(計算用!$D$2:$D$186,MATCH("女白"&amp;$J85,計算用!$L$2:$L$186,0)),"")</f>
        <v/>
      </c>
      <c r="P85" s="15">
        <f>IFERROR(INDEX(計算用!$M$2:$M$186,MATCH("女白"&amp;$J85,計算用!$L$2:$L$186,0)),"")</f>
        <v/>
      </c>
      <c r="Q85" s="16">
        <f>IFERROR(INDEX(計算用!$G$2:$G$186,MATCH("女白"&amp;$J85,計算用!$L$2:$L$186,0)),"")</f>
        <v/>
      </c>
    </row>
    <row r="86">
      <c r="A86" s="15">
        <f>IF(ROW()-3&lt;=MAX(計算用!$Q$2,計算用!$Q$3),ROW()-3,"")</f>
        <v/>
      </c>
      <c r="B86" s="15">
        <f>IFERROR(INDEX(計算用!$D$2:$D$186,MATCH("男赤"&amp;$A86,計算用!$L$2:$L$186,0)),"")</f>
        <v/>
      </c>
      <c r="C86" s="15">
        <f>IFERROR(INDEX(計算用!$M$2:$M$186,MATCH("男赤"&amp;$A86,計算用!$L$2:$L$186,0)),"")</f>
        <v/>
      </c>
      <c r="D86" s="16">
        <f>IFERROR(INDEX(計算用!$G$2:$G$186,MATCH("男赤"&amp;$A86,計算用!$L$2:$L$186,0)),"")</f>
        <v/>
      </c>
      <c r="E86" s="15" t="n"/>
      <c r="F86" s="15">
        <f>IFERROR(INDEX(計算用!$D$2:$D$186,MATCH("男白"&amp;$A86,計算用!$L$2:$L$186,0)),"")</f>
        <v/>
      </c>
      <c r="G86" s="15">
        <f>IFERROR(INDEX(計算用!$M$2:$M$186,MATCH("男白"&amp;$A86,計算用!$L$2:$L$186,0)),"")</f>
        <v/>
      </c>
      <c r="H86" s="16">
        <f>IFERROR(INDEX(計算用!$G$2:$G$186,MATCH("男白"&amp;$A86,計算用!$L$2:$L$186,0)),"")</f>
        <v/>
      </c>
      <c r="I86" s="15" t="n"/>
      <c r="J86" s="15">
        <f>IF(ROW()-3&lt;=MAX(計算用!$Q$4,計算用!$Q$5),ROW()-3,"")</f>
        <v/>
      </c>
      <c r="K86" s="15">
        <f>IFERROR(INDEX(計算用!$D$2:$D$186,MATCH("女赤"&amp;$J86,計算用!$L$2:$L$186,0)),"")</f>
        <v/>
      </c>
      <c r="L86" s="15">
        <f>IFERROR(INDEX(計算用!$M$2:$M$186,MATCH("女赤"&amp;$J86,計算用!$L$2:$L$186,0)),"")</f>
        <v/>
      </c>
      <c r="M86" s="16">
        <f>IFERROR(INDEX(計算用!$G$2:$G$186,MATCH("女赤"&amp;$J86,計算用!$L$2:$L$186,0)),"")</f>
        <v/>
      </c>
      <c r="N86" s="15" t="n"/>
      <c r="O86" s="15">
        <f>IFERROR(INDEX(計算用!$D$2:$D$186,MATCH("女白"&amp;$J86,計算用!$L$2:$L$186,0)),"")</f>
        <v/>
      </c>
      <c r="P86" s="15">
        <f>IFERROR(INDEX(計算用!$M$2:$M$186,MATCH("女白"&amp;$J86,計算用!$L$2:$L$186,0)),"")</f>
        <v/>
      </c>
      <c r="Q86" s="16">
        <f>IFERROR(INDEX(計算用!$G$2:$G$186,MATCH("女白"&amp;$J86,計算用!$L$2:$L$186,0)),"")</f>
        <v/>
      </c>
    </row>
    <row r="87">
      <c r="A87" s="15">
        <f>IF(ROW()-3&lt;=MAX(計算用!$Q$2,計算用!$Q$3),ROW()-3,"")</f>
        <v/>
      </c>
      <c r="B87" s="15">
        <f>IFERROR(INDEX(計算用!$D$2:$D$186,MATCH("男赤"&amp;$A87,計算用!$L$2:$L$186,0)),"")</f>
        <v/>
      </c>
      <c r="C87" s="15">
        <f>IFERROR(INDEX(計算用!$M$2:$M$186,MATCH("男赤"&amp;$A87,計算用!$L$2:$L$186,0)),"")</f>
        <v/>
      </c>
      <c r="D87" s="16">
        <f>IFERROR(INDEX(計算用!$G$2:$G$186,MATCH("男赤"&amp;$A87,計算用!$L$2:$L$186,0)),"")</f>
        <v/>
      </c>
      <c r="E87" s="15" t="n"/>
      <c r="F87" s="15">
        <f>IFERROR(INDEX(計算用!$D$2:$D$186,MATCH("男白"&amp;$A87,計算用!$L$2:$L$186,0)),"")</f>
        <v/>
      </c>
      <c r="G87" s="15">
        <f>IFERROR(INDEX(計算用!$M$2:$M$186,MATCH("男白"&amp;$A87,計算用!$L$2:$L$186,0)),"")</f>
        <v/>
      </c>
      <c r="H87" s="16">
        <f>IFERROR(INDEX(計算用!$G$2:$G$186,MATCH("男白"&amp;$A87,計算用!$L$2:$L$186,0)),"")</f>
        <v/>
      </c>
      <c r="I87" s="15" t="n"/>
      <c r="J87" s="15">
        <f>IF(ROW()-3&lt;=MAX(計算用!$Q$4,計算用!$Q$5),ROW()-3,"")</f>
        <v/>
      </c>
      <c r="K87" s="15">
        <f>IFERROR(INDEX(計算用!$D$2:$D$186,MATCH("女赤"&amp;$J87,計算用!$L$2:$L$186,0)),"")</f>
        <v/>
      </c>
      <c r="L87" s="15">
        <f>IFERROR(INDEX(計算用!$M$2:$M$186,MATCH("女赤"&amp;$J87,計算用!$L$2:$L$186,0)),"")</f>
        <v/>
      </c>
      <c r="M87" s="16">
        <f>IFERROR(INDEX(計算用!$G$2:$G$186,MATCH("女赤"&amp;$J87,計算用!$L$2:$L$186,0)),"")</f>
        <v/>
      </c>
      <c r="N87" s="15" t="n"/>
      <c r="O87" s="15">
        <f>IFERROR(INDEX(計算用!$D$2:$D$186,MATCH("女白"&amp;$J87,計算用!$L$2:$L$186,0)),"")</f>
        <v/>
      </c>
      <c r="P87" s="15">
        <f>IFERROR(INDEX(計算用!$M$2:$M$186,MATCH("女白"&amp;$J87,計算用!$L$2:$L$186,0)),"")</f>
        <v/>
      </c>
      <c r="Q87" s="16">
        <f>IFERROR(INDEX(計算用!$G$2:$G$186,MATCH("女白"&amp;$J87,計算用!$L$2:$L$186,0)),"")</f>
        <v/>
      </c>
    </row>
    <row r="88">
      <c r="A88" s="15">
        <f>IF(ROW()-3&lt;=MAX(計算用!$Q$2,計算用!$Q$3),ROW()-3,"")</f>
        <v/>
      </c>
      <c r="B88" s="15">
        <f>IFERROR(INDEX(計算用!$D$2:$D$186,MATCH("男赤"&amp;$A88,計算用!$L$2:$L$186,0)),"")</f>
        <v/>
      </c>
      <c r="C88" s="15">
        <f>IFERROR(INDEX(計算用!$M$2:$M$186,MATCH("男赤"&amp;$A88,計算用!$L$2:$L$186,0)),"")</f>
        <v/>
      </c>
      <c r="D88" s="16">
        <f>IFERROR(INDEX(計算用!$G$2:$G$186,MATCH("男赤"&amp;$A88,計算用!$L$2:$L$186,0)),"")</f>
        <v/>
      </c>
      <c r="E88" s="15" t="n"/>
      <c r="F88" s="15">
        <f>IFERROR(INDEX(計算用!$D$2:$D$186,MATCH("男白"&amp;$A88,計算用!$L$2:$L$186,0)),"")</f>
        <v/>
      </c>
      <c r="G88" s="15">
        <f>IFERROR(INDEX(計算用!$M$2:$M$186,MATCH("男白"&amp;$A88,計算用!$L$2:$L$186,0)),"")</f>
        <v/>
      </c>
      <c r="H88" s="16">
        <f>IFERROR(INDEX(計算用!$G$2:$G$186,MATCH("男白"&amp;$A88,計算用!$L$2:$L$186,0)),"")</f>
        <v/>
      </c>
      <c r="I88" s="15" t="n"/>
      <c r="J88" s="15">
        <f>IF(ROW()-3&lt;=MAX(計算用!$Q$4,計算用!$Q$5),ROW()-3,"")</f>
        <v/>
      </c>
      <c r="K88" s="15">
        <f>IFERROR(INDEX(計算用!$D$2:$D$186,MATCH("女赤"&amp;$J88,計算用!$L$2:$L$186,0)),"")</f>
        <v/>
      </c>
      <c r="L88" s="15">
        <f>IFERROR(INDEX(計算用!$M$2:$M$186,MATCH("女赤"&amp;$J88,計算用!$L$2:$L$186,0)),"")</f>
        <v/>
      </c>
      <c r="M88" s="16">
        <f>IFERROR(INDEX(計算用!$G$2:$G$186,MATCH("女赤"&amp;$J88,計算用!$L$2:$L$186,0)),"")</f>
        <v/>
      </c>
      <c r="N88" s="15" t="n"/>
      <c r="O88" s="15">
        <f>IFERROR(INDEX(計算用!$D$2:$D$186,MATCH("女白"&amp;$J88,計算用!$L$2:$L$186,0)),"")</f>
        <v/>
      </c>
      <c r="P88" s="15">
        <f>IFERROR(INDEX(計算用!$M$2:$M$186,MATCH("女白"&amp;$J88,計算用!$L$2:$L$186,0)),"")</f>
        <v/>
      </c>
      <c r="Q88" s="16">
        <f>IFERROR(INDEX(計算用!$G$2:$G$186,MATCH("女白"&amp;$J88,計算用!$L$2:$L$186,0)),"")</f>
        <v/>
      </c>
    </row>
    <row r="89">
      <c r="A89" s="15">
        <f>IF(ROW()-3&lt;=MAX(計算用!$Q$2,計算用!$Q$3),ROW()-3,"")</f>
        <v/>
      </c>
      <c r="B89" s="15">
        <f>IFERROR(INDEX(計算用!$D$2:$D$186,MATCH("男赤"&amp;$A89,計算用!$L$2:$L$186,0)),"")</f>
        <v/>
      </c>
      <c r="C89" s="15">
        <f>IFERROR(INDEX(計算用!$M$2:$M$186,MATCH("男赤"&amp;$A89,計算用!$L$2:$L$186,0)),"")</f>
        <v/>
      </c>
      <c r="D89" s="16">
        <f>IFERROR(INDEX(計算用!$G$2:$G$186,MATCH("男赤"&amp;$A89,計算用!$L$2:$L$186,0)),"")</f>
        <v/>
      </c>
      <c r="E89" s="15" t="n"/>
      <c r="F89" s="15">
        <f>IFERROR(INDEX(計算用!$D$2:$D$186,MATCH("男白"&amp;$A89,計算用!$L$2:$L$186,0)),"")</f>
        <v/>
      </c>
      <c r="G89" s="15">
        <f>IFERROR(INDEX(計算用!$M$2:$M$186,MATCH("男白"&amp;$A89,計算用!$L$2:$L$186,0)),"")</f>
        <v/>
      </c>
      <c r="H89" s="16">
        <f>IFERROR(INDEX(計算用!$G$2:$G$186,MATCH("男白"&amp;$A89,計算用!$L$2:$L$186,0)),"")</f>
        <v/>
      </c>
      <c r="I89" s="15" t="n"/>
      <c r="J89" s="15">
        <f>IF(ROW()-3&lt;=MAX(計算用!$Q$4,計算用!$Q$5),ROW()-3,"")</f>
        <v/>
      </c>
      <c r="K89" s="15">
        <f>IFERROR(INDEX(計算用!$D$2:$D$186,MATCH("女赤"&amp;$J89,計算用!$L$2:$L$186,0)),"")</f>
        <v/>
      </c>
      <c r="L89" s="15">
        <f>IFERROR(INDEX(計算用!$M$2:$M$186,MATCH("女赤"&amp;$J89,計算用!$L$2:$L$186,0)),"")</f>
        <v/>
      </c>
      <c r="M89" s="16">
        <f>IFERROR(INDEX(計算用!$G$2:$G$186,MATCH("女赤"&amp;$J89,計算用!$L$2:$L$186,0)),"")</f>
        <v/>
      </c>
      <c r="N89" s="15" t="n"/>
      <c r="O89" s="15">
        <f>IFERROR(INDEX(計算用!$D$2:$D$186,MATCH("女白"&amp;$J89,計算用!$L$2:$L$186,0)),"")</f>
        <v/>
      </c>
      <c r="P89" s="15">
        <f>IFERROR(INDEX(計算用!$M$2:$M$186,MATCH("女白"&amp;$J89,計算用!$L$2:$L$186,0)),"")</f>
        <v/>
      </c>
      <c r="Q89" s="16">
        <f>IFERROR(INDEX(計算用!$G$2:$G$186,MATCH("女白"&amp;$J89,計算用!$L$2:$L$186,0)),"")</f>
        <v/>
      </c>
    </row>
    <row r="90">
      <c r="A90" s="15">
        <f>IF(ROW()-3&lt;=MAX(計算用!$Q$2,計算用!$Q$3),ROW()-3,"")</f>
        <v/>
      </c>
      <c r="B90" s="15">
        <f>IFERROR(INDEX(計算用!$D$2:$D$186,MATCH("男赤"&amp;$A90,計算用!$L$2:$L$186,0)),"")</f>
        <v/>
      </c>
      <c r="C90" s="15">
        <f>IFERROR(INDEX(計算用!$M$2:$M$186,MATCH("男赤"&amp;$A90,計算用!$L$2:$L$186,0)),"")</f>
        <v/>
      </c>
      <c r="D90" s="16">
        <f>IFERROR(INDEX(計算用!$G$2:$G$186,MATCH("男赤"&amp;$A90,計算用!$L$2:$L$186,0)),"")</f>
        <v/>
      </c>
      <c r="E90" s="15" t="n"/>
      <c r="F90" s="15">
        <f>IFERROR(INDEX(計算用!$D$2:$D$186,MATCH("男白"&amp;$A90,計算用!$L$2:$L$186,0)),"")</f>
        <v/>
      </c>
      <c r="G90" s="15">
        <f>IFERROR(INDEX(計算用!$M$2:$M$186,MATCH("男白"&amp;$A90,計算用!$L$2:$L$186,0)),"")</f>
        <v/>
      </c>
      <c r="H90" s="16">
        <f>IFERROR(INDEX(計算用!$G$2:$G$186,MATCH("男白"&amp;$A90,計算用!$L$2:$L$186,0)),"")</f>
        <v/>
      </c>
      <c r="I90" s="15" t="n"/>
      <c r="J90" s="15">
        <f>IF(ROW()-3&lt;=MAX(計算用!$Q$4,計算用!$Q$5),ROW()-3,"")</f>
        <v/>
      </c>
      <c r="K90" s="15">
        <f>IFERROR(INDEX(計算用!$D$2:$D$186,MATCH("女赤"&amp;$J90,計算用!$L$2:$L$186,0)),"")</f>
        <v/>
      </c>
      <c r="L90" s="15">
        <f>IFERROR(INDEX(計算用!$M$2:$M$186,MATCH("女赤"&amp;$J90,計算用!$L$2:$L$186,0)),"")</f>
        <v/>
      </c>
      <c r="M90" s="16">
        <f>IFERROR(INDEX(計算用!$G$2:$G$186,MATCH("女赤"&amp;$J90,計算用!$L$2:$L$186,0)),"")</f>
        <v/>
      </c>
      <c r="N90" s="15" t="n"/>
      <c r="O90" s="15">
        <f>IFERROR(INDEX(計算用!$D$2:$D$186,MATCH("女白"&amp;$J90,計算用!$L$2:$L$186,0)),"")</f>
        <v/>
      </c>
      <c r="P90" s="15">
        <f>IFERROR(INDEX(計算用!$M$2:$M$186,MATCH("女白"&amp;$J90,計算用!$L$2:$L$186,0)),"")</f>
        <v/>
      </c>
      <c r="Q90" s="16">
        <f>IFERROR(INDEX(計算用!$G$2:$G$186,MATCH("女白"&amp;$J90,計算用!$L$2:$L$186,0)),"")</f>
        <v/>
      </c>
    </row>
    <row r="91">
      <c r="A91" s="15">
        <f>IF(ROW()-3&lt;=MAX(計算用!$Q$2,計算用!$Q$3),ROW()-3,"")</f>
        <v/>
      </c>
      <c r="B91" s="15">
        <f>IFERROR(INDEX(計算用!$D$2:$D$186,MATCH("男赤"&amp;$A91,計算用!$L$2:$L$186,0)),"")</f>
        <v/>
      </c>
      <c r="C91" s="15">
        <f>IFERROR(INDEX(計算用!$M$2:$M$186,MATCH("男赤"&amp;$A91,計算用!$L$2:$L$186,0)),"")</f>
        <v/>
      </c>
      <c r="D91" s="16">
        <f>IFERROR(INDEX(計算用!$G$2:$G$186,MATCH("男赤"&amp;$A91,計算用!$L$2:$L$186,0)),"")</f>
        <v/>
      </c>
      <c r="E91" s="15" t="n"/>
      <c r="F91" s="15">
        <f>IFERROR(INDEX(計算用!$D$2:$D$186,MATCH("男白"&amp;$A91,計算用!$L$2:$L$186,0)),"")</f>
        <v/>
      </c>
      <c r="G91" s="15">
        <f>IFERROR(INDEX(計算用!$M$2:$M$186,MATCH("男白"&amp;$A91,計算用!$L$2:$L$186,0)),"")</f>
        <v/>
      </c>
      <c r="H91" s="16">
        <f>IFERROR(INDEX(計算用!$G$2:$G$186,MATCH("男白"&amp;$A91,計算用!$L$2:$L$186,0)),"")</f>
        <v/>
      </c>
      <c r="I91" s="15" t="n"/>
      <c r="J91" s="15">
        <f>IF(ROW()-3&lt;=MAX(計算用!$Q$4,計算用!$Q$5),ROW()-3,"")</f>
        <v/>
      </c>
      <c r="K91" s="15">
        <f>IFERROR(INDEX(計算用!$D$2:$D$186,MATCH("女赤"&amp;$J91,計算用!$L$2:$L$186,0)),"")</f>
        <v/>
      </c>
      <c r="L91" s="15">
        <f>IFERROR(INDEX(計算用!$M$2:$M$186,MATCH("女赤"&amp;$J91,計算用!$L$2:$L$186,0)),"")</f>
        <v/>
      </c>
      <c r="M91" s="16">
        <f>IFERROR(INDEX(計算用!$G$2:$G$186,MATCH("女赤"&amp;$J91,計算用!$L$2:$L$186,0)),"")</f>
        <v/>
      </c>
      <c r="N91" s="15" t="n"/>
      <c r="O91" s="15">
        <f>IFERROR(INDEX(計算用!$D$2:$D$186,MATCH("女白"&amp;$J91,計算用!$L$2:$L$186,0)),"")</f>
        <v/>
      </c>
      <c r="P91" s="15">
        <f>IFERROR(INDEX(計算用!$M$2:$M$186,MATCH("女白"&amp;$J91,計算用!$L$2:$L$186,0)),"")</f>
        <v/>
      </c>
      <c r="Q91" s="16">
        <f>IFERROR(INDEX(計算用!$G$2:$G$186,MATCH("女白"&amp;$J91,計算用!$L$2:$L$186,0)),"")</f>
        <v/>
      </c>
    </row>
    <row r="92">
      <c r="A92" s="15">
        <f>IF(ROW()-3&lt;=MAX(計算用!$Q$2,計算用!$Q$3),ROW()-3,"")</f>
        <v/>
      </c>
      <c r="B92" s="15">
        <f>IFERROR(INDEX(計算用!$D$2:$D$186,MATCH("男赤"&amp;$A92,計算用!$L$2:$L$186,0)),"")</f>
        <v/>
      </c>
      <c r="C92" s="15">
        <f>IFERROR(INDEX(計算用!$M$2:$M$186,MATCH("男赤"&amp;$A92,計算用!$L$2:$L$186,0)),"")</f>
        <v/>
      </c>
      <c r="D92" s="16">
        <f>IFERROR(INDEX(計算用!$G$2:$G$186,MATCH("男赤"&amp;$A92,計算用!$L$2:$L$186,0)),"")</f>
        <v/>
      </c>
      <c r="E92" s="15" t="n"/>
      <c r="F92" s="15">
        <f>IFERROR(INDEX(計算用!$D$2:$D$186,MATCH("男白"&amp;$A92,計算用!$L$2:$L$186,0)),"")</f>
        <v/>
      </c>
      <c r="G92" s="15">
        <f>IFERROR(INDEX(計算用!$M$2:$M$186,MATCH("男白"&amp;$A92,計算用!$L$2:$L$186,0)),"")</f>
        <v/>
      </c>
      <c r="H92" s="16">
        <f>IFERROR(INDEX(計算用!$G$2:$G$186,MATCH("男白"&amp;$A92,計算用!$L$2:$L$186,0)),"")</f>
        <v/>
      </c>
      <c r="I92" s="15" t="n"/>
      <c r="J92" s="15">
        <f>IF(ROW()-3&lt;=MAX(計算用!$Q$4,計算用!$Q$5),ROW()-3,"")</f>
        <v/>
      </c>
      <c r="K92" s="15">
        <f>IFERROR(INDEX(計算用!$D$2:$D$186,MATCH("女赤"&amp;$J92,計算用!$L$2:$L$186,0)),"")</f>
        <v/>
      </c>
      <c r="L92" s="15">
        <f>IFERROR(INDEX(計算用!$M$2:$M$186,MATCH("女赤"&amp;$J92,計算用!$L$2:$L$186,0)),"")</f>
        <v/>
      </c>
      <c r="M92" s="16">
        <f>IFERROR(INDEX(計算用!$G$2:$G$186,MATCH("女赤"&amp;$J92,計算用!$L$2:$L$186,0)),"")</f>
        <v/>
      </c>
      <c r="N92" s="15" t="n"/>
      <c r="O92" s="15">
        <f>IFERROR(INDEX(計算用!$D$2:$D$186,MATCH("女白"&amp;$J92,計算用!$L$2:$L$186,0)),"")</f>
        <v/>
      </c>
      <c r="P92" s="15">
        <f>IFERROR(INDEX(計算用!$M$2:$M$186,MATCH("女白"&amp;$J92,計算用!$L$2:$L$186,0)),"")</f>
        <v/>
      </c>
      <c r="Q92" s="16">
        <f>IFERROR(INDEX(計算用!$G$2:$G$186,MATCH("女白"&amp;$J92,計算用!$L$2:$L$186,0)),"")</f>
        <v/>
      </c>
    </row>
    <row r="93">
      <c r="A93" s="15">
        <f>IF(ROW()-3&lt;=MAX(計算用!$Q$2,計算用!$Q$3),ROW()-3,"")</f>
        <v/>
      </c>
      <c r="B93" s="15">
        <f>IFERROR(INDEX(計算用!$D$2:$D$186,MATCH("男赤"&amp;$A93,計算用!$L$2:$L$186,0)),"")</f>
        <v/>
      </c>
      <c r="C93" s="15">
        <f>IFERROR(INDEX(計算用!$M$2:$M$186,MATCH("男赤"&amp;$A93,計算用!$L$2:$L$186,0)),"")</f>
        <v/>
      </c>
      <c r="D93" s="16">
        <f>IFERROR(INDEX(計算用!$G$2:$G$186,MATCH("男赤"&amp;$A93,計算用!$L$2:$L$186,0)),"")</f>
        <v/>
      </c>
      <c r="E93" s="15" t="n"/>
      <c r="F93" s="15">
        <f>IFERROR(INDEX(計算用!$D$2:$D$186,MATCH("男白"&amp;$A93,計算用!$L$2:$L$186,0)),"")</f>
        <v/>
      </c>
      <c r="G93" s="15">
        <f>IFERROR(INDEX(計算用!$M$2:$M$186,MATCH("男白"&amp;$A93,計算用!$L$2:$L$186,0)),"")</f>
        <v/>
      </c>
      <c r="H93" s="16">
        <f>IFERROR(INDEX(計算用!$G$2:$G$186,MATCH("男白"&amp;$A93,計算用!$L$2:$L$186,0)),"")</f>
        <v/>
      </c>
      <c r="I93" s="15" t="n"/>
      <c r="J93" s="15">
        <f>IF(ROW()-3&lt;=MAX(計算用!$Q$4,計算用!$Q$5),ROW()-3,"")</f>
        <v/>
      </c>
      <c r="K93" s="15">
        <f>IFERROR(INDEX(計算用!$D$2:$D$186,MATCH("女赤"&amp;$J93,計算用!$L$2:$L$186,0)),"")</f>
        <v/>
      </c>
      <c r="L93" s="15">
        <f>IFERROR(INDEX(計算用!$M$2:$M$186,MATCH("女赤"&amp;$J93,計算用!$L$2:$L$186,0)),"")</f>
        <v/>
      </c>
      <c r="M93" s="16">
        <f>IFERROR(INDEX(計算用!$G$2:$G$186,MATCH("女赤"&amp;$J93,計算用!$L$2:$L$186,0)),"")</f>
        <v/>
      </c>
      <c r="N93" s="15" t="n"/>
      <c r="O93" s="15">
        <f>IFERROR(INDEX(計算用!$D$2:$D$186,MATCH("女白"&amp;$J93,計算用!$L$2:$L$186,0)),"")</f>
        <v/>
      </c>
      <c r="P93" s="15">
        <f>IFERROR(INDEX(計算用!$M$2:$M$186,MATCH("女白"&amp;$J93,計算用!$L$2:$L$186,0)),"")</f>
        <v/>
      </c>
      <c r="Q93" s="16">
        <f>IFERROR(INDEX(計算用!$G$2:$G$186,MATCH("女白"&amp;$J93,計算用!$L$2:$L$186,0)),"")</f>
        <v/>
      </c>
    </row>
    <row r="94">
      <c r="A94" s="15">
        <f>IF(ROW()-3&lt;=MAX(計算用!$Q$2,計算用!$Q$3),ROW()-3,"")</f>
        <v/>
      </c>
      <c r="B94" s="15">
        <f>IFERROR(INDEX(計算用!$D$2:$D$186,MATCH("男赤"&amp;$A94,計算用!$L$2:$L$186,0)),"")</f>
        <v/>
      </c>
      <c r="C94" s="15">
        <f>IFERROR(INDEX(計算用!$M$2:$M$186,MATCH("男赤"&amp;$A94,計算用!$L$2:$L$186,0)),"")</f>
        <v/>
      </c>
      <c r="D94" s="16">
        <f>IFERROR(INDEX(計算用!$G$2:$G$186,MATCH("男赤"&amp;$A94,計算用!$L$2:$L$186,0)),"")</f>
        <v/>
      </c>
      <c r="E94" s="15" t="n"/>
      <c r="F94" s="15">
        <f>IFERROR(INDEX(計算用!$D$2:$D$186,MATCH("男白"&amp;$A94,計算用!$L$2:$L$186,0)),"")</f>
        <v/>
      </c>
      <c r="G94" s="15">
        <f>IFERROR(INDEX(計算用!$M$2:$M$186,MATCH("男白"&amp;$A94,計算用!$L$2:$L$186,0)),"")</f>
        <v/>
      </c>
      <c r="H94" s="16">
        <f>IFERROR(INDEX(計算用!$G$2:$G$186,MATCH("男白"&amp;$A94,計算用!$L$2:$L$186,0)),"")</f>
        <v/>
      </c>
      <c r="I94" s="15" t="n"/>
      <c r="J94" s="15">
        <f>IF(ROW()-3&lt;=MAX(計算用!$Q$4,計算用!$Q$5),ROW()-3,"")</f>
        <v/>
      </c>
      <c r="K94" s="15">
        <f>IFERROR(INDEX(計算用!$D$2:$D$186,MATCH("女赤"&amp;$J94,計算用!$L$2:$L$186,0)),"")</f>
        <v/>
      </c>
      <c r="L94" s="15">
        <f>IFERROR(INDEX(計算用!$M$2:$M$186,MATCH("女赤"&amp;$J94,計算用!$L$2:$L$186,0)),"")</f>
        <v/>
      </c>
      <c r="M94" s="16">
        <f>IFERROR(INDEX(計算用!$G$2:$G$186,MATCH("女赤"&amp;$J94,計算用!$L$2:$L$186,0)),"")</f>
        <v/>
      </c>
      <c r="N94" s="15" t="n"/>
      <c r="O94" s="15">
        <f>IFERROR(INDEX(計算用!$D$2:$D$186,MATCH("女白"&amp;$J94,計算用!$L$2:$L$186,0)),"")</f>
        <v/>
      </c>
      <c r="P94" s="15">
        <f>IFERROR(INDEX(計算用!$M$2:$M$186,MATCH("女白"&amp;$J94,計算用!$L$2:$L$186,0)),"")</f>
        <v/>
      </c>
      <c r="Q94" s="16">
        <f>IFERROR(INDEX(計算用!$G$2:$G$186,MATCH("女白"&amp;$J94,計算用!$L$2:$L$186,0)),"")</f>
        <v/>
      </c>
    </row>
    <row r="95">
      <c r="A95" s="15">
        <f>IF(ROW()-3&lt;=MAX(計算用!$Q$2,計算用!$Q$3),ROW()-3,"")</f>
        <v/>
      </c>
      <c r="B95" s="15">
        <f>IFERROR(INDEX(計算用!$D$2:$D$186,MATCH("男赤"&amp;$A95,計算用!$L$2:$L$186,0)),"")</f>
        <v/>
      </c>
      <c r="C95" s="15">
        <f>IFERROR(INDEX(計算用!$M$2:$M$186,MATCH("男赤"&amp;$A95,計算用!$L$2:$L$186,0)),"")</f>
        <v/>
      </c>
      <c r="D95" s="16">
        <f>IFERROR(INDEX(計算用!$G$2:$G$186,MATCH("男赤"&amp;$A95,計算用!$L$2:$L$186,0)),"")</f>
        <v/>
      </c>
      <c r="E95" s="15" t="n"/>
      <c r="F95" s="15">
        <f>IFERROR(INDEX(計算用!$D$2:$D$186,MATCH("男白"&amp;$A95,計算用!$L$2:$L$186,0)),"")</f>
        <v/>
      </c>
      <c r="G95" s="15">
        <f>IFERROR(INDEX(計算用!$M$2:$M$186,MATCH("男白"&amp;$A95,計算用!$L$2:$L$186,0)),"")</f>
        <v/>
      </c>
      <c r="H95" s="16">
        <f>IFERROR(INDEX(計算用!$G$2:$G$186,MATCH("男白"&amp;$A95,計算用!$L$2:$L$186,0)),"")</f>
        <v/>
      </c>
      <c r="I95" s="15" t="n"/>
      <c r="J95" s="15">
        <f>IF(ROW()-3&lt;=MAX(計算用!$Q$4,計算用!$Q$5),ROW()-3,"")</f>
        <v/>
      </c>
      <c r="K95" s="15">
        <f>IFERROR(INDEX(計算用!$D$2:$D$186,MATCH("女赤"&amp;$J95,計算用!$L$2:$L$186,0)),"")</f>
        <v/>
      </c>
      <c r="L95" s="15">
        <f>IFERROR(INDEX(計算用!$M$2:$M$186,MATCH("女赤"&amp;$J95,計算用!$L$2:$L$186,0)),"")</f>
        <v/>
      </c>
      <c r="M95" s="16">
        <f>IFERROR(INDEX(計算用!$G$2:$G$186,MATCH("女赤"&amp;$J95,計算用!$L$2:$L$186,0)),"")</f>
        <v/>
      </c>
      <c r="N95" s="15" t="n"/>
      <c r="O95" s="15">
        <f>IFERROR(INDEX(計算用!$D$2:$D$186,MATCH("女白"&amp;$J95,計算用!$L$2:$L$186,0)),"")</f>
        <v/>
      </c>
      <c r="P95" s="15">
        <f>IFERROR(INDEX(計算用!$M$2:$M$186,MATCH("女白"&amp;$J95,計算用!$L$2:$L$186,0)),"")</f>
        <v/>
      </c>
      <c r="Q95" s="16">
        <f>IFERROR(INDEX(計算用!$G$2:$G$186,MATCH("女白"&amp;$J95,計算用!$L$2:$L$186,0)),"")</f>
        <v/>
      </c>
    </row>
    <row r="96">
      <c r="A96" s="15">
        <f>IF(ROW()-3&lt;=MAX(計算用!$Q$2,計算用!$Q$3),ROW()-3,"")</f>
        <v/>
      </c>
      <c r="B96" s="15">
        <f>IFERROR(INDEX(計算用!$D$2:$D$186,MATCH("男赤"&amp;$A96,計算用!$L$2:$L$186,0)),"")</f>
        <v/>
      </c>
      <c r="C96" s="15">
        <f>IFERROR(INDEX(計算用!$M$2:$M$186,MATCH("男赤"&amp;$A96,計算用!$L$2:$L$186,0)),"")</f>
        <v/>
      </c>
      <c r="D96" s="16">
        <f>IFERROR(INDEX(計算用!$G$2:$G$186,MATCH("男赤"&amp;$A96,計算用!$L$2:$L$186,0)),"")</f>
        <v/>
      </c>
      <c r="E96" s="15" t="n"/>
      <c r="F96" s="15">
        <f>IFERROR(INDEX(計算用!$D$2:$D$186,MATCH("男白"&amp;$A96,計算用!$L$2:$L$186,0)),"")</f>
        <v/>
      </c>
      <c r="G96" s="15">
        <f>IFERROR(INDEX(計算用!$M$2:$M$186,MATCH("男白"&amp;$A96,計算用!$L$2:$L$186,0)),"")</f>
        <v/>
      </c>
      <c r="H96" s="16">
        <f>IFERROR(INDEX(計算用!$G$2:$G$186,MATCH("男白"&amp;$A96,計算用!$L$2:$L$186,0)),"")</f>
        <v/>
      </c>
      <c r="I96" s="15" t="n"/>
      <c r="J96" s="15">
        <f>IF(ROW()-3&lt;=MAX(計算用!$Q$4,計算用!$Q$5),ROW()-3,"")</f>
        <v/>
      </c>
      <c r="K96" s="15">
        <f>IFERROR(INDEX(計算用!$D$2:$D$186,MATCH("女赤"&amp;$J96,計算用!$L$2:$L$186,0)),"")</f>
        <v/>
      </c>
      <c r="L96" s="15">
        <f>IFERROR(INDEX(計算用!$M$2:$M$186,MATCH("女赤"&amp;$J96,計算用!$L$2:$L$186,0)),"")</f>
        <v/>
      </c>
      <c r="M96" s="16">
        <f>IFERROR(INDEX(計算用!$G$2:$G$186,MATCH("女赤"&amp;$J96,計算用!$L$2:$L$186,0)),"")</f>
        <v/>
      </c>
      <c r="N96" s="15" t="n"/>
      <c r="O96" s="15">
        <f>IFERROR(INDEX(計算用!$D$2:$D$186,MATCH("女白"&amp;$J96,計算用!$L$2:$L$186,0)),"")</f>
        <v/>
      </c>
      <c r="P96" s="15">
        <f>IFERROR(INDEX(計算用!$M$2:$M$186,MATCH("女白"&amp;$J96,計算用!$L$2:$L$186,0)),"")</f>
        <v/>
      </c>
      <c r="Q96" s="16">
        <f>IFERROR(INDEX(計算用!$G$2:$G$186,MATCH("女白"&amp;$J96,計算用!$L$2:$L$186,0)),"")</f>
        <v/>
      </c>
    </row>
    <row r="97">
      <c r="A97" s="15">
        <f>IF(ROW()-3&lt;=MAX(計算用!$Q$2,計算用!$Q$3),ROW()-3,"")</f>
        <v/>
      </c>
      <c r="B97" s="15">
        <f>IFERROR(INDEX(計算用!$D$2:$D$186,MATCH("男赤"&amp;$A97,計算用!$L$2:$L$186,0)),"")</f>
        <v/>
      </c>
      <c r="C97" s="15">
        <f>IFERROR(INDEX(計算用!$M$2:$M$186,MATCH("男赤"&amp;$A97,計算用!$L$2:$L$186,0)),"")</f>
        <v/>
      </c>
      <c r="D97" s="16">
        <f>IFERROR(INDEX(計算用!$G$2:$G$186,MATCH("男赤"&amp;$A97,計算用!$L$2:$L$186,0)),"")</f>
        <v/>
      </c>
      <c r="E97" s="15" t="n"/>
      <c r="F97" s="15">
        <f>IFERROR(INDEX(計算用!$D$2:$D$186,MATCH("男白"&amp;$A97,計算用!$L$2:$L$186,0)),"")</f>
        <v/>
      </c>
      <c r="G97" s="15">
        <f>IFERROR(INDEX(計算用!$M$2:$M$186,MATCH("男白"&amp;$A97,計算用!$L$2:$L$186,0)),"")</f>
        <v/>
      </c>
      <c r="H97" s="16">
        <f>IFERROR(INDEX(計算用!$G$2:$G$186,MATCH("男白"&amp;$A97,計算用!$L$2:$L$186,0)),"")</f>
        <v/>
      </c>
      <c r="I97" s="15" t="n"/>
      <c r="J97" s="15">
        <f>IF(ROW()-3&lt;=MAX(計算用!$Q$4,計算用!$Q$5),ROW()-3,"")</f>
        <v/>
      </c>
      <c r="K97" s="15">
        <f>IFERROR(INDEX(計算用!$D$2:$D$186,MATCH("女赤"&amp;$J97,計算用!$L$2:$L$186,0)),"")</f>
        <v/>
      </c>
      <c r="L97" s="15">
        <f>IFERROR(INDEX(計算用!$M$2:$M$186,MATCH("女赤"&amp;$J97,計算用!$L$2:$L$186,0)),"")</f>
        <v/>
      </c>
      <c r="M97" s="16">
        <f>IFERROR(INDEX(計算用!$G$2:$G$186,MATCH("女赤"&amp;$J97,計算用!$L$2:$L$186,0)),"")</f>
        <v/>
      </c>
      <c r="N97" s="15" t="n"/>
      <c r="O97" s="15">
        <f>IFERROR(INDEX(計算用!$D$2:$D$186,MATCH("女白"&amp;$J97,計算用!$L$2:$L$186,0)),"")</f>
        <v/>
      </c>
      <c r="P97" s="15">
        <f>IFERROR(INDEX(計算用!$M$2:$M$186,MATCH("女白"&amp;$J97,計算用!$L$2:$L$186,0)),"")</f>
        <v/>
      </c>
      <c r="Q97" s="16">
        <f>IFERROR(INDEX(計算用!$G$2:$G$186,MATCH("女白"&amp;$J97,計算用!$L$2:$L$186,0)),"")</f>
        <v/>
      </c>
    </row>
    <row r="98">
      <c r="A98" s="15">
        <f>IF(ROW()-3&lt;=MAX(計算用!$Q$2,計算用!$Q$3),ROW()-3,"")</f>
        <v/>
      </c>
      <c r="B98" s="15">
        <f>IFERROR(INDEX(計算用!$D$2:$D$186,MATCH("男赤"&amp;$A98,計算用!$L$2:$L$186,0)),"")</f>
        <v/>
      </c>
      <c r="C98" s="15">
        <f>IFERROR(INDEX(計算用!$M$2:$M$186,MATCH("男赤"&amp;$A98,計算用!$L$2:$L$186,0)),"")</f>
        <v/>
      </c>
      <c r="D98" s="16">
        <f>IFERROR(INDEX(計算用!$G$2:$G$186,MATCH("男赤"&amp;$A98,計算用!$L$2:$L$186,0)),"")</f>
        <v/>
      </c>
      <c r="E98" s="15" t="n"/>
      <c r="F98" s="15">
        <f>IFERROR(INDEX(計算用!$D$2:$D$186,MATCH("男白"&amp;$A98,計算用!$L$2:$L$186,0)),"")</f>
        <v/>
      </c>
      <c r="G98" s="15">
        <f>IFERROR(INDEX(計算用!$M$2:$M$186,MATCH("男白"&amp;$A98,計算用!$L$2:$L$186,0)),"")</f>
        <v/>
      </c>
      <c r="H98" s="16">
        <f>IFERROR(INDEX(計算用!$G$2:$G$186,MATCH("男白"&amp;$A98,計算用!$L$2:$L$186,0)),"")</f>
        <v/>
      </c>
      <c r="I98" s="15" t="n"/>
      <c r="J98" s="15">
        <f>IF(ROW()-3&lt;=MAX(計算用!$Q$4,計算用!$Q$5),ROW()-3,"")</f>
        <v/>
      </c>
      <c r="K98" s="15">
        <f>IFERROR(INDEX(計算用!$D$2:$D$186,MATCH("女赤"&amp;$J98,計算用!$L$2:$L$186,0)),"")</f>
        <v/>
      </c>
      <c r="L98" s="15">
        <f>IFERROR(INDEX(計算用!$M$2:$M$186,MATCH("女赤"&amp;$J98,計算用!$L$2:$L$186,0)),"")</f>
        <v/>
      </c>
      <c r="M98" s="16">
        <f>IFERROR(INDEX(計算用!$G$2:$G$186,MATCH("女赤"&amp;$J98,計算用!$L$2:$L$186,0)),"")</f>
        <v/>
      </c>
      <c r="N98" s="15" t="n"/>
      <c r="O98" s="15">
        <f>IFERROR(INDEX(計算用!$D$2:$D$186,MATCH("女白"&amp;$J98,計算用!$L$2:$L$186,0)),"")</f>
        <v/>
      </c>
      <c r="P98" s="15">
        <f>IFERROR(INDEX(計算用!$M$2:$M$186,MATCH("女白"&amp;$J98,計算用!$L$2:$L$186,0)),"")</f>
        <v/>
      </c>
      <c r="Q98" s="16">
        <f>IFERROR(INDEX(計算用!$G$2:$G$186,MATCH("女白"&amp;$J98,計算用!$L$2:$L$186,0)),"")</f>
        <v/>
      </c>
    </row>
    <row r="99">
      <c r="A99" s="15">
        <f>IF(ROW()-3&lt;=MAX(計算用!$Q$2,計算用!$Q$3),ROW()-3,"")</f>
        <v/>
      </c>
      <c r="B99" s="15">
        <f>IFERROR(INDEX(計算用!$D$2:$D$186,MATCH("男赤"&amp;$A99,計算用!$L$2:$L$186,0)),"")</f>
        <v/>
      </c>
      <c r="C99" s="15">
        <f>IFERROR(INDEX(計算用!$M$2:$M$186,MATCH("男赤"&amp;$A99,計算用!$L$2:$L$186,0)),"")</f>
        <v/>
      </c>
      <c r="D99" s="16">
        <f>IFERROR(INDEX(計算用!$G$2:$G$186,MATCH("男赤"&amp;$A99,計算用!$L$2:$L$186,0)),"")</f>
        <v/>
      </c>
      <c r="E99" s="15" t="n"/>
      <c r="F99" s="15">
        <f>IFERROR(INDEX(計算用!$D$2:$D$186,MATCH("男白"&amp;$A99,計算用!$L$2:$L$186,0)),"")</f>
        <v/>
      </c>
      <c r="G99" s="15">
        <f>IFERROR(INDEX(計算用!$M$2:$M$186,MATCH("男白"&amp;$A99,計算用!$L$2:$L$186,0)),"")</f>
        <v/>
      </c>
      <c r="H99" s="16">
        <f>IFERROR(INDEX(計算用!$G$2:$G$186,MATCH("男白"&amp;$A99,計算用!$L$2:$L$186,0)),"")</f>
        <v/>
      </c>
      <c r="I99" s="15" t="n"/>
      <c r="J99" s="15">
        <f>IF(ROW()-3&lt;=MAX(計算用!$Q$4,計算用!$Q$5),ROW()-3,"")</f>
        <v/>
      </c>
      <c r="K99" s="15">
        <f>IFERROR(INDEX(計算用!$D$2:$D$186,MATCH("女赤"&amp;$J99,計算用!$L$2:$L$186,0)),"")</f>
        <v/>
      </c>
      <c r="L99" s="15">
        <f>IFERROR(INDEX(計算用!$M$2:$M$186,MATCH("女赤"&amp;$J99,計算用!$L$2:$L$186,0)),"")</f>
        <v/>
      </c>
      <c r="M99" s="16">
        <f>IFERROR(INDEX(計算用!$G$2:$G$186,MATCH("女赤"&amp;$J99,計算用!$L$2:$L$186,0)),"")</f>
        <v/>
      </c>
      <c r="N99" s="15" t="n"/>
      <c r="O99" s="15">
        <f>IFERROR(INDEX(計算用!$D$2:$D$186,MATCH("女白"&amp;$J99,計算用!$L$2:$L$186,0)),"")</f>
        <v/>
      </c>
      <c r="P99" s="15">
        <f>IFERROR(INDEX(計算用!$M$2:$M$186,MATCH("女白"&amp;$J99,計算用!$L$2:$L$186,0)),"")</f>
        <v/>
      </c>
      <c r="Q99" s="16">
        <f>IFERROR(INDEX(計算用!$G$2:$G$186,MATCH("女白"&amp;$J99,計算用!$L$2:$L$186,0)),"")</f>
        <v/>
      </c>
    </row>
    <row r="100">
      <c r="A100" s="15">
        <f>IF(ROW()-3&lt;=MAX(計算用!$Q$2,計算用!$Q$3),ROW()-3,"")</f>
        <v/>
      </c>
      <c r="B100" s="15">
        <f>IFERROR(INDEX(計算用!$D$2:$D$186,MATCH("男赤"&amp;$A100,計算用!$L$2:$L$186,0)),"")</f>
        <v/>
      </c>
      <c r="C100" s="15">
        <f>IFERROR(INDEX(計算用!$M$2:$M$186,MATCH("男赤"&amp;$A100,計算用!$L$2:$L$186,0)),"")</f>
        <v/>
      </c>
      <c r="D100" s="16">
        <f>IFERROR(INDEX(計算用!$G$2:$G$186,MATCH("男赤"&amp;$A100,計算用!$L$2:$L$186,0)),"")</f>
        <v/>
      </c>
      <c r="E100" s="15" t="n"/>
      <c r="F100" s="15">
        <f>IFERROR(INDEX(計算用!$D$2:$D$186,MATCH("男白"&amp;$A100,計算用!$L$2:$L$186,0)),"")</f>
        <v/>
      </c>
      <c r="G100" s="15">
        <f>IFERROR(INDEX(計算用!$M$2:$M$186,MATCH("男白"&amp;$A100,計算用!$L$2:$L$186,0)),"")</f>
        <v/>
      </c>
      <c r="H100" s="16">
        <f>IFERROR(INDEX(計算用!$G$2:$G$186,MATCH("男白"&amp;$A100,計算用!$L$2:$L$186,0)),"")</f>
        <v/>
      </c>
      <c r="I100" s="15" t="n"/>
      <c r="J100" s="15">
        <f>IF(ROW()-3&lt;=MAX(計算用!$Q$4,計算用!$Q$5),ROW()-3,"")</f>
        <v/>
      </c>
      <c r="K100" s="15">
        <f>IFERROR(INDEX(計算用!$D$2:$D$186,MATCH("女赤"&amp;$J100,計算用!$L$2:$L$186,0)),"")</f>
        <v/>
      </c>
      <c r="L100" s="15">
        <f>IFERROR(INDEX(計算用!$M$2:$M$186,MATCH("女赤"&amp;$J100,計算用!$L$2:$L$186,0)),"")</f>
        <v/>
      </c>
      <c r="M100" s="16">
        <f>IFERROR(INDEX(計算用!$G$2:$G$186,MATCH("女赤"&amp;$J100,計算用!$L$2:$L$186,0)),"")</f>
        <v/>
      </c>
      <c r="N100" s="15" t="n"/>
      <c r="O100" s="15">
        <f>IFERROR(INDEX(計算用!$D$2:$D$186,MATCH("女白"&amp;$J100,計算用!$L$2:$L$186,0)),"")</f>
        <v/>
      </c>
      <c r="P100" s="15">
        <f>IFERROR(INDEX(計算用!$M$2:$M$186,MATCH("女白"&amp;$J100,計算用!$L$2:$L$186,0)),"")</f>
        <v/>
      </c>
      <c r="Q100" s="16">
        <f>IFERROR(INDEX(計算用!$G$2:$G$186,MATCH("女白"&amp;$J100,計算用!$L$2:$L$186,0)),"")</f>
        <v/>
      </c>
    </row>
    <row r="101">
      <c r="A101" s="15">
        <f>IF(ROW()-3&lt;=MAX(計算用!$Q$2,計算用!$Q$3),ROW()-3,"")</f>
        <v/>
      </c>
      <c r="B101" s="15">
        <f>IFERROR(INDEX(計算用!$D$2:$D$186,MATCH("男赤"&amp;$A101,計算用!$L$2:$L$186,0)),"")</f>
        <v/>
      </c>
      <c r="C101" s="15">
        <f>IFERROR(INDEX(計算用!$M$2:$M$186,MATCH("男赤"&amp;$A101,計算用!$L$2:$L$186,0)),"")</f>
        <v/>
      </c>
      <c r="D101" s="16">
        <f>IFERROR(INDEX(計算用!$G$2:$G$186,MATCH("男赤"&amp;$A101,計算用!$L$2:$L$186,0)),"")</f>
        <v/>
      </c>
      <c r="E101" s="15" t="n"/>
      <c r="F101" s="15">
        <f>IFERROR(INDEX(計算用!$D$2:$D$186,MATCH("男白"&amp;$A101,計算用!$L$2:$L$186,0)),"")</f>
        <v/>
      </c>
      <c r="G101" s="15">
        <f>IFERROR(INDEX(計算用!$M$2:$M$186,MATCH("男白"&amp;$A101,計算用!$L$2:$L$186,0)),"")</f>
        <v/>
      </c>
      <c r="H101" s="16">
        <f>IFERROR(INDEX(計算用!$G$2:$G$186,MATCH("男白"&amp;$A101,計算用!$L$2:$L$186,0)),"")</f>
        <v/>
      </c>
      <c r="I101" s="15" t="n"/>
      <c r="J101" s="15">
        <f>IF(ROW()-3&lt;=MAX(計算用!$Q$4,計算用!$Q$5),ROW()-3,"")</f>
        <v/>
      </c>
      <c r="K101" s="15">
        <f>IFERROR(INDEX(計算用!$D$2:$D$186,MATCH("女赤"&amp;$J101,計算用!$L$2:$L$186,0)),"")</f>
        <v/>
      </c>
      <c r="L101" s="15">
        <f>IFERROR(INDEX(計算用!$M$2:$M$186,MATCH("女赤"&amp;$J101,計算用!$L$2:$L$186,0)),"")</f>
        <v/>
      </c>
      <c r="M101" s="16">
        <f>IFERROR(INDEX(計算用!$G$2:$G$186,MATCH("女赤"&amp;$J101,計算用!$L$2:$L$186,0)),"")</f>
        <v/>
      </c>
      <c r="N101" s="15" t="n"/>
      <c r="O101" s="15">
        <f>IFERROR(INDEX(計算用!$D$2:$D$186,MATCH("女白"&amp;$J101,計算用!$L$2:$L$186,0)),"")</f>
        <v/>
      </c>
      <c r="P101" s="15">
        <f>IFERROR(INDEX(計算用!$M$2:$M$186,MATCH("女白"&amp;$J101,計算用!$L$2:$L$186,0)),"")</f>
        <v/>
      </c>
      <c r="Q101" s="16">
        <f>IFERROR(INDEX(計算用!$G$2:$G$186,MATCH("女白"&amp;$J101,計算用!$L$2:$L$186,0)),"")</f>
        <v/>
      </c>
    </row>
    <row r="102">
      <c r="A102" s="15">
        <f>IF(ROW()-3&lt;=MAX(計算用!$Q$2,計算用!$Q$3),ROW()-3,"")</f>
        <v/>
      </c>
      <c r="B102" s="15">
        <f>IFERROR(INDEX(計算用!$D$2:$D$186,MATCH("男赤"&amp;$A102,計算用!$L$2:$L$186,0)),"")</f>
        <v/>
      </c>
      <c r="C102" s="15">
        <f>IFERROR(INDEX(計算用!$M$2:$M$186,MATCH("男赤"&amp;$A102,計算用!$L$2:$L$186,0)),"")</f>
        <v/>
      </c>
      <c r="D102" s="16">
        <f>IFERROR(INDEX(計算用!$G$2:$G$186,MATCH("男赤"&amp;$A102,計算用!$L$2:$L$186,0)),"")</f>
        <v/>
      </c>
      <c r="E102" s="15" t="n"/>
      <c r="F102" s="15">
        <f>IFERROR(INDEX(計算用!$D$2:$D$186,MATCH("男白"&amp;$A102,計算用!$L$2:$L$186,0)),"")</f>
        <v/>
      </c>
      <c r="G102" s="15">
        <f>IFERROR(INDEX(計算用!$M$2:$M$186,MATCH("男白"&amp;$A102,計算用!$L$2:$L$186,0)),"")</f>
        <v/>
      </c>
      <c r="H102" s="16">
        <f>IFERROR(INDEX(計算用!$G$2:$G$186,MATCH("男白"&amp;$A102,計算用!$L$2:$L$186,0)),"")</f>
        <v/>
      </c>
      <c r="I102" s="15" t="n"/>
      <c r="J102" s="15">
        <f>IF(ROW()-3&lt;=MAX(計算用!$Q$4,計算用!$Q$5),ROW()-3,"")</f>
        <v/>
      </c>
      <c r="K102" s="15">
        <f>IFERROR(INDEX(計算用!$D$2:$D$186,MATCH("女赤"&amp;$J102,計算用!$L$2:$L$186,0)),"")</f>
        <v/>
      </c>
      <c r="L102" s="15">
        <f>IFERROR(INDEX(計算用!$M$2:$M$186,MATCH("女赤"&amp;$J102,計算用!$L$2:$L$186,0)),"")</f>
        <v/>
      </c>
      <c r="M102" s="16">
        <f>IFERROR(INDEX(計算用!$G$2:$G$186,MATCH("女赤"&amp;$J102,計算用!$L$2:$L$186,0)),"")</f>
        <v/>
      </c>
      <c r="N102" s="15" t="n"/>
      <c r="O102" s="15">
        <f>IFERROR(INDEX(計算用!$D$2:$D$186,MATCH("女白"&amp;$J102,計算用!$L$2:$L$186,0)),"")</f>
        <v/>
      </c>
      <c r="P102" s="15">
        <f>IFERROR(INDEX(計算用!$M$2:$M$186,MATCH("女白"&amp;$J102,計算用!$L$2:$L$186,0)),"")</f>
        <v/>
      </c>
      <c r="Q102" s="16">
        <f>IFERROR(INDEX(計算用!$G$2:$G$186,MATCH("女白"&amp;$J102,計算用!$L$2:$L$186,0)),"")</f>
        <v/>
      </c>
    </row>
    <row r="103">
      <c r="A103" s="15">
        <f>IF(ROW()-3&lt;=MAX(計算用!$Q$2,計算用!$Q$3),ROW()-3,"")</f>
        <v/>
      </c>
      <c r="B103" s="15">
        <f>IFERROR(INDEX(計算用!$D$2:$D$186,MATCH("男赤"&amp;$A103,計算用!$L$2:$L$186,0)),"")</f>
        <v/>
      </c>
      <c r="C103" s="15">
        <f>IFERROR(INDEX(計算用!$M$2:$M$186,MATCH("男赤"&amp;$A103,計算用!$L$2:$L$186,0)),"")</f>
        <v/>
      </c>
      <c r="D103" s="16">
        <f>IFERROR(INDEX(計算用!$G$2:$G$186,MATCH("男赤"&amp;$A103,計算用!$L$2:$L$186,0)),"")</f>
        <v/>
      </c>
      <c r="E103" s="15" t="n"/>
      <c r="F103" s="15">
        <f>IFERROR(INDEX(計算用!$D$2:$D$186,MATCH("男白"&amp;$A103,計算用!$L$2:$L$186,0)),"")</f>
        <v/>
      </c>
      <c r="G103" s="15">
        <f>IFERROR(INDEX(計算用!$M$2:$M$186,MATCH("男白"&amp;$A103,計算用!$L$2:$L$186,0)),"")</f>
        <v/>
      </c>
      <c r="H103" s="16">
        <f>IFERROR(INDEX(計算用!$G$2:$G$186,MATCH("男白"&amp;$A103,計算用!$L$2:$L$186,0)),"")</f>
        <v/>
      </c>
      <c r="I103" s="15" t="n"/>
      <c r="J103" s="15">
        <f>IF(ROW()-3&lt;=MAX(計算用!$Q$4,計算用!$Q$5),ROW()-3,"")</f>
        <v/>
      </c>
      <c r="K103" s="15">
        <f>IFERROR(INDEX(計算用!$D$2:$D$186,MATCH("女赤"&amp;$J103,計算用!$L$2:$L$186,0)),"")</f>
        <v/>
      </c>
      <c r="L103" s="15">
        <f>IFERROR(INDEX(計算用!$M$2:$M$186,MATCH("女赤"&amp;$J103,計算用!$L$2:$L$186,0)),"")</f>
        <v/>
      </c>
      <c r="M103" s="16">
        <f>IFERROR(INDEX(計算用!$G$2:$G$186,MATCH("女赤"&amp;$J103,計算用!$L$2:$L$186,0)),"")</f>
        <v/>
      </c>
      <c r="N103" s="15" t="n"/>
      <c r="O103" s="15">
        <f>IFERROR(INDEX(計算用!$D$2:$D$186,MATCH("女白"&amp;$J103,計算用!$L$2:$L$186,0)),"")</f>
        <v/>
      </c>
      <c r="P103" s="15">
        <f>IFERROR(INDEX(計算用!$M$2:$M$186,MATCH("女白"&amp;$J103,計算用!$L$2:$L$186,0)),"")</f>
        <v/>
      </c>
      <c r="Q103" s="16">
        <f>IFERROR(INDEX(計算用!$G$2:$G$186,MATCH("女白"&amp;$J103,計算用!$L$2:$L$186,0)),"")</f>
        <v/>
      </c>
    </row>
    <row r="104">
      <c r="A104" s="15">
        <f>IF(ROW()-3&lt;=MAX(計算用!$Q$2,計算用!$Q$3),ROW()-3,"")</f>
        <v/>
      </c>
      <c r="B104" s="15">
        <f>IFERROR(INDEX(計算用!$D$2:$D$186,MATCH("男赤"&amp;$A104,計算用!$L$2:$L$186,0)),"")</f>
        <v/>
      </c>
      <c r="C104" s="15">
        <f>IFERROR(INDEX(計算用!$M$2:$M$186,MATCH("男赤"&amp;$A104,計算用!$L$2:$L$186,0)),"")</f>
        <v/>
      </c>
      <c r="D104" s="16">
        <f>IFERROR(INDEX(計算用!$G$2:$G$186,MATCH("男赤"&amp;$A104,計算用!$L$2:$L$186,0)),"")</f>
        <v/>
      </c>
      <c r="E104" s="15" t="n"/>
      <c r="F104" s="15">
        <f>IFERROR(INDEX(計算用!$D$2:$D$186,MATCH("男白"&amp;$A104,計算用!$L$2:$L$186,0)),"")</f>
        <v/>
      </c>
      <c r="G104" s="15">
        <f>IFERROR(INDEX(計算用!$M$2:$M$186,MATCH("男白"&amp;$A104,計算用!$L$2:$L$186,0)),"")</f>
        <v/>
      </c>
      <c r="H104" s="16">
        <f>IFERROR(INDEX(計算用!$G$2:$G$186,MATCH("男白"&amp;$A104,計算用!$L$2:$L$186,0)),"")</f>
        <v/>
      </c>
      <c r="I104" s="15" t="n"/>
      <c r="J104" s="15">
        <f>IF(ROW()-3&lt;=MAX(計算用!$Q$4,計算用!$Q$5),ROW()-3,"")</f>
        <v/>
      </c>
      <c r="K104" s="15">
        <f>IFERROR(INDEX(計算用!$D$2:$D$186,MATCH("女赤"&amp;$J104,計算用!$L$2:$L$186,0)),"")</f>
        <v/>
      </c>
      <c r="L104" s="15">
        <f>IFERROR(INDEX(計算用!$M$2:$M$186,MATCH("女赤"&amp;$J104,計算用!$L$2:$L$186,0)),"")</f>
        <v/>
      </c>
      <c r="M104" s="16">
        <f>IFERROR(INDEX(計算用!$G$2:$G$186,MATCH("女赤"&amp;$J104,計算用!$L$2:$L$186,0)),"")</f>
        <v/>
      </c>
      <c r="N104" s="15" t="n"/>
      <c r="O104" s="15">
        <f>IFERROR(INDEX(計算用!$D$2:$D$186,MATCH("女白"&amp;$J104,計算用!$L$2:$L$186,0)),"")</f>
        <v/>
      </c>
      <c r="P104" s="15">
        <f>IFERROR(INDEX(計算用!$M$2:$M$186,MATCH("女白"&amp;$J104,計算用!$L$2:$L$186,0)),"")</f>
        <v/>
      </c>
      <c r="Q104" s="16">
        <f>IFERROR(INDEX(計算用!$G$2:$G$186,MATCH("女白"&amp;$J104,計算用!$L$2:$L$186,0)),"")</f>
        <v/>
      </c>
    </row>
    <row r="105">
      <c r="A105" s="15">
        <f>IF(ROW()-3&lt;=MAX(計算用!$Q$2,計算用!$Q$3),ROW()-3,"")</f>
        <v/>
      </c>
      <c r="B105" s="15">
        <f>IFERROR(INDEX(計算用!$D$2:$D$186,MATCH("男赤"&amp;$A105,計算用!$L$2:$L$186,0)),"")</f>
        <v/>
      </c>
      <c r="C105" s="15">
        <f>IFERROR(INDEX(計算用!$M$2:$M$186,MATCH("男赤"&amp;$A105,計算用!$L$2:$L$186,0)),"")</f>
        <v/>
      </c>
      <c r="D105" s="16">
        <f>IFERROR(INDEX(計算用!$G$2:$G$186,MATCH("男赤"&amp;$A105,計算用!$L$2:$L$186,0)),"")</f>
        <v/>
      </c>
      <c r="E105" s="15" t="n"/>
      <c r="F105" s="15">
        <f>IFERROR(INDEX(計算用!$D$2:$D$186,MATCH("男白"&amp;$A105,計算用!$L$2:$L$186,0)),"")</f>
        <v/>
      </c>
      <c r="G105" s="15">
        <f>IFERROR(INDEX(計算用!$M$2:$M$186,MATCH("男白"&amp;$A105,計算用!$L$2:$L$186,0)),"")</f>
        <v/>
      </c>
      <c r="H105" s="16">
        <f>IFERROR(INDEX(計算用!$G$2:$G$186,MATCH("男白"&amp;$A105,計算用!$L$2:$L$186,0)),"")</f>
        <v/>
      </c>
      <c r="I105" s="15" t="n"/>
      <c r="J105" s="15">
        <f>IF(ROW()-3&lt;=MAX(計算用!$Q$4,計算用!$Q$5),ROW()-3,"")</f>
        <v/>
      </c>
      <c r="K105" s="15">
        <f>IFERROR(INDEX(計算用!$D$2:$D$186,MATCH("女赤"&amp;$J105,計算用!$L$2:$L$186,0)),"")</f>
        <v/>
      </c>
      <c r="L105" s="15">
        <f>IFERROR(INDEX(計算用!$M$2:$M$186,MATCH("女赤"&amp;$J105,計算用!$L$2:$L$186,0)),"")</f>
        <v/>
      </c>
      <c r="M105" s="16">
        <f>IFERROR(INDEX(計算用!$G$2:$G$186,MATCH("女赤"&amp;$J105,計算用!$L$2:$L$186,0)),"")</f>
        <v/>
      </c>
      <c r="N105" s="15" t="n"/>
      <c r="O105" s="15">
        <f>IFERROR(INDEX(計算用!$D$2:$D$186,MATCH("女白"&amp;$J105,計算用!$L$2:$L$186,0)),"")</f>
        <v/>
      </c>
      <c r="P105" s="15">
        <f>IFERROR(INDEX(計算用!$M$2:$M$186,MATCH("女白"&amp;$J105,計算用!$L$2:$L$186,0)),"")</f>
        <v/>
      </c>
      <c r="Q105" s="16">
        <f>IFERROR(INDEX(計算用!$G$2:$G$186,MATCH("女白"&amp;$J105,計算用!$L$2:$L$186,0)),"")</f>
        <v/>
      </c>
    </row>
    <row r="106">
      <c r="A106" s="15">
        <f>IF(ROW()-3&lt;=MAX(計算用!$Q$2,計算用!$Q$3),ROW()-3,"")</f>
        <v/>
      </c>
      <c r="B106" s="15">
        <f>IFERROR(INDEX(計算用!$D$2:$D$186,MATCH("男赤"&amp;$A106,計算用!$L$2:$L$186,0)),"")</f>
        <v/>
      </c>
      <c r="C106" s="15">
        <f>IFERROR(INDEX(計算用!$M$2:$M$186,MATCH("男赤"&amp;$A106,計算用!$L$2:$L$186,0)),"")</f>
        <v/>
      </c>
      <c r="D106" s="16">
        <f>IFERROR(INDEX(計算用!$G$2:$G$186,MATCH("男赤"&amp;$A106,計算用!$L$2:$L$186,0)),"")</f>
        <v/>
      </c>
      <c r="E106" s="15" t="n"/>
      <c r="F106" s="15">
        <f>IFERROR(INDEX(計算用!$D$2:$D$186,MATCH("男白"&amp;$A106,計算用!$L$2:$L$186,0)),"")</f>
        <v/>
      </c>
      <c r="G106" s="15">
        <f>IFERROR(INDEX(計算用!$M$2:$M$186,MATCH("男白"&amp;$A106,計算用!$L$2:$L$186,0)),"")</f>
        <v/>
      </c>
      <c r="H106" s="16">
        <f>IFERROR(INDEX(計算用!$G$2:$G$186,MATCH("男白"&amp;$A106,計算用!$L$2:$L$186,0)),"")</f>
        <v/>
      </c>
      <c r="I106" s="15" t="n"/>
      <c r="J106" s="15">
        <f>IF(ROW()-3&lt;=MAX(計算用!$Q$4,計算用!$Q$5),ROW()-3,"")</f>
        <v/>
      </c>
      <c r="K106" s="15">
        <f>IFERROR(INDEX(計算用!$D$2:$D$186,MATCH("女赤"&amp;$J106,計算用!$L$2:$L$186,0)),"")</f>
        <v/>
      </c>
      <c r="L106" s="15">
        <f>IFERROR(INDEX(計算用!$M$2:$M$186,MATCH("女赤"&amp;$J106,計算用!$L$2:$L$186,0)),"")</f>
        <v/>
      </c>
      <c r="M106" s="16">
        <f>IFERROR(INDEX(計算用!$G$2:$G$186,MATCH("女赤"&amp;$J106,計算用!$L$2:$L$186,0)),"")</f>
        <v/>
      </c>
      <c r="N106" s="15" t="n"/>
      <c r="O106" s="15">
        <f>IFERROR(INDEX(計算用!$D$2:$D$186,MATCH("女白"&amp;$J106,計算用!$L$2:$L$186,0)),"")</f>
        <v/>
      </c>
      <c r="P106" s="15">
        <f>IFERROR(INDEX(計算用!$M$2:$M$186,MATCH("女白"&amp;$J106,計算用!$L$2:$L$186,0)),"")</f>
        <v/>
      </c>
      <c r="Q106" s="16">
        <f>IFERROR(INDEX(計算用!$G$2:$G$186,MATCH("女白"&amp;$J106,計算用!$L$2:$L$186,0)),"")</f>
        <v/>
      </c>
    </row>
    <row r="107">
      <c r="A107" s="15">
        <f>IF(ROW()-3&lt;=MAX(計算用!$Q$2,計算用!$Q$3),ROW()-3,"")</f>
        <v/>
      </c>
      <c r="B107" s="15">
        <f>IFERROR(INDEX(計算用!$D$2:$D$186,MATCH("男赤"&amp;$A107,計算用!$L$2:$L$186,0)),"")</f>
        <v/>
      </c>
      <c r="C107" s="15">
        <f>IFERROR(INDEX(計算用!$M$2:$M$186,MATCH("男赤"&amp;$A107,計算用!$L$2:$L$186,0)),"")</f>
        <v/>
      </c>
      <c r="D107" s="16">
        <f>IFERROR(INDEX(計算用!$G$2:$G$186,MATCH("男赤"&amp;$A107,計算用!$L$2:$L$186,0)),"")</f>
        <v/>
      </c>
      <c r="E107" s="15" t="n"/>
      <c r="F107" s="15">
        <f>IFERROR(INDEX(計算用!$D$2:$D$186,MATCH("男白"&amp;$A107,計算用!$L$2:$L$186,0)),"")</f>
        <v/>
      </c>
      <c r="G107" s="15">
        <f>IFERROR(INDEX(計算用!$M$2:$M$186,MATCH("男白"&amp;$A107,計算用!$L$2:$L$186,0)),"")</f>
        <v/>
      </c>
      <c r="H107" s="16">
        <f>IFERROR(INDEX(計算用!$G$2:$G$186,MATCH("男白"&amp;$A107,計算用!$L$2:$L$186,0)),"")</f>
        <v/>
      </c>
      <c r="I107" s="15" t="n"/>
      <c r="J107" s="15">
        <f>IF(ROW()-3&lt;=MAX(計算用!$Q$4,計算用!$Q$5),ROW()-3,"")</f>
        <v/>
      </c>
      <c r="K107" s="15">
        <f>IFERROR(INDEX(計算用!$D$2:$D$186,MATCH("女赤"&amp;$J107,計算用!$L$2:$L$186,0)),"")</f>
        <v/>
      </c>
      <c r="L107" s="15">
        <f>IFERROR(INDEX(計算用!$M$2:$M$186,MATCH("女赤"&amp;$J107,計算用!$L$2:$L$186,0)),"")</f>
        <v/>
      </c>
      <c r="M107" s="16">
        <f>IFERROR(INDEX(計算用!$G$2:$G$186,MATCH("女赤"&amp;$J107,計算用!$L$2:$L$186,0)),"")</f>
        <v/>
      </c>
      <c r="N107" s="15" t="n"/>
      <c r="O107" s="15">
        <f>IFERROR(INDEX(計算用!$D$2:$D$186,MATCH("女白"&amp;$J107,計算用!$L$2:$L$186,0)),"")</f>
        <v/>
      </c>
      <c r="P107" s="15">
        <f>IFERROR(INDEX(計算用!$M$2:$M$186,MATCH("女白"&amp;$J107,計算用!$L$2:$L$186,0)),"")</f>
        <v/>
      </c>
      <c r="Q107" s="16">
        <f>IFERROR(INDEX(計算用!$G$2:$G$186,MATCH("女白"&amp;$J107,計算用!$L$2:$L$186,0)),"")</f>
        <v/>
      </c>
    </row>
    <row r="108">
      <c r="A108" s="15">
        <f>IF(ROW()-3&lt;=MAX(計算用!$Q$2,計算用!$Q$3),ROW()-3,"")</f>
        <v/>
      </c>
      <c r="B108" s="15">
        <f>IFERROR(INDEX(計算用!$D$2:$D$186,MATCH("男赤"&amp;$A108,計算用!$L$2:$L$186,0)),"")</f>
        <v/>
      </c>
      <c r="C108" s="15">
        <f>IFERROR(INDEX(計算用!$M$2:$M$186,MATCH("男赤"&amp;$A108,計算用!$L$2:$L$186,0)),"")</f>
        <v/>
      </c>
      <c r="D108" s="16">
        <f>IFERROR(INDEX(計算用!$G$2:$G$186,MATCH("男赤"&amp;$A108,計算用!$L$2:$L$186,0)),"")</f>
        <v/>
      </c>
      <c r="E108" s="15" t="n"/>
      <c r="F108" s="15">
        <f>IFERROR(INDEX(計算用!$D$2:$D$186,MATCH("男白"&amp;$A108,計算用!$L$2:$L$186,0)),"")</f>
        <v/>
      </c>
      <c r="G108" s="15">
        <f>IFERROR(INDEX(計算用!$M$2:$M$186,MATCH("男白"&amp;$A108,計算用!$L$2:$L$186,0)),"")</f>
        <v/>
      </c>
      <c r="H108" s="16">
        <f>IFERROR(INDEX(計算用!$G$2:$G$186,MATCH("男白"&amp;$A108,計算用!$L$2:$L$186,0)),"")</f>
        <v/>
      </c>
      <c r="I108" s="15" t="n"/>
      <c r="J108" s="15">
        <f>IF(ROW()-3&lt;=MAX(計算用!$Q$4,計算用!$Q$5),ROW()-3,"")</f>
        <v/>
      </c>
      <c r="K108" s="15">
        <f>IFERROR(INDEX(計算用!$D$2:$D$186,MATCH("女赤"&amp;$J108,計算用!$L$2:$L$186,0)),"")</f>
        <v/>
      </c>
      <c r="L108" s="15">
        <f>IFERROR(INDEX(計算用!$M$2:$M$186,MATCH("女赤"&amp;$J108,計算用!$L$2:$L$186,0)),"")</f>
        <v/>
      </c>
      <c r="M108" s="16">
        <f>IFERROR(INDEX(計算用!$G$2:$G$186,MATCH("女赤"&amp;$J108,計算用!$L$2:$L$186,0)),"")</f>
        <v/>
      </c>
      <c r="N108" s="15" t="n"/>
      <c r="O108" s="15">
        <f>IFERROR(INDEX(計算用!$D$2:$D$186,MATCH("女白"&amp;$J108,計算用!$L$2:$L$186,0)),"")</f>
        <v/>
      </c>
      <c r="P108" s="15">
        <f>IFERROR(INDEX(計算用!$M$2:$M$186,MATCH("女白"&amp;$J108,計算用!$L$2:$L$186,0)),"")</f>
        <v/>
      </c>
      <c r="Q108" s="16">
        <f>IFERROR(INDEX(計算用!$G$2:$G$186,MATCH("女白"&amp;$J108,計算用!$L$2:$L$186,0)),"")</f>
        <v/>
      </c>
    </row>
    <row r="109">
      <c r="A109" s="15">
        <f>IF(ROW()-3&lt;=MAX(計算用!$Q$2,計算用!$Q$3),ROW()-3,"")</f>
        <v/>
      </c>
      <c r="B109" s="15">
        <f>IFERROR(INDEX(計算用!$D$2:$D$186,MATCH("男赤"&amp;$A109,計算用!$L$2:$L$186,0)),"")</f>
        <v/>
      </c>
      <c r="C109" s="15">
        <f>IFERROR(INDEX(計算用!$M$2:$M$186,MATCH("男赤"&amp;$A109,計算用!$L$2:$L$186,0)),"")</f>
        <v/>
      </c>
      <c r="D109" s="16">
        <f>IFERROR(INDEX(計算用!$G$2:$G$186,MATCH("男赤"&amp;$A109,計算用!$L$2:$L$186,0)),"")</f>
        <v/>
      </c>
      <c r="E109" s="15" t="n"/>
      <c r="F109" s="15">
        <f>IFERROR(INDEX(計算用!$D$2:$D$186,MATCH("男白"&amp;$A109,計算用!$L$2:$L$186,0)),"")</f>
        <v/>
      </c>
      <c r="G109" s="15">
        <f>IFERROR(INDEX(計算用!$M$2:$M$186,MATCH("男白"&amp;$A109,計算用!$L$2:$L$186,0)),"")</f>
        <v/>
      </c>
      <c r="H109" s="16">
        <f>IFERROR(INDEX(計算用!$G$2:$G$186,MATCH("男白"&amp;$A109,計算用!$L$2:$L$186,0)),"")</f>
        <v/>
      </c>
      <c r="I109" s="15" t="n"/>
      <c r="J109" s="15">
        <f>IF(ROW()-3&lt;=MAX(計算用!$Q$4,計算用!$Q$5),ROW()-3,"")</f>
        <v/>
      </c>
      <c r="K109" s="15">
        <f>IFERROR(INDEX(計算用!$D$2:$D$186,MATCH("女赤"&amp;$J109,計算用!$L$2:$L$186,0)),"")</f>
        <v/>
      </c>
      <c r="L109" s="15">
        <f>IFERROR(INDEX(計算用!$M$2:$M$186,MATCH("女赤"&amp;$J109,計算用!$L$2:$L$186,0)),"")</f>
        <v/>
      </c>
      <c r="M109" s="16">
        <f>IFERROR(INDEX(計算用!$G$2:$G$186,MATCH("女赤"&amp;$J109,計算用!$L$2:$L$186,0)),"")</f>
        <v/>
      </c>
      <c r="N109" s="15" t="n"/>
      <c r="O109" s="15">
        <f>IFERROR(INDEX(計算用!$D$2:$D$186,MATCH("女白"&amp;$J109,計算用!$L$2:$L$186,0)),"")</f>
        <v/>
      </c>
      <c r="P109" s="15">
        <f>IFERROR(INDEX(計算用!$M$2:$M$186,MATCH("女白"&amp;$J109,計算用!$L$2:$L$186,0)),"")</f>
        <v/>
      </c>
      <c r="Q109" s="16">
        <f>IFERROR(INDEX(計算用!$G$2:$G$186,MATCH("女白"&amp;$J109,計算用!$L$2:$L$186,0)),"")</f>
        <v/>
      </c>
    </row>
    <row r="110">
      <c r="A110" s="15">
        <f>IF(ROW()-3&lt;=MAX(計算用!$Q$2,計算用!$Q$3),ROW()-3,"")</f>
        <v/>
      </c>
      <c r="B110" s="15">
        <f>IFERROR(INDEX(計算用!$D$2:$D$186,MATCH("男赤"&amp;$A110,計算用!$L$2:$L$186,0)),"")</f>
        <v/>
      </c>
      <c r="C110" s="15">
        <f>IFERROR(INDEX(計算用!$M$2:$M$186,MATCH("男赤"&amp;$A110,計算用!$L$2:$L$186,0)),"")</f>
        <v/>
      </c>
      <c r="D110" s="16">
        <f>IFERROR(INDEX(計算用!$G$2:$G$186,MATCH("男赤"&amp;$A110,計算用!$L$2:$L$186,0)),"")</f>
        <v/>
      </c>
      <c r="E110" s="15" t="n"/>
      <c r="F110" s="15">
        <f>IFERROR(INDEX(計算用!$D$2:$D$186,MATCH("男白"&amp;$A110,計算用!$L$2:$L$186,0)),"")</f>
        <v/>
      </c>
      <c r="G110" s="15">
        <f>IFERROR(INDEX(計算用!$M$2:$M$186,MATCH("男白"&amp;$A110,計算用!$L$2:$L$186,0)),"")</f>
        <v/>
      </c>
      <c r="H110" s="16">
        <f>IFERROR(INDEX(計算用!$G$2:$G$186,MATCH("男白"&amp;$A110,計算用!$L$2:$L$186,0)),"")</f>
        <v/>
      </c>
      <c r="I110" s="15" t="n"/>
      <c r="J110" s="15">
        <f>IF(ROW()-3&lt;=MAX(計算用!$Q$4,計算用!$Q$5),ROW()-3,"")</f>
        <v/>
      </c>
      <c r="K110" s="15">
        <f>IFERROR(INDEX(計算用!$D$2:$D$186,MATCH("女赤"&amp;$J110,計算用!$L$2:$L$186,0)),"")</f>
        <v/>
      </c>
      <c r="L110" s="15">
        <f>IFERROR(INDEX(計算用!$M$2:$M$186,MATCH("女赤"&amp;$J110,計算用!$L$2:$L$186,0)),"")</f>
        <v/>
      </c>
      <c r="M110" s="16">
        <f>IFERROR(INDEX(計算用!$G$2:$G$186,MATCH("女赤"&amp;$J110,計算用!$L$2:$L$186,0)),"")</f>
        <v/>
      </c>
      <c r="N110" s="15" t="n"/>
      <c r="O110" s="15">
        <f>IFERROR(INDEX(計算用!$D$2:$D$186,MATCH("女白"&amp;$J110,計算用!$L$2:$L$186,0)),"")</f>
        <v/>
      </c>
      <c r="P110" s="15">
        <f>IFERROR(INDEX(計算用!$M$2:$M$186,MATCH("女白"&amp;$J110,計算用!$L$2:$L$186,0)),"")</f>
        <v/>
      </c>
      <c r="Q110" s="16">
        <f>IFERROR(INDEX(計算用!$G$2:$G$186,MATCH("女白"&amp;$J110,計算用!$L$2:$L$186,0)),"")</f>
        <v/>
      </c>
    </row>
    <row r="111">
      <c r="A111" s="15">
        <f>IF(ROW()-3&lt;=MAX(計算用!$Q$2,計算用!$Q$3),ROW()-3,"")</f>
        <v/>
      </c>
      <c r="B111" s="15">
        <f>IFERROR(INDEX(計算用!$D$2:$D$186,MATCH("男赤"&amp;$A111,計算用!$L$2:$L$186,0)),"")</f>
        <v/>
      </c>
      <c r="C111" s="15">
        <f>IFERROR(INDEX(計算用!$M$2:$M$186,MATCH("男赤"&amp;$A111,計算用!$L$2:$L$186,0)),"")</f>
        <v/>
      </c>
      <c r="D111" s="16">
        <f>IFERROR(INDEX(計算用!$G$2:$G$186,MATCH("男赤"&amp;$A111,計算用!$L$2:$L$186,0)),"")</f>
        <v/>
      </c>
      <c r="E111" s="15" t="n"/>
      <c r="F111" s="15">
        <f>IFERROR(INDEX(計算用!$D$2:$D$186,MATCH("男白"&amp;$A111,計算用!$L$2:$L$186,0)),"")</f>
        <v/>
      </c>
      <c r="G111" s="15">
        <f>IFERROR(INDEX(計算用!$M$2:$M$186,MATCH("男白"&amp;$A111,計算用!$L$2:$L$186,0)),"")</f>
        <v/>
      </c>
      <c r="H111" s="16">
        <f>IFERROR(INDEX(計算用!$G$2:$G$186,MATCH("男白"&amp;$A111,計算用!$L$2:$L$186,0)),"")</f>
        <v/>
      </c>
      <c r="I111" s="15" t="n"/>
      <c r="J111" s="15">
        <f>IF(ROW()-3&lt;=MAX(計算用!$Q$4,計算用!$Q$5),ROW()-3,"")</f>
        <v/>
      </c>
      <c r="K111" s="15">
        <f>IFERROR(INDEX(計算用!$D$2:$D$186,MATCH("女赤"&amp;$J111,計算用!$L$2:$L$186,0)),"")</f>
        <v/>
      </c>
      <c r="L111" s="15">
        <f>IFERROR(INDEX(計算用!$M$2:$M$186,MATCH("女赤"&amp;$J111,計算用!$L$2:$L$186,0)),"")</f>
        <v/>
      </c>
      <c r="M111" s="16">
        <f>IFERROR(INDEX(計算用!$G$2:$G$186,MATCH("女赤"&amp;$J111,計算用!$L$2:$L$186,0)),"")</f>
        <v/>
      </c>
      <c r="N111" s="15" t="n"/>
      <c r="O111" s="15">
        <f>IFERROR(INDEX(計算用!$D$2:$D$186,MATCH("女白"&amp;$J111,計算用!$L$2:$L$186,0)),"")</f>
        <v/>
      </c>
      <c r="P111" s="15">
        <f>IFERROR(INDEX(計算用!$M$2:$M$186,MATCH("女白"&amp;$J111,計算用!$L$2:$L$186,0)),"")</f>
        <v/>
      </c>
      <c r="Q111" s="16">
        <f>IFERROR(INDEX(計算用!$G$2:$G$186,MATCH("女白"&amp;$J111,計算用!$L$2:$L$186,0)),"")</f>
        <v/>
      </c>
    </row>
    <row r="112">
      <c r="A112" s="15">
        <f>IF(ROW()-3&lt;=MAX(計算用!$Q$2,計算用!$Q$3),ROW()-3,"")</f>
        <v/>
      </c>
      <c r="B112" s="15">
        <f>IFERROR(INDEX(計算用!$D$2:$D$186,MATCH("男赤"&amp;$A112,計算用!$L$2:$L$186,0)),"")</f>
        <v/>
      </c>
      <c r="C112" s="15">
        <f>IFERROR(INDEX(計算用!$M$2:$M$186,MATCH("男赤"&amp;$A112,計算用!$L$2:$L$186,0)),"")</f>
        <v/>
      </c>
      <c r="D112" s="16">
        <f>IFERROR(INDEX(計算用!$G$2:$G$186,MATCH("男赤"&amp;$A112,計算用!$L$2:$L$186,0)),"")</f>
        <v/>
      </c>
      <c r="E112" s="15" t="n"/>
      <c r="F112" s="15">
        <f>IFERROR(INDEX(計算用!$D$2:$D$186,MATCH("男白"&amp;$A112,計算用!$L$2:$L$186,0)),"")</f>
        <v/>
      </c>
      <c r="G112" s="15">
        <f>IFERROR(INDEX(計算用!$M$2:$M$186,MATCH("男白"&amp;$A112,計算用!$L$2:$L$186,0)),"")</f>
        <v/>
      </c>
      <c r="H112" s="16">
        <f>IFERROR(INDEX(計算用!$G$2:$G$186,MATCH("男白"&amp;$A112,計算用!$L$2:$L$186,0)),"")</f>
        <v/>
      </c>
      <c r="I112" s="15" t="n"/>
      <c r="J112" s="15">
        <f>IF(ROW()-3&lt;=MAX(計算用!$Q$4,計算用!$Q$5),ROW()-3,"")</f>
        <v/>
      </c>
      <c r="K112" s="15">
        <f>IFERROR(INDEX(計算用!$D$2:$D$186,MATCH("女赤"&amp;$J112,計算用!$L$2:$L$186,0)),"")</f>
        <v/>
      </c>
      <c r="L112" s="15">
        <f>IFERROR(INDEX(計算用!$M$2:$M$186,MATCH("女赤"&amp;$J112,計算用!$L$2:$L$186,0)),"")</f>
        <v/>
      </c>
      <c r="M112" s="16">
        <f>IFERROR(INDEX(計算用!$G$2:$G$186,MATCH("女赤"&amp;$J112,計算用!$L$2:$L$186,0)),"")</f>
        <v/>
      </c>
      <c r="N112" s="15" t="n"/>
      <c r="O112" s="15">
        <f>IFERROR(INDEX(計算用!$D$2:$D$186,MATCH("女白"&amp;$J112,計算用!$L$2:$L$186,0)),"")</f>
        <v/>
      </c>
      <c r="P112" s="15">
        <f>IFERROR(INDEX(計算用!$M$2:$M$186,MATCH("女白"&amp;$J112,計算用!$L$2:$L$186,0)),"")</f>
        <v/>
      </c>
      <c r="Q112" s="16">
        <f>IFERROR(INDEX(計算用!$G$2:$G$186,MATCH("女白"&amp;$J112,計算用!$L$2:$L$186,0)),"")</f>
        <v/>
      </c>
    </row>
    <row r="113">
      <c r="A113" s="15">
        <f>IF(ROW()-3&lt;=MAX(計算用!$Q$2,計算用!$Q$3),ROW()-3,"")</f>
        <v/>
      </c>
      <c r="B113" s="15">
        <f>IFERROR(INDEX(計算用!$D$2:$D$186,MATCH("男赤"&amp;$A113,計算用!$L$2:$L$186,0)),"")</f>
        <v/>
      </c>
      <c r="C113" s="15">
        <f>IFERROR(INDEX(計算用!$M$2:$M$186,MATCH("男赤"&amp;$A113,計算用!$L$2:$L$186,0)),"")</f>
        <v/>
      </c>
      <c r="D113" s="16">
        <f>IFERROR(INDEX(計算用!$G$2:$G$186,MATCH("男赤"&amp;$A113,計算用!$L$2:$L$186,0)),"")</f>
        <v/>
      </c>
      <c r="E113" s="15" t="n"/>
      <c r="F113" s="15">
        <f>IFERROR(INDEX(計算用!$D$2:$D$186,MATCH("男白"&amp;$A113,計算用!$L$2:$L$186,0)),"")</f>
        <v/>
      </c>
      <c r="G113" s="15">
        <f>IFERROR(INDEX(計算用!$M$2:$M$186,MATCH("男白"&amp;$A113,計算用!$L$2:$L$186,0)),"")</f>
        <v/>
      </c>
      <c r="H113" s="16">
        <f>IFERROR(INDEX(計算用!$G$2:$G$186,MATCH("男白"&amp;$A113,計算用!$L$2:$L$186,0)),"")</f>
        <v/>
      </c>
      <c r="I113" s="15" t="n"/>
      <c r="J113" s="15">
        <f>IF(ROW()-3&lt;=MAX(計算用!$Q$4,計算用!$Q$5),ROW()-3,"")</f>
        <v/>
      </c>
      <c r="K113" s="15">
        <f>IFERROR(INDEX(計算用!$D$2:$D$186,MATCH("女赤"&amp;$J113,計算用!$L$2:$L$186,0)),"")</f>
        <v/>
      </c>
      <c r="L113" s="15">
        <f>IFERROR(INDEX(計算用!$M$2:$M$186,MATCH("女赤"&amp;$J113,計算用!$L$2:$L$186,0)),"")</f>
        <v/>
      </c>
      <c r="M113" s="16">
        <f>IFERROR(INDEX(計算用!$G$2:$G$186,MATCH("女赤"&amp;$J113,計算用!$L$2:$L$186,0)),"")</f>
        <v/>
      </c>
      <c r="N113" s="15" t="n"/>
      <c r="O113" s="15">
        <f>IFERROR(INDEX(計算用!$D$2:$D$186,MATCH("女白"&amp;$J113,計算用!$L$2:$L$186,0)),"")</f>
        <v/>
      </c>
      <c r="P113" s="15">
        <f>IFERROR(INDEX(計算用!$M$2:$M$186,MATCH("女白"&amp;$J113,計算用!$L$2:$L$186,0)),"")</f>
        <v/>
      </c>
      <c r="Q113" s="16">
        <f>IFERROR(INDEX(計算用!$G$2:$G$186,MATCH("女白"&amp;$J113,計算用!$L$2:$L$186,0)),"")</f>
        <v/>
      </c>
    </row>
    <row r="114">
      <c r="A114" s="15">
        <f>IF(ROW()-3&lt;=MAX(計算用!$Q$2,計算用!$Q$3),ROW()-3,"")</f>
        <v/>
      </c>
      <c r="B114" s="15">
        <f>IFERROR(INDEX(計算用!$D$2:$D$186,MATCH("男赤"&amp;$A114,計算用!$L$2:$L$186,0)),"")</f>
        <v/>
      </c>
      <c r="C114" s="15">
        <f>IFERROR(INDEX(計算用!$M$2:$M$186,MATCH("男赤"&amp;$A114,計算用!$L$2:$L$186,0)),"")</f>
        <v/>
      </c>
      <c r="D114" s="16">
        <f>IFERROR(INDEX(計算用!$G$2:$G$186,MATCH("男赤"&amp;$A114,計算用!$L$2:$L$186,0)),"")</f>
        <v/>
      </c>
      <c r="E114" s="15" t="n"/>
      <c r="F114" s="15">
        <f>IFERROR(INDEX(計算用!$D$2:$D$186,MATCH("男白"&amp;$A114,計算用!$L$2:$L$186,0)),"")</f>
        <v/>
      </c>
      <c r="G114" s="15">
        <f>IFERROR(INDEX(計算用!$M$2:$M$186,MATCH("男白"&amp;$A114,計算用!$L$2:$L$186,0)),"")</f>
        <v/>
      </c>
      <c r="H114" s="16">
        <f>IFERROR(INDEX(計算用!$G$2:$G$186,MATCH("男白"&amp;$A114,計算用!$L$2:$L$186,0)),"")</f>
        <v/>
      </c>
      <c r="I114" s="15" t="n"/>
      <c r="J114" s="15">
        <f>IF(ROW()-3&lt;=MAX(計算用!$Q$4,計算用!$Q$5),ROW()-3,"")</f>
        <v/>
      </c>
      <c r="K114" s="15">
        <f>IFERROR(INDEX(計算用!$D$2:$D$186,MATCH("女赤"&amp;$J114,計算用!$L$2:$L$186,0)),"")</f>
        <v/>
      </c>
      <c r="L114" s="15">
        <f>IFERROR(INDEX(計算用!$M$2:$M$186,MATCH("女赤"&amp;$J114,計算用!$L$2:$L$186,0)),"")</f>
        <v/>
      </c>
      <c r="M114" s="16">
        <f>IFERROR(INDEX(計算用!$G$2:$G$186,MATCH("女赤"&amp;$J114,計算用!$L$2:$L$186,0)),"")</f>
        <v/>
      </c>
      <c r="N114" s="15" t="n"/>
      <c r="O114" s="15">
        <f>IFERROR(INDEX(計算用!$D$2:$D$186,MATCH("女白"&amp;$J114,計算用!$L$2:$L$186,0)),"")</f>
        <v/>
      </c>
      <c r="P114" s="15">
        <f>IFERROR(INDEX(計算用!$M$2:$M$186,MATCH("女白"&amp;$J114,計算用!$L$2:$L$186,0)),"")</f>
        <v/>
      </c>
      <c r="Q114" s="16">
        <f>IFERROR(INDEX(計算用!$G$2:$G$186,MATCH("女白"&amp;$J114,計算用!$L$2:$L$186,0)),"")</f>
        <v/>
      </c>
    </row>
    <row r="115">
      <c r="A115" s="15">
        <f>IF(ROW()-3&lt;=MAX(計算用!$Q$2,計算用!$Q$3),ROW()-3,"")</f>
        <v/>
      </c>
      <c r="B115" s="15">
        <f>IFERROR(INDEX(計算用!$D$2:$D$186,MATCH("男赤"&amp;$A115,計算用!$L$2:$L$186,0)),"")</f>
        <v/>
      </c>
      <c r="C115" s="15">
        <f>IFERROR(INDEX(計算用!$M$2:$M$186,MATCH("男赤"&amp;$A115,計算用!$L$2:$L$186,0)),"")</f>
        <v/>
      </c>
      <c r="D115" s="16">
        <f>IFERROR(INDEX(計算用!$G$2:$G$186,MATCH("男赤"&amp;$A115,計算用!$L$2:$L$186,0)),"")</f>
        <v/>
      </c>
      <c r="E115" s="15" t="n"/>
      <c r="F115" s="15">
        <f>IFERROR(INDEX(計算用!$D$2:$D$186,MATCH("男白"&amp;$A115,計算用!$L$2:$L$186,0)),"")</f>
        <v/>
      </c>
      <c r="G115" s="15">
        <f>IFERROR(INDEX(計算用!$M$2:$M$186,MATCH("男白"&amp;$A115,計算用!$L$2:$L$186,0)),"")</f>
        <v/>
      </c>
      <c r="H115" s="16">
        <f>IFERROR(INDEX(計算用!$G$2:$G$186,MATCH("男白"&amp;$A115,計算用!$L$2:$L$186,0)),"")</f>
        <v/>
      </c>
      <c r="I115" s="15" t="n"/>
      <c r="J115" s="15">
        <f>IF(ROW()-3&lt;=MAX(計算用!$Q$4,計算用!$Q$5),ROW()-3,"")</f>
        <v/>
      </c>
      <c r="K115" s="15">
        <f>IFERROR(INDEX(計算用!$D$2:$D$186,MATCH("女赤"&amp;$J115,計算用!$L$2:$L$186,0)),"")</f>
        <v/>
      </c>
      <c r="L115" s="15">
        <f>IFERROR(INDEX(計算用!$M$2:$M$186,MATCH("女赤"&amp;$J115,計算用!$L$2:$L$186,0)),"")</f>
        <v/>
      </c>
      <c r="M115" s="16">
        <f>IFERROR(INDEX(計算用!$G$2:$G$186,MATCH("女赤"&amp;$J115,計算用!$L$2:$L$186,0)),"")</f>
        <v/>
      </c>
      <c r="N115" s="15" t="n"/>
      <c r="O115" s="15">
        <f>IFERROR(INDEX(計算用!$D$2:$D$186,MATCH("女白"&amp;$J115,計算用!$L$2:$L$186,0)),"")</f>
        <v/>
      </c>
      <c r="P115" s="15">
        <f>IFERROR(INDEX(計算用!$M$2:$M$186,MATCH("女白"&amp;$J115,計算用!$L$2:$L$186,0)),"")</f>
        <v/>
      </c>
      <c r="Q115" s="16">
        <f>IFERROR(INDEX(計算用!$G$2:$G$186,MATCH("女白"&amp;$J115,計算用!$L$2:$L$186,0)),"")</f>
        <v/>
      </c>
    </row>
    <row r="116">
      <c r="A116" s="15">
        <f>IF(ROW()-3&lt;=MAX(計算用!$Q$2,計算用!$Q$3),ROW()-3,"")</f>
        <v/>
      </c>
      <c r="B116" s="15">
        <f>IFERROR(INDEX(計算用!$D$2:$D$186,MATCH("男赤"&amp;$A116,計算用!$L$2:$L$186,0)),"")</f>
        <v/>
      </c>
      <c r="C116" s="15">
        <f>IFERROR(INDEX(計算用!$M$2:$M$186,MATCH("男赤"&amp;$A116,計算用!$L$2:$L$186,0)),"")</f>
        <v/>
      </c>
      <c r="D116" s="16">
        <f>IFERROR(INDEX(計算用!$G$2:$G$186,MATCH("男赤"&amp;$A116,計算用!$L$2:$L$186,0)),"")</f>
        <v/>
      </c>
      <c r="E116" s="15" t="n"/>
      <c r="F116" s="15">
        <f>IFERROR(INDEX(計算用!$D$2:$D$186,MATCH("男白"&amp;$A116,計算用!$L$2:$L$186,0)),"")</f>
        <v/>
      </c>
      <c r="G116" s="15">
        <f>IFERROR(INDEX(計算用!$M$2:$M$186,MATCH("男白"&amp;$A116,計算用!$L$2:$L$186,0)),"")</f>
        <v/>
      </c>
      <c r="H116" s="16">
        <f>IFERROR(INDEX(計算用!$G$2:$G$186,MATCH("男白"&amp;$A116,計算用!$L$2:$L$186,0)),"")</f>
        <v/>
      </c>
      <c r="I116" s="15" t="n"/>
      <c r="J116" s="15">
        <f>IF(ROW()-3&lt;=MAX(計算用!$Q$4,計算用!$Q$5),ROW()-3,"")</f>
        <v/>
      </c>
      <c r="K116" s="15">
        <f>IFERROR(INDEX(計算用!$D$2:$D$186,MATCH("女赤"&amp;$J116,計算用!$L$2:$L$186,0)),"")</f>
        <v/>
      </c>
      <c r="L116" s="15">
        <f>IFERROR(INDEX(計算用!$M$2:$M$186,MATCH("女赤"&amp;$J116,計算用!$L$2:$L$186,0)),"")</f>
        <v/>
      </c>
      <c r="M116" s="16">
        <f>IFERROR(INDEX(計算用!$G$2:$G$186,MATCH("女赤"&amp;$J116,計算用!$L$2:$L$186,0)),"")</f>
        <v/>
      </c>
      <c r="N116" s="15" t="n"/>
      <c r="O116" s="15">
        <f>IFERROR(INDEX(計算用!$D$2:$D$186,MATCH("女白"&amp;$J116,計算用!$L$2:$L$186,0)),"")</f>
        <v/>
      </c>
      <c r="P116" s="15">
        <f>IFERROR(INDEX(計算用!$M$2:$M$186,MATCH("女白"&amp;$J116,計算用!$L$2:$L$186,0)),"")</f>
        <v/>
      </c>
      <c r="Q116" s="16">
        <f>IFERROR(INDEX(計算用!$G$2:$G$186,MATCH("女白"&amp;$J116,計算用!$L$2:$L$186,0)),"")</f>
        <v/>
      </c>
    </row>
    <row r="117">
      <c r="A117" s="15">
        <f>IF(ROW()-3&lt;=MAX(計算用!$Q$2,計算用!$Q$3),ROW()-3,"")</f>
        <v/>
      </c>
      <c r="B117" s="15">
        <f>IFERROR(INDEX(計算用!$D$2:$D$186,MATCH("男赤"&amp;$A117,計算用!$L$2:$L$186,0)),"")</f>
        <v/>
      </c>
      <c r="C117" s="15">
        <f>IFERROR(INDEX(計算用!$M$2:$M$186,MATCH("男赤"&amp;$A117,計算用!$L$2:$L$186,0)),"")</f>
        <v/>
      </c>
      <c r="D117" s="16">
        <f>IFERROR(INDEX(計算用!$G$2:$G$186,MATCH("男赤"&amp;$A117,計算用!$L$2:$L$186,0)),"")</f>
        <v/>
      </c>
      <c r="E117" s="15" t="n"/>
      <c r="F117" s="15">
        <f>IFERROR(INDEX(計算用!$D$2:$D$186,MATCH("男白"&amp;$A117,計算用!$L$2:$L$186,0)),"")</f>
        <v/>
      </c>
      <c r="G117" s="15">
        <f>IFERROR(INDEX(計算用!$M$2:$M$186,MATCH("男白"&amp;$A117,計算用!$L$2:$L$186,0)),"")</f>
        <v/>
      </c>
      <c r="H117" s="16">
        <f>IFERROR(INDEX(計算用!$G$2:$G$186,MATCH("男白"&amp;$A117,計算用!$L$2:$L$186,0)),"")</f>
        <v/>
      </c>
      <c r="I117" s="15" t="n"/>
      <c r="J117" s="15">
        <f>IF(ROW()-3&lt;=MAX(計算用!$Q$4,計算用!$Q$5),ROW()-3,"")</f>
        <v/>
      </c>
      <c r="K117" s="15">
        <f>IFERROR(INDEX(計算用!$D$2:$D$186,MATCH("女赤"&amp;$J117,計算用!$L$2:$L$186,0)),"")</f>
        <v/>
      </c>
      <c r="L117" s="15">
        <f>IFERROR(INDEX(計算用!$M$2:$M$186,MATCH("女赤"&amp;$J117,計算用!$L$2:$L$186,0)),"")</f>
        <v/>
      </c>
      <c r="M117" s="16">
        <f>IFERROR(INDEX(計算用!$G$2:$G$186,MATCH("女赤"&amp;$J117,計算用!$L$2:$L$186,0)),"")</f>
        <v/>
      </c>
      <c r="N117" s="15" t="n"/>
      <c r="O117" s="15">
        <f>IFERROR(INDEX(計算用!$D$2:$D$186,MATCH("女白"&amp;$J117,計算用!$L$2:$L$186,0)),"")</f>
        <v/>
      </c>
      <c r="P117" s="15">
        <f>IFERROR(INDEX(計算用!$M$2:$M$186,MATCH("女白"&amp;$J117,計算用!$L$2:$L$186,0)),"")</f>
        <v/>
      </c>
      <c r="Q117" s="16">
        <f>IFERROR(INDEX(計算用!$G$2:$G$186,MATCH("女白"&amp;$J117,計算用!$L$2:$L$186,0)),"")</f>
        <v/>
      </c>
    </row>
    <row r="118">
      <c r="A118" s="15">
        <f>IF(ROW()-3&lt;=MAX(計算用!$Q$2,計算用!$Q$3),ROW()-3,"")</f>
        <v/>
      </c>
      <c r="B118" s="15">
        <f>IFERROR(INDEX(計算用!$D$2:$D$186,MATCH("男赤"&amp;$A118,計算用!$L$2:$L$186,0)),"")</f>
        <v/>
      </c>
      <c r="C118" s="15">
        <f>IFERROR(INDEX(計算用!$M$2:$M$186,MATCH("男赤"&amp;$A118,計算用!$L$2:$L$186,0)),"")</f>
        <v/>
      </c>
      <c r="D118" s="16">
        <f>IFERROR(INDEX(計算用!$G$2:$G$186,MATCH("男赤"&amp;$A118,計算用!$L$2:$L$186,0)),"")</f>
        <v/>
      </c>
      <c r="E118" s="15" t="n"/>
      <c r="F118" s="15">
        <f>IFERROR(INDEX(計算用!$D$2:$D$186,MATCH("男白"&amp;$A118,計算用!$L$2:$L$186,0)),"")</f>
        <v/>
      </c>
      <c r="G118" s="15">
        <f>IFERROR(INDEX(計算用!$M$2:$M$186,MATCH("男白"&amp;$A118,計算用!$L$2:$L$186,0)),"")</f>
        <v/>
      </c>
      <c r="H118" s="16">
        <f>IFERROR(INDEX(計算用!$G$2:$G$186,MATCH("男白"&amp;$A118,計算用!$L$2:$L$186,0)),"")</f>
        <v/>
      </c>
      <c r="I118" s="15" t="n"/>
      <c r="J118" s="15">
        <f>IF(ROW()-3&lt;=MAX(計算用!$Q$4,計算用!$Q$5),ROW()-3,"")</f>
        <v/>
      </c>
      <c r="K118" s="15">
        <f>IFERROR(INDEX(計算用!$D$2:$D$186,MATCH("女赤"&amp;$J118,計算用!$L$2:$L$186,0)),"")</f>
        <v/>
      </c>
      <c r="L118" s="15">
        <f>IFERROR(INDEX(計算用!$M$2:$M$186,MATCH("女赤"&amp;$J118,計算用!$L$2:$L$186,0)),"")</f>
        <v/>
      </c>
      <c r="M118" s="16">
        <f>IFERROR(INDEX(計算用!$G$2:$G$186,MATCH("女赤"&amp;$J118,計算用!$L$2:$L$186,0)),"")</f>
        <v/>
      </c>
      <c r="N118" s="15" t="n"/>
      <c r="O118" s="15">
        <f>IFERROR(INDEX(計算用!$D$2:$D$186,MATCH("女白"&amp;$J118,計算用!$L$2:$L$186,0)),"")</f>
        <v/>
      </c>
      <c r="P118" s="15">
        <f>IFERROR(INDEX(計算用!$M$2:$M$186,MATCH("女白"&amp;$J118,計算用!$L$2:$L$186,0)),"")</f>
        <v/>
      </c>
      <c r="Q118" s="16">
        <f>IFERROR(INDEX(計算用!$G$2:$G$186,MATCH("女白"&amp;$J118,計算用!$L$2:$L$186,0)),"")</f>
        <v/>
      </c>
    </row>
    <row r="119">
      <c r="A119" s="15">
        <f>IF(ROW()-3&lt;=MAX(計算用!$Q$2,計算用!$Q$3),ROW()-3,"")</f>
        <v/>
      </c>
      <c r="B119" s="15">
        <f>IFERROR(INDEX(計算用!$D$2:$D$186,MATCH("男赤"&amp;$A119,計算用!$L$2:$L$186,0)),"")</f>
        <v/>
      </c>
      <c r="C119" s="15">
        <f>IFERROR(INDEX(計算用!$M$2:$M$186,MATCH("男赤"&amp;$A119,計算用!$L$2:$L$186,0)),"")</f>
        <v/>
      </c>
      <c r="D119" s="16">
        <f>IFERROR(INDEX(計算用!$G$2:$G$186,MATCH("男赤"&amp;$A119,計算用!$L$2:$L$186,0)),"")</f>
        <v/>
      </c>
      <c r="E119" s="15" t="n"/>
      <c r="F119" s="15">
        <f>IFERROR(INDEX(計算用!$D$2:$D$186,MATCH("男白"&amp;$A119,計算用!$L$2:$L$186,0)),"")</f>
        <v/>
      </c>
      <c r="G119" s="15">
        <f>IFERROR(INDEX(計算用!$M$2:$M$186,MATCH("男白"&amp;$A119,計算用!$L$2:$L$186,0)),"")</f>
        <v/>
      </c>
      <c r="H119" s="16">
        <f>IFERROR(INDEX(計算用!$G$2:$G$186,MATCH("男白"&amp;$A119,計算用!$L$2:$L$186,0)),"")</f>
        <v/>
      </c>
      <c r="I119" s="15" t="n"/>
      <c r="J119" s="15">
        <f>IF(ROW()-3&lt;=MAX(計算用!$Q$4,計算用!$Q$5),ROW()-3,"")</f>
        <v/>
      </c>
      <c r="K119" s="15">
        <f>IFERROR(INDEX(計算用!$D$2:$D$186,MATCH("女赤"&amp;$J119,計算用!$L$2:$L$186,0)),"")</f>
        <v/>
      </c>
      <c r="L119" s="15">
        <f>IFERROR(INDEX(計算用!$M$2:$M$186,MATCH("女赤"&amp;$J119,計算用!$L$2:$L$186,0)),"")</f>
        <v/>
      </c>
      <c r="M119" s="16">
        <f>IFERROR(INDEX(計算用!$G$2:$G$186,MATCH("女赤"&amp;$J119,計算用!$L$2:$L$186,0)),"")</f>
        <v/>
      </c>
      <c r="N119" s="15" t="n"/>
      <c r="O119" s="15">
        <f>IFERROR(INDEX(計算用!$D$2:$D$186,MATCH("女白"&amp;$J119,計算用!$L$2:$L$186,0)),"")</f>
        <v/>
      </c>
      <c r="P119" s="15">
        <f>IFERROR(INDEX(計算用!$M$2:$M$186,MATCH("女白"&amp;$J119,計算用!$L$2:$L$186,0)),"")</f>
        <v/>
      </c>
      <c r="Q119" s="16">
        <f>IFERROR(INDEX(計算用!$G$2:$G$186,MATCH("女白"&amp;$J119,計算用!$L$2:$L$186,0)),"")</f>
        <v/>
      </c>
    </row>
    <row r="120">
      <c r="A120" s="15">
        <f>IF(ROW()-3&lt;=MAX(計算用!$Q$2,計算用!$Q$3),ROW()-3,"")</f>
        <v/>
      </c>
      <c r="B120" s="15">
        <f>IFERROR(INDEX(計算用!$D$2:$D$186,MATCH("男赤"&amp;$A120,計算用!$L$2:$L$186,0)),"")</f>
        <v/>
      </c>
      <c r="C120" s="15">
        <f>IFERROR(INDEX(計算用!$M$2:$M$186,MATCH("男赤"&amp;$A120,計算用!$L$2:$L$186,0)),"")</f>
        <v/>
      </c>
      <c r="D120" s="16">
        <f>IFERROR(INDEX(計算用!$G$2:$G$186,MATCH("男赤"&amp;$A120,計算用!$L$2:$L$186,0)),"")</f>
        <v/>
      </c>
      <c r="E120" s="15" t="n"/>
      <c r="F120" s="15">
        <f>IFERROR(INDEX(計算用!$D$2:$D$186,MATCH("男白"&amp;$A120,計算用!$L$2:$L$186,0)),"")</f>
        <v/>
      </c>
      <c r="G120" s="15">
        <f>IFERROR(INDEX(計算用!$M$2:$M$186,MATCH("男白"&amp;$A120,計算用!$L$2:$L$186,0)),"")</f>
        <v/>
      </c>
      <c r="H120" s="16">
        <f>IFERROR(INDEX(計算用!$G$2:$G$186,MATCH("男白"&amp;$A120,計算用!$L$2:$L$186,0)),"")</f>
        <v/>
      </c>
      <c r="I120" s="15" t="n"/>
      <c r="J120" s="15">
        <f>IF(ROW()-3&lt;=MAX(計算用!$Q$4,計算用!$Q$5),ROW()-3,"")</f>
        <v/>
      </c>
      <c r="K120" s="15">
        <f>IFERROR(INDEX(計算用!$D$2:$D$186,MATCH("女赤"&amp;$J120,計算用!$L$2:$L$186,0)),"")</f>
        <v/>
      </c>
      <c r="L120" s="15">
        <f>IFERROR(INDEX(計算用!$M$2:$M$186,MATCH("女赤"&amp;$J120,計算用!$L$2:$L$186,0)),"")</f>
        <v/>
      </c>
      <c r="M120" s="16">
        <f>IFERROR(INDEX(計算用!$G$2:$G$186,MATCH("女赤"&amp;$J120,計算用!$L$2:$L$186,0)),"")</f>
        <v/>
      </c>
      <c r="N120" s="15" t="n"/>
      <c r="O120" s="15">
        <f>IFERROR(INDEX(計算用!$D$2:$D$186,MATCH("女白"&amp;$J120,計算用!$L$2:$L$186,0)),"")</f>
        <v/>
      </c>
      <c r="P120" s="15">
        <f>IFERROR(INDEX(計算用!$M$2:$M$186,MATCH("女白"&amp;$J120,計算用!$L$2:$L$186,0)),"")</f>
        <v/>
      </c>
      <c r="Q120" s="16">
        <f>IFERROR(INDEX(計算用!$G$2:$G$186,MATCH("女白"&amp;$J120,計算用!$L$2:$L$186,0)),"")</f>
        <v/>
      </c>
    </row>
    <row r="121">
      <c r="A121" s="15">
        <f>IF(ROW()-3&lt;=MAX(計算用!$Q$2,計算用!$Q$3),ROW()-3,"")</f>
        <v/>
      </c>
      <c r="B121" s="15">
        <f>IFERROR(INDEX(計算用!$D$2:$D$186,MATCH("男赤"&amp;$A121,計算用!$L$2:$L$186,0)),"")</f>
        <v/>
      </c>
      <c r="C121" s="15">
        <f>IFERROR(INDEX(計算用!$M$2:$M$186,MATCH("男赤"&amp;$A121,計算用!$L$2:$L$186,0)),"")</f>
        <v/>
      </c>
      <c r="D121" s="16">
        <f>IFERROR(INDEX(計算用!$G$2:$G$186,MATCH("男赤"&amp;$A121,計算用!$L$2:$L$186,0)),"")</f>
        <v/>
      </c>
      <c r="E121" s="15" t="n"/>
      <c r="F121" s="15">
        <f>IFERROR(INDEX(計算用!$D$2:$D$186,MATCH("男白"&amp;$A121,計算用!$L$2:$L$186,0)),"")</f>
        <v/>
      </c>
      <c r="G121" s="15">
        <f>IFERROR(INDEX(計算用!$M$2:$M$186,MATCH("男白"&amp;$A121,計算用!$L$2:$L$186,0)),"")</f>
        <v/>
      </c>
      <c r="H121" s="16">
        <f>IFERROR(INDEX(計算用!$G$2:$G$186,MATCH("男白"&amp;$A121,計算用!$L$2:$L$186,0)),"")</f>
        <v/>
      </c>
      <c r="I121" s="15" t="n"/>
      <c r="J121" s="15">
        <f>IF(ROW()-3&lt;=MAX(計算用!$Q$4,計算用!$Q$5),ROW()-3,"")</f>
        <v/>
      </c>
      <c r="K121" s="15">
        <f>IFERROR(INDEX(計算用!$D$2:$D$186,MATCH("女赤"&amp;$J121,計算用!$L$2:$L$186,0)),"")</f>
        <v/>
      </c>
      <c r="L121" s="15">
        <f>IFERROR(INDEX(計算用!$M$2:$M$186,MATCH("女赤"&amp;$J121,計算用!$L$2:$L$186,0)),"")</f>
        <v/>
      </c>
      <c r="M121" s="16">
        <f>IFERROR(INDEX(計算用!$G$2:$G$186,MATCH("女赤"&amp;$J121,計算用!$L$2:$L$186,0)),"")</f>
        <v/>
      </c>
      <c r="N121" s="15" t="n"/>
      <c r="O121" s="15">
        <f>IFERROR(INDEX(計算用!$D$2:$D$186,MATCH("女白"&amp;$J121,計算用!$L$2:$L$186,0)),"")</f>
        <v/>
      </c>
      <c r="P121" s="15">
        <f>IFERROR(INDEX(計算用!$M$2:$M$186,MATCH("女白"&amp;$J121,計算用!$L$2:$L$186,0)),"")</f>
        <v/>
      </c>
      <c r="Q121" s="16">
        <f>IFERROR(INDEX(計算用!$G$2:$G$186,MATCH("女白"&amp;$J121,計算用!$L$2:$L$186,0)),"")</f>
        <v/>
      </c>
    </row>
    <row r="122">
      <c r="A122" s="15">
        <f>IF(ROW()-3&lt;=MAX(計算用!$Q$2,計算用!$Q$3),ROW()-3,"")</f>
        <v/>
      </c>
      <c r="B122" s="15">
        <f>IFERROR(INDEX(計算用!$D$2:$D$186,MATCH("男赤"&amp;$A122,計算用!$L$2:$L$186,0)),"")</f>
        <v/>
      </c>
      <c r="C122" s="15">
        <f>IFERROR(INDEX(計算用!$M$2:$M$186,MATCH("男赤"&amp;$A122,計算用!$L$2:$L$186,0)),"")</f>
        <v/>
      </c>
      <c r="D122" s="16">
        <f>IFERROR(INDEX(計算用!$G$2:$G$186,MATCH("男赤"&amp;$A122,計算用!$L$2:$L$186,0)),"")</f>
        <v/>
      </c>
      <c r="E122" s="15" t="n"/>
      <c r="F122" s="15">
        <f>IFERROR(INDEX(計算用!$D$2:$D$186,MATCH("男白"&amp;$A122,計算用!$L$2:$L$186,0)),"")</f>
        <v/>
      </c>
      <c r="G122" s="15">
        <f>IFERROR(INDEX(計算用!$M$2:$M$186,MATCH("男白"&amp;$A122,計算用!$L$2:$L$186,0)),"")</f>
        <v/>
      </c>
      <c r="H122" s="16">
        <f>IFERROR(INDEX(計算用!$G$2:$G$186,MATCH("男白"&amp;$A122,計算用!$L$2:$L$186,0)),"")</f>
        <v/>
      </c>
      <c r="I122" s="15" t="n"/>
      <c r="J122" s="15">
        <f>IF(ROW()-3&lt;=MAX(計算用!$Q$4,計算用!$Q$5),ROW()-3,"")</f>
        <v/>
      </c>
      <c r="K122" s="15">
        <f>IFERROR(INDEX(計算用!$D$2:$D$186,MATCH("女赤"&amp;$J122,計算用!$L$2:$L$186,0)),"")</f>
        <v/>
      </c>
      <c r="L122" s="15">
        <f>IFERROR(INDEX(計算用!$M$2:$M$186,MATCH("女赤"&amp;$J122,計算用!$L$2:$L$186,0)),"")</f>
        <v/>
      </c>
      <c r="M122" s="16">
        <f>IFERROR(INDEX(計算用!$G$2:$G$186,MATCH("女赤"&amp;$J122,計算用!$L$2:$L$186,0)),"")</f>
        <v/>
      </c>
      <c r="N122" s="15" t="n"/>
      <c r="O122" s="15">
        <f>IFERROR(INDEX(計算用!$D$2:$D$186,MATCH("女白"&amp;$J122,計算用!$L$2:$L$186,0)),"")</f>
        <v/>
      </c>
      <c r="P122" s="15">
        <f>IFERROR(INDEX(計算用!$M$2:$M$186,MATCH("女白"&amp;$J122,計算用!$L$2:$L$186,0)),"")</f>
        <v/>
      </c>
      <c r="Q122" s="16">
        <f>IFERROR(INDEX(計算用!$G$2:$G$186,MATCH("女白"&amp;$J122,計算用!$L$2:$L$186,0)),"")</f>
        <v/>
      </c>
    </row>
    <row r="123">
      <c r="A123" s="15">
        <f>IF(ROW()-3&lt;=MAX(計算用!$Q$2,計算用!$Q$3),ROW()-3,"")</f>
        <v/>
      </c>
      <c r="B123" s="15">
        <f>IFERROR(INDEX(計算用!$D$2:$D$186,MATCH("男赤"&amp;$A123,計算用!$L$2:$L$186,0)),"")</f>
        <v/>
      </c>
      <c r="C123" s="15">
        <f>IFERROR(INDEX(計算用!$M$2:$M$186,MATCH("男赤"&amp;$A123,計算用!$L$2:$L$186,0)),"")</f>
        <v/>
      </c>
      <c r="D123" s="16">
        <f>IFERROR(INDEX(計算用!$G$2:$G$186,MATCH("男赤"&amp;$A123,計算用!$L$2:$L$186,0)),"")</f>
        <v/>
      </c>
      <c r="E123" s="15" t="n"/>
      <c r="F123" s="15">
        <f>IFERROR(INDEX(計算用!$D$2:$D$186,MATCH("男白"&amp;$A123,計算用!$L$2:$L$186,0)),"")</f>
        <v/>
      </c>
      <c r="G123" s="15">
        <f>IFERROR(INDEX(計算用!$M$2:$M$186,MATCH("男白"&amp;$A123,計算用!$L$2:$L$186,0)),"")</f>
        <v/>
      </c>
      <c r="H123" s="16">
        <f>IFERROR(INDEX(計算用!$G$2:$G$186,MATCH("男白"&amp;$A123,計算用!$L$2:$L$186,0)),"")</f>
        <v/>
      </c>
      <c r="I123" s="15" t="n"/>
      <c r="J123" s="15">
        <f>IF(ROW()-3&lt;=MAX(計算用!$Q$4,計算用!$Q$5),ROW()-3,"")</f>
        <v/>
      </c>
      <c r="K123" s="15">
        <f>IFERROR(INDEX(計算用!$D$2:$D$186,MATCH("女赤"&amp;$J123,計算用!$L$2:$L$186,0)),"")</f>
        <v/>
      </c>
      <c r="L123" s="15">
        <f>IFERROR(INDEX(計算用!$M$2:$M$186,MATCH("女赤"&amp;$J123,計算用!$L$2:$L$186,0)),"")</f>
        <v/>
      </c>
      <c r="M123" s="16">
        <f>IFERROR(INDEX(計算用!$G$2:$G$186,MATCH("女赤"&amp;$J123,計算用!$L$2:$L$186,0)),"")</f>
        <v/>
      </c>
      <c r="N123" s="15" t="n"/>
      <c r="O123" s="15">
        <f>IFERROR(INDEX(計算用!$D$2:$D$186,MATCH("女白"&amp;$J123,計算用!$L$2:$L$186,0)),"")</f>
        <v/>
      </c>
      <c r="P123" s="15">
        <f>IFERROR(INDEX(計算用!$M$2:$M$186,MATCH("女白"&amp;$J123,計算用!$L$2:$L$186,0)),"")</f>
        <v/>
      </c>
      <c r="Q123" s="16">
        <f>IFERROR(INDEX(計算用!$G$2:$G$186,MATCH("女白"&amp;$J123,計算用!$L$2:$L$186,0)),"")</f>
        <v/>
      </c>
    </row>
    <row r="124">
      <c r="A124" s="15">
        <f>IF(ROW()-3&lt;=MAX(計算用!$Q$2,計算用!$Q$3),ROW()-3,"")</f>
        <v/>
      </c>
      <c r="B124" s="15">
        <f>IFERROR(INDEX(計算用!$D$2:$D$186,MATCH("男赤"&amp;$A124,計算用!$L$2:$L$186,0)),"")</f>
        <v/>
      </c>
      <c r="C124" s="15">
        <f>IFERROR(INDEX(計算用!$M$2:$M$186,MATCH("男赤"&amp;$A124,計算用!$L$2:$L$186,0)),"")</f>
        <v/>
      </c>
      <c r="D124" s="16">
        <f>IFERROR(INDEX(計算用!$G$2:$G$186,MATCH("男赤"&amp;$A124,計算用!$L$2:$L$186,0)),"")</f>
        <v/>
      </c>
      <c r="E124" s="15" t="n"/>
      <c r="F124" s="15">
        <f>IFERROR(INDEX(計算用!$D$2:$D$186,MATCH("男白"&amp;$A124,計算用!$L$2:$L$186,0)),"")</f>
        <v/>
      </c>
      <c r="G124" s="15">
        <f>IFERROR(INDEX(計算用!$M$2:$M$186,MATCH("男白"&amp;$A124,計算用!$L$2:$L$186,0)),"")</f>
        <v/>
      </c>
      <c r="H124" s="16">
        <f>IFERROR(INDEX(計算用!$G$2:$G$186,MATCH("男白"&amp;$A124,計算用!$L$2:$L$186,0)),"")</f>
        <v/>
      </c>
      <c r="I124" s="15" t="n"/>
      <c r="J124" s="15">
        <f>IF(ROW()-3&lt;=MAX(計算用!$Q$4,計算用!$Q$5),ROW()-3,"")</f>
        <v/>
      </c>
      <c r="K124" s="15">
        <f>IFERROR(INDEX(計算用!$D$2:$D$186,MATCH("女赤"&amp;$J124,計算用!$L$2:$L$186,0)),"")</f>
        <v/>
      </c>
      <c r="L124" s="15">
        <f>IFERROR(INDEX(計算用!$M$2:$M$186,MATCH("女赤"&amp;$J124,計算用!$L$2:$L$186,0)),"")</f>
        <v/>
      </c>
      <c r="M124" s="16">
        <f>IFERROR(INDEX(計算用!$G$2:$G$186,MATCH("女赤"&amp;$J124,計算用!$L$2:$L$186,0)),"")</f>
        <v/>
      </c>
      <c r="N124" s="15" t="n"/>
      <c r="O124" s="15">
        <f>IFERROR(INDEX(計算用!$D$2:$D$186,MATCH("女白"&amp;$J124,計算用!$L$2:$L$186,0)),"")</f>
        <v/>
      </c>
      <c r="P124" s="15">
        <f>IFERROR(INDEX(計算用!$M$2:$M$186,MATCH("女白"&amp;$J124,計算用!$L$2:$L$186,0)),"")</f>
        <v/>
      </c>
      <c r="Q124" s="16">
        <f>IFERROR(INDEX(計算用!$G$2:$G$186,MATCH("女白"&amp;$J124,計算用!$L$2:$L$186,0)),"")</f>
        <v/>
      </c>
    </row>
    <row r="125">
      <c r="A125" s="15">
        <f>IF(ROW()-3&lt;=MAX(計算用!$Q$2,計算用!$Q$3),ROW()-3,"")</f>
        <v/>
      </c>
      <c r="B125" s="15">
        <f>IFERROR(INDEX(計算用!$D$2:$D$186,MATCH("男赤"&amp;$A125,計算用!$L$2:$L$186,0)),"")</f>
        <v/>
      </c>
      <c r="C125" s="15">
        <f>IFERROR(INDEX(計算用!$M$2:$M$186,MATCH("男赤"&amp;$A125,計算用!$L$2:$L$186,0)),"")</f>
        <v/>
      </c>
      <c r="D125" s="16">
        <f>IFERROR(INDEX(計算用!$G$2:$G$186,MATCH("男赤"&amp;$A125,計算用!$L$2:$L$186,0)),"")</f>
        <v/>
      </c>
      <c r="E125" s="15" t="n"/>
      <c r="F125" s="15">
        <f>IFERROR(INDEX(計算用!$D$2:$D$186,MATCH("男白"&amp;$A125,計算用!$L$2:$L$186,0)),"")</f>
        <v/>
      </c>
      <c r="G125" s="15">
        <f>IFERROR(INDEX(計算用!$M$2:$M$186,MATCH("男白"&amp;$A125,計算用!$L$2:$L$186,0)),"")</f>
        <v/>
      </c>
      <c r="H125" s="16">
        <f>IFERROR(INDEX(計算用!$G$2:$G$186,MATCH("男白"&amp;$A125,計算用!$L$2:$L$186,0)),"")</f>
        <v/>
      </c>
      <c r="I125" s="15" t="n"/>
      <c r="J125" s="15">
        <f>IF(ROW()-3&lt;=MAX(計算用!$Q$4,計算用!$Q$5),ROW()-3,"")</f>
        <v/>
      </c>
      <c r="K125" s="15">
        <f>IFERROR(INDEX(計算用!$D$2:$D$186,MATCH("女赤"&amp;$J125,計算用!$L$2:$L$186,0)),"")</f>
        <v/>
      </c>
      <c r="L125" s="15">
        <f>IFERROR(INDEX(計算用!$M$2:$M$186,MATCH("女赤"&amp;$J125,計算用!$L$2:$L$186,0)),"")</f>
        <v/>
      </c>
      <c r="M125" s="16">
        <f>IFERROR(INDEX(計算用!$G$2:$G$186,MATCH("女赤"&amp;$J125,計算用!$L$2:$L$186,0)),"")</f>
        <v/>
      </c>
      <c r="N125" s="15" t="n"/>
      <c r="O125" s="15">
        <f>IFERROR(INDEX(計算用!$D$2:$D$186,MATCH("女白"&amp;$J125,計算用!$L$2:$L$186,0)),"")</f>
        <v/>
      </c>
      <c r="P125" s="15">
        <f>IFERROR(INDEX(計算用!$M$2:$M$186,MATCH("女白"&amp;$J125,計算用!$L$2:$L$186,0)),"")</f>
        <v/>
      </c>
      <c r="Q125" s="16">
        <f>IFERROR(INDEX(計算用!$G$2:$G$186,MATCH("女白"&amp;$J125,計算用!$L$2:$L$186,0)),"")</f>
        <v/>
      </c>
    </row>
    <row r="126">
      <c r="A126" s="15">
        <f>IF(ROW()-3&lt;=MAX(計算用!$Q$2,計算用!$Q$3),ROW()-3,"")</f>
        <v/>
      </c>
      <c r="B126" s="15">
        <f>IFERROR(INDEX(計算用!$D$2:$D$186,MATCH("男赤"&amp;$A126,計算用!$L$2:$L$186,0)),"")</f>
        <v/>
      </c>
      <c r="C126" s="15">
        <f>IFERROR(INDEX(計算用!$M$2:$M$186,MATCH("男赤"&amp;$A126,計算用!$L$2:$L$186,0)),"")</f>
        <v/>
      </c>
      <c r="D126" s="16">
        <f>IFERROR(INDEX(計算用!$G$2:$G$186,MATCH("男赤"&amp;$A126,計算用!$L$2:$L$186,0)),"")</f>
        <v/>
      </c>
      <c r="E126" s="15" t="n"/>
      <c r="F126" s="15">
        <f>IFERROR(INDEX(計算用!$D$2:$D$186,MATCH("男白"&amp;$A126,計算用!$L$2:$L$186,0)),"")</f>
        <v/>
      </c>
      <c r="G126" s="15">
        <f>IFERROR(INDEX(計算用!$M$2:$M$186,MATCH("男白"&amp;$A126,計算用!$L$2:$L$186,0)),"")</f>
        <v/>
      </c>
      <c r="H126" s="16">
        <f>IFERROR(INDEX(計算用!$G$2:$G$186,MATCH("男白"&amp;$A126,計算用!$L$2:$L$186,0)),"")</f>
        <v/>
      </c>
      <c r="I126" s="15" t="n"/>
      <c r="J126" s="15">
        <f>IF(ROW()-3&lt;=MAX(計算用!$Q$4,計算用!$Q$5),ROW()-3,"")</f>
        <v/>
      </c>
      <c r="K126" s="15">
        <f>IFERROR(INDEX(計算用!$D$2:$D$186,MATCH("女赤"&amp;$J126,計算用!$L$2:$L$186,0)),"")</f>
        <v/>
      </c>
      <c r="L126" s="15">
        <f>IFERROR(INDEX(計算用!$M$2:$M$186,MATCH("女赤"&amp;$J126,計算用!$L$2:$L$186,0)),"")</f>
        <v/>
      </c>
      <c r="M126" s="16">
        <f>IFERROR(INDEX(計算用!$G$2:$G$186,MATCH("女赤"&amp;$J126,計算用!$L$2:$L$186,0)),"")</f>
        <v/>
      </c>
      <c r="N126" s="15" t="n"/>
      <c r="O126" s="15">
        <f>IFERROR(INDEX(計算用!$D$2:$D$186,MATCH("女白"&amp;$J126,計算用!$L$2:$L$186,0)),"")</f>
        <v/>
      </c>
      <c r="P126" s="15">
        <f>IFERROR(INDEX(計算用!$M$2:$M$186,MATCH("女白"&amp;$J126,計算用!$L$2:$L$186,0)),"")</f>
        <v/>
      </c>
      <c r="Q126" s="16">
        <f>IFERROR(INDEX(計算用!$G$2:$G$186,MATCH("女白"&amp;$J126,計算用!$L$2:$L$186,0)),"")</f>
        <v/>
      </c>
    </row>
    <row r="127">
      <c r="A127" s="15">
        <f>IF(ROW()-3&lt;=MAX(計算用!$Q$2,計算用!$Q$3),ROW()-3,"")</f>
        <v/>
      </c>
      <c r="B127" s="15">
        <f>IFERROR(INDEX(計算用!$D$2:$D$186,MATCH("男赤"&amp;$A127,計算用!$L$2:$L$186,0)),"")</f>
        <v/>
      </c>
      <c r="C127" s="15">
        <f>IFERROR(INDEX(計算用!$M$2:$M$186,MATCH("男赤"&amp;$A127,計算用!$L$2:$L$186,0)),"")</f>
        <v/>
      </c>
      <c r="D127" s="16">
        <f>IFERROR(INDEX(計算用!$G$2:$G$186,MATCH("男赤"&amp;$A127,計算用!$L$2:$L$186,0)),"")</f>
        <v/>
      </c>
      <c r="E127" s="15" t="n"/>
      <c r="F127" s="15">
        <f>IFERROR(INDEX(計算用!$D$2:$D$186,MATCH("男白"&amp;$A127,計算用!$L$2:$L$186,0)),"")</f>
        <v/>
      </c>
      <c r="G127" s="15">
        <f>IFERROR(INDEX(計算用!$M$2:$M$186,MATCH("男白"&amp;$A127,計算用!$L$2:$L$186,0)),"")</f>
        <v/>
      </c>
      <c r="H127" s="16">
        <f>IFERROR(INDEX(計算用!$G$2:$G$186,MATCH("男白"&amp;$A127,計算用!$L$2:$L$186,0)),"")</f>
        <v/>
      </c>
      <c r="I127" s="15" t="n"/>
      <c r="J127" s="15">
        <f>IF(ROW()-3&lt;=MAX(計算用!$Q$4,計算用!$Q$5),ROW()-3,"")</f>
        <v/>
      </c>
      <c r="K127" s="15">
        <f>IFERROR(INDEX(計算用!$D$2:$D$186,MATCH("女赤"&amp;$J127,計算用!$L$2:$L$186,0)),"")</f>
        <v/>
      </c>
      <c r="L127" s="15">
        <f>IFERROR(INDEX(計算用!$M$2:$M$186,MATCH("女赤"&amp;$J127,計算用!$L$2:$L$186,0)),"")</f>
        <v/>
      </c>
      <c r="M127" s="16">
        <f>IFERROR(INDEX(計算用!$G$2:$G$186,MATCH("女赤"&amp;$J127,計算用!$L$2:$L$186,0)),"")</f>
        <v/>
      </c>
      <c r="N127" s="15" t="n"/>
      <c r="O127" s="15">
        <f>IFERROR(INDEX(計算用!$D$2:$D$186,MATCH("女白"&amp;$J127,計算用!$L$2:$L$186,0)),"")</f>
        <v/>
      </c>
      <c r="P127" s="15">
        <f>IFERROR(INDEX(計算用!$M$2:$M$186,MATCH("女白"&amp;$J127,計算用!$L$2:$L$186,0)),"")</f>
        <v/>
      </c>
      <c r="Q127" s="16">
        <f>IFERROR(INDEX(計算用!$G$2:$G$186,MATCH("女白"&amp;$J127,計算用!$L$2:$L$186,0)),"")</f>
        <v/>
      </c>
    </row>
    <row r="128">
      <c r="A128" s="15">
        <f>IF(ROW()-3&lt;=MAX(計算用!$Q$2,計算用!$Q$3),ROW()-3,"")</f>
        <v/>
      </c>
      <c r="B128" s="15">
        <f>IFERROR(INDEX(計算用!$D$2:$D$186,MATCH("男赤"&amp;$A128,計算用!$L$2:$L$186,0)),"")</f>
        <v/>
      </c>
      <c r="C128" s="15">
        <f>IFERROR(INDEX(計算用!$M$2:$M$186,MATCH("男赤"&amp;$A128,計算用!$L$2:$L$186,0)),"")</f>
        <v/>
      </c>
      <c r="D128" s="16">
        <f>IFERROR(INDEX(計算用!$G$2:$G$186,MATCH("男赤"&amp;$A128,計算用!$L$2:$L$186,0)),"")</f>
        <v/>
      </c>
      <c r="E128" s="15" t="n"/>
      <c r="F128" s="15">
        <f>IFERROR(INDEX(計算用!$D$2:$D$186,MATCH("男白"&amp;$A128,計算用!$L$2:$L$186,0)),"")</f>
        <v/>
      </c>
      <c r="G128" s="15">
        <f>IFERROR(INDEX(計算用!$M$2:$M$186,MATCH("男白"&amp;$A128,計算用!$L$2:$L$186,0)),"")</f>
        <v/>
      </c>
      <c r="H128" s="16">
        <f>IFERROR(INDEX(計算用!$G$2:$G$186,MATCH("男白"&amp;$A128,計算用!$L$2:$L$186,0)),"")</f>
        <v/>
      </c>
      <c r="I128" s="15" t="n"/>
      <c r="J128" s="15">
        <f>IF(ROW()-3&lt;=MAX(計算用!$Q$4,計算用!$Q$5),ROW()-3,"")</f>
        <v/>
      </c>
      <c r="K128" s="15">
        <f>IFERROR(INDEX(計算用!$D$2:$D$186,MATCH("女赤"&amp;$J128,計算用!$L$2:$L$186,0)),"")</f>
        <v/>
      </c>
      <c r="L128" s="15">
        <f>IFERROR(INDEX(計算用!$M$2:$M$186,MATCH("女赤"&amp;$J128,計算用!$L$2:$L$186,0)),"")</f>
        <v/>
      </c>
      <c r="M128" s="16">
        <f>IFERROR(INDEX(計算用!$G$2:$G$186,MATCH("女赤"&amp;$J128,計算用!$L$2:$L$186,0)),"")</f>
        <v/>
      </c>
      <c r="N128" s="15" t="n"/>
      <c r="O128" s="15">
        <f>IFERROR(INDEX(計算用!$D$2:$D$186,MATCH("女白"&amp;$J128,計算用!$L$2:$L$186,0)),"")</f>
        <v/>
      </c>
      <c r="P128" s="15">
        <f>IFERROR(INDEX(計算用!$M$2:$M$186,MATCH("女白"&amp;$J128,計算用!$L$2:$L$186,0)),"")</f>
        <v/>
      </c>
      <c r="Q128" s="16">
        <f>IFERROR(INDEX(計算用!$G$2:$G$186,MATCH("女白"&amp;$J128,計算用!$L$2:$L$186,0)),"")</f>
        <v/>
      </c>
    </row>
    <row r="129">
      <c r="A129" s="15">
        <f>IF(ROW()-3&lt;=MAX(計算用!$Q$2,計算用!$Q$3),ROW()-3,"")</f>
        <v/>
      </c>
      <c r="B129" s="15">
        <f>IFERROR(INDEX(計算用!$D$2:$D$186,MATCH("男赤"&amp;$A129,計算用!$L$2:$L$186,0)),"")</f>
        <v/>
      </c>
      <c r="C129" s="15">
        <f>IFERROR(INDEX(計算用!$M$2:$M$186,MATCH("男赤"&amp;$A129,計算用!$L$2:$L$186,0)),"")</f>
        <v/>
      </c>
      <c r="D129" s="16">
        <f>IFERROR(INDEX(計算用!$G$2:$G$186,MATCH("男赤"&amp;$A129,計算用!$L$2:$L$186,0)),"")</f>
        <v/>
      </c>
      <c r="E129" s="15" t="n"/>
      <c r="F129" s="15">
        <f>IFERROR(INDEX(計算用!$D$2:$D$186,MATCH("男白"&amp;$A129,計算用!$L$2:$L$186,0)),"")</f>
        <v/>
      </c>
      <c r="G129" s="15">
        <f>IFERROR(INDEX(計算用!$M$2:$M$186,MATCH("男白"&amp;$A129,計算用!$L$2:$L$186,0)),"")</f>
        <v/>
      </c>
      <c r="H129" s="16">
        <f>IFERROR(INDEX(計算用!$G$2:$G$186,MATCH("男白"&amp;$A129,計算用!$L$2:$L$186,0)),"")</f>
        <v/>
      </c>
      <c r="I129" s="15" t="n"/>
      <c r="J129" s="15">
        <f>IF(ROW()-3&lt;=MAX(計算用!$Q$4,計算用!$Q$5),ROW()-3,"")</f>
        <v/>
      </c>
      <c r="K129" s="15">
        <f>IFERROR(INDEX(計算用!$D$2:$D$186,MATCH("女赤"&amp;$J129,計算用!$L$2:$L$186,0)),"")</f>
        <v/>
      </c>
      <c r="L129" s="15">
        <f>IFERROR(INDEX(計算用!$M$2:$M$186,MATCH("女赤"&amp;$J129,計算用!$L$2:$L$186,0)),"")</f>
        <v/>
      </c>
      <c r="M129" s="16">
        <f>IFERROR(INDEX(計算用!$G$2:$G$186,MATCH("女赤"&amp;$J129,計算用!$L$2:$L$186,0)),"")</f>
        <v/>
      </c>
      <c r="N129" s="15" t="n"/>
      <c r="O129" s="15">
        <f>IFERROR(INDEX(計算用!$D$2:$D$186,MATCH("女白"&amp;$J129,計算用!$L$2:$L$186,0)),"")</f>
        <v/>
      </c>
      <c r="P129" s="15">
        <f>IFERROR(INDEX(計算用!$M$2:$M$186,MATCH("女白"&amp;$J129,計算用!$L$2:$L$186,0)),"")</f>
        <v/>
      </c>
      <c r="Q129" s="16">
        <f>IFERROR(INDEX(計算用!$G$2:$G$186,MATCH("女白"&amp;$J129,計算用!$L$2:$L$186,0)),"")</f>
        <v/>
      </c>
    </row>
    <row r="130">
      <c r="A130" s="15">
        <f>IF(ROW()-3&lt;=MAX(計算用!$Q$2,計算用!$Q$3),ROW()-3,"")</f>
        <v/>
      </c>
      <c r="B130" s="15">
        <f>IFERROR(INDEX(計算用!$D$2:$D$186,MATCH("男赤"&amp;$A130,計算用!$L$2:$L$186,0)),"")</f>
        <v/>
      </c>
      <c r="C130" s="15">
        <f>IFERROR(INDEX(計算用!$M$2:$M$186,MATCH("男赤"&amp;$A130,計算用!$L$2:$L$186,0)),"")</f>
        <v/>
      </c>
      <c r="D130" s="16">
        <f>IFERROR(INDEX(計算用!$G$2:$G$186,MATCH("男赤"&amp;$A130,計算用!$L$2:$L$186,0)),"")</f>
        <v/>
      </c>
      <c r="E130" s="15" t="n"/>
      <c r="F130" s="15">
        <f>IFERROR(INDEX(計算用!$D$2:$D$186,MATCH("男白"&amp;$A130,計算用!$L$2:$L$186,0)),"")</f>
        <v/>
      </c>
      <c r="G130" s="15">
        <f>IFERROR(INDEX(計算用!$M$2:$M$186,MATCH("男白"&amp;$A130,計算用!$L$2:$L$186,0)),"")</f>
        <v/>
      </c>
      <c r="H130" s="16">
        <f>IFERROR(INDEX(計算用!$G$2:$G$186,MATCH("男白"&amp;$A130,計算用!$L$2:$L$186,0)),"")</f>
        <v/>
      </c>
      <c r="I130" s="15" t="n"/>
      <c r="J130" s="15">
        <f>IF(ROW()-3&lt;=MAX(計算用!$Q$4,計算用!$Q$5),ROW()-3,"")</f>
        <v/>
      </c>
      <c r="K130" s="15">
        <f>IFERROR(INDEX(計算用!$D$2:$D$186,MATCH("女赤"&amp;$J130,計算用!$L$2:$L$186,0)),"")</f>
        <v/>
      </c>
      <c r="L130" s="15">
        <f>IFERROR(INDEX(計算用!$M$2:$M$186,MATCH("女赤"&amp;$J130,計算用!$L$2:$L$186,0)),"")</f>
        <v/>
      </c>
      <c r="M130" s="16">
        <f>IFERROR(INDEX(計算用!$G$2:$G$186,MATCH("女赤"&amp;$J130,計算用!$L$2:$L$186,0)),"")</f>
        <v/>
      </c>
      <c r="N130" s="15" t="n"/>
      <c r="O130" s="15">
        <f>IFERROR(INDEX(計算用!$D$2:$D$186,MATCH("女白"&amp;$J130,計算用!$L$2:$L$186,0)),"")</f>
        <v/>
      </c>
      <c r="P130" s="15">
        <f>IFERROR(INDEX(計算用!$M$2:$M$186,MATCH("女白"&amp;$J130,計算用!$L$2:$L$186,0)),"")</f>
        <v/>
      </c>
      <c r="Q130" s="16">
        <f>IFERROR(INDEX(計算用!$G$2:$G$186,MATCH("女白"&amp;$J130,計算用!$L$2:$L$186,0)),"")</f>
        <v/>
      </c>
    </row>
    <row r="131">
      <c r="A131" s="15">
        <f>IF(ROW()-3&lt;=MAX(計算用!$Q$2,計算用!$Q$3),ROW()-3,"")</f>
        <v/>
      </c>
      <c r="B131" s="15">
        <f>IFERROR(INDEX(計算用!$D$2:$D$186,MATCH("男赤"&amp;$A131,計算用!$L$2:$L$186,0)),"")</f>
        <v/>
      </c>
      <c r="C131" s="15">
        <f>IFERROR(INDEX(計算用!$M$2:$M$186,MATCH("男赤"&amp;$A131,計算用!$L$2:$L$186,0)),"")</f>
        <v/>
      </c>
      <c r="D131" s="16">
        <f>IFERROR(INDEX(計算用!$G$2:$G$186,MATCH("男赤"&amp;$A131,計算用!$L$2:$L$186,0)),"")</f>
        <v/>
      </c>
      <c r="E131" s="15" t="n"/>
      <c r="F131" s="15">
        <f>IFERROR(INDEX(計算用!$D$2:$D$186,MATCH("男白"&amp;$A131,計算用!$L$2:$L$186,0)),"")</f>
        <v/>
      </c>
      <c r="G131" s="15">
        <f>IFERROR(INDEX(計算用!$M$2:$M$186,MATCH("男白"&amp;$A131,計算用!$L$2:$L$186,0)),"")</f>
        <v/>
      </c>
      <c r="H131" s="16">
        <f>IFERROR(INDEX(計算用!$G$2:$G$186,MATCH("男白"&amp;$A131,計算用!$L$2:$L$186,0)),"")</f>
        <v/>
      </c>
      <c r="I131" s="15" t="n"/>
      <c r="J131" s="15">
        <f>IF(ROW()-3&lt;=MAX(計算用!$Q$4,計算用!$Q$5),ROW()-3,"")</f>
        <v/>
      </c>
      <c r="K131" s="15">
        <f>IFERROR(INDEX(計算用!$D$2:$D$186,MATCH("女赤"&amp;$J131,計算用!$L$2:$L$186,0)),"")</f>
        <v/>
      </c>
      <c r="L131" s="15">
        <f>IFERROR(INDEX(計算用!$M$2:$M$186,MATCH("女赤"&amp;$J131,計算用!$L$2:$L$186,0)),"")</f>
        <v/>
      </c>
      <c r="M131" s="16">
        <f>IFERROR(INDEX(計算用!$G$2:$G$186,MATCH("女赤"&amp;$J131,計算用!$L$2:$L$186,0)),"")</f>
        <v/>
      </c>
      <c r="N131" s="15" t="n"/>
      <c r="O131" s="15">
        <f>IFERROR(INDEX(計算用!$D$2:$D$186,MATCH("女白"&amp;$J131,計算用!$L$2:$L$186,0)),"")</f>
        <v/>
      </c>
      <c r="P131" s="15">
        <f>IFERROR(INDEX(計算用!$M$2:$M$186,MATCH("女白"&amp;$J131,計算用!$L$2:$L$186,0)),"")</f>
        <v/>
      </c>
      <c r="Q131" s="16">
        <f>IFERROR(INDEX(計算用!$G$2:$G$186,MATCH("女白"&amp;$J131,計算用!$L$2:$L$186,0)),"")</f>
        <v/>
      </c>
    </row>
    <row r="132">
      <c r="A132" s="15">
        <f>IF(ROW()-3&lt;=MAX(計算用!$Q$2,計算用!$Q$3),ROW()-3,"")</f>
        <v/>
      </c>
      <c r="B132" s="15">
        <f>IFERROR(INDEX(計算用!$D$2:$D$186,MATCH("男赤"&amp;$A132,計算用!$L$2:$L$186,0)),"")</f>
        <v/>
      </c>
      <c r="C132" s="15">
        <f>IFERROR(INDEX(計算用!$M$2:$M$186,MATCH("男赤"&amp;$A132,計算用!$L$2:$L$186,0)),"")</f>
        <v/>
      </c>
      <c r="D132" s="16">
        <f>IFERROR(INDEX(計算用!$G$2:$G$186,MATCH("男赤"&amp;$A132,計算用!$L$2:$L$186,0)),"")</f>
        <v/>
      </c>
      <c r="E132" s="15" t="n"/>
      <c r="F132" s="15">
        <f>IFERROR(INDEX(計算用!$D$2:$D$186,MATCH("男白"&amp;$A132,計算用!$L$2:$L$186,0)),"")</f>
        <v/>
      </c>
      <c r="G132" s="15">
        <f>IFERROR(INDEX(計算用!$M$2:$M$186,MATCH("男白"&amp;$A132,計算用!$L$2:$L$186,0)),"")</f>
        <v/>
      </c>
      <c r="H132" s="16">
        <f>IFERROR(INDEX(計算用!$G$2:$G$186,MATCH("男白"&amp;$A132,計算用!$L$2:$L$186,0)),"")</f>
        <v/>
      </c>
      <c r="I132" s="15" t="n"/>
      <c r="J132" s="15">
        <f>IF(ROW()-3&lt;=MAX(計算用!$Q$4,計算用!$Q$5),ROW()-3,"")</f>
        <v/>
      </c>
      <c r="K132" s="15">
        <f>IFERROR(INDEX(計算用!$D$2:$D$186,MATCH("女赤"&amp;$J132,計算用!$L$2:$L$186,0)),"")</f>
        <v/>
      </c>
      <c r="L132" s="15">
        <f>IFERROR(INDEX(計算用!$M$2:$M$186,MATCH("女赤"&amp;$J132,計算用!$L$2:$L$186,0)),"")</f>
        <v/>
      </c>
      <c r="M132" s="16">
        <f>IFERROR(INDEX(計算用!$G$2:$G$186,MATCH("女赤"&amp;$J132,計算用!$L$2:$L$186,0)),"")</f>
        <v/>
      </c>
      <c r="N132" s="15" t="n"/>
      <c r="O132" s="15">
        <f>IFERROR(INDEX(計算用!$D$2:$D$186,MATCH("女白"&amp;$J132,計算用!$L$2:$L$186,0)),"")</f>
        <v/>
      </c>
      <c r="P132" s="15">
        <f>IFERROR(INDEX(計算用!$M$2:$M$186,MATCH("女白"&amp;$J132,計算用!$L$2:$L$186,0)),"")</f>
        <v/>
      </c>
      <c r="Q132" s="16">
        <f>IFERROR(INDEX(計算用!$G$2:$G$186,MATCH("女白"&amp;$J132,計算用!$L$2:$L$186,0)),"")</f>
        <v/>
      </c>
    </row>
    <row r="133">
      <c r="A133" s="15">
        <f>IF(ROW()-3&lt;=MAX(計算用!$Q$2,計算用!$Q$3),ROW()-3,"")</f>
        <v/>
      </c>
      <c r="B133" s="15">
        <f>IFERROR(INDEX(計算用!$D$2:$D$186,MATCH("男赤"&amp;$A133,計算用!$L$2:$L$186,0)),"")</f>
        <v/>
      </c>
      <c r="C133" s="15">
        <f>IFERROR(INDEX(計算用!$M$2:$M$186,MATCH("男赤"&amp;$A133,計算用!$L$2:$L$186,0)),"")</f>
        <v/>
      </c>
      <c r="D133" s="16">
        <f>IFERROR(INDEX(計算用!$G$2:$G$186,MATCH("男赤"&amp;$A133,計算用!$L$2:$L$186,0)),"")</f>
        <v/>
      </c>
      <c r="E133" s="15" t="n"/>
      <c r="F133" s="15">
        <f>IFERROR(INDEX(計算用!$D$2:$D$186,MATCH("男白"&amp;$A133,計算用!$L$2:$L$186,0)),"")</f>
        <v/>
      </c>
      <c r="G133" s="15">
        <f>IFERROR(INDEX(計算用!$M$2:$M$186,MATCH("男白"&amp;$A133,計算用!$L$2:$L$186,0)),"")</f>
        <v/>
      </c>
      <c r="H133" s="16">
        <f>IFERROR(INDEX(計算用!$G$2:$G$186,MATCH("男白"&amp;$A133,計算用!$L$2:$L$186,0)),"")</f>
        <v/>
      </c>
      <c r="I133" s="15" t="n"/>
      <c r="J133" s="15">
        <f>IF(ROW()-3&lt;=MAX(計算用!$Q$4,計算用!$Q$5),ROW()-3,"")</f>
        <v/>
      </c>
      <c r="K133" s="15">
        <f>IFERROR(INDEX(計算用!$D$2:$D$186,MATCH("女赤"&amp;$J133,計算用!$L$2:$L$186,0)),"")</f>
        <v/>
      </c>
      <c r="L133" s="15">
        <f>IFERROR(INDEX(計算用!$M$2:$M$186,MATCH("女赤"&amp;$J133,計算用!$L$2:$L$186,0)),"")</f>
        <v/>
      </c>
      <c r="M133" s="16">
        <f>IFERROR(INDEX(計算用!$G$2:$G$186,MATCH("女赤"&amp;$J133,計算用!$L$2:$L$186,0)),"")</f>
        <v/>
      </c>
      <c r="N133" s="15" t="n"/>
      <c r="O133" s="15">
        <f>IFERROR(INDEX(計算用!$D$2:$D$186,MATCH("女白"&amp;$J133,計算用!$L$2:$L$186,0)),"")</f>
        <v/>
      </c>
      <c r="P133" s="15">
        <f>IFERROR(INDEX(計算用!$M$2:$M$186,MATCH("女白"&amp;$J133,計算用!$L$2:$L$186,0)),"")</f>
        <v/>
      </c>
      <c r="Q133" s="16">
        <f>IFERROR(INDEX(計算用!$G$2:$G$186,MATCH("女白"&amp;$J133,計算用!$L$2:$L$186,0)),"")</f>
        <v/>
      </c>
    </row>
    <row r="134">
      <c r="A134" s="15">
        <f>IF(ROW()-3&lt;=MAX(計算用!$Q$2,計算用!$Q$3),ROW()-3,"")</f>
        <v/>
      </c>
      <c r="B134" s="15">
        <f>IFERROR(INDEX(計算用!$D$2:$D$186,MATCH("男赤"&amp;$A134,計算用!$L$2:$L$186,0)),"")</f>
        <v/>
      </c>
      <c r="C134" s="15">
        <f>IFERROR(INDEX(計算用!$M$2:$M$186,MATCH("男赤"&amp;$A134,計算用!$L$2:$L$186,0)),"")</f>
        <v/>
      </c>
      <c r="D134" s="16">
        <f>IFERROR(INDEX(計算用!$G$2:$G$186,MATCH("男赤"&amp;$A134,計算用!$L$2:$L$186,0)),"")</f>
        <v/>
      </c>
      <c r="E134" s="15" t="n"/>
      <c r="F134" s="15">
        <f>IFERROR(INDEX(計算用!$D$2:$D$186,MATCH("男白"&amp;$A134,計算用!$L$2:$L$186,0)),"")</f>
        <v/>
      </c>
      <c r="G134" s="15">
        <f>IFERROR(INDEX(計算用!$M$2:$M$186,MATCH("男白"&amp;$A134,計算用!$L$2:$L$186,0)),"")</f>
        <v/>
      </c>
      <c r="H134" s="16">
        <f>IFERROR(INDEX(計算用!$G$2:$G$186,MATCH("男白"&amp;$A134,計算用!$L$2:$L$186,0)),"")</f>
        <v/>
      </c>
      <c r="I134" s="15" t="n"/>
      <c r="J134" s="15">
        <f>IF(ROW()-3&lt;=MAX(計算用!$Q$4,計算用!$Q$5),ROW()-3,"")</f>
        <v/>
      </c>
      <c r="K134" s="15">
        <f>IFERROR(INDEX(計算用!$D$2:$D$186,MATCH("女赤"&amp;$J134,計算用!$L$2:$L$186,0)),"")</f>
        <v/>
      </c>
      <c r="L134" s="15">
        <f>IFERROR(INDEX(計算用!$M$2:$M$186,MATCH("女赤"&amp;$J134,計算用!$L$2:$L$186,0)),"")</f>
        <v/>
      </c>
      <c r="M134" s="16">
        <f>IFERROR(INDEX(計算用!$G$2:$G$186,MATCH("女赤"&amp;$J134,計算用!$L$2:$L$186,0)),"")</f>
        <v/>
      </c>
      <c r="N134" s="15" t="n"/>
      <c r="O134" s="15">
        <f>IFERROR(INDEX(計算用!$D$2:$D$186,MATCH("女白"&amp;$J134,計算用!$L$2:$L$186,0)),"")</f>
        <v/>
      </c>
      <c r="P134" s="15">
        <f>IFERROR(INDEX(計算用!$M$2:$M$186,MATCH("女白"&amp;$J134,計算用!$L$2:$L$186,0)),"")</f>
        <v/>
      </c>
      <c r="Q134" s="16">
        <f>IFERROR(INDEX(計算用!$G$2:$G$186,MATCH("女白"&amp;$J134,計算用!$L$2:$L$186,0)),"")</f>
        <v/>
      </c>
    </row>
    <row r="135">
      <c r="A135" s="15">
        <f>IF(ROW()-3&lt;=MAX(計算用!$Q$2,計算用!$Q$3),ROW()-3,"")</f>
        <v/>
      </c>
      <c r="B135" s="15">
        <f>IFERROR(INDEX(計算用!$D$2:$D$186,MATCH("男赤"&amp;$A135,計算用!$L$2:$L$186,0)),"")</f>
        <v/>
      </c>
      <c r="C135" s="15">
        <f>IFERROR(INDEX(計算用!$M$2:$M$186,MATCH("男赤"&amp;$A135,計算用!$L$2:$L$186,0)),"")</f>
        <v/>
      </c>
      <c r="D135" s="16">
        <f>IFERROR(INDEX(計算用!$G$2:$G$186,MATCH("男赤"&amp;$A135,計算用!$L$2:$L$186,0)),"")</f>
        <v/>
      </c>
      <c r="E135" s="15" t="n"/>
      <c r="F135" s="15">
        <f>IFERROR(INDEX(計算用!$D$2:$D$186,MATCH("男白"&amp;$A135,計算用!$L$2:$L$186,0)),"")</f>
        <v/>
      </c>
      <c r="G135" s="15">
        <f>IFERROR(INDEX(計算用!$M$2:$M$186,MATCH("男白"&amp;$A135,計算用!$L$2:$L$186,0)),"")</f>
        <v/>
      </c>
      <c r="H135" s="16">
        <f>IFERROR(INDEX(計算用!$G$2:$G$186,MATCH("男白"&amp;$A135,計算用!$L$2:$L$186,0)),"")</f>
        <v/>
      </c>
      <c r="I135" s="15" t="n"/>
      <c r="J135" s="15">
        <f>IF(ROW()-3&lt;=MAX(計算用!$Q$4,計算用!$Q$5),ROW()-3,"")</f>
        <v/>
      </c>
      <c r="K135" s="15">
        <f>IFERROR(INDEX(計算用!$D$2:$D$186,MATCH("女赤"&amp;$J135,計算用!$L$2:$L$186,0)),"")</f>
        <v/>
      </c>
      <c r="L135" s="15">
        <f>IFERROR(INDEX(計算用!$M$2:$M$186,MATCH("女赤"&amp;$J135,計算用!$L$2:$L$186,0)),"")</f>
        <v/>
      </c>
      <c r="M135" s="16">
        <f>IFERROR(INDEX(計算用!$G$2:$G$186,MATCH("女赤"&amp;$J135,計算用!$L$2:$L$186,0)),"")</f>
        <v/>
      </c>
      <c r="N135" s="15" t="n"/>
      <c r="O135" s="15">
        <f>IFERROR(INDEX(計算用!$D$2:$D$186,MATCH("女白"&amp;$J135,計算用!$L$2:$L$186,0)),"")</f>
        <v/>
      </c>
      <c r="P135" s="15">
        <f>IFERROR(INDEX(計算用!$M$2:$M$186,MATCH("女白"&amp;$J135,計算用!$L$2:$L$186,0)),"")</f>
        <v/>
      </c>
      <c r="Q135" s="16">
        <f>IFERROR(INDEX(計算用!$G$2:$G$186,MATCH("女白"&amp;$J135,計算用!$L$2:$L$186,0)),"")</f>
        <v/>
      </c>
    </row>
    <row r="136">
      <c r="A136" s="15">
        <f>IF(ROW()-3&lt;=MAX(計算用!$Q$2,計算用!$Q$3),ROW()-3,"")</f>
        <v/>
      </c>
      <c r="B136" s="15">
        <f>IFERROR(INDEX(計算用!$D$2:$D$186,MATCH("男赤"&amp;$A136,計算用!$L$2:$L$186,0)),"")</f>
        <v/>
      </c>
      <c r="C136" s="15">
        <f>IFERROR(INDEX(計算用!$M$2:$M$186,MATCH("男赤"&amp;$A136,計算用!$L$2:$L$186,0)),"")</f>
        <v/>
      </c>
      <c r="D136" s="16">
        <f>IFERROR(INDEX(計算用!$G$2:$G$186,MATCH("男赤"&amp;$A136,計算用!$L$2:$L$186,0)),"")</f>
        <v/>
      </c>
      <c r="E136" s="15" t="n"/>
      <c r="F136" s="15">
        <f>IFERROR(INDEX(計算用!$D$2:$D$186,MATCH("男白"&amp;$A136,計算用!$L$2:$L$186,0)),"")</f>
        <v/>
      </c>
      <c r="G136" s="15">
        <f>IFERROR(INDEX(計算用!$M$2:$M$186,MATCH("男白"&amp;$A136,計算用!$L$2:$L$186,0)),"")</f>
        <v/>
      </c>
      <c r="H136" s="16">
        <f>IFERROR(INDEX(計算用!$G$2:$G$186,MATCH("男白"&amp;$A136,計算用!$L$2:$L$186,0)),"")</f>
        <v/>
      </c>
      <c r="I136" s="15" t="n"/>
      <c r="J136" s="15">
        <f>IF(ROW()-3&lt;=MAX(計算用!$Q$4,計算用!$Q$5),ROW()-3,"")</f>
        <v/>
      </c>
      <c r="K136" s="15">
        <f>IFERROR(INDEX(計算用!$D$2:$D$186,MATCH("女赤"&amp;$J136,計算用!$L$2:$L$186,0)),"")</f>
        <v/>
      </c>
      <c r="L136" s="15">
        <f>IFERROR(INDEX(計算用!$M$2:$M$186,MATCH("女赤"&amp;$J136,計算用!$L$2:$L$186,0)),"")</f>
        <v/>
      </c>
      <c r="M136" s="16">
        <f>IFERROR(INDEX(計算用!$G$2:$G$186,MATCH("女赤"&amp;$J136,計算用!$L$2:$L$186,0)),"")</f>
        <v/>
      </c>
      <c r="N136" s="15" t="n"/>
      <c r="O136" s="15">
        <f>IFERROR(INDEX(計算用!$D$2:$D$186,MATCH("女白"&amp;$J136,計算用!$L$2:$L$186,0)),"")</f>
        <v/>
      </c>
      <c r="P136" s="15">
        <f>IFERROR(INDEX(計算用!$M$2:$M$186,MATCH("女白"&amp;$J136,計算用!$L$2:$L$186,0)),"")</f>
        <v/>
      </c>
      <c r="Q136" s="16">
        <f>IFERROR(INDEX(計算用!$G$2:$G$186,MATCH("女白"&amp;$J136,計算用!$L$2:$L$186,0)),"")</f>
        <v/>
      </c>
    </row>
    <row r="137">
      <c r="A137" s="15">
        <f>IF(ROW()-3&lt;=MAX(計算用!$Q$2,計算用!$Q$3),ROW()-3,"")</f>
        <v/>
      </c>
      <c r="B137" s="15">
        <f>IFERROR(INDEX(計算用!$D$2:$D$186,MATCH("男赤"&amp;$A137,計算用!$L$2:$L$186,0)),"")</f>
        <v/>
      </c>
      <c r="C137" s="15">
        <f>IFERROR(INDEX(計算用!$M$2:$M$186,MATCH("男赤"&amp;$A137,計算用!$L$2:$L$186,0)),"")</f>
        <v/>
      </c>
      <c r="D137" s="16">
        <f>IFERROR(INDEX(計算用!$G$2:$G$186,MATCH("男赤"&amp;$A137,計算用!$L$2:$L$186,0)),"")</f>
        <v/>
      </c>
      <c r="E137" s="15" t="n"/>
      <c r="F137" s="15">
        <f>IFERROR(INDEX(計算用!$D$2:$D$186,MATCH("男白"&amp;$A137,計算用!$L$2:$L$186,0)),"")</f>
        <v/>
      </c>
      <c r="G137" s="15">
        <f>IFERROR(INDEX(計算用!$M$2:$M$186,MATCH("男白"&amp;$A137,計算用!$L$2:$L$186,0)),"")</f>
        <v/>
      </c>
      <c r="H137" s="16">
        <f>IFERROR(INDEX(計算用!$G$2:$G$186,MATCH("男白"&amp;$A137,計算用!$L$2:$L$186,0)),"")</f>
        <v/>
      </c>
      <c r="I137" s="15" t="n"/>
      <c r="J137" s="15">
        <f>IF(ROW()-3&lt;=MAX(計算用!$Q$4,計算用!$Q$5),ROW()-3,"")</f>
        <v/>
      </c>
      <c r="K137" s="15">
        <f>IFERROR(INDEX(計算用!$D$2:$D$186,MATCH("女赤"&amp;$J137,計算用!$L$2:$L$186,0)),"")</f>
        <v/>
      </c>
      <c r="L137" s="15">
        <f>IFERROR(INDEX(計算用!$M$2:$M$186,MATCH("女赤"&amp;$J137,計算用!$L$2:$L$186,0)),"")</f>
        <v/>
      </c>
      <c r="M137" s="16">
        <f>IFERROR(INDEX(計算用!$G$2:$G$186,MATCH("女赤"&amp;$J137,計算用!$L$2:$L$186,0)),"")</f>
        <v/>
      </c>
      <c r="N137" s="15" t="n"/>
      <c r="O137" s="15">
        <f>IFERROR(INDEX(計算用!$D$2:$D$186,MATCH("女白"&amp;$J137,計算用!$L$2:$L$186,0)),"")</f>
        <v/>
      </c>
      <c r="P137" s="15">
        <f>IFERROR(INDEX(計算用!$M$2:$M$186,MATCH("女白"&amp;$J137,計算用!$L$2:$L$186,0)),"")</f>
        <v/>
      </c>
      <c r="Q137" s="16">
        <f>IFERROR(INDEX(計算用!$G$2:$G$186,MATCH("女白"&amp;$J137,計算用!$L$2:$L$186,0)),"")</f>
        <v/>
      </c>
    </row>
    <row r="138">
      <c r="A138" s="15">
        <f>IF(ROW()-3&lt;=MAX(計算用!$Q$2,計算用!$Q$3),ROW()-3,"")</f>
        <v/>
      </c>
      <c r="B138" s="15">
        <f>IFERROR(INDEX(計算用!$D$2:$D$186,MATCH("男赤"&amp;$A138,計算用!$L$2:$L$186,0)),"")</f>
        <v/>
      </c>
      <c r="C138" s="15">
        <f>IFERROR(INDEX(計算用!$M$2:$M$186,MATCH("男赤"&amp;$A138,計算用!$L$2:$L$186,0)),"")</f>
        <v/>
      </c>
      <c r="D138" s="16">
        <f>IFERROR(INDEX(計算用!$G$2:$G$186,MATCH("男赤"&amp;$A138,計算用!$L$2:$L$186,0)),"")</f>
        <v/>
      </c>
      <c r="E138" s="15" t="n"/>
      <c r="F138" s="15">
        <f>IFERROR(INDEX(計算用!$D$2:$D$186,MATCH("男白"&amp;$A138,計算用!$L$2:$L$186,0)),"")</f>
        <v/>
      </c>
      <c r="G138" s="15">
        <f>IFERROR(INDEX(計算用!$M$2:$M$186,MATCH("男白"&amp;$A138,計算用!$L$2:$L$186,0)),"")</f>
        <v/>
      </c>
      <c r="H138" s="16">
        <f>IFERROR(INDEX(計算用!$G$2:$G$186,MATCH("男白"&amp;$A138,計算用!$L$2:$L$186,0)),"")</f>
        <v/>
      </c>
      <c r="I138" s="15" t="n"/>
      <c r="J138" s="15">
        <f>IF(ROW()-3&lt;=MAX(計算用!$Q$4,計算用!$Q$5),ROW()-3,"")</f>
        <v/>
      </c>
      <c r="K138" s="15">
        <f>IFERROR(INDEX(計算用!$D$2:$D$186,MATCH("女赤"&amp;$J138,計算用!$L$2:$L$186,0)),"")</f>
        <v/>
      </c>
      <c r="L138" s="15">
        <f>IFERROR(INDEX(計算用!$M$2:$M$186,MATCH("女赤"&amp;$J138,計算用!$L$2:$L$186,0)),"")</f>
        <v/>
      </c>
      <c r="M138" s="16">
        <f>IFERROR(INDEX(計算用!$G$2:$G$186,MATCH("女赤"&amp;$J138,計算用!$L$2:$L$186,0)),"")</f>
        <v/>
      </c>
      <c r="N138" s="15" t="n"/>
      <c r="O138" s="15">
        <f>IFERROR(INDEX(計算用!$D$2:$D$186,MATCH("女白"&amp;$J138,計算用!$L$2:$L$186,0)),"")</f>
        <v/>
      </c>
      <c r="P138" s="15">
        <f>IFERROR(INDEX(計算用!$M$2:$M$186,MATCH("女白"&amp;$J138,計算用!$L$2:$L$186,0)),"")</f>
        <v/>
      </c>
      <c r="Q138" s="16">
        <f>IFERROR(INDEX(計算用!$G$2:$G$186,MATCH("女白"&amp;$J138,計算用!$L$2:$L$186,0)),"")</f>
        <v/>
      </c>
    </row>
    <row r="139">
      <c r="A139" s="15">
        <f>IF(ROW()-3&lt;=MAX(計算用!$Q$2,計算用!$Q$3),ROW()-3,"")</f>
        <v/>
      </c>
      <c r="B139" s="15">
        <f>IFERROR(INDEX(計算用!$D$2:$D$186,MATCH("男赤"&amp;$A139,計算用!$L$2:$L$186,0)),"")</f>
        <v/>
      </c>
      <c r="C139" s="15">
        <f>IFERROR(INDEX(計算用!$M$2:$M$186,MATCH("男赤"&amp;$A139,計算用!$L$2:$L$186,0)),"")</f>
        <v/>
      </c>
      <c r="D139" s="16">
        <f>IFERROR(INDEX(計算用!$G$2:$G$186,MATCH("男赤"&amp;$A139,計算用!$L$2:$L$186,0)),"")</f>
        <v/>
      </c>
      <c r="E139" s="15" t="n"/>
      <c r="F139" s="15">
        <f>IFERROR(INDEX(計算用!$D$2:$D$186,MATCH("男白"&amp;$A139,計算用!$L$2:$L$186,0)),"")</f>
        <v/>
      </c>
      <c r="G139" s="15">
        <f>IFERROR(INDEX(計算用!$M$2:$M$186,MATCH("男白"&amp;$A139,計算用!$L$2:$L$186,0)),"")</f>
        <v/>
      </c>
      <c r="H139" s="16">
        <f>IFERROR(INDEX(計算用!$G$2:$G$186,MATCH("男白"&amp;$A139,計算用!$L$2:$L$186,0)),"")</f>
        <v/>
      </c>
      <c r="I139" s="15" t="n"/>
      <c r="J139" s="15">
        <f>IF(ROW()-3&lt;=MAX(計算用!$Q$4,計算用!$Q$5),ROW()-3,"")</f>
        <v/>
      </c>
      <c r="K139" s="15">
        <f>IFERROR(INDEX(計算用!$D$2:$D$186,MATCH("女赤"&amp;$J139,計算用!$L$2:$L$186,0)),"")</f>
        <v/>
      </c>
      <c r="L139" s="15">
        <f>IFERROR(INDEX(計算用!$M$2:$M$186,MATCH("女赤"&amp;$J139,計算用!$L$2:$L$186,0)),"")</f>
        <v/>
      </c>
      <c r="M139" s="16">
        <f>IFERROR(INDEX(計算用!$G$2:$G$186,MATCH("女赤"&amp;$J139,計算用!$L$2:$L$186,0)),"")</f>
        <v/>
      </c>
      <c r="N139" s="15" t="n"/>
      <c r="O139" s="15">
        <f>IFERROR(INDEX(計算用!$D$2:$D$186,MATCH("女白"&amp;$J139,計算用!$L$2:$L$186,0)),"")</f>
        <v/>
      </c>
      <c r="P139" s="15">
        <f>IFERROR(INDEX(計算用!$M$2:$M$186,MATCH("女白"&amp;$J139,計算用!$L$2:$L$186,0)),"")</f>
        <v/>
      </c>
      <c r="Q139" s="16">
        <f>IFERROR(INDEX(計算用!$G$2:$G$186,MATCH("女白"&amp;$J139,計算用!$L$2:$L$186,0)),"")</f>
        <v/>
      </c>
    </row>
    <row r="140">
      <c r="A140" s="15">
        <f>IF(ROW()-3&lt;=MAX(計算用!$Q$2,計算用!$Q$3),ROW()-3,"")</f>
        <v/>
      </c>
      <c r="B140" s="15">
        <f>IFERROR(INDEX(計算用!$D$2:$D$186,MATCH("男赤"&amp;$A140,計算用!$L$2:$L$186,0)),"")</f>
        <v/>
      </c>
      <c r="C140" s="15">
        <f>IFERROR(INDEX(計算用!$M$2:$M$186,MATCH("男赤"&amp;$A140,計算用!$L$2:$L$186,0)),"")</f>
        <v/>
      </c>
      <c r="D140" s="16">
        <f>IFERROR(INDEX(計算用!$G$2:$G$186,MATCH("男赤"&amp;$A140,計算用!$L$2:$L$186,0)),"")</f>
        <v/>
      </c>
      <c r="E140" s="15" t="n"/>
      <c r="F140" s="15">
        <f>IFERROR(INDEX(計算用!$D$2:$D$186,MATCH("男白"&amp;$A140,計算用!$L$2:$L$186,0)),"")</f>
        <v/>
      </c>
      <c r="G140" s="15">
        <f>IFERROR(INDEX(計算用!$M$2:$M$186,MATCH("男白"&amp;$A140,計算用!$L$2:$L$186,0)),"")</f>
        <v/>
      </c>
      <c r="H140" s="16">
        <f>IFERROR(INDEX(計算用!$G$2:$G$186,MATCH("男白"&amp;$A140,計算用!$L$2:$L$186,0)),"")</f>
        <v/>
      </c>
      <c r="I140" s="15" t="n"/>
      <c r="J140" s="15">
        <f>IF(ROW()-3&lt;=MAX(計算用!$Q$4,計算用!$Q$5),ROW()-3,"")</f>
        <v/>
      </c>
      <c r="K140" s="15">
        <f>IFERROR(INDEX(計算用!$D$2:$D$186,MATCH("女赤"&amp;$J140,計算用!$L$2:$L$186,0)),"")</f>
        <v/>
      </c>
      <c r="L140" s="15">
        <f>IFERROR(INDEX(計算用!$M$2:$M$186,MATCH("女赤"&amp;$J140,計算用!$L$2:$L$186,0)),"")</f>
        <v/>
      </c>
      <c r="M140" s="16">
        <f>IFERROR(INDEX(計算用!$G$2:$G$186,MATCH("女赤"&amp;$J140,計算用!$L$2:$L$186,0)),"")</f>
        <v/>
      </c>
      <c r="N140" s="15" t="n"/>
      <c r="O140" s="15">
        <f>IFERROR(INDEX(計算用!$D$2:$D$186,MATCH("女白"&amp;$J140,計算用!$L$2:$L$186,0)),"")</f>
        <v/>
      </c>
      <c r="P140" s="15">
        <f>IFERROR(INDEX(計算用!$M$2:$M$186,MATCH("女白"&amp;$J140,計算用!$L$2:$L$186,0)),"")</f>
        <v/>
      </c>
      <c r="Q140" s="16">
        <f>IFERROR(INDEX(計算用!$G$2:$G$186,MATCH("女白"&amp;$J140,計算用!$L$2:$L$186,0)),"")</f>
        <v/>
      </c>
    </row>
    <row r="141">
      <c r="A141" s="15">
        <f>IF(ROW()-3&lt;=MAX(計算用!$Q$2,計算用!$Q$3),ROW()-3,"")</f>
        <v/>
      </c>
      <c r="B141" s="15">
        <f>IFERROR(INDEX(計算用!$D$2:$D$186,MATCH("男赤"&amp;$A141,計算用!$L$2:$L$186,0)),"")</f>
        <v/>
      </c>
      <c r="C141" s="15">
        <f>IFERROR(INDEX(計算用!$M$2:$M$186,MATCH("男赤"&amp;$A141,計算用!$L$2:$L$186,0)),"")</f>
        <v/>
      </c>
      <c r="D141" s="16">
        <f>IFERROR(INDEX(計算用!$G$2:$G$186,MATCH("男赤"&amp;$A141,計算用!$L$2:$L$186,0)),"")</f>
        <v/>
      </c>
      <c r="E141" s="15" t="n"/>
      <c r="F141" s="15">
        <f>IFERROR(INDEX(計算用!$D$2:$D$186,MATCH("男白"&amp;$A141,計算用!$L$2:$L$186,0)),"")</f>
        <v/>
      </c>
      <c r="G141" s="15">
        <f>IFERROR(INDEX(計算用!$M$2:$M$186,MATCH("男白"&amp;$A141,計算用!$L$2:$L$186,0)),"")</f>
        <v/>
      </c>
      <c r="H141" s="16">
        <f>IFERROR(INDEX(計算用!$G$2:$G$186,MATCH("男白"&amp;$A141,計算用!$L$2:$L$186,0)),"")</f>
        <v/>
      </c>
      <c r="I141" s="15" t="n"/>
      <c r="J141" s="15">
        <f>IF(ROW()-3&lt;=MAX(計算用!$Q$4,計算用!$Q$5),ROW()-3,"")</f>
        <v/>
      </c>
      <c r="K141" s="15">
        <f>IFERROR(INDEX(計算用!$D$2:$D$186,MATCH("女赤"&amp;$J141,計算用!$L$2:$L$186,0)),"")</f>
        <v/>
      </c>
      <c r="L141" s="15">
        <f>IFERROR(INDEX(計算用!$M$2:$M$186,MATCH("女赤"&amp;$J141,計算用!$L$2:$L$186,0)),"")</f>
        <v/>
      </c>
      <c r="M141" s="16">
        <f>IFERROR(INDEX(計算用!$G$2:$G$186,MATCH("女赤"&amp;$J141,計算用!$L$2:$L$186,0)),"")</f>
        <v/>
      </c>
      <c r="N141" s="15" t="n"/>
      <c r="O141" s="15">
        <f>IFERROR(INDEX(計算用!$D$2:$D$186,MATCH("女白"&amp;$J141,計算用!$L$2:$L$186,0)),"")</f>
        <v/>
      </c>
      <c r="P141" s="15">
        <f>IFERROR(INDEX(計算用!$M$2:$M$186,MATCH("女白"&amp;$J141,計算用!$L$2:$L$186,0)),"")</f>
        <v/>
      </c>
      <c r="Q141" s="16">
        <f>IFERROR(INDEX(計算用!$G$2:$G$186,MATCH("女白"&amp;$J141,計算用!$L$2:$L$186,0)),"")</f>
        <v/>
      </c>
    </row>
    <row r="142">
      <c r="A142" s="15">
        <f>IF(ROW()-3&lt;=MAX(計算用!$Q$2,計算用!$Q$3),ROW()-3,"")</f>
        <v/>
      </c>
      <c r="B142" s="15">
        <f>IFERROR(INDEX(計算用!$D$2:$D$186,MATCH("男赤"&amp;$A142,計算用!$L$2:$L$186,0)),"")</f>
        <v/>
      </c>
      <c r="C142" s="15">
        <f>IFERROR(INDEX(計算用!$M$2:$M$186,MATCH("男赤"&amp;$A142,計算用!$L$2:$L$186,0)),"")</f>
        <v/>
      </c>
      <c r="D142" s="16">
        <f>IFERROR(INDEX(計算用!$G$2:$G$186,MATCH("男赤"&amp;$A142,計算用!$L$2:$L$186,0)),"")</f>
        <v/>
      </c>
      <c r="E142" s="15" t="n"/>
      <c r="F142" s="15">
        <f>IFERROR(INDEX(計算用!$D$2:$D$186,MATCH("男白"&amp;$A142,計算用!$L$2:$L$186,0)),"")</f>
        <v/>
      </c>
      <c r="G142" s="15">
        <f>IFERROR(INDEX(計算用!$M$2:$M$186,MATCH("男白"&amp;$A142,計算用!$L$2:$L$186,0)),"")</f>
        <v/>
      </c>
      <c r="H142" s="16">
        <f>IFERROR(INDEX(計算用!$G$2:$G$186,MATCH("男白"&amp;$A142,計算用!$L$2:$L$186,0)),"")</f>
        <v/>
      </c>
      <c r="I142" s="15" t="n"/>
      <c r="J142" s="15">
        <f>IF(ROW()-3&lt;=MAX(計算用!$Q$4,計算用!$Q$5),ROW()-3,"")</f>
        <v/>
      </c>
      <c r="K142" s="15">
        <f>IFERROR(INDEX(計算用!$D$2:$D$186,MATCH("女赤"&amp;$J142,計算用!$L$2:$L$186,0)),"")</f>
        <v/>
      </c>
      <c r="L142" s="15">
        <f>IFERROR(INDEX(計算用!$M$2:$M$186,MATCH("女赤"&amp;$J142,計算用!$L$2:$L$186,0)),"")</f>
        <v/>
      </c>
      <c r="M142" s="16">
        <f>IFERROR(INDEX(計算用!$G$2:$G$186,MATCH("女赤"&amp;$J142,計算用!$L$2:$L$186,0)),"")</f>
        <v/>
      </c>
      <c r="N142" s="15" t="n"/>
      <c r="O142" s="15">
        <f>IFERROR(INDEX(計算用!$D$2:$D$186,MATCH("女白"&amp;$J142,計算用!$L$2:$L$186,0)),"")</f>
        <v/>
      </c>
      <c r="P142" s="15">
        <f>IFERROR(INDEX(計算用!$M$2:$M$186,MATCH("女白"&amp;$J142,計算用!$L$2:$L$186,0)),"")</f>
        <v/>
      </c>
      <c r="Q142" s="16">
        <f>IFERROR(INDEX(計算用!$G$2:$G$186,MATCH("女白"&amp;$J142,計算用!$L$2:$L$186,0)),"")</f>
        <v/>
      </c>
    </row>
    <row r="143">
      <c r="A143" s="15">
        <f>IF(ROW()-3&lt;=MAX(計算用!$Q$2,計算用!$Q$3),ROW()-3,"")</f>
        <v/>
      </c>
      <c r="B143" s="15">
        <f>IFERROR(INDEX(計算用!$D$2:$D$186,MATCH("男赤"&amp;$A143,計算用!$L$2:$L$186,0)),"")</f>
        <v/>
      </c>
      <c r="C143" s="15">
        <f>IFERROR(INDEX(計算用!$M$2:$M$186,MATCH("男赤"&amp;$A143,計算用!$L$2:$L$186,0)),"")</f>
        <v/>
      </c>
      <c r="D143" s="16">
        <f>IFERROR(INDEX(計算用!$G$2:$G$186,MATCH("男赤"&amp;$A143,計算用!$L$2:$L$186,0)),"")</f>
        <v/>
      </c>
      <c r="E143" s="15" t="n"/>
      <c r="F143" s="15">
        <f>IFERROR(INDEX(計算用!$D$2:$D$186,MATCH("男白"&amp;$A143,計算用!$L$2:$L$186,0)),"")</f>
        <v/>
      </c>
      <c r="G143" s="15">
        <f>IFERROR(INDEX(計算用!$M$2:$M$186,MATCH("男白"&amp;$A143,計算用!$L$2:$L$186,0)),"")</f>
        <v/>
      </c>
      <c r="H143" s="16">
        <f>IFERROR(INDEX(計算用!$G$2:$G$186,MATCH("男白"&amp;$A143,計算用!$L$2:$L$186,0)),"")</f>
        <v/>
      </c>
      <c r="I143" s="15" t="n"/>
      <c r="J143" s="15">
        <f>IF(ROW()-3&lt;=MAX(計算用!$Q$4,計算用!$Q$5),ROW()-3,"")</f>
        <v/>
      </c>
      <c r="K143" s="15">
        <f>IFERROR(INDEX(計算用!$D$2:$D$186,MATCH("女赤"&amp;$J143,計算用!$L$2:$L$186,0)),"")</f>
        <v/>
      </c>
      <c r="L143" s="15">
        <f>IFERROR(INDEX(計算用!$M$2:$M$186,MATCH("女赤"&amp;$J143,計算用!$L$2:$L$186,0)),"")</f>
        <v/>
      </c>
      <c r="M143" s="16">
        <f>IFERROR(INDEX(計算用!$G$2:$G$186,MATCH("女赤"&amp;$J143,計算用!$L$2:$L$186,0)),"")</f>
        <v/>
      </c>
      <c r="N143" s="15" t="n"/>
      <c r="O143" s="15">
        <f>IFERROR(INDEX(計算用!$D$2:$D$186,MATCH("女白"&amp;$J143,計算用!$L$2:$L$186,0)),"")</f>
        <v/>
      </c>
      <c r="P143" s="15">
        <f>IFERROR(INDEX(計算用!$M$2:$M$186,MATCH("女白"&amp;$J143,計算用!$L$2:$L$186,0)),"")</f>
        <v/>
      </c>
      <c r="Q143" s="16">
        <f>IFERROR(INDEX(計算用!$G$2:$G$186,MATCH("女白"&amp;$J143,計算用!$L$2:$L$186,0)),"")</f>
        <v/>
      </c>
    </row>
    <row r="144">
      <c r="A144" s="15">
        <f>IF(ROW()-3&lt;=MAX(計算用!$Q$2,計算用!$Q$3),ROW()-3,"")</f>
        <v/>
      </c>
      <c r="B144" s="15">
        <f>IFERROR(INDEX(計算用!$D$2:$D$186,MATCH("男赤"&amp;$A144,計算用!$L$2:$L$186,0)),"")</f>
        <v/>
      </c>
      <c r="C144" s="15">
        <f>IFERROR(INDEX(計算用!$M$2:$M$186,MATCH("男赤"&amp;$A144,計算用!$L$2:$L$186,0)),"")</f>
        <v/>
      </c>
      <c r="D144" s="16">
        <f>IFERROR(INDEX(計算用!$G$2:$G$186,MATCH("男赤"&amp;$A144,計算用!$L$2:$L$186,0)),"")</f>
        <v/>
      </c>
      <c r="E144" s="15" t="n"/>
      <c r="F144" s="15">
        <f>IFERROR(INDEX(計算用!$D$2:$D$186,MATCH("男白"&amp;$A144,計算用!$L$2:$L$186,0)),"")</f>
        <v/>
      </c>
      <c r="G144" s="15">
        <f>IFERROR(INDEX(計算用!$M$2:$M$186,MATCH("男白"&amp;$A144,計算用!$L$2:$L$186,0)),"")</f>
        <v/>
      </c>
      <c r="H144" s="16">
        <f>IFERROR(INDEX(計算用!$G$2:$G$186,MATCH("男白"&amp;$A144,計算用!$L$2:$L$186,0)),"")</f>
        <v/>
      </c>
      <c r="I144" s="15" t="n"/>
      <c r="J144" s="15">
        <f>IF(ROW()-3&lt;=MAX(計算用!$Q$4,計算用!$Q$5),ROW()-3,"")</f>
        <v/>
      </c>
      <c r="K144" s="15">
        <f>IFERROR(INDEX(計算用!$D$2:$D$186,MATCH("女赤"&amp;$J144,計算用!$L$2:$L$186,0)),"")</f>
        <v/>
      </c>
      <c r="L144" s="15">
        <f>IFERROR(INDEX(計算用!$M$2:$M$186,MATCH("女赤"&amp;$J144,計算用!$L$2:$L$186,0)),"")</f>
        <v/>
      </c>
      <c r="M144" s="16">
        <f>IFERROR(INDEX(計算用!$G$2:$G$186,MATCH("女赤"&amp;$J144,計算用!$L$2:$L$186,0)),"")</f>
        <v/>
      </c>
      <c r="N144" s="15" t="n"/>
      <c r="O144" s="15">
        <f>IFERROR(INDEX(計算用!$D$2:$D$186,MATCH("女白"&amp;$J144,計算用!$L$2:$L$186,0)),"")</f>
        <v/>
      </c>
      <c r="P144" s="15">
        <f>IFERROR(INDEX(計算用!$M$2:$M$186,MATCH("女白"&amp;$J144,計算用!$L$2:$L$186,0)),"")</f>
        <v/>
      </c>
      <c r="Q144" s="16">
        <f>IFERROR(INDEX(計算用!$G$2:$G$186,MATCH("女白"&amp;$J144,計算用!$L$2:$L$186,0)),"")</f>
        <v/>
      </c>
    </row>
    <row r="145">
      <c r="A145" s="15">
        <f>IF(ROW()-3&lt;=MAX(計算用!$Q$2,計算用!$Q$3),ROW()-3,"")</f>
        <v/>
      </c>
      <c r="B145" s="15">
        <f>IFERROR(INDEX(計算用!$D$2:$D$186,MATCH("男赤"&amp;$A145,計算用!$L$2:$L$186,0)),"")</f>
        <v/>
      </c>
      <c r="C145" s="15">
        <f>IFERROR(INDEX(計算用!$M$2:$M$186,MATCH("男赤"&amp;$A145,計算用!$L$2:$L$186,0)),"")</f>
        <v/>
      </c>
      <c r="D145" s="16">
        <f>IFERROR(INDEX(計算用!$G$2:$G$186,MATCH("男赤"&amp;$A145,計算用!$L$2:$L$186,0)),"")</f>
        <v/>
      </c>
      <c r="E145" s="15" t="n"/>
      <c r="F145" s="15">
        <f>IFERROR(INDEX(計算用!$D$2:$D$186,MATCH("男白"&amp;$A145,計算用!$L$2:$L$186,0)),"")</f>
        <v/>
      </c>
      <c r="G145" s="15">
        <f>IFERROR(INDEX(計算用!$M$2:$M$186,MATCH("男白"&amp;$A145,計算用!$L$2:$L$186,0)),"")</f>
        <v/>
      </c>
      <c r="H145" s="16">
        <f>IFERROR(INDEX(計算用!$G$2:$G$186,MATCH("男白"&amp;$A145,計算用!$L$2:$L$186,0)),"")</f>
        <v/>
      </c>
      <c r="I145" s="15" t="n"/>
      <c r="J145" s="15">
        <f>IF(ROW()-3&lt;=MAX(計算用!$Q$4,計算用!$Q$5),ROW()-3,"")</f>
        <v/>
      </c>
      <c r="K145" s="15">
        <f>IFERROR(INDEX(計算用!$D$2:$D$186,MATCH("女赤"&amp;$J145,計算用!$L$2:$L$186,0)),"")</f>
        <v/>
      </c>
      <c r="L145" s="15">
        <f>IFERROR(INDEX(計算用!$M$2:$M$186,MATCH("女赤"&amp;$J145,計算用!$L$2:$L$186,0)),"")</f>
        <v/>
      </c>
      <c r="M145" s="16">
        <f>IFERROR(INDEX(計算用!$G$2:$G$186,MATCH("女赤"&amp;$J145,計算用!$L$2:$L$186,0)),"")</f>
        <v/>
      </c>
      <c r="N145" s="15" t="n"/>
      <c r="O145" s="15">
        <f>IFERROR(INDEX(計算用!$D$2:$D$186,MATCH("女白"&amp;$J145,計算用!$L$2:$L$186,0)),"")</f>
        <v/>
      </c>
      <c r="P145" s="15">
        <f>IFERROR(INDEX(計算用!$M$2:$M$186,MATCH("女白"&amp;$J145,計算用!$L$2:$L$186,0)),"")</f>
        <v/>
      </c>
      <c r="Q145" s="16">
        <f>IFERROR(INDEX(計算用!$G$2:$G$186,MATCH("女白"&amp;$J145,計算用!$L$2:$L$186,0)),"")</f>
        <v/>
      </c>
    </row>
    <row r="146">
      <c r="A146" s="15">
        <f>IF(ROW()-3&lt;=MAX(計算用!$Q$2,計算用!$Q$3),ROW()-3,"")</f>
        <v/>
      </c>
      <c r="B146" s="15">
        <f>IFERROR(INDEX(計算用!$D$2:$D$186,MATCH("男赤"&amp;$A146,計算用!$L$2:$L$186,0)),"")</f>
        <v/>
      </c>
      <c r="C146" s="15">
        <f>IFERROR(INDEX(計算用!$M$2:$M$186,MATCH("男赤"&amp;$A146,計算用!$L$2:$L$186,0)),"")</f>
        <v/>
      </c>
      <c r="D146" s="16">
        <f>IFERROR(INDEX(計算用!$G$2:$G$186,MATCH("男赤"&amp;$A146,計算用!$L$2:$L$186,0)),"")</f>
        <v/>
      </c>
      <c r="E146" s="15" t="n"/>
      <c r="F146" s="15">
        <f>IFERROR(INDEX(計算用!$D$2:$D$186,MATCH("男白"&amp;$A146,計算用!$L$2:$L$186,0)),"")</f>
        <v/>
      </c>
      <c r="G146" s="15">
        <f>IFERROR(INDEX(計算用!$M$2:$M$186,MATCH("男白"&amp;$A146,計算用!$L$2:$L$186,0)),"")</f>
        <v/>
      </c>
      <c r="H146" s="16">
        <f>IFERROR(INDEX(計算用!$G$2:$G$186,MATCH("男白"&amp;$A146,計算用!$L$2:$L$186,0)),"")</f>
        <v/>
      </c>
      <c r="I146" s="15" t="n"/>
      <c r="J146" s="15">
        <f>IF(ROW()-3&lt;=MAX(計算用!$Q$4,計算用!$Q$5),ROW()-3,"")</f>
        <v/>
      </c>
      <c r="K146" s="15">
        <f>IFERROR(INDEX(計算用!$D$2:$D$186,MATCH("女赤"&amp;$J146,計算用!$L$2:$L$186,0)),"")</f>
        <v/>
      </c>
      <c r="L146" s="15">
        <f>IFERROR(INDEX(計算用!$M$2:$M$186,MATCH("女赤"&amp;$J146,計算用!$L$2:$L$186,0)),"")</f>
        <v/>
      </c>
      <c r="M146" s="16">
        <f>IFERROR(INDEX(計算用!$G$2:$G$186,MATCH("女赤"&amp;$J146,計算用!$L$2:$L$186,0)),"")</f>
        <v/>
      </c>
      <c r="N146" s="15" t="n"/>
      <c r="O146" s="15">
        <f>IFERROR(INDEX(計算用!$D$2:$D$186,MATCH("女白"&amp;$J146,計算用!$L$2:$L$186,0)),"")</f>
        <v/>
      </c>
      <c r="P146" s="15">
        <f>IFERROR(INDEX(計算用!$M$2:$M$186,MATCH("女白"&amp;$J146,計算用!$L$2:$L$186,0)),"")</f>
        <v/>
      </c>
      <c r="Q146" s="16">
        <f>IFERROR(INDEX(計算用!$G$2:$G$186,MATCH("女白"&amp;$J146,計算用!$L$2:$L$186,0)),"")</f>
        <v/>
      </c>
    </row>
    <row r="147">
      <c r="A147" s="15">
        <f>IF(ROW()-3&lt;=MAX(計算用!$Q$2,計算用!$Q$3),ROW()-3,"")</f>
        <v/>
      </c>
      <c r="B147" s="15">
        <f>IFERROR(INDEX(計算用!$D$2:$D$186,MATCH("男赤"&amp;$A147,計算用!$L$2:$L$186,0)),"")</f>
        <v/>
      </c>
      <c r="C147" s="15">
        <f>IFERROR(INDEX(計算用!$M$2:$M$186,MATCH("男赤"&amp;$A147,計算用!$L$2:$L$186,0)),"")</f>
        <v/>
      </c>
      <c r="D147" s="16">
        <f>IFERROR(INDEX(計算用!$G$2:$G$186,MATCH("男赤"&amp;$A147,計算用!$L$2:$L$186,0)),"")</f>
        <v/>
      </c>
      <c r="E147" s="15" t="n"/>
      <c r="F147" s="15">
        <f>IFERROR(INDEX(計算用!$D$2:$D$186,MATCH("男白"&amp;$A147,計算用!$L$2:$L$186,0)),"")</f>
        <v/>
      </c>
      <c r="G147" s="15">
        <f>IFERROR(INDEX(計算用!$M$2:$M$186,MATCH("男白"&amp;$A147,計算用!$L$2:$L$186,0)),"")</f>
        <v/>
      </c>
      <c r="H147" s="16">
        <f>IFERROR(INDEX(計算用!$G$2:$G$186,MATCH("男白"&amp;$A147,計算用!$L$2:$L$186,0)),"")</f>
        <v/>
      </c>
      <c r="I147" s="15" t="n"/>
      <c r="J147" s="15">
        <f>IF(ROW()-3&lt;=MAX(計算用!$Q$4,計算用!$Q$5),ROW()-3,"")</f>
        <v/>
      </c>
      <c r="K147" s="15">
        <f>IFERROR(INDEX(計算用!$D$2:$D$186,MATCH("女赤"&amp;$J147,計算用!$L$2:$L$186,0)),"")</f>
        <v/>
      </c>
      <c r="L147" s="15">
        <f>IFERROR(INDEX(計算用!$M$2:$M$186,MATCH("女赤"&amp;$J147,計算用!$L$2:$L$186,0)),"")</f>
        <v/>
      </c>
      <c r="M147" s="16">
        <f>IFERROR(INDEX(計算用!$G$2:$G$186,MATCH("女赤"&amp;$J147,計算用!$L$2:$L$186,0)),"")</f>
        <v/>
      </c>
      <c r="N147" s="15" t="n"/>
      <c r="O147" s="15">
        <f>IFERROR(INDEX(計算用!$D$2:$D$186,MATCH("女白"&amp;$J147,計算用!$L$2:$L$186,0)),"")</f>
        <v/>
      </c>
      <c r="P147" s="15">
        <f>IFERROR(INDEX(計算用!$M$2:$M$186,MATCH("女白"&amp;$J147,計算用!$L$2:$L$186,0)),"")</f>
        <v/>
      </c>
      <c r="Q147" s="16">
        <f>IFERROR(INDEX(計算用!$G$2:$G$186,MATCH("女白"&amp;$J147,計算用!$L$2:$L$186,0)),"")</f>
        <v/>
      </c>
    </row>
    <row r="148">
      <c r="A148" s="15">
        <f>IF(ROW()-3&lt;=MAX(計算用!$Q$2,計算用!$Q$3),ROW()-3,"")</f>
        <v/>
      </c>
      <c r="B148" s="15">
        <f>IFERROR(INDEX(計算用!$D$2:$D$186,MATCH("男赤"&amp;$A148,計算用!$L$2:$L$186,0)),"")</f>
        <v/>
      </c>
      <c r="C148" s="15">
        <f>IFERROR(INDEX(計算用!$M$2:$M$186,MATCH("男赤"&amp;$A148,計算用!$L$2:$L$186,0)),"")</f>
        <v/>
      </c>
      <c r="D148" s="16">
        <f>IFERROR(INDEX(計算用!$G$2:$G$186,MATCH("男赤"&amp;$A148,計算用!$L$2:$L$186,0)),"")</f>
        <v/>
      </c>
      <c r="E148" s="15" t="n"/>
      <c r="F148" s="15">
        <f>IFERROR(INDEX(計算用!$D$2:$D$186,MATCH("男白"&amp;$A148,計算用!$L$2:$L$186,0)),"")</f>
        <v/>
      </c>
      <c r="G148" s="15">
        <f>IFERROR(INDEX(計算用!$M$2:$M$186,MATCH("男白"&amp;$A148,計算用!$L$2:$L$186,0)),"")</f>
        <v/>
      </c>
      <c r="H148" s="16">
        <f>IFERROR(INDEX(計算用!$G$2:$G$186,MATCH("男白"&amp;$A148,計算用!$L$2:$L$186,0)),"")</f>
        <v/>
      </c>
      <c r="I148" s="15" t="n"/>
      <c r="J148" s="15">
        <f>IF(ROW()-3&lt;=MAX(計算用!$Q$4,計算用!$Q$5),ROW()-3,"")</f>
        <v/>
      </c>
      <c r="K148" s="15">
        <f>IFERROR(INDEX(計算用!$D$2:$D$186,MATCH("女赤"&amp;$J148,計算用!$L$2:$L$186,0)),"")</f>
        <v/>
      </c>
      <c r="L148" s="15">
        <f>IFERROR(INDEX(計算用!$M$2:$M$186,MATCH("女赤"&amp;$J148,計算用!$L$2:$L$186,0)),"")</f>
        <v/>
      </c>
      <c r="M148" s="16">
        <f>IFERROR(INDEX(計算用!$G$2:$G$186,MATCH("女赤"&amp;$J148,計算用!$L$2:$L$186,0)),"")</f>
        <v/>
      </c>
      <c r="N148" s="15" t="n"/>
      <c r="O148" s="15">
        <f>IFERROR(INDEX(計算用!$D$2:$D$186,MATCH("女白"&amp;$J148,計算用!$L$2:$L$186,0)),"")</f>
        <v/>
      </c>
      <c r="P148" s="15">
        <f>IFERROR(INDEX(計算用!$M$2:$M$186,MATCH("女白"&amp;$J148,計算用!$L$2:$L$186,0)),"")</f>
        <v/>
      </c>
      <c r="Q148" s="16">
        <f>IFERROR(INDEX(計算用!$G$2:$G$186,MATCH("女白"&amp;$J148,計算用!$L$2:$L$186,0)),"")</f>
        <v/>
      </c>
    </row>
    <row r="149">
      <c r="A149" s="15">
        <f>IF(ROW()-3&lt;=MAX(計算用!$Q$2,計算用!$Q$3),ROW()-3,"")</f>
        <v/>
      </c>
      <c r="B149" s="15">
        <f>IFERROR(INDEX(計算用!$D$2:$D$186,MATCH("男赤"&amp;$A149,計算用!$L$2:$L$186,0)),"")</f>
        <v/>
      </c>
      <c r="C149" s="15">
        <f>IFERROR(INDEX(計算用!$M$2:$M$186,MATCH("男赤"&amp;$A149,計算用!$L$2:$L$186,0)),"")</f>
        <v/>
      </c>
      <c r="D149" s="16">
        <f>IFERROR(INDEX(計算用!$G$2:$G$186,MATCH("男赤"&amp;$A149,計算用!$L$2:$L$186,0)),"")</f>
        <v/>
      </c>
      <c r="E149" s="15" t="n"/>
      <c r="F149" s="15">
        <f>IFERROR(INDEX(計算用!$D$2:$D$186,MATCH("男白"&amp;$A149,計算用!$L$2:$L$186,0)),"")</f>
        <v/>
      </c>
      <c r="G149" s="15">
        <f>IFERROR(INDEX(計算用!$M$2:$M$186,MATCH("男白"&amp;$A149,計算用!$L$2:$L$186,0)),"")</f>
        <v/>
      </c>
      <c r="H149" s="16">
        <f>IFERROR(INDEX(計算用!$G$2:$G$186,MATCH("男白"&amp;$A149,計算用!$L$2:$L$186,0)),"")</f>
        <v/>
      </c>
      <c r="I149" s="15" t="n"/>
      <c r="J149" s="15">
        <f>IF(ROW()-3&lt;=MAX(計算用!$Q$4,計算用!$Q$5),ROW()-3,"")</f>
        <v/>
      </c>
      <c r="K149" s="15">
        <f>IFERROR(INDEX(計算用!$D$2:$D$186,MATCH("女赤"&amp;$J149,計算用!$L$2:$L$186,0)),"")</f>
        <v/>
      </c>
      <c r="L149" s="15">
        <f>IFERROR(INDEX(計算用!$M$2:$M$186,MATCH("女赤"&amp;$J149,計算用!$L$2:$L$186,0)),"")</f>
        <v/>
      </c>
      <c r="M149" s="16">
        <f>IFERROR(INDEX(計算用!$G$2:$G$186,MATCH("女赤"&amp;$J149,計算用!$L$2:$L$186,0)),"")</f>
        <v/>
      </c>
      <c r="N149" s="15" t="n"/>
      <c r="O149" s="15">
        <f>IFERROR(INDEX(計算用!$D$2:$D$186,MATCH("女白"&amp;$J149,計算用!$L$2:$L$186,0)),"")</f>
        <v/>
      </c>
      <c r="P149" s="15">
        <f>IFERROR(INDEX(計算用!$M$2:$M$186,MATCH("女白"&amp;$J149,計算用!$L$2:$L$186,0)),"")</f>
        <v/>
      </c>
      <c r="Q149" s="16">
        <f>IFERROR(INDEX(計算用!$G$2:$G$186,MATCH("女白"&amp;$J149,計算用!$L$2:$L$186,0)),"")</f>
        <v/>
      </c>
    </row>
    <row r="150">
      <c r="A150" s="15">
        <f>IF(ROW()-3&lt;=MAX(計算用!$Q$2,計算用!$Q$3),ROW()-3,"")</f>
        <v/>
      </c>
      <c r="B150" s="15">
        <f>IFERROR(INDEX(計算用!$D$2:$D$186,MATCH("男赤"&amp;$A150,計算用!$L$2:$L$186,0)),"")</f>
        <v/>
      </c>
      <c r="C150" s="15">
        <f>IFERROR(INDEX(計算用!$M$2:$M$186,MATCH("男赤"&amp;$A150,計算用!$L$2:$L$186,0)),"")</f>
        <v/>
      </c>
      <c r="D150" s="16">
        <f>IFERROR(INDEX(計算用!$G$2:$G$186,MATCH("男赤"&amp;$A150,計算用!$L$2:$L$186,0)),"")</f>
        <v/>
      </c>
      <c r="E150" s="15" t="n"/>
      <c r="F150" s="15">
        <f>IFERROR(INDEX(計算用!$D$2:$D$186,MATCH("男白"&amp;$A150,計算用!$L$2:$L$186,0)),"")</f>
        <v/>
      </c>
      <c r="G150" s="15">
        <f>IFERROR(INDEX(計算用!$M$2:$M$186,MATCH("男白"&amp;$A150,計算用!$L$2:$L$186,0)),"")</f>
        <v/>
      </c>
      <c r="H150" s="16">
        <f>IFERROR(INDEX(計算用!$G$2:$G$186,MATCH("男白"&amp;$A150,計算用!$L$2:$L$186,0)),"")</f>
        <v/>
      </c>
      <c r="I150" s="15" t="n"/>
      <c r="J150" s="15">
        <f>IF(ROW()-3&lt;=MAX(計算用!$Q$4,計算用!$Q$5),ROW()-3,"")</f>
        <v/>
      </c>
      <c r="K150" s="15">
        <f>IFERROR(INDEX(計算用!$D$2:$D$186,MATCH("女赤"&amp;$J150,計算用!$L$2:$L$186,0)),"")</f>
        <v/>
      </c>
      <c r="L150" s="15">
        <f>IFERROR(INDEX(計算用!$M$2:$M$186,MATCH("女赤"&amp;$J150,計算用!$L$2:$L$186,0)),"")</f>
        <v/>
      </c>
      <c r="M150" s="16">
        <f>IFERROR(INDEX(計算用!$G$2:$G$186,MATCH("女赤"&amp;$J150,計算用!$L$2:$L$186,0)),"")</f>
        <v/>
      </c>
      <c r="N150" s="15" t="n"/>
      <c r="O150" s="15">
        <f>IFERROR(INDEX(計算用!$D$2:$D$186,MATCH("女白"&amp;$J150,計算用!$L$2:$L$186,0)),"")</f>
        <v/>
      </c>
      <c r="P150" s="15">
        <f>IFERROR(INDEX(計算用!$M$2:$M$186,MATCH("女白"&amp;$J150,計算用!$L$2:$L$186,0)),"")</f>
        <v/>
      </c>
      <c r="Q150" s="16">
        <f>IFERROR(INDEX(計算用!$G$2:$G$186,MATCH("女白"&amp;$J150,計算用!$L$2:$L$186,0)),"")</f>
        <v/>
      </c>
    </row>
    <row r="151">
      <c r="A151" s="15">
        <f>IF(ROW()-3&lt;=MAX(計算用!$Q$2,計算用!$Q$3),ROW()-3,"")</f>
        <v/>
      </c>
      <c r="B151" s="15">
        <f>IFERROR(INDEX(計算用!$D$2:$D$186,MATCH("男赤"&amp;$A151,計算用!$L$2:$L$186,0)),"")</f>
        <v/>
      </c>
      <c r="C151" s="15">
        <f>IFERROR(INDEX(計算用!$M$2:$M$186,MATCH("男赤"&amp;$A151,計算用!$L$2:$L$186,0)),"")</f>
        <v/>
      </c>
      <c r="D151" s="16">
        <f>IFERROR(INDEX(計算用!$G$2:$G$186,MATCH("男赤"&amp;$A151,計算用!$L$2:$L$186,0)),"")</f>
        <v/>
      </c>
      <c r="E151" s="15" t="n"/>
      <c r="F151" s="15">
        <f>IFERROR(INDEX(計算用!$D$2:$D$186,MATCH("男白"&amp;$A151,計算用!$L$2:$L$186,0)),"")</f>
        <v/>
      </c>
      <c r="G151" s="15">
        <f>IFERROR(INDEX(計算用!$M$2:$M$186,MATCH("男白"&amp;$A151,計算用!$L$2:$L$186,0)),"")</f>
        <v/>
      </c>
      <c r="H151" s="16">
        <f>IFERROR(INDEX(計算用!$G$2:$G$186,MATCH("男白"&amp;$A151,計算用!$L$2:$L$186,0)),"")</f>
        <v/>
      </c>
      <c r="I151" s="15" t="n"/>
      <c r="J151" s="15">
        <f>IF(ROW()-3&lt;=MAX(計算用!$Q$4,計算用!$Q$5),ROW()-3,"")</f>
        <v/>
      </c>
      <c r="K151" s="15">
        <f>IFERROR(INDEX(計算用!$D$2:$D$186,MATCH("女赤"&amp;$J151,計算用!$L$2:$L$186,0)),"")</f>
        <v/>
      </c>
      <c r="L151" s="15">
        <f>IFERROR(INDEX(計算用!$M$2:$M$186,MATCH("女赤"&amp;$J151,計算用!$L$2:$L$186,0)),"")</f>
        <v/>
      </c>
      <c r="M151" s="16">
        <f>IFERROR(INDEX(計算用!$G$2:$G$186,MATCH("女赤"&amp;$J151,計算用!$L$2:$L$186,0)),"")</f>
        <v/>
      </c>
      <c r="N151" s="15" t="n"/>
      <c r="O151" s="15">
        <f>IFERROR(INDEX(計算用!$D$2:$D$186,MATCH("女白"&amp;$J151,計算用!$L$2:$L$186,0)),"")</f>
        <v/>
      </c>
      <c r="P151" s="15">
        <f>IFERROR(INDEX(計算用!$M$2:$M$186,MATCH("女白"&amp;$J151,計算用!$L$2:$L$186,0)),"")</f>
        <v/>
      </c>
      <c r="Q151" s="16">
        <f>IFERROR(INDEX(計算用!$G$2:$G$186,MATCH("女白"&amp;$J151,計算用!$L$2:$L$186,0)),"")</f>
        <v/>
      </c>
    </row>
    <row r="152">
      <c r="A152" s="15">
        <f>IF(ROW()-3&lt;=MAX(計算用!$Q$2,計算用!$Q$3),ROW()-3,"")</f>
        <v/>
      </c>
      <c r="B152" s="15">
        <f>IFERROR(INDEX(計算用!$D$2:$D$186,MATCH("男赤"&amp;$A152,計算用!$L$2:$L$186,0)),"")</f>
        <v/>
      </c>
      <c r="C152" s="15">
        <f>IFERROR(INDEX(計算用!$M$2:$M$186,MATCH("男赤"&amp;$A152,計算用!$L$2:$L$186,0)),"")</f>
        <v/>
      </c>
      <c r="D152" s="16">
        <f>IFERROR(INDEX(計算用!$G$2:$G$186,MATCH("男赤"&amp;$A152,計算用!$L$2:$L$186,0)),"")</f>
        <v/>
      </c>
      <c r="E152" s="15" t="n"/>
      <c r="F152" s="15">
        <f>IFERROR(INDEX(計算用!$D$2:$D$186,MATCH("男白"&amp;$A152,計算用!$L$2:$L$186,0)),"")</f>
        <v/>
      </c>
      <c r="G152" s="15">
        <f>IFERROR(INDEX(計算用!$M$2:$M$186,MATCH("男白"&amp;$A152,計算用!$L$2:$L$186,0)),"")</f>
        <v/>
      </c>
      <c r="H152" s="16">
        <f>IFERROR(INDEX(計算用!$G$2:$G$186,MATCH("男白"&amp;$A152,計算用!$L$2:$L$186,0)),"")</f>
        <v/>
      </c>
      <c r="I152" s="15" t="n"/>
      <c r="J152" s="15">
        <f>IF(ROW()-3&lt;=MAX(計算用!$Q$4,計算用!$Q$5),ROW()-3,"")</f>
        <v/>
      </c>
      <c r="K152" s="15">
        <f>IFERROR(INDEX(計算用!$D$2:$D$186,MATCH("女赤"&amp;$J152,計算用!$L$2:$L$186,0)),"")</f>
        <v/>
      </c>
      <c r="L152" s="15">
        <f>IFERROR(INDEX(計算用!$M$2:$M$186,MATCH("女赤"&amp;$J152,計算用!$L$2:$L$186,0)),"")</f>
        <v/>
      </c>
      <c r="M152" s="16">
        <f>IFERROR(INDEX(計算用!$G$2:$G$186,MATCH("女赤"&amp;$J152,計算用!$L$2:$L$186,0)),"")</f>
        <v/>
      </c>
      <c r="N152" s="15" t="n"/>
      <c r="O152" s="15">
        <f>IFERROR(INDEX(計算用!$D$2:$D$186,MATCH("女白"&amp;$J152,計算用!$L$2:$L$186,0)),"")</f>
        <v/>
      </c>
      <c r="P152" s="15">
        <f>IFERROR(INDEX(計算用!$M$2:$M$186,MATCH("女白"&amp;$J152,計算用!$L$2:$L$186,0)),"")</f>
        <v/>
      </c>
      <c r="Q152" s="16">
        <f>IFERROR(INDEX(計算用!$G$2:$G$186,MATCH("女白"&amp;$J152,計算用!$L$2:$L$186,0)),"")</f>
        <v/>
      </c>
    </row>
    <row r="153">
      <c r="A153" s="15">
        <f>IF(ROW()-3&lt;=MAX(計算用!$Q$2,計算用!$Q$3),ROW()-3,"")</f>
        <v/>
      </c>
      <c r="B153" s="15">
        <f>IFERROR(INDEX(計算用!$D$2:$D$186,MATCH("男赤"&amp;$A153,計算用!$L$2:$L$186,0)),"")</f>
        <v/>
      </c>
      <c r="C153" s="15">
        <f>IFERROR(INDEX(計算用!$M$2:$M$186,MATCH("男赤"&amp;$A153,計算用!$L$2:$L$186,0)),"")</f>
        <v/>
      </c>
      <c r="D153" s="16">
        <f>IFERROR(INDEX(計算用!$G$2:$G$186,MATCH("男赤"&amp;$A153,計算用!$L$2:$L$186,0)),"")</f>
        <v/>
      </c>
      <c r="E153" s="15" t="n"/>
      <c r="F153" s="15">
        <f>IFERROR(INDEX(計算用!$D$2:$D$186,MATCH("男白"&amp;$A153,計算用!$L$2:$L$186,0)),"")</f>
        <v/>
      </c>
      <c r="G153" s="15">
        <f>IFERROR(INDEX(計算用!$M$2:$M$186,MATCH("男白"&amp;$A153,計算用!$L$2:$L$186,0)),"")</f>
        <v/>
      </c>
      <c r="H153" s="16">
        <f>IFERROR(INDEX(計算用!$G$2:$G$186,MATCH("男白"&amp;$A153,計算用!$L$2:$L$186,0)),"")</f>
        <v/>
      </c>
      <c r="I153" s="15" t="n"/>
      <c r="J153" s="15">
        <f>IF(ROW()-3&lt;=MAX(計算用!$Q$4,計算用!$Q$5),ROW()-3,"")</f>
        <v/>
      </c>
      <c r="K153" s="15">
        <f>IFERROR(INDEX(計算用!$D$2:$D$186,MATCH("女赤"&amp;$J153,計算用!$L$2:$L$186,0)),"")</f>
        <v/>
      </c>
      <c r="L153" s="15">
        <f>IFERROR(INDEX(計算用!$M$2:$M$186,MATCH("女赤"&amp;$J153,計算用!$L$2:$L$186,0)),"")</f>
        <v/>
      </c>
      <c r="M153" s="16">
        <f>IFERROR(INDEX(計算用!$G$2:$G$186,MATCH("女赤"&amp;$J153,計算用!$L$2:$L$186,0)),"")</f>
        <v/>
      </c>
      <c r="N153" s="15" t="n"/>
      <c r="O153" s="15">
        <f>IFERROR(INDEX(計算用!$D$2:$D$186,MATCH("女白"&amp;$J153,計算用!$L$2:$L$186,0)),"")</f>
        <v/>
      </c>
      <c r="P153" s="15">
        <f>IFERROR(INDEX(計算用!$M$2:$M$186,MATCH("女白"&amp;$J153,計算用!$L$2:$L$186,0)),"")</f>
        <v/>
      </c>
      <c r="Q153" s="16">
        <f>IFERROR(INDEX(計算用!$G$2:$G$186,MATCH("女白"&amp;$J153,計算用!$L$2:$L$186,0)),"")</f>
        <v/>
      </c>
    </row>
    <row r="154">
      <c r="A154" s="15">
        <f>IF(ROW()-3&lt;=MAX(計算用!$Q$2,計算用!$Q$3),ROW()-3,"")</f>
        <v/>
      </c>
      <c r="B154" s="15">
        <f>IFERROR(INDEX(計算用!$D$2:$D$186,MATCH("男赤"&amp;$A154,計算用!$L$2:$L$186,0)),"")</f>
        <v/>
      </c>
      <c r="C154" s="15">
        <f>IFERROR(INDEX(計算用!$M$2:$M$186,MATCH("男赤"&amp;$A154,計算用!$L$2:$L$186,0)),"")</f>
        <v/>
      </c>
      <c r="D154" s="16">
        <f>IFERROR(INDEX(計算用!$G$2:$G$186,MATCH("男赤"&amp;$A154,計算用!$L$2:$L$186,0)),"")</f>
        <v/>
      </c>
      <c r="E154" s="15" t="n"/>
      <c r="F154" s="15">
        <f>IFERROR(INDEX(計算用!$D$2:$D$186,MATCH("男白"&amp;$A154,計算用!$L$2:$L$186,0)),"")</f>
        <v/>
      </c>
      <c r="G154" s="15">
        <f>IFERROR(INDEX(計算用!$M$2:$M$186,MATCH("男白"&amp;$A154,計算用!$L$2:$L$186,0)),"")</f>
        <v/>
      </c>
      <c r="H154" s="16">
        <f>IFERROR(INDEX(計算用!$G$2:$G$186,MATCH("男白"&amp;$A154,計算用!$L$2:$L$186,0)),"")</f>
        <v/>
      </c>
      <c r="I154" s="15" t="n"/>
      <c r="J154" s="15">
        <f>IF(ROW()-3&lt;=MAX(計算用!$Q$4,計算用!$Q$5),ROW()-3,"")</f>
        <v/>
      </c>
      <c r="K154" s="15">
        <f>IFERROR(INDEX(計算用!$D$2:$D$186,MATCH("女赤"&amp;$J154,計算用!$L$2:$L$186,0)),"")</f>
        <v/>
      </c>
      <c r="L154" s="15">
        <f>IFERROR(INDEX(計算用!$M$2:$M$186,MATCH("女赤"&amp;$J154,計算用!$L$2:$L$186,0)),"")</f>
        <v/>
      </c>
      <c r="M154" s="16">
        <f>IFERROR(INDEX(計算用!$G$2:$G$186,MATCH("女赤"&amp;$J154,計算用!$L$2:$L$186,0)),"")</f>
        <v/>
      </c>
      <c r="N154" s="15" t="n"/>
      <c r="O154" s="15">
        <f>IFERROR(INDEX(計算用!$D$2:$D$186,MATCH("女白"&amp;$J154,計算用!$L$2:$L$186,0)),"")</f>
        <v/>
      </c>
      <c r="P154" s="15">
        <f>IFERROR(INDEX(計算用!$M$2:$M$186,MATCH("女白"&amp;$J154,計算用!$L$2:$L$186,0)),"")</f>
        <v/>
      </c>
      <c r="Q154" s="16">
        <f>IFERROR(INDEX(計算用!$G$2:$G$186,MATCH("女白"&amp;$J154,計算用!$L$2:$L$186,0)),"")</f>
        <v/>
      </c>
    </row>
    <row r="155">
      <c r="A155" s="15">
        <f>IF(ROW()-3&lt;=MAX(計算用!$Q$2,計算用!$Q$3),ROW()-3,"")</f>
        <v/>
      </c>
      <c r="B155" s="15">
        <f>IFERROR(INDEX(計算用!$D$2:$D$186,MATCH("男赤"&amp;$A155,計算用!$L$2:$L$186,0)),"")</f>
        <v/>
      </c>
      <c r="C155" s="15">
        <f>IFERROR(INDEX(計算用!$M$2:$M$186,MATCH("男赤"&amp;$A155,計算用!$L$2:$L$186,0)),"")</f>
        <v/>
      </c>
      <c r="D155" s="16">
        <f>IFERROR(INDEX(計算用!$G$2:$G$186,MATCH("男赤"&amp;$A155,計算用!$L$2:$L$186,0)),"")</f>
        <v/>
      </c>
      <c r="E155" s="15" t="n"/>
      <c r="F155" s="15">
        <f>IFERROR(INDEX(計算用!$D$2:$D$186,MATCH("男白"&amp;$A155,計算用!$L$2:$L$186,0)),"")</f>
        <v/>
      </c>
      <c r="G155" s="15">
        <f>IFERROR(INDEX(計算用!$M$2:$M$186,MATCH("男白"&amp;$A155,計算用!$L$2:$L$186,0)),"")</f>
        <v/>
      </c>
      <c r="H155" s="16">
        <f>IFERROR(INDEX(計算用!$G$2:$G$186,MATCH("男白"&amp;$A155,計算用!$L$2:$L$186,0)),"")</f>
        <v/>
      </c>
      <c r="I155" s="15" t="n"/>
      <c r="J155" s="15">
        <f>IF(ROW()-3&lt;=MAX(計算用!$Q$4,計算用!$Q$5),ROW()-3,"")</f>
        <v/>
      </c>
      <c r="K155" s="15">
        <f>IFERROR(INDEX(計算用!$D$2:$D$186,MATCH("女赤"&amp;$J155,計算用!$L$2:$L$186,0)),"")</f>
        <v/>
      </c>
      <c r="L155" s="15">
        <f>IFERROR(INDEX(計算用!$M$2:$M$186,MATCH("女赤"&amp;$J155,計算用!$L$2:$L$186,0)),"")</f>
        <v/>
      </c>
      <c r="M155" s="16">
        <f>IFERROR(INDEX(計算用!$G$2:$G$186,MATCH("女赤"&amp;$J155,計算用!$L$2:$L$186,0)),"")</f>
        <v/>
      </c>
      <c r="N155" s="15" t="n"/>
      <c r="O155" s="15">
        <f>IFERROR(INDEX(計算用!$D$2:$D$186,MATCH("女白"&amp;$J155,計算用!$L$2:$L$186,0)),"")</f>
        <v/>
      </c>
      <c r="P155" s="15">
        <f>IFERROR(INDEX(計算用!$M$2:$M$186,MATCH("女白"&amp;$J155,計算用!$L$2:$L$186,0)),"")</f>
        <v/>
      </c>
      <c r="Q155" s="16">
        <f>IFERROR(INDEX(計算用!$G$2:$G$186,MATCH("女白"&amp;$J155,計算用!$L$2:$L$186,0)),"")</f>
        <v/>
      </c>
    </row>
    <row r="156">
      <c r="A156" s="15">
        <f>IF(ROW()-3&lt;=MAX(計算用!$Q$2,計算用!$Q$3),ROW()-3,"")</f>
        <v/>
      </c>
      <c r="B156" s="15">
        <f>IFERROR(INDEX(計算用!$D$2:$D$186,MATCH("男赤"&amp;$A156,計算用!$L$2:$L$186,0)),"")</f>
        <v/>
      </c>
      <c r="C156" s="15">
        <f>IFERROR(INDEX(計算用!$M$2:$M$186,MATCH("男赤"&amp;$A156,計算用!$L$2:$L$186,0)),"")</f>
        <v/>
      </c>
      <c r="D156" s="16">
        <f>IFERROR(INDEX(計算用!$G$2:$G$186,MATCH("男赤"&amp;$A156,計算用!$L$2:$L$186,0)),"")</f>
        <v/>
      </c>
      <c r="E156" s="15" t="n"/>
      <c r="F156" s="15">
        <f>IFERROR(INDEX(計算用!$D$2:$D$186,MATCH("男白"&amp;$A156,計算用!$L$2:$L$186,0)),"")</f>
        <v/>
      </c>
      <c r="G156" s="15">
        <f>IFERROR(INDEX(計算用!$M$2:$M$186,MATCH("男白"&amp;$A156,計算用!$L$2:$L$186,0)),"")</f>
        <v/>
      </c>
      <c r="H156" s="16">
        <f>IFERROR(INDEX(計算用!$G$2:$G$186,MATCH("男白"&amp;$A156,計算用!$L$2:$L$186,0)),"")</f>
        <v/>
      </c>
      <c r="I156" s="15" t="n"/>
      <c r="J156" s="15">
        <f>IF(ROW()-3&lt;=MAX(計算用!$Q$4,計算用!$Q$5),ROW()-3,"")</f>
        <v/>
      </c>
      <c r="K156" s="15">
        <f>IFERROR(INDEX(計算用!$D$2:$D$186,MATCH("女赤"&amp;$J156,計算用!$L$2:$L$186,0)),"")</f>
        <v/>
      </c>
      <c r="L156" s="15">
        <f>IFERROR(INDEX(計算用!$M$2:$M$186,MATCH("女赤"&amp;$J156,計算用!$L$2:$L$186,0)),"")</f>
        <v/>
      </c>
      <c r="M156" s="16">
        <f>IFERROR(INDEX(計算用!$G$2:$G$186,MATCH("女赤"&amp;$J156,計算用!$L$2:$L$186,0)),"")</f>
        <v/>
      </c>
      <c r="N156" s="15" t="n"/>
      <c r="O156" s="15">
        <f>IFERROR(INDEX(計算用!$D$2:$D$186,MATCH("女白"&amp;$J156,計算用!$L$2:$L$186,0)),"")</f>
        <v/>
      </c>
      <c r="P156" s="15">
        <f>IFERROR(INDEX(計算用!$M$2:$M$186,MATCH("女白"&amp;$J156,計算用!$L$2:$L$186,0)),"")</f>
        <v/>
      </c>
      <c r="Q156" s="16">
        <f>IFERROR(INDEX(計算用!$G$2:$G$186,MATCH("女白"&amp;$J156,計算用!$L$2:$L$186,0)),"")</f>
        <v/>
      </c>
    </row>
    <row r="157">
      <c r="A157" s="15">
        <f>IF(ROW()-3&lt;=MAX(計算用!$Q$2,計算用!$Q$3),ROW()-3,"")</f>
        <v/>
      </c>
      <c r="B157" s="15">
        <f>IFERROR(INDEX(計算用!$D$2:$D$186,MATCH("男赤"&amp;$A157,計算用!$L$2:$L$186,0)),"")</f>
        <v/>
      </c>
      <c r="C157" s="15">
        <f>IFERROR(INDEX(計算用!$M$2:$M$186,MATCH("男赤"&amp;$A157,計算用!$L$2:$L$186,0)),"")</f>
        <v/>
      </c>
      <c r="D157" s="16">
        <f>IFERROR(INDEX(計算用!$G$2:$G$186,MATCH("男赤"&amp;$A157,計算用!$L$2:$L$186,0)),"")</f>
        <v/>
      </c>
      <c r="E157" s="15" t="n"/>
      <c r="F157" s="15">
        <f>IFERROR(INDEX(計算用!$D$2:$D$186,MATCH("男白"&amp;$A157,計算用!$L$2:$L$186,0)),"")</f>
        <v/>
      </c>
      <c r="G157" s="15">
        <f>IFERROR(INDEX(計算用!$M$2:$M$186,MATCH("男白"&amp;$A157,計算用!$L$2:$L$186,0)),"")</f>
        <v/>
      </c>
      <c r="H157" s="16">
        <f>IFERROR(INDEX(計算用!$G$2:$G$186,MATCH("男白"&amp;$A157,計算用!$L$2:$L$186,0)),"")</f>
        <v/>
      </c>
      <c r="I157" s="15" t="n"/>
      <c r="J157" s="15">
        <f>IF(ROW()-3&lt;=MAX(計算用!$Q$4,計算用!$Q$5),ROW()-3,"")</f>
        <v/>
      </c>
      <c r="K157" s="15">
        <f>IFERROR(INDEX(計算用!$D$2:$D$186,MATCH("女赤"&amp;$J157,計算用!$L$2:$L$186,0)),"")</f>
        <v/>
      </c>
      <c r="L157" s="15">
        <f>IFERROR(INDEX(計算用!$M$2:$M$186,MATCH("女赤"&amp;$J157,計算用!$L$2:$L$186,0)),"")</f>
        <v/>
      </c>
      <c r="M157" s="16">
        <f>IFERROR(INDEX(計算用!$G$2:$G$186,MATCH("女赤"&amp;$J157,計算用!$L$2:$L$186,0)),"")</f>
        <v/>
      </c>
      <c r="N157" s="15" t="n"/>
      <c r="O157" s="15">
        <f>IFERROR(INDEX(計算用!$D$2:$D$186,MATCH("女白"&amp;$J157,計算用!$L$2:$L$186,0)),"")</f>
        <v/>
      </c>
      <c r="P157" s="15">
        <f>IFERROR(INDEX(計算用!$M$2:$M$186,MATCH("女白"&amp;$J157,計算用!$L$2:$L$186,0)),"")</f>
        <v/>
      </c>
      <c r="Q157" s="16">
        <f>IFERROR(INDEX(計算用!$G$2:$G$186,MATCH("女白"&amp;$J157,計算用!$L$2:$L$186,0)),"")</f>
        <v/>
      </c>
    </row>
    <row r="158">
      <c r="A158" s="15">
        <f>IF(ROW()-3&lt;=MAX(計算用!$Q$2,計算用!$Q$3),ROW()-3,"")</f>
        <v/>
      </c>
      <c r="B158" s="15">
        <f>IFERROR(INDEX(計算用!$D$2:$D$186,MATCH("男赤"&amp;$A158,計算用!$L$2:$L$186,0)),"")</f>
        <v/>
      </c>
      <c r="C158" s="15">
        <f>IFERROR(INDEX(計算用!$M$2:$M$186,MATCH("男赤"&amp;$A158,計算用!$L$2:$L$186,0)),"")</f>
        <v/>
      </c>
      <c r="D158" s="16">
        <f>IFERROR(INDEX(計算用!$G$2:$G$186,MATCH("男赤"&amp;$A158,計算用!$L$2:$L$186,0)),"")</f>
        <v/>
      </c>
      <c r="E158" s="15" t="n"/>
      <c r="F158" s="15">
        <f>IFERROR(INDEX(計算用!$D$2:$D$186,MATCH("男白"&amp;$A158,計算用!$L$2:$L$186,0)),"")</f>
        <v/>
      </c>
      <c r="G158" s="15">
        <f>IFERROR(INDEX(計算用!$M$2:$M$186,MATCH("男白"&amp;$A158,計算用!$L$2:$L$186,0)),"")</f>
        <v/>
      </c>
      <c r="H158" s="16">
        <f>IFERROR(INDEX(計算用!$G$2:$G$186,MATCH("男白"&amp;$A158,計算用!$L$2:$L$186,0)),"")</f>
        <v/>
      </c>
      <c r="I158" s="15" t="n"/>
      <c r="J158" s="15">
        <f>IF(ROW()-3&lt;=MAX(計算用!$Q$4,計算用!$Q$5),ROW()-3,"")</f>
        <v/>
      </c>
      <c r="K158" s="15">
        <f>IFERROR(INDEX(計算用!$D$2:$D$186,MATCH("女赤"&amp;$J158,計算用!$L$2:$L$186,0)),"")</f>
        <v/>
      </c>
      <c r="L158" s="15">
        <f>IFERROR(INDEX(計算用!$M$2:$M$186,MATCH("女赤"&amp;$J158,計算用!$L$2:$L$186,0)),"")</f>
        <v/>
      </c>
      <c r="M158" s="16">
        <f>IFERROR(INDEX(計算用!$G$2:$G$186,MATCH("女赤"&amp;$J158,計算用!$L$2:$L$186,0)),"")</f>
        <v/>
      </c>
      <c r="N158" s="15" t="n"/>
      <c r="O158" s="15">
        <f>IFERROR(INDEX(計算用!$D$2:$D$186,MATCH("女白"&amp;$J158,計算用!$L$2:$L$186,0)),"")</f>
        <v/>
      </c>
      <c r="P158" s="15">
        <f>IFERROR(INDEX(計算用!$M$2:$M$186,MATCH("女白"&amp;$J158,計算用!$L$2:$L$186,0)),"")</f>
        <v/>
      </c>
      <c r="Q158" s="16">
        <f>IFERROR(INDEX(計算用!$G$2:$G$186,MATCH("女白"&amp;$J158,計算用!$L$2:$L$186,0)),"")</f>
        <v/>
      </c>
    </row>
    <row r="159">
      <c r="A159" s="15">
        <f>IF(ROW()-3&lt;=MAX(計算用!$Q$2,計算用!$Q$3),ROW()-3,"")</f>
        <v/>
      </c>
      <c r="B159" s="15">
        <f>IFERROR(INDEX(計算用!$D$2:$D$186,MATCH("男赤"&amp;$A159,計算用!$L$2:$L$186,0)),"")</f>
        <v/>
      </c>
      <c r="C159" s="15">
        <f>IFERROR(INDEX(計算用!$M$2:$M$186,MATCH("男赤"&amp;$A159,計算用!$L$2:$L$186,0)),"")</f>
        <v/>
      </c>
      <c r="D159" s="16">
        <f>IFERROR(INDEX(計算用!$G$2:$G$186,MATCH("男赤"&amp;$A159,計算用!$L$2:$L$186,0)),"")</f>
        <v/>
      </c>
      <c r="E159" s="15" t="n"/>
      <c r="F159" s="15">
        <f>IFERROR(INDEX(計算用!$D$2:$D$186,MATCH("男白"&amp;$A159,計算用!$L$2:$L$186,0)),"")</f>
        <v/>
      </c>
      <c r="G159" s="15">
        <f>IFERROR(INDEX(計算用!$M$2:$M$186,MATCH("男白"&amp;$A159,計算用!$L$2:$L$186,0)),"")</f>
        <v/>
      </c>
      <c r="H159" s="16">
        <f>IFERROR(INDEX(計算用!$G$2:$G$186,MATCH("男白"&amp;$A159,計算用!$L$2:$L$186,0)),"")</f>
        <v/>
      </c>
      <c r="I159" s="15" t="n"/>
      <c r="J159" s="15">
        <f>IF(ROW()-3&lt;=MAX(計算用!$Q$4,計算用!$Q$5),ROW()-3,"")</f>
        <v/>
      </c>
      <c r="K159" s="15">
        <f>IFERROR(INDEX(計算用!$D$2:$D$186,MATCH("女赤"&amp;$J159,計算用!$L$2:$L$186,0)),"")</f>
        <v/>
      </c>
      <c r="L159" s="15">
        <f>IFERROR(INDEX(計算用!$M$2:$M$186,MATCH("女赤"&amp;$J159,計算用!$L$2:$L$186,0)),"")</f>
        <v/>
      </c>
      <c r="M159" s="16">
        <f>IFERROR(INDEX(計算用!$G$2:$G$186,MATCH("女赤"&amp;$J159,計算用!$L$2:$L$186,0)),"")</f>
        <v/>
      </c>
      <c r="N159" s="15" t="n"/>
      <c r="O159" s="15">
        <f>IFERROR(INDEX(計算用!$D$2:$D$186,MATCH("女白"&amp;$J159,計算用!$L$2:$L$186,0)),"")</f>
        <v/>
      </c>
      <c r="P159" s="15">
        <f>IFERROR(INDEX(計算用!$M$2:$M$186,MATCH("女白"&amp;$J159,計算用!$L$2:$L$186,0)),"")</f>
        <v/>
      </c>
      <c r="Q159" s="16">
        <f>IFERROR(INDEX(計算用!$G$2:$G$186,MATCH("女白"&amp;$J159,計算用!$L$2:$L$186,0)),"")</f>
        <v/>
      </c>
    </row>
    <row r="160">
      <c r="A160" s="15">
        <f>IF(ROW()-3&lt;=MAX(計算用!$Q$2,計算用!$Q$3),ROW()-3,"")</f>
        <v/>
      </c>
      <c r="B160" s="15">
        <f>IFERROR(INDEX(計算用!$D$2:$D$186,MATCH("男赤"&amp;$A160,計算用!$L$2:$L$186,0)),"")</f>
        <v/>
      </c>
      <c r="C160" s="15">
        <f>IFERROR(INDEX(計算用!$M$2:$M$186,MATCH("男赤"&amp;$A160,計算用!$L$2:$L$186,0)),"")</f>
        <v/>
      </c>
      <c r="D160" s="16">
        <f>IFERROR(INDEX(計算用!$G$2:$G$186,MATCH("男赤"&amp;$A160,計算用!$L$2:$L$186,0)),"")</f>
        <v/>
      </c>
      <c r="E160" s="15" t="n"/>
      <c r="F160" s="15">
        <f>IFERROR(INDEX(計算用!$D$2:$D$186,MATCH("男白"&amp;$A160,計算用!$L$2:$L$186,0)),"")</f>
        <v/>
      </c>
      <c r="G160" s="15">
        <f>IFERROR(INDEX(計算用!$M$2:$M$186,MATCH("男白"&amp;$A160,計算用!$L$2:$L$186,0)),"")</f>
        <v/>
      </c>
      <c r="H160" s="16">
        <f>IFERROR(INDEX(計算用!$G$2:$G$186,MATCH("男白"&amp;$A160,計算用!$L$2:$L$186,0)),"")</f>
        <v/>
      </c>
      <c r="I160" s="15" t="n"/>
      <c r="J160" s="15">
        <f>IF(ROW()-3&lt;=MAX(計算用!$Q$4,計算用!$Q$5),ROW()-3,"")</f>
        <v/>
      </c>
      <c r="K160" s="15">
        <f>IFERROR(INDEX(計算用!$D$2:$D$186,MATCH("女赤"&amp;$J160,計算用!$L$2:$L$186,0)),"")</f>
        <v/>
      </c>
      <c r="L160" s="15">
        <f>IFERROR(INDEX(計算用!$M$2:$M$186,MATCH("女赤"&amp;$J160,計算用!$L$2:$L$186,0)),"")</f>
        <v/>
      </c>
      <c r="M160" s="16">
        <f>IFERROR(INDEX(計算用!$G$2:$G$186,MATCH("女赤"&amp;$J160,計算用!$L$2:$L$186,0)),"")</f>
        <v/>
      </c>
      <c r="N160" s="15" t="n"/>
      <c r="O160" s="15">
        <f>IFERROR(INDEX(計算用!$D$2:$D$186,MATCH("女白"&amp;$J160,計算用!$L$2:$L$186,0)),"")</f>
        <v/>
      </c>
      <c r="P160" s="15">
        <f>IFERROR(INDEX(計算用!$M$2:$M$186,MATCH("女白"&amp;$J160,計算用!$L$2:$L$186,0)),"")</f>
        <v/>
      </c>
      <c r="Q160" s="16">
        <f>IFERROR(INDEX(計算用!$G$2:$G$186,MATCH("女白"&amp;$J160,計算用!$L$2:$L$186,0)),"")</f>
        <v/>
      </c>
    </row>
    <row r="161">
      <c r="A161" s="15">
        <f>IF(ROW()-3&lt;=MAX(計算用!$Q$2,計算用!$Q$3),ROW()-3,"")</f>
        <v/>
      </c>
      <c r="B161" s="15">
        <f>IFERROR(INDEX(計算用!$D$2:$D$186,MATCH("男赤"&amp;$A161,計算用!$L$2:$L$186,0)),"")</f>
        <v/>
      </c>
      <c r="C161" s="15">
        <f>IFERROR(INDEX(計算用!$M$2:$M$186,MATCH("男赤"&amp;$A161,計算用!$L$2:$L$186,0)),"")</f>
        <v/>
      </c>
      <c r="D161" s="16">
        <f>IFERROR(INDEX(計算用!$G$2:$G$186,MATCH("男赤"&amp;$A161,計算用!$L$2:$L$186,0)),"")</f>
        <v/>
      </c>
      <c r="E161" s="15" t="n"/>
      <c r="F161" s="15">
        <f>IFERROR(INDEX(計算用!$D$2:$D$186,MATCH("男白"&amp;$A161,計算用!$L$2:$L$186,0)),"")</f>
        <v/>
      </c>
      <c r="G161" s="15">
        <f>IFERROR(INDEX(計算用!$M$2:$M$186,MATCH("男白"&amp;$A161,計算用!$L$2:$L$186,0)),"")</f>
        <v/>
      </c>
      <c r="H161" s="16">
        <f>IFERROR(INDEX(計算用!$G$2:$G$186,MATCH("男白"&amp;$A161,計算用!$L$2:$L$186,0)),"")</f>
        <v/>
      </c>
      <c r="I161" s="15" t="n"/>
      <c r="J161" s="15">
        <f>IF(ROW()-3&lt;=MAX(計算用!$Q$4,計算用!$Q$5),ROW()-3,"")</f>
        <v/>
      </c>
      <c r="K161" s="15">
        <f>IFERROR(INDEX(計算用!$D$2:$D$186,MATCH("女赤"&amp;$J161,計算用!$L$2:$L$186,0)),"")</f>
        <v/>
      </c>
      <c r="L161" s="15">
        <f>IFERROR(INDEX(計算用!$M$2:$M$186,MATCH("女赤"&amp;$J161,計算用!$L$2:$L$186,0)),"")</f>
        <v/>
      </c>
      <c r="M161" s="16">
        <f>IFERROR(INDEX(計算用!$G$2:$G$186,MATCH("女赤"&amp;$J161,計算用!$L$2:$L$186,0)),"")</f>
        <v/>
      </c>
      <c r="N161" s="15" t="n"/>
      <c r="O161" s="15">
        <f>IFERROR(INDEX(計算用!$D$2:$D$186,MATCH("女白"&amp;$J161,計算用!$L$2:$L$186,0)),"")</f>
        <v/>
      </c>
      <c r="P161" s="15">
        <f>IFERROR(INDEX(計算用!$M$2:$M$186,MATCH("女白"&amp;$J161,計算用!$L$2:$L$186,0)),"")</f>
        <v/>
      </c>
      <c r="Q161" s="16">
        <f>IFERROR(INDEX(計算用!$G$2:$G$186,MATCH("女白"&amp;$J161,計算用!$L$2:$L$186,0)),"")</f>
        <v/>
      </c>
    </row>
    <row r="162">
      <c r="A162" s="15">
        <f>IF(ROW()-3&lt;=MAX(計算用!$Q$2,計算用!$Q$3),ROW()-3,"")</f>
        <v/>
      </c>
      <c r="B162" s="15">
        <f>IFERROR(INDEX(計算用!$D$2:$D$186,MATCH("男赤"&amp;$A162,計算用!$L$2:$L$186,0)),"")</f>
        <v/>
      </c>
      <c r="C162" s="15">
        <f>IFERROR(INDEX(計算用!$M$2:$M$186,MATCH("男赤"&amp;$A162,計算用!$L$2:$L$186,0)),"")</f>
        <v/>
      </c>
      <c r="D162" s="16">
        <f>IFERROR(INDEX(計算用!$G$2:$G$186,MATCH("男赤"&amp;$A162,計算用!$L$2:$L$186,0)),"")</f>
        <v/>
      </c>
      <c r="E162" s="15" t="n"/>
      <c r="F162" s="15">
        <f>IFERROR(INDEX(計算用!$D$2:$D$186,MATCH("男白"&amp;$A162,計算用!$L$2:$L$186,0)),"")</f>
        <v/>
      </c>
      <c r="G162" s="15">
        <f>IFERROR(INDEX(計算用!$M$2:$M$186,MATCH("男白"&amp;$A162,計算用!$L$2:$L$186,0)),"")</f>
        <v/>
      </c>
      <c r="H162" s="16">
        <f>IFERROR(INDEX(計算用!$G$2:$G$186,MATCH("男白"&amp;$A162,計算用!$L$2:$L$186,0)),"")</f>
        <v/>
      </c>
      <c r="I162" s="15" t="n"/>
      <c r="J162" s="15">
        <f>IF(ROW()-3&lt;=MAX(計算用!$Q$4,計算用!$Q$5),ROW()-3,"")</f>
        <v/>
      </c>
      <c r="K162" s="15">
        <f>IFERROR(INDEX(計算用!$D$2:$D$186,MATCH("女赤"&amp;$J162,計算用!$L$2:$L$186,0)),"")</f>
        <v/>
      </c>
      <c r="L162" s="15">
        <f>IFERROR(INDEX(計算用!$M$2:$M$186,MATCH("女赤"&amp;$J162,計算用!$L$2:$L$186,0)),"")</f>
        <v/>
      </c>
      <c r="M162" s="16">
        <f>IFERROR(INDEX(計算用!$G$2:$G$186,MATCH("女赤"&amp;$J162,計算用!$L$2:$L$186,0)),"")</f>
        <v/>
      </c>
      <c r="N162" s="15" t="n"/>
      <c r="O162" s="15">
        <f>IFERROR(INDEX(計算用!$D$2:$D$186,MATCH("女白"&amp;$J162,計算用!$L$2:$L$186,0)),"")</f>
        <v/>
      </c>
      <c r="P162" s="15">
        <f>IFERROR(INDEX(計算用!$M$2:$M$186,MATCH("女白"&amp;$J162,計算用!$L$2:$L$186,0)),"")</f>
        <v/>
      </c>
      <c r="Q162" s="16">
        <f>IFERROR(INDEX(計算用!$G$2:$G$186,MATCH("女白"&amp;$J162,計算用!$L$2:$L$186,0)),"")</f>
        <v/>
      </c>
    </row>
    <row r="163">
      <c r="A163" s="15">
        <f>IF(ROW()-3&lt;=MAX(計算用!$Q$2,計算用!$Q$3),ROW()-3,"")</f>
        <v/>
      </c>
      <c r="B163" s="15">
        <f>IFERROR(INDEX(計算用!$D$2:$D$186,MATCH("男赤"&amp;$A163,計算用!$L$2:$L$186,0)),"")</f>
        <v/>
      </c>
      <c r="C163" s="15">
        <f>IFERROR(INDEX(計算用!$M$2:$M$186,MATCH("男赤"&amp;$A163,計算用!$L$2:$L$186,0)),"")</f>
        <v/>
      </c>
      <c r="D163" s="16">
        <f>IFERROR(INDEX(計算用!$G$2:$G$186,MATCH("男赤"&amp;$A163,計算用!$L$2:$L$186,0)),"")</f>
        <v/>
      </c>
      <c r="E163" s="15" t="n"/>
      <c r="F163" s="15">
        <f>IFERROR(INDEX(計算用!$D$2:$D$186,MATCH("男白"&amp;$A163,計算用!$L$2:$L$186,0)),"")</f>
        <v/>
      </c>
      <c r="G163" s="15">
        <f>IFERROR(INDEX(計算用!$M$2:$M$186,MATCH("男白"&amp;$A163,計算用!$L$2:$L$186,0)),"")</f>
        <v/>
      </c>
      <c r="H163" s="16">
        <f>IFERROR(INDEX(計算用!$G$2:$G$186,MATCH("男白"&amp;$A163,計算用!$L$2:$L$186,0)),"")</f>
        <v/>
      </c>
      <c r="I163" s="15" t="n"/>
      <c r="J163" s="15">
        <f>IF(ROW()-3&lt;=MAX(計算用!$Q$4,計算用!$Q$5),ROW()-3,"")</f>
        <v/>
      </c>
      <c r="K163" s="15">
        <f>IFERROR(INDEX(計算用!$D$2:$D$186,MATCH("女赤"&amp;$J163,計算用!$L$2:$L$186,0)),"")</f>
        <v/>
      </c>
      <c r="L163" s="15">
        <f>IFERROR(INDEX(計算用!$M$2:$M$186,MATCH("女赤"&amp;$J163,計算用!$L$2:$L$186,0)),"")</f>
        <v/>
      </c>
      <c r="M163" s="16">
        <f>IFERROR(INDEX(計算用!$G$2:$G$186,MATCH("女赤"&amp;$J163,計算用!$L$2:$L$186,0)),"")</f>
        <v/>
      </c>
      <c r="N163" s="15" t="n"/>
      <c r="O163" s="15">
        <f>IFERROR(INDEX(計算用!$D$2:$D$186,MATCH("女白"&amp;$J163,計算用!$L$2:$L$186,0)),"")</f>
        <v/>
      </c>
      <c r="P163" s="15">
        <f>IFERROR(INDEX(計算用!$M$2:$M$186,MATCH("女白"&amp;$J163,計算用!$L$2:$L$186,0)),"")</f>
        <v/>
      </c>
      <c r="Q163" s="16">
        <f>IFERROR(INDEX(計算用!$G$2:$G$186,MATCH("女白"&amp;$J163,計算用!$L$2:$L$186,0)),"")</f>
        <v/>
      </c>
    </row>
    <row r="164">
      <c r="A164" s="15">
        <f>IF(ROW()-3&lt;=MAX(計算用!$Q$2,計算用!$Q$3),ROW()-3,"")</f>
        <v/>
      </c>
      <c r="B164" s="15">
        <f>IFERROR(INDEX(計算用!$D$2:$D$186,MATCH("男赤"&amp;$A164,計算用!$L$2:$L$186,0)),"")</f>
        <v/>
      </c>
      <c r="C164" s="15">
        <f>IFERROR(INDEX(計算用!$M$2:$M$186,MATCH("男赤"&amp;$A164,計算用!$L$2:$L$186,0)),"")</f>
        <v/>
      </c>
      <c r="D164" s="16">
        <f>IFERROR(INDEX(計算用!$G$2:$G$186,MATCH("男赤"&amp;$A164,計算用!$L$2:$L$186,0)),"")</f>
        <v/>
      </c>
      <c r="E164" s="15" t="n"/>
      <c r="F164" s="15">
        <f>IFERROR(INDEX(計算用!$D$2:$D$186,MATCH("男白"&amp;$A164,計算用!$L$2:$L$186,0)),"")</f>
        <v/>
      </c>
      <c r="G164" s="15">
        <f>IFERROR(INDEX(計算用!$M$2:$M$186,MATCH("男白"&amp;$A164,計算用!$L$2:$L$186,0)),"")</f>
        <v/>
      </c>
      <c r="H164" s="16">
        <f>IFERROR(INDEX(計算用!$G$2:$G$186,MATCH("男白"&amp;$A164,計算用!$L$2:$L$186,0)),"")</f>
        <v/>
      </c>
      <c r="I164" s="15" t="n"/>
      <c r="J164" s="15">
        <f>IF(ROW()-3&lt;=MAX(計算用!$Q$4,計算用!$Q$5),ROW()-3,"")</f>
        <v/>
      </c>
      <c r="K164" s="15">
        <f>IFERROR(INDEX(計算用!$D$2:$D$186,MATCH("女赤"&amp;$J164,計算用!$L$2:$L$186,0)),"")</f>
        <v/>
      </c>
      <c r="L164" s="15">
        <f>IFERROR(INDEX(計算用!$M$2:$M$186,MATCH("女赤"&amp;$J164,計算用!$L$2:$L$186,0)),"")</f>
        <v/>
      </c>
      <c r="M164" s="16">
        <f>IFERROR(INDEX(計算用!$G$2:$G$186,MATCH("女赤"&amp;$J164,計算用!$L$2:$L$186,0)),"")</f>
        <v/>
      </c>
      <c r="N164" s="15" t="n"/>
      <c r="O164" s="15">
        <f>IFERROR(INDEX(計算用!$D$2:$D$186,MATCH("女白"&amp;$J164,計算用!$L$2:$L$186,0)),"")</f>
        <v/>
      </c>
      <c r="P164" s="15">
        <f>IFERROR(INDEX(計算用!$M$2:$M$186,MATCH("女白"&amp;$J164,計算用!$L$2:$L$186,0)),"")</f>
        <v/>
      </c>
      <c r="Q164" s="16">
        <f>IFERROR(INDEX(計算用!$G$2:$G$186,MATCH("女白"&amp;$J164,計算用!$L$2:$L$186,0)),"")</f>
        <v/>
      </c>
    </row>
    <row r="165">
      <c r="A165" s="15">
        <f>IF(ROW()-3&lt;=MAX(計算用!$Q$2,計算用!$Q$3),ROW()-3,"")</f>
        <v/>
      </c>
      <c r="B165" s="15">
        <f>IFERROR(INDEX(計算用!$D$2:$D$186,MATCH("男赤"&amp;$A165,計算用!$L$2:$L$186,0)),"")</f>
        <v/>
      </c>
      <c r="C165" s="15">
        <f>IFERROR(INDEX(計算用!$M$2:$M$186,MATCH("男赤"&amp;$A165,計算用!$L$2:$L$186,0)),"")</f>
        <v/>
      </c>
      <c r="D165" s="16">
        <f>IFERROR(INDEX(計算用!$G$2:$G$186,MATCH("男赤"&amp;$A165,計算用!$L$2:$L$186,0)),"")</f>
        <v/>
      </c>
      <c r="E165" s="15" t="n"/>
      <c r="F165" s="15">
        <f>IFERROR(INDEX(計算用!$D$2:$D$186,MATCH("男白"&amp;$A165,計算用!$L$2:$L$186,0)),"")</f>
        <v/>
      </c>
      <c r="G165" s="15">
        <f>IFERROR(INDEX(計算用!$M$2:$M$186,MATCH("男白"&amp;$A165,計算用!$L$2:$L$186,0)),"")</f>
        <v/>
      </c>
      <c r="H165" s="16">
        <f>IFERROR(INDEX(計算用!$G$2:$G$186,MATCH("男白"&amp;$A165,計算用!$L$2:$L$186,0)),"")</f>
        <v/>
      </c>
      <c r="I165" s="15" t="n"/>
      <c r="J165" s="15">
        <f>IF(ROW()-3&lt;=MAX(計算用!$Q$4,計算用!$Q$5),ROW()-3,"")</f>
        <v/>
      </c>
      <c r="K165" s="15">
        <f>IFERROR(INDEX(計算用!$D$2:$D$186,MATCH("女赤"&amp;$J165,計算用!$L$2:$L$186,0)),"")</f>
        <v/>
      </c>
      <c r="L165" s="15">
        <f>IFERROR(INDEX(計算用!$M$2:$M$186,MATCH("女赤"&amp;$J165,計算用!$L$2:$L$186,0)),"")</f>
        <v/>
      </c>
      <c r="M165" s="16">
        <f>IFERROR(INDEX(計算用!$G$2:$G$186,MATCH("女赤"&amp;$J165,計算用!$L$2:$L$186,0)),"")</f>
        <v/>
      </c>
      <c r="N165" s="15" t="n"/>
      <c r="O165" s="15">
        <f>IFERROR(INDEX(計算用!$D$2:$D$186,MATCH("女白"&amp;$J165,計算用!$L$2:$L$186,0)),"")</f>
        <v/>
      </c>
      <c r="P165" s="15">
        <f>IFERROR(INDEX(計算用!$M$2:$M$186,MATCH("女白"&amp;$J165,計算用!$L$2:$L$186,0)),"")</f>
        <v/>
      </c>
      <c r="Q165" s="16">
        <f>IFERROR(INDEX(計算用!$G$2:$G$186,MATCH("女白"&amp;$J165,計算用!$L$2:$L$186,0)),"")</f>
        <v/>
      </c>
    </row>
    <row r="166">
      <c r="A166" s="15">
        <f>IF(ROW()-3&lt;=MAX(計算用!$Q$2,計算用!$Q$3),ROW()-3,"")</f>
        <v/>
      </c>
      <c r="B166" s="15">
        <f>IFERROR(INDEX(計算用!$D$2:$D$186,MATCH("男赤"&amp;$A166,計算用!$L$2:$L$186,0)),"")</f>
        <v/>
      </c>
      <c r="C166" s="15">
        <f>IFERROR(INDEX(計算用!$M$2:$M$186,MATCH("男赤"&amp;$A166,計算用!$L$2:$L$186,0)),"")</f>
        <v/>
      </c>
      <c r="D166" s="16">
        <f>IFERROR(INDEX(計算用!$G$2:$G$186,MATCH("男赤"&amp;$A166,計算用!$L$2:$L$186,0)),"")</f>
        <v/>
      </c>
      <c r="E166" s="15" t="n"/>
      <c r="F166" s="15">
        <f>IFERROR(INDEX(計算用!$D$2:$D$186,MATCH("男白"&amp;$A166,計算用!$L$2:$L$186,0)),"")</f>
        <v/>
      </c>
      <c r="G166" s="15">
        <f>IFERROR(INDEX(計算用!$M$2:$M$186,MATCH("男白"&amp;$A166,計算用!$L$2:$L$186,0)),"")</f>
        <v/>
      </c>
      <c r="H166" s="16">
        <f>IFERROR(INDEX(計算用!$G$2:$G$186,MATCH("男白"&amp;$A166,計算用!$L$2:$L$186,0)),"")</f>
        <v/>
      </c>
      <c r="I166" s="15" t="n"/>
      <c r="J166" s="15">
        <f>IF(ROW()-3&lt;=MAX(計算用!$Q$4,計算用!$Q$5),ROW()-3,"")</f>
        <v/>
      </c>
      <c r="K166" s="15">
        <f>IFERROR(INDEX(計算用!$D$2:$D$186,MATCH("女赤"&amp;$J166,計算用!$L$2:$L$186,0)),"")</f>
        <v/>
      </c>
      <c r="L166" s="15">
        <f>IFERROR(INDEX(計算用!$M$2:$M$186,MATCH("女赤"&amp;$J166,計算用!$L$2:$L$186,0)),"")</f>
        <v/>
      </c>
      <c r="M166" s="16">
        <f>IFERROR(INDEX(計算用!$G$2:$G$186,MATCH("女赤"&amp;$J166,計算用!$L$2:$L$186,0)),"")</f>
        <v/>
      </c>
      <c r="N166" s="15" t="n"/>
      <c r="O166" s="15">
        <f>IFERROR(INDEX(計算用!$D$2:$D$186,MATCH("女白"&amp;$J166,計算用!$L$2:$L$186,0)),"")</f>
        <v/>
      </c>
      <c r="P166" s="15">
        <f>IFERROR(INDEX(計算用!$M$2:$M$186,MATCH("女白"&amp;$J166,計算用!$L$2:$L$186,0)),"")</f>
        <v/>
      </c>
      <c r="Q166" s="16">
        <f>IFERROR(INDEX(計算用!$G$2:$G$186,MATCH("女白"&amp;$J166,計算用!$L$2:$L$186,0)),"")</f>
        <v/>
      </c>
    </row>
    <row r="167">
      <c r="A167" s="15">
        <f>IF(ROW()-3&lt;=MAX(計算用!$Q$2,計算用!$Q$3),ROW()-3,"")</f>
        <v/>
      </c>
      <c r="B167" s="15">
        <f>IFERROR(INDEX(計算用!$D$2:$D$186,MATCH("男赤"&amp;$A167,計算用!$L$2:$L$186,0)),"")</f>
        <v/>
      </c>
      <c r="C167" s="15">
        <f>IFERROR(INDEX(計算用!$M$2:$M$186,MATCH("男赤"&amp;$A167,計算用!$L$2:$L$186,0)),"")</f>
        <v/>
      </c>
      <c r="D167" s="16">
        <f>IFERROR(INDEX(計算用!$G$2:$G$186,MATCH("男赤"&amp;$A167,計算用!$L$2:$L$186,0)),"")</f>
        <v/>
      </c>
      <c r="E167" s="15" t="n"/>
      <c r="F167" s="15">
        <f>IFERROR(INDEX(計算用!$D$2:$D$186,MATCH("男白"&amp;$A167,計算用!$L$2:$L$186,0)),"")</f>
        <v/>
      </c>
      <c r="G167" s="15">
        <f>IFERROR(INDEX(計算用!$M$2:$M$186,MATCH("男白"&amp;$A167,計算用!$L$2:$L$186,0)),"")</f>
        <v/>
      </c>
      <c r="H167" s="16">
        <f>IFERROR(INDEX(計算用!$G$2:$G$186,MATCH("男白"&amp;$A167,計算用!$L$2:$L$186,0)),"")</f>
        <v/>
      </c>
      <c r="I167" s="15" t="n"/>
      <c r="J167" s="15">
        <f>IF(ROW()-3&lt;=MAX(計算用!$Q$4,計算用!$Q$5),ROW()-3,"")</f>
        <v/>
      </c>
      <c r="K167" s="15">
        <f>IFERROR(INDEX(計算用!$D$2:$D$186,MATCH("女赤"&amp;$J167,計算用!$L$2:$L$186,0)),"")</f>
        <v/>
      </c>
      <c r="L167" s="15">
        <f>IFERROR(INDEX(計算用!$M$2:$M$186,MATCH("女赤"&amp;$J167,計算用!$L$2:$L$186,0)),"")</f>
        <v/>
      </c>
      <c r="M167" s="16">
        <f>IFERROR(INDEX(計算用!$G$2:$G$186,MATCH("女赤"&amp;$J167,計算用!$L$2:$L$186,0)),"")</f>
        <v/>
      </c>
      <c r="N167" s="15" t="n"/>
      <c r="O167" s="15">
        <f>IFERROR(INDEX(計算用!$D$2:$D$186,MATCH("女白"&amp;$J167,計算用!$L$2:$L$186,0)),"")</f>
        <v/>
      </c>
      <c r="P167" s="15">
        <f>IFERROR(INDEX(計算用!$M$2:$M$186,MATCH("女白"&amp;$J167,計算用!$L$2:$L$186,0)),"")</f>
        <v/>
      </c>
      <c r="Q167" s="16">
        <f>IFERROR(INDEX(計算用!$G$2:$G$186,MATCH("女白"&amp;$J167,計算用!$L$2:$L$186,0)),"")</f>
        <v/>
      </c>
    </row>
    <row r="168">
      <c r="A168" s="15">
        <f>IF(ROW()-3&lt;=MAX(計算用!$Q$2,計算用!$Q$3),ROW()-3,"")</f>
        <v/>
      </c>
      <c r="B168" s="15">
        <f>IFERROR(INDEX(計算用!$D$2:$D$186,MATCH("男赤"&amp;$A168,計算用!$L$2:$L$186,0)),"")</f>
        <v/>
      </c>
      <c r="C168" s="15">
        <f>IFERROR(INDEX(計算用!$M$2:$M$186,MATCH("男赤"&amp;$A168,計算用!$L$2:$L$186,0)),"")</f>
        <v/>
      </c>
      <c r="D168" s="16">
        <f>IFERROR(INDEX(計算用!$G$2:$G$186,MATCH("男赤"&amp;$A168,計算用!$L$2:$L$186,0)),"")</f>
        <v/>
      </c>
      <c r="E168" s="15" t="n"/>
      <c r="F168" s="15">
        <f>IFERROR(INDEX(計算用!$D$2:$D$186,MATCH("男白"&amp;$A168,計算用!$L$2:$L$186,0)),"")</f>
        <v/>
      </c>
      <c r="G168" s="15">
        <f>IFERROR(INDEX(計算用!$M$2:$M$186,MATCH("男白"&amp;$A168,計算用!$L$2:$L$186,0)),"")</f>
        <v/>
      </c>
      <c r="H168" s="16">
        <f>IFERROR(INDEX(計算用!$G$2:$G$186,MATCH("男白"&amp;$A168,計算用!$L$2:$L$186,0)),"")</f>
        <v/>
      </c>
      <c r="I168" s="15" t="n"/>
      <c r="J168" s="15">
        <f>IF(ROW()-3&lt;=MAX(計算用!$Q$4,計算用!$Q$5),ROW()-3,"")</f>
        <v/>
      </c>
      <c r="K168" s="15">
        <f>IFERROR(INDEX(計算用!$D$2:$D$186,MATCH("女赤"&amp;$J168,計算用!$L$2:$L$186,0)),"")</f>
        <v/>
      </c>
      <c r="L168" s="15">
        <f>IFERROR(INDEX(計算用!$M$2:$M$186,MATCH("女赤"&amp;$J168,計算用!$L$2:$L$186,0)),"")</f>
        <v/>
      </c>
      <c r="M168" s="16">
        <f>IFERROR(INDEX(計算用!$G$2:$G$186,MATCH("女赤"&amp;$J168,計算用!$L$2:$L$186,0)),"")</f>
        <v/>
      </c>
      <c r="N168" s="15" t="n"/>
      <c r="O168" s="15">
        <f>IFERROR(INDEX(計算用!$D$2:$D$186,MATCH("女白"&amp;$J168,計算用!$L$2:$L$186,0)),"")</f>
        <v/>
      </c>
      <c r="P168" s="15">
        <f>IFERROR(INDEX(計算用!$M$2:$M$186,MATCH("女白"&amp;$J168,計算用!$L$2:$L$186,0)),"")</f>
        <v/>
      </c>
      <c r="Q168" s="16">
        <f>IFERROR(INDEX(計算用!$G$2:$G$186,MATCH("女白"&amp;$J168,計算用!$L$2:$L$186,0)),"")</f>
        <v/>
      </c>
    </row>
    <row r="169">
      <c r="A169" s="15">
        <f>IF(ROW()-3&lt;=MAX(計算用!$Q$2,計算用!$Q$3),ROW()-3,"")</f>
        <v/>
      </c>
      <c r="B169" s="15">
        <f>IFERROR(INDEX(計算用!$D$2:$D$186,MATCH("男赤"&amp;$A169,計算用!$L$2:$L$186,0)),"")</f>
        <v/>
      </c>
      <c r="C169" s="15">
        <f>IFERROR(INDEX(計算用!$M$2:$M$186,MATCH("男赤"&amp;$A169,計算用!$L$2:$L$186,0)),"")</f>
        <v/>
      </c>
      <c r="D169" s="16">
        <f>IFERROR(INDEX(計算用!$G$2:$G$186,MATCH("男赤"&amp;$A169,計算用!$L$2:$L$186,0)),"")</f>
        <v/>
      </c>
      <c r="E169" s="15" t="n"/>
      <c r="F169" s="15">
        <f>IFERROR(INDEX(計算用!$D$2:$D$186,MATCH("男白"&amp;$A169,計算用!$L$2:$L$186,0)),"")</f>
        <v/>
      </c>
      <c r="G169" s="15">
        <f>IFERROR(INDEX(計算用!$M$2:$M$186,MATCH("男白"&amp;$A169,計算用!$L$2:$L$186,0)),"")</f>
        <v/>
      </c>
      <c r="H169" s="16">
        <f>IFERROR(INDEX(計算用!$G$2:$G$186,MATCH("男白"&amp;$A169,計算用!$L$2:$L$186,0)),"")</f>
        <v/>
      </c>
      <c r="I169" s="15" t="n"/>
      <c r="J169" s="15">
        <f>IF(ROW()-3&lt;=MAX(計算用!$Q$4,計算用!$Q$5),ROW()-3,"")</f>
        <v/>
      </c>
      <c r="K169" s="15">
        <f>IFERROR(INDEX(計算用!$D$2:$D$186,MATCH("女赤"&amp;$J169,計算用!$L$2:$L$186,0)),"")</f>
        <v/>
      </c>
      <c r="L169" s="15">
        <f>IFERROR(INDEX(計算用!$M$2:$M$186,MATCH("女赤"&amp;$J169,計算用!$L$2:$L$186,0)),"")</f>
        <v/>
      </c>
      <c r="M169" s="16">
        <f>IFERROR(INDEX(計算用!$G$2:$G$186,MATCH("女赤"&amp;$J169,計算用!$L$2:$L$186,0)),"")</f>
        <v/>
      </c>
      <c r="N169" s="15" t="n"/>
      <c r="O169" s="15">
        <f>IFERROR(INDEX(計算用!$D$2:$D$186,MATCH("女白"&amp;$J169,計算用!$L$2:$L$186,0)),"")</f>
        <v/>
      </c>
      <c r="P169" s="15">
        <f>IFERROR(INDEX(計算用!$M$2:$M$186,MATCH("女白"&amp;$J169,計算用!$L$2:$L$186,0)),"")</f>
        <v/>
      </c>
      <c r="Q169" s="16">
        <f>IFERROR(INDEX(計算用!$G$2:$G$186,MATCH("女白"&amp;$J169,計算用!$L$2:$L$186,0)),"")</f>
        <v/>
      </c>
    </row>
    <row r="170">
      <c r="A170" s="15">
        <f>IF(ROW()-3&lt;=MAX(計算用!$Q$2,計算用!$Q$3),ROW()-3,"")</f>
        <v/>
      </c>
      <c r="B170" s="15">
        <f>IFERROR(INDEX(計算用!$D$2:$D$186,MATCH("男赤"&amp;$A170,計算用!$L$2:$L$186,0)),"")</f>
        <v/>
      </c>
      <c r="C170" s="15">
        <f>IFERROR(INDEX(計算用!$M$2:$M$186,MATCH("男赤"&amp;$A170,計算用!$L$2:$L$186,0)),"")</f>
        <v/>
      </c>
      <c r="D170" s="16">
        <f>IFERROR(INDEX(計算用!$G$2:$G$186,MATCH("男赤"&amp;$A170,計算用!$L$2:$L$186,0)),"")</f>
        <v/>
      </c>
      <c r="E170" s="15" t="n"/>
      <c r="F170" s="15">
        <f>IFERROR(INDEX(計算用!$D$2:$D$186,MATCH("男白"&amp;$A170,計算用!$L$2:$L$186,0)),"")</f>
        <v/>
      </c>
      <c r="G170" s="15">
        <f>IFERROR(INDEX(計算用!$M$2:$M$186,MATCH("男白"&amp;$A170,計算用!$L$2:$L$186,0)),"")</f>
        <v/>
      </c>
      <c r="H170" s="16">
        <f>IFERROR(INDEX(計算用!$G$2:$G$186,MATCH("男白"&amp;$A170,計算用!$L$2:$L$186,0)),"")</f>
        <v/>
      </c>
      <c r="I170" s="15" t="n"/>
      <c r="J170" s="15">
        <f>IF(ROW()-3&lt;=MAX(計算用!$Q$4,計算用!$Q$5),ROW()-3,"")</f>
        <v/>
      </c>
      <c r="K170" s="15">
        <f>IFERROR(INDEX(計算用!$D$2:$D$186,MATCH("女赤"&amp;$J170,計算用!$L$2:$L$186,0)),"")</f>
        <v/>
      </c>
      <c r="L170" s="15">
        <f>IFERROR(INDEX(計算用!$M$2:$M$186,MATCH("女赤"&amp;$J170,計算用!$L$2:$L$186,0)),"")</f>
        <v/>
      </c>
      <c r="M170" s="16">
        <f>IFERROR(INDEX(計算用!$G$2:$G$186,MATCH("女赤"&amp;$J170,計算用!$L$2:$L$186,0)),"")</f>
        <v/>
      </c>
      <c r="N170" s="15" t="n"/>
      <c r="O170" s="15">
        <f>IFERROR(INDEX(計算用!$D$2:$D$186,MATCH("女白"&amp;$J170,計算用!$L$2:$L$186,0)),"")</f>
        <v/>
      </c>
      <c r="P170" s="15">
        <f>IFERROR(INDEX(計算用!$M$2:$M$186,MATCH("女白"&amp;$J170,計算用!$L$2:$L$186,0)),"")</f>
        <v/>
      </c>
      <c r="Q170" s="16">
        <f>IFERROR(INDEX(計算用!$G$2:$G$186,MATCH("女白"&amp;$J170,計算用!$L$2:$L$186,0)),"")</f>
        <v/>
      </c>
    </row>
    <row r="171">
      <c r="A171" s="15">
        <f>IF(ROW()-3&lt;=MAX(計算用!$Q$2,計算用!$Q$3),ROW()-3,"")</f>
        <v/>
      </c>
      <c r="B171" s="15">
        <f>IFERROR(INDEX(計算用!$D$2:$D$186,MATCH("男赤"&amp;$A171,計算用!$L$2:$L$186,0)),"")</f>
        <v/>
      </c>
      <c r="C171" s="15">
        <f>IFERROR(INDEX(計算用!$M$2:$M$186,MATCH("男赤"&amp;$A171,計算用!$L$2:$L$186,0)),"")</f>
        <v/>
      </c>
      <c r="D171" s="16">
        <f>IFERROR(INDEX(計算用!$G$2:$G$186,MATCH("男赤"&amp;$A171,計算用!$L$2:$L$186,0)),"")</f>
        <v/>
      </c>
      <c r="E171" s="15" t="n"/>
      <c r="F171" s="15">
        <f>IFERROR(INDEX(計算用!$D$2:$D$186,MATCH("男白"&amp;$A171,計算用!$L$2:$L$186,0)),"")</f>
        <v/>
      </c>
      <c r="G171" s="15">
        <f>IFERROR(INDEX(計算用!$M$2:$M$186,MATCH("男白"&amp;$A171,計算用!$L$2:$L$186,0)),"")</f>
        <v/>
      </c>
      <c r="H171" s="16">
        <f>IFERROR(INDEX(計算用!$G$2:$G$186,MATCH("男白"&amp;$A171,計算用!$L$2:$L$186,0)),"")</f>
        <v/>
      </c>
      <c r="I171" s="15" t="n"/>
      <c r="J171" s="15">
        <f>IF(ROW()-3&lt;=MAX(計算用!$Q$4,計算用!$Q$5),ROW()-3,"")</f>
        <v/>
      </c>
      <c r="K171" s="15">
        <f>IFERROR(INDEX(計算用!$D$2:$D$186,MATCH("女赤"&amp;$J171,計算用!$L$2:$L$186,0)),"")</f>
        <v/>
      </c>
      <c r="L171" s="15">
        <f>IFERROR(INDEX(計算用!$M$2:$M$186,MATCH("女赤"&amp;$J171,計算用!$L$2:$L$186,0)),"")</f>
        <v/>
      </c>
      <c r="M171" s="16">
        <f>IFERROR(INDEX(計算用!$G$2:$G$186,MATCH("女赤"&amp;$J171,計算用!$L$2:$L$186,0)),"")</f>
        <v/>
      </c>
      <c r="N171" s="15" t="n"/>
      <c r="O171" s="15">
        <f>IFERROR(INDEX(計算用!$D$2:$D$186,MATCH("女白"&amp;$J171,計算用!$L$2:$L$186,0)),"")</f>
        <v/>
      </c>
      <c r="P171" s="15">
        <f>IFERROR(INDEX(計算用!$M$2:$M$186,MATCH("女白"&amp;$J171,計算用!$L$2:$L$186,0)),"")</f>
        <v/>
      </c>
      <c r="Q171" s="16">
        <f>IFERROR(INDEX(計算用!$G$2:$G$186,MATCH("女白"&amp;$J171,計算用!$L$2:$L$186,0)),"")</f>
        <v/>
      </c>
    </row>
    <row r="172">
      <c r="A172" s="15">
        <f>IF(ROW()-3&lt;=MAX(計算用!$Q$2,計算用!$Q$3),ROW()-3,"")</f>
        <v/>
      </c>
      <c r="B172" s="15">
        <f>IFERROR(INDEX(計算用!$D$2:$D$186,MATCH("男赤"&amp;$A172,計算用!$L$2:$L$186,0)),"")</f>
        <v/>
      </c>
      <c r="C172" s="15">
        <f>IFERROR(INDEX(計算用!$M$2:$M$186,MATCH("男赤"&amp;$A172,計算用!$L$2:$L$186,0)),"")</f>
        <v/>
      </c>
      <c r="D172" s="16">
        <f>IFERROR(INDEX(計算用!$G$2:$G$186,MATCH("男赤"&amp;$A172,計算用!$L$2:$L$186,0)),"")</f>
        <v/>
      </c>
      <c r="E172" s="15" t="n"/>
      <c r="F172" s="15">
        <f>IFERROR(INDEX(計算用!$D$2:$D$186,MATCH("男白"&amp;$A172,計算用!$L$2:$L$186,0)),"")</f>
        <v/>
      </c>
      <c r="G172" s="15">
        <f>IFERROR(INDEX(計算用!$M$2:$M$186,MATCH("男白"&amp;$A172,計算用!$L$2:$L$186,0)),"")</f>
        <v/>
      </c>
      <c r="H172" s="16">
        <f>IFERROR(INDEX(計算用!$G$2:$G$186,MATCH("男白"&amp;$A172,計算用!$L$2:$L$186,0)),"")</f>
        <v/>
      </c>
      <c r="I172" s="15" t="n"/>
      <c r="J172" s="15">
        <f>IF(ROW()-3&lt;=MAX(計算用!$Q$4,計算用!$Q$5),ROW()-3,"")</f>
        <v/>
      </c>
      <c r="K172" s="15">
        <f>IFERROR(INDEX(計算用!$D$2:$D$186,MATCH("女赤"&amp;$J172,計算用!$L$2:$L$186,0)),"")</f>
        <v/>
      </c>
      <c r="L172" s="15">
        <f>IFERROR(INDEX(計算用!$M$2:$M$186,MATCH("女赤"&amp;$J172,計算用!$L$2:$L$186,0)),"")</f>
        <v/>
      </c>
      <c r="M172" s="16">
        <f>IFERROR(INDEX(計算用!$G$2:$G$186,MATCH("女赤"&amp;$J172,計算用!$L$2:$L$186,0)),"")</f>
        <v/>
      </c>
      <c r="N172" s="15" t="n"/>
      <c r="O172" s="15">
        <f>IFERROR(INDEX(計算用!$D$2:$D$186,MATCH("女白"&amp;$J172,計算用!$L$2:$L$186,0)),"")</f>
        <v/>
      </c>
      <c r="P172" s="15">
        <f>IFERROR(INDEX(計算用!$M$2:$M$186,MATCH("女白"&amp;$J172,計算用!$L$2:$L$186,0)),"")</f>
        <v/>
      </c>
      <c r="Q172" s="16">
        <f>IFERROR(INDEX(計算用!$G$2:$G$186,MATCH("女白"&amp;$J172,計算用!$L$2:$L$186,0)),"")</f>
        <v/>
      </c>
    </row>
    <row r="173">
      <c r="A173" s="15">
        <f>IF(ROW()-3&lt;=MAX(計算用!$Q$2,計算用!$Q$3),ROW()-3,"")</f>
        <v/>
      </c>
      <c r="B173" s="15">
        <f>IFERROR(INDEX(計算用!$D$2:$D$186,MATCH("男赤"&amp;$A173,計算用!$L$2:$L$186,0)),"")</f>
        <v/>
      </c>
      <c r="C173" s="15">
        <f>IFERROR(INDEX(計算用!$M$2:$M$186,MATCH("男赤"&amp;$A173,計算用!$L$2:$L$186,0)),"")</f>
        <v/>
      </c>
      <c r="D173" s="16">
        <f>IFERROR(INDEX(計算用!$G$2:$G$186,MATCH("男赤"&amp;$A173,計算用!$L$2:$L$186,0)),"")</f>
        <v/>
      </c>
      <c r="E173" s="15" t="n"/>
      <c r="F173" s="15">
        <f>IFERROR(INDEX(計算用!$D$2:$D$186,MATCH("男白"&amp;$A173,計算用!$L$2:$L$186,0)),"")</f>
        <v/>
      </c>
      <c r="G173" s="15">
        <f>IFERROR(INDEX(計算用!$M$2:$M$186,MATCH("男白"&amp;$A173,計算用!$L$2:$L$186,0)),"")</f>
        <v/>
      </c>
      <c r="H173" s="16">
        <f>IFERROR(INDEX(計算用!$G$2:$G$186,MATCH("男白"&amp;$A173,計算用!$L$2:$L$186,0)),"")</f>
        <v/>
      </c>
      <c r="I173" s="15" t="n"/>
      <c r="J173" s="15">
        <f>IF(ROW()-3&lt;=MAX(計算用!$Q$4,計算用!$Q$5),ROW()-3,"")</f>
        <v/>
      </c>
      <c r="K173" s="15">
        <f>IFERROR(INDEX(計算用!$D$2:$D$186,MATCH("女赤"&amp;$J173,計算用!$L$2:$L$186,0)),"")</f>
        <v/>
      </c>
      <c r="L173" s="15">
        <f>IFERROR(INDEX(計算用!$M$2:$M$186,MATCH("女赤"&amp;$J173,計算用!$L$2:$L$186,0)),"")</f>
        <v/>
      </c>
      <c r="M173" s="16">
        <f>IFERROR(INDEX(計算用!$G$2:$G$186,MATCH("女赤"&amp;$J173,計算用!$L$2:$L$186,0)),"")</f>
        <v/>
      </c>
      <c r="N173" s="15" t="n"/>
      <c r="O173" s="15">
        <f>IFERROR(INDEX(計算用!$D$2:$D$186,MATCH("女白"&amp;$J173,計算用!$L$2:$L$186,0)),"")</f>
        <v/>
      </c>
      <c r="P173" s="15">
        <f>IFERROR(INDEX(計算用!$M$2:$M$186,MATCH("女白"&amp;$J173,計算用!$L$2:$L$186,0)),"")</f>
        <v/>
      </c>
      <c r="Q173" s="16">
        <f>IFERROR(INDEX(計算用!$G$2:$G$186,MATCH("女白"&amp;$J173,計算用!$L$2:$L$186,0)),"")</f>
        <v/>
      </c>
    </row>
    <row r="174">
      <c r="A174" s="15">
        <f>IF(ROW()-3&lt;=MAX(計算用!$Q$2,計算用!$Q$3),ROW()-3,"")</f>
        <v/>
      </c>
      <c r="B174" s="15">
        <f>IFERROR(INDEX(計算用!$D$2:$D$186,MATCH("男赤"&amp;$A174,計算用!$L$2:$L$186,0)),"")</f>
        <v/>
      </c>
      <c r="C174" s="15">
        <f>IFERROR(INDEX(計算用!$M$2:$M$186,MATCH("男赤"&amp;$A174,計算用!$L$2:$L$186,0)),"")</f>
        <v/>
      </c>
      <c r="D174" s="16">
        <f>IFERROR(INDEX(計算用!$G$2:$G$186,MATCH("男赤"&amp;$A174,計算用!$L$2:$L$186,0)),"")</f>
        <v/>
      </c>
      <c r="E174" s="15" t="n"/>
      <c r="F174" s="15">
        <f>IFERROR(INDEX(計算用!$D$2:$D$186,MATCH("男白"&amp;$A174,計算用!$L$2:$L$186,0)),"")</f>
        <v/>
      </c>
      <c r="G174" s="15">
        <f>IFERROR(INDEX(計算用!$M$2:$M$186,MATCH("男白"&amp;$A174,計算用!$L$2:$L$186,0)),"")</f>
        <v/>
      </c>
      <c r="H174" s="16">
        <f>IFERROR(INDEX(計算用!$G$2:$G$186,MATCH("男白"&amp;$A174,計算用!$L$2:$L$186,0)),"")</f>
        <v/>
      </c>
      <c r="I174" s="15" t="n"/>
      <c r="J174" s="15">
        <f>IF(ROW()-3&lt;=MAX(計算用!$Q$4,計算用!$Q$5),ROW()-3,"")</f>
        <v/>
      </c>
      <c r="K174" s="15">
        <f>IFERROR(INDEX(計算用!$D$2:$D$186,MATCH("女赤"&amp;$J174,計算用!$L$2:$L$186,0)),"")</f>
        <v/>
      </c>
      <c r="L174" s="15">
        <f>IFERROR(INDEX(計算用!$M$2:$M$186,MATCH("女赤"&amp;$J174,計算用!$L$2:$L$186,0)),"")</f>
        <v/>
      </c>
      <c r="M174" s="16">
        <f>IFERROR(INDEX(計算用!$G$2:$G$186,MATCH("女赤"&amp;$J174,計算用!$L$2:$L$186,0)),"")</f>
        <v/>
      </c>
      <c r="N174" s="15" t="n"/>
      <c r="O174" s="15">
        <f>IFERROR(INDEX(計算用!$D$2:$D$186,MATCH("女白"&amp;$J174,計算用!$L$2:$L$186,0)),"")</f>
        <v/>
      </c>
      <c r="P174" s="15">
        <f>IFERROR(INDEX(計算用!$M$2:$M$186,MATCH("女白"&amp;$J174,計算用!$L$2:$L$186,0)),"")</f>
        <v/>
      </c>
      <c r="Q174" s="16">
        <f>IFERROR(INDEX(計算用!$G$2:$G$186,MATCH("女白"&amp;$J174,計算用!$L$2:$L$186,0)),"")</f>
        <v/>
      </c>
    </row>
    <row r="175">
      <c r="A175" s="15">
        <f>IF(ROW()-3&lt;=MAX(計算用!$Q$2,計算用!$Q$3),ROW()-3,"")</f>
        <v/>
      </c>
      <c r="B175" s="15">
        <f>IFERROR(INDEX(計算用!$D$2:$D$186,MATCH("男赤"&amp;$A175,計算用!$L$2:$L$186,0)),"")</f>
        <v/>
      </c>
      <c r="C175" s="15">
        <f>IFERROR(INDEX(計算用!$M$2:$M$186,MATCH("男赤"&amp;$A175,計算用!$L$2:$L$186,0)),"")</f>
        <v/>
      </c>
      <c r="D175" s="16">
        <f>IFERROR(INDEX(計算用!$G$2:$G$186,MATCH("男赤"&amp;$A175,計算用!$L$2:$L$186,0)),"")</f>
        <v/>
      </c>
      <c r="E175" s="15" t="n"/>
      <c r="F175" s="15">
        <f>IFERROR(INDEX(計算用!$D$2:$D$186,MATCH("男白"&amp;$A175,計算用!$L$2:$L$186,0)),"")</f>
        <v/>
      </c>
      <c r="G175" s="15">
        <f>IFERROR(INDEX(計算用!$M$2:$M$186,MATCH("男白"&amp;$A175,計算用!$L$2:$L$186,0)),"")</f>
        <v/>
      </c>
      <c r="H175" s="16">
        <f>IFERROR(INDEX(計算用!$G$2:$G$186,MATCH("男白"&amp;$A175,計算用!$L$2:$L$186,0)),"")</f>
        <v/>
      </c>
      <c r="I175" s="15" t="n"/>
      <c r="J175" s="15">
        <f>IF(ROW()-3&lt;=MAX(計算用!$Q$4,計算用!$Q$5),ROW()-3,"")</f>
        <v/>
      </c>
      <c r="K175" s="15">
        <f>IFERROR(INDEX(計算用!$D$2:$D$186,MATCH("女赤"&amp;$J175,計算用!$L$2:$L$186,0)),"")</f>
        <v/>
      </c>
      <c r="L175" s="15">
        <f>IFERROR(INDEX(計算用!$M$2:$M$186,MATCH("女赤"&amp;$J175,計算用!$L$2:$L$186,0)),"")</f>
        <v/>
      </c>
      <c r="M175" s="16">
        <f>IFERROR(INDEX(計算用!$G$2:$G$186,MATCH("女赤"&amp;$J175,計算用!$L$2:$L$186,0)),"")</f>
        <v/>
      </c>
      <c r="N175" s="15" t="n"/>
      <c r="O175" s="15">
        <f>IFERROR(INDEX(計算用!$D$2:$D$186,MATCH("女白"&amp;$J175,計算用!$L$2:$L$186,0)),"")</f>
        <v/>
      </c>
      <c r="P175" s="15">
        <f>IFERROR(INDEX(計算用!$M$2:$M$186,MATCH("女白"&amp;$J175,計算用!$L$2:$L$186,0)),"")</f>
        <v/>
      </c>
      <c r="Q175" s="16">
        <f>IFERROR(INDEX(計算用!$G$2:$G$186,MATCH("女白"&amp;$J175,計算用!$L$2:$L$186,0)),"")</f>
        <v/>
      </c>
    </row>
    <row r="176">
      <c r="A176" s="15">
        <f>IF(ROW()-3&lt;=MAX(計算用!$Q$2,計算用!$Q$3),ROW()-3,"")</f>
        <v/>
      </c>
      <c r="B176" s="15">
        <f>IFERROR(INDEX(計算用!$D$2:$D$186,MATCH("男赤"&amp;$A176,計算用!$L$2:$L$186,0)),"")</f>
        <v/>
      </c>
      <c r="C176" s="15">
        <f>IFERROR(INDEX(計算用!$M$2:$M$186,MATCH("男赤"&amp;$A176,計算用!$L$2:$L$186,0)),"")</f>
        <v/>
      </c>
      <c r="D176" s="16">
        <f>IFERROR(INDEX(計算用!$G$2:$G$186,MATCH("男赤"&amp;$A176,計算用!$L$2:$L$186,0)),"")</f>
        <v/>
      </c>
      <c r="E176" s="15" t="n"/>
      <c r="F176" s="15">
        <f>IFERROR(INDEX(計算用!$D$2:$D$186,MATCH("男白"&amp;$A176,計算用!$L$2:$L$186,0)),"")</f>
        <v/>
      </c>
      <c r="G176" s="15">
        <f>IFERROR(INDEX(計算用!$M$2:$M$186,MATCH("男白"&amp;$A176,計算用!$L$2:$L$186,0)),"")</f>
        <v/>
      </c>
      <c r="H176" s="16">
        <f>IFERROR(INDEX(計算用!$G$2:$G$186,MATCH("男白"&amp;$A176,計算用!$L$2:$L$186,0)),"")</f>
        <v/>
      </c>
      <c r="I176" s="15" t="n"/>
      <c r="J176" s="15">
        <f>IF(ROW()-3&lt;=MAX(計算用!$Q$4,計算用!$Q$5),ROW()-3,"")</f>
        <v/>
      </c>
      <c r="K176" s="15">
        <f>IFERROR(INDEX(計算用!$D$2:$D$186,MATCH("女赤"&amp;$J176,計算用!$L$2:$L$186,0)),"")</f>
        <v/>
      </c>
      <c r="L176" s="15">
        <f>IFERROR(INDEX(計算用!$M$2:$M$186,MATCH("女赤"&amp;$J176,計算用!$L$2:$L$186,0)),"")</f>
        <v/>
      </c>
      <c r="M176" s="16">
        <f>IFERROR(INDEX(計算用!$G$2:$G$186,MATCH("女赤"&amp;$J176,計算用!$L$2:$L$186,0)),"")</f>
        <v/>
      </c>
      <c r="N176" s="15" t="n"/>
      <c r="O176" s="15">
        <f>IFERROR(INDEX(計算用!$D$2:$D$186,MATCH("女白"&amp;$J176,計算用!$L$2:$L$186,0)),"")</f>
        <v/>
      </c>
      <c r="P176" s="15">
        <f>IFERROR(INDEX(計算用!$M$2:$M$186,MATCH("女白"&amp;$J176,計算用!$L$2:$L$186,0)),"")</f>
        <v/>
      </c>
      <c r="Q176" s="16">
        <f>IFERROR(INDEX(計算用!$G$2:$G$186,MATCH("女白"&amp;$J176,計算用!$L$2:$L$186,0)),"")</f>
        <v/>
      </c>
    </row>
    <row r="177">
      <c r="A177" s="15">
        <f>IF(ROW()-3&lt;=MAX(計算用!$Q$2,計算用!$Q$3),ROW()-3,"")</f>
        <v/>
      </c>
      <c r="B177" s="15">
        <f>IFERROR(INDEX(計算用!$D$2:$D$186,MATCH("男赤"&amp;$A177,計算用!$L$2:$L$186,0)),"")</f>
        <v/>
      </c>
      <c r="C177" s="15">
        <f>IFERROR(INDEX(計算用!$M$2:$M$186,MATCH("男赤"&amp;$A177,計算用!$L$2:$L$186,0)),"")</f>
        <v/>
      </c>
      <c r="D177" s="16">
        <f>IFERROR(INDEX(計算用!$G$2:$G$186,MATCH("男赤"&amp;$A177,計算用!$L$2:$L$186,0)),"")</f>
        <v/>
      </c>
      <c r="E177" s="15" t="n"/>
      <c r="F177" s="15">
        <f>IFERROR(INDEX(計算用!$D$2:$D$186,MATCH("男白"&amp;$A177,計算用!$L$2:$L$186,0)),"")</f>
        <v/>
      </c>
      <c r="G177" s="15">
        <f>IFERROR(INDEX(計算用!$M$2:$M$186,MATCH("男白"&amp;$A177,計算用!$L$2:$L$186,0)),"")</f>
        <v/>
      </c>
      <c r="H177" s="16">
        <f>IFERROR(INDEX(計算用!$G$2:$G$186,MATCH("男白"&amp;$A177,計算用!$L$2:$L$186,0)),"")</f>
        <v/>
      </c>
      <c r="I177" s="15" t="n"/>
      <c r="J177" s="15">
        <f>IF(ROW()-3&lt;=MAX(計算用!$Q$4,計算用!$Q$5),ROW()-3,"")</f>
        <v/>
      </c>
      <c r="K177" s="15">
        <f>IFERROR(INDEX(計算用!$D$2:$D$186,MATCH("女赤"&amp;$J177,計算用!$L$2:$L$186,0)),"")</f>
        <v/>
      </c>
      <c r="L177" s="15">
        <f>IFERROR(INDEX(計算用!$M$2:$M$186,MATCH("女赤"&amp;$J177,計算用!$L$2:$L$186,0)),"")</f>
        <v/>
      </c>
      <c r="M177" s="16">
        <f>IFERROR(INDEX(計算用!$G$2:$G$186,MATCH("女赤"&amp;$J177,計算用!$L$2:$L$186,0)),"")</f>
        <v/>
      </c>
      <c r="N177" s="15" t="n"/>
      <c r="O177" s="15">
        <f>IFERROR(INDEX(計算用!$D$2:$D$186,MATCH("女白"&amp;$J177,計算用!$L$2:$L$186,0)),"")</f>
        <v/>
      </c>
      <c r="P177" s="15">
        <f>IFERROR(INDEX(計算用!$M$2:$M$186,MATCH("女白"&amp;$J177,計算用!$L$2:$L$186,0)),"")</f>
        <v/>
      </c>
      <c r="Q177" s="16">
        <f>IFERROR(INDEX(計算用!$G$2:$G$186,MATCH("女白"&amp;$J177,計算用!$L$2:$L$186,0)),"")</f>
        <v/>
      </c>
    </row>
    <row r="178">
      <c r="A178" s="15">
        <f>IF(ROW()-3&lt;=MAX(計算用!$Q$2,計算用!$Q$3),ROW()-3,"")</f>
        <v/>
      </c>
      <c r="B178" s="15">
        <f>IFERROR(INDEX(計算用!$D$2:$D$186,MATCH("男赤"&amp;$A178,計算用!$L$2:$L$186,0)),"")</f>
        <v/>
      </c>
      <c r="C178" s="15">
        <f>IFERROR(INDEX(計算用!$M$2:$M$186,MATCH("男赤"&amp;$A178,計算用!$L$2:$L$186,0)),"")</f>
        <v/>
      </c>
      <c r="D178" s="16">
        <f>IFERROR(INDEX(計算用!$G$2:$G$186,MATCH("男赤"&amp;$A178,計算用!$L$2:$L$186,0)),"")</f>
        <v/>
      </c>
      <c r="E178" s="15" t="n"/>
      <c r="F178" s="15">
        <f>IFERROR(INDEX(計算用!$D$2:$D$186,MATCH("男白"&amp;$A178,計算用!$L$2:$L$186,0)),"")</f>
        <v/>
      </c>
      <c r="G178" s="15">
        <f>IFERROR(INDEX(計算用!$M$2:$M$186,MATCH("男白"&amp;$A178,計算用!$L$2:$L$186,0)),"")</f>
        <v/>
      </c>
      <c r="H178" s="16">
        <f>IFERROR(INDEX(計算用!$G$2:$G$186,MATCH("男白"&amp;$A178,計算用!$L$2:$L$186,0)),"")</f>
        <v/>
      </c>
      <c r="I178" s="15" t="n"/>
      <c r="J178" s="15">
        <f>IF(ROW()-3&lt;=MAX(計算用!$Q$4,計算用!$Q$5),ROW()-3,"")</f>
        <v/>
      </c>
      <c r="K178" s="15">
        <f>IFERROR(INDEX(計算用!$D$2:$D$186,MATCH("女赤"&amp;$J178,計算用!$L$2:$L$186,0)),"")</f>
        <v/>
      </c>
      <c r="L178" s="15">
        <f>IFERROR(INDEX(計算用!$M$2:$M$186,MATCH("女赤"&amp;$J178,計算用!$L$2:$L$186,0)),"")</f>
        <v/>
      </c>
      <c r="M178" s="16">
        <f>IFERROR(INDEX(計算用!$G$2:$G$186,MATCH("女赤"&amp;$J178,計算用!$L$2:$L$186,0)),"")</f>
        <v/>
      </c>
      <c r="N178" s="15" t="n"/>
      <c r="O178" s="15">
        <f>IFERROR(INDEX(計算用!$D$2:$D$186,MATCH("女白"&amp;$J178,計算用!$L$2:$L$186,0)),"")</f>
        <v/>
      </c>
      <c r="P178" s="15">
        <f>IFERROR(INDEX(計算用!$M$2:$M$186,MATCH("女白"&amp;$J178,計算用!$L$2:$L$186,0)),"")</f>
        <v/>
      </c>
      <c r="Q178" s="16">
        <f>IFERROR(INDEX(計算用!$G$2:$G$186,MATCH("女白"&amp;$J178,計算用!$L$2:$L$186,0)),"")</f>
        <v/>
      </c>
    </row>
    <row r="179">
      <c r="A179" s="15">
        <f>IF(ROW()-3&lt;=MAX(計算用!$Q$2,計算用!$Q$3),ROW()-3,"")</f>
        <v/>
      </c>
      <c r="B179" s="15">
        <f>IFERROR(INDEX(計算用!$D$2:$D$186,MATCH("男赤"&amp;$A179,計算用!$L$2:$L$186,0)),"")</f>
        <v/>
      </c>
      <c r="C179" s="15">
        <f>IFERROR(INDEX(計算用!$M$2:$M$186,MATCH("男赤"&amp;$A179,計算用!$L$2:$L$186,0)),"")</f>
        <v/>
      </c>
      <c r="D179" s="16">
        <f>IFERROR(INDEX(計算用!$G$2:$G$186,MATCH("男赤"&amp;$A179,計算用!$L$2:$L$186,0)),"")</f>
        <v/>
      </c>
      <c r="E179" s="15" t="n"/>
      <c r="F179" s="15">
        <f>IFERROR(INDEX(計算用!$D$2:$D$186,MATCH("男白"&amp;$A179,計算用!$L$2:$L$186,0)),"")</f>
        <v/>
      </c>
      <c r="G179" s="15">
        <f>IFERROR(INDEX(計算用!$M$2:$M$186,MATCH("男白"&amp;$A179,計算用!$L$2:$L$186,0)),"")</f>
        <v/>
      </c>
      <c r="H179" s="16">
        <f>IFERROR(INDEX(計算用!$G$2:$G$186,MATCH("男白"&amp;$A179,計算用!$L$2:$L$186,0)),"")</f>
        <v/>
      </c>
      <c r="I179" s="15" t="n"/>
      <c r="J179" s="15">
        <f>IF(ROW()-3&lt;=MAX(計算用!$Q$4,計算用!$Q$5),ROW()-3,"")</f>
        <v/>
      </c>
      <c r="K179" s="15">
        <f>IFERROR(INDEX(計算用!$D$2:$D$186,MATCH("女赤"&amp;$J179,計算用!$L$2:$L$186,0)),"")</f>
        <v/>
      </c>
      <c r="L179" s="15">
        <f>IFERROR(INDEX(計算用!$M$2:$M$186,MATCH("女赤"&amp;$J179,計算用!$L$2:$L$186,0)),"")</f>
        <v/>
      </c>
      <c r="M179" s="16">
        <f>IFERROR(INDEX(計算用!$G$2:$G$186,MATCH("女赤"&amp;$J179,計算用!$L$2:$L$186,0)),"")</f>
        <v/>
      </c>
      <c r="N179" s="15" t="n"/>
      <c r="O179" s="15">
        <f>IFERROR(INDEX(計算用!$D$2:$D$186,MATCH("女白"&amp;$J179,計算用!$L$2:$L$186,0)),"")</f>
        <v/>
      </c>
      <c r="P179" s="15">
        <f>IFERROR(INDEX(計算用!$M$2:$M$186,MATCH("女白"&amp;$J179,計算用!$L$2:$L$186,0)),"")</f>
        <v/>
      </c>
      <c r="Q179" s="16">
        <f>IFERROR(INDEX(計算用!$G$2:$G$186,MATCH("女白"&amp;$J179,計算用!$L$2:$L$186,0)),"")</f>
        <v/>
      </c>
    </row>
    <row r="180">
      <c r="A180" s="15">
        <f>IF(ROW()-3&lt;=MAX(計算用!$Q$2,計算用!$Q$3),ROW()-3,"")</f>
        <v/>
      </c>
      <c r="B180" s="15">
        <f>IFERROR(INDEX(計算用!$D$2:$D$186,MATCH("男赤"&amp;$A180,計算用!$L$2:$L$186,0)),"")</f>
        <v/>
      </c>
      <c r="C180" s="15">
        <f>IFERROR(INDEX(計算用!$M$2:$M$186,MATCH("男赤"&amp;$A180,計算用!$L$2:$L$186,0)),"")</f>
        <v/>
      </c>
      <c r="D180" s="16">
        <f>IFERROR(INDEX(計算用!$G$2:$G$186,MATCH("男赤"&amp;$A180,計算用!$L$2:$L$186,0)),"")</f>
        <v/>
      </c>
      <c r="E180" s="15" t="n"/>
      <c r="F180" s="15">
        <f>IFERROR(INDEX(計算用!$D$2:$D$186,MATCH("男白"&amp;$A180,計算用!$L$2:$L$186,0)),"")</f>
        <v/>
      </c>
      <c r="G180" s="15">
        <f>IFERROR(INDEX(計算用!$M$2:$M$186,MATCH("男白"&amp;$A180,計算用!$L$2:$L$186,0)),"")</f>
        <v/>
      </c>
      <c r="H180" s="16">
        <f>IFERROR(INDEX(計算用!$G$2:$G$186,MATCH("男白"&amp;$A180,計算用!$L$2:$L$186,0)),"")</f>
        <v/>
      </c>
      <c r="I180" s="15" t="n"/>
      <c r="J180" s="15">
        <f>IF(ROW()-3&lt;=MAX(計算用!$Q$4,計算用!$Q$5),ROW()-3,"")</f>
        <v/>
      </c>
      <c r="K180" s="15">
        <f>IFERROR(INDEX(計算用!$D$2:$D$186,MATCH("女赤"&amp;$J180,計算用!$L$2:$L$186,0)),"")</f>
        <v/>
      </c>
      <c r="L180" s="15">
        <f>IFERROR(INDEX(計算用!$M$2:$M$186,MATCH("女赤"&amp;$J180,計算用!$L$2:$L$186,0)),"")</f>
        <v/>
      </c>
      <c r="M180" s="16">
        <f>IFERROR(INDEX(計算用!$G$2:$G$186,MATCH("女赤"&amp;$J180,計算用!$L$2:$L$186,0)),"")</f>
        <v/>
      </c>
      <c r="N180" s="15" t="n"/>
      <c r="O180" s="15">
        <f>IFERROR(INDEX(計算用!$D$2:$D$186,MATCH("女白"&amp;$J180,計算用!$L$2:$L$186,0)),"")</f>
        <v/>
      </c>
      <c r="P180" s="15">
        <f>IFERROR(INDEX(計算用!$M$2:$M$186,MATCH("女白"&amp;$J180,計算用!$L$2:$L$186,0)),"")</f>
        <v/>
      </c>
      <c r="Q180" s="16">
        <f>IFERROR(INDEX(計算用!$G$2:$G$186,MATCH("女白"&amp;$J180,計算用!$L$2:$L$186,0)),"")</f>
        <v/>
      </c>
    </row>
    <row r="181">
      <c r="A181" s="15">
        <f>IF(ROW()-3&lt;=MAX(計算用!$Q$2,計算用!$Q$3),ROW()-3,"")</f>
        <v/>
      </c>
      <c r="B181" s="15">
        <f>IFERROR(INDEX(計算用!$D$2:$D$186,MATCH("男赤"&amp;$A181,計算用!$L$2:$L$186,0)),"")</f>
        <v/>
      </c>
      <c r="C181" s="15">
        <f>IFERROR(INDEX(計算用!$M$2:$M$186,MATCH("男赤"&amp;$A181,計算用!$L$2:$L$186,0)),"")</f>
        <v/>
      </c>
      <c r="D181" s="16">
        <f>IFERROR(INDEX(計算用!$G$2:$G$186,MATCH("男赤"&amp;$A181,計算用!$L$2:$L$186,0)),"")</f>
        <v/>
      </c>
      <c r="E181" s="15" t="n"/>
      <c r="F181" s="15">
        <f>IFERROR(INDEX(計算用!$D$2:$D$186,MATCH("男白"&amp;$A181,計算用!$L$2:$L$186,0)),"")</f>
        <v/>
      </c>
      <c r="G181" s="15">
        <f>IFERROR(INDEX(計算用!$M$2:$M$186,MATCH("男白"&amp;$A181,計算用!$L$2:$L$186,0)),"")</f>
        <v/>
      </c>
      <c r="H181" s="16">
        <f>IFERROR(INDEX(計算用!$G$2:$G$186,MATCH("男白"&amp;$A181,計算用!$L$2:$L$186,0)),"")</f>
        <v/>
      </c>
      <c r="I181" s="15" t="n"/>
      <c r="J181" s="15">
        <f>IF(ROW()-3&lt;=MAX(計算用!$Q$4,計算用!$Q$5),ROW()-3,"")</f>
        <v/>
      </c>
      <c r="K181" s="15">
        <f>IFERROR(INDEX(計算用!$D$2:$D$186,MATCH("女赤"&amp;$J181,計算用!$L$2:$L$186,0)),"")</f>
        <v/>
      </c>
      <c r="L181" s="15">
        <f>IFERROR(INDEX(計算用!$M$2:$M$186,MATCH("女赤"&amp;$J181,計算用!$L$2:$L$186,0)),"")</f>
        <v/>
      </c>
      <c r="M181" s="16">
        <f>IFERROR(INDEX(計算用!$G$2:$G$186,MATCH("女赤"&amp;$J181,計算用!$L$2:$L$186,0)),"")</f>
        <v/>
      </c>
      <c r="N181" s="15" t="n"/>
      <c r="O181" s="15">
        <f>IFERROR(INDEX(計算用!$D$2:$D$186,MATCH("女白"&amp;$J181,計算用!$L$2:$L$186,0)),"")</f>
        <v/>
      </c>
      <c r="P181" s="15">
        <f>IFERROR(INDEX(計算用!$M$2:$M$186,MATCH("女白"&amp;$J181,計算用!$L$2:$L$186,0)),"")</f>
        <v/>
      </c>
      <c r="Q181" s="16">
        <f>IFERROR(INDEX(計算用!$G$2:$G$186,MATCH("女白"&amp;$J181,計算用!$L$2:$L$186,0)),"")</f>
        <v/>
      </c>
    </row>
    <row r="182">
      <c r="A182" s="15">
        <f>IF(ROW()-3&lt;=MAX(計算用!$Q$2,計算用!$Q$3),ROW()-3,"")</f>
        <v/>
      </c>
      <c r="B182" s="15">
        <f>IFERROR(INDEX(計算用!$D$2:$D$186,MATCH("男赤"&amp;$A182,計算用!$L$2:$L$186,0)),"")</f>
        <v/>
      </c>
      <c r="C182" s="15">
        <f>IFERROR(INDEX(計算用!$M$2:$M$186,MATCH("男赤"&amp;$A182,計算用!$L$2:$L$186,0)),"")</f>
        <v/>
      </c>
      <c r="D182" s="16">
        <f>IFERROR(INDEX(計算用!$G$2:$G$186,MATCH("男赤"&amp;$A182,計算用!$L$2:$L$186,0)),"")</f>
        <v/>
      </c>
      <c r="E182" s="15" t="n"/>
      <c r="F182" s="15">
        <f>IFERROR(INDEX(計算用!$D$2:$D$186,MATCH("男白"&amp;$A182,計算用!$L$2:$L$186,0)),"")</f>
        <v/>
      </c>
      <c r="G182" s="15">
        <f>IFERROR(INDEX(計算用!$M$2:$M$186,MATCH("男白"&amp;$A182,計算用!$L$2:$L$186,0)),"")</f>
        <v/>
      </c>
      <c r="H182" s="16">
        <f>IFERROR(INDEX(計算用!$G$2:$G$186,MATCH("男白"&amp;$A182,計算用!$L$2:$L$186,0)),"")</f>
        <v/>
      </c>
      <c r="I182" s="15" t="n"/>
      <c r="J182" s="15">
        <f>IF(ROW()-3&lt;=MAX(計算用!$Q$4,計算用!$Q$5),ROW()-3,"")</f>
        <v/>
      </c>
      <c r="K182" s="15">
        <f>IFERROR(INDEX(計算用!$D$2:$D$186,MATCH("女赤"&amp;$J182,計算用!$L$2:$L$186,0)),"")</f>
        <v/>
      </c>
      <c r="L182" s="15">
        <f>IFERROR(INDEX(計算用!$M$2:$M$186,MATCH("女赤"&amp;$J182,計算用!$L$2:$L$186,0)),"")</f>
        <v/>
      </c>
      <c r="M182" s="16">
        <f>IFERROR(INDEX(計算用!$G$2:$G$186,MATCH("女赤"&amp;$J182,計算用!$L$2:$L$186,0)),"")</f>
        <v/>
      </c>
      <c r="N182" s="15" t="n"/>
      <c r="O182" s="15">
        <f>IFERROR(INDEX(計算用!$D$2:$D$186,MATCH("女白"&amp;$J182,計算用!$L$2:$L$186,0)),"")</f>
        <v/>
      </c>
      <c r="P182" s="15">
        <f>IFERROR(INDEX(計算用!$M$2:$M$186,MATCH("女白"&amp;$J182,計算用!$L$2:$L$186,0)),"")</f>
        <v/>
      </c>
      <c r="Q182" s="16">
        <f>IFERROR(INDEX(計算用!$G$2:$G$186,MATCH("女白"&amp;$J182,計算用!$L$2:$L$186,0)),"")</f>
        <v/>
      </c>
    </row>
    <row r="183">
      <c r="A183" s="15">
        <f>IF(ROW()-3&lt;=MAX(計算用!$Q$2,計算用!$Q$3),ROW()-3,"")</f>
        <v/>
      </c>
      <c r="B183" s="15">
        <f>IFERROR(INDEX(計算用!$D$2:$D$186,MATCH("男赤"&amp;$A183,計算用!$L$2:$L$186,0)),"")</f>
        <v/>
      </c>
      <c r="C183" s="15">
        <f>IFERROR(INDEX(計算用!$M$2:$M$186,MATCH("男赤"&amp;$A183,計算用!$L$2:$L$186,0)),"")</f>
        <v/>
      </c>
      <c r="D183" s="16">
        <f>IFERROR(INDEX(計算用!$G$2:$G$186,MATCH("男赤"&amp;$A183,計算用!$L$2:$L$186,0)),"")</f>
        <v/>
      </c>
      <c r="E183" s="15" t="n"/>
      <c r="F183" s="15">
        <f>IFERROR(INDEX(計算用!$D$2:$D$186,MATCH("男白"&amp;$A183,計算用!$L$2:$L$186,0)),"")</f>
        <v/>
      </c>
      <c r="G183" s="15">
        <f>IFERROR(INDEX(計算用!$M$2:$M$186,MATCH("男白"&amp;$A183,計算用!$L$2:$L$186,0)),"")</f>
        <v/>
      </c>
      <c r="H183" s="16">
        <f>IFERROR(INDEX(計算用!$G$2:$G$186,MATCH("男白"&amp;$A183,計算用!$L$2:$L$186,0)),"")</f>
        <v/>
      </c>
      <c r="I183" s="15" t="n"/>
      <c r="J183" s="15">
        <f>IF(ROW()-3&lt;=MAX(計算用!$Q$4,計算用!$Q$5),ROW()-3,"")</f>
        <v/>
      </c>
      <c r="K183" s="15">
        <f>IFERROR(INDEX(計算用!$D$2:$D$186,MATCH("女赤"&amp;$J183,計算用!$L$2:$L$186,0)),"")</f>
        <v/>
      </c>
      <c r="L183" s="15">
        <f>IFERROR(INDEX(計算用!$M$2:$M$186,MATCH("女赤"&amp;$J183,計算用!$L$2:$L$186,0)),"")</f>
        <v/>
      </c>
      <c r="M183" s="16">
        <f>IFERROR(INDEX(計算用!$G$2:$G$186,MATCH("女赤"&amp;$J183,計算用!$L$2:$L$186,0)),"")</f>
        <v/>
      </c>
      <c r="N183" s="15" t="n"/>
      <c r="O183" s="15">
        <f>IFERROR(INDEX(計算用!$D$2:$D$186,MATCH("女白"&amp;$J183,計算用!$L$2:$L$186,0)),"")</f>
        <v/>
      </c>
      <c r="P183" s="15">
        <f>IFERROR(INDEX(計算用!$M$2:$M$186,MATCH("女白"&amp;$J183,計算用!$L$2:$L$186,0)),"")</f>
        <v/>
      </c>
      <c r="Q183" s="16">
        <f>IFERROR(INDEX(計算用!$G$2:$G$186,MATCH("女白"&amp;$J183,計算用!$L$2:$L$186,0)),"")</f>
        <v/>
      </c>
    </row>
    <row r="184">
      <c r="A184" s="15">
        <f>IF(ROW()-3&lt;=MAX(計算用!$Q$2,計算用!$Q$3),ROW()-3,"")</f>
        <v/>
      </c>
      <c r="B184" s="15">
        <f>IFERROR(INDEX(計算用!$D$2:$D$186,MATCH("男赤"&amp;$A184,計算用!$L$2:$L$186,0)),"")</f>
        <v/>
      </c>
      <c r="C184" s="15">
        <f>IFERROR(INDEX(計算用!$M$2:$M$186,MATCH("男赤"&amp;$A184,計算用!$L$2:$L$186,0)),"")</f>
        <v/>
      </c>
      <c r="D184" s="16">
        <f>IFERROR(INDEX(計算用!$G$2:$G$186,MATCH("男赤"&amp;$A184,計算用!$L$2:$L$186,0)),"")</f>
        <v/>
      </c>
      <c r="E184" s="15" t="n"/>
      <c r="F184" s="15">
        <f>IFERROR(INDEX(計算用!$D$2:$D$186,MATCH("男白"&amp;$A184,計算用!$L$2:$L$186,0)),"")</f>
        <v/>
      </c>
      <c r="G184" s="15">
        <f>IFERROR(INDEX(計算用!$M$2:$M$186,MATCH("男白"&amp;$A184,計算用!$L$2:$L$186,0)),"")</f>
        <v/>
      </c>
      <c r="H184" s="16">
        <f>IFERROR(INDEX(計算用!$G$2:$G$186,MATCH("男白"&amp;$A184,計算用!$L$2:$L$186,0)),"")</f>
        <v/>
      </c>
      <c r="I184" s="15" t="n"/>
      <c r="J184" s="15">
        <f>IF(ROW()-3&lt;=MAX(計算用!$Q$4,計算用!$Q$5),ROW()-3,"")</f>
        <v/>
      </c>
      <c r="K184" s="15">
        <f>IFERROR(INDEX(計算用!$D$2:$D$186,MATCH("女赤"&amp;$J184,計算用!$L$2:$L$186,0)),"")</f>
        <v/>
      </c>
      <c r="L184" s="15">
        <f>IFERROR(INDEX(計算用!$M$2:$M$186,MATCH("女赤"&amp;$J184,計算用!$L$2:$L$186,0)),"")</f>
        <v/>
      </c>
      <c r="M184" s="16">
        <f>IFERROR(INDEX(計算用!$G$2:$G$186,MATCH("女赤"&amp;$J184,計算用!$L$2:$L$186,0)),"")</f>
        <v/>
      </c>
      <c r="N184" s="15" t="n"/>
      <c r="O184" s="15">
        <f>IFERROR(INDEX(計算用!$D$2:$D$186,MATCH("女白"&amp;$J184,計算用!$L$2:$L$186,0)),"")</f>
        <v/>
      </c>
      <c r="P184" s="15">
        <f>IFERROR(INDEX(計算用!$M$2:$M$186,MATCH("女白"&amp;$J184,計算用!$L$2:$L$186,0)),"")</f>
        <v/>
      </c>
      <c r="Q184" s="16">
        <f>IFERROR(INDEX(計算用!$G$2:$G$186,MATCH("女白"&amp;$J184,計算用!$L$2:$L$186,0)),"")</f>
        <v/>
      </c>
    </row>
    <row r="185">
      <c r="A185" s="15">
        <f>IF(ROW()-3&lt;=MAX(計算用!$Q$2,計算用!$Q$3),ROW()-3,"")</f>
        <v/>
      </c>
      <c r="B185" s="15">
        <f>IFERROR(INDEX(計算用!$D$2:$D$186,MATCH("男赤"&amp;$A185,計算用!$L$2:$L$186,0)),"")</f>
        <v/>
      </c>
      <c r="C185" s="15">
        <f>IFERROR(INDEX(計算用!$M$2:$M$186,MATCH("男赤"&amp;$A185,計算用!$L$2:$L$186,0)),"")</f>
        <v/>
      </c>
      <c r="D185" s="16">
        <f>IFERROR(INDEX(計算用!$G$2:$G$186,MATCH("男赤"&amp;$A185,計算用!$L$2:$L$186,0)),"")</f>
        <v/>
      </c>
      <c r="E185" s="15" t="n"/>
      <c r="F185" s="15">
        <f>IFERROR(INDEX(計算用!$D$2:$D$186,MATCH("男白"&amp;$A185,計算用!$L$2:$L$186,0)),"")</f>
        <v/>
      </c>
      <c r="G185" s="15">
        <f>IFERROR(INDEX(計算用!$M$2:$M$186,MATCH("男白"&amp;$A185,計算用!$L$2:$L$186,0)),"")</f>
        <v/>
      </c>
      <c r="H185" s="16">
        <f>IFERROR(INDEX(計算用!$G$2:$G$186,MATCH("男白"&amp;$A185,計算用!$L$2:$L$186,0)),"")</f>
        <v/>
      </c>
      <c r="I185" s="15" t="n"/>
      <c r="J185" s="15">
        <f>IF(ROW()-3&lt;=MAX(計算用!$Q$4,計算用!$Q$5),ROW()-3,"")</f>
        <v/>
      </c>
      <c r="K185" s="15">
        <f>IFERROR(INDEX(計算用!$D$2:$D$186,MATCH("女赤"&amp;$J185,計算用!$L$2:$L$186,0)),"")</f>
        <v/>
      </c>
      <c r="L185" s="15">
        <f>IFERROR(INDEX(計算用!$M$2:$M$186,MATCH("女赤"&amp;$J185,計算用!$L$2:$L$186,0)),"")</f>
        <v/>
      </c>
      <c r="M185" s="16">
        <f>IFERROR(INDEX(計算用!$G$2:$G$186,MATCH("女赤"&amp;$J185,計算用!$L$2:$L$186,0)),"")</f>
        <v/>
      </c>
      <c r="N185" s="15" t="n"/>
      <c r="O185" s="15">
        <f>IFERROR(INDEX(計算用!$D$2:$D$186,MATCH("女白"&amp;$J185,計算用!$L$2:$L$186,0)),"")</f>
        <v/>
      </c>
      <c r="P185" s="15">
        <f>IFERROR(INDEX(計算用!$M$2:$M$186,MATCH("女白"&amp;$J185,計算用!$L$2:$L$186,0)),"")</f>
        <v/>
      </c>
      <c r="Q185" s="16">
        <f>IFERROR(INDEX(計算用!$G$2:$G$186,MATCH("女白"&amp;$J185,計算用!$L$2:$L$186,0)),"")</f>
        <v/>
      </c>
    </row>
    <row r="186">
      <c r="A186" s="15">
        <f>IF(ROW()-3&lt;=MAX(計算用!$Q$2,計算用!$Q$3),ROW()-3,"")</f>
        <v/>
      </c>
      <c r="B186" s="15">
        <f>IFERROR(INDEX(計算用!$D$2:$D$186,MATCH("男赤"&amp;$A186,計算用!$L$2:$L$186,0)),"")</f>
        <v/>
      </c>
      <c r="C186" s="15">
        <f>IFERROR(INDEX(計算用!$M$2:$M$186,MATCH("男赤"&amp;$A186,計算用!$L$2:$L$186,0)),"")</f>
        <v/>
      </c>
      <c r="D186" s="16">
        <f>IFERROR(INDEX(計算用!$G$2:$G$186,MATCH("男赤"&amp;$A186,計算用!$L$2:$L$186,0)),"")</f>
        <v/>
      </c>
      <c r="E186" s="15" t="n"/>
      <c r="F186" s="15">
        <f>IFERROR(INDEX(計算用!$D$2:$D$186,MATCH("男白"&amp;$A186,計算用!$L$2:$L$186,0)),"")</f>
        <v/>
      </c>
      <c r="G186" s="15">
        <f>IFERROR(INDEX(計算用!$M$2:$M$186,MATCH("男白"&amp;$A186,計算用!$L$2:$L$186,0)),"")</f>
        <v/>
      </c>
      <c r="H186" s="16">
        <f>IFERROR(INDEX(計算用!$G$2:$G$186,MATCH("男白"&amp;$A186,計算用!$L$2:$L$186,0)),"")</f>
        <v/>
      </c>
      <c r="I186" s="15" t="n"/>
      <c r="J186" s="15">
        <f>IF(ROW()-3&lt;=MAX(計算用!$Q$4,計算用!$Q$5),ROW()-3,"")</f>
        <v/>
      </c>
      <c r="K186" s="15">
        <f>IFERROR(INDEX(計算用!$D$2:$D$186,MATCH("女赤"&amp;$J186,計算用!$L$2:$L$186,0)),"")</f>
        <v/>
      </c>
      <c r="L186" s="15">
        <f>IFERROR(INDEX(計算用!$M$2:$M$186,MATCH("女赤"&amp;$J186,計算用!$L$2:$L$186,0)),"")</f>
        <v/>
      </c>
      <c r="M186" s="16">
        <f>IFERROR(INDEX(計算用!$G$2:$G$186,MATCH("女赤"&amp;$J186,計算用!$L$2:$L$186,0)),"")</f>
        <v/>
      </c>
      <c r="N186" s="15" t="n"/>
      <c r="O186" s="15">
        <f>IFERROR(INDEX(計算用!$D$2:$D$186,MATCH("女白"&amp;$J186,計算用!$L$2:$L$186,0)),"")</f>
        <v/>
      </c>
      <c r="P186" s="15">
        <f>IFERROR(INDEX(計算用!$M$2:$M$186,MATCH("女白"&amp;$J186,計算用!$L$2:$L$186,0)),"")</f>
        <v/>
      </c>
      <c r="Q186" s="16">
        <f>IFERROR(INDEX(計算用!$G$2:$G$186,MATCH("女白"&amp;$J186,計算用!$L$2:$L$186,0)),"")</f>
        <v/>
      </c>
    </row>
    <row r="187">
      <c r="A187" s="15">
        <f>IF(ROW()-3&lt;=MAX(計算用!$Q$2,計算用!$Q$3),ROW()-3,"")</f>
        <v/>
      </c>
      <c r="B187" s="15">
        <f>IFERROR(INDEX(計算用!$D$2:$D$186,MATCH("男赤"&amp;$A187,計算用!$L$2:$L$186,0)),"")</f>
        <v/>
      </c>
      <c r="C187" s="15">
        <f>IFERROR(INDEX(計算用!$M$2:$M$186,MATCH("男赤"&amp;$A187,計算用!$L$2:$L$186,0)),"")</f>
        <v/>
      </c>
      <c r="D187" s="16">
        <f>IFERROR(INDEX(計算用!$G$2:$G$186,MATCH("男赤"&amp;$A187,計算用!$L$2:$L$186,0)),"")</f>
        <v/>
      </c>
      <c r="E187" s="15" t="n"/>
      <c r="F187" s="15">
        <f>IFERROR(INDEX(計算用!$D$2:$D$186,MATCH("男白"&amp;$A187,計算用!$L$2:$L$186,0)),"")</f>
        <v/>
      </c>
      <c r="G187" s="15">
        <f>IFERROR(INDEX(計算用!$M$2:$M$186,MATCH("男白"&amp;$A187,計算用!$L$2:$L$186,0)),"")</f>
        <v/>
      </c>
      <c r="H187" s="16">
        <f>IFERROR(INDEX(計算用!$G$2:$G$186,MATCH("男白"&amp;$A187,計算用!$L$2:$L$186,0)),"")</f>
        <v/>
      </c>
      <c r="I187" s="15" t="n"/>
      <c r="J187" s="15">
        <f>IF(ROW()-3&lt;=MAX(計算用!$Q$4,計算用!$Q$5),ROW()-3,"")</f>
        <v/>
      </c>
      <c r="K187" s="15">
        <f>IFERROR(INDEX(計算用!$D$2:$D$186,MATCH("女赤"&amp;$J187,計算用!$L$2:$L$186,0)),"")</f>
        <v/>
      </c>
      <c r="L187" s="15">
        <f>IFERROR(INDEX(計算用!$M$2:$M$186,MATCH("女赤"&amp;$J187,計算用!$L$2:$L$186,0)),"")</f>
        <v/>
      </c>
      <c r="M187" s="16">
        <f>IFERROR(INDEX(計算用!$G$2:$G$186,MATCH("女赤"&amp;$J187,計算用!$L$2:$L$186,0)),"")</f>
        <v/>
      </c>
      <c r="N187" s="15" t="n"/>
      <c r="O187" s="15">
        <f>IFERROR(INDEX(計算用!$D$2:$D$186,MATCH("女白"&amp;$J187,計算用!$L$2:$L$186,0)),"")</f>
        <v/>
      </c>
      <c r="P187" s="15">
        <f>IFERROR(INDEX(計算用!$M$2:$M$186,MATCH("女白"&amp;$J187,計算用!$L$2:$L$186,0)),"")</f>
        <v/>
      </c>
      <c r="Q187" s="16">
        <f>IFERROR(INDEX(計算用!$G$2:$G$186,MATCH("女白"&amp;$J187,計算用!$L$2:$L$186,0)),"")</f>
        <v/>
      </c>
    </row>
    <row r="188">
      <c r="A188" s="15">
        <f>IF(ROW()-3&lt;=MAX(計算用!$Q$2,計算用!$Q$3),ROW()-3,"")</f>
        <v/>
      </c>
      <c r="B188" s="15">
        <f>IFERROR(INDEX(計算用!$D$2:$D$186,MATCH("男赤"&amp;$A188,計算用!$L$2:$L$186,0)),"")</f>
        <v/>
      </c>
      <c r="C188" s="15">
        <f>IFERROR(INDEX(計算用!$M$2:$M$186,MATCH("男赤"&amp;$A188,計算用!$L$2:$L$186,0)),"")</f>
        <v/>
      </c>
      <c r="D188" s="16">
        <f>IFERROR(INDEX(計算用!$G$2:$G$186,MATCH("男赤"&amp;$A188,計算用!$L$2:$L$186,0)),"")</f>
        <v/>
      </c>
      <c r="E188" s="15" t="n"/>
      <c r="F188" s="15">
        <f>IFERROR(INDEX(計算用!$D$2:$D$186,MATCH("男白"&amp;$A188,計算用!$L$2:$L$186,0)),"")</f>
        <v/>
      </c>
      <c r="G188" s="15">
        <f>IFERROR(INDEX(計算用!$M$2:$M$186,MATCH("男白"&amp;$A188,計算用!$L$2:$L$186,0)),"")</f>
        <v/>
      </c>
      <c r="H188" s="16">
        <f>IFERROR(INDEX(計算用!$G$2:$G$186,MATCH("男白"&amp;$A188,計算用!$L$2:$L$186,0)),"")</f>
        <v/>
      </c>
      <c r="I188" s="15" t="n"/>
      <c r="J188" s="15">
        <f>IF(ROW()-3&lt;=MAX(計算用!$Q$4,計算用!$Q$5),ROW()-3,"")</f>
        <v/>
      </c>
      <c r="K188" s="15">
        <f>IFERROR(INDEX(計算用!$D$2:$D$186,MATCH("女赤"&amp;$J188,計算用!$L$2:$L$186,0)),"")</f>
        <v/>
      </c>
      <c r="L188" s="15">
        <f>IFERROR(INDEX(計算用!$M$2:$M$186,MATCH("女赤"&amp;$J188,計算用!$L$2:$L$186,0)),"")</f>
        <v/>
      </c>
      <c r="M188" s="16">
        <f>IFERROR(INDEX(計算用!$G$2:$G$186,MATCH("女赤"&amp;$J188,計算用!$L$2:$L$186,0)),"")</f>
        <v/>
      </c>
      <c r="N188" s="15" t="n"/>
      <c r="O188" s="15">
        <f>IFERROR(INDEX(計算用!$D$2:$D$186,MATCH("女白"&amp;$J188,計算用!$L$2:$L$186,0)),"")</f>
        <v/>
      </c>
      <c r="P188" s="15">
        <f>IFERROR(INDEX(計算用!$M$2:$M$186,MATCH("女白"&amp;$J188,計算用!$L$2:$L$186,0)),"")</f>
        <v/>
      </c>
      <c r="Q188" s="16">
        <f>IFERROR(INDEX(計算用!$G$2:$G$186,MATCH("女白"&amp;$J188,計算用!$L$2:$L$186,0)),"")</f>
        <v/>
      </c>
    </row>
  </sheetData>
  <conditionalFormatting sqref="A4:D188">
    <cfRule type="expression" priority="1" dxfId="0">
      <formula>$A4&lt;&gt;""</formula>
    </cfRule>
  </conditionalFormatting>
  <conditionalFormatting sqref="E4:E188">
    <cfRule type="expression" priority="5" dxfId="3">
      <formula>$A4&lt;&gt;""</formula>
    </cfRule>
  </conditionalFormatting>
  <conditionalFormatting sqref="F4:H188">
    <cfRule type="expression" priority="2" dxfId="0">
      <formula>$A4&lt;&gt;""</formula>
    </cfRule>
  </conditionalFormatting>
  <conditionalFormatting sqref="J4:M188">
    <cfRule type="expression" priority="3" dxfId="0">
      <formula>$J4&lt;&gt;""</formula>
    </cfRule>
  </conditionalFormatting>
  <conditionalFormatting sqref="N4:N188">
    <cfRule type="expression" priority="6" dxfId="3">
      <formula>$J4&lt;&gt;""</formula>
    </cfRule>
  </conditionalFormatting>
  <conditionalFormatting sqref="O4:Q188">
    <cfRule type="expression" priority="4" dxfId="0">
      <formula>$J4&lt;&gt;""</formula>
    </cfRule>
  </conditionalFormatting>
  <pageMargins left="0.7" right="0.7" top="0.75" bottom="0.75" header="0.3" footer="0.3"/>
  <pageSetup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E53"/>
  <sheetViews>
    <sheetView workbookViewId="0">
      <selection activeCell="A1" sqref="A1"/>
    </sheetView>
  </sheetViews>
  <sheetFormatPr baseColWidth="8" defaultRowHeight="15"/>
  <cols>
    <col width="5" customWidth="1" style="11" min="1" max="1"/>
    <col width="5" customWidth="1" style="11" min="2" max="2"/>
    <col width="9" customWidth="1" style="11" min="3" max="3"/>
    <col width="13" customWidth="1" style="11" min="4" max="4"/>
    <col width="5" customWidth="1" style="11" min="5" max="5"/>
    <col width="4" customWidth="1" style="11" min="6" max="6"/>
    <col width="13" customWidth="1" style="11" min="7" max="7"/>
    <col width="5" customWidth="1" style="11" min="8" max="8"/>
    <col width="4" customWidth="1" style="11" min="9" max="9"/>
    <col width="13" customWidth="1" style="11" min="10" max="10"/>
    <col width="5" customWidth="1" style="11" min="11" max="11"/>
    <col width="4" customWidth="1" style="11" min="12" max="12"/>
    <col width="13" customWidth="1" style="11" min="13" max="13"/>
    <col width="5" customWidth="1" style="11" min="14" max="14"/>
    <col width="4" customWidth="1" style="11" min="15" max="15"/>
    <col width="2" customWidth="1" style="11" min="16" max="16"/>
    <col width="5" customWidth="1" style="11" min="17" max="17"/>
    <col width="5" customWidth="1" style="11" min="18" max="18"/>
    <col width="9" customWidth="1" style="11" min="19" max="19"/>
    <col width="13" customWidth="1" style="11" min="20" max="20"/>
    <col width="5" customWidth="1" style="11" min="21" max="21"/>
    <col width="4" customWidth="1" style="11" min="22" max="22"/>
    <col width="13" customWidth="1" style="11" min="23" max="23"/>
    <col width="5" customWidth="1" style="11" min="24" max="24"/>
    <col width="4" customWidth="1" style="11" min="25" max="25"/>
    <col width="13" customWidth="1" style="11" min="26" max="26"/>
    <col width="5" customWidth="1" style="11" min="27" max="27"/>
    <col width="4" customWidth="1" style="11" min="28" max="28"/>
    <col width="13" customWidth="1" style="11" min="29" max="29"/>
    <col width="5" customWidth="1" style="11" min="30" max="30"/>
    <col width="4" customWidth="1" style="11" min="31" max="31"/>
  </cols>
  <sheetData>
    <row r="1">
      <c r="A1" s="23" t="inlineStr">
        <is>
          <t>男子</t>
        </is>
      </c>
      <c r="D1" s="24">
        <f>IF(SUMPRODUCT((計算用!$T$2:$T$51&gt;0)*(((計算用!$T$2:$T$51&lt;&gt;4)+(計算用!$W$2:$W$51&lt;&gt;2))&gt;0))&gt;0,"※黄色の組は、人数の都合で調整した組です","")</f>
        <v/>
      </c>
      <c r="Q1" s="23" t="inlineStr">
        <is>
          <t>女子</t>
        </is>
      </c>
      <c r="T1" s="24">
        <f>IF(SUMPRODUCT((計算用!$AC$2:$AC$51&gt;0)*(((計算用!$AC$2:$AC$51&lt;&gt;4)+(計算用!$AF$2:$AF$51&lt;&gt;2))&gt;0))&gt;0,"※黄色の組は、人数の都合で調整した組です","")</f>
        <v/>
      </c>
    </row>
    <row r="2">
      <c r="A2" s="25" t="inlineStr">
        <is>
          <t>組</t>
        </is>
      </c>
      <c r="B2" s="25" t="inlineStr">
        <is>
          <t>人数</t>
        </is>
      </c>
      <c r="C2" s="25" t="inlineStr">
        <is>
          <t>内訳</t>
        </is>
      </c>
      <c r="D2" s="25" t="inlineStr">
        <is>
          <t>1人目</t>
        </is>
      </c>
      <c r="E2" s="25" t="n"/>
      <c r="F2" s="25" t="n"/>
      <c r="G2" s="25" t="inlineStr">
        <is>
          <t>2人目</t>
        </is>
      </c>
      <c r="H2" s="25" t="n"/>
      <c r="I2" s="25" t="n"/>
      <c r="J2" s="25" t="inlineStr">
        <is>
          <t>3人目</t>
        </is>
      </c>
      <c r="K2" s="25" t="n"/>
      <c r="L2" s="25" t="n"/>
      <c r="M2" s="25" t="inlineStr">
        <is>
          <t>4人目</t>
        </is>
      </c>
      <c r="N2" s="25" t="n"/>
      <c r="O2" s="25" t="n"/>
      <c r="Q2" s="25" t="inlineStr">
        <is>
          <t>組</t>
        </is>
      </c>
      <c r="R2" s="25" t="inlineStr">
        <is>
          <t>人数</t>
        </is>
      </c>
      <c r="S2" s="25" t="inlineStr">
        <is>
          <t>内訳</t>
        </is>
      </c>
      <c r="T2" s="25" t="inlineStr">
        <is>
          <t>1人目</t>
        </is>
      </c>
      <c r="U2" s="25" t="n"/>
      <c r="V2" s="25" t="n"/>
      <c r="W2" s="25" t="inlineStr">
        <is>
          <t>2人目</t>
        </is>
      </c>
      <c r="X2" s="25" t="n"/>
      <c r="Y2" s="25" t="n"/>
      <c r="Z2" s="25" t="inlineStr">
        <is>
          <t>3人目</t>
        </is>
      </c>
      <c r="AA2" s="25" t="n"/>
      <c r="AB2" s="25" t="n"/>
      <c r="AC2" s="25" t="inlineStr">
        <is>
          <t>4人目</t>
        </is>
      </c>
      <c r="AD2" s="25" t="n"/>
      <c r="AE2" s="25" t="n"/>
    </row>
    <row r="3">
      <c r="A3" s="25" t="n"/>
      <c r="B3" s="25" t="n"/>
      <c r="C3" s="25" t="n"/>
      <c r="D3" s="25" t="inlineStr">
        <is>
          <t>名前</t>
        </is>
      </c>
      <c r="E3" s="25" t="inlineStr">
        <is>
          <t>クラス</t>
        </is>
      </c>
      <c r="F3" s="25" t="inlineStr">
        <is>
          <t>色</t>
        </is>
      </c>
      <c r="G3" s="25" t="inlineStr">
        <is>
          <t>名前</t>
        </is>
      </c>
      <c r="H3" s="25" t="inlineStr">
        <is>
          <t>クラス</t>
        </is>
      </c>
      <c r="I3" s="25" t="inlineStr">
        <is>
          <t>色</t>
        </is>
      </c>
      <c r="J3" s="25" t="inlineStr">
        <is>
          <t>名前</t>
        </is>
      </c>
      <c r="K3" s="25" t="inlineStr">
        <is>
          <t>クラス</t>
        </is>
      </c>
      <c r="L3" s="25" t="inlineStr">
        <is>
          <t>色</t>
        </is>
      </c>
      <c r="M3" s="25" t="inlineStr">
        <is>
          <t>名前</t>
        </is>
      </c>
      <c r="N3" s="25" t="inlineStr">
        <is>
          <t>クラス</t>
        </is>
      </c>
      <c r="O3" s="25" t="inlineStr">
        <is>
          <t>色</t>
        </is>
      </c>
      <c r="Q3" s="25" t="n"/>
      <c r="R3" s="25" t="n"/>
      <c r="S3" s="25" t="n"/>
      <c r="T3" s="25" t="inlineStr">
        <is>
          <t>名前</t>
        </is>
      </c>
      <c r="U3" s="25" t="inlineStr">
        <is>
          <t>クラス</t>
        </is>
      </c>
      <c r="V3" s="25" t="inlineStr">
        <is>
          <t>色</t>
        </is>
      </c>
      <c r="W3" s="25" t="inlineStr">
        <is>
          <t>名前</t>
        </is>
      </c>
      <c r="X3" s="25" t="inlineStr">
        <is>
          <t>クラス</t>
        </is>
      </c>
      <c r="Y3" s="25" t="inlineStr">
        <is>
          <t>色</t>
        </is>
      </c>
      <c r="Z3" s="25" t="inlineStr">
        <is>
          <t>名前</t>
        </is>
      </c>
      <c r="AA3" s="25" t="inlineStr">
        <is>
          <t>クラス</t>
        </is>
      </c>
      <c r="AB3" s="25" t="inlineStr">
        <is>
          <t>色</t>
        </is>
      </c>
      <c r="AC3" s="25" t="inlineStr">
        <is>
          <t>名前</t>
        </is>
      </c>
      <c r="AD3" s="25" t="inlineStr">
        <is>
          <t>クラス</t>
        </is>
      </c>
      <c r="AE3" s="25" t="inlineStr">
        <is>
          <t>色</t>
        </is>
      </c>
    </row>
    <row r="4">
      <c r="A4" s="26">
        <f>IF(ROW()-3&lt;=計算用!$Q$9,ROW()-3,"")</f>
        <v/>
      </c>
      <c r="B4" s="26">
        <f>IF($A4="","",INDEX(計算用!$T$2:$T$51,$A4))</f>
        <v/>
      </c>
      <c r="C4" s="26">
        <f>IF($A4="","","赤"&amp;INDEX(計算用!$W$2:$W$51,$A4)&amp;"白"&amp;INDEX(計算用!$X$2:$X$51,$A4))</f>
        <v/>
      </c>
      <c r="D4">
        <f>IF($A4="","",IFERROR(INDEX(計算用!$D$2:$D$186,MATCH("男"&amp;$A4&amp;"-1",計算用!$AN$2:$AN$186,0)),""))</f>
        <v/>
      </c>
      <c r="E4" s="26">
        <f>IF($A4="","",IFERROR(INDEX(計算用!$M$2:$M$186,MATCH("男"&amp;$A4&amp;"-1",計算用!$AN$2:$AN$186,0)),""))</f>
        <v/>
      </c>
      <c r="F4" s="26">
        <f>IF($A4="","",IFERROR(INDEX(計算用!$I$2:$I$186,MATCH("男"&amp;$A4&amp;"-1",計算用!$AN$2:$AN$186,0)),""))</f>
        <v/>
      </c>
      <c r="G4">
        <f>IF($A4="","",IFERROR(INDEX(計算用!$D$2:$D$186,MATCH("男"&amp;$A4&amp;"-2",計算用!$AN$2:$AN$186,0)),""))</f>
        <v/>
      </c>
      <c r="H4" s="26">
        <f>IF($A4="","",IFERROR(INDEX(計算用!$M$2:$M$186,MATCH("男"&amp;$A4&amp;"-2",計算用!$AN$2:$AN$186,0)),""))</f>
        <v/>
      </c>
      <c r="I4" s="26">
        <f>IF($A4="","",IFERROR(INDEX(計算用!$I$2:$I$186,MATCH("男"&amp;$A4&amp;"-2",計算用!$AN$2:$AN$186,0)),""))</f>
        <v/>
      </c>
      <c r="J4">
        <f>IF($A4="","",IFERROR(INDEX(計算用!$D$2:$D$186,MATCH("男"&amp;$A4&amp;"-3",計算用!$AN$2:$AN$186,0)),""))</f>
        <v/>
      </c>
      <c r="K4" s="26">
        <f>IF($A4="","",IFERROR(INDEX(計算用!$M$2:$M$186,MATCH("男"&amp;$A4&amp;"-3",計算用!$AN$2:$AN$186,0)),""))</f>
        <v/>
      </c>
      <c r="L4" s="26">
        <f>IF($A4="","",IFERROR(INDEX(計算用!$I$2:$I$186,MATCH("男"&amp;$A4&amp;"-3",計算用!$AN$2:$AN$186,0)),""))</f>
        <v/>
      </c>
      <c r="M4">
        <f>IF($A4="","",IFERROR(INDEX(計算用!$D$2:$D$186,MATCH("男"&amp;$A4&amp;"-4",計算用!$AN$2:$AN$186,0)),""))</f>
        <v/>
      </c>
      <c r="N4" s="26">
        <f>IF($A4="","",IFERROR(INDEX(計算用!$M$2:$M$186,MATCH("男"&amp;$A4&amp;"-4",計算用!$AN$2:$AN$186,0)),""))</f>
        <v/>
      </c>
      <c r="O4" s="26">
        <f>IF($A4="","",IFERROR(INDEX(計算用!$I$2:$I$186,MATCH("男"&amp;$A4&amp;"-4",計算用!$AN$2:$AN$186,0)),""))</f>
        <v/>
      </c>
      <c r="Q4" s="26">
        <f>IF(ROW()-3&lt;=計算用!$Q$11,ROW()-3,"")</f>
        <v/>
      </c>
      <c r="R4" s="26">
        <f>IF($Q4="","",INDEX(計算用!$AC$2:$AC$51,$Q4))</f>
        <v/>
      </c>
      <c r="S4" s="26">
        <f>IF($Q4="","","赤"&amp;INDEX(計算用!$AF$2:$AF$51,$Q4)&amp;"白"&amp;INDEX(計算用!$AG$2:$AG$51,$Q4))</f>
        <v/>
      </c>
      <c r="T4">
        <f>IF($Q4="","",IFERROR(INDEX(計算用!$D$2:$D$186,MATCH("女"&amp;$Q4&amp;"-1",計算用!$AN$2:$AN$186,0)),""))</f>
        <v/>
      </c>
      <c r="U4" s="26">
        <f>IF($Q4="","",IFERROR(INDEX(計算用!$M$2:$M$186,MATCH("女"&amp;$Q4&amp;"-1",計算用!$AN$2:$AN$186,0)),""))</f>
        <v/>
      </c>
      <c r="V4" s="26">
        <f>IF($Q4="","",IFERROR(INDEX(計算用!$I$2:$I$186,MATCH("女"&amp;$Q4&amp;"-1",計算用!$AN$2:$AN$186,0)),""))</f>
        <v/>
      </c>
      <c r="W4">
        <f>IF($Q4="","",IFERROR(INDEX(計算用!$D$2:$D$186,MATCH("女"&amp;$Q4&amp;"-2",計算用!$AN$2:$AN$186,0)),""))</f>
        <v/>
      </c>
      <c r="X4" s="26">
        <f>IF($Q4="","",IFERROR(INDEX(計算用!$M$2:$M$186,MATCH("女"&amp;$Q4&amp;"-2",計算用!$AN$2:$AN$186,0)),""))</f>
        <v/>
      </c>
      <c r="Y4" s="26">
        <f>IF($Q4="","",IFERROR(INDEX(計算用!$I$2:$I$186,MATCH("女"&amp;$Q4&amp;"-2",計算用!$AN$2:$AN$186,0)),""))</f>
        <v/>
      </c>
      <c r="Z4">
        <f>IF($Q4="","",IFERROR(INDEX(計算用!$D$2:$D$186,MATCH("女"&amp;$Q4&amp;"-3",計算用!$AN$2:$AN$186,0)),""))</f>
        <v/>
      </c>
      <c r="AA4" s="26">
        <f>IF($Q4="","",IFERROR(INDEX(計算用!$M$2:$M$186,MATCH("女"&amp;$Q4&amp;"-3",計算用!$AN$2:$AN$186,0)),""))</f>
        <v/>
      </c>
      <c r="AB4" s="26">
        <f>IF($Q4="","",IFERROR(INDEX(計算用!$I$2:$I$186,MATCH("女"&amp;$Q4&amp;"-3",計算用!$AN$2:$AN$186,0)),""))</f>
        <v/>
      </c>
      <c r="AC4">
        <f>IF($Q4="","",IFERROR(INDEX(計算用!$D$2:$D$186,MATCH("女"&amp;$Q4&amp;"-4",計算用!$AN$2:$AN$186,0)),""))</f>
        <v/>
      </c>
      <c r="AD4" s="26">
        <f>IF($Q4="","",IFERROR(INDEX(計算用!$M$2:$M$186,MATCH("女"&amp;$Q4&amp;"-4",計算用!$AN$2:$AN$186,0)),""))</f>
        <v/>
      </c>
      <c r="AE4" s="26">
        <f>IF($Q4="","",IFERROR(INDEX(計算用!$I$2:$I$186,MATCH("女"&amp;$Q4&amp;"-4",計算用!$AN$2:$AN$186,0)),""))</f>
        <v/>
      </c>
    </row>
    <row r="5">
      <c r="A5" s="26">
        <f>IF(ROW()-3&lt;=計算用!$Q$9,ROW()-3,"")</f>
        <v/>
      </c>
      <c r="B5" s="26">
        <f>IF($A5="","",INDEX(計算用!$T$2:$T$51,$A5))</f>
        <v/>
      </c>
      <c r="C5" s="26">
        <f>IF($A5="","","赤"&amp;INDEX(計算用!$W$2:$W$51,$A5)&amp;"白"&amp;INDEX(計算用!$X$2:$X$51,$A5))</f>
        <v/>
      </c>
      <c r="D5">
        <f>IF($A5="","",IFERROR(INDEX(計算用!$D$2:$D$186,MATCH("男"&amp;$A5&amp;"-1",計算用!$AN$2:$AN$186,0)),""))</f>
        <v/>
      </c>
      <c r="E5" s="26">
        <f>IF($A5="","",IFERROR(INDEX(計算用!$M$2:$M$186,MATCH("男"&amp;$A5&amp;"-1",計算用!$AN$2:$AN$186,0)),""))</f>
        <v/>
      </c>
      <c r="F5" s="26">
        <f>IF($A5="","",IFERROR(INDEX(計算用!$I$2:$I$186,MATCH("男"&amp;$A5&amp;"-1",計算用!$AN$2:$AN$186,0)),""))</f>
        <v/>
      </c>
      <c r="G5">
        <f>IF($A5="","",IFERROR(INDEX(計算用!$D$2:$D$186,MATCH("男"&amp;$A5&amp;"-2",計算用!$AN$2:$AN$186,0)),""))</f>
        <v/>
      </c>
      <c r="H5" s="26">
        <f>IF($A5="","",IFERROR(INDEX(計算用!$M$2:$M$186,MATCH("男"&amp;$A5&amp;"-2",計算用!$AN$2:$AN$186,0)),""))</f>
        <v/>
      </c>
      <c r="I5" s="26">
        <f>IF($A5="","",IFERROR(INDEX(計算用!$I$2:$I$186,MATCH("男"&amp;$A5&amp;"-2",計算用!$AN$2:$AN$186,0)),""))</f>
        <v/>
      </c>
      <c r="J5">
        <f>IF($A5="","",IFERROR(INDEX(計算用!$D$2:$D$186,MATCH("男"&amp;$A5&amp;"-3",計算用!$AN$2:$AN$186,0)),""))</f>
        <v/>
      </c>
      <c r="K5" s="26">
        <f>IF($A5="","",IFERROR(INDEX(計算用!$M$2:$M$186,MATCH("男"&amp;$A5&amp;"-3",計算用!$AN$2:$AN$186,0)),""))</f>
        <v/>
      </c>
      <c r="L5" s="26">
        <f>IF($A5="","",IFERROR(INDEX(計算用!$I$2:$I$186,MATCH("男"&amp;$A5&amp;"-3",計算用!$AN$2:$AN$186,0)),""))</f>
        <v/>
      </c>
      <c r="M5">
        <f>IF($A5="","",IFERROR(INDEX(計算用!$D$2:$D$186,MATCH("男"&amp;$A5&amp;"-4",計算用!$AN$2:$AN$186,0)),""))</f>
        <v/>
      </c>
      <c r="N5" s="26">
        <f>IF($A5="","",IFERROR(INDEX(計算用!$M$2:$M$186,MATCH("男"&amp;$A5&amp;"-4",計算用!$AN$2:$AN$186,0)),""))</f>
        <v/>
      </c>
      <c r="O5" s="26">
        <f>IF($A5="","",IFERROR(INDEX(計算用!$I$2:$I$186,MATCH("男"&amp;$A5&amp;"-4",計算用!$AN$2:$AN$186,0)),""))</f>
        <v/>
      </c>
      <c r="Q5" s="26">
        <f>IF(ROW()-3&lt;=計算用!$Q$11,ROW()-3,"")</f>
        <v/>
      </c>
      <c r="R5" s="26">
        <f>IF($Q5="","",INDEX(計算用!$AC$2:$AC$51,$Q5))</f>
        <v/>
      </c>
      <c r="S5" s="26">
        <f>IF($Q5="","","赤"&amp;INDEX(計算用!$AF$2:$AF$51,$Q5)&amp;"白"&amp;INDEX(計算用!$AG$2:$AG$51,$Q5))</f>
        <v/>
      </c>
      <c r="T5">
        <f>IF($Q5="","",IFERROR(INDEX(計算用!$D$2:$D$186,MATCH("女"&amp;$Q5&amp;"-1",計算用!$AN$2:$AN$186,0)),""))</f>
        <v/>
      </c>
      <c r="U5" s="26">
        <f>IF($Q5="","",IFERROR(INDEX(計算用!$M$2:$M$186,MATCH("女"&amp;$Q5&amp;"-1",計算用!$AN$2:$AN$186,0)),""))</f>
        <v/>
      </c>
      <c r="V5" s="26">
        <f>IF($Q5="","",IFERROR(INDEX(計算用!$I$2:$I$186,MATCH("女"&amp;$Q5&amp;"-1",計算用!$AN$2:$AN$186,0)),""))</f>
        <v/>
      </c>
      <c r="W5">
        <f>IF($Q5="","",IFERROR(INDEX(計算用!$D$2:$D$186,MATCH("女"&amp;$Q5&amp;"-2",計算用!$AN$2:$AN$186,0)),""))</f>
        <v/>
      </c>
      <c r="X5" s="26">
        <f>IF($Q5="","",IFERROR(INDEX(計算用!$M$2:$M$186,MATCH("女"&amp;$Q5&amp;"-2",計算用!$AN$2:$AN$186,0)),""))</f>
        <v/>
      </c>
      <c r="Y5" s="26">
        <f>IF($Q5="","",IFERROR(INDEX(計算用!$I$2:$I$186,MATCH("女"&amp;$Q5&amp;"-2",計算用!$AN$2:$AN$186,0)),""))</f>
        <v/>
      </c>
      <c r="Z5">
        <f>IF($Q5="","",IFERROR(INDEX(計算用!$D$2:$D$186,MATCH("女"&amp;$Q5&amp;"-3",計算用!$AN$2:$AN$186,0)),""))</f>
        <v/>
      </c>
      <c r="AA5" s="26">
        <f>IF($Q5="","",IFERROR(INDEX(計算用!$M$2:$M$186,MATCH("女"&amp;$Q5&amp;"-3",計算用!$AN$2:$AN$186,0)),""))</f>
        <v/>
      </c>
      <c r="AB5" s="26">
        <f>IF($Q5="","",IFERROR(INDEX(計算用!$I$2:$I$186,MATCH("女"&amp;$Q5&amp;"-3",計算用!$AN$2:$AN$186,0)),""))</f>
        <v/>
      </c>
      <c r="AC5">
        <f>IF($Q5="","",IFERROR(INDEX(計算用!$D$2:$D$186,MATCH("女"&amp;$Q5&amp;"-4",計算用!$AN$2:$AN$186,0)),""))</f>
        <v/>
      </c>
      <c r="AD5" s="26">
        <f>IF($Q5="","",IFERROR(INDEX(計算用!$M$2:$M$186,MATCH("女"&amp;$Q5&amp;"-4",計算用!$AN$2:$AN$186,0)),""))</f>
        <v/>
      </c>
      <c r="AE5" s="26">
        <f>IF($Q5="","",IFERROR(INDEX(計算用!$I$2:$I$186,MATCH("女"&amp;$Q5&amp;"-4",計算用!$AN$2:$AN$186,0)),""))</f>
        <v/>
      </c>
    </row>
    <row r="6">
      <c r="A6" s="26">
        <f>IF(ROW()-3&lt;=計算用!$Q$9,ROW()-3,"")</f>
        <v/>
      </c>
      <c r="B6" s="26">
        <f>IF($A6="","",INDEX(計算用!$T$2:$T$51,$A6))</f>
        <v/>
      </c>
      <c r="C6" s="26">
        <f>IF($A6="","","赤"&amp;INDEX(計算用!$W$2:$W$51,$A6)&amp;"白"&amp;INDEX(計算用!$X$2:$X$51,$A6))</f>
        <v/>
      </c>
      <c r="D6">
        <f>IF($A6="","",IFERROR(INDEX(計算用!$D$2:$D$186,MATCH("男"&amp;$A6&amp;"-1",計算用!$AN$2:$AN$186,0)),""))</f>
        <v/>
      </c>
      <c r="E6" s="26">
        <f>IF($A6="","",IFERROR(INDEX(計算用!$M$2:$M$186,MATCH("男"&amp;$A6&amp;"-1",計算用!$AN$2:$AN$186,0)),""))</f>
        <v/>
      </c>
      <c r="F6" s="26">
        <f>IF($A6="","",IFERROR(INDEX(計算用!$I$2:$I$186,MATCH("男"&amp;$A6&amp;"-1",計算用!$AN$2:$AN$186,0)),""))</f>
        <v/>
      </c>
      <c r="G6">
        <f>IF($A6="","",IFERROR(INDEX(計算用!$D$2:$D$186,MATCH("男"&amp;$A6&amp;"-2",計算用!$AN$2:$AN$186,0)),""))</f>
        <v/>
      </c>
      <c r="H6" s="26">
        <f>IF($A6="","",IFERROR(INDEX(計算用!$M$2:$M$186,MATCH("男"&amp;$A6&amp;"-2",計算用!$AN$2:$AN$186,0)),""))</f>
        <v/>
      </c>
      <c r="I6" s="26">
        <f>IF($A6="","",IFERROR(INDEX(計算用!$I$2:$I$186,MATCH("男"&amp;$A6&amp;"-2",計算用!$AN$2:$AN$186,0)),""))</f>
        <v/>
      </c>
      <c r="J6">
        <f>IF($A6="","",IFERROR(INDEX(計算用!$D$2:$D$186,MATCH("男"&amp;$A6&amp;"-3",計算用!$AN$2:$AN$186,0)),""))</f>
        <v/>
      </c>
      <c r="K6" s="26">
        <f>IF($A6="","",IFERROR(INDEX(計算用!$M$2:$M$186,MATCH("男"&amp;$A6&amp;"-3",計算用!$AN$2:$AN$186,0)),""))</f>
        <v/>
      </c>
      <c r="L6" s="26">
        <f>IF($A6="","",IFERROR(INDEX(計算用!$I$2:$I$186,MATCH("男"&amp;$A6&amp;"-3",計算用!$AN$2:$AN$186,0)),""))</f>
        <v/>
      </c>
      <c r="M6">
        <f>IF($A6="","",IFERROR(INDEX(計算用!$D$2:$D$186,MATCH("男"&amp;$A6&amp;"-4",計算用!$AN$2:$AN$186,0)),""))</f>
        <v/>
      </c>
      <c r="N6" s="26">
        <f>IF($A6="","",IFERROR(INDEX(計算用!$M$2:$M$186,MATCH("男"&amp;$A6&amp;"-4",計算用!$AN$2:$AN$186,0)),""))</f>
        <v/>
      </c>
      <c r="O6" s="26">
        <f>IF($A6="","",IFERROR(INDEX(計算用!$I$2:$I$186,MATCH("男"&amp;$A6&amp;"-4",計算用!$AN$2:$AN$186,0)),""))</f>
        <v/>
      </c>
      <c r="Q6" s="26">
        <f>IF(ROW()-3&lt;=計算用!$Q$11,ROW()-3,"")</f>
        <v/>
      </c>
      <c r="R6" s="26">
        <f>IF($Q6="","",INDEX(計算用!$AC$2:$AC$51,$Q6))</f>
        <v/>
      </c>
      <c r="S6" s="26">
        <f>IF($Q6="","","赤"&amp;INDEX(計算用!$AF$2:$AF$51,$Q6)&amp;"白"&amp;INDEX(計算用!$AG$2:$AG$51,$Q6))</f>
        <v/>
      </c>
      <c r="T6">
        <f>IF($Q6="","",IFERROR(INDEX(計算用!$D$2:$D$186,MATCH("女"&amp;$Q6&amp;"-1",計算用!$AN$2:$AN$186,0)),""))</f>
        <v/>
      </c>
      <c r="U6" s="26">
        <f>IF($Q6="","",IFERROR(INDEX(計算用!$M$2:$M$186,MATCH("女"&amp;$Q6&amp;"-1",計算用!$AN$2:$AN$186,0)),""))</f>
        <v/>
      </c>
      <c r="V6" s="26">
        <f>IF($Q6="","",IFERROR(INDEX(計算用!$I$2:$I$186,MATCH("女"&amp;$Q6&amp;"-1",計算用!$AN$2:$AN$186,0)),""))</f>
        <v/>
      </c>
      <c r="W6">
        <f>IF($Q6="","",IFERROR(INDEX(計算用!$D$2:$D$186,MATCH("女"&amp;$Q6&amp;"-2",計算用!$AN$2:$AN$186,0)),""))</f>
        <v/>
      </c>
      <c r="X6" s="26">
        <f>IF($Q6="","",IFERROR(INDEX(計算用!$M$2:$M$186,MATCH("女"&amp;$Q6&amp;"-2",計算用!$AN$2:$AN$186,0)),""))</f>
        <v/>
      </c>
      <c r="Y6" s="26">
        <f>IF($Q6="","",IFERROR(INDEX(計算用!$I$2:$I$186,MATCH("女"&amp;$Q6&amp;"-2",計算用!$AN$2:$AN$186,0)),""))</f>
        <v/>
      </c>
      <c r="Z6">
        <f>IF($Q6="","",IFERROR(INDEX(計算用!$D$2:$D$186,MATCH("女"&amp;$Q6&amp;"-3",計算用!$AN$2:$AN$186,0)),""))</f>
        <v/>
      </c>
      <c r="AA6" s="26">
        <f>IF($Q6="","",IFERROR(INDEX(計算用!$M$2:$M$186,MATCH("女"&amp;$Q6&amp;"-3",計算用!$AN$2:$AN$186,0)),""))</f>
        <v/>
      </c>
      <c r="AB6" s="26">
        <f>IF($Q6="","",IFERROR(INDEX(計算用!$I$2:$I$186,MATCH("女"&amp;$Q6&amp;"-3",計算用!$AN$2:$AN$186,0)),""))</f>
        <v/>
      </c>
      <c r="AC6">
        <f>IF($Q6="","",IFERROR(INDEX(計算用!$D$2:$D$186,MATCH("女"&amp;$Q6&amp;"-4",計算用!$AN$2:$AN$186,0)),""))</f>
        <v/>
      </c>
      <c r="AD6" s="26">
        <f>IF($Q6="","",IFERROR(INDEX(計算用!$M$2:$M$186,MATCH("女"&amp;$Q6&amp;"-4",計算用!$AN$2:$AN$186,0)),""))</f>
        <v/>
      </c>
      <c r="AE6" s="26">
        <f>IF($Q6="","",IFERROR(INDEX(計算用!$I$2:$I$186,MATCH("女"&amp;$Q6&amp;"-4",計算用!$AN$2:$AN$186,0)),""))</f>
        <v/>
      </c>
    </row>
    <row r="7">
      <c r="A7" s="26">
        <f>IF(ROW()-3&lt;=計算用!$Q$9,ROW()-3,"")</f>
        <v/>
      </c>
      <c r="B7" s="26">
        <f>IF($A7="","",INDEX(計算用!$T$2:$T$51,$A7))</f>
        <v/>
      </c>
      <c r="C7" s="26">
        <f>IF($A7="","","赤"&amp;INDEX(計算用!$W$2:$W$51,$A7)&amp;"白"&amp;INDEX(計算用!$X$2:$X$51,$A7))</f>
        <v/>
      </c>
      <c r="D7">
        <f>IF($A7="","",IFERROR(INDEX(計算用!$D$2:$D$186,MATCH("男"&amp;$A7&amp;"-1",計算用!$AN$2:$AN$186,0)),""))</f>
        <v/>
      </c>
      <c r="E7" s="26">
        <f>IF($A7="","",IFERROR(INDEX(計算用!$M$2:$M$186,MATCH("男"&amp;$A7&amp;"-1",計算用!$AN$2:$AN$186,0)),""))</f>
        <v/>
      </c>
      <c r="F7" s="26">
        <f>IF($A7="","",IFERROR(INDEX(計算用!$I$2:$I$186,MATCH("男"&amp;$A7&amp;"-1",計算用!$AN$2:$AN$186,0)),""))</f>
        <v/>
      </c>
      <c r="G7">
        <f>IF($A7="","",IFERROR(INDEX(計算用!$D$2:$D$186,MATCH("男"&amp;$A7&amp;"-2",計算用!$AN$2:$AN$186,0)),""))</f>
        <v/>
      </c>
      <c r="H7" s="26">
        <f>IF($A7="","",IFERROR(INDEX(計算用!$M$2:$M$186,MATCH("男"&amp;$A7&amp;"-2",計算用!$AN$2:$AN$186,0)),""))</f>
        <v/>
      </c>
      <c r="I7" s="26">
        <f>IF($A7="","",IFERROR(INDEX(計算用!$I$2:$I$186,MATCH("男"&amp;$A7&amp;"-2",計算用!$AN$2:$AN$186,0)),""))</f>
        <v/>
      </c>
      <c r="J7">
        <f>IF($A7="","",IFERROR(INDEX(計算用!$D$2:$D$186,MATCH("男"&amp;$A7&amp;"-3",計算用!$AN$2:$AN$186,0)),""))</f>
        <v/>
      </c>
      <c r="K7" s="26">
        <f>IF($A7="","",IFERROR(INDEX(計算用!$M$2:$M$186,MATCH("男"&amp;$A7&amp;"-3",計算用!$AN$2:$AN$186,0)),""))</f>
        <v/>
      </c>
      <c r="L7" s="26">
        <f>IF($A7="","",IFERROR(INDEX(計算用!$I$2:$I$186,MATCH("男"&amp;$A7&amp;"-3",計算用!$AN$2:$AN$186,0)),""))</f>
        <v/>
      </c>
      <c r="M7">
        <f>IF($A7="","",IFERROR(INDEX(計算用!$D$2:$D$186,MATCH("男"&amp;$A7&amp;"-4",計算用!$AN$2:$AN$186,0)),""))</f>
        <v/>
      </c>
      <c r="N7" s="26">
        <f>IF($A7="","",IFERROR(INDEX(計算用!$M$2:$M$186,MATCH("男"&amp;$A7&amp;"-4",計算用!$AN$2:$AN$186,0)),""))</f>
        <v/>
      </c>
      <c r="O7" s="26">
        <f>IF($A7="","",IFERROR(INDEX(計算用!$I$2:$I$186,MATCH("男"&amp;$A7&amp;"-4",計算用!$AN$2:$AN$186,0)),""))</f>
        <v/>
      </c>
      <c r="Q7" s="26">
        <f>IF(ROW()-3&lt;=計算用!$Q$11,ROW()-3,"")</f>
        <v/>
      </c>
      <c r="R7" s="26">
        <f>IF($Q7="","",INDEX(計算用!$AC$2:$AC$51,$Q7))</f>
        <v/>
      </c>
      <c r="S7" s="26">
        <f>IF($Q7="","","赤"&amp;INDEX(計算用!$AF$2:$AF$51,$Q7)&amp;"白"&amp;INDEX(計算用!$AG$2:$AG$51,$Q7))</f>
        <v/>
      </c>
      <c r="T7">
        <f>IF($Q7="","",IFERROR(INDEX(計算用!$D$2:$D$186,MATCH("女"&amp;$Q7&amp;"-1",計算用!$AN$2:$AN$186,0)),""))</f>
        <v/>
      </c>
      <c r="U7" s="26">
        <f>IF($Q7="","",IFERROR(INDEX(計算用!$M$2:$M$186,MATCH("女"&amp;$Q7&amp;"-1",計算用!$AN$2:$AN$186,0)),""))</f>
        <v/>
      </c>
      <c r="V7" s="26">
        <f>IF($Q7="","",IFERROR(INDEX(計算用!$I$2:$I$186,MATCH("女"&amp;$Q7&amp;"-1",計算用!$AN$2:$AN$186,0)),""))</f>
        <v/>
      </c>
      <c r="W7">
        <f>IF($Q7="","",IFERROR(INDEX(計算用!$D$2:$D$186,MATCH("女"&amp;$Q7&amp;"-2",計算用!$AN$2:$AN$186,0)),""))</f>
        <v/>
      </c>
      <c r="X7" s="26">
        <f>IF($Q7="","",IFERROR(INDEX(計算用!$M$2:$M$186,MATCH("女"&amp;$Q7&amp;"-2",計算用!$AN$2:$AN$186,0)),""))</f>
        <v/>
      </c>
      <c r="Y7" s="26">
        <f>IF($Q7="","",IFERROR(INDEX(計算用!$I$2:$I$186,MATCH("女"&amp;$Q7&amp;"-2",計算用!$AN$2:$AN$186,0)),""))</f>
        <v/>
      </c>
      <c r="Z7">
        <f>IF($Q7="","",IFERROR(INDEX(計算用!$D$2:$D$186,MATCH("女"&amp;$Q7&amp;"-3",計算用!$AN$2:$AN$186,0)),""))</f>
        <v/>
      </c>
      <c r="AA7" s="26">
        <f>IF($Q7="","",IFERROR(INDEX(計算用!$M$2:$M$186,MATCH("女"&amp;$Q7&amp;"-3",計算用!$AN$2:$AN$186,0)),""))</f>
        <v/>
      </c>
      <c r="AB7" s="26">
        <f>IF($Q7="","",IFERROR(INDEX(計算用!$I$2:$I$186,MATCH("女"&amp;$Q7&amp;"-3",計算用!$AN$2:$AN$186,0)),""))</f>
        <v/>
      </c>
      <c r="AC7">
        <f>IF($Q7="","",IFERROR(INDEX(計算用!$D$2:$D$186,MATCH("女"&amp;$Q7&amp;"-4",計算用!$AN$2:$AN$186,0)),""))</f>
        <v/>
      </c>
      <c r="AD7" s="26">
        <f>IF($Q7="","",IFERROR(INDEX(計算用!$M$2:$M$186,MATCH("女"&amp;$Q7&amp;"-4",計算用!$AN$2:$AN$186,0)),""))</f>
        <v/>
      </c>
      <c r="AE7" s="26">
        <f>IF($Q7="","",IFERROR(INDEX(計算用!$I$2:$I$186,MATCH("女"&amp;$Q7&amp;"-4",計算用!$AN$2:$AN$186,0)),""))</f>
        <v/>
      </c>
    </row>
    <row r="8">
      <c r="A8" s="26">
        <f>IF(ROW()-3&lt;=計算用!$Q$9,ROW()-3,"")</f>
        <v/>
      </c>
      <c r="B8" s="26">
        <f>IF($A8="","",INDEX(計算用!$T$2:$T$51,$A8))</f>
        <v/>
      </c>
      <c r="C8" s="26">
        <f>IF($A8="","","赤"&amp;INDEX(計算用!$W$2:$W$51,$A8)&amp;"白"&amp;INDEX(計算用!$X$2:$X$51,$A8))</f>
        <v/>
      </c>
      <c r="D8">
        <f>IF($A8="","",IFERROR(INDEX(計算用!$D$2:$D$186,MATCH("男"&amp;$A8&amp;"-1",計算用!$AN$2:$AN$186,0)),""))</f>
        <v/>
      </c>
      <c r="E8" s="26">
        <f>IF($A8="","",IFERROR(INDEX(計算用!$M$2:$M$186,MATCH("男"&amp;$A8&amp;"-1",計算用!$AN$2:$AN$186,0)),""))</f>
        <v/>
      </c>
      <c r="F8" s="26">
        <f>IF($A8="","",IFERROR(INDEX(計算用!$I$2:$I$186,MATCH("男"&amp;$A8&amp;"-1",計算用!$AN$2:$AN$186,0)),""))</f>
        <v/>
      </c>
      <c r="G8">
        <f>IF($A8="","",IFERROR(INDEX(計算用!$D$2:$D$186,MATCH("男"&amp;$A8&amp;"-2",計算用!$AN$2:$AN$186,0)),""))</f>
        <v/>
      </c>
      <c r="H8" s="26">
        <f>IF($A8="","",IFERROR(INDEX(計算用!$M$2:$M$186,MATCH("男"&amp;$A8&amp;"-2",計算用!$AN$2:$AN$186,0)),""))</f>
        <v/>
      </c>
      <c r="I8" s="26">
        <f>IF($A8="","",IFERROR(INDEX(計算用!$I$2:$I$186,MATCH("男"&amp;$A8&amp;"-2",計算用!$AN$2:$AN$186,0)),""))</f>
        <v/>
      </c>
      <c r="J8">
        <f>IF($A8="","",IFERROR(INDEX(計算用!$D$2:$D$186,MATCH("男"&amp;$A8&amp;"-3",計算用!$AN$2:$AN$186,0)),""))</f>
        <v/>
      </c>
      <c r="K8" s="26">
        <f>IF($A8="","",IFERROR(INDEX(計算用!$M$2:$M$186,MATCH("男"&amp;$A8&amp;"-3",計算用!$AN$2:$AN$186,0)),""))</f>
        <v/>
      </c>
      <c r="L8" s="26">
        <f>IF($A8="","",IFERROR(INDEX(計算用!$I$2:$I$186,MATCH("男"&amp;$A8&amp;"-3",計算用!$AN$2:$AN$186,0)),""))</f>
        <v/>
      </c>
      <c r="M8">
        <f>IF($A8="","",IFERROR(INDEX(計算用!$D$2:$D$186,MATCH("男"&amp;$A8&amp;"-4",計算用!$AN$2:$AN$186,0)),""))</f>
        <v/>
      </c>
      <c r="N8" s="26">
        <f>IF($A8="","",IFERROR(INDEX(計算用!$M$2:$M$186,MATCH("男"&amp;$A8&amp;"-4",計算用!$AN$2:$AN$186,0)),""))</f>
        <v/>
      </c>
      <c r="O8" s="26">
        <f>IF($A8="","",IFERROR(INDEX(計算用!$I$2:$I$186,MATCH("男"&amp;$A8&amp;"-4",計算用!$AN$2:$AN$186,0)),""))</f>
        <v/>
      </c>
      <c r="Q8" s="26">
        <f>IF(ROW()-3&lt;=計算用!$Q$11,ROW()-3,"")</f>
        <v/>
      </c>
      <c r="R8" s="26">
        <f>IF($Q8="","",INDEX(計算用!$AC$2:$AC$51,$Q8))</f>
        <v/>
      </c>
      <c r="S8" s="26">
        <f>IF($Q8="","","赤"&amp;INDEX(計算用!$AF$2:$AF$51,$Q8)&amp;"白"&amp;INDEX(計算用!$AG$2:$AG$51,$Q8))</f>
        <v/>
      </c>
      <c r="T8">
        <f>IF($Q8="","",IFERROR(INDEX(計算用!$D$2:$D$186,MATCH("女"&amp;$Q8&amp;"-1",計算用!$AN$2:$AN$186,0)),""))</f>
        <v/>
      </c>
      <c r="U8" s="26">
        <f>IF($Q8="","",IFERROR(INDEX(計算用!$M$2:$M$186,MATCH("女"&amp;$Q8&amp;"-1",計算用!$AN$2:$AN$186,0)),""))</f>
        <v/>
      </c>
      <c r="V8" s="26">
        <f>IF($Q8="","",IFERROR(INDEX(計算用!$I$2:$I$186,MATCH("女"&amp;$Q8&amp;"-1",計算用!$AN$2:$AN$186,0)),""))</f>
        <v/>
      </c>
      <c r="W8">
        <f>IF($Q8="","",IFERROR(INDEX(計算用!$D$2:$D$186,MATCH("女"&amp;$Q8&amp;"-2",計算用!$AN$2:$AN$186,0)),""))</f>
        <v/>
      </c>
      <c r="X8" s="26">
        <f>IF($Q8="","",IFERROR(INDEX(計算用!$M$2:$M$186,MATCH("女"&amp;$Q8&amp;"-2",計算用!$AN$2:$AN$186,0)),""))</f>
        <v/>
      </c>
      <c r="Y8" s="26">
        <f>IF($Q8="","",IFERROR(INDEX(計算用!$I$2:$I$186,MATCH("女"&amp;$Q8&amp;"-2",計算用!$AN$2:$AN$186,0)),""))</f>
        <v/>
      </c>
      <c r="Z8">
        <f>IF($Q8="","",IFERROR(INDEX(計算用!$D$2:$D$186,MATCH("女"&amp;$Q8&amp;"-3",計算用!$AN$2:$AN$186,0)),""))</f>
        <v/>
      </c>
      <c r="AA8" s="26">
        <f>IF($Q8="","",IFERROR(INDEX(計算用!$M$2:$M$186,MATCH("女"&amp;$Q8&amp;"-3",計算用!$AN$2:$AN$186,0)),""))</f>
        <v/>
      </c>
      <c r="AB8" s="26">
        <f>IF($Q8="","",IFERROR(INDEX(計算用!$I$2:$I$186,MATCH("女"&amp;$Q8&amp;"-3",計算用!$AN$2:$AN$186,0)),""))</f>
        <v/>
      </c>
      <c r="AC8">
        <f>IF($Q8="","",IFERROR(INDEX(計算用!$D$2:$D$186,MATCH("女"&amp;$Q8&amp;"-4",計算用!$AN$2:$AN$186,0)),""))</f>
        <v/>
      </c>
      <c r="AD8" s="26">
        <f>IF($Q8="","",IFERROR(INDEX(計算用!$M$2:$M$186,MATCH("女"&amp;$Q8&amp;"-4",計算用!$AN$2:$AN$186,0)),""))</f>
        <v/>
      </c>
      <c r="AE8" s="26">
        <f>IF($Q8="","",IFERROR(INDEX(計算用!$I$2:$I$186,MATCH("女"&amp;$Q8&amp;"-4",計算用!$AN$2:$AN$186,0)),""))</f>
        <v/>
      </c>
    </row>
    <row r="9">
      <c r="A9" s="26">
        <f>IF(ROW()-3&lt;=計算用!$Q$9,ROW()-3,"")</f>
        <v/>
      </c>
      <c r="B9" s="26">
        <f>IF($A9="","",INDEX(計算用!$T$2:$T$51,$A9))</f>
        <v/>
      </c>
      <c r="C9" s="26">
        <f>IF($A9="","","赤"&amp;INDEX(計算用!$W$2:$W$51,$A9)&amp;"白"&amp;INDEX(計算用!$X$2:$X$51,$A9))</f>
        <v/>
      </c>
      <c r="D9">
        <f>IF($A9="","",IFERROR(INDEX(計算用!$D$2:$D$186,MATCH("男"&amp;$A9&amp;"-1",計算用!$AN$2:$AN$186,0)),""))</f>
        <v/>
      </c>
      <c r="E9" s="26">
        <f>IF($A9="","",IFERROR(INDEX(計算用!$M$2:$M$186,MATCH("男"&amp;$A9&amp;"-1",計算用!$AN$2:$AN$186,0)),""))</f>
        <v/>
      </c>
      <c r="F9" s="26">
        <f>IF($A9="","",IFERROR(INDEX(計算用!$I$2:$I$186,MATCH("男"&amp;$A9&amp;"-1",計算用!$AN$2:$AN$186,0)),""))</f>
        <v/>
      </c>
      <c r="G9">
        <f>IF($A9="","",IFERROR(INDEX(計算用!$D$2:$D$186,MATCH("男"&amp;$A9&amp;"-2",計算用!$AN$2:$AN$186,0)),""))</f>
        <v/>
      </c>
      <c r="H9" s="26">
        <f>IF($A9="","",IFERROR(INDEX(計算用!$M$2:$M$186,MATCH("男"&amp;$A9&amp;"-2",計算用!$AN$2:$AN$186,0)),""))</f>
        <v/>
      </c>
      <c r="I9" s="26">
        <f>IF($A9="","",IFERROR(INDEX(計算用!$I$2:$I$186,MATCH("男"&amp;$A9&amp;"-2",計算用!$AN$2:$AN$186,0)),""))</f>
        <v/>
      </c>
      <c r="J9">
        <f>IF($A9="","",IFERROR(INDEX(計算用!$D$2:$D$186,MATCH("男"&amp;$A9&amp;"-3",計算用!$AN$2:$AN$186,0)),""))</f>
        <v/>
      </c>
      <c r="K9" s="26">
        <f>IF($A9="","",IFERROR(INDEX(計算用!$M$2:$M$186,MATCH("男"&amp;$A9&amp;"-3",計算用!$AN$2:$AN$186,0)),""))</f>
        <v/>
      </c>
      <c r="L9" s="26">
        <f>IF($A9="","",IFERROR(INDEX(計算用!$I$2:$I$186,MATCH("男"&amp;$A9&amp;"-3",計算用!$AN$2:$AN$186,0)),""))</f>
        <v/>
      </c>
      <c r="M9">
        <f>IF($A9="","",IFERROR(INDEX(計算用!$D$2:$D$186,MATCH("男"&amp;$A9&amp;"-4",計算用!$AN$2:$AN$186,0)),""))</f>
        <v/>
      </c>
      <c r="N9" s="26">
        <f>IF($A9="","",IFERROR(INDEX(計算用!$M$2:$M$186,MATCH("男"&amp;$A9&amp;"-4",計算用!$AN$2:$AN$186,0)),""))</f>
        <v/>
      </c>
      <c r="O9" s="26">
        <f>IF($A9="","",IFERROR(INDEX(計算用!$I$2:$I$186,MATCH("男"&amp;$A9&amp;"-4",計算用!$AN$2:$AN$186,0)),""))</f>
        <v/>
      </c>
      <c r="Q9" s="26">
        <f>IF(ROW()-3&lt;=計算用!$Q$11,ROW()-3,"")</f>
        <v/>
      </c>
      <c r="R9" s="26">
        <f>IF($Q9="","",INDEX(計算用!$AC$2:$AC$51,$Q9))</f>
        <v/>
      </c>
      <c r="S9" s="26">
        <f>IF($Q9="","","赤"&amp;INDEX(計算用!$AF$2:$AF$51,$Q9)&amp;"白"&amp;INDEX(計算用!$AG$2:$AG$51,$Q9))</f>
        <v/>
      </c>
      <c r="T9">
        <f>IF($Q9="","",IFERROR(INDEX(計算用!$D$2:$D$186,MATCH("女"&amp;$Q9&amp;"-1",計算用!$AN$2:$AN$186,0)),""))</f>
        <v/>
      </c>
      <c r="U9" s="26">
        <f>IF($Q9="","",IFERROR(INDEX(計算用!$M$2:$M$186,MATCH("女"&amp;$Q9&amp;"-1",計算用!$AN$2:$AN$186,0)),""))</f>
        <v/>
      </c>
      <c r="V9" s="26">
        <f>IF($Q9="","",IFERROR(INDEX(計算用!$I$2:$I$186,MATCH("女"&amp;$Q9&amp;"-1",計算用!$AN$2:$AN$186,0)),""))</f>
        <v/>
      </c>
      <c r="W9">
        <f>IF($Q9="","",IFERROR(INDEX(計算用!$D$2:$D$186,MATCH("女"&amp;$Q9&amp;"-2",計算用!$AN$2:$AN$186,0)),""))</f>
        <v/>
      </c>
      <c r="X9" s="26">
        <f>IF($Q9="","",IFERROR(INDEX(計算用!$M$2:$M$186,MATCH("女"&amp;$Q9&amp;"-2",計算用!$AN$2:$AN$186,0)),""))</f>
        <v/>
      </c>
      <c r="Y9" s="26">
        <f>IF($Q9="","",IFERROR(INDEX(計算用!$I$2:$I$186,MATCH("女"&amp;$Q9&amp;"-2",計算用!$AN$2:$AN$186,0)),""))</f>
        <v/>
      </c>
      <c r="Z9">
        <f>IF($Q9="","",IFERROR(INDEX(計算用!$D$2:$D$186,MATCH("女"&amp;$Q9&amp;"-3",計算用!$AN$2:$AN$186,0)),""))</f>
        <v/>
      </c>
      <c r="AA9" s="26">
        <f>IF($Q9="","",IFERROR(INDEX(計算用!$M$2:$M$186,MATCH("女"&amp;$Q9&amp;"-3",計算用!$AN$2:$AN$186,0)),""))</f>
        <v/>
      </c>
      <c r="AB9" s="26">
        <f>IF($Q9="","",IFERROR(INDEX(計算用!$I$2:$I$186,MATCH("女"&amp;$Q9&amp;"-3",計算用!$AN$2:$AN$186,0)),""))</f>
        <v/>
      </c>
      <c r="AC9">
        <f>IF($Q9="","",IFERROR(INDEX(計算用!$D$2:$D$186,MATCH("女"&amp;$Q9&amp;"-4",計算用!$AN$2:$AN$186,0)),""))</f>
        <v/>
      </c>
      <c r="AD9" s="26">
        <f>IF($Q9="","",IFERROR(INDEX(計算用!$M$2:$M$186,MATCH("女"&amp;$Q9&amp;"-4",計算用!$AN$2:$AN$186,0)),""))</f>
        <v/>
      </c>
      <c r="AE9" s="26">
        <f>IF($Q9="","",IFERROR(INDEX(計算用!$I$2:$I$186,MATCH("女"&amp;$Q9&amp;"-4",計算用!$AN$2:$AN$186,0)),""))</f>
        <v/>
      </c>
    </row>
    <row r="10">
      <c r="A10" s="26">
        <f>IF(ROW()-3&lt;=計算用!$Q$9,ROW()-3,"")</f>
        <v/>
      </c>
      <c r="B10" s="26">
        <f>IF($A10="","",INDEX(計算用!$T$2:$T$51,$A10))</f>
        <v/>
      </c>
      <c r="C10" s="26">
        <f>IF($A10="","","赤"&amp;INDEX(計算用!$W$2:$W$51,$A10)&amp;"白"&amp;INDEX(計算用!$X$2:$X$51,$A10))</f>
        <v/>
      </c>
      <c r="D10">
        <f>IF($A10="","",IFERROR(INDEX(計算用!$D$2:$D$186,MATCH("男"&amp;$A10&amp;"-1",計算用!$AN$2:$AN$186,0)),""))</f>
        <v/>
      </c>
      <c r="E10" s="26">
        <f>IF($A10="","",IFERROR(INDEX(計算用!$M$2:$M$186,MATCH("男"&amp;$A10&amp;"-1",計算用!$AN$2:$AN$186,0)),""))</f>
        <v/>
      </c>
      <c r="F10" s="26">
        <f>IF($A10="","",IFERROR(INDEX(計算用!$I$2:$I$186,MATCH("男"&amp;$A10&amp;"-1",計算用!$AN$2:$AN$186,0)),""))</f>
        <v/>
      </c>
      <c r="G10">
        <f>IF($A10="","",IFERROR(INDEX(計算用!$D$2:$D$186,MATCH("男"&amp;$A10&amp;"-2",計算用!$AN$2:$AN$186,0)),""))</f>
        <v/>
      </c>
      <c r="H10" s="26">
        <f>IF($A10="","",IFERROR(INDEX(計算用!$M$2:$M$186,MATCH("男"&amp;$A10&amp;"-2",計算用!$AN$2:$AN$186,0)),""))</f>
        <v/>
      </c>
      <c r="I10" s="26">
        <f>IF($A10="","",IFERROR(INDEX(計算用!$I$2:$I$186,MATCH("男"&amp;$A10&amp;"-2",計算用!$AN$2:$AN$186,0)),""))</f>
        <v/>
      </c>
      <c r="J10">
        <f>IF($A10="","",IFERROR(INDEX(計算用!$D$2:$D$186,MATCH("男"&amp;$A10&amp;"-3",計算用!$AN$2:$AN$186,0)),""))</f>
        <v/>
      </c>
      <c r="K10" s="26">
        <f>IF($A10="","",IFERROR(INDEX(計算用!$M$2:$M$186,MATCH("男"&amp;$A10&amp;"-3",計算用!$AN$2:$AN$186,0)),""))</f>
        <v/>
      </c>
      <c r="L10" s="26">
        <f>IF($A10="","",IFERROR(INDEX(計算用!$I$2:$I$186,MATCH("男"&amp;$A10&amp;"-3",計算用!$AN$2:$AN$186,0)),""))</f>
        <v/>
      </c>
      <c r="M10">
        <f>IF($A10="","",IFERROR(INDEX(計算用!$D$2:$D$186,MATCH("男"&amp;$A10&amp;"-4",計算用!$AN$2:$AN$186,0)),""))</f>
        <v/>
      </c>
      <c r="N10" s="26">
        <f>IF($A10="","",IFERROR(INDEX(計算用!$M$2:$M$186,MATCH("男"&amp;$A10&amp;"-4",計算用!$AN$2:$AN$186,0)),""))</f>
        <v/>
      </c>
      <c r="O10" s="26">
        <f>IF($A10="","",IFERROR(INDEX(計算用!$I$2:$I$186,MATCH("男"&amp;$A10&amp;"-4",計算用!$AN$2:$AN$186,0)),""))</f>
        <v/>
      </c>
      <c r="Q10" s="26">
        <f>IF(ROW()-3&lt;=計算用!$Q$11,ROW()-3,"")</f>
        <v/>
      </c>
      <c r="R10" s="26">
        <f>IF($Q10="","",INDEX(計算用!$AC$2:$AC$51,$Q10))</f>
        <v/>
      </c>
      <c r="S10" s="26">
        <f>IF($Q10="","","赤"&amp;INDEX(計算用!$AF$2:$AF$51,$Q10)&amp;"白"&amp;INDEX(計算用!$AG$2:$AG$51,$Q10))</f>
        <v/>
      </c>
      <c r="T10">
        <f>IF($Q10="","",IFERROR(INDEX(計算用!$D$2:$D$186,MATCH("女"&amp;$Q10&amp;"-1",計算用!$AN$2:$AN$186,0)),""))</f>
        <v/>
      </c>
      <c r="U10" s="26">
        <f>IF($Q10="","",IFERROR(INDEX(計算用!$M$2:$M$186,MATCH("女"&amp;$Q10&amp;"-1",計算用!$AN$2:$AN$186,0)),""))</f>
        <v/>
      </c>
      <c r="V10" s="26">
        <f>IF($Q10="","",IFERROR(INDEX(計算用!$I$2:$I$186,MATCH("女"&amp;$Q10&amp;"-1",計算用!$AN$2:$AN$186,0)),""))</f>
        <v/>
      </c>
      <c r="W10">
        <f>IF($Q10="","",IFERROR(INDEX(計算用!$D$2:$D$186,MATCH("女"&amp;$Q10&amp;"-2",計算用!$AN$2:$AN$186,0)),""))</f>
        <v/>
      </c>
      <c r="X10" s="26">
        <f>IF($Q10="","",IFERROR(INDEX(計算用!$M$2:$M$186,MATCH("女"&amp;$Q10&amp;"-2",計算用!$AN$2:$AN$186,0)),""))</f>
        <v/>
      </c>
      <c r="Y10" s="26">
        <f>IF($Q10="","",IFERROR(INDEX(計算用!$I$2:$I$186,MATCH("女"&amp;$Q10&amp;"-2",計算用!$AN$2:$AN$186,0)),""))</f>
        <v/>
      </c>
      <c r="Z10">
        <f>IF($Q10="","",IFERROR(INDEX(計算用!$D$2:$D$186,MATCH("女"&amp;$Q10&amp;"-3",計算用!$AN$2:$AN$186,0)),""))</f>
        <v/>
      </c>
      <c r="AA10" s="26">
        <f>IF($Q10="","",IFERROR(INDEX(計算用!$M$2:$M$186,MATCH("女"&amp;$Q10&amp;"-3",計算用!$AN$2:$AN$186,0)),""))</f>
        <v/>
      </c>
      <c r="AB10" s="26">
        <f>IF($Q10="","",IFERROR(INDEX(計算用!$I$2:$I$186,MATCH("女"&amp;$Q10&amp;"-3",計算用!$AN$2:$AN$186,0)),""))</f>
        <v/>
      </c>
      <c r="AC10">
        <f>IF($Q10="","",IFERROR(INDEX(計算用!$D$2:$D$186,MATCH("女"&amp;$Q10&amp;"-4",計算用!$AN$2:$AN$186,0)),""))</f>
        <v/>
      </c>
      <c r="AD10" s="26">
        <f>IF($Q10="","",IFERROR(INDEX(計算用!$M$2:$M$186,MATCH("女"&amp;$Q10&amp;"-4",計算用!$AN$2:$AN$186,0)),""))</f>
        <v/>
      </c>
      <c r="AE10" s="26">
        <f>IF($Q10="","",IFERROR(INDEX(計算用!$I$2:$I$186,MATCH("女"&amp;$Q10&amp;"-4",計算用!$AN$2:$AN$186,0)),""))</f>
        <v/>
      </c>
    </row>
    <row r="11">
      <c r="A11" s="26">
        <f>IF(ROW()-3&lt;=計算用!$Q$9,ROW()-3,"")</f>
        <v/>
      </c>
      <c r="B11" s="26">
        <f>IF($A11="","",INDEX(計算用!$T$2:$T$51,$A11))</f>
        <v/>
      </c>
      <c r="C11" s="26">
        <f>IF($A11="","","赤"&amp;INDEX(計算用!$W$2:$W$51,$A11)&amp;"白"&amp;INDEX(計算用!$X$2:$X$51,$A11))</f>
        <v/>
      </c>
      <c r="D11">
        <f>IF($A11="","",IFERROR(INDEX(計算用!$D$2:$D$186,MATCH("男"&amp;$A11&amp;"-1",計算用!$AN$2:$AN$186,0)),""))</f>
        <v/>
      </c>
      <c r="E11" s="26">
        <f>IF($A11="","",IFERROR(INDEX(計算用!$M$2:$M$186,MATCH("男"&amp;$A11&amp;"-1",計算用!$AN$2:$AN$186,0)),""))</f>
        <v/>
      </c>
      <c r="F11" s="26">
        <f>IF($A11="","",IFERROR(INDEX(計算用!$I$2:$I$186,MATCH("男"&amp;$A11&amp;"-1",計算用!$AN$2:$AN$186,0)),""))</f>
        <v/>
      </c>
      <c r="G11">
        <f>IF($A11="","",IFERROR(INDEX(計算用!$D$2:$D$186,MATCH("男"&amp;$A11&amp;"-2",計算用!$AN$2:$AN$186,0)),""))</f>
        <v/>
      </c>
      <c r="H11" s="26">
        <f>IF($A11="","",IFERROR(INDEX(計算用!$M$2:$M$186,MATCH("男"&amp;$A11&amp;"-2",計算用!$AN$2:$AN$186,0)),""))</f>
        <v/>
      </c>
      <c r="I11" s="26">
        <f>IF($A11="","",IFERROR(INDEX(計算用!$I$2:$I$186,MATCH("男"&amp;$A11&amp;"-2",計算用!$AN$2:$AN$186,0)),""))</f>
        <v/>
      </c>
      <c r="J11">
        <f>IF($A11="","",IFERROR(INDEX(計算用!$D$2:$D$186,MATCH("男"&amp;$A11&amp;"-3",計算用!$AN$2:$AN$186,0)),""))</f>
        <v/>
      </c>
      <c r="K11" s="26">
        <f>IF($A11="","",IFERROR(INDEX(計算用!$M$2:$M$186,MATCH("男"&amp;$A11&amp;"-3",計算用!$AN$2:$AN$186,0)),""))</f>
        <v/>
      </c>
      <c r="L11" s="26">
        <f>IF($A11="","",IFERROR(INDEX(計算用!$I$2:$I$186,MATCH("男"&amp;$A11&amp;"-3",計算用!$AN$2:$AN$186,0)),""))</f>
        <v/>
      </c>
      <c r="M11">
        <f>IF($A11="","",IFERROR(INDEX(計算用!$D$2:$D$186,MATCH("男"&amp;$A11&amp;"-4",計算用!$AN$2:$AN$186,0)),""))</f>
        <v/>
      </c>
      <c r="N11" s="26">
        <f>IF($A11="","",IFERROR(INDEX(計算用!$M$2:$M$186,MATCH("男"&amp;$A11&amp;"-4",計算用!$AN$2:$AN$186,0)),""))</f>
        <v/>
      </c>
      <c r="O11" s="26">
        <f>IF($A11="","",IFERROR(INDEX(計算用!$I$2:$I$186,MATCH("男"&amp;$A11&amp;"-4",計算用!$AN$2:$AN$186,0)),""))</f>
        <v/>
      </c>
      <c r="Q11" s="26">
        <f>IF(ROW()-3&lt;=計算用!$Q$11,ROW()-3,"")</f>
        <v/>
      </c>
      <c r="R11" s="26">
        <f>IF($Q11="","",INDEX(計算用!$AC$2:$AC$51,$Q11))</f>
        <v/>
      </c>
      <c r="S11" s="26">
        <f>IF($Q11="","","赤"&amp;INDEX(計算用!$AF$2:$AF$51,$Q11)&amp;"白"&amp;INDEX(計算用!$AG$2:$AG$51,$Q11))</f>
        <v/>
      </c>
      <c r="T11">
        <f>IF($Q11="","",IFERROR(INDEX(計算用!$D$2:$D$186,MATCH("女"&amp;$Q11&amp;"-1",計算用!$AN$2:$AN$186,0)),""))</f>
        <v/>
      </c>
      <c r="U11" s="26">
        <f>IF($Q11="","",IFERROR(INDEX(計算用!$M$2:$M$186,MATCH("女"&amp;$Q11&amp;"-1",計算用!$AN$2:$AN$186,0)),""))</f>
        <v/>
      </c>
      <c r="V11" s="26">
        <f>IF($Q11="","",IFERROR(INDEX(計算用!$I$2:$I$186,MATCH("女"&amp;$Q11&amp;"-1",計算用!$AN$2:$AN$186,0)),""))</f>
        <v/>
      </c>
      <c r="W11">
        <f>IF($Q11="","",IFERROR(INDEX(計算用!$D$2:$D$186,MATCH("女"&amp;$Q11&amp;"-2",計算用!$AN$2:$AN$186,0)),""))</f>
        <v/>
      </c>
      <c r="X11" s="26">
        <f>IF($Q11="","",IFERROR(INDEX(計算用!$M$2:$M$186,MATCH("女"&amp;$Q11&amp;"-2",計算用!$AN$2:$AN$186,0)),""))</f>
        <v/>
      </c>
      <c r="Y11" s="26">
        <f>IF($Q11="","",IFERROR(INDEX(計算用!$I$2:$I$186,MATCH("女"&amp;$Q11&amp;"-2",計算用!$AN$2:$AN$186,0)),""))</f>
        <v/>
      </c>
      <c r="Z11">
        <f>IF($Q11="","",IFERROR(INDEX(計算用!$D$2:$D$186,MATCH("女"&amp;$Q11&amp;"-3",計算用!$AN$2:$AN$186,0)),""))</f>
        <v/>
      </c>
      <c r="AA11" s="26">
        <f>IF($Q11="","",IFERROR(INDEX(計算用!$M$2:$M$186,MATCH("女"&amp;$Q11&amp;"-3",計算用!$AN$2:$AN$186,0)),""))</f>
        <v/>
      </c>
      <c r="AB11" s="26">
        <f>IF($Q11="","",IFERROR(INDEX(計算用!$I$2:$I$186,MATCH("女"&amp;$Q11&amp;"-3",計算用!$AN$2:$AN$186,0)),""))</f>
        <v/>
      </c>
      <c r="AC11">
        <f>IF($Q11="","",IFERROR(INDEX(計算用!$D$2:$D$186,MATCH("女"&amp;$Q11&amp;"-4",計算用!$AN$2:$AN$186,0)),""))</f>
        <v/>
      </c>
      <c r="AD11" s="26">
        <f>IF($Q11="","",IFERROR(INDEX(計算用!$M$2:$M$186,MATCH("女"&amp;$Q11&amp;"-4",計算用!$AN$2:$AN$186,0)),""))</f>
        <v/>
      </c>
      <c r="AE11" s="26">
        <f>IF($Q11="","",IFERROR(INDEX(計算用!$I$2:$I$186,MATCH("女"&amp;$Q11&amp;"-4",計算用!$AN$2:$AN$186,0)),""))</f>
        <v/>
      </c>
    </row>
    <row r="12">
      <c r="A12" s="26">
        <f>IF(ROW()-3&lt;=計算用!$Q$9,ROW()-3,"")</f>
        <v/>
      </c>
      <c r="B12" s="26">
        <f>IF($A12="","",INDEX(計算用!$T$2:$T$51,$A12))</f>
        <v/>
      </c>
      <c r="C12" s="26">
        <f>IF($A12="","","赤"&amp;INDEX(計算用!$W$2:$W$51,$A12)&amp;"白"&amp;INDEX(計算用!$X$2:$X$51,$A12))</f>
        <v/>
      </c>
      <c r="D12">
        <f>IF($A12="","",IFERROR(INDEX(計算用!$D$2:$D$186,MATCH("男"&amp;$A12&amp;"-1",計算用!$AN$2:$AN$186,0)),""))</f>
        <v/>
      </c>
      <c r="E12" s="26">
        <f>IF($A12="","",IFERROR(INDEX(計算用!$M$2:$M$186,MATCH("男"&amp;$A12&amp;"-1",計算用!$AN$2:$AN$186,0)),""))</f>
        <v/>
      </c>
      <c r="F12" s="26">
        <f>IF($A12="","",IFERROR(INDEX(計算用!$I$2:$I$186,MATCH("男"&amp;$A12&amp;"-1",計算用!$AN$2:$AN$186,0)),""))</f>
        <v/>
      </c>
      <c r="G12">
        <f>IF($A12="","",IFERROR(INDEX(計算用!$D$2:$D$186,MATCH("男"&amp;$A12&amp;"-2",計算用!$AN$2:$AN$186,0)),""))</f>
        <v/>
      </c>
      <c r="H12" s="26">
        <f>IF($A12="","",IFERROR(INDEX(計算用!$M$2:$M$186,MATCH("男"&amp;$A12&amp;"-2",計算用!$AN$2:$AN$186,0)),""))</f>
        <v/>
      </c>
      <c r="I12" s="26">
        <f>IF($A12="","",IFERROR(INDEX(計算用!$I$2:$I$186,MATCH("男"&amp;$A12&amp;"-2",計算用!$AN$2:$AN$186,0)),""))</f>
        <v/>
      </c>
      <c r="J12">
        <f>IF($A12="","",IFERROR(INDEX(計算用!$D$2:$D$186,MATCH("男"&amp;$A12&amp;"-3",計算用!$AN$2:$AN$186,0)),""))</f>
        <v/>
      </c>
      <c r="K12" s="26">
        <f>IF($A12="","",IFERROR(INDEX(計算用!$M$2:$M$186,MATCH("男"&amp;$A12&amp;"-3",計算用!$AN$2:$AN$186,0)),""))</f>
        <v/>
      </c>
      <c r="L12" s="26">
        <f>IF($A12="","",IFERROR(INDEX(計算用!$I$2:$I$186,MATCH("男"&amp;$A12&amp;"-3",計算用!$AN$2:$AN$186,0)),""))</f>
        <v/>
      </c>
      <c r="M12">
        <f>IF($A12="","",IFERROR(INDEX(計算用!$D$2:$D$186,MATCH("男"&amp;$A12&amp;"-4",計算用!$AN$2:$AN$186,0)),""))</f>
        <v/>
      </c>
      <c r="N12" s="26">
        <f>IF($A12="","",IFERROR(INDEX(計算用!$M$2:$M$186,MATCH("男"&amp;$A12&amp;"-4",計算用!$AN$2:$AN$186,0)),""))</f>
        <v/>
      </c>
      <c r="O12" s="26">
        <f>IF($A12="","",IFERROR(INDEX(計算用!$I$2:$I$186,MATCH("男"&amp;$A12&amp;"-4",計算用!$AN$2:$AN$186,0)),""))</f>
        <v/>
      </c>
      <c r="Q12" s="26">
        <f>IF(ROW()-3&lt;=計算用!$Q$11,ROW()-3,"")</f>
        <v/>
      </c>
      <c r="R12" s="26">
        <f>IF($Q12="","",INDEX(計算用!$AC$2:$AC$51,$Q12))</f>
        <v/>
      </c>
      <c r="S12" s="26">
        <f>IF($Q12="","","赤"&amp;INDEX(計算用!$AF$2:$AF$51,$Q12)&amp;"白"&amp;INDEX(計算用!$AG$2:$AG$51,$Q12))</f>
        <v/>
      </c>
      <c r="T12">
        <f>IF($Q12="","",IFERROR(INDEX(計算用!$D$2:$D$186,MATCH("女"&amp;$Q12&amp;"-1",計算用!$AN$2:$AN$186,0)),""))</f>
        <v/>
      </c>
      <c r="U12" s="26">
        <f>IF($Q12="","",IFERROR(INDEX(計算用!$M$2:$M$186,MATCH("女"&amp;$Q12&amp;"-1",計算用!$AN$2:$AN$186,0)),""))</f>
        <v/>
      </c>
      <c r="V12" s="26">
        <f>IF($Q12="","",IFERROR(INDEX(計算用!$I$2:$I$186,MATCH("女"&amp;$Q12&amp;"-1",計算用!$AN$2:$AN$186,0)),""))</f>
        <v/>
      </c>
      <c r="W12">
        <f>IF($Q12="","",IFERROR(INDEX(計算用!$D$2:$D$186,MATCH("女"&amp;$Q12&amp;"-2",計算用!$AN$2:$AN$186,0)),""))</f>
        <v/>
      </c>
      <c r="X12" s="26">
        <f>IF($Q12="","",IFERROR(INDEX(計算用!$M$2:$M$186,MATCH("女"&amp;$Q12&amp;"-2",計算用!$AN$2:$AN$186,0)),""))</f>
        <v/>
      </c>
      <c r="Y12" s="26">
        <f>IF($Q12="","",IFERROR(INDEX(計算用!$I$2:$I$186,MATCH("女"&amp;$Q12&amp;"-2",計算用!$AN$2:$AN$186,0)),""))</f>
        <v/>
      </c>
      <c r="Z12">
        <f>IF($Q12="","",IFERROR(INDEX(計算用!$D$2:$D$186,MATCH("女"&amp;$Q12&amp;"-3",計算用!$AN$2:$AN$186,0)),""))</f>
        <v/>
      </c>
      <c r="AA12" s="26">
        <f>IF($Q12="","",IFERROR(INDEX(計算用!$M$2:$M$186,MATCH("女"&amp;$Q12&amp;"-3",計算用!$AN$2:$AN$186,0)),""))</f>
        <v/>
      </c>
      <c r="AB12" s="26">
        <f>IF($Q12="","",IFERROR(INDEX(計算用!$I$2:$I$186,MATCH("女"&amp;$Q12&amp;"-3",計算用!$AN$2:$AN$186,0)),""))</f>
        <v/>
      </c>
      <c r="AC12">
        <f>IF($Q12="","",IFERROR(INDEX(計算用!$D$2:$D$186,MATCH("女"&amp;$Q12&amp;"-4",計算用!$AN$2:$AN$186,0)),""))</f>
        <v/>
      </c>
      <c r="AD12" s="26">
        <f>IF($Q12="","",IFERROR(INDEX(計算用!$M$2:$M$186,MATCH("女"&amp;$Q12&amp;"-4",計算用!$AN$2:$AN$186,0)),""))</f>
        <v/>
      </c>
      <c r="AE12" s="26">
        <f>IF($Q12="","",IFERROR(INDEX(計算用!$I$2:$I$186,MATCH("女"&amp;$Q12&amp;"-4",計算用!$AN$2:$AN$186,0)),""))</f>
        <v/>
      </c>
    </row>
    <row r="13">
      <c r="A13" s="26">
        <f>IF(ROW()-3&lt;=計算用!$Q$9,ROW()-3,"")</f>
        <v/>
      </c>
      <c r="B13" s="26">
        <f>IF($A13="","",INDEX(計算用!$T$2:$T$51,$A13))</f>
        <v/>
      </c>
      <c r="C13" s="26">
        <f>IF($A13="","","赤"&amp;INDEX(計算用!$W$2:$W$51,$A13)&amp;"白"&amp;INDEX(計算用!$X$2:$X$51,$A13))</f>
        <v/>
      </c>
      <c r="D13">
        <f>IF($A13="","",IFERROR(INDEX(計算用!$D$2:$D$186,MATCH("男"&amp;$A13&amp;"-1",計算用!$AN$2:$AN$186,0)),""))</f>
        <v/>
      </c>
      <c r="E13" s="26">
        <f>IF($A13="","",IFERROR(INDEX(計算用!$M$2:$M$186,MATCH("男"&amp;$A13&amp;"-1",計算用!$AN$2:$AN$186,0)),""))</f>
        <v/>
      </c>
      <c r="F13" s="26">
        <f>IF($A13="","",IFERROR(INDEX(計算用!$I$2:$I$186,MATCH("男"&amp;$A13&amp;"-1",計算用!$AN$2:$AN$186,0)),""))</f>
        <v/>
      </c>
      <c r="G13">
        <f>IF($A13="","",IFERROR(INDEX(計算用!$D$2:$D$186,MATCH("男"&amp;$A13&amp;"-2",計算用!$AN$2:$AN$186,0)),""))</f>
        <v/>
      </c>
      <c r="H13" s="26">
        <f>IF($A13="","",IFERROR(INDEX(計算用!$M$2:$M$186,MATCH("男"&amp;$A13&amp;"-2",計算用!$AN$2:$AN$186,0)),""))</f>
        <v/>
      </c>
      <c r="I13" s="26">
        <f>IF($A13="","",IFERROR(INDEX(計算用!$I$2:$I$186,MATCH("男"&amp;$A13&amp;"-2",計算用!$AN$2:$AN$186,0)),""))</f>
        <v/>
      </c>
      <c r="J13">
        <f>IF($A13="","",IFERROR(INDEX(計算用!$D$2:$D$186,MATCH("男"&amp;$A13&amp;"-3",計算用!$AN$2:$AN$186,0)),""))</f>
        <v/>
      </c>
      <c r="K13" s="26">
        <f>IF($A13="","",IFERROR(INDEX(計算用!$M$2:$M$186,MATCH("男"&amp;$A13&amp;"-3",計算用!$AN$2:$AN$186,0)),""))</f>
        <v/>
      </c>
      <c r="L13" s="26">
        <f>IF($A13="","",IFERROR(INDEX(計算用!$I$2:$I$186,MATCH("男"&amp;$A13&amp;"-3",計算用!$AN$2:$AN$186,0)),""))</f>
        <v/>
      </c>
      <c r="M13">
        <f>IF($A13="","",IFERROR(INDEX(計算用!$D$2:$D$186,MATCH("男"&amp;$A13&amp;"-4",計算用!$AN$2:$AN$186,0)),""))</f>
        <v/>
      </c>
      <c r="N13" s="26">
        <f>IF($A13="","",IFERROR(INDEX(計算用!$M$2:$M$186,MATCH("男"&amp;$A13&amp;"-4",計算用!$AN$2:$AN$186,0)),""))</f>
        <v/>
      </c>
      <c r="O13" s="26">
        <f>IF($A13="","",IFERROR(INDEX(計算用!$I$2:$I$186,MATCH("男"&amp;$A13&amp;"-4",計算用!$AN$2:$AN$186,0)),""))</f>
        <v/>
      </c>
      <c r="Q13" s="26">
        <f>IF(ROW()-3&lt;=計算用!$Q$11,ROW()-3,"")</f>
        <v/>
      </c>
      <c r="R13" s="26">
        <f>IF($Q13="","",INDEX(計算用!$AC$2:$AC$51,$Q13))</f>
        <v/>
      </c>
      <c r="S13" s="26">
        <f>IF($Q13="","","赤"&amp;INDEX(計算用!$AF$2:$AF$51,$Q13)&amp;"白"&amp;INDEX(計算用!$AG$2:$AG$51,$Q13))</f>
        <v/>
      </c>
      <c r="T13">
        <f>IF($Q13="","",IFERROR(INDEX(計算用!$D$2:$D$186,MATCH("女"&amp;$Q13&amp;"-1",計算用!$AN$2:$AN$186,0)),""))</f>
        <v/>
      </c>
      <c r="U13" s="26">
        <f>IF($Q13="","",IFERROR(INDEX(計算用!$M$2:$M$186,MATCH("女"&amp;$Q13&amp;"-1",計算用!$AN$2:$AN$186,0)),""))</f>
        <v/>
      </c>
      <c r="V13" s="26">
        <f>IF($Q13="","",IFERROR(INDEX(計算用!$I$2:$I$186,MATCH("女"&amp;$Q13&amp;"-1",計算用!$AN$2:$AN$186,0)),""))</f>
        <v/>
      </c>
      <c r="W13">
        <f>IF($Q13="","",IFERROR(INDEX(計算用!$D$2:$D$186,MATCH("女"&amp;$Q13&amp;"-2",計算用!$AN$2:$AN$186,0)),""))</f>
        <v/>
      </c>
      <c r="X13" s="26">
        <f>IF($Q13="","",IFERROR(INDEX(計算用!$M$2:$M$186,MATCH("女"&amp;$Q13&amp;"-2",計算用!$AN$2:$AN$186,0)),""))</f>
        <v/>
      </c>
      <c r="Y13" s="26">
        <f>IF($Q13="","",IFERROR(INDEX(計算用!$I$2:$I$186,MATCH("女"&amp;$Q13&amp;"-2",計算用!$AN$2:$AN$186,0)),""))</f>
        <v/>
      </c>
      <c r="Z13">
        <f>IF($Q13="","",IFERROR(INDEX(計算用!$D$2:$D$186,MATCH("女"&amp;$Q13&amp;"-3",計算用!$AN$2:$AN$186,0)),""))</f>
        <v/>
      </c>
      <c r="AA13" s="26">
        <f>IF($Q13="","",IFERROR(INDEX(計算用!$M$2:$M$186,MATCH("女"&amp;$Q13&amp;"-3",計算用!$AN$2:$AN$186,0)),""))</f>
        <v/>
      </c>
      <c r="AB13" s="26">
        <f>IF($Q13="","",IFERROR(INDEX(計算用!$I$2:$I$186,MATCH("女"&amp;$Q13&amp;"-3",計算用!$AN$2:$AN$186,0)),""))</f>
        <v/>
      </c>
      <c r="AC13">
        <f>IF($Q13="","",IFERROR(INDEX(計算用!$D$2:$D$186,MATCH("女"&amp;$Q13&amp;"-4",計算用!$AN$2:$AN$186,0)),""))</f>
        <v/>
      </c>
      <c r="AD13" s="26">
        <f>IF($Q13="","",IFERROR(INDEX(計算用!$M$2:$M$186,MATCH("女"&amp;$Q13&amp;"-4",計算用!$AN$2:$AN$186,0)),""))</f>
        <v/>
      </c>
      <c r="AE13" s="26">
        <f>IF($Q13="","",IFERROR(INDEX(計算用!$I$2:$I$186,MATCH("女"&amp;$Q13&amp;"-4",計算用!$AN$2:$AN$186,0)),""))</f>
        <v/>
      </c>
    </row>
    <row r="14">
      <c r="A14" s="26">
        <f>IF(ROW()-3&lt;=計算用!$Q$9,ROW()-3,"")</f>
        <v/>
      </c>
      <c r="B14" s="26">
        <f>IF($A14="","",INDEX(計算用!$T$2:$T$51,$A14))</f>
        <v/>
      </c>
      <c r="C14" s="26">
        <f>IF($A14="","","赤"&amp;INDEX(計算用!$W$2:$W$51,$A14)&amp;"白"&amp;INDEX(計算用!$X$2:$X$51,$A14))</f>
        <v/>
      </c>
      <c r="D14">
        <f>IF($A14="","",IFERROR(INDEX(計算用!$D$2:$D$186,MATCH("男"&amp;$A14&amp;"-1",計算用!$AN$2:$AN$186,0)),""))</f>
        <v/>
      </c>
      <c r="E14" s="26">
        <f>IF($A14="","",IFERROR(INDEX(計算用!$M$2:$M$186,MATCH("男"&amp;$A14&amp;"-1",計算用!$AN$2:$AN$186,0)),""))</f>
        <v/>
      </c>
      <c r="F14" s="26">
        <f>IF($A14="","",IFERROR(INDEX(計算用!$I$2:$I$186,MATCH("男"&amp;$A14&amp;"-1",計算用!$AN$2:$AN$186,0)),""))</f>
        <v/>
      </c>
      <c r="G14">
        <f>IF($A14="","",IFERROR(INDEX(計算用!$D$2:$D$186,MATCH("男"&amp;$A14&amp;"-2",計算用!$AN$2:$AN$186,0)),""))</f>
        <v/>
      </c>
      <c r="H14" s="26">
        <f>IF($A14="","",IFERROR(INDEX(計算用!$M$2:$M$186,MATCH("男"&amp;$A14&amp;"-2",計算用!$AN$2:$AN$186,0)),""))</f>
        <v/>
      </c>
      <c r="I14" s="26">
        <f>IF($A14="","",IFERROR(INDEX(計算用!$I$2:$I$186,MATCH("男"&amp;$A14&amp;"-2",計算用!$AN$2:$AN$186,0)),""))</f>
        <v/>
      </c>
      <c r="J14">
        <f>IF($A14="","",IFERROR(INDEX(計算用!$D$2:$D$186,MATCH("男"&amp;$A14&amp;"-3",計算用!$AN$2:$AN$186,0)),""))</f>
        <v/>
      </c>
      <c r="K14" s="26">
        <f>IF($A14="","",IFERROR(INDEX(計算用!$M$2:$M$186,MATCH("男"&amp;$A14&amp;"-3",計算用!$AN$2:$AN$186,0)),""))</f>
        <v/>
      </c>
      <c r="L14" s="26">
        <f>IF($A14="","",IFERROR(INDEX(計算用!$I$2:$I$186,MATCH("男"&amp;$A14&amp;"-3",計算用!$AN$2:$AN$186,0)),""))</f>
        <v/>
      </c>
      <c r="M14">
        <f>IF($A14="","",IFERROR(INDEX(計算用!$D$2:$D$186,MATCH("男"&amp;$A14&amp;"-4",計算用!$AN$2:$AN$186,0)),""))</f>
        <v/>
      </c>
      <c r="N14" s="26">
        <f>IF($A14="","",IFERROR(INDEX(計算用!$M$2:$M$186,MATCH("男"&amp;$A14&amp;"-4",計算用!$AN$2:$AN$186,0)),""))</f>
        <v/>
      </c>
      <c r="O14" s="26">
        <f>IF($A14="","",IFERROR(INDEX(計算用!$I$2:$I$186,MATCH("男"&amp;$A14&amp;"-4",計算用!$AN$2:$AN$186,0)),""))</f>
        <v/>
      </c>
      <c r="Q14" s="26">
        <f>IF(ROW()-3&lt;=計算用!$Q$11,ROW()-3,"")</f>
        <v/>
      </c>
      <c r="R14" s="26">
        <f>IF($Q14="","",INDEX(計算用!$AC$2:$AC$51,$Q14))</f>
        <v/>
      </c>
      <c r="S14" s="26">
        <f>IF($Q14="","","赤"&amp;INDEX(計算用!$AF$2:$AF$51,$Q14)&amp;"白"&amp;INDEX(計算用!$AG$2:$AG$51,$Q14))</f>
        <v/>
      </c>
      <c r="T14">
        <f>IF($Q14="","",IFERROR(INDEX(計算用!$D$2:$D$186,MATCH("女"&amp;$Q14&amp;"-1",計算用!$AN$2:$AN$186,0)),""))</f>
        <v/>
      </c>
      <c r="U14" s="26">
        <f>IF($Q14="","",IFERROR(INDEX(計算用!$M$2:$M$186,MATCH("女"&amp;$Q14&amp;"-1",計算用!$AN$2:$AN$186,0)),""))</f>
        <v/>
      </c>
      <c r="V14" s="26">
        <f>IF($Q14="","",IFERROR(INDEX(計算用!$I$2:$I$186,MATCH("女"&amp;$Q14&amp;"-1",計算用!$AN$2:$AN$186,0)),""))</f>
        <v/>
      </c>
      <c r="W14">
        <f>IF($Q14="","",IFERROR(INDEX(計算用!$D$2:$D$186,MATCH("女"&amp;$Q14&amp;"-2",計算用!$AN$2:$AN$186,0)),""))</f>
        <v/>
      </c>
      <c r="X14" s="26">
        <f>IF($Q14="","",IFERROR(INDEX(計算用!$M$2:$M$186,MATCH("女"&amp;$Q14&amp;"-2",計算用!$AN$2:$AN$186,0)),""))</f>
        <v/>
      </c>
      <c r="Y14" s="26">
        <f>IF($Q14="","",IFERROR(INDEX(計算用!$I$2:$I$186,MATCH("女"&amp;$Q14&amp;"-2",計算用!$AN$2:$AN$186,0)),""))</f>
        <v/>
      </c>
      <c r="Z14">
        <f>IF($Q14="","",IFERROR(INDEX(計算用!$D$2:$D$186,MATCH("女"&amp;$Q14&amp;"-3",計算用!$AN$2:$AN$186,0)),""))</f>
        <v/>
      </c>
      <c r="AA14" s="26">
        <f>IF($Q14="","",IFERROR(INDEX(計算用!$M$2:$M$186,MATCH("女"&amp;$Q14&amp;"-3",計算用!$AN$2:$AN$186,0)),""))</f>
        <v/>
      </c>
      <c r="AB14" s="26">
        <f>IF($Q14="","",IFERROR(INDEX(計算用!$I$2:$I$186,MATCH("女"&amp;$Q14&amp;"-3",計算用!$AN$2:$AN$186,0)),""))</f>
        <v/>
      </c>
      <c r="AC14">
        <f>IF($Q14="","",IFERROR(INDEX(計算用!$D$2:$D$186,MATCH("女"&amp;$Q14&amp;"-4",計算用!$AN$2:$AN$186,0)),""))</f>
        <v/>
      </c>
      <c r="AD14" s="26">
        <f>IF($Q14="","",IFERROR(INDEX(計算用!$M$2:$M$186,MATCH("女"&amp;$Q14&amp;"-4",計算用!$AN$2:$AN$186,0)),""))</f>
        <v/>
      </c>
      <c r="AE14" s="26">
        <f>IF($Q14="","",IFERROR(INDEX(計算用!$I$2:$I$186,MATCH("女"&amp;$Q14&amp;"-4",計算用!$AN$2:$AN$186,0)),""))</f>
        <v/>
      </c>
    </row>
    <row r="15">
      <c r="A15" s="26">
        <f>IF(ROW()-3&lt;=計算用!$Q$9,ROW()-3,"")</f>
        <v/>
      </c>
      <c r="B15" s="26">
        <f>IF($A15="","",INDEX(計算用!$T$2:$T$51,$A15))</f>
        <v/>
      </c>
      <c r="C15" s="26">
        <f>IF($A15="","","赤"&amp;INDEX(計算用!$W$2:$W$51,$A15)&amp;"白"&amp;INDEX(計算用!$X$2:$X$51,$A15))</f>
        <v/>
      </c>
      <c r="D15">
        <f>IF($A15="","",IFERROR(INDEX(計算用!$D$2:$D$186,MATCH("男"&amp;$A15&amp;"-1",計算用!$AN$2:$AN$186,0)),""))</f>
        <v/>
      </c>
      <c r="E15" s="26">
        <f>IF($A15="","",IFERROR(INDEX(計算用!$M$2:$M$186,MATCH("男"&amp;$A15&amp;"-1",計算用!$AN$2:$AN$186,0)),""))</f>
        <v/>
      </c>
      <c r="F15" s="26">
        <f>IF($A15="","",IFERROR(INDEX(計算用!$I$2:$I$186,MATCH("男"&amp;$A15&amp;"-1",計算用!$AN$2:$AN$186,0)),""))</f>
        <v/>
      </c>
      <c r="G15">
        <f>IF($A15="","",IFERROR(INDEX(計算用!$D$2:$D$186,MATCH("男"&amp;$A15&amp;"-2",計算用!$AN$2:$AN$186,0)),""))</f>
        <v/>
      </c>
      <c r="H15" s="26">
        <f>IF($A15="","",IFERROR(INDEX(計算用!$M$2:$M$186,MATCH("男"&amp;$A15&amp;"-2",計算用!$AN$2:$AN$186,0)),""))</f>
        <v/>
      </c>
      <c r="I15" s="26">
        <f>IF($A15="","",IFERROR(INDEX(計算用!$I$2:$I$186,MATCH("男"&amp;$A15&amp;"-2",計算用!$AN$2:$AN$186,0)),""))</f>
        <v/>
      </c>
      <c r="J15">
        <f>IF($A15="","",IFERROR(INDEX(計算用!$D$2:$D$186,MATCH("男"&amp;$A15&amp;"-3",計算用!$AN$2:$AN$186,0)),""))</f>
        <v/>
      </c>
      <c r="K15" s="26">
        <f>IF($A15="","",IFERROR(INDEX(計算用!$M$2:$M$186,MATCH("男"&amp;$A15&amp;"-3",計算用!$AN$2:$AN$186,0)),""))</f>
        <v/>
      </c>
      <c r="L15" s="26">
        <f>IF($A15="","",IFERROR(INDEX(計算用!$I$2:$I$186,MATCH("男"&amp;$A15&amp;"-3",計算用!$AN$2:$AN$186,0)),""))</f>
        <v/>
      </c>
      <c r="M15">
        <f>IF($A15="","",IFERROR(INDEX(計算用!$D$2:$D$186,MATCH("男"&amp;$A15&amp;"-4",計算用!$AN$2:$AN$186,0)),""))</f>
        <v/>
      </c>
      <c r="N15" s="26">
        <f>IF($A15="","",IFERROR(INDEX(計算用!$M$2:$M$186,MATCH("男"&amp;$A15&amp;"-4",計算用!$AN$2:$AN$186,0)),""))</f>
        <v/>
      </c>
      <c r="O15" s="26">
        <f>IF($A15="","",IFERROR(INDEX(計算用!$I$2:$I$186,MATCH("男"&amp;$A15&amp;"-4",計算用!$AN$2:$AN$186,0)),""))</f>
        <v/>
      </c>
      <c r="Q15" s="26">
        <f>IF(ROW()-3&lt;=計算用!$Q$11,ROW()-3,"")</f>
        <v/>
      </c>
      <c r="R15" s="26">
        <f>IF($Q15="","",INDEX(計算用!$AC$2:$AC$51,$Q15))</f>
        <v/>
      </c>
      <c r="S15" s="26">
        <f>IF($Q15="","","赤"&amp;INDEX(計算用!$AF$2:$AF$51,$Q15)&amp;"白"&amp;INDEX(計算用!$AG$2:$AG$51,$Q15))</f>
        <v/>
      </c>
      <c r="T15">
        <f>IF($Q15="","",IFERROR(INDEX(計算用!$D$2:$D$186,MATCH("女"&amp;$Q15&amp;"-1",計算用!$AN$2:$AN$186,0)),""))</f>
        <v/>
      </c>
      <c r="U15" s="26">
        <f>IF($Q15="","",IFERROR(INDEX(計算用!$M$2:$M$186,MATCH("女"&amp;$Q15&amp;"-1",計算用!$AN$2:$AN$186,0)),""))</f>
        <v/>
      </c>
      <c r="V15" s="26">
        <f>IF($Q15="","",IFERROR(INDEX(計算用!$I$2:$I$186,MATCH("女"&amp;$Q15&amp;"-1",計算用!$AN$2:$AN$186,0)),""))</f>
        <v/>
      </c>
      <c r="W15">
        <f>IF($Q15="","",IFERROR(INDEX(計算用!$D$2:$D$186,MATCH("女"&amp;$Q15&amp;"-2",計算用!$AN$2:$AN$186,0)),""))</f>
        <v/>
      </c>
      <c r="X15" s="26">
        <f>IF($Q15="","",IFERROR(INDEX(計算用!$M$2:$M$186,MATCH("女"&amp;$Q15&amp;"-2",計算用!$AN$2:$AN$186,0)),""))</f>
        <v/>
      </c>
      <c r="Y15" s="26">
        <f>IF($Q15="","",IFERROR(INDEX(計算用!$I$2:$I$186,MATCH("女"&amp;$Q15&amp;"-2",計算用!$AN$2:$AN$186,0)),""))</f>
        <v/>
      </c>
      <c r="Z15">
        <f>IF($Q15="","",IFERROR(INDEX(計算用!$D$2:$D$186,MATCH("女"&amp;$Q15&amp;"-3",計算用!$AN$2:$AN$186,0)),""))</f>
        <v/>
      </c>
      <c r="AA15" s="26">
        <f>IF($Q15="","",IFERROR(INDEX(計算用!$M$2:$M$186,MATCH("女"&amp;$Q15&amp;"-3",計算用!$AN$2:$AN$186,0)),""))</f>
        <v/>
      </c>
      <c r="AB15" s="26">
        <f>IF($Q15="","",IFERROR(INDEX(計算用!$I$2:$I$186,MATCH("女"&amp;$Q15&amp;"-3",計算用!$AN$2:$AN$186,0)),""))</f>
        <v/>
      </c>
      <c r="AC15">
        <f>IF($Q15="","",IFERROR(INDEX(計算用!$D$2:$D$186,MATCH("女"&amp;$Q15&amp;"-4",計算用!$AN$2:$AN$186,0)),""))</f>
        <v/>
      </c>
      <c r="AD15" s="26">
        <f>IF($Q15="","",IFERROR(INDEX(計算用!$M$2:$M$186,MATCH("女"&amp;$Q15&amp;"-4",計算用!$AN$2:$AN$186,0)),""))</f>
        <v/>
      </c>
      <c r="AE15" s="26">
        <f>IF($Q15="","",IFERROR(INDEX(計算用!$I$2:$I$186,MATCH("女"&amp;$Q15&amp;"-4",計算用!$AN$2:$AN$186,0)),""))</f>
        <v/>
      </c>
    </row>
    <row r="16">
      <c r="A16" s="26">
        <f>IF(ROW()-3&lt;=計算用!$Q$9,ROW()-3,"")</f>
        <v/>
      </c>
      <c r="B16" s="26">
        <f>IF($A16="","",INDEX(計算用!$T$2:$T$51,$A16))</f>
        <v/>
      </c>
      <c r="C16" s="26">
        <f>IF($A16="","","赤"&amp;INDEX(計算用!$W$2:$W$51,$A16)&amp;"白"&amp;INDEX(計算用!$X$2:$X$51,$A16))</f>
        <v/>
      </c>
      <c r="D16">
        <f>IF($A16="","",IFERROR(INDEX(計算用!$D$2:$D$186,MATCH("男"&amp;$A16&amp;"-1",計算用!$AN$2:$AN$186,0)),""))</f>
        <v/>
      </c>
      <c r="E16" s="26">
        <f>IF($A16="","",IFERROR(INDEX(計算用!$M$2:$M$186,MATCH("男"&amp;$A16&amp;"-1",計算用!$AN$2:$AN$186,0)),""))</f>
        <v/>
      </c>
      <c r="F16" s="26">
        <f>IF($A16="","",IFERROR(INDEX(計算用!$I$2:$I$186,MATCH("男"&amp;$A16&amp;"-1",計算用!$AN$2:$AN$186,0)),""))</f>
        <v/>
      </c>
      <c r="G16">
        <f>IF($A16="","",IFERROR(INDEX(計算用!$D$2:$D$186,MATCH("男"&amp;$A16&amp;"-2",計算用!$AN$2:$AN$186,0)),""))</f>
        <v/>
      </c>
      <c r="H16" s="26">
        <f>IF($A16="","",IFERROR(INDEX(計算用!$M$2:$M$186,MATCH("男"&amp;$A16&amp;"-2",計算用!$AN$2:$AN$186,0)),""))</f>
        <v/>
      </c>
      <c r="I16" s="26">
        <f>IF($A16="","",IFERROR(INDEX(計算用!$I$2:$I$186,MATCH("男"&amp;$A16&amp;"-2",計算用!$AN$2:$AN$186,0)),""))</f>
        <v/>
      </c>
      <c r="J16">
        <f>IF($A16="","",IFERROR(INDEX(計算用!$D$2:$D$186,MATCH("男"&amp;$A16&amp;"-3",計算用!$AN$2:$AN$186,0)),""))</f>
        <v/>
      </c>
      <c r="K16" s="26">
        <f>IF($A16="","",IFERROR(INDEX(計算用!$M$2:$M$186,MATCH("男"&amp;$A16&amp;"-3",計算用!$AN$2:$AN$186,0)),""))</f>
        <v/>
      </c>
      <c r="L16" s="26">
        <f>IF($A16="","",IFERROR(INDEX(計算用!$I$2:$I$186,MATCH("男"&amp;$A16&amp;"-3",計算用!$AN$2:$AN$186,0)),""))</f>
        <v/>
      </c>
      <c r="M16">
        <f>IF($A16="","",IFERROR(INDEX(計算用!$D$2:$D$186,MATCH("男"&amp;$A16&amp;"-4",計算用!$AN$2:$AN$186,0)),""))</f>
        <v/>
      </c>
      <c r="N16" s="26">
        <f>IF($A16="","",IFERROR(INDEX(計算用!$M$2:$M$186,MATCH("男"&amp;$A16&amp;"-4",計算用!$AN$2:$AN$186,0)),""))</f>
        <v/>
      </c>
      <c r="O16" s="26">
        <f>IF($A16="","",IFERROR(INDEX(計算用!$I$2:$I$186,MATCH("男"&amp;$A16&amp;"-4",計算用!$AN$2:$AN$186,0)),""))</f>
        <v/>
      </c>
      <c r="Q16" s="26">
        <f>IF(ROW()-3&lt;=計算用!$Q$11,ROW()-3,"")</f>
        <v/>
      </c>
      <c r="R16" s="26">
        <f>IF($Q16="","",INDEX(計算用!$AC$2:$AC$51,$Q16))</f>
        <v/>
      </c>
      <c r="S16" s="26">
        <f>IF($Q16="","","赤"&amp;INDEX(計算用!$AF$2:$AF$51,$Q16)&amp;"白"&amp;INDEX(計算用!$AG$2:$AG$51,$Q16))</f>
        <v/>
      </c>
      <c r="T16">
        <f>IF($Q16="","",IFERROR(INDEX(計算用!$D$2:$D$186,MATCH("女"&amp;$Q16&amp;"-1",計算用!$AN$2:$AN$186,0)),""))</f>
        <v/>
      </c>
      <c r="U16" s="26">
        <f>IF($Q16="","",IFERROR(INDEX(計算用!$M$2:$M$186,MATCH("女"&amp;$Q16&amp;"-1",計算用!$AN$2:$AN$186,0)),""))</f>
        <v/>
      </c>
      <c r="V16" s="26">
        <f>IF($Q16="","",IFERROR(INDEX(計算用!$I$2:$I$186,MATCH("女"&amp;$Q16&amp;"-1",計算用!$AN$2:$AN$186,0)),""))</f>
        <v/>
      </c>
      <c r="W16">
        <f>IF($Q16="","",IFERROR(INDEX(計算用!$D$2:$D$186,MATCH("女"&amp;$Q16&amp;"-2",計算用!$AN$2:$AN$186,0)),""))</f>
        <v/>
      </c>
      <c r="X16" s="26">
        <f>IF($Q16="","",IFERROR(INDEX(計算用!$M$2:$M$186,MATCH("女"&amp;$Q16&amp;"-2",計算用!$AN$2:$AN$186,0)),""))</f>
        <v/>
      </c>
      <c r="Y16" s="26">
        <f>IF($Q16="","",IFERROR(INDEX(計算用!$I$2:$I$186,MATCH("女"&amp;$Q16&amp;"-2",計算用!$AN$2:$AN$186,0)),""))</f>
        <v/>
      </c>
      <c r="Z16">
        <f>IF($Q16="","",IFERROR(INDEX(計算用!$D$2:$D$186,MATCH("女"&amp;$Q16&amp;"-3",計算用!$AN$2:$AN$186,0)),""))</f>
        <v/>
      </c>
      <c r="AA16" s="26">
        <f>IF($Q16="","",IFERROR(INDEX(計算用!$M$2:$M$186,MATCH("女"&amp;$Q16&amp;"-3",計算用!$AN$2:$AN$186,0)),""))</f>
        <v/>
      </c>
      <c r="AB16" s="26">
        <f>IF($Q16="","",IFERROR(INDEX(計算用!$I$2:$I$186,MATCH("女"&amp;$Q16&amp;"-3",計算用!$AN$2:$AN$186,0)),""))</f>
        <v/>
      </c>
      <c r="AC16">
        <f>IF($Q16="","",IFERROR(INDEX(計算用!$D$2:$D$186,MATCH("女"&amp;$Q16&amp;"-4",計算用!$AN$2:$AN$186,0)),""))</f>
        <v/>
      </c>
      <c r="AD16" s="26">
        <f>IF($Q16="","",IFERROR(INDEX(計算用!$M$2:$M$186,MATCH("女"&amp;$Q16&amp;"-4",計算用!$AN$2:$AN$186,0)),""))</f>
        <v/>
      </c>
      <c r="AE16" s="26">
        <f>IF($Q16="","",IFERROR(INDEX(計算用!$I$2:$I$186,MATCH("女"&amp;$Q16&amp;"-4",計算用!$AN$2:$AN$186,0)),""))</f>
        <v/>
      </c>
    </row>
    <row r="17">
      <c r="A17" s="26">
        <f>IF(ROW()-3&lt;=計算用!$Q$9,ROW()-3,"")</f>
        <v/>
      </c>
      <c r="B17" s="26">
        <f>IF($A17="","",INDEX(計算用!$T$2:$T$51,$A17))</f>
        <v/>
      </c>
      <c r="C17" s="26">
        <f>IF($A17="","","赤"&amp;INDEX(計算用!$W$2:$W$51,$A17)&amp;"白"&amp;INDEX(計算用!$X$2:$X$51,$A17))</f>
        <v/>
      </c>
      <c r="D17">
        <f>IF($A17="","",IFERROR(INDEX(計算用!$D$2:$D$186,MATCH("男"&amp;$A17&amp;"-1",計算用!$AN$2:$AN$186,0)),""))</f>
        <v/>
      </c>
      <c r="E17" s="26">
        <f>IF($A17="","",IFERROR(INDEX(計算用!$M$2:$M$186,MATCH("男"&amp;$A17&amp;"-1",計算用!$AN$2:$AN$186,0)),""))</f>
        <v/>
      </c>
      <c r="F17" s="26">
        <f>IF($A17="","",IFERROR(INDEX(計算用!$I$2:$I$186,MATCH("男"&amp;$A17&amp;"-1",計算用!$AN$2:$AN$186,0)),""))</f>
        <v/>
      </c>
      <c r="G17">
        <f>IF($A17="","",IFERROR(INDEX(計算用!$D$2:$D$186,MATCH("男"&amp;$A17&amp;"-2",計算用!$AN$2:$AN$186,0)),""))</f>
        <v/>
      </c>
      <c r="H17" s="26">
        <f>IF($A17="","",IFERROR(INDEX(計算用!$M$2:$M$186,MATCH("男"&amp;$A17&amp;"-2",計算用!$AN$2:$AN$186,0)),""))</f>
        <v/>
      </c>
      <c r="I17" s="26">
        <f>IF($A17="","",IFERROR(INDEX(計算用!$I$2:$I$186,MATCH("男"&amp;$A17&amp;"-2",計算用!$AN$2:$AN$186,0)),""))</f>
        <v/>
      </c>
      <c r="J17">
        <f>IF($A17="","",IFERROR(INDEX(計算用!$D$2:$D$186,MATCH("男"&amp;$A17&amp;"-3",計算用!$AN$2:$AN$186,0)),""))</f>
        <v/>
      </c>
      <c r="K17" s="26">
        <f>IF($A17="","",IFERROR(INDEX(計算用!$M$2:$M$186,MATCH("男"&amp;$A17&amp;"-3",計算用!$AN$2:$AN$186,0)),""))</f>
        <v/>
      </c>
      <c r="L17" s="26">
        <f>IF($A17="","",IFERROR(INDEX(計算用!$I$2:$I$186,MATCH("男"&amp;$A17&amp;"-3",計算用!$AN$2:$AN$186,0)),""))</f>
        <v/>
      </c>
      <c r="M17">
        <f>IF($A17="","",IFERROR(INDEX(計算用!$D$2:$D$186,MATCH("男"&amp;$A17&amp;"-4",計算用!$AN$2:$AN$186,0)),""))</f>
        <v/>
      </c>
      <c r="N17" s="26">
        <f>IF($A17="","",IFERROR(INDEX(計算用!$M$2:$M$186,MATCH("男"&amp;$A17&amp;"-4",計算用!$AN$2:$AN$186,0)),""))</f>
        <v/>
      </c>
      <c r="O17" s="26">
        <f>IF($A17="","",IFERROR(INDEX(計算用!$I$2:$I$186,MATCH("男"&amp;$A17&amp;"-4",計算用!$AN$2:$AN$186,0)),""))</f>
        <v/>
      </c>
      <c r="Q17" s="26">
        <f>IF(ROW()-3&lt;=計算用!$Q$11,ROW()-3,"")</f>
        <v/>
      </c>
      <c r="R17" s="26">
        <f>IF($Q17="","",INDEX(計算用!$AC$2:$AC$51,$Q17))</f>
        <v/>
      </c>
      <c r="S17" s="26">
        <f>IF($Q17="","","赤"&amp;INDEX(計算用!$AF$2:$AF$51,$Q17)&amp;"白"&amp;INDEX(計算用!$AG$2:$AG$51,$Q17))</f>
        <v/>
      </c>
      <c r="T17">
        <f>IF($Q17="","",IFERROR(INDEX(計算用!$D$2:$D$186,MATCH("女"&amp;$Q17&amp;"-1",計算用!$AN$2:$AN$186,0)),""))</f>
        <v/>
      </c>
      <c r="U17" s="26">
        <f>IF($Q17="","",IFERROR(INDEX(計算用!$M$2:$M$186,MATCH("女"&amp;$Q17&amp;"-1",計算用!$AN$2:$AN$186,0)),""))</f>
        <v/>
      </c>
      <c r="V17" s="26">
        <f>IF($Q17="","",IFERROR(INDEX(計算用!$I$2:$I$186,MATCH("女"&amp;$Q17&amp;"-1",計算用!$AN$2:$AN$186,0)),""))</f>
        <v/>
      </c>
      <c r="W17">
        <f>IF($Q17="","",IFERROR(INDEX(計算用!$D$2:$D$186,MATCH("女"&amp;$Q17&amp;"-2",計算用!$AN$2:$AN$186,0)),""))</f>
        <v/>
      </c>
      <c r="X17" s="26">
        <f>IF($Q17="","",IFERROR(INDEX(計算用!$M$2:$M$186,MATCH("女"&amp;$Q17&amp;"-2",計算用!$AN$2:$AN$186,0)),""))</f>
        <v/>
      </c>
      <c r="Y17" s="26">
        <f>IF($Q17="","",IFERROR(INDEX(計算用!$I$2:$I$186,MATCH("女"&amp;$Q17&amp;"-2",計算用!$AN$2:$AN$186,0)),""))</f>
        <v/>
      </c>
      <c r="Z17">
        <f>IF($Q17="","",IFERROR(INDEX(計算用!$D$2:$D$186,MATCH("女"&amp;$Q17&amp;"-3",計算用!$AN$2:$AN$186,0)),""))</f>
        <v/>
      </c>
      <c r="AA17" s="26">
        <f>IF($Q17="","",IFERROR(INDEX(計算用!$M$2:$M$186,MATCH("女"&amp;$Q17&amp;"-3",計算用!$AN$2:$AN$186,0)),""))</f>
        <v/>
      </c>
      <c r="AB17" s="26">
        <f>IF($Q17="","",IFERROR(INDEX(計算用!$I$2:$I$186,MATCH("女"&amp;$Q17&amp;"-3",計算用!$AN$2:$AN$186,0)),""))</f>
        <v/>
      </c>
      <c r="AC17">
        <f>IF($Q17="","",IFERROR(INDEX(計算用!$D$2:$D$186,MATCH("女"&amp;$Q17&amp;"-4",計算用!$AN$2:$AN$186,0)),""))</f>
        <v/>
      </c>
      <c r="AD17" s="26">
        <f>IF($Q17="","",IFERROR(INDEX(計算用!$M$2:$M$186,MATCH("女"&amp;$Q17&amp;"-4",計算用!$AN$2:$AN$186,0)),""))</f>
        <v/>
      </c>
      <c r="AE17" s="26">
        <f>IF($Q17="","",IFERROR(INDEX(計算用!$I$2:$I$186,MATCH("女"&amp;$Q17&amp;"-4",計算用!$AN$2:$AN$186,0)),""))</f>
        <v/>
      </c>
    </row>
    <row r="18">
      <c r="A18" s="26">
        <f>IF(ROW()-3&lt;=計算用!$Q$9,ROW()-3,"")</f>
        <v/>
      </c>
      <c r="B18" s="26">
        <f>IF($A18="","",INDEX(計算用!$T$2:$T$51,$A18))</f>
        <v/>
      </c>
      <c r="C18" s="26">
        <f>IF($A18="","","赤"&amp;INDEX(計算用!$W$2:$W$51,$A18)&amp;"白"&amp;INDEX(計算用!$X$2:$X$51,$A18))</f>
        <v/>
      </c>
      <c r="D18">
        <f>IF($A18="","",IFERROR(INDEX(計算用!$D$2:$D$186,MATCH("男"&amp;$A18&amp;"-1",計算用!$AN$2:$AN$186,0)),""))</f>
        <v/>
      </c>
      <c r="E18" s="26">
        <f>IF($A18="","",IFERROR(INDEX(計算用!$M$2:$M$186,MATCH("男"&amp;$A18&amp;"-1",計算用!$AN$2:$AN$186,0)),""))</f>
        <v/>
      </c>
      <c r="F18" s="26">
        <f>IF($A18="","",IFERROR(INDEX(計算用!$I$2:$I$186,MATCH("男"&amp;$A18&amp;"-1",計算用!$AN$2:$AN$186,0)),""))</f>
        <v/>
      </c>
      <c r="G18">
        <f>IF($A18="","",IFERROR(INDEX(計算用!$D$2:$D$186,MATCH("男"&amp;$A18&amp;"-2",計算用!$AN$2:$AN$186,0)),""))</f>
        <v/>
      </c>
      <c r="H18" s="26">
        <f>IF($A18="","",IFERROR(INDEX(計算用!$M$2:$M$186,MATCH("男"&amp;$A18&amp;"-2",計算用!$AN$2:$AN$186,0)),""))</f>
        <v/>
      </c>
      <c r="I18" s="26">
        <f>IF($A18="","",IFERROR(INDEX(計算用!$I$2:$I$186,MATCH("男"&amp;$A18&amp;"-2",計算用!$AN$2:$AN$186,0)),""))</f>
        <v/>
      </c>
      <c r="J18">
        <f>IF($A18="","",IFERROR(INDEX(計算用!$D$2:$D$186,MATCH("男"&amp;$A18&amp;"-3",計算用!$AN$2:$AN$186,0)),""))</f>
        <v/>
      </c>
      <c r="K18" s="26">
        <f>IF($A18="","",IFERROR(INDEX(計算用!$M$2:$M$186,MATCH("男"&amp;$A18&amp;"-3",計算用!$AN$2:$AN$186,0)),""))</f>
        <v/>
      </c>
      <c r="L18" s="26">
        <f>IF($A18="","",IFERROR(INDEX(計算用!$I$2:$I$186,MATCH("男"&amp;$A18&amp;"-3",計算用!$AN$2:$AN$186,0)),""))</f>
        <v/>
      </c>
      <c r="M18">
        <f>IF($A18="","",IFERROR(INDEX(計算用!$D$2:$D$186,MATCH("男"&amp;$A18&amp;"-4",計算用!$AN$2:$AN$186,0)),""))</f>
        <v/>
      </c>
      <c r="N18" s="26">
        <f>IF($A18="","",IFERROR(INDEX(計算用!$M$2:$M$186,MATCH("男"&amp;$A18&amp;"-4",計算用!$AN$2:$AN$186,0)),""))</f>
        <v/>
      </c>
      <c r="O18" s="26">
        <f>IF($A18="","",IFERROR(INDEX(計算用!$I$2:$I$186,MATCH("男"&amp;$A18&amp;"-4",計算用!$AN$2:$AN$186,0)),""))</f>
        <v/>
      </c>
      <c r="Q18" s="26">
        <f>IF(ROW()-3&lt;=計算用!$Q$11,ROW()-3,"")</f>
        <v/>
      </c>
      <c r="R18" s="26">
        <f>IF($Q18="","",INDEX(計算用!$AC$2:$AC$51,$Q18))</f>
        <v/>
      </c>
      <c r="S18" s="26">
        <f>IF($Q18="","","赤"&amp;INDEX(計算用!$AF$2:$AF$51,$Q18)&amp;"白"&amp;INDEX(計算用!$AG$2:$AG$51,$Q18))</f>
        <v/>
      </c>
      <c r="T18">
        <f>IF($Q18="","",IFERROR(INDEX(計算用!$D$2:$D$186,MATCH("女"&amp;$Q18&amp;"-1",計算用!$AN$2:$AN$186,0)),""))</f>
        <v/>
      </c>
      <c r="U18" s="26">
        <f>IF($Q18="","",IFERROR(INDEX(計算用!$M$2:$M$186,MATCH("女"&amp;$Q18&amp;"-1",計算用!$AN$2:$AN$186,0)),""))</f>
        <v/>
      </c>
      <c r="V18" s="26">
        <f>IF($Q18="","",IFERROR(INDEX(計算用!$I$2:$I$186,MATCH("女"&amp;$Q18&amp;"-1",計算用!$AN$2:$AN$186,0)),""))</f>
        <v/>
      </c>
      <c r="W18">
        <f>IF($Q18="","",IFERROR(INDEX(計算用!$D$2:$D$186,MATCH("女"&amp;$Q18&amp;"-2",計算用!$AN$2:$AN$186,0)),""))</f>
        <v/>
      </c>
      <c r="X18" s="26">
        <f>IF($Q18="","",IFERROR(INDEX(計算用!$M$2:$M$186,MATCH("女"&amp;$Q18&amp;"-2",計算用!$AN$2:$AN$186,0)),""))</f>
        <v/>
      </c>
      <c r="Y18" s="26">
        <f>IF($Q18="","",IFERROR(INDEX(計算用!$I$2:$I$186,MATCH("女"&amp;$Q18&amp;"-2",計算用!$AN$2:$AN$186,0)),""))</f>
        <v/>
      </c>
      <c r="Z18">
        <f>IF($Q18="","",IFERROR(INDEX(計算用!$D$2:$D$186,MATCH("女"&amp;$Q18&amp;"-3",計算用!$AN$2:$AN$186,0)),""))</f>
        <v/>
      </c>
      <c r="AA18" s="26">
        <f>IF($Q18="","",IFERROR(INDEX(計算用!$M$2:$M$186,MATCH("女"&amp;$Q18&amp;"-3",計算用!$AN$2:$AN$186,0)),""))</f>
        <v/>
      </c>
      <c r="AB18" s="26">
        <f>IF($Q18="","",IFERROR(INDEX(計算用!$I$2:$I$186,MATCH("女"&amp;$Q18&amp;"-3",計算用!$AN$2:$AN$186,0)),""))</f>
        <v/>
      </c>
      <c r="AC18">
        <f>IF($Q18="","",IFERROR(INDEX(計算用!$D$2:$D$186,MATCH("女"&amp;$Q18&amp;"-4",計算用!$AN$2:$AN$186,0)),""))</f>
        <v/>
      </c>
      <c r="AD18" s="26">
        <f>IF($Q18="","",IFERROR(INDEX(計算用!$M$2:$M$186,MATCH("女"&amp;$Q18&amp;"-4",計算用!$AN$2:$AN$186,0)),""))</f>
        <v/>
      </c>
      <c r="AE18" s="26">
        <f>IF($Q18="","",IFERROR(INDEX(計算用!$I$2:$I$186,MATCH("女"&amp;$Q18&amp;"-4",計算用!$AN$2:$AN$186,0)),""))</f>
        <v/>
      </c>
    </row>
    <row r="19">
      <c r="A19" s="26">
        <f>IF(ROW()-3&lt;=計算用!$Q$9,ROW()-3,"")</f>
        <v/>
      </c>
      <c r="B19" s="26">
        <f>IF($A19="","",INDEX(計算用!$T$2:$T$51,$A19))</f>
        <v/>
      </c>
      <c r="C19" s="26">
        <f>IF($A19="","","赤"&amp;INDEX(計算用!$W$2:$W$51,$A19)&amp;"白"&amp;INDEX(計算用!$X$2:$X$51,$A19))</f>
        <v/>
      </c>
      <c r="D19">
        <f>IF($A19="","",IFERROR(INDEX(計算用!$D$2:$D$186,MATCH("男"&amp;$A19&amp;"-1",計算用!$AN$2:$AN$186,0)),""))</f>
        <v/>
      </c>
      <c r="E19" s="26">
        <f>IF($A19="","",IFERROR(INDEX(計算用!$M$2:$M$186,MATCH("男"&amp;$A19&amp;"-1",計算用!$AN$2:$AN$186,0)),""))</f>
        <v/>
      </c>
      <c r="F19" s="26">
        <f>IF($A19="","",IFERROR(INDEX(計算用!$I$2:$I$186,MATCH("男"&amp;$A19&amp;"-1",計算用!$AN$2:$AN$186,0)),""))</f>
        <v/>
      </c>
      <c r="G19">
        <f>IF($A19="","",IFERROR(INDEX(計算用!$D$2:$D$186,MATCH("男"&amp;$A19&amp;"-2",計算用!$AN$2:$AN$186,0)),""))</f>
        <v/>
      </c>
      <c r="H19" s="26">
        <f>IF($A19="","",IFERROR(INDEX(計算用!$M$2:$M$186,MATCH("男"&amp;$A19&amp;"-2",計算用!$AN$2:$AN$186,0)),""))</f>
        <v/>
      </c>
      <c r="I19" s="26">
        <f>IF($A19="","",IFERROR(INDEX(計算用!$I$2:$I$186,MATCH("男"&amp;$A19&amp;"-2",計算用!$AN$2:$AN$186,0)),""))</f>
        <v/>
      </c>
      <c r="J19">
        <f>IF($A19="","",IFERROR(INDEX(計算用!$D$2:$D$186,MATCH("男"&amp;$A19&amp;"-3",計算用!$AN$2:$AN$186,0)),""))</f>
        <v/>
      </c>
      <c r="K19" s="26">
        <f>IF($A19="","",IFERROR(INDEX(計算用!$M$2:$M$186,MATCH("男"&amp;$A19&amp;"-3",計算用!$AN$2:$AN$186,0)),""))</f>
        <v/>
      </c>
      <c r="L19" s="26">
        <f>IF($A19="","",IFERROR(INDEX(計算用!$I$2:$I$186,MATCH("男"&amp;$A19&amp;"-3",計算用!$AN$2:$AN$186,0)),""))</f>
        <v/>
      </c>
      <c r="M19">
        <f>IF($A19="","",IFERROR(INDEX(計算用!$D$2:$D$186,MATCH("男"&amp;$A19&amp;"-4",計算用!$AN$2:$AN$186,0)),""))</f>
        <v/>
      </c>
      <c r="N19" s="26">
        <f>IF($A19="","",IFERROR(INDEX(計算用!$M$2:$M$186,MATCH("男"&amp;$A19&amp;"-4",計算用!$AN$2:$AN$186,0)),""))</f>
        <v/>
      </c>
      <c r="O19" s="26">
        <f>IF($A19="","",IFERROR(INDEX(計算用!$I$2:$I$186,MATCH("男"&amp;$A19&amp;"-4",計算用!$AN$2:$AN$186,0)),""))</f>
        <v/>
      </c>
      <c r="Q19" s="26">
        <f>IF(ROW()-3&lt;=計算用!$Q$11,ROW()-3,"")</f>
        <v/>
      </c>
      <c r="R19" s="26">
        <f>IF($Q19="","",INDEX(計算用!$AC$2:$AC$51,$Q19))</f>
        <v/>
      </c>
      <c r="S19" s="26">
        <f>IF($Q19="","","赤"&amp;INDEX(計算用!$AF$2:$AF$51,$Q19)&amp;"白"&amp;INDEX(計算用!$AG$2:$AG$51,$Q19))</f>
        <v/>
      </c>
      <c r="T19">
        <f>IF($Q19="","",IFERROR(INDEX(計算用!$D$2:$D$186,MATCH("女"&amp;$Q19&amp;"-1",計算用!$AN$2:$AN$186,0)),""))</f>
        <v/>
      </c>
      <c r="U19" s="26">
        <f>IF($Q19="","",IFERROR(INDEX(計算用!$M$2:$M$186,MATCH("女"&amp;$Q19&amp;"-1",計算用!$AN$2:$AN$186,0)),""))</f>
        <v/>
      </c>
      <c r="V19" s="26">
        <f>IF($Q19="","",IFERROR(INDEX(計算用!$I$2:$I$186,MATCH("女"&amp;$Q19&amp;"-1",計算用!$AN$2:$AN$186,0)),""))</f>
        <v/>
      </c>
      <c r="W19">
        <f>IF($Q19="","",IFERROR(INDEX(計算用!$D$2:$D$186,MATCH("女"&amp;$Q19&amp;"-2",計算用!$AN$2:$AN$186,0)),""))</f>
        <v/>
      </c>
      <c r="X19" s="26">
        <f>IF($Q19="","",IFERROR(INDEX(計算用!$M$2:$M$186,MATCH("女"&amp;$Q19&amp;"-2",計算用!$AN$2:$AN$186,0)),""))</f>
        <v/>
      </c>
      <c r="Y19" s="26">
        <f>IF($Q19="","",IFERROR(INDEX(計算用!$I$2:$I$186,MATCH("女"&amp;$Q19&amp;"-2",計算用!$AN$2:$AN$186,0)),""))</f>
        <v/>
      </c>
      <c r="Z19">
        <f>IF($Q19="","",IFERROR(INDEX(計算用!$D$2:$D$186,MATCH("女"&amp;$Q19&amp;"-3",計算用!$AN$2:$AN$186,0)),""))</f>
        <v/>
      </c>
      <c r="AA19" s="26">
        <f>IF($Q19="","",IFERROR(INDEX(計算用!$M$2:$M$186,MATCH("女"&amp;$Q19&amp;"-3",計算用!$AN$2:$AN$186,0)),""))</f>
        <v/>
      </c>
      <c r="AB19" s="26">
        <f>IF($Q19="","",IFERROR(INDEX(計算用!$I$2:$I$186,MATCH("女"&amp;$Q19&amp;"-3",計算用!$AN$2:$AN$186,0)),""))</f>
        <v/>
      </c>
      <c r="AC19">
        <f>IF($Q19="","",IFERROR(INDEX(計算用!$D$2:$D$186,MATCH("女"&amp;$Q19&amp;"-4",計算用!$AN$2:$AN$186,0)),""))</f>
        <v/>
      </c>
      <c r="AD19" s="26">
        <f>IF($Q19="","",IFERROR(INDEX(計算用!$M$2:$M$186,MATCH("女"&amp;$Q19&amp;"-4",計算用!$AN$2:$AN$186,0)),""))</f>
        <v/>
      </c>
      <c r="AE19" s="26">
        <f>IF($Q19="","",IFERROR(INDEX(計算用!$I$2:$I$186,MATCH("女"&amp;$Q19&amp;"-4",計算用!$AN$2:$AN$186,0)),""))</f>
        <v/>
      </c>
    </row>
    <row r="20">
      <c r="A20" s="26">
        <f>IF(ROW()-3&lt;=計算用!$Q$9,ROW()-3,"")</f>
        <v/>
      </c>
      <c r="B20" s="26">
        <f>IF($A20="","",INDEX(計算用!$T$2:$T$51,$A20))</f>
        <v/>
      </c>
      <c r="C20" s="26">
        <f>IF($A20="","","赤"&amp;INDEX(計算用!$W$2:$W$51,$A20)&amp;"白"&amp;INDEX(計算用!$X$2:$X$51,$A20))</f>
        <v/>
      </c>
      <c r="D20">
        <f>IF($A20="","",IFERROR(INDEX(計算用!$D$2:$D$186,MATCH("男"&amp;$A20&amp;"-1",計算用!$AN$2:$AN$186,0)),""))</f>
        <v/>
      </c>
      <c r="E20" s="26">
        <f>IF($A20="","",IFERROR(INDEX(計算用!$M$2:$M$186,MATCH("男"&amp;$A20&amp;"-1",計算用!$AN$2:$AN$186,0)),""))</f>
        <v/>
      </c>
      <c r="F20" s="26">
        <f>IF($A20="","",IFERROR(INDEX(計算用!$I$2:$I$186,MATCH("男"&amp;$A20&amp;"-1",計算用!$AN$2:$AN$186,0)),""))</f>
        <v/>
      </c>
      <c r="G20">
        <f>IF($A20="","",IFERROR(INDEX(計算用!$D$2:$D$186,MATCH("男"&amp;$A20&amp;"-2",計算用!$AN$2:$AN$186,0)),""))</f>
        <v/>
      </c>
      <c r="H20" s="26">
        <f>IF($A20="","",IFERROR(INDEX(計算用!$M$2:$M$186,MATCH("男"&amp;$A20&amp;"-2",計算用!$AN$2:$AN$186,0)),""))</f>
        <v/>
      </c>
      <c r="I20" s="26">
        <f>IF($A20="","",IFERROR(INDEX(計算用!$I$2:$I$186,MATCH("男"&amp;$A20&amp;"-2",計算用!$AN$2:$AN$186,0)),""))</f>
        <v/>
      </c>
      <c r="J20">
        <f>IF($A20="","",IFERROR(INDEX(計算用!$D$2:$D$186,MATCH("男"&amp;$A20&amp;"-3",計算用!$AN$2:$AN$186,0)),""))</f>
        <v/>
      </c>
      <c r="K20" s="26">
        <f>IF($A20="","",IFERROR(INDEX(計算用!$M$2:$M$186,MATCH("男"&amp;$A20&amp;"-3",計算用!$AN$2:$AN$186,0)),""))</f>
        <v/>
      </c>
      <c r="L20" s="26">
        <f>IF($A20="","",IFERROR(INDEX(計算用!$I$2:$I$186,MATCH("男"&amp;$A20&amp;"-3",計算用!$AN$2:$AN$186,0)),""))</f>
        <v/>
      </c>
      <c r="M20">
        <f>IF($A20="","",IFERROR(INDEX(計算用!$D$2:$D$186,MATCH("男"&amp;$A20&amp;"-4",計算用!$AN$2:$AN$186,0)),""))</f>
        <v/>
      </c>
      <c r="N20" s="26">
        <f>IF($A20="","",IFERROR(INDEX(計算用!$M$2:$M$186,MATCH("男"&amp;$A20&amp;"-4",計算用!$AN$2:$AN$186,0)),""))</f>
        <v/>
      </c>
      <c r="O20" s="26">
        <f>IF($A20="","",IFERROR(INDEX(計算用!$I$2:$I$186,MATCH("男"&amp;$A20&amp;"-4",計算用!$AN$2:$AN$186,0)),""))</f>
        <v/>
      </c>
      <c r="Q20" s="26">
        <f>IF(ROW()-3&lt;=計算用!$Q$11,ROW()-3,"")</f>
        <v/>
      </c>
      <c r="R20" s="26">
        <f>IF($Q20="","",INDEX(計算用!$AC$2:$AC$51,$Q20))</f>
        <v/>
      </c>
      <c r="S20" s="26">
        <f>IF($Q20="","","赤"&amp;INDEX(計算用!$AF$2:$AF$51,$Q20)&amp;"白"&amp;INDEX(計算用!$AG$2:$AG$51,$Q20))</f>
        <v/>
      </c>
      <c r="T20">
        <f>IF($Q20="","",IFERROR(INDEX(計算用!$D$2:$D$186,MATCH("女"&amp;$Q20&amp;"-1",計算用!$AN$2:$AN$186,0)),""))</f>
        <v/>
      </c>
      <c r="U20" s="26">
        <f>IF($Q20="","",IFERROR(INDEX(計算用!$M$2:$M$186,MATCH("女"&amp;$Q20&amp;"-1",計算用!$AN$2:$AN$186,0)),""))</f>
        <v/>
      </c>
      <c r="V20" s="26">
        <f>IF($Q20="","",IFERROR(INDEX(計算用!$I$2:$I$186,MATCH("女"&amp;$Q20&amp;"-1",計算用!$AN$2:$AN$186,0)),""))</f>
        <v/>
      </c>
      <c r="W20">
        <f>IF($Q20="","",IFERROR(INDEX(計算用!$D$2:$D$186,MATCH("女"&amp;$Q20&amp;"-2",計算用!$AN$2:$AN$186,0)),""))</f>
        <v/>
      </c>
      <c r="X20" s="26">
        <f>IF($Q20="","",IFERROR(INDEX(計算用!$M$2:$M$186,MATCH("女"&amp;$Q20&amp;"-2",計算用!$AN$2:$AN$186,0)),""))</f>
        <v/>
      </c>
      <c r="Y20" s="26">
        <f>IF($Q20="","",IFERROR(INDEX(計算用!$I$2:$I$186,MATCH("女"&amp;$Q20&amp;"-2",計算用!$AN$2:$AN$186,0)),""))</f>
        <v/>
      </c>
      <c r="Z20">
        <f>IF($Q20="","",IFERROR(INDEX(計算用!$D$2:$D$186,MATCH("女"&amp;$Q20&amp;"-3",計算用!$AN$2:$AN$186,0)),""))</f>
        <v/>
      </c>
      <c r="AA20" s="26">
        <f>IF($Q20="","",IFERROR(INDEX(計算用!$M$2:$M$186,MATCH("女"&amp;$Q20&amp;"-3",計算用!$AN$2:$AN$186,0)),""))</f>
        <v/>
      </c>
      <c r="AB20" s="26">
        <f>IF($Q20="","",IFERROR(INDEX(計算用!$I$2:$I$186,MATCH("女"&amp;$Q20&amp;"-3",計算用!$AN$2:$AN$186,0)),""))</f>
        <v/>
      </c>
      <c r="AC20">
        <f>IF($Q20="","",IFERROR(INDEX(計算用!$D$2:$D$186,MATCH("女"&amp;$Q20&amp;"-4",計算用!$AN$2:$AN$186,0)),""))</f>
        <v/>
      </c>
      <c r="AD20" s="26">
        <f>IF($Q20="","",IFERROR(INDEX(計算用!$M$2:$M$186,MATCH("女"&amp;$Q20&amp;"-4",計算用!$AN$2:$AN$186,0)),""))</f>
        <v/>
      </c>
      <c r="AE20" s="26">
        <f>IF($Q20="","",IFERROR(INDEX(計算用!$I$2:$I$186,MATCH("女"&amp;$Q20&amp;"-4",計算用!$AN$2:$AN$186,0)),""))</f>
        <v/>
      </c>
    </row>
    <row r="21">
      <c r="A21" s="26">
        <f>IF(ROW()-3&lt;=計算用!$Q$9,ROW()-3,"")</f>
        <v/>
      </c>
      <c r="B21" s="26">
        <f>IF($A21="","",INDEX(計算用!$T$2:$T$51,$A21))</f>
        <v/>
      </c>
      <c r="C21" s="26">
        <f>IF($A21="","","赤"&amp;INDEX(計算用!$W$2:$W$51,$A21)&amp;"白"&amp;INDEX(計算用!$X$2:$X$51,$A21))</f>
        <v/>
      </c>
      <c r="D21">
        <f>IF($A21="","",IFERROR(INDEX(計算用!$D$2:$D$186,MATCH("男"&amp;$A21&amp;"-1",計算用!$AN$2:$AN$186,0)),""))</f>
        <v/>
      </c>
      <c r="E21" s="26">
        <f>IF($A21="","",IFERROR(INDEX(計算用!$M$2:$M$186,MATCH("男"&amp;$A21&amp;"-1",計算用!$AN$2:$AN$186,0)),""))</f>
        <v/>
      </c>
      <c r="F21" s="26">
        <f>IF($A21="","",IFERROR(INDEX(計算用!$I$2:$I$186,MATCH("男"&amp;$A21&amp;"-1",計算用!$AN$2:$AN$186,0)),""))</f>
        <v/>
      </c>
      <c r="G21">
        <f>IF($A21="","",IFERROR(INDEX(計算用!$D$2:$D$186,MATCH("男"&amp;$A21&amp;"-2",計算用!$AN$2:$AN$186,0)),""))</f>
        <v/>
      </c>
      <c r="H21" s="26">
        <f>IF($A21="","",IFERROR(INDEX(計算用!$M$2:$M$186,MATCH("男"&amp;$A21&amp;"-2",計算用!$AN$2:$AN$186,0)),""))</f>
        <v/>
      </c>
      <c r="I21" s="26">
        <f>IF($A21="","",IFERROR(INDEX(計算用!$I$2:$I$186,MATCH("男"&amp;$A21&amp;"-2",計算用!$AN$2:$AN$186,0)),""))</f>
        <v/>
      </c>
      <c r="J21">
        <f>IF($A21="","",IFERROR(INDEX(計算用!$D$2:$D$186,MATCH("男"&amp;$A21&amp;"-3",計算用!$AN$2:$AN$186,0)),""))</f>
        <v/>
      </c>
      <c r="K21" s="26">
        <f>IF($A21="","",IFERROR(INDEX(計算用!$M$2:$M$186,MATCH("男"&amp;$A21&amp;"-3",計算用!$AN$2:$AN$186,0)),""))</f>
        <v/>
      </c>
      <c r="L21" s="26">
        <f>IF($A21="","",IFERROR(INDEX(計算用!$I$2:$I$186,MATCH("男"&amp;$A21&amp;"-3",計算用!$AN$2:$AN$186,0)),""))</f>
        <v/>
      </c>
      <c r="M21">
        <f>IF($A21="","",IFERROR(INDEX(計算用!$D$2:$D$186,MATCH("男"&amp;$A21&amp;"-4",計算用!$AN$2:$AN$186,0)),""))</f>
        <v/>
      </c>
      <c r="N21" s="26">
        <f>IF($A21="","",IFERROR(INDEX(計算用!$M$2:$M$186,MATCH("男"&amp;$A21&amp;"-4",計算用!$AN$2:$AN$186,0)),""))</f>
        <v/>
      </c>
      <c r="O21" s="26">
        <f>IF($A21="","",IFERROR(INDEX(計算用!$I$2:$I$186,MATCH("男"&amp;$A21&amp;"-4",計算用!$AN$2:$AN$186,0)),""))</f>
        <v/>
      </c>
      <c r="Q21" s="26">
        <f>IF(ROW()-3&lt;=計算用!$Q$11,ROW()-3,"")</f>
        <v/>
      </c>
      <c r="R21" s="26">
        <f>IF($Q21="","",INDEX(計算用!$AC$2:$AC$51,$Q21))</f>
        <v/>
      </c>
      <c r="S21" s="26">
        <f>IF($Q21="","","赤"&amp;INDEX(計算用!$AF$2:$AF$51,$Q21)&amp;"白"&amp;INDEX(計算用!$AG$2:$AG$51,$Q21))</f>
        <v/>
      </c>
      <c r="T21">
        <f>IF($Q21="","",IFERROR(INDEX(計算用!$D$2:$D$186,MATCH("女"&amp;$Q21&amp;"-1",計算用!$AN$2:$AN$186,0)),""))</f>
        <v/>
      </c>
      <c r="U21" s="26">
        <f>IF($Q21="","",IFERROR(INDEX(計算用!$M$2:$M$186,MATCH("女"&amp;$Q21&amp;"-1",計算用!$AN$2:$AN$186,0)),""))</f>
        <v/>
      </c>
      <c r="V21" s="26">
        <f>IF($Q21="","",IFERROR(INDEX(計算用!$I$2:$I$186,MATCH("女"&amp;$Q21&amp;"-1",計算用!$AN$2:$AN$186,0)),""))</f>
        <v/>
      </c>
      <c r="W21">
        <f>IF($Q21="","",IFERROR(INDEX(計算用!$D$2:$D$186,MATCH("女"&amp;$Q21&amp;"-2",計算用!$AN$2:$AN$186,0)),""))</f>
        <v/>
      </c>
      <c r="X21" s="26">
        <f>IF($Q21="","",IFERROR(INDEX(計算用!$M$2:$M$186,MATCH("女"&amp;$Q21&amp;"-2",計算用!$AN$2:$AN$186,0)),""))</f>
        <v/>
      </c>
      <c r="Y21" s="26">
        <f>IF($Q21="","",IFERROR(INDEX(計算用!$I$2:$I$186,MATCH("女"&amp;$Q21&amp;"-2",計算用!$AN$2:$AN$186,0)),""))</f>
        <v/>
      </c>
      <c r="Z21">
        <f>IF($Q21="","",IFERROR(INDEX(計算用!$D$2:$D$186,MATCH("女"&amp;$Q21&amp;"-3",計算用!$AN$2:$AN$186,0)),""))</f>
        <v/>
      </c>
      <c r="AA21" s="26">
        <f>IF($Q21="","",IFERROR(INDEX(計算用!$M$2:$M$186,MATCH("女"&amp;$Q21&amp;"-3",計算用!$AN$2:$AN$186,0)),""))</f>
        <v/>
      </c>
      <c r="AB21" s="26">
        <f>IF($Q21="","",IFERROR(INDEX(計算用!$I$2:$I$186,MATCH("女"&amp;$Q21&amp;"-3",計算用!$AN$2:$AN$186,0)),""))</f>
        <v/>
      </c>
      <c r="AC21">
        <f>IF($Q21="","",IFERROR(INDEX(計算用!$D$2:$D$186,MATCH("女"&amp;$Q21&amp;"-4",計算用!$AN$2:$AN$186,0)),""))</f>
        <v/>
      </c>
      <c r="AD21" s="26">
        <f>IF($Q21="","",IFERROR(INDEX(計算用!$M$2:$M$186,MATCH("女"&amp;$Q21&amp;"-4",計算用!$AN$2:$AN$186,0)),""))</f>
        <v/>
      </c>
      <c r="AE21" s="26">
        <f>IF($Q21="","",IFERROR(INDEX(計算用!$I$2:$I$186,MATCH("女"&amp;$Q21&amp;"-4",計算用!$AN$2:$AN$186,0)),""))</f>
        <v/>
      </c>
    </row>
    <row r="22">
      <c r="A22" s="26">
        <f>IF(ROW()-3&lt;=計算用!$Q$9,ROW()-3,"")</f>
        <v/>
      </c>
      <c r="B22" s="26">
        <f>IF($A22="","",INDEX(計算用!$T$2:$T$51,$A22))</f>
        <v/>
      </c>
      <c r="C22" s="26">
        <f>IF($A22="","","赤"&amp;INDEX(計算用!$W$2:$W$51,$A22)&amp;"白"&amp;INDEX(計算用!$X$2:$X$51,$A22))</f>
        <v/>
      </c>
      <c r="D22">
        <f>IF($A22="","",IFERROR(INDEX(計算用!$D$2:$D$186,MATCH("男"&amp;$A22&amp;"-1",計算用!$AN$2:$AN$186,0)),""))</f>
        <v/>
      </c>
      <c r="E22" s="26">
        <f>IF($A22="","",IFERROR(INDEX(計算用!$M$2:$M$186,MATCH("男"&amp;$A22&amp;"-1",計算用!$AN$2:$AN$186,0)),""))</f>
        <v/>
      </c>
      <c r="F22" s="26">
        <f>IF($A22="","",IFERROR(INDEX(計算用!$I$2:$I$186,MATCH("男"&amp;$A22&amp;"-1",計算用!$AN$2:$AN$186,0)),""))</f>
        <v/>
      </c>
      <c r="G22">
        <f>IF($A22="","",IFERROR(INDEX(計算用!$D$2:$D$186,MATCH("男"&amp;$A22&amp;"-2",計算用!$AN$2:$AN$186,0)),""))</f>
        <v/>
      </c>
      <c r="H22" s="26">
        <f>IF($A22="","",IFERROR(INDEX(計算用!$M$2:$M$186,MATCH("男"&amp;$A22&amp;"-2",計算用!$AN$2:$AN$186,0)),""))</f>
        <v/>
      </c>
      <c r="I22" s="26">
        <f>IF($A22="","",IFERROR(INDEX(計算用!$I$2:$I$186,MATCH("男"&amp;$A22&amp;"-2",計算用!$AN$2:$AN$186,0)),""))</f>
        <v/>
      </c>
      <c r="J22">
        <f>IF($A22="","",IFERROR(INDEX(計算用!$D$2:$D$186,MATCH("男"&amp;$A22&amp;"-3",計算用!$AN$2:$AN$186,0)),""))</f>
        <v/>
      </c>
      <c r="K22" s="26">
        <f>IF($A22="","",IFERROR(INDEX(計算用!$M$2:$M$186,MATCH("男"&amp;$A22&amp;"-3",計算用!$AN$2:$AN$186,0)),""))</f>
        <v/>
      </c>
      <c r="L22" s="26">
        <f>IF($A22="","",IFERROR(INDEX(計算用!$I$2:$I$186,MATCH("男"&amp;$A22&amp;"-3",計算用!$AN$2:$AN$186,0)),""))</f>
        <v/>
      </c>
      <c r="M22">
        <f>IF($A22="","",IFERROR(INDEX(計算用!$D$2:$D$186,MATCH("男"&amp;$A22&amp;"-4",計算用!$AN$2:$AN$186,0)),""))</f>
        <v/>
      </c>
      <c r="N22" s="26">
        <f>IF($A22="","",IFERROR(INDEX(計算用!$M$2:$M$186,MATCH("男"&amp;$A22&amp;"-4",計算用!$AN$2:$AN$186,0)),""))</f>
        <v/>
      </c>
      <c r="O22" s="26">
        <f>IF($A22="","",IFERROR(INDEX(計算用!$I$2:$I$186,MATCH("男"&amp;$A22&amp;"-4",計算用!$AN$2:$AN$186,0)),""))</f>
        <v/>
      </c>
      <c r="Q22" s="26">
        <f>IF(ROW()-3&lt;=計算用!$Q$11,ROW()-3,"")</f>
        <v/>
      </c>
      <c r="R22" s="26">
        <f>IF($Q22="","",INDEX(計算用!$AC$2:$AC$51,$Q22))</f>
        <v/>
      </c>
      <c r="S22" s="26">
        <f>IF($Q22="","","赤"&amp;INDEX(計算用!$AF$2:$AF$51,$Q22)&amp;"白"&amp;INDEX(計算用!$AG$2:$AG$51,$Q22))</f>
        <v/>
      </c>
      <c r="T22">
        <f>IF($Q22="","",IFERROR(INDEX(計算用!$D$2:$D$186,MATCH("女"&amp;$Q22&amp;"-1",計算用!$AN$2:$AN$186,0)),""))</f>
        <v/>
      </c>
      <c r="U22" s="26">
        <f>IF($Q22="","",IFERROR(INDEX(計算用!$M$2:$M$186,MATCH("女"&amp;$Q22&amp;"-1",計算用!$AN$2:$AN$186,0)),""))</f>
        <v/>
      </c>
      <c r="V22" s="26">
        <f>IF($Q22="","",IFERROR(INDEX(計算用!$I$2:$I$186,MATCH("女"&amp;$Q22&amp;"-1",計算用!$AN$2:$AN$186,0)),""))</f>
        <v/>
      </c>
      <c r="W22">
        <f>IF($Q22="","",IFERROR(INDEX(計算用!$D$2:$D$186,MATCH("女"&amp;$Q22&amp;"-2",計算用!$AN$2:$AN$186,0)),""))</f>
        <v/>
      </c>
      <c r="X22" s="26">
        <f>IF($Q22="","",IFERROR(INDEX(計算用!$M$2:$M$186,MATCH("女"&amp;$Q22&amp;"-2",計算用!$AN$2:$AN$186,0)),""))</f>
        <v/>
      </c>
      <c r="Y22" s="26">
        <f>IF($Q22="","",IFERROR(INDEX(計算用!$I$2:$I$186,MATCH("女"&amp;$Q22&amp;"-2",計算用!$AN$2:$AN$186,0)),""))</f>
        <v/>
      </c>
      <c r="Z22">
        <f>IF($Q22="","",IFERROR(INDEX(計算用!$D$2:$D$186,MATCH("女"&amp;$Q22&amp;"-3",計算用!$AN$2:$AN$186,0)),""))</f>
        <v/>
      </c>
      <c r="AA22" s="26">
        <f>IF($Q22="","",IFERROR(INDEX(計算用!$M$2:$M$186,MATCH("女"&amp;$Q22&amp;"-3",計算用!$AN$2:$AN$186,0)),""))</f>
        <v/>
      </c>
      <c r="AB22" s="26">
        <f>IF($Q22="","",IFERROR(INDEX(計算用!$I$2:$I$186,MATCH("女"&amp;$Q22&amp;"-3",計算用!$AN$2:$AN$186,0)),""))</f>
        <v/>
      </c>
      <c r="AC22">
        <f>IF($Q22="","",IFERROR(INDEX(計算用!$D$2:$D$186,MATCH("女"&amp;$Q22&amp;"-4",計算用!$AN$2:$AN$186,0)),""))</f>
        <v/>
      </c>
      <c r="AD22" s="26">
        <f>IF($Q22="","",IFERROR(INDEX(計算用!$M$2:$M$186,MATCH("女"&amp;$Q22&amp;"-4",計算用!$AN$2:$AN$186,0)),""))</f>
        <v/>
      </c>
      <c r="AE22" s="26">
        <f>IF($Q22="","",IFERROR(INDEX(計算用!$I$2:$I$186,MATCH("女"&amp;$Q22&amp;"-4",計算用!$AN$2:$AN$186,0)),""))</f>
        <v/>
      </c>
    </row>
    <row r="23">
      <c r="A23" s="26">
        <f>IF(ROW()-3&lt;=計算用!$Q$9,ROW()-3,"")</f>
        <v/>
      </c>
      <c r="B23" s="26">
        <f>IF($A23="","",INDEX(計算用!$T$2:$T$51,$A23))</f>
        <v/>
      </c>
      <c r="C23" s="26">
        <f>IF($A23="","","赤"&amp;INDEX(計算用!$W$2:$W$51,$A23)&amp;"白"&amp;INDEX(計算用!$X$2:$X$51,$A23))</f>
        <v/>
      </c>
      <c r="D23">
        <f>IF($A23="","",IFERROR(INDEX(計算用!$D$2:$D$186,MATCH("男"&amp;$A23&amp;"-1",計算用!$AN$2:$AN$186,0)),""))</f>
        <v/>
      </c>
      <c r="E23" s="26">
        <f>IF($A23="","",IFERROR(INDEX(計算用!$M$2:$M$186,MATCH("男"&amp;$A23&amp;"-1",計算用!$AN$2:$AN$186,0)),""))</f>
        <v/>
      </c>
      <c r="F23" s="26">
        <f>IF($A23="","",IFERROR(INDEX(計算用!$I$2:$I$186,MATCH("男"&amp;$A23&amp;"-1",計算用!$AN$2:$AN$186,0)),""))</f>
        <v/>
      </c>
      <c r="G23">
        <f>IF($A23="","",IFERROR(INDEX(計算用!$D$2:$D$186,MATCH("男"&amp;$A23&amp;"-2",計算用!$AN$2:$AN$186,0)),""))</f>
        <v/>
      </c>
      <c r="H23" s="26">
        <f>IF($A23="","",IFERROR(INDEX(計算用!$M$2:$M$186,MATCH("男"&amp;$A23&amp;"-2",計算用!$AN$2:$AN$186,0)),""))</f>
        <v/>
      </c>
      <c r="I23" s="26">
        <f>IF($A23="","",IFERROR(INDEX(計算用!$I$2:$I$186,MATCH("男"&amp;$A23&amp;"-2",計算用!$AN$2:$AN$186,0)),""))</f>
        <v/>
      </c>
      <c r="J23">
        <f>IF($A23="","",IFERROR(INDEX(計算用!$D$2:$D$186,MATCH("男"&amp;$A23&amp;"-3",計算用!$AN$2:$AN$186,0)),""))</f>
        <v/>
      </c>
      <c r="K23" s="26">
        <f>IF($A23="","",IFERROR(INDEX(計算用!$M$2:$M$186,MATCH("男"&amp;$A23&amp;"-3",計算用!$AN$2:$AN$186,0)),""))</f>
        <v/>
      </c>
      <c r="L23" s="26">
        <f>IF($A23="","",IFERROR(INDEX(計算用!$I$2:$I$186,MATCH("男"&amp;$A23&amp;"-3",計算用!$AN$2:$AN$186,0)),""))</f>
        <v/>
      </c>
      <c r="M23">
        <f>IF($A23="","",IFERROR(INDEX(計算用!$D$2:$D$186,MATCH("男"&amp;$A23&amp;"-4",計算用!$AN$2:$AN$186,0)),""))</f>
        <v/>
      </c>
      <c r="N23" s="26">
        <f>IF($A23="","",IFERROR(INDEX(計算用!$M$2:$M$186,MATCH("男"&amp;$A23&amp;"-4",計算用!$AN$2:$AN$186,0)),""))</f>
        <v/>
      </c>
      <c r="O23" s="26">
        <f>IF($A23="","",IFERROR(INDEX(計算用!$I$2:$I$186,MATCH("男"&amp;$A23&amp;"-4",計算用!$AN$2:$AN$186,0)),""))</f>
        <v/>
      </c>
      <c r="Q23" s="26">
        <f>IF(ROW()-3&lt;=計算用!$Q$11,ROW()-3,"")</f>
        <v/>
      </c>
      <c r="R23" s="26">
        <f>IF($Q23="","",INDEX(計算用!$AC$2:$AC$51,$Q23))</f>
        <v/>
      </c>
      <c r="S23" s="26">
        <f>IF($Q23="","","赤"&amp;INDEX(計算用!$AF$2:$AF$51,$Q23)&amp;"白"&amp;INDEX(計算用!$AG$2:$AG$51,$Q23))</f>
        <v/>
      </c>
      <c r="T23">
        <f>IF($Q23="","",IFERROR(INDEX(計算用!$D$2:$D$186,MATCH("女"&amp;$Q23&amp;"-1",計算用!$AN$2:$AN$186,0)),""))</f>
        <v/>
      </c>
      <c r="U23" s="26">
        <f>IF($Q23="","",IFERROR(INDEX(計算用!$M$2:$M$186,MATCH("女"&amp;$Q23&amp;"-1",計算用!$AN$2:$AN$186,0)),""))</f>
        <v/>
      </c>
      <c r="V23" s="26">
        <f>IF($Q23="","",IFERROR(INDEX(計算用!$I$2:$I$186,MATCH("女"&amp;$Q23&amp;"-1",計算用!$AN$2:$AN$186,0)),""))</f>
        <v/>
      </c>
      <c r="W23">
        <f>IF($Q23="","",IFERROR(INDEX(計算用!$D$2:$D$186,MATCH("女"&amp;$Q23&amp;"-2",計算用!$AN$2:$AN$186,0)),""))</f>
        <v/>
      </c>
      <c r="X23" s="26">
        <f>IF($Q23="","",IFERROR(INDEX(計算用!$M$2:$M$186,MATCH("女"&amp;$Q23&amp;"-2",計算用!$AN$2:$AN$186,0)),""))</f>
        <v/>
      </c>
      <c r="Y23" s="26">
        <f>IF($Q23="","",IFERROR(INDEX(計算用!$I$2:$I$186,MATCH("女"&amp;$Q23&amp;"-2",計算用!$AN$2:$AN$186,0)),""))</f>
        <v/>
      </c>
      <c r="Z23">
        <f>IF($Q23="","",IFERROR(INDEX(計算用!$D$2:$D$186,MATCH("女"&amp;$Q23&amp;"-3",計算用!$AN$2:$AN$186,0)),""))</f>
        <v/>
      </c>
      <c r="AA23" s="26">
        <f>IF($Q23="","",IFERROR(INDEX(計算用!$M$2:$M$186,MATCH("女"&amp;$Q23&amp;"-3",計算用!$AN$2:$AN$186,0)),""))</f>
        <v/>
      </c>
      <c r="AB23" s="26">
        <f>IF($Q23="","",IFERROR(INDEX(計算用!$I$2:$I$186,MATCH("女"&amp;$Q23&amp;"-3",計算用!$AN$2:$AN$186,0)),""))</f>
        <v/>
      </c>
      <c r="AC23">
        <f>IF($Q23="","",IFERROR(INDEX(計算用!$D$2:$D$186,MATCH("女"&amp;$Q23&amp;"-4",計算用!$AN$2:$AN$186,0)),""))</f>
        <v/>
      </c>
      <c r="AD23" s="26">
        <f>IF($Q23="","",IFERROR(INDEX(計算用!$M$2:$M$186,MATCH("女"&amp;$Q23&amp;"-4",計算用!$AN$2:$AN$186,0)),""))</f>
        <v/>
      </c>
      <c r="AE23" s="26">
        <f>IF($Q23="","",IFERROR(INDEX(計算用!$I$2:$I$186,MATCH("女"&amp;$Q23&amp;"-4",計算用!$AN$2:$AN$186,0)),""))</f>
        <v/>
      </c>
    </row>
    <row r="24">
      <c r="A24" s="26">
        <f>IF(ROW()-3&lt;=計算用!$Q$9,ROW()-3,"")</f>
        <v/>
      </c>
      <c r="B24" s="26">
        <f>IF($A24="","",INDEX(計算用!$T$2:$T$51,$A24))</f>
        <v/>
      </c>
      <c r="C24" s="26">
        <f>IF($A24="","","赤"&amp;INDEX(計算用!$W$2:$W$51,$A24)&amp;"白"&amp;INDEX(計算用!$X$2:$X$51,$A24))</f>
        <v/>
      </c>
      <c r="D24">
        <f>IF($A24="","",IFERROR(INDEX(計算用!$D$2:$D$186,MATCH("男"&amp;$A24&amp;"-1",計算用!$AN$2:$AN$186,0)),""))</f>
        <v/>
      </c>
      <c r="E24" s="26">
        <f>IF($A24="","",IFERROR(INDEX(計算用!$M$2:$M$186,MATCH("男"&amp;$A24&amp;"-1",計算用!$AN$2:$AN$186,0)),""))</f>
        <v/>
      </c>
      <c r="F24" s="26">
        <f>IF($A24="","",IFERROR(INDEX(計算用!$I$2:$I$186,MATCH("男"&amp;$A24&amp;"-1",計算用!$AN$2:$AN$186,0)),""))</f>
        <v/>
      </c>
      <c r="G24">
        <f>IF($A24="","",IFERROR(INDEX(計算用!$D$2:$D$186,MATCH("男"&amp;$A24&amp;"-2",計算用!$AN$2:$AN$186,0)),""))</f>
        <v/>
      </c>
      <c r="H24" s="26">
        <f>IF($A24="","",IFERROR(INDEX(計算用!$M$2:$M$186,MATCH("男"&amp;$A24&amp;"-2",計算用!$AN$2:$AN$186,0)),""))</f>
        <v/>
      </c>
      <c r="I24" s="26">
        <f>IF($A24="","",IFERROR(INDEX(計算用!$I$2:$I$186,MATCH("男"&amp;$A24&amp;"-2",計算用!$AN$2:$AN$186,0)),""))</f>
        <v/>
      </c>
      <c r="J24">
        <f>IF($A24="","",IFERROR(INDEX(計算用!$D$2:$D$186,MATCH("男"&amp;$A24&amp;"-3",計算用!$AN$2:$AN$186,0)),""))</f>
        <v/>
      </c>
      <c r="K24" s="26">
        <f>IF($A24="","",IFERROR(INDEX(計算用!$M$2:$M$186,MATCH("男"&amp;$A24&amp;"-3",計算用!$AN$2:$AN$186,0)),""))</f>
        <v/>
      </c>
      <c r="L24" s="26">
        <f>IF($A24="","",IFERROR(INDEX(計算用!$I$2:$I$186,MATCH("男"&amp;$A24&amp;"-3",計算用!$AN$2:$AN$186,0)),""))</f>
        <v/>
      </c>
      <c r="M24">
        <f>IF($A24="","",IFERROR(INDEX(計算用!$D$2:$D$186,MATCH("男"&amp;$A24&amp;"-4",計算用!$AN$2:$AN$186,0)),""))</f>
        <v/>
      </c>
      <c r="N24" s="26">
        <f>IF($A24="","",IFERROR(INDEX(計算用!$M$2:$M$186,MATCH("男"&amp;$A24&amp;"-4",計算用!$AN$2:$AN$186,0)),""))</f>
        <v/>
      </c>
      <c r="O24" s="26">
        <f>IF($A24="","",IFERROR(INDEX(計算用!$I$2:$I$186,MATCH("男"&amp;$A24&amp;"-4",計算用!$AN$2:$AN$186,0)),""))</f>
        <v/>
      </c>
      <c r="Q24" s="26">
        <f>IF(ROW()-3&lt;=計算用!$Q$11,ROW()-3,"")</f>
        <v/>
      </c>
      <c r="R24" s="26">
        <f>IF($Q24="","",INDEX(計算用!$AC$2:$AC$51,$Q24))</f>
        <v/>
      </c>
      <c r="S24" s="26">
        <f>IF($Q24="","","赤"&amp;INDEX(計算用!$AF$2:$AF$51,$Q24)&amp;"白"&amp;INDEX(計算用!$AG$2:$AG$51,$Q24))</f>
        <v/>
      </c>
      <c r="T24">
        <f>IF($Q24="","",IFERROR(INDEX(計算用!$D$2:$D$186,MATCH("女"&amp;$Q24&amp;"-1",計算用!$AN$2:$AN$186,0)),""))</f>
        <v/>
      </c>
      <c r="U24" s="26">
        <f>IF($Q24="","",IFERROR(INDEX(計算用!$M$2:$M$186,MATCH("女"&amp;$Q24&amp;"-1",計算用!$AN$2:$AN$186,0)),""))</f>
        <v/>
      </c>
      <c r="V24" s="26">
        <f>IF($Q24="","",IFERROR(INDEX(計算用!$I$2:$I$186,MATCH("女"&amp;$Q24&amp;"-1",計算用!$AN$2:$AN$186,0)),""))</f>
        <v/>
      </c>
      <c r="W24">
        <f>IF($Q24="","",IFERROR(INDEX(計算用!$D$2:$D$186,MATCH("女"&amp;$Q24&amp;"-2",計算用!$AN$2:$AN$186,0)),""))</f>
        <v/>
      </c>
      <c r="X24" s="26">
        <f>IF($Q24="","",IFERROR(INDEX(計算用!$M$2:$M$186,MATCH("女"&amp;$Q24&amp;"-2",計算用!$AN$2:$AN$186,0)),""))</f>
        <v/>
      </c>
      <c r="Y24" s="26">
        <f>IF($Q24="","",IFERROR(INDEX(計算用!$I$2:$I$186,MATCH("女"&amp;$Q24&amp;"-2",計算用!$AN$2:$AN$186,0)),""))</f>
        <v/>
      </c>
      <c r="Z24">
        <f>IF($Q24="","",IFERROR(INDEX(計算用!$D$2:$D$186,MATCH("女"&amp;$Q24&amp;"-3",計算用!$AN$2:$AN$186,0)),""))</f>
        <v/>
      </c>
      <c r="AA24" s="26">
        <f>IF($Q24="","",IFERROR(INDEX(計算用!$M$2:$M$186,MATCH("女"&amp;$Q24&amp;"-3",計算用!$AN$2:$AN$186,0)),""))</f>
        <v/>
      </c>
      <c r="AB24" s="26">
        <f>IF($Q24="","",IFERROR(INDEX(計算用!$I$2:$I$186,MATCH("女"&amp;$Q24&amp;"-3",計算用!$AN$2:$AN$186,0)),""))</f>
        <v/>
      </c>
      <c r="AC24">
        <f>IF($Q24="","",IFERROR(INDEX(計算用!$D$2:$D$186,MATCH("女"&amp;$Q24&amp;"-4",計算用!$AN$2:$AN$186,0)),""))</f>
        <v/>
      </c>
      <c r="AD24" s="26">
        <f>IF($Q24="","",IFERROR(INDEX(計算用!$M$2:$M$186,MATCH("女"&amp;$Q24&amp;"-4",計算用!$AN$2:$AN$186,0)),""))</f>
        <v/>
      </c>
      <c r="AE24" s="26">
        <f>IF($Q24="","",IFERROR(INDEX(計算用!$I$2:$I$186,MATCH("女"&amp;$Q24&amp;"-4",計算用!$AN$2:$AN$186,0)),""))</f>
        <v/>
      </c>
    </row>
    <row r="25">
      <c r="A25" s="26">
        <f>IF(ROW()-3&lt;=計算用!$Q$9,ROW()-3,"")</f>
        <v/>
      </c>
      <c r="B25" s="26">
        <f>IF($A25="","",INDEX(計算用!$T$2:$T$51,$A25))</f>
        <v/>
      </c>
      <c r="C25" s="26">
        <f>IF($A25="","","赤"&amp;INDEX(計算用!$W$2:$W$51,$A25)&amp;"白"&amp;INDEX(計算用!$X$2:$X$51,$A25))</f>
        <v/>
      </c>
      <c r="D25">
        <f>IF($A25="","",IFERROR(INDEX(計算用!$D$2:$D$186,MATCH("男"&amp;$A25&amp;"-1",計算用!$AN$2:$AN$186,0)),""))</f>
        <v/>
      </c>
      <c r="E25" s="26">
        <f>IF($A25="","",IFERROR(INDEX(計算用!$M$2:$M$186,MATCH("男"&amp;$A25&amp;"-1",計算用!$AN$2:$AN$186,0)),""))</f>
        <v/>
      </c>
      <c r="F25" s="26">
        <f>IF($A25="","",IFERROR(INDEX(計算用!$I$2:$I$186,MATCH("男"&amp;$A25&amp;"-1",計算用!$AN$2:$AN$186,0)),""))</f>
        <v/>
      </c>
      <c r="G25">
        <f>IF($A25="","",IFERROR(INDEX(計算用!$D$2:$D$186,MATCH("男"&amp;$A25&amp;"-2",計算用!$AN$2:$AN$186,0)),""))</f>
        <v/>
      </c>
      <c r="H25" s="26">
        <f>IF($A25="","",IFERROR(INDEX(計算用!$M$2:$M$186,MATCH("男"&amp;$A25&amp;"-2",計算用!$AN$2:$AN$186,0)),""))</f>
        <v/>
      </c>
      <c r="I25" s="26">
        <f>IF($A25="","",IFERROR(INDEX(計算用!$I$2:$I$186,MATCH("男"&amp;$A25&amp;"-2",計算用!$AN$2:$AN$186,0)),""))</f>
        <v/>
      </c>
      <c r="J25">
        <f>IF($A25="","",IFERROR(INDEX(計算用!$D$2:$D$186,MATCH("男"&amp;$A25&amp;"-3",計算用!$AN$2:$AN$186,0)),""))</f>
        <v/>
      </c>
      <c r="K25" s="26">
        <f>IF($A25="","",IFERROR(INDEX(計算用!$M$2:$M$186,MATCH("男"&amp;$A25&amp;"-3",計算用!$AN$2:$AN$186,0)),""))</f>
        <v/>
      </c>
      <c r="L25" s="26">
        <f>IF($A25="","",IFERROR(INDEX(計算用!$I$2:$I$186,MATCH("男"&amp;$A25&amp;"-3",計算用!$AN$2:$AN$186,0)),""))</f>
        <v/>
      </c>
      <c r="M25">
        <f>IF($A25="","",IFERROR(INDEX(計算用!$D$2:$D$186,MATCH("男"&amp;$A25&amp;"-4",計算用!$AN$2:$AN$186,0)),""))</f>
        <v/>
      </c>
      <c r="N25" s="26">
        <f>IF($A25="","",IFERROR(INDEX(計算用!$M$2:$M$186,MATCH("男"&amp;$A25&amp;"-4",計算用!$AN$2:$AN$186,0)),""))</f>
        <v/>
      </c>
      <c r="O25" s="26">
        <f>IF($A25="","",IFERROR(INDEX(計算用!$I$2:$I$186,MATCH("男"&amp;$A25&amp;"-4",計算用!$AN$2:$AN$186,0)),""))</f>
        <v/>
      </c>
      <c r="Q25" s="26">
        <f>IF(ROW()-3&lt;=計算用!$Q$11,ROW()-3,"")</f>
        <v/>
      </c>
      <c r="R25" s="26">
        <f>IF($Q25="","",INDEX(計算用!$AC$2:$AC$51,$Q25))</f>
        <v/>
      </c>
      <c r="S25" s="26">
        <f>IF($Q25="","","赤"&amp;INDEX(計算用!$AF$2:$AF$51,$Q25)&amp;"白"&amp;INDEX(計算用!$AG$2:$AG$51,$Q25))</f>
        <v/>
      </c>
      <c r="T25">
        <f>IF($Q25="","",IFERROR(INDEX(計算用!$D$2:$D$186,MATCH("女"&amp;$Q25&amp;"-1",計算用!$AN$2:$AN$186,0)),""))</f>
        <v/>
      </c>
      <c r="U25" s="26">
        <f>IF($Q25="","",IFERROR(INDEX(計算用!$M$2:$M$186,MATCH("女"&amp;$Q25&amp;"-1",計算用!$AN$2:$AN$186,0)),""))</f>
        <v/>
      </c>
      <c r="V25" s="26">
        <f>IF($Q25="","",IFERROR(INDEX(計算用!$I$2:$I$186,MATCH("女"&amp;$Q25&amp;"-1",計算用!$AN$2:$AN$186,0)),""))</f>
        <v/>
      </c>
      <c r="W25">
        <f>IF($Q25="","",IFERROR(INDEX(計算用!$D$2:$D$186,MATCH("女"&amp;$Q25&amp;"-2",計算用!$AN$2:$AN$186,0)),""))</f>
        <v/>
      </c>
      <c r="X25" s="26">
        <f>IF($Q25="","",IFERROR(INDEX(計算用!$M$2:$M$186,MATCH("女"&amp;$Q25&amp;"-2",計算用!$AN$2:$AN$186,0)),""))</f>
        <v/>
      </c>
      <c r="Y25" s="26">
        <f>IF($Q25="","",IFERROR(INDEX(計算用!$I$2:$I$186,MATCH("女"&amp;$Q25&amp;"-2",計算用!$AN$2:$AN$186,0)),""))</f>
        <v/>
      </c>
      <c r="Z25">
        <f>IF($Q25="","",IFERROR(INDEX(計算用!$D$2:$D$186,MATCH("女"&amp;$Q25&amp;"-3",計算用!$AN$2:$AN$186,0)),""))</f>
        <v/>
      </c>
      <c r="AA25" s="26">
        <f>IF($Q25="","",IFERROR(INDEX(計算用!$M$2:$M$186,MATCH("女"&amp;$Q25&amp;"-3",計算用!$AN$2:$AN$186,0)),""))</f>
        <v/>
      </c>
      <c r="AB25" s="26">
        <f>IF($Q25="","",IFERROR(INDEX(計算用!$I$2:$I$186,MATCH("女"&amp;$Q25&amp;"-3",計算用!$AN$2:$AN$186,0)),""))</f>
        <v/>
      </c>
      <c r="AC25">
        <f>IF($Q25="","",IFERROR(INDEX(計算用!$D$2:$D$186,MATCH("女"&amp;$Q25&amp;"-4",計算用!$AN$2:$AN$186,0)),""))</f>
        <v/>
      </c>
      <c r="AD25" s="26">
        <f>IF($Q25="","",IFERROR(INDEX(計算用!$M$2:$M$186,MATCH("女"&amp;$Q25&amp;"-4",計算用!$AN$2:$AN$186,0)),""))</f>
        <v/>
      </c>
      <c r="AE25" s="26">
        <f>IF($Q25="","",IFERROR(INDEX(計算用!$I$2:$I$186,MATCH("女"&amp;$Q25&amp;"-4",計算用!$AN$2:$AN$186,0)),""))</f>
        <v/>
      </c>
    </row>
    <row r="26">
      <c r="A26" s="26">
        <f>IF(ROW()-3&lt;=計算用!$Q$9,ROW()-3,"")</f>
        <v/>
      </c>
      <c r="B26" s="26">
        <f>IF($A26="","",INDEX(計算用!$T$2:$T$51,$A26))</f>
        <v/>
      </c>
      <c r="C26" s="26">
        <f>IF($A26="","","赤"&amp;INDEX(計算用!$W$2:$W$51,$A26)&amp;"白"&amp;INDEX(計算用!$X$2:$X$51,$A26))</f>
        <v/>
      </c>
      <c r="D26">
        <f>IF($A26="","",IFERROR(INDEX(計算用!$D$2:$D$186,MATCH("男"&amp;$A26&amp;"-1",計算用!$AN$2:$AN$186,0)),""))</f>
        <v/>
      </c>
      <c r="E26" s="26">
        <f>IF($A26="","",IFERROR(INDEX(計算用!$M$2:$M$186,MATCH("男"&amp;$A26&amp;"-1",計算用!$AN$2:$AN$186,0)),""))</f>
        <v/>
      </c>
      <c r="F26" s="26">
        <f>IF($A26="","",IFERROR(INDEX(計算用!$I$2:$I$186,MATCH("男"&amp;$A26&amp;"-1",計算用!$AN$2:$AN$186,0)),""))</f>
        <v/>
      </c>
      <c r="G26">
        <f>IF($A26="","",IFERROR(INDEX(計算用!$D$2:$D$186,MATCH("男"&amp;$A26&amp;"-2",計算用!$AN$2:$AN$186,0)),""))</f>
        <v/>
      </c>
      <c r="H26" s="26">
        <f>IF($A26="","",IFERROR(INDEX(計算用!$M$2:$M$186,MATCH("男"&amp;$A26&amp;"-2",計算用!$AN$2:$AN$186,0)),""))</f>
        <v/>
      </c>
      <c r="I26" s="26">
        <f>IF($A26="","",IFERROR(INDEX(計算用!$I$2:$I$186,MATCH("男"&amp;$A26&amp;"-2",計算用!$AN$2:$AN$186,0)),""))</f>
        <v/>
      </c>
      <c r="J26">
        <f>IF($A26="","",IFERROR(INDEX(計算用!$D$2:$D$186,MATCH("男"&amp;$A26&amp;"-3",計算用!$AN$2:$AN$186,0)),""))</f>
        <v/>
      </c>
      <c r="K26" s="26">
        <f>IF($A26="","",IFERROR(INDEX(計算用!$M$2:$M$186,MATCH("男"&amp;$A26&amp;"-3",計算用!$AN$2:$AN$186,0)),""))</f>
        <v/>
      </c>
      <c r="L26" s="26">
        <f>IF($A26="","",IFERROR(INDEX(計算用!$I$2:$I$186,MATCH("男"&amp;$A26&amp;"-3",計算用!$AN$2:$AN$186,0)),""))</f>
        <v/>
      </c>
      <c r="M26">
        <f>IF($A26="","",IFERROR(INDEX(計算用!$D$2:$D$186,MATCH("男"&amp;$A26&amp;"-4",計算用!$AN$2:$AN$186,0)),""))</f>
        <v/>
      </c>
      <c r="N26" s="26">
        <f>IF($A26="","",IFERROR(INDEX(計算用!$M$2:$M$186,MATCH("男"&amp;$A26&amp;"-4",計算用!$AN$2:$AN$186,0)),""))</f>
        <v/>
      </c>
      <c r="O26" s="26">
        <f>IF($A26="","",IFERROR(INDEX(計算用!$I$2:$I$186,MATCH("男"&amp;$A26&amp;"-4",計算用!$AN$2:$AN$186,0)),""))</f>
        <v/>
      </c>
      <c r="Q26" s="26">
        <f>IF(ROW()-3&lt;=計算用!$Q$11,ROW()-3,"")</f>
        <v/>
      </c>
      <c r="R26" s="26">
        <f>IF($Q26="","",INDEX(計算用!$AC$2:$AC$51,$Q26))</f>
        <v/>
      </c>
      <c r="S26" s="26">
        <f>IF($Q26="","","赤"&amp;INDEX(計算用!$AF$2:$AF$51,$Q26)&amp;"白"&amp;INDEX(計算用!$AG$2:$AG$51,$Q26))</f>
        <v/>
      </c>
      <c r="T26">
        <f>IF($Q26="","",IFERROR(INDEX(計算用!$D$2:$D$186,MATCH("女"&amp;$Q26&amp;"-1",計算用!$AN$2:$AN$186,0)),""))</f>
        <v/>
      </c>
      <c r="U26" s="26">
        <f>IF($Q26="","",IFERROR(INDEX(計算用!$M$2:$M$186,MATCH("女"&amp;$Q26&amp;"-1",計算用!$AN$2:$AN$186,0)),""))</f>
        <v/>
      </c>
      <c r="V26" s="26">
        <f>IF($Q26="","",IFERROR(INDEX(計算用!$I$2:$I$186,MATCH("女"&amp;$Q26&amp;"-1",計算用!$AN$2:$AN$186,0)),""))</f>
        <v/>
      </c>
      <c r="W26">
        <f>IF($Q26="","",IFERROR(INDEX(計算用!$D$2:$D$186,MATCH("女"&amp;$Q26&amp;"-2",計算用!$AN$2:$AN$186,0)),""))</f>
        <v/>
      </c>
      <c r="X26" s="26">
        <f>IF($Q26="","",IFERROR(INDEX(計算用!$M$2:$M$186,MATCH("女"&amp;$Q26&amp;"-2",計算用!$AN$2:$AN$186,0)),""))</f>
        <v/>
      </c>
      <c r="Y26" s="26">
        <f>IF($Q26="","",IFERROR(INDEX(計算用!$I$2:$I$186,MATCH("女"&amp;$Q26&amp;"-2",計算用!$AN$2:$AN$186,0)),""))</f>
        <v/>
      </c>
      <c r="Z26">
        <f>IF($Q26="","",IFERROR(INDEX(計算用!$D$2:$D$186,MATCH("女"&amp;$Q26&amp;"-3",計算用!$AN$2:$AN$186,0)),""))</f>
        <v/>
      </c>
      <c r="AA26" s="26">
        <f>IF($Q26="","",IFERROR(INDEX(計算用!$M$2:$M$186,MATCH("女"&amp;$Q26&amp;"-3",計算用!$AN$2:$AN$186,0)),""))</f>
        <v/>
      </c>
      <c r="AB26" s="26">
        <f>IF($Q26="","",IFERROR(INDEX(計算用!$I$2:$I$186,MATCH("女"&amp;$Q26&amp;"-3",計算用!$AN$2:$AN$186,0)),""))</f>
        <v/>
      </c>
      <c r="AC26">
        <f>IF($Q26="","",IFERROR(INDEX(計算用!$D$2:$D$186,MATCH("女"&amp;$Q26&amp;"-4",計算用!$AN$2:$AN$186,0)),""))</f>
        <v/>
      </c>
      <c r="AD26" s="26">
        <f>IF($Q26="","",IFERROR(INDEX(計算用!$M$2:$M$186,MATCH("女"&amp;$Q26&amp;"-4",計算用!$AN$2:$AN$186,0)),""))</f>
        <v/>
      </c>
      <c r="AE26" s="26">
        <f>IF($Q26="","",IFERROR(INDEX(計算用!$I$2:$I$186,MATCH("女"&amp;$Q26&amp;"-4",計算用!$AN$2:$AN$186,0)),""))</f>
        <v/>
      </c>
    </row>
    <row r="27">
      <c r="A27" s="26">
        <f>IF(ROW()-3&lt;=計算用!$Q$9,ROW()-3,"")</f>
        <v/>
      </c>
      <c r="B27" s="26">
        <f>IF($A27="","",INDEX(計算用!$T$2:$T$51,$A27))</f>
        <v/>
      </c>
      <c r="C27" s="26">
        <f>IF($A27="","","赤"&amp;INDEX(計算用!$W$2:$W$51,$A27)&amp;"白"&amp;INDEX(計算用!$X$2:$X$51,$A27))</f>
        <v/>
      </c>
      <c r="D27">
        <f>IF($A27="","",IFERROR(INDEX(計算用!$D$2:$D$186,MATCH("男"&amp;$A27&amp;"-1",計算用!$AN$2:$AN$186,0)),""))</f>
        <v/>
      </c>
      <c r="E27" s="26">
        <f>IF($A27="","",IFERROR(INDEX(計算用!$M$2:$M$186,MATCH("男"&amp;$A27&amp;"-1",計算用!$AN$2:$AN$186,0)),""))</f>
        <v/>
      </c>
      <c r="F27" s="26">
        <f>IF($A27="","",IFERROR(INDEX(計算用!$I$2:$I$186,MATCH("男"&amp;$A27&amp;"-1",計算用!$AN$2:$AN$186,0)),""))</f>
        <v/>
      </c>
      <c r="G27">
        <f>IF($A27="","",IFERROR(INDEX(計算用!$D$2:$D$186,MATCH("男"&amp;$A27&amp;"-2",計算用!$AN$2:$AN$186,0)),""))</f>
        <v/>
      </c>
      <c r="H27" s="26">
        <f>IF($A27="","",IFERROR(INDEX(計算用!$M$2:$M$186,MATCH("男"&amp;$A27&amp;"-2",計算用!$AN$2:$AN$186,0)),""))</f>
        <v/>
      </c>
      <c r="I27" s="26">
        <f>IF($A27="","",IFERROR(INDEX(計算用!$I$2:$I$186,MATCH("男"&amp;$A27&amp;"-2",計算用!$AN$2:$AN$186,0)),""))</f>
        <v/>
      </c>
      <c r="J27">
        <f>IF($A27="","",IFERROR(INDEX(計算用!$D$2:$D$186,MATCH("男"&amp;$A27&amp;"-3",計算用!$AN$2:$AN$186,0)),""))</f>
        <v/>
      </c>
      <c r="K27" s="26">
        <f>IF($A27="","",IFERROR(INDEX(計算用!$M$2:$M$186,MATCH("男"&amp;$A27&amp;"-3",計算用!$AN$2:$AN$186,0)),""))</f>
        <v/>
      </c>
      <c r="L27" s="26">
        <f>IF($A27="","",IFERROR(INDEX(計算用!$I$2:$I$186,MATCH("男"&amp;$A27&amp;"-3",計算用!$AN$2:$AN$186,0)),""))</f>
        <v/>
      </c>
      <c r="M27">
        <f>IF($A27="","",IFERROR(INDEX(計算用!$D$2:$D$186,MATCH("男"&amp;$A27&amp;"-4",計算用!$AN$2:$AN$186,0)),""))</f>
        <v/>
      </c>
      <c r="N27" s="26">
        <f>IF($A27="","",IFERROR(INDEX(計算用!$M$2:$M$186,MATCH("男"&amp;$A27&amp;"-4",計算用!$AN$2:$AN$186,0)),""))</f>
        <v/>
      </c>
      <c r="O27" s="26">
        <f>IF($A27="","",IFERROR(INDEX(計算用!$I$2:$I$186,MATCH("男"&amp;$A27&amp;"-4",計算用!$AN$2:$AN$186,0)),""))</f>
        <v/>
      </c>
      <c r="Q27" s="26">
        <f>IF(ROW()-3&lt;=計算用!$Q$11,ROW()-3,"")</f>
        <v/>
      </c>
      <c r="R27" s="26">
        <f>IF($Q27="","",INDEX(計算用!$AC$2:$AC$51,$Q27))</f>
        <v/>
      </c>
      <c r="S27" s="26">
        <f>IF($Q27="","","赤"&amp;INDEX(計算用!$AF$2:$AF$51,$Q27)&amp;"白"&amp;INDEX(計算用!$AG$2:$AG$51,$Q27))</f>
        <v/>
      </c>
      <c r="T27">
        <f>IF($Q27="","",IFERROR(INDEX(計算用!$D$2:$D$186,MATCH("女"&amp;$Q27&amp;"-1",計算用!$AN$2:$AN$186,0)),""))</f>
        <v/>
      </c>
      <c r="U27" s="26">
        <f>IF($Q27="","",IFERROR(INDEX(計算用!$M$2:$M$186,MATCH("女"&amp;$Q27&amp;"-1",計算用!$AN$2:$AN$186,0)),""))</f>
        <v/>
      </c>
      <c r="V27" s="26">
        <f>IF($Q27="","",IFERROR(INDEX(計算用!$I$2:$I$186,MATCH("女"&amp;$Q27&amp;"-1",計算用!$AN$2:$AN$186,0)),""))</f>
        <v/>
      </c>
      <c r="W27">
        <f>IF($Q27="","",IFERROR(INDEX(計算用!$D$2:$D$186,MATCH("女"&amp;$Q27&amp;"-2",計算用!$AN$2:$AN$186,0)),""))</f>
        <v/>
      </c>
      <c r="X27" s="26">
        <f>IF($Q27="","",IFERROR(INDEX(計算用!$M$2:$M$186,MATCH("女"&amp;$Q27&amp;"-2",計算用!$AN$2:$AN$186,0)),""))</f>
        <v/>
      </c>
      <c r="Y27" s="26">
        <f>IF($Q27="","",IFERROR(INDEX(計算用!$I$2:$I$186,MATCH("女"&amp;$Q27&amp;"-2",計算用!$AN$2:$AN$186,0)),""))</f>
        <v/>
      </c>
      <c r="Z27">
        <f>IF($Q27="","",IFERROR(INDEX(計算用!$D$2:$D$186,MATCH("女"&amp;$Q27&amp;"-3",計算用!$AN$2:$AN$186,0)),""))</f>
        <v/>
      </c>
      <c r="AA27" s="26">
        <f>IF($Q27="","",IFERROR(INDEX(計算用!$M$2:$M$186,MATCH("女"&amp;$Q27&amp;"-3",計算用!$AN$2:$AN$186,0)),""))</f>
        <v/>
      </c>
      <c r="AB27" s="26">
        <f>IF($Q27="","",IFERROR(INDEX(計算用!$I$2:$I$186,MATCH("女"&amp;$Q27&amp;"-3",計算用!$AN$2:$AN$186,0)),""))</f>
        <v/>
      </c>
      <c r="AC27">
        <f>IF($Q27="","",IFERROR(INDEX(計算用!$D$2:$D$186,MATCH("女"&amp;$Q27&amp;"-4",計算用!$AN$2:$AN$186,0)),""))</f>
        <v/>
      </c>
      <c r="AD27" s="26">
        <f>IF($Q27="","",IFERROR(INDEX(計算用!$M$2:$M$186,MATCH("女"&amp;$Q27&amp;"-4",計算用!$AN$2:$AN$186,0)),""))</f>
        <v/>
      </c>
      <c r="AE27" s="26">
        <f>IF($Q27="","",IFERROR(INDEX(計算用!$I$2:$I$186,MATCH("女"&amp;$Q27&amp;"-4",計算用!$AN$2:$AN$186,0)),""))</f>
        <v/>
      </c>
    </row>
    <row r="28">
      <c r="A28" s="26">
        <f>IF(ROW()-3&lt;=計算用!$Q$9,ROW()-3,"")</f>
        <v/>
      </c>
      <c r="B28" s="26">
        <f>IF($A28="","",INDEX(計算用!$T$2:$T$51,$A28))</f>
        <v/>
      </c>
      <c r="C28" s="26">
        <f>IF($A28="","","赤"&amp;INDEX(計算用!$W$2:$W$51,$A28)&amp;"白"&amp;INDEX(計算用!$X$2:$X$51,$A28))</f>
        <v/>
      </c>
      <c r="D28">
        <f>IF($A28="","",IFERROR(INDEX(計算用!$D$2:$D$186,MATCH("男"&amp;$A28&amp;"-1",計算用!$AN$2:$AN$186,0)),""))</f>
        <v/>
      </c>
      <c r="E28" s="26">
        <f>IF($A28="","",IFERROR(INDEX(計算用!$M$2:$M$186,MATCH("男"&amp;$A28&amp;"-1",計算用!$AN$2:$AN$186,0)),""))</f>
        <v/>
      </c>
      <c r="F28" s="26">
        <f>IF($A28="","",IFERROR(INDEX(計算用!$I$2:$I$186,MATCH("男"&amp;$A28&amp;"-1",計算用!$AN$2:$AN$186,0)),""))</f>
        <v/>
      </c>
      <c r="G28">
        <f>IF($A28="","",IFERROR(INDEX(計算用!$D$2:$D$186,MATCH("男"&amp;$A28&amp;"-2",計算用!$AN$2:$AN$186,0)),""))</f>
        <v/>
      </c>
      <c r="H28" s="26">
        <f>IF($A28="","",IFERROR(INDEX(計算用!$M$2:$M$186,MATCH("男"&amp;$A28&amp;"-2",計算用!$AN$2:$AN$186,0)),""))</f>
        <v/>
      </c>
      <c r="I28" s="26">
        <f>IF($A28="","",IFERROR(INDEX(計算用!$I$2:$I$186,MATCH("男"&amp;$A28&amp;"-2",計算用!$AN$2:$AN$186,0)),""))</f>
        <v/>
      </c>
      <c r="J28">
        <f>IF($A28="","",IFERROR(INDEX(計算用!$D$2:$D$186,MATCH("男"&amp;$A28&amp;"-3",計算用!$AN$2:$AN$186,0)),""))</f>
        <v/>
      </c>
      <c r="K28" s="26">
        <f>IF($A28="","",IFERROR(INDEX(計算用!$M$2:$M$186,MATCH("男"&amp;$A28&amp;"-3",計算用!$AN$2:$AN$186,0)),""))</f>
        <v/>
      </c>
      <c r="L28" s="26">
        <f>IF($A28="","",IFERROR(INDEX(計算用!$I$2:$I$186,MATCH("男"&amp;$A28&amp;"-3",計算用!$AN$2:$AN$186,0)),""))</f>
        <v/>
      </c>
      <c r="M28">
        <f>IF($A28="","",IFERROR(INDEX(計算用!$D$2:$D$186,MATCH("男"&amp;$A28&amp;"-4",計算用!$AN$2:$AN$186,0)),""))</f>
        <v/>
      </c>
      <c r="N28" s="26">
        <f>IF($A28="","",IFERROR(INDEX(計算用!$M$2:$M$186,MATCH("男"&amp;$A28&amp;"-4",計算用!$AN$2:$AN$186,0)),""))</f>
        <v/>
      </c>
      <c r="O28" s="26">
        <f>IF($A28="","",IFERROR(INDEX(計算用!$I$2:$I$186,MATCH("男"&amp;$A28&amp;"-4",計算用!$AN$2:$AN$186,0)),""))</f>
        <v/>
      </c>
      <c r="Q28" s="26">
        <f>IF(ROW()-3&lt;=計算用!$Q$11,ROW()-3,"")</f>
        <v/>
      </c>
      <c r="R28" s="26">
        <f>IF($Q28="","",INDEX(計算用!$AC$2:$AC$51,$Q28))</f>
        <v/>
      </c>
      <c r="S28" s="26">
        <f>IF($Q28="","","赤"&amp;INDEX(計算用!$AF$2:$AF$51,$Q28)&amp;"白"&amp;INDEX(計算用!$AG$2:$AG$51,$Q28))</f>
        <v/>
      </c>
      <c r="T28">
        <f>IF($Q28="","",IFERROR(INDEX(計算用!$D$2:$D$186,MATCH("女"&amp;$Q28&amp;"-1",計算用!$AN$2:$AN$186,0)),""))</f>
        <v/>
      </c>
      <c r="U28" s="26">
        <f>IF($Q28="","",IFERROR(INDEX(計算用!$M$2:$M$186,MATCH("女"&amp;$Q28&amp;"-1",計算用!$AN$2:$AN$186,0)),""))</f>
        <v/>
      </c>
      <c r="V28" s="26">
        <f>IF($Q28="","",IFERROR(INDEX(計算用!$I$2:$I$186,MATCH("女"&amp;$Q28&amp;"-1",計算用!$AN$2:$AN$186,0)),""))</f>
        <v/>
      </c>
      <c r="W28">
        <f>IF($Q28="","",IFERROR(INDEX(計算用!$D$2:$D$186,MATCH("女"&amp;$Q28&amp;"-2",計算用!$AN$2:$AN$186,0)),""))</f>
        <v/>
      </c>
      <c r="X28" s="26">
        <f>IF($Q28="","",IFERROR(INDEX(計算用!$M$2:$M$186,MATCH("女"&amp;$Q28&amp;"-2",計算用!$AN$2:$AN$186,0)),""))</f>
        <v/>
      </c>
      <c r="Y28" s="26">
        <f>IF($Q28="","",IFERROR(INDEX(計算用!$I$2:$I$186,MATCH("女"&amp;$Q28&amp;"-2",計算用!$AN$2:$AN$186,0)),""))</f>
        <v/>
      </c>
      <c r="Z28">
        <f>IF($Q28="","",IFERROR(INDEX(計算用!$D$2:$D$186,MATCH("女"&amp;$Q28&amp;"-3",計算用!$AN$2:$AN$186,0)),""))</f>
        <v/>
      </c>
      <c r="AA28" s="26">
        <f>IF($Q28="","",IFERROR(INDEX(計算用!$M$2:$M$186,MATCH("女"&amp;$Q28&amp;"-3",計算用!$AN$2:$AN$186,0)),""))</f>
        <v/>
      </c>
      <c r="AB28" s="26">
        <f>IF($Q28="","",IFERROR(INDEX(計算用!$I$2:$I$186,MATCH("女"&amp;$Q28&amp;"-3",計算用!$AN$2:$AN$186,0)),""))</f>
        <v/>
      </c>
      <c r="AC28">
        <f>IF($Q28="","",IFERROR(INDEX(計算用!$D$2:$D$186,MATCH("女"&amp;$Q28&amp;"-4",計算用!$AN$2:$AN$186,0)),""))</f>
        <v/>
      </c>
      <c r="AD28" s="26">
        <f>IF($Q28="","",IFERROR(INDEX(計算用!$M$2:$M$186,MATCH("女"&amp;$Q28&amp;"-4",計算用!$AN$2:$AN$186,0)),""))</f>
        <v/>
      </c>
      <c r="AE28" s="26">
        <f>IF($Q28="","",IFERROR(INDEX(計算用!$I$2:$I$186,MATCH("女"&amp;$Q28&amp;"-4",計算用!$AN$2:$AN$186,0)),""))</f>
        <v/>
      </c>
    </row>
    <row r="29">
      <c r="A29" s="26">
        <f>IF(ROW()-3&lt;=計算用!$Q$9,ROW()-3,"")</f>
        <v/>
      </c>
      <c r="B29" s="26">
        <f>IF($A29="","",INDEX(計算用!$T$2:$T$51,$A29))</f>
        <v/>
      </c>
      <c r="C29" s="26">
        <f>IF($A29="","","赤"&amp;INDEX(計算用!$W$2:$W$51,$A29)&amp;"白"&amp;INDEX(計算用!$X$2:$X$51,$A29))</f>
        <v/>
      </c>
      <c r="D29">
        <f>IF($A29="","",IFERROR(INDEX(計算用!$D$2:$D$186,MATCH("男"&amp;$A29&amp;"-1",計算用!$AN$2:$AN$186,0)),""))</f>
        <v/>
      </c>
      <c r="E29" s="26">
        <f>IF($A29="","",IFERROR(INDEX(計算用!$M$2:$M$186,MATCH("男"&amp;$A29&amp;"-1",計算用!$AN$2:$AN$186,0)),""))</f>
        <v/>
      </c>
      <c r="F29" s="26">
        <f>IF($A29="","",IFERROR(INDEX(計算用!$I$2:$I$186,MATCH("男"&amp;$A29&amp;"-1",計算用!$AN$2:$AN$186,0)),""))</f>
        <v/>
      </c>
      <c r="G29">
        <f>IF($A29="","",IFERROR(INDEX(計算用!$D$2:$D$186,MATCH("男"&amp;$A29&amp;"-2",計算用!$AN$2:$AN$186,0)),""))</f>
        <v/>
      </c>
      <c r="H29" s="26">
        <f>IF($A29="","",IFERROR(INDEX(計算用!$M$2:$M$186,MATCH("男"&amp;$A29&amp;"-2",計算用!$AN$2:$AN$186,0)),""))</f>
        <v/>
      </c>
      <c r="I29" s="26">
        <f>IF($A29="","",IFERROR(INDEX(計算用!$I$2:$I$186,MATCH("男"&amp;$A29&amp;"-2",計算用!$AN$2:$AN$186,0)),""))</f>
        <v/>
      </c>
      <c r="J29">
        <f>IF($A29="","",IFERROR(INDEX(計算用!$D$2:$D$186,MATCH("男"&amp;$A29&amp;"-3",計算用!$AN$2:$AN$186,0)),""))</f>
        <v/>
      </c>
      <c r="K29" s="26">
        <f>IF($A29="","",IFERROR(INDEX(計算用!$M$2:$M$186,MATCH("男"&amp;$A29&amp;"-3",計算用!$AN$2:$AN$186,0)),""))</f>
        <v/>
      </c>
      <c r="L29" s="26">
        <f>IF($A29="","",IFERROR(INDEX(計算用!$I$2:$I$186,MATCH("男"&amp;$A29&amp;"-3",計算用!$AN$2:$AN$186,0)),""))</f>
        <v/>
      </c>
      <c r="M29">
        <f>IF($A29="","",IFERROR(INDEX(計算用!$D$2:$D$186,MATCH("男"&amp;$A29&amp;"-4",計算用!$AN$2:$AN$186,0)),""))</f>
        <v/>
      </c>
      <c r="N29" s="26">
        <f>IF($A29="","",IFERROR(INDEX(計算用!$M$2:$M$186,MATCH("男"&amp;$A29&amp;"-4",計算用!$AN$2:$AN$186,0)),""))</f>
        <v/>
      </c>
      <c r="O29" s="26">
        <f>IF($A29="","",IFERROR(INDEX(計算用!$I$2:$I$186,MATCH("男"&amp;$A29&amp;"-4",計算用!$AN$2:$AN$186,0)),""))</f>
        <v/>
      </c>
      <c r="Q29" s="26">
        <f>IF(ROW()-3&lt;=計算用!$Q$11,ROW()-3,"")</f>
        <v/>
      </c>
      <c r="R29" s="26">
        <f>IF($Q29="","",INDEX(計算用!$AC$2:$AC$51,$Q29))</f>
        <v/>
      </c>
      <c r="S29" s="26">
        <f>IF($Q29="","","赤"&amp;INDEX(計算用!$AF$2:$AF$51,$Q29)&amp;"白"&amp;INDEX(計算用!$AG$2:$AG$51,$Q29))</f>
        <v/>
      </c>
      <c r="T29">
        <f>IF($Q29="","",IFERROR(INDEX(計算用!$D$2:$D$186,MATCH("女"&amp;$Q29&amp;"-1",計算用!$AN$2:$AN$186,0)),""))</f>
        <v/>
      </c>
      <c r="U29" s="26">
        <f>IF($Q29="","",IFERROR(INDEX(計算用!$M$2:$M$186,MATCH("女"&amp;$Q29&amp;"-1",計算用!$AN$2:$AN$186,0)),""))</f>
        <v/>
      </c>
      <c r="V29" s="26">
        <f>IF($Q29="","",IFERROR(INDEX(計算用!$I$2:$I$186,MATCH("女"&amp;$Q29&amp;"-1",計算用!$AN$2:$AN$186,0)),""))</f>
        <v/>
      </c>
      <c r="W29">
        <f>IF($Q29="","",IFERROR(INDEX(計算用!$D$2:$D$186,MATCH("女"&amp;$Q29&amp;"-2",計算用!$AN$2:$AN$186,0)),""))</f>
        <v/>
      </c>
      <c r="X29" s="26">
        <f>IF($Q29="","",IFERROR(INDEX(計算用!$M$2:$M$186,MATCH("女"&amp;$Q29&amp;"-2",計算用!$AN$2:$AN$186,0)),""))</f>
        <v/>
      </c>
      <c r="Y29" s="26">
        <f>IF($Q29="","",IFERROR(INDEX(計算用!$I$2:$I$186,MATCH("女"&amp;$Q29&amp;"-2",計算用!$AN$2:$AN$186,0)),""))</f>
        <v/>
      </c>
      <c r="Z29">
        <f>IF($Q29="","",IFERROR(INDEX(計算用!$D$2:$D$186,MATCH("女"&amp;$Q29&amp;"-3",計算用!$AN$2:$AN$186,0)),""))</f>
        <v/>
      </c>
      <c r="AA29" s="26">
        <f>IF($Q29="","",IFERROR(INDEX(計算用!$M$2:$M$186,MATCH("女"&amp;$Q29&amp;"-3",計算用!$AN$2:$AN$186,0)),""))</f>
        <v/>
      </c>
      <c r="AB29" s="26">
        <f>IF($Q29="","",IFERROR(INDEX(計算用!$I$2:$I$186,MATCH("女"&amp;$Q29&amp;"-3",計算用!$AN$2:$AN$186,0)),""))</f>
        <v/>
      </c>
      <c r="AC29">
        <f>IF($Q29="","",IFERROR(INDEX(計算用!$D$2:$D$186,MATCH("女"&amp;$Q29&amp;"-4",計算用!$AN$2:$AN$186,0)),""))</f>
        <v/>
      </c>
      <c r="AD29" s="26">
        <f>IF($Q29="","",IFERROR(INDEX(計算用!$M$2:$M$186,MATCH("女"&amp;$Q29&amp;"-4",計算用!$AN$2:$AN$186,0)),""))</f>
        <v/>
      </c>
      <c r="AE29" s="26">
        <f>IF($Q29="","",IFERROR(INDEX(計算用!$I$2:$I$186,MATCH("女"&amp;$Q29&amp;"-4",計算用!$AN$2:$AN$186,0)),""))</f>
        <v/>
      </c>
    </row>
    <row r="30">
      <c r="A30" s="26">
        <f>IF(ROW()-3&lt;=計算用!$Q$9,ROW()-3,"")</f>
        <v/>
      </c>
      <c r="B30" s="26">
        <f>IF($A30="","",INDEX(計算用!$T$2:$T$51,$A30))</f>
        <v/>
      </c>
      <c r="C30" s="26">
        <f>IF($A30="","","赤"&amp;INDEX(計算用!$W$2:$W$51,$A30)&amp;"白"&amp;INDEX(計算用!$X$2:$X$51,$A30))</f>
        <v/>
      </c>
      <c r="D30">
        <f>IF($A30="","",IFERROR(INDEX(計算用!$D$2:$D$186,MATCH("男"&amp;$A30&amp;"-1",計算用!$AN$2:$AN$186,0)),""))</f>
        <v/>
      </c>
      <c r="E30" s="26">
        <f>IF($A30="","",IFERROR(INDEX(計算用!$M$2:$M$186,MATCH("男"&amp;$A30&amp;"-1",計算用!$AN$2:$AN$186,0)),""))</f>
        <v/>
      </c>
      <c r="F30" s="26">
        <f>IF($A30="","",IFERROR(INDEX(計算用!$I$2:$I$186,MATCH("男"&amp;$A30&amp;"-1",計算用!$AN$2:$AN$186,0)),""))</f>
        <v/>
      </c>
      <c r="G30">
        <f>IF($A30="","",IFERROR(INDEX(計算用!$D$2:$D$186,MATCH("男"&amp;$A30&amp;"-2",計算用!$AN$2:$AN$186,0)),""))</f>
        <v/>
      </c>
      <c r="H30" s="26">
        <f>IF($A30="","",IFERROR(INDEX(計算用!$M$2:$M$186,MATCH("男"&amp;$A30&amp;"-2",計算用!$AN$2:$AN$186,0)),""))</f>
        <v/>
      </c>
      <c r="I30" s="26">
        <f>IF($A30="","",IFERROR(INDEX(計算用!$I$2:$I$186,MATCH("男"&amp;$A30&amp;"-2",計算用!$AN$2:$AN$186,0)),""))</f>
        <v/>
      </c>
      <c r="J30">
        <f>IF($A30="","",IFERROR(INDEX(計算用!$D$2:$D$186,MATCH("男"&amp;$A30&amp;"-3",計算用!$AN$2:$AN$186,0)),""))</f>
        <v/>
      </c>
      <c r="K30" s="26">
        <f>IF($A30="","",IFERROR(INDEX(計算用!$M$2:$M$186,MATCH("男"&amp;$A30&amp;"-3",計算用!$AN$2:$AN$186,0)),""))</f>
        <v/>
      </c>
      <c r="L30" s="26">
        <f>IF($A30="","",IFERROR(INDEX(計算用!$I$2:$I$186,MATCH("男"&amp;$A30&amp;"-3",計算用!$AN$2:$AN$186,0)),""))</f>
        <v/>
      </c>
      <c r="M30">
        <f>IF($A30="","",IFERROR(INDEX(計算用!$D$2:$D$186,MATCH("男"&amp;$A30&amp;"-4",計算用!$AN$2:$AN$186,0)),""))</f>
        <v/>
      </c>
      <c r="N30" s="26">
        <f>IF($A30="","",IFERROR(INDEX(計算用!$M$2:$M$186,MATCH("男"&amp;$A30&amp;"-4",計算用!$AN$2:$AN$186,0)),""))</f>
        <v/>
      </c>
      <c r="O30" s="26">
        <f>IF($A30="","",IFERROR(INDEX(計算用!$I$2:$I$186,MATCH("男"&amp;$A30&amp;"-4",計算用!$AN$2:$AN$186,0)),""))</f>
        <v/>
      </c>
      <c r="Q30" s="26">
        <f>IF(ROW()-3&lt;=計算用!$Q$11,ROW()-3,"")</f>
        <v/>
      </c>
      <c r="R30" s="26">
        <f>IF($Q30="","",INDEX(計算用!$AC$2:$AC$51,$Q30))</f>
        <v/>
      </c>
      <c r="S30" s="26">
        <f>IF($Q30="","","赤"&amp;INDEX(計算用!$AF$2:$AF$51,$Q30)&amp;"白"&amp;INDEX(計算用!$AG$2:$AG$51,$Q30))</f>
        <v/>
      </c>
      <c r="T30">
        <f>IF($Q30="","",IFERROR(INDEX(計算用!$D$2:$D$186,MATCH("女"&amp;$Q30&amp;"-1",計算用!$AN$2:$AN$186,0)),""))</f>
        <v/>
      </c>
      <c r="U30" s="26">
        <f>IF($Q30="","",IFERROR(INDEX(計算用!$M$2:$M$186,MATCH("女"&amp;$Q30&amp;"-1",計算用!$AN$2:$AN$186,0)),""))</f>
        <v/>
      </c>
      <c r="V30" s="26">
        <f>IF($Q30="","",IFERROR(INDEX(計算用!$I$2:$I$186,MATCH("女"&amp;$Q30&amp;"-1",計算用!$AN$2:$AN$186,0)),""))</f>
        <v/>
      </c>
      <c r="W30">
        <f>IF($Q30="","",IFERROR(INDEX(計算用!$D$2:$D$186,MATCH("女"&amp;$Q30&amp;"-2",計算用!$AN$2:$AN$186,0)),""))</f>
        <v/>
      </c>
      <c r="X30" s="26">
        <f>IF($Q30="","",IFERROR(INDEX(計算用!$M$2:$M$186,MATCH("女"&amp;$Q30&amp;"-2",計算用!$AN$2:$AN$186,0)),""))</f>
        <v/>
      </c>
      <c r="Y30" s="26">
        <f>IF($Q30="","",IFERROR(INDEX(計算用!$I$2:$I$186,MATCH("女"&amp;$Q30&amp;"-2",計算用!$AN$2:$AN$186,0)),""))</f>
        <v/>
      </c>
      <c r="Z30">
        <f>IF($Q30="","",IFERROR(INDEX(計算用!$D$2:$D$186,MATCH("女"&amp;$Q30&amp;"-3",計算用!$AN$2:$AN$186,0)),""))</f>
        <v/>
      </c>
      <c r="AA30" s="26">
        <f>IF($Q30="","",IFERROR(INDEX(計算用!$M$2:$M$186,MATCH("女"&amp;$Q30&amp;"-3",計算用!$AN$2:$AN$186,0)),""))</f>
        <v/>
      </c>
      <c r="AB30" s="26">
        <f>IF($Q30="","",IFERROR(INDEX(計算用!$I$2:$I$186,MATCH("女"&amp;$Q30&amp;"-3",計算用!$AN$2:$AN$186,0)),""))</f>
        <v/>
      </c>
      <c r="AC30">
        <f>IF($Q30="","",IFERROR(INDEX(計算用!$D$2:$D$186,MATCH("女"&amp;$Q30&amp;"-4",計算用!$AN$2:$AN$186,0)),""))</f>
        <v/>
      </c>
      <c r="AD30" s="26">
        <f>IF($Q30="","",IFERROR(INDEX(計算用!$M$2:$M$186,MATCH("女"&amp;$Q30&amp;"-4",計算用!$AN$2:$AN$186,0)),""))</f>
        <v/>
      </c>
      <c r="AE30" s="26">
        <f>IF($Q30="","",IFERROR(INDEX(計算用!$I$2:$I$186,MATCH("女"&amp;$Q30&amp;"-4",計算用!$AN$2:$AN$186,0)),""))</f>
        <v/>
      </c>
    </row>
    <row r="31">
      <c r="A31" s="26">
        <f>IF(ROW()-3&lt;=計算用!$Q$9,ROW()-3,"")</f>
        <v/>
      </c>
      <c r="B31" s="26">
        <f>IF($A31="","",INDEX(計算用!$T$2:$T$51,$A31))</f>
        <v/>
      </c>
      <c r="C31" s="26">
        <f>IF($A31="","","赤"&amp;INDEX(計算用!$W$2:$W$51,$A31)&amp;"白"&amp;INDEX(計算用!$X$2:$X$51,$A31))</f>
        <v/>
      </c>
      <c r="D31">
        <f>IF($A31="","",IFERROR(INDEX(計算用!$D$2:$D$186,MATCH("男"&amp;$A31&amp;"-1",計算用!$AN$2:$AN$186,0)),""))</f>
        <v/>
      </c>
      <c r="E31" s="26">
        <f>IF($A31="","",IFERROR(INDEX(計算用!$M$2:$M$186,MATCH("男"&amp;$A31&amp;"-1",計算用!$AN$2:$AN$186,0)),""))</f>
        <v/>
      </c>
      <c r="F31" s="26">
        <f>IF($A31="","",IFERROR(INDEX(計算用!$I$2:$I$186,MATCH("男"&amp;$A31&amp;"-1",計算用!$AN$2:$AN$186,0)),""))</f>
        <v/>
      </c>
      <c r="G31">
        <f>IF($A31="","",IFERROR(INDEX(計算用!$D$2:$D$186,MATCH("男"&amp;$A31&amp;"-2",計算用!$AN$2:$AN$186,0)),""))</f>
        <v/>
      </c>
      <c r="H31" s="26">
        <f>IF($A31="","",IFERROR(INDEX(計算用!$M$2:$M$186,MATCH("男"&amp;$A31&amp;"-2",計算用!$AN$2:$AN$186,0)),""))</f>
        <v/>
      </c>
      <c r="I31" s="26">
        <f>IF($A31="","",IFERROR(INDEX(計算用!$I$2:$I$186,MATCH("男"&amp;$A31&amp;"-2",計算用!$AN$2:$AN$186,0)),""))</f>
        <v/>
      </c>
      <c r="J31">
        <f>IF($A31="","",IFERROR(INDEX(計算用!$D$2:$D$186,MATCH("男"&amp;$A31&amp;"-3",計算用!$AN$2:$AN$186,0)),""))</f>
        <v/>
      </c>
      <c r="K31" s="26">
        <f>IF($A31="","",IFERROR(INDEX(計算用!$M$2:$M$186,MATCH("男"&amp;$A31&amp;"-3",計算用!$AN$2:$AN$186,0)),""))</f>
        <v/>
      </c>
      <c r="L31" s="26">
        <f>IF($A31="","",IFERROR(INDEX(計算用!$I$2:$I$186,MATCH("男"&amp;$A31&amp;"-3",計算用!$AN$2:$AN$186,0)),""))</f>
        <v/>
      </c>
      <c r="M31">
        <f>IF($A31="","",IFERROR(INDEX(計算用!$D$2:$D$186,MATCH("男"&amp;$A31&amp;"-4",計算用!$AN$2:$AN$186,0)),""))</f>
        <v/>
      </c>
      <c r="N31" s="26">
        <f>IF($A31="","",IFERROR(INDEX(計算用!$M$2:$M$186,MATCH("男"&amp;$A31&amp;"-4",計算用!$AN$2:$AN$186,0)),""))</f>
        <v/>
      </c>
      <c r="O31" s="26">
        <f>IF($A31="","",IFERROR(INDEX(計算用!$I$2:$I$186,MATCH("男"&amp;$A31&amp;"-4",計算用!$AN$2:$AN$186,0)),""))</f>
        <v/>
      </c>
      <c r="Q31" s="26">
        <f>IF(ROW()-3&lt;=計算用!$Q$11,ROW()-3,"")</f>
        <v/>
      </c>
      <c r="R31" s="26">
        <f>IF($Q31="","",INDEX(計算用!$AC$2:$AC$51,$Q31))</f>
        <v/>
      </c>
      <c r="S31" s="26">
        <f>IF($Q31="","","赤"&amp;INDEX(計算用!$AF$2:$AF$51,$Q31)&amp;"白"&amp;INDEX(計算用!$AG$2:$AG$51,$Q31))</f>
        <v/>
      </c>
      <c r="T31">
        <f>IF($Q31="","",IFERROR(INDEX(計算用!$D$2:$D$186,MATCH("女"&amp;$Q31&amp;"-1",計算用!$AN$2:$AN$186,0)),""))</f>
        <v/>
      </c>
      <c r="U31" s="26">
        <f>IF($Q31="","",IFERROR(INDEX(計算用!$M$2:$M$186,MATCH("女"&amp;$Q31&amp;"-1",計算用!$AN$2:$AN$186,0)),""))</f>
        <v/>
      </c>
      <c r="V31" s="26">
        <f>IF($Q31="","",IFERROR(INDEX(計算用!$I$2:$I$186,MATCH("女"&amp;$Q31&amp;"-1",計算用!$AN$2:$AN$186,0)),""))</f>
        <v/>
      </c>
      <c r="W31">
        <f>IF($Q31="","",IFERROR(INDEX(計算用!$D$2:$D$186,MATCH("女"&amp;$Q31&amp;"-2",計算用!$AN$2:$AN$186,0)),""))</f>
        <v/>
      </c>
      <c r="X31" s="26">
        <f>IF($Q31="","",IFERROR(INDEX(計算用!$M$2:$M$186,MATCH("女"&amp;$Q31&amp;"-2",計算用!$AN$2:$AN$186,0)),""))</f>
        <v/>
      </c>
      <c r="Y31" s="26">
        <f>IF($Q31="","",IFERROR(INDEX(計算用!$I$2:$I$186,MATCH("女"&amp;$Q31&amp;"-2",計算用!$AN$2:$AN$186,0)),""))</f>
        <v/>
      </c>
      <c r="Z31">
        <f>IF($Q31="","",IFERROR(INDEX(計算用!$D$2:$D$186,MATCH("女"&amp;$Q31&amp;"-3",計算用!$AN$2:$AN$186,0)),""))</f>
        <v/>
      </c>
      <c r="AA31" s="26">
        <f>IF($Q31="","",IFERROR(INDEX(計算用!$M$2:$M$186,MATCH("女"&amp;$Q31&amp;"-3",計算用!$AN$2:$AN$186,0)),""))</f>
        <v/>
      </c>
      <c r="AB31" s="26">
        <f>IF($Q31="","",IFERROR(INDEX(計算用!$I$2:$I$186,MATCH("女"&amp;$Q31&amp;"-3",計算用!$AN$2:$AN$186,0)),""))</f>
        <v/>
      </c>
      <c r="AC31">
        <f>IF($Q31="","",IFERROR(INDEX(計算用!$D$2:$D$186,MATCH("女"&amp;$Q31&amp;"-4",計算用!$AN$2:$AN$186,0)),""))</f>
        <v/>
      </c>
      <c r="AD31" s="26">
        <f>IF($Q31="","",IFERROR(INDEX(計算用!$M$2:$M$186,MATCH("女"&amp;$Q31&amp;"-4",計算用!$AN$2:$AN$186,0)),""))</f>
        <v/>
      </c>
      <c r="AE31" s="26">
        <f>IF($Q31="","",IFERROR(INDEX(計算用!$I$2:$I$186,MATCH("女"&amp;$Q31&amp;"-4",計算用!$AN$2:$AN$186,0)),""))</f>
        <v/>
      </c>
    </row>
    <row r="32">
      <c r="A32" s="26">
        <f>IF(ROW()-3&lt;=計算用!$Q$9,ROW()-3,"")</f>
        <v/>
      </c>
      <c r="B32" s="26">
        <f>IF($A32="","",INDEX(計算用!$T$2:$T$51,$A32))</f>
        <v/>
      </c>
      <c r="C32" s="26">
        <f>IF($A32="","","赤"&amp;INDEX(計算用!$W$2:$W$51,$A32)&amp;"白"&amp;INDEX(計算用!$X$2:$X$51,$A32))</f>
        <v/>
      </c>
      <c r="D32">
        <f>IF($A32="","",IFERROR(INDEX(計算用!$D$2:$D$186,MATCH("男"&amp;$A32&amp;"-1",計算用!$AN$2:$AN$186,0)),""))</f>
        <v/>
      </c>
      <c r="E32" s="26">
        <f>IF($A32="","",IFERROR(INDEX(計算用!$M$2:$M$186,MATCH("男"&amp;$A32&amp;"-1",計算用!$AN$2:$AN$186,0)),""))</f>
        <v/>
      </c>
      <c r="F32" s="26">
        <f>IF($A32="","",IFERROR(INDEX(計算用!$I$2:$I$186,MATCH("男"&amp;$A32&amp;"-1",計算用!$AN$2:$AN$186,0)),""))</f>
        <v/>
      </c>
      <c r="G32">
        <f>IF($A32="","",IFERROR(INDEX(計算用!$D$2:$D$186,MATCH("男"&amp;$A32&amp;"-2",計算用!$AN$2:$AN$186,0)),""))</f>
        <v/>
      </c>
      <c r="H32" s="26">
        <f>IF($A32="","",IFERROR(INDEX(計算用!$M$2:$M$186,MATCH("男"&amp;$A32&amp;"-2",計算用!$AN$2:$AN$186,0)),""))</f>
        <v/>
      </c>
      <c r="I32" s="26">
        <f>IF($A32="","",IFERROR(INDEX(計算用!$I$2:$I$186,MATCH("男"&amp;$A32&amp;"-2",計算用!$AN$2:$AN$186,0)),""))</f>
        <v/>
      </c>
      <c r="J32">
        <f>IF($A32="","",IFERROR(INDEX(計算用!$D$2:$D$186,MATCH("男"&amp;$A32&amp;"-3",計算用!$AN$2:$AN$186,0)),""))</f>
        <v/>
      </c>
      <c r="K32" s="26">
        <f>IF($A32="","",IFERROR(INDEX(計算用!$M$2:$M$186,MATCH("男"&amp;$A32&amp;"-3",計算用!$AN$2:$AN$186,0)),""))</f>
        <v/>
      </c>
      <c r="L32" s="26">
        <f>IF($A32="","",IFERROR(INDEX(計算用!$I$2:$I$186,MATCH("男"&amp;$A32&amp;"-3",計算用!$AN$2:$AN$186,0)),""))</f>
        <v/>
      </c>
      <c r="M32">
        <f>IF($A32="","",IFERROR(INDEX(計算用!$D$2:$D$186,MATCH("男"&amp;$A32&amp;"-4",計算用!$AN$2:$AN$186,0)),""))</f>
        <v/>
      </c>
      <c r="N32" s="26">
        <f>IF($A32="","",IFERROR(INDEX(計算用!$M$2:$M$186,MATCH("男"&amp;$A32&amp;"-4",計算用!$AN$2:$AN$186,0)),""))</f>
        <v/>
      </c>
      <c r="O32" s="26">
        <f>IF($A32="","",IFERROR(INDEX(計算用!$I$2:$I$186,MATCH("男"&amp;$A32&amp;"-4",計算用!$AN$2:$AN$186,0)),""))</f>
        <v/>
      </c>
      <c r="Q32" s="26">
        <f>IF(ROW()-3&lt;=計算用!$Q$11,ROW()-3,"")</f>
        <v/>
      </c>
      <c r="R32" s="26">
        <f>IF($Q32="","",INDEX(計算用!$AC$2:$AC$51,$Q32))</f>
        <v/>
      </c>
      <c r="S32" s="26">
        <f>IF($Q32="","","赤"&amp;INDEX(計算用!$AF$2:$AF$51,$Q32)&amp;"白"&amp;INDEX(計算用!$AG$2:$AG$51,$Q32))</f>
        <v/>
      </c>
      <c r="T32">
        <f>IF($Q32="","",IFERROR(INDEX(計算用!$D$2:$D$186,MATCH("女"&amp;$Q32&amp;"-1",計算用!$AN$2:$AN$186,0)),""))</f>
        <v/>
      </c>
      <c r="U32" s="26">
        <f>IF($Q32="","",IFERROR(INDEX(計算用!$M$2:$M$186,MATCH("女"&amp;$Q32&amp;"-1",計算用!$AN$2:$AN$186,0)),""))</f>
        <v/>
      </c>
      <c r="V32" s="26">
        <f>IF($Q32="","",IFERROR(INDEX(計算用!$I$2:$I$186,MATCH("女"&amp;$Q32&amp;"-1",計算用!$AN$2:$AN$186,0)),""))</f>
        <v/>
      </c>
      <c r="W32">
        <f>IF($Q32="","",IFERROR(INDEX(計算用!$D$2:$D$186,MATCH("女"&amp;$Q32&amp;"-2",計算用!$AN$2:$AN$186,0)),""))</f>
        <v/>
      </c>
      <c r="X32" s="26">
        <f>IF($Q32="","",IFERROR(INDEX(計算用!$M$2:$M$186,MATCH("女"&amp;$Q32&amp;"-2",計算用!$AN$2:$AN$186,0)),""))</f>
        <v/>
      </c>
      <c r="Y32" s="26">
        <f>IF($Q32="","",IFERROR(INDEX(計算用!$I$2:$I$186,MATCH("女"&amp;$Q32&amp;"-2",計算用!$AN$2:$AN$186,0)),""))</f>
        <v/>
      </c>
      <c r="Z32">
        <f>IF($Q32="","",IFERROR(INDEX(計算用!$D$2:$D$186,MATCH("女"&amp;$Q32&amp;"-3",計算用!$AN$2:$AN$186,0)),""))</f>
        <v/>
      </c>
      <c r="AA32" s="26">
        <f>IF($Q32="","",IFERROR(INDEX(計算用!$M$2:$M$186,MATCH("女"&amp;$Q32&amp;"-3",計算用!$AN$2:$AN$186,0)),""))</f>
        <v/>
      </c>
      <c r="AB32" s="26">
        <f>IF($Q32="","",IFERROR(INDEX(計算用!$I$2:$I$186,MATCH("女"&amp;$Q32&amp;"-3",計算用!$AN$2:$AN$186,0)),""))</f>
        <v/>
      </c>
      <c r="AC32">
        <f>IF($Q32="","",IFERROR(INDEX(計算用!$D$2:$D$186,MATCH("女"&amp;$Q32&amp;"-4",計算用!$AN$2:$AN$186,0)),""))</f>
        <v/>
      </c>
      <c r="AD32" s="26">
        <f>IF($Q32="","",IFERROR(INDEX(計算用!$M$2:$M$186,MATCH("女"&amp;$Q32&amp;"-4",計算用!$AN$2:$AN$186,0)),""))</f>
        <v/>
      </c>
      <c r="AE32" s="26">
        <f>IF($Q32="","",IFERROR(INDEX(計算用!$I$2:$I$186,MATCH("女"&amp;$Q32&amp;"-4",計算用!$AN$2:$AN$186,0)),""))</f>
        <v/>
      </c>
    </row>
    <row r="33">
      <c r="A33" s="26">
        <f>IF(ROW()-3&lt;=計算用!$Q$9,ROW()-3,"")</f>
        <v/>
      </c>
      <c r="B33" s="26">
        <f>IF($A33="","",INDEX(計算用!$T$2:$T$51,$A33))</f>
        <v/>
      </c>
      <c r="C33" s="26">
        <f>IF($A33="","","赤"&amp;INDEX(計算用!$W$2:$W$51,$A33)&amp;"白"&amp;INDEX(計算用!$X$2:$X$51,$A33))</f>
        <v/>
      </c>
      <c r="D33">
        <f>IF($A33="","",IFERROR(INDEX(計算用!$D$2:$D$186,MATCH("男"&amp;$A33&amp;"-1",計算用!$AN$2:$AN$186,0)),""))</f>
        <v/>
      </c>
      <c r="E33" s="26">
        <f>IF($A33="","",IFERROR(INDEX(計算用!$M$2:$M$186,MATCH("男"&amp;$A33&amp;"-1",計算用!$AN$2:$AN$186,0)),""))</f>
        <v/>
      </c>
      <c r="F33" s="26">
        <f>IF($A33="","",IFERROR(INDEX(計算用!$I$2:$I$186,MATCH("男"&amp;$A33&amp;"-1",計算用!$AN$2:$AN$186,0)),""))</f>
        <v/>
      </c>
      <c r="G33">
        <f>IF($A33="","",IFERROR(INDEX(計算用!$D$2:$D$186,MATCH("男"&amp;$A33&amp;"-2",計算用!$AN$2:$AN$186,0)),""))</f>
        <v/>
      </c>
      <c r="H33" s="26">
        <f>IF($A33="","",IFERROR(INDEX(計算用!$M$2:$M$186,MATCH("男"&amp;$A33&amp;"-2",計算用!$AN$2:$AN$186,0)),""))</f>
        <v/>
      </c>
      <c r="I33" s="26">
        <f>IF($A33="","",IFERROR(INDEX(計算用!$I$2:$I$186,MATCH("男"&amp;$A33&amp;"-2",計算用!$AN$2:$AN$186,0)),""))</f>
        <v/>
      </c>
      <c r="J33">
        <f>IF($A33="","",IFERROR(INDEX(計算用!$D$2:$D$186,MATCH("男"&amp;$A33&amp;"-3",計算用!$AN$2:$AN$186,0)),""))</f>
        <v/>
      </c>
      <c r="K33" s="26">
        <f>IF($A33="","",IFERROR(INDEX(計算用!$M$2:$M$186,MATCH("男"&amp;$A33&amp;"-3",計算用!$AN$2:$AN$186,0)),""))</f>
        <v/>
      </c>
      <c r="L33" s="26">
        <f>IF($A33="","",IFERROR(INDEX(計算用!$I$2:$I$186,MATCH("男"&amp;$A33&amp;"-3",計算用!$AN$2:$AN$186,0)),""))</f>
        <v/>
      </c>
      <c r="M33">
        <f>IF($A33="","",IFERROR(INDEX(計算用!$D$2:$D$186,MATCH("男"&amp;$A33&amp;"-4",計算用!$AN$2:$AN$186,0)),""))</f>
        <v/>
      </c>
      <c r="N33" s="26">
        <f>IF($A33="","",IFERROR(INDEX(計算用!$M$2:$M$186,MATCH("男"&amp;$A33&amp;"-4",計算用!$AN$2:$AN$186,0)),""))</f>
        <v/>
      </c>
      <c r="O33" s="26">
        <f>IF($A33="","",IFERROR(INDEX(計算用!$I$2:$I$186,MATCH("男"&amp;$A33&amp;"-4",計算用!$AN$2:$AN$186,0)),""))</f>
        <v/>
      </c>
      <c r="Q33" s="26">
        <f>IF(ROW()-3&lt;=計算用!$Q$11,ROW()-3,"")</f>
        <v/>
      </c>
      <c r="R33" s="26">
        <f>IF($Q33="","",INDEX(計算用!$AC$2:$AC$51,$Q33))</f>
        <v/>
      </c>
      <c r="S33" s="26">
        <f>IF($Q33="","","赤"&amp;INDEX(計算用!$AF$2:$AF$51,$Q33)&amp;"白"&amp;INDEX(計算用!$AG$2:$AG$51,$Q33))</f>
        <v/>
      </c>
      <c r="T33">
        <f>IF($Q33="","",IFERROR(INDEX(計算用!$D$2:$D$186,MATCH("女"&amp;$Q33&amp;"-1",計算用!$AN$2:$AN$186,0)),""))</f>
        <v/>
      </c>
      <c r="U33" s="26">
        <f>IF($Q33="","",IFERROR(INDEX(計算用!$M$2:$M$186,MATCH("女"&amp;$Q33&amp;"-1",計算用!$AN$2:$AN$186,0)),""))</f>
        <v/>
      </c>
      <c r="V33" s="26">
        <f>IF($Q33="","",IFERROR(INDEX(計算用!$I$2:$I$186,MATCH("女"&amp;$Q33&amp;"-1",計算用!$AN$2:$AN$186,0)),""))</f>
        <v/>
      </c>
      <c r="W33">
        <f>IF($Q33="","",IFERROR(INDEX(計算用!$D$2:$D$186,MATCH("女"&amp;$Q33&amp;"-2",計算用!$AN$2:$AN$186,0)),""))</f>
        <v/>
      </c>
      <c r="X33" s="26">
        <f>IF($Q33="","",IFERROR(INDEX(計算用!$M$2:$M$186,MATCH("女"&amp;$Q33&amp;"-2",計算用!$AN$2:$AN$186,0)),""))</f>
        <v/>
      </c>
      <c r="Y33" s="26">
        <f>IF($Q33="","",IFERROR(INDEX(計算用!$I$2:$I$186,MATCH("女"&amp;$Q33&amp;"-2",計算用!$AN$2:$AN$186,0)),""))</f>
        <v/>
      </c>
      <c r="Z33">
        <f>IF($Q33="","",IFERROR(INDEX(計算用!$D$2:$D$186,MATCH("女"&amp;$Q33&amp;"-3",計算用!$AN$2:$AN$186,0)),""))</f>
        <v/>
      </c>
      <c r="AA33" s="26">
        <f>IF($Q33="","",IFERROR(INDEX(計算用!$M$2:$M$186,MATCH("女"&amp;$Q33&amp;"-3",計算用!$AN$2:$AN$186,0)),""))</f>
        <v/>
      </c>
      <c r="AB33" s="26">
        <f>IF($Q33="","",IFERROR(INDEX(計算用!$I$2:$I$186,MATCH("女"&amp;$Q33&amp;"-3",計算用!$AN$2:$AN$186,0)),""))</f>
        <v/>
      </c>
      <c r="AC33">
        <f>IF($Q33="","",IFERROR(INDEX(計算用!$D$2:$D$186,MATCH("女"&amp;$Q33&amp;"-4",計算用!$AN$2:$AN$186,0)),""))</f>
        <v/>
      </c>
      <c r="AD33" s="26">
        <f>IF($Q33="","",IFERROR(INDEX(計算用!$M$2:$M$186,MATCH("女"&amp;$Q33&amp;"-4",計算用!$AN$2:$AN$186,0)),""))</f>
        <v/>
      </c>
      <c r="AE33" s="26">
        <f>IF($Q33="","",IFERROR(INDEX(計算用!$I$2:$I$186,MATCH("女"&amp;$Q33&amp;"-4",計算用!$AN$2:$AN$186,0)),""))</f>
        <v/>
      </c>
    </row>
    <row r="34">
      <c r="A34" s="26">
        <f>IF(ROW()-3&lt;=計算用!$Q$9,ROW()-3,"")</f>
        <v/>
      </c>
      <c r="B34" s="26">
        <f>IF($A34="","",INDEX(計算用!$T$2:$T$51,$A34))</f>
        <v/>
      </c>
      <c r="C34" s="26">
        <f>IF($A34="","","赤"&amp;INDEX(計算用!$W$2:$W$51,$A34)&amp;"白"&amp;INDEX(計算用!$X$2:$X$51,$A34))</f>
        <v/>
      </c>
      <c r="D34">
        <f>IF($A34="","",IFERROR(INDEX(計算用!$D$2:$D$186,MATCH("男"&amp;$A34&amp;"-1",計算用!$AN$2:$AN$186,0)),""))</f>
        <v/>
      </c>
      <c r="E34" s="26">
        <f>IF($A34="","",IFERROR(INDEX(計算用!$M$2:$M$186,MATCH("男"&amp;$A34&amp;"-1",計算用!$AN$2:$AN$186,0)),""))</f>
        <v/>
      </c>
      <c r="F34" s="26">
        <f>IF($A34="","",IFERROR(INDEX(計算用!$I$2:$I$186,MATCH("男"&amp;$A34&amp;"-1",計算用!$AN$2:$AN$186,0)),""))</f>
        <v/>
      </c>
      <c r="G34">
        <f>IF($A34="","",IFERROR(INDEX(計算用!$D$2:$D$186,MATCH("男"&amp;$A34&amp;"-2",計算用!$AN$2:$AN$186,0)),""))</f>
        <v/>
      </c>
      <c r="H34" s="26">
        <f>IF($A34="","",IFERROR(INDEX(計算用!$M$2:$M$186,MATCH("男"&amp;$A34&amp;"-2",計算用!$AN$2:$AN$186,0)),""))</f>
        <v/>
      </c>
      <c r="I34" s="26">
        <f>IF($A34="","",IFERROR(INDEX(計算用!$I$2:$I$186,MATCH("男"&amp;$A34&amp;"-2",計算用!$AN$2:$AN$186,0)),""))</f>
        <v/>
      </c>
      <c r="J34">
        <f>IF($A34="","",IFERROR(INDEX(計算用!$D$2:$D$186,MATCH("男"&amp;$A34&amp;"-3",計算用!$AN$2:$AN$186,0)),""))</f>
        <v/>
      </c>
      <c r="K34" s="26">
        <f>IF($A34="","",IFERROR(INDEX(計算用!$M$2:$M$186,MATCH("男"&amp;$A34&amp;"-3",計算用!$AN$2:$AN$186,0)),""))</f>
        <v/>
      </c>
      <c r="L34" s="26">
        <f>IF($A34="","",IFERROR(INDEX(計算用!$I$2:$I$186,MATCH("男"&amp;$A34&amp;"-3",計算用!$AN$2:$AN$186,0)),""))</f>
        <v/>
      </c>
      <c r="M34">
        <f>IF($A34="","",IFERROR(INDEX(計算用!$D$2:$D$186,MATCH("男"&amp;$A34&amp;"-4",計算用!$AN$2:$AN$186,0)),""))</f>
        <v/>
      </c>
      <c r="N34" s="26">
        <f>IF($A34="","",IFERROR(INDEX(計算用!$M$2:$M$186,MATCH("男"&amp;$A34&amp;"-4",計算用!$AN$2:$AN$186,0)),""))</f>
        <v/>
      </c>
      <c r="O34" s="26">
        <f>IF($A34="","",IFERROR(INDEX(計算用!$I$2:$I$186,MATCH("男"&amp;$A34&amp;"-4",計算用!$AN$2:$AN$186,0)),""))</f>
        <v/>
      </c>
      <c r="Q34" s="26">
        <f>IF(ROW()-3&lt;=計算用!$Q$11,ROW()-3,"")</f>
        <v/>
      </c>
      <c r="R34" s="26">
        <f>IF($Q34="","",INDEX(計算用!$AC$2:$AC$51,$Q34))</f>
        <v/>
      </c>
      <c r="S34" s="26">
        <f>IF($Q34="","","赤"&amp;INDEX(計算用!$AF$2:$AF$51,$Q34)&amp;"白"&amp;INDEX(計算用!$AG$2:$AG$51,$Q34))</f>
        <v/>
      </c>
      <c r="T34">
        <f>IF($Q34="","",IFERROR(INDEX(計算用!$D$2:$D$186,MATCH("女"&amp;$Q34&amp;"-1",計算用!$AN$2:$AN$186,0)),""))</f>
        <v/>
      </c>
      <c r="U34" s="26">
        <f>IF($Q34="","",IFERROR(INDEX(計算用!$M$2:$M$186,MATCH("女"&amp;$Q34&amp;"-1",計算用!$AN$2:$AN$186,0)),""))</f>
        <v/>
      </c>
      <c r="V34" s="26">
        <f>IF($Q34="","",IFERROR(INDEX(計算用!$I$2:$I$186,MATCH("女"&amp;$Q34&amp;"-1",計算用!$AN$2:$AN$186,0)),""))</f>
        <v/>
      </c>
      <c r="W34">
        <f>IF($Q34="","",IFERROR(INDEX(計算用!$D$2:$D$186,MATCH("女"&amp;$Q34&amp;"-2",計算用!$AN$2:$AN$186,0)),""))</f>
        <v/>
      </c>
      <c r="X34" s="26">
        <f>IF($Q34="","",IFERROR(INDEX(計算用!$M$2:$M$186,MATCH("女"&amp;$Q34&amp;"-2",計算用!$AN$2:$AN$186,0)),""))</f>
        <v/>
      </c>
      <c r="Y34" s="26">
        <f>IF($Q34="","",IFERROR(INDEX(計算用!$I$2:$I$186,MATCH("女"&amp;$Q34&amp;"-2",計算用!$AN$2:$AN$186,0)),""))</f>
        <v/>
      </c>
      <c r="Z34">
        <f>IF($Q34="","",IFERROR(INDEX(計算用!$D$2:$D$186,MATCH("女"&amp;$Q34&amp;"-3",計算用!$AN$2:$AN$186,0)),""))</f>
        <v/>
      </c>
      <c r="AA34" s="26">
        <f>IF($Q34="","",IFERROR(INDEX(計算用!$M$2:$M$186,MATCH("女"&amp;$Q34&amp;"-3",計算用!$AN$2:$AN$186,0)),""))</f>
        <v/>
      </c>
      <c r="AB34" s="26">
        <f>IF($Q34="","",IFERROR(INDEX(計算用!$I$2:$I$186,MATCH("女"&amp;$Q34&amp;"-3",計算用!$AN$2:$AN$186,0)),""))</f>
        <v/>
      </c>
      <c r="AC34">
        <f>IF($Q34="","",IFERROR(INDEX(計算用!$D$2:$D$186,MATCH("女"&amp;$Q34&amp;"-4",計算用!$AN$2:$AN$186,0)),""))</f>
        <v/>
      </c>
      <c r="AD34" s="26">
        <f>IF($Q34="","",IFERROR(INDEX(計算用!$M$2:$M$186,MATCH("女"&amp;$Q34&amp;"-4",計算用!$AN$2:$AN$186,0)),""))</f>
        <v/>
      </c>
      <c r="AE34" s="26">
        <f>IF($Q34="","",IFERROR(INDEX(計算用!$I$2:$I$186,MATCH("女"&amp;$Q34&amp;"-4",計算用!$AN$2:$AN$186,0)),""))</f>
        <v/>
      </c>
    </row>
    <row r="35">
      <c r="A35" s="26">
        <f>IF(ROW()-3&lt;=計算用!$Q$9,ROW()-3,"")</f>
        <v/>
      </c>
      <c r="B35" s="26">
        <f>IF($A35="","",INDEX(計算用!$T$2:$T$51,$A35))</f>
        <v/>
      </c>
      <c r="C35" s="26">
        <f>IF($A35="","","赤"&amp;INDEX(計算用!$W$2:$W$51,$A35)&amp;"白"&amp;INDEX(計算用!$X$2:$X$51,$A35))</f>
        <v/>
      </c>
      <c r="D35">
        <f>IF($A35="","",IFERROR(INDEX(計算用!$D$2:$D$186,MATCH("男"&amp;$A35&amp;"-1",計算用!$AN$2:$AN$186,0)),""))</f>
        <v/>
      </c>
      <c r="E35" s="26">
        <f>IF($A35="","",IFERROR(INDEX(計算用!$M$2:$M$186,MATCH("男"&amp;$A35&amp;"-1",計算用!$AN$2:$AN$186,0)),""))</f>
        <v/>
      </c>
      <c r="F35" s="26">
        <f>IF($A35="","",IFERROR(INDEX(計算用!$I$2:$I$186,MATCH("男"&amp;$A35&amp;"-1",計算用!$AN$2:$AN$186,0)),""))</f>
        <v/>
      </c>
      <c r="G35">
        <f>IF($A35="","",IFERROR(INDEX(計算用!$D$2:$D$186,MATCH("男"&amp;$A35&amp;"-2",計算用!$AN$2:$AN$186,0)),""))</f>
        <v/>
      </c>
      <c r="H35" s="26">
        <f>IF($A35="","",IFERROR(INDEX(計算用!$M$2:$M$186,MATCH("男"&amp;$A35&amp;"-2",計算用!$AN$2:$AN$186,0)),""))</f>
        <v/>
      </c>
      <c r="I35" s="26">
        <f>IF($A35="","",IFERROR(INDEX(計算用!$I$2:$I$186,MATCH("男"&amp;$A35&amp;"-2",計算用!$AN$2:$AN$186,0)),""))</f>
        <v/>
      </c>
      <c r="J35">
        <f>IF($A35="","",IFERROR(INDEX(計算用!$D$2:$D$186,MATCH("男"&amp;$A35&amp;"-3",計算用!$AN$2:$AN$186,0)),""))</f>
        <v/>
      </c>
      <c r="K35" s="26">
        <f>IF($A35="","",IFERROR(INDEX(計算用!$M$2:$M$186,MATCH("男"&amp;$A35&amp;"-3",計算用!$AN$2:$AN$186,0)),""))</f>
        <v/>
      </c>
      <c r="L35" s="26">
        <f>IF($A35="","",IFERROR(INDEX(計算用!$I$2:$I$186,MATCH("男"&amp;$A35&amp;"-3",計算用!$AN$2:$AN$186,0)),""))</f>
        <v/>
      </c>
      <c r="M35">
        <f>IF($A35="","",IFERROR(INDEX(計算用!$D$2:$D$186,MATCH("男"&amp;$A35&amp;"-4",計算用!$AN$2:$AN$186,0)),""))</f>
        <v/>
      </c>
      <c r="N35" s="26">
        <f>IF($A35="","",IFERROR(INDEX(計算用!$M$2:$M$186,MATCH("男"&amp;$A35&amp;"-4",計算用!$AN$2:$AN$186,0)),""))</f>
        <v/>
      </c>
      <c r="O35" s="26">
        <f>IF($A35="","",IFERROR(INDEX(計算用!$I$2:$I$186,MATCH("男"&amp;$A35&amp;"-4",計算用!$AN$2:$AN$186,0)),""))</f>
        <v/>
      </c>
      <c r="Q35" s="26">
        <f>IF(ROW()-3&lt;=計算用!$Q$11,ROW()-3,"")</f>
        <v/>
      </c>
      <c r="R35" s="26">
        <f>IF($Q35="","",INDEX(計算用!$AC$2:$AC$51,$Q35))</f>
        <v/>
      </c>
      <c r="S35" s="26">
        <f>IF($Q35="","","赤"&amp;INDEX(計算用!$AF$2:$AF$51,$Q35)&amp;"白"&amp;INDEX(計算用!$AG$2:$AG$51,$Q35))</f>
        <v/>
      </c>
      <c r="T35">
        <f>IF($Q35="","",IFERROR(INDEX(計算用!$D$2:$D$186,MATCH("女"&amp;$Q35&amp;"-1",計算用!$AN$2:$AN$186,0)),""))</f>
        <v/>
      </c>
      <c r="U35" s="26">
        <f>IF($Q35="","",IFERROR(INDEX(計算用!$M$2:$M$186,MATCH("女"&amp;$Q35&amp;"-1",計算用!$AN$2:$AN$186,0)),""))</f>
        <v/>
      </c>
      <c r="V35" s="26">
        <f>IF($Q35="","",IFERROR(INDEX(計算用!$I$2:$I$186,MATCH("女"&amp;$Q35&amp;"-1",計算用!$AN$2:$AN$186,0)),""))</f>
        <v/>
      </c>
      <c r="W35">
        <f>IF($Q35="","",IFERROR(INDEX(計算用!$D$2:$D$186,MATCH("女"&amp;$Q35&amp;"-2",計算用!$AN$2:$AN$186,0)),""))</f>
        <v/>
      </c>
      <c r="X35" s="26">
        <f>IF($Q35="","",IFERROR(INDEX(計算用!$M$2:$M$186,MATCH("女"&amp;$Q35&amp;"-2",計算用!$AN$2:$AN$186,0)),""))</f>
        <v/>
      </c>
      <c r="Y35" s="26">
        <f>IF($Q35="","",IFERROR(INDEX(計算用!$I$2:$I$186,MATCH("女"&amp;$Q35&amp;"-2",計算用!$AN$2:$AN$186,0)),""))</f>
        <v/>
      </c>
      <c r="Z35">
        <f>IF($Q35="","",IFERROR(INDEX(計算用!$D$2:$D$186,MATCH("女"&amp;$Q35&amp;"-3",計算用!$AN$2:$AN$186,0)),""))</f>
        <v/>
      </c>
      <c r="AA35" s="26">
        <f>IF($Q35="","",IFERROR(INDEX(計算用!$M$2:$M$186,MATCH("女"&amp;$Q35&amp;"-3",計算用!$AN$2:$AN$186,0)),""))</f>
        <v/>
      </c>
      <c r="AB35" s="26">
        <f>IF($Q35="","",IFERROR(INDEX(計算用!$I$2:$I$186,MATCH("女"&amp;$Q35&amp;"-3",計算用!$AN$2:$AN$186,0)),""))</f>
        <v/>
      </c>
      <c r="AC35">
        <f>IF($Q35="","",IFERROR(INDEX(計算用!$D$2:$D$186,MATCH("女"&amp;$Q35&amp;"-4",計算用!$AN$2:$AN$186,0)),""))</f>
        <v/>
      </c>
      <c r="AD35" s="26">
        <f>IF($Q35="","",IFERROR(INDEX(計算用!$M$2:$M$186,MATCH("女"&amp;$Q35&amp;"-4",計算用!$AN$2:$AN$186,0)),""))</f>
        <v/>
      </c>
      <c r="AE35" s="26">
        <f>IF($Q35="","",IFERROR(INDEX(計算用!$I$2:$I$186,MATCH("女"&amp;$Q35&amp;"-4",計算用!$AN$2:$AN$186,0)),""))</f>
        <v/>
      </c>
    </row>
    <row r="36">
      <c r="A36" s="26">
        <f>IF(ROW()-3&lt;=計算用!$Q$9,ROW()-3,"")</f>
        <v/>
      </c>
      <c r="B36" s="26">
        <f>IF($A36="","",INDEX(計算用!$T$2:$T$51,$A36))</f>
        <v/>
      </c>
      <c r="C36" s="26">
        <f>IF($A36="","","赤"&amp;INDEX(計算用!$W$2:$W$51,$A36)&amp;"白"&amp;INDEX(計算用!$X$2:$X$51,$A36))</f>
        <v/>
      </c>
      <c r="D36">
        <f>IF($A36="","",IFERROR(INDEX(計算用!$D$2:$D$186,MATCH("男"&amp;$A36&amp;"-1",計算用!$AN$2:$AN$186,0)),""))</f>
        <v/>
      </c>
      <c r="E36" s="26">
        <f>IF($A36="","",IFERROR(INDEX(計算用!$M$2:$M$186,MATCH("男"&amp;$A36&amp;"-1",計算用!$AN$2:$AN$186,0)),""))</f>
        <v/>
      </c>
      <c r="F36" s="26">
        <f>IF($A36="","",IFERROR(INDEX(計算用!$I$2:$I$186,MATCH("男"&amp;$A36&amp;"-1",計算用!$AN$2:$AN$186,0)),""))</f>
        <v/>
      </c>
      <c r="G36">
        <f>IF($A36="","",IFERROR(INDEX(計算用!$D$2:$D$186,MATCH("男"&amp;$A36&amp;"-2",計算用!$AN$2:$AN$186,0)),""))</f>
        <v/>
      </c>
      <c r="H36" s="26">
        <f>IF($A36="","",IFERROR(INDEX(計算用!$M$2:$M$186,MATCH("男"&amp;$A36&amp;"-2",計算用!$AN$2:$AN$186,0)),""))</f>
        <v/>
      </c>
      <c r="I36" s="26">
        <f>IF($A36="","",IFERROR(INDEX(計算用!$I$2:$I$186,MATCH("男"&amp;$A36&amp;"-2",計算用!$AN$2:$AN$186,0)),""))</f>
        <v/>
      </c>
      <c r="J36">
        <f>IF($A36="","",IFERROR(INDEX(計算用!$D$2:$D$186,MATCH("男"&amp;$A36&amp;"-3",計算用!$AN$2:$AN$186,0)),""))</f>
        <v/>
      </c>
      <c r="K36" s="26">
        <f>IF($A36="","",IFERROR(INDEX(計算用!$M$2:$M$186,MATCH("男"&amp;$A36&amp;"-3",計算用!$AN$2:$AN$186,0)),""))</f>
        <v/>
      </c>
      <c r="L36" s="26">
        <f>IF($A36="","",IFERROR(INDEX(計算用!$I$2:$I$186,MATCH("男"&amp;$A36&amp;"-3",計算用!$AN$2:$AN$186,0)),""))</f>
        <v/>
      </c>
      <c r="M36">
        <f>IF($A36="","",IFERROR(INDEX(計算用!$D$2:$D$186,MATCH("男"&amp;$A36&amp;"-4",計算用!$AN$2:$AN$186,0)),""))</f>
        <v/>
      </c>
      <c r="N36" s="26">
        <f>IF($A36="","",IFERROR(INDEX(計算用!$M$2:$M$186,MATCH("男"&amp;$A36&amp;"-4",計算用!$AN$2:$AN$186,0)),""))</f>
        <v/>
      </c>
      <c r="O36" s="26">
        <f>IF($A36="","",IFERROR(INDEX(計算用!$I$2:$I$186,MATCH("男"&amp;$A36&amp;"-4",計算用!$AN$2:$AN$186,0)),""))</f>
        <v/>
      </c>
      <c r="Q36" s="26">
        <f>IF(ROW()-3&lt;=計算用!$Q$11,ROW()-3,"")</f>
        <v/>
      </c>
      <c r="R36" s="26">
        <f>IF($Q36="","",INDEX(計算用!$AC$2:$AC$51,$Q36))</f>
        <v/>
      </c>
      <c r="S36" s="26">
        <f>IF($Q36="","","赤"&amp;INDEX(計算用!$AF$2:$AF$51,$Q36)&amp;"白"&amp;INDEX(計算用!$AG$2:$AG$51,$Q36))</f>
        <v/>
      </c>
      <c r="T36">
        <f>IF($Q36="","",IFERROR(INDEX(計算用!$D$2:$D$186,MATCH("女"&amp;$Q36&amp;"-1",計算用!$AN$2:$AN$186,0)),""))</f>
        <v/>
      </c>
      <c r="U36" s="26">
        <f>IF($Q36="","",IFERROR(INDEX(計算用!$M$2:$M$186,MATCH("女"&amp;$Q36&amp;"-1",計算用!$AN$2:$AN$186,0)),""))</f>
        <v/>
      </c>
      <c r="V36" s="26">
        <f>IF($Q36="","",IFERROR(INDEX(計算用!$I$2:$I$186,MATCH("女"&amp;$Q36&amp;"-1",計算用!$AN$2:$AN$186,0)),""))</f>
        <v/>
      </c>
      <c r="W36">
        <f>IF($Q36="","",IFERROR(INDEX(計算用!$D$2:$D$186,MATCH("女"&amp;$Q36&amp;"-2",計算用!$AN$2:$AN$186,0)),""))</f>
        <v/>
      </c>
      <c r="X36" s="26">
        <f>IF($Q36="","",IFERROR(INDEX(計算用!$M$2:$M$186,MATCH("女"&amp;$Q36&amp;"-2",計算用!$AN$2:$AN$186,0)),""))</f>
        <v/>
      </c>
      <c r="Y36" s="26">
        <f>IF($Q36="","",IFERROR(INDEX(計算用!$I$2:$I$186,MATCH("女"&amp;$Q36&amp;"-2",計算用!$AN$2:$AN$186,0)),""))</f>
        <v/>
      </c>
      <c r="Z36">
        <f>IF($Q36="","",IFERROR(INDEX(計算用!$D$2:$D$186,MATCH("女"&amp;$Q36&amp;"-3",計算用!$AN$2:$AN$186,0)),""))</f>
        <v/>
      </c>
      <c r="AA36" s="26">
        <f>IF($Q36="","",IFERROR(INDEX(計算用!$M$2:$M$186,MATCH("女"&amp;$Q36&amp;"-3",計算用!$AN$2:$AN$186,0)),""))</f>
        <v/>
      </c>
      <c r="AB36" s="26">
        <f>IF($Q36="","",IFERROR(INDEX(計算用!$I$2:$I$186,MATCH("女"&amp;$Q36&amp;"-3",計算用!$AN$2:$AN$186,0)),""))</f>
        <v/>
      </c>
      <c r="AC36">
        <f>IF($Q36="","",IFERROR(INDEX(計算用!$D$2:$D$186,MATCH("女"&amp;$Q36&amp;"-4",計算用!$AN$2:$AN$186,0)),""))</f>
        <v/>
      </c>
      <c r="AD36" s="26">
        <f>IF($Q36="","",IFERROR(INDEX(計算用!$M$2:$M$186,MATCH("女"&amp;$Q36&amp;"-4",計算用!$AN$2:$AN$186,0)),""))</f>
        <v/>
      </c>
      <c r="AE36" s="26">
        <f>IF($Q36="","",IFERROR(INDEX(計算用!$I$2:$I$186,MATCH("女"&amp;$Q36&amp;"-4",計算用!$AN$2:$AN$186,0)),""))</f>
        <v/>
      </c>
    </row>
    <row r="37">
      <c r="A37" s="26">
        <f>IF(ROW()-3&lt;=計算用!$Q$9,ROW()-3,"")</f>
        <v/>
      </c>
      <c r="B37" s="26">
        <f>IF($A37="","",INDEX(計算用!$T$2:$T$51,$A37))</f>
        <v/>
      </c>
      <c r="C37" s="26">
        <f>IF($A37="","","赤"&amp;INDEX(計算用!$W$2:$W$51,$A37)&amp;"白"&amp;INDEX(計算用!$X$2:$X$51,$A37))</f>
        <v/>
      </c>
      <c r="D37">
        <f>IF($A37="","",IFERROR(INDEX(計算用!$D$2:$D$186,MATCH("男"&amp;$A37&amp;"-1",計算用!$AN$2:$AN$186,0)),""))</f>
        <v/>
      </c>
      <c r="E37" s="26">
        <f>IF($A37="","",IFERROR(INDEX(計算用!$M$2:$M$186,MATCH("男"&amp;$A37&amp;"-1",計算用!$AN$2:$AN$186,0)),""))</f>
        <v/>
      </c>
      <c r="F37" s="26">
        <f>IF($A37="","",IFERROR(INDEX(計算用!$I$2:$I$186,MATCH("男"&amp;$A37&amp;"-1",計算用!$AN$2:$AN$186,0)),""))</f>
        <v/>
      </c>
      <c r="G37">
        <f>IF($A37="","",IFERROR(INDEX(計算用!$D$2:$D$186,MATCH("男"&amp;$A37&amp;"-2",計算用!$AN$2:$AN$186,0)),""))</f>
        <v/>
      </c>
      <c r="H37" s="26">
        <f>IF($A37="","",IFERROR(INDEX(計算用!$M$2:$M$186,MATCH("男"&amp;$A37&amp;"-2",計算用!$AN$2:$AN$186,0)),""))</f>
        <v/>
      </c>
      <c r="I37" s="26">
        <f>IF($A37="","",IFERROR(INDEX(計算用!$I$2:$I$186,MATCH("男"&amp;$A37&amp;"-2",計算用!$AN$2:$AN$186,0)),""))</f>
        <v/>
      </c>
      <c r="J37">
        <f>IF($A37="","",IFERROR(INDEX(計算用!$D$2:$D$186,MATCH("男"&amp;$A37&amp;"-3",計算用!$AN$2:$AN$186,0)),""))</f>
        <v/>
      </c>
      <c r="K37" s="26">
        <f>IF($A37="","",IFERROR(INDEX(計算用!$M$2:$M$186,MATCH("男"&amp;$A37&amp;"-3",計算用!$AN$2:$AN$186,0)),""))</f>
        <v/>
      </c>
      <c r="L37" s="26">
        <f>IF($A37="","",IFERROR(INDEX(計算用!$I$2:$I$186,MATCH("男"&amp;$A37&amp;"-3",計算用!$AN$2:$AN$186,0)),""))</f>
        <v/>
      </c>
      <c r="M37">
        <f>IF($A37="","",IFERROR(INDEX(計算用!$D$2:$D$186,MATCH("男"&amp;$A37&amp;"-4",計算用!$AN$2:$AN$186,0)),""))</f>
        <v/>
      </c>
      <c r="N37" s="26">
        <f>IF($A37="","",IFERROR(INDEX(計算用!$M$2:$M$186,MATCH("男"&amp;$A37&amp;"-4",計算用!$AN$2:$AN$186,0)),""))</f>
        <v/>
      </c>
      <c r="O37" s="26">
        <f>IF($A37="","",IFERROR(INDEX(計算用!$I$2:$I$186,MATCH("男"&amp;$A37&amp;"-4",計算用!$AN$2:$AN$186,0)),""))</f>
        <v/>
      </c>
      <c r="Q37" s="26">
        <f>IF(ROW()-3&lt;=計算用!$Q$11,ROW()-3,"")</f>
        <v/>
      </c>
      <c r="R37" s="26">
        <f>IF($Q37="","",INDEX(計算用!$AC$2:$AC$51,$Q37))</f>
        <v/>
      </c>
      <c r="S37" s="26">
        <f>IF($Q37="","","赤"&amp;INDEX(計算用!$AF$2:$AF$51,$Q37)&amp;"白"&amp;INDEX(計算用!$AG$2:$AG$51,$Q37))</f>
        <v/>
      </c>
      <c r="T37">
        <f>IF($Q37="","",IFERROR(INDEX(計算用!$D$2:$D$186,MATCH("女"&amp;$Q37&amp;"-1",計算用!$AN$2:$AN$186,0)),""))</f>
        <v/>
      </c>
      <c r="U37" s="26">
        <f>IF($Q37="","",IFERROR(INDEX(計算用!$M$2:$M$186,MATCH("女"&amp;$Q37&amp;"-1",計算用!$AN$2:$AN$186,0)),""))</f>
        <v/>
      </c>
      <c r="V37" s="26">
        <f>IF($Q37="","",IFERROR(INDEX(計算用!$I$2:$I$186,MATCH("女"&amp;$Q37&amp;"-1",計算用!$AN$2:$AN$186,0)),""))</f>
        <v/>
      </c>
      <c r="W37">
        <f>IF($Q37="","",IFERROR(INDEX(計算用!$D$2:$D$186,MATCH("女"&amp;$Q37&amp;"-2",計算用!$AN$2:$AN$186,0)),""))</f>
        <v/>
      </c>
      <c r="X37" s="26">
        <f>IF($Q37="","",IFERROR(INDEX(計算用!$M$2:$M$186,MATCH("女"&amp;$Q37&amp;"-2",計算用!$AN$2:$AN$186,0)),""))</f>
        <v/>
      </c>
      <c r="Y37" s="26">
        <f>IF($Q37="","",IFERROR(INDEX(計算用!$I$2:$I$186,MATCH("女"&amp;$Q37&amp;"-2",計算用!$AN$2:$AN$186,0)),""))</f>
        <v/>
      </c>
      <c r="Z37">
        <f>IF($Q37="","",IFERROR(INDEX(計算用!$D$2:$D$186,MATCH("女"&amp;$Q37&amp;"-3",計算用!$AN$2:$AN$186,0)),""))</f>
        <v/>
      </c>
      <c r="AA37" s="26">
        <f>IF($Q37="","",IFERROR(INDEX(計算用!$M$2:$M$186,MATCH("女"&amp;$Q37&amp;"-3",計算用!$AN$2:$AN$186,0)),""))</f>
        <v/>
      </c>
      <c r="AB37" s="26">
        <f>IF($Q37="","",IFERROR(INDEX(計算用!$I$2:$I$186,MATCH("女"&amp;$Q37&amp;"-3",計算用!$AN$2:$AN$186,0)),""))</f>
        <v/>
      </c>
      <c r="AC37">
        <f>IF($Q37="","",IFERROR(INDEX(計算用!$D$2:$D$186,MATCH("女"&amp;$Q37&amp;"-4",計算用!$AN$2:$AN$186,0)),""))</f>
        <v/>
      </c>
      <c r="AD37" s="26">
        <f>IF($Q37="","",IFERROR(INDEX(計算用!$M$2:$M$186,MATCH("女"&amp;$Q37&amp;"-4",計算用!$AN$2:$AN$186,0)),""))</f>
        <v/>
      </c>
      <c r="AE37" s="26">
        <f>IF($Q37="","",IFERROR(INDEX(計算用!$I$2:$I$186,MATCH("女"&amp;$Q37&amp;"-4",計算用!$AN$2:$AN$186,0)),""))</f>
        <v/>
      </c>
    </row>
    <row r="38">
      <c r="A38" s="26">
        <f>IF(ROW()-3&lt;=計算用!$Q$9,ROW()-3,"")</f>
        <v/>
      </c>
      <c r="B38" s="26">
        <f>IF($A38="","",INDEX(計算用!$T$2:$T$51,$A38))</f>
        <v/>
      </c>
      <c r="C38" s="26">
        <f>IF($A38="","","赤"&amp;INDEX(計算用!$W$2:$W$51,$A38)&amp;"白"&amp;INDEX(計算用!$X$2:$X$51,$A38))</f>
        <v/>
      </c>
      <c r="D38">
        <f>IF($A38="","",IFERROR(INDEX(計算用!$D$2:$D$186,MATCH("男"&amp;$A38&amp;"-1",計算用!$AN$2:$AN$186,0)),""))</f>
        <v/>
      </c>
      <c r="E38" s="26">
        <f>IF($A38="","",IFERROR(INDEX(計算用!$M$2:$M$186,MATCH("男"&amp;$A38&amp;"-1",計算用!$AN$2:$AN$186,0)),""))</f>
        <v/>
      </c>
      <c r="F38" s="26">
        <f>IF($A38="","",IFERROR(INDEX(計算用!$I$2:$I$186,MATCH("男"&amp;$A38&amp;"-1",計算用!$AN$2:$AN$186,0)),""))</f>
        <v/>
      </c>
      <c r="G38">
        <f>IF($A38="","",IFERROR(INDEX(計算用!$D$2:$D$186,MATCH("男"&amp;$A38&amp;"-2",計算用!$AN$2:$AN$186,0)),""))</f>
        <v/>
      </c>
      <c r="H38" s="26">
        <f>IF($A38="","",IFERROR(INDEX(計算用!$M$2:$M$186,MATCH("男"&amp;$A38&amp;"-2",計算用!$AN$2:$AN$186,0)),""))</f>
        <v/>
      </c>
      <c r="I38" s="26">
        <f>IF($A38="","",IFERROR(INDEX(計算用!$I$2:$I$186,MATCH("男"&amp;$A38&amp;"-2",計算用!$AN$2:$AN$186,0)),""))</f>
        <v/>
      </c>
      <c r="J38">
        <f>IF($A38="","",IFERROR(INDEX(計算用!$D$2:$D$186,MATCH("男"&amp;$A38&amp;"-3",計算用!$AN$2:$AN$186,0)),""))</f>
        <v/>
      </c>
      <c r="K38" s="26">
        <f>IF($A38="","",IFERROR(INDEX(計算用!$M$2:$M$186,MATCH("男"&amp;$A38&amp;"-3",計算用!$AN$2:$AN$186,0)),""))</f>
        <v/>
      </c>
      <c r="L38" s="26">
        <f>IF($A38="","",IFERROR(INDEX(計算用!$I$2:$I$186,MATCH("男"&amp;$A38&amp;"-3",計算用!$AN$2:$AN$186,0)),""))</f>
        <v/>
      </c>
      <c r="M38">
        <f>IF($A38="","",IFERROR(INDEX(計算用!$D$2:$D$186,MATCH("男"&amp;$A38&amp;"-4",計算用!$AN$2:$AN$186,0)),""))</f>
        <v/>
      </c>
      <c r="N38" s="26">
        <f>IF($A38="","",IFERROR(INDEX(計算用!$M$2:$M$186,MATCH("男"&amp;$A38&amp;"-4",計算用!$AN$2:$AN$186,0)),""))</f>
        <v/>
      </c>
      <c r="O38" s="26">
        <f>IF($A38="","",IFERROR(INDEX(計算用!$I$2:$I$186,MATCH("男"&amp;$A38&amp;"-4",計算用!$AN$2:$AN$186,0)),""))</f>
        <v/>
      </c>
      <c r="Q38" s="26">
        <f>IF(ROW()-3&lt;=計算用!$Q$11,ROW()-3,"")</f>
        <v/>
      </c>
      <c r="R38" s="26">
        <f>IF($Q38="","",INDEX(計算用!$AC$2:$AC$51,$Q38))</f>
        <v/>
      </c>
      <c r="S38" s="26">
        <f>IF($Q38="","","赤"&amp;INDEX(計算用!$AF$2:$AF$51,$Q38)&amp;"白"&amp;INDEX(計算用!$AG$2:$AG$51,$Q38))</f>
        <v/>
      </c>
      <c r="T38">
        <f>IF($Q38="","",IFERROR(INDEX(計算用!$D$2:$D$186,MATCH("女"&amp;$Q38&amp;"-1",計算用!$AN$2:$AN$186,0)),""))</f>
        <v/>
      </c>
      <c r="U38" s="26">
        <f>IF($Q38="","",IFERROR(INDEX(計算用!$M$2:$M$186,MATCH("女"&amp;$Q38&amp;"-1",計算用!$AN$2:$AN$186,0)),""))</f>
        <v/>
      </c>
      <c r="V38" s="26">
        <f>IF($Q38="","",IFERROR(INDEX(計算用!$I$2:$I$186,MATCH("女"&amp;$Q38&amp;"-1",計算用!$AN$2:$AN$186,0)),""))</f>
        <v/>
      </c>
      <c r="W38">
        <f>IF($Q38="","",IFERROR(INDEX(計算用!$D$2:$D$186,MATCH("女"&amp;$Q38&amp;"-2",計算用!$AN$2:$AN$186,0)),""))</f>
        <v/>
      </c>
      <c r="X38" s="26">
        <f>IF($Q38="","",IFERROR(INDEX(計算用!$M$2:$M$186,MATCH("女"&amp;$Q38&amp;"-2",計算用!$AN$2:$AN$186,0)),""))</f>
        <v/>
      </c>
      <c r="Y38" s="26">
        <f>IF($Q38="","",IFERROR(INDEX(計算用!$I$2:$I$186,MATCH("女"&amp;$Q38&amp;"-2",計算用!$AN$2:$AN$186,0)),""))</f>
        <v/>
      </c>
      <c r="Z38">
        <f>IF($Q38="","",IFERROR(INDEX(計算用!$D$2:$D$186,MATCH("女"&amp;$Q38&amp;"-3",計算用!$AN$2:$AN$186,0)),""))</f>
        <v/>
      </c>
      <c r="AA38" s="26">
        <f>IF($Q38="","",IFERROR(INDEX(計算用!$M$2:$M$186,MATCH("女"&amp;$Q38&amp;"-3",計算用!$AN$2:$AN$186,0)),""))</f>
        <v/>
      </c>
      <c r="AB38" s="26">
        <f>IF($Q38="","",IFERROR(INDEX(計算用!$I$2:$I$186,MATCH("女"&amp;$Q38&amp;"-3",計算用!$AN$2:$AN$186,0)),""))</f>
        <v/>
      </c>
      <c r="AC38">
        <f>IF($Q38="","",IFERROR(INDEX(計算用!$D$2:$D$186,MATCH("女"&amp;$Q38&amp;"-4",計算用!$AN$2:$AN$186,0)),""))</f>
        <v/>
      </c>
      <c r="AD38" s="26">
        <f>IF($Q38="","",IFERROR(INDEX(計算用!$M$2:$M$186,MATCH("女"&amp;$Q38&amp;"-4",計算用!$AN$2:$AN$186,0)),""))</f>
        <v/>
      </c>
      <c r="AE38" s="26">
        <f>IF($Q38="","",IFERROR(INDEX(計算用!$I$2:$I$186,MATCH("女"&amp;$Q38&amp;"-4",計算用!$AN$2:$AN$186,0)),""))</f>
        <v/>
      </c>
    </row>
    <row r="39">
      <c r="A39" s="26">
        <f>IF(ROW()-3&lt;=計算用!$Q$9,ROW()-3,"")</f>
        <v/>
      </c>
      <c r="B39" s="26">
        <f>IF($A39="","",INDEX(計算用!$T$2:$T$51,$A39))</f>
        <v/>
      </c>
      <c r="C39" s="26">
        <f>IF($A39="","","赤"&amp;INDEX(計算用!$W$2:$W$51,$A39)&amp;"白"&amp;INDEX(計算用!$X$2:$X$51,$A39))</f>
        <v/>
      </c>
      <c r="D39">
        <f>IF($A39="","",IFERROR(INDEX(計算用!$D$2:$D$186,MATCH("男"&amp;$A39&amp;"-1",計算用!$AN$2:$AN$186,0)),""))</f>
        <v/>
      </c>
      <c r="E39" s="26">
        <f>IF($A39="","",IFERROR(INDEX(計算用!$M$2:$M$186,MATCH("男"&amp;$A39&amp;"-1",計算用!$AN$2:$AN$186,0)),""))</f>
        <v/>
      </c>
      <c r="F39" s="26">
        <f>IF($A39="","",IFERROR(INDEX(計算用!$I$2:$I$186,MATCH("男"&amp;$A39&amp;"-1",計算用!$AN$2:$AN$186,0)),""))</f>
        <v/>
      </c>
      <c r="G39">
        <f>IF($A39="","",IFERROR(INDEX(計算用!$D$2:$D$186,MATCH("男"&amp;$A39&amp;"-2",計算用!$AN$2:$AN$186,0)),""))</f>
        <v/>
      </c>
      <c r="H39" s="26">
        <f>IF($A39="","",IFERROR(INDEX(計算用!$M$2:$M$186,MATCH("男"&amp;$A39&amp;"-2",計算用!$AN$2:$AN$186,0)),""))</f>
        <v/>
      </c>
      <c r="I39" s="26">
        <f>IF($A39="","",IFERROR(INDEX(計算用!$I$2:$I$186,MATCH("男"&amp;$A39&amp;"-2",計算用!$AN$2:$AN$186,0)),""))</f>
        <v/>
      </c>
      <c r="J39">
        <f>IF($A39="","",IFERROR(INDEX(計算用!$D$2:$D$186,MATCH("男"&amp;$A39&amp;"-3",計算用!$AN$2:$AN$186,0)),""))</f>
        <v/>
      </c>
      <c r="K39" s="26">
        <f>IF($A39="","",IFERROR(INDEX(計算用!$M$2:$M$186,MATCH("男"&amp;$A39&amp;"-3",計算用!$AN$2:$AN$186,0)),""))</f>
        <v/>
      </c>
      <c r="L39" s="26">
        <f>IF($A39="","",IFERROR(INDEX(計算用!$I$2:$I$186,MATCH("男"&amp;$A39&amp;"-3",計算用!$AN$2:$AN$186,0)),""))</f>
        <v/>
      </c>
      <c r="M39">
        <f>IF($A39="","",IFERROR(INDEX(計算用!$D$2:$D$186,MATCH("男"&amp;$A39&amp;"-4",計算用!$AN$2:$AN$186,0)),""))</f>
        <v/>
      </c>
      <c r="N39" s="26">
        <f>IF($A39="","",IFERROR(INDEX(計算用!$M$2:$M$186,MATCH("男"&amp;$A39&amp;"-4",計算用!$AN$2:$AN$186,0)),""))</f>
        <v/>
      </c>
      <c r="O39" s="26">
        <f>IF($A39="","",IFERROR(INDEX(計算用!$I$2:$I$186,MATCH("男"&amp;$A39&amp;"-4",計算用!$AN$2:$AN$186,0)),""))</f>
        <v/>
      </c>
      <c r="Q39" s="26">
        <f>IF(ROW()-3&lt;=計算用!$Q$11,ROW()-3,"")</f>
        <v/>
      </c>
      <c r="R39" s="26">
        <f>IF($Q39="","",INDEX(計算用!$AC$2:$AC$51,$Q39))</f>
        <v/>
      </c>
      <c r="S39" s="26">
        <f>IF($Q39="","","赤"&amp;INDEX(計算用!$AF$2:$AF$51,$Q39)&amp;"白"&amp;INDEX(計算用!$AG$2:$AG$51,$Q39))</f>
        <v/>
      </c>
      <c r="T39">
        <f>IF($Q39="","",IFERROR(INDEX(計算用!$D$2:$D$186,MATCH("女"&amp;$Q39&amp;"-1",計算用!$AN$2:$AN$186,0)),""))</f>
        <v/>
      </c>
      <c r="U39" s="26">
        <f>IF($Q39="","",IFERROR(INDEX(計算用!$M$2:$M$186,MATCH("女"&amp;$Q39&amp;"-1",計算用!$AN$2:$AN$186,0)),""))</f>
        <v/>
      </c>
      <c r="V39" s="26">
        <f>IF($Q39="","",IFERROR(INDEX(計算用!$I$2:$I$186,MATCH("女"&amp;$Q39&amp;"-1",計算用!$AN$2:$AN$186,0)),""))</f>
        <v/>
      </c>
      <c r="W39">
        <f>IF($Q39="","",IFERROR(INDEX(計算用!$D$2:$D$186,MATCH("女"&amp;$Q39&amp;"-2",計算用!$AN$2:$AN$186,0)),""))</f>
        <v/>
      </c>
      <c r="X39" s="26">
        <f>IF($Q39="","",IFERROR(INDEX(計算用!$M$2:$M$186,MATCH("女"&amp;$Q39&amp;"-2",計算用!$AN$2:$AN$186,0)),""))</f>
        <v/>
      </c>
      <c r="Y39" s="26">
        <f>IF($Q39="","",IFERROR(INDEX(計算用!$I$2:$I$186,MATCH("女"&amp;$Q39&amp;"-2",計算用!$AN$2:$AN$186,0)),""))</f>
        <v/>
      </c>
      <c r="Z39">
        <f>IF($Q39="","",IFERROR(INDEX(計算用!$D$2:$D$186,MATCH("女"&amp;$Q39&amp;"-3",計算用!$AN$2:$AN$186,0)),""))</f>
        <v/>
      </c>
      <c r="AA39" s="26">
        <f>IF($Q39="","",IFERROR(INDEX(計算用!$M$2:$M$186,MATCH("女"&amp;$Q39&amp;"-3",計算用!$AN$2:$AN$186,0)),""))</f>
        <v/>
      </c>
      <c r="AB39" s="26">
        <f>IF($Q39="","",IFERROR(INDEX(計算用!$I$2:$I$186,MATCH("女"&amp;$Q39&amp;"-3",計算用!$AN$2:$AN$186,0)),""))</f>
        <v/>
      </c>
      <c r="AC39">
        <f>IF($Q39="","",IFERROR(INDEX(計算用!$D$2:$D$186,MATCH("女"&amp;$Q39&amp;"-4",計算用!$AN$2:$AN$186,0)),""))</f>
        <v/>
      </c>
      <c r="AD39" s="26">
        <f>IF($Q39="","",IFERROR(INDEX(計算用!$M$2:$M$186,MATCH("女"&amp;$Q39&amp;"-4",計算用!$AN$2:$AN$186,0)),""))</f>
        <v/>
      </c>
      <c r="AE39" s="26">
        <f>IF($Q39="","",IFERROR(INDEX(計算用!$I$2:$I$186,MATCH("女"&amp;$Q39&amp;"-4",計算用!$AN$2:$AN$186,0)),""))</f>
        <v/>
      </c>
    </row>
    <row r="40">
      <c r="A40" s="26">
        <f>IF(ROW()-3&lt;=計算用!$Q$9,ROW()-3,"")</f>
        <v/>
      </c>
      <c r="B40" s="26">
        <f>IF($A40="","",INDEX(計算用!$T$2:$T$51,$A40))</f>
        <v/>
      </c>
      <c r="C40" s="26">
        <f>IF($A40="","","赤"&amp;INDEX(計算用!$W$2:$W$51,$A40)&amp;"白"&amp;INDEX(計算用!$X$2:$X$51,$A40))</f>
        <v/>
      </c>
      <c r="D40">
        <f>IF($A40="","",IFERROR(INDEX(計算用!$D$2:$D$186,MATCH("男"&amp;$A40&amp;"-1",計算用!$AN$2:$AN$186,0)),""))</f>
        <v/>
      </c>
      <c r="E40" s="26">
        <f>IF($A40="","",IFERROR(INDEX(計算用!$M$2:$M$186,MATCH("男"&amp;$A40&amp;"-1",計算用!$AN$2:$AN$186,0)),""))</f>
        <v/>
      </c>
      <c r="F40" s="26">
        <f>IF($A40="","",IFERROR(INDEX(計算用!$I$2:$I$186,MATCH("男"&amp;$A40&amp;"-1",計算用!$AN$2:$AN$186,0)),""))</f>
        <v/>
      </c>
      <c r="G40">
        <f>IF($A40="","",IFERROR(INDEX(計算用!$D$2:$D$186,MATCH("男"&amp;$A40&amp;"-2",計算用!$AN$2:$AN$186,0)),""))</f>
        <v/>
      </c>
      <c r="H40" s="26">
        <f>IF($A40="","",IFERROR(INDEX(計算用!$M$2:$M$186,MATCH("男"&amp;$A40&amp;"-2",計算用!$AN$2:$AN$186,0)),""))</f>
        <v/>
      </c>
      <c r="I40" s="26">
        <f>IF($A40="","",IFERROR(INDEX(計算用!$I$2:$I$186,MATCH("男"&amp;$A40&amp;"-2",計算用!$AN$2:$AN$186,0)),""))</f>
        <v/>
      </c>
      <c r="J40">
        <f>IF($A40="","",IFERROR(INDEX(計算用!$D$2:$D$186,MATCH("男"&amp;$A40&amp;"-3",計算用!$AN$2:$AN$186,0)),""))</f>
        <v/>
      </c>
      <c r="K40" s="26">
        <f>IF($A40="","",IFERROR(INDEX(計算用!$M$2:$M$186,MATCH("男"&amp;$A40&amp;"-3",計算用!$AN$2:$AN$186,0)),""))</f>
        <v/>
      </c>
      <c r="L40" s="26">
        <f>IF($A40="","",IFERROR(INDEX(計算用!$I$2:$I$186,MATCH("男"&amp;$A40&amp;"-3",計算用!$AN$2:$AN$186,0)),""))</f>
        <v/>
      </c>
      <c r="M40">
        <f>IF($A40="","",IFERROR(INDEX(計算用!$D$2:$D$186,MATCH("男"&amp;$A40&amp;"-4",計算用!$AN$2:$AN$186,0)),""))</f>
        <v/>
      </c>
      <c r="N40" s="26">
        <f>IF($A40="","",IFERROR(INDEX(計算用!$M$2:$M$186,MATCH("男"&amp;$A40&amp;"-4",計算用!$AN$2:$AN$186,0)),""))</f>
        <v/>
      </c>
      <c r="O40" s="26">
        <f>IF($A40="","",IFERROR(INDEX(計算用!$I$2:$I$186,MATCH("男"&amp;$A40&amp;"-4",計算用!$AN$2:$AN$186,0)),""))</f>
        <v/>
      </c>
      <c r="Q40" s="26">
        <f>IF(ROW()-3&lt;=計算用!$Q$11,ROW()-3,"")</f>
        <v/>
      </c>
      <c r="R40" s="26">
        <f>IF($Q40="","",INDEX(計算用!$AC$2:$AC$51,$Q40))</f>
        <v/>
      </c>
      <c r="S40" s="26">
        <f>IF($Q40="","","赤"&amp;INDEX(計算用!$AF$2:$AF$51,$Q40)&amp;"白"&amp;INDEX(計算用!$AG$2:$AG$51,$Q40))</f>
        <v/>
      </c>
      <c r="T40">
        <f>IF($Q40="","",IFERROR(INDEX(計算用!$D$2:$D$186,MATCH("女"&amp;$Q40&amp;"-1",計算用!$AN$2:$AN$186,0)),""))</f>
        <v/>
      </c>
      <c r="U40" s="26">
        <f>IF($Q40="","",IFERROR(INDEX(計算用!$M$2:$M$186,MATCH("女"&amp;$Q40&amp;"-1",計算用!$AN$2:$AN$186,0)),""))</f>
        <v/>
      </c>
      <c r="V40" s="26">
        <f>IF($Q40="","",IFERROR(INDEX(計算用!$I$2:$I$186,MATCH("女"&amp;$Q40&amp;"-1",計算用!$AN$2:$AN$186,0)),""))</f>
        <v/>
      </c>
      <c r="W40">
        <f>IF($Q40="","",IFERROR(INDEX(計算用!$D$2:$D$186,MATCH("女"&amp;$Q40&amp;"-2",計算用!$AN$2:$AN$186,0)),""))</f>
        <v/>
      </c>
      <c r="X40" s="26">
        <f>IF($Q40="","",IFERROR(INDEX(計算用!$M$2:$M$186,MATCH("女"&amp;$Q40&amp;"-2",計算用!$AN$2:$AN$186,0)),""))</f>
        <v/>
      </c>
      <c r="Y40" s="26">
        <f>IF($Q40="","",IFERROR(INDEX(計算用!$I$2:$I$186,MATCH("女"&amp;$Q40&amp;"-2",計算用!$AN$2:$AN$186,0)),""))</f>
        <v/>
      </c>
      <c r="Z40">
        <f>IF($Q40="","",IFERROR(INDEX(計算用!$D$2:$D$186,MATCH("女"&amp;$Q40&amp;"-3",計算用!$AN$2:$AN$186,0)),""))</f>
        <v/>
      </c>
      <c r="AA40" s="26">
        <f>IF($Q40="","",IFERROR(INDEX(計算用!$M$2:$M$186,MATCH("女"&amp;$Q40&amp;"-3",計算用!$AN$2:$AN$186,0)),""))</f>
        <v/>
      </c>
      <c r="AB40" s="26">
        <f>IF($Q40="","",IFERROR(INDEX(計算用!$I$2:$I$186,MATCH("女"&amp;$Q40&amp;"-3",計算用!$AN$2:$AN$186,0)),""))</f>
        <v/>
      </c>
      <c r="AC40">
        <f>IF($Q40="","",IFERROR(INDEX(計算用!$D$2:$D$186,MATCH("女"&amp;$Q40&amp;"-4",計算用!$AN$2:$AN$186,0)),""))</f>
        <v/>
      </c>
      <c r="AD40" s="26">
        <f>IF($Q40="","",IFERROR(INDEX(計算用!$M$2:$M$186,MATCH("女"&amp;$Q40&amp;"-4",計算用!$AN$2:$AN$186,0)),""))</f>
        <v/>
      </c>
      <c r="AE40" s="26">
        <f>IF($Q40="","",IFERROR(INDEX(計算用!$I$2:$I$186,MATCH("女"&amp;$Q40&amp;"-4",計算用!$AN$2:$AN$186,0)),""))</f>
        <v/>
      </c>
    </row>
    <row r="41">
      <c r="A41" s="26">
        <f>IF(ROW()-3&lt;=計算用!$Q$9,ROW()-3,"")</f>
        <v/>
      </c>
      <c r="B41" s="26">
        <f>IF($A41="","",INDEX(計算用!$T$2:$T$51,$A41))</f>
        <v/>
      </c>
      <c r="C41" s="26">
        <f>IF($A41="","","赤"&amp;INDEX(計算用!$W$2:$W$51,$A41)&amp;"白"&amp;INDEX(計算用!$X$2:$X$51,$A41))</f>
        <v/>
      </c>
      <c r="D41">
        <f>IF($A41="","",IFERROR(INDEX(計算用!$D$2:$D$186,MATCH("男"&amp;$A41&amp;"-1",計算用!$AN$2:$AN$186,0)),""))</f>
        <v/>
      </c>
      <c r="E41" s="26">
        <f>IF($A41="","",IFERROR(INDEX(計算用!$M$2:$M$186,MATCH("男"&amp;$A41&amp;"-1",計算用!$AN$2:$AN$186,0)),""))</f>
        <v/>
      </c>
      <c r="F41" s="26">
        <f>IF($A41="","",IFERROR(INDEX(計算用!$I$2:$I$186,MATCH("男"&amp;$A41&amp;"-1",計算用!$AN$2:$AN$186,0)),""))</f>
        <v/>
      </c>
      <c r="G41">
        <f>IF($A41="","",IFERROR(INDEX(計算用!$D$2:$D$186,MATCH("男"&amp;$A41&amp;"-2",計算用!$AN$2:$AN$186,0)),""))</f>
        <v/>
      </c>
      <c r="H41" s="26">
        <f>IF($A41="","",IFERROR(INDEX(計算用!$M$2:$M$186,MATCH("男"&amp;$A41&amp;"-2",計算用!$AN$2:$AN$186,0)),""))</f>
        <v/>
      </c>
      <c r="I41" s="26">
        <f>IF($A41="","",IFERROR(INDEX(計算用!$I$2:$I$186,MATCH("男"&amp;$A41&amp;"-2",計算用!$AN$2:$AN$186,0)),""))</f>
        <v/>
      </c>
      <c r="J41">
        <f>IF($A41="","",IFERROR(INDEX(計算用!$D$2:$D$186,MATCH("男"&amp;$A41&amp;"-3",計算用!$AN$2:$AN$186,0)),""))</f>
        <v/>
      </c>
      <c r="K41" s="26">
        <f>IF($A41="","",IFERROR(INDEX(計算用!$M$2:$M$186,MATCH("男"&amp;$A41&amp;"-3",計算用!$AN$2:$AN$186,0)),""))</f>
        <v/>
      </c>
      <c r="L41" s="26">
        <f>IF($A41="","",IFERROR(INDEX(計算用!$I$2:$I$186,MATCH("男"&amp;$A41&amp;"-3",計算用!$AN$2:$AN$186,0)),""))</f>
        <v/>
      </c>
      <c r="M41">
        <f>IF($A41="","",IFERROR(INDEX(計算用!$D$2:$D$186,MATCH("男"&amp;$A41&amp;"-4",計算用!$AN$2:$AN$186,0)),""))</f>
        <v/>
      </c>
      <c r="N41" s="26">
        <f>IF($A41="","",IFERROR(INDEX(計算用!$M$2:$M$186,MATCH("男"&amp;$A41&amp;"-4",計算用!$AN$2:$AN$186,0)),""))</f>
        <v/>
      </c>
      <c r="O41" s="26">
        <f>IF($A41="","",IFERROR(INDEX(計算用!$I$2:$I$186,MATCH("男"&amp;$A41&amp;"-4",計算用!$AN$2:$AN$186,0)),""))</f>
        <v/>
      </c>
      <c r="Q41" s="26">
        <f>IF(ROW()-3&lt;=計算用!$Q$11,ROW()-3,"")</f>
        <v/>
      </c>
      <c r="R41" s="26">
        <f>IF($Q41="","",INDEX(計算用!$AC$2:$AC$51,$Q41))</f>
        <v/>
      </c>
      <c r="S41" s="26">
        <f>IF($Q41="","","赤"&amp;INDEX(計算用!$AF$2:$AF$51,$Q41)&amp;"白"&amp;INDEX(計算用!$AG$2:$AG$51,$Q41))</f>
        <v/>
      </c>
      <c r="T41">
        <f>IF($Q41="","",IFERROR(INDEX(計算用!$D$2:$D$186,MATCH("女"&amp;$Q41&amp;"-1",計算用!$AN$2:$AN$186,0)),""))</f>
        <v/>
      </c>
      <c r="U41" s="26">
        <f>IF($Q41="","",IFERROR(INDEX(計算用!$M$2:$M$186,MATCH("女"&amp;$Q41&amp;"-1",計算用!$AN$2:$AN$186,0)),""))</f>
        <v/>
      </c>
      <c r="V41" s="26">
        <f>IF($Q41="","",IFERROR(INDEX(計算用!$I$2:$I$186,MATCH("女"&amp;$Q41&amp;"-1",計算用!$AN$2:$AN$186,0)),""))</f>
        <v/>
      </c>
      <c r="W41">
        <f>IF($Q41="","",IFERROR(INDEX(計算用!$D$2:$D$186,MATCH("女"&amp;$Q41&amp;"-2",計算用!$AN$2:$AN$186,0)),""))</f>
        <v/>
      </c>
      <c r="X41" s="26">
        <f>IF($Q41="","",IFERROR(INDEX(計算用!$M$2:$M$186,MATCH("女"&amp;$Q41&amp;"-2",計算用!$AN$2:$AN$186,0)),""))</f>
        <v/>
      </c>
      <c r="Y41" s="26">
        <f>IF($Q41="","",IFERROR(INDEX(計算用!$I$2:$I$186,MATCH("女"&amp;$Q41&amp;"-2",計算用!$AN$2:$AN$186,0)),""))</f>
        <v/>
      </c>
      <c r="Z41">
        <f>IF($Q41="","",IFERROR(INDEX(計算用!$D$2:$D$186,MATCH("女"&amp;$Q41&amp;"-3",計算用!$AN$2:$AN$186,0)),""))</f>
        <v/>
      </c>
      <c r="AA41" s="26">
        <f>IF($Q41="","",IFERROR(INDEX(計算用!$M$2:$M$186,MATCH("女"&amp;$Q41&amp;"-3",計算用!$AN$2:$AN$186,0)),""))</f>
        <v/>
      </c>
      <c r="AB41" s="26">
        <f>IF($Q41="","",IFERROR(INDEX(計算用!$I$2:$I$186,MATCH("女"&amp;$Q41&amp;"-3",計算用!$AN$2:$AN$186,0)),""))</f>
        <v/>
      </c>
      <c r="AC41">
        <f>IF($Q41="","",IFERROR(INDEX(計算用!$D$2:$D$186,MATCH("女"&amp;$Q41&amp;"-4",計算用!$AN$2:$AN$186,0)),""))</f>
        <v/>
      </c>
      <c r="AD41" s="26">
        <f>IF($Q41="","",IFERROR(INDEX(計算用!$M$2:$M$186,MATCH("女"&amp;$Q41&amp;"-4",計算用!$AN$2:$AN$186,0)),""))</f>
        <v/>
      </c>
      <c r="AE41" s="26">
        <f>IF($Q41="","",IFERROR(INDEX(計算用!$I$2:$I$186,MATCH("女"&amp;$Q41&amp;"-4",計算用!$AN$2:$AN$186,0)),""))</f>
        <v/>
      </c>
    </row>
    <row r="42">
      <c r="A42" s="26">
        <f>IF(ROW()-3&lt;=計算用!$Q$9,ROW()-3,"")</f>
        <v/>
      </c>
      <c r="B42" s="26">
        <f>IF($A42="","",INDEX(計算用!$T$2:$T$51,$A42))</f>
        <v/>
      </c>
      <c r="C42" s="26">
        <f>IF($A42="","","赤"&amp;INDEX(計算用!$W$2:$W$51,$A42)&amp;"白"&amp;INDEX(計算用!$X$2:$X$51,$A42))</f>
        <v/>
      </c>
      <c r="D42">
        <f>IF($A42="","",IFERROR(INDEX(計算用!$D$2:$D$186,MATCH("男"&amp;$A42&amp;"-1",計算用!$AN$2:$AN$186,0)),""))</f>
        <v/>
      </c>
      <c r="E42" s="26">
        <f>IF($A42="","",IFERROR(INDEX(計算用!$M$2:$M$186,MATCH("男"&amp;$A42&amp;"-1",計算用!$AN$2:$AN$186,0)),""))</f>
        <v/>
      </c>
      <c r="F42" s="26">
        <f>IF($A42="","",IFERROR(INDEX(計算用!$I$2:$I$186,MATCH("男"&amp;$A42&amp;"-1",計算用!$AN$2:$AN$186,0)),""))</f>
        <v/>
      </c>
      <c r="G42">
        <f>IF($A42="","",IFERROR(INDEX(計算用!$D$2:$D$186,MATCH("男"&amp;$A42&amp;"-2",計算用!$AN$2:$AN$186,0)),""))</f>
        <v/>
      </c>
      <c r="H42" s="26">
        <f>IF($A42="","",IFERROR(INDEX(計算用!$M$2:$M$186,MATCH("男"&amp;$A42&amp;"-2",計算用!$AN$2:$AN$186,0)),""))</f>
        <v/>
      </c>
      <c r="I42" s="26">
        <f>IF($A42="","",IFERROR(INDEX(計算用!$I$2:$I$186,MATCH("男"&amp;$A42&amp;"-2",計算用!$AN$2:$AN$186,0)),""))</f>
        <v/>
      </c>
      <c r="J42">
        <f>IF($A42="","",IFERROR(INDEX(計算用!$D$2:$D$186,MATCH("男"&amp;$A42&amp;"-3",計算用!$AN$2:$AN$186,0)),""))</f>
        <v/>
      </c>
      <c r="K42" s="26">
        <f>IF($A42="","",IFERROR(INDEX(計算用!$M$2:$M$186,MATCH("男"&amp;$A42&amp;"-3",計算用!$AN$2:$AN$186,0)),""))</f>
        <v/>
      </c>
      <c r="L42" s="26">
        <f>IF($A42="","",IFERROR(INDEX(計算用!$I$2:$I$186,MATCH("男"&amp;$A42&amp;"-3",計算用!$AN$2:$AN$186,0)),""))</f>
        <v/>
      </c>
      <c r="M42">
        <f>IF($A42="","",IFERROR(INDEX(計算用!$D$2:$D$186,MATCH("男"&amp;$A42&amp;"-4",計算用!$AN$2:$AN$186,0)),""))</f>
        <v/>
      </c>
      <c r="N42" s="26">
        <f>IF($A42="","",IFERROR(INDEX(計算用!$M$2:$M$186,MATCH("男"&amp;$A42&amp;"-4",計算用!$AN$2:$AN$186,0)),""))</f>
        <v/>
      </c>
      <c r="O42" s="26">
        <f>IF($A42="","",IFERROR(INDEX(計算用!$I$2:$I$186,MATCH("男"&amp;$A42&amp;"-4",計算用!$AN$2:$AN$186,0)),""))</f>
        <v/>
      </c>
      <c r="Q42" s="26">
        <f>IF(ROW()-3&lt;=計算用!$Q$11,ROW()-3,"")</f>
        <v/>
      </c>
      <c r="R42" s="26">
        <f>IF($Q42="","",INDEX(計算用!$AC$2:$AC$51,$Q42))</f>
        <v/>
      </c>
      <c r="S42" s="26">
        <f>IF($Q42="","","赤"&amp;INDEX(計算用!$AF$2:$AF$51,$Q42)&amp;"白"&amp;INDEX(計算用!$AG$2:$AG$51,$Q42))</f>
        <v/>
      </c>
      <c r="T42">
        <f>IF($Q42="","",IFERROR(INDEX(計算用!$D$2:$D$186,MATCH("女"&amp;$Q42&amp;"-1",計算用!$AN$2:$AN$186,0)),""))</f>
        <v/>
      </c>
      <c r="U42" s="26">
        <f>IF($Q42="","",IFERROR(INDEX(計算用!$M$2:$M$186,MATCH("女"&amp;$Q42&amp;"-1",計算用!$AN$2:$AN$186,0)),""))</f>
        <v/>
      </c>
      <c r="V42" s="26">
        <f>IF($Q42="","",IFERROR(INDEX(計算用!$I$2:$I$186,MATCH("女"&amp;$Q42&amp;"-1",計算用!$AN$2:$AN$186,0)),""))</f>
        <v/>
      </c>
      <c r="W42">
        <f>IF($Q42="","",IFERROR(INDEX(計算用!$D$2:$D$186,MATCH("女"&amp;$Q42&amp;"-2",計算用!$AN$2:$AN$186,0)),""))</f>
        <v/>
      </c>
      <c r="X42" s="26">
        <f>IF($Q42="","",IFERROR(INDEX(計算用!$M$2:$M$186,MATCH("女"&amp;$Q42&amp;"-2",計算用!$AN$2:$AN$186,0)),""))</f>
        <v/>
      </c>
      <c r="Y42" s="26">
        <f>IF($Q42="","",IFERROR(INDEX(計算用!$I$2:$I$186,MATCH("女"&amp;$Q42&amp;"-2",計算用!$AN$2:$AN$186,0)),""))</f>
        <v/>
      </c>
      <c r="Z42">
        <f>IF($Q42="","",IFERROR(INDEX(計算用!$D$2:$D$186,MATCH("女"&amp;$Q42&amp;"-3",計算用!$AN$2:$AN$186,0)),""))</f>
        <v/>
      </c>
      <c r="AA42" s="26">
        <f>IF($Q42="","",IFERROR(INDEX(計算用!$M$2:$M$186,MATCH("女"&amp;$Q42&amp;"-3",計算用!$AN$2:$AN$186,0)),""))</f>
        <v/>
      </c>
      <c r="AB42" s="26">
        <f>IF($Q42="","",IFERROR(INDEX(計算用!$I$2:$I$186,MATCH("女"&amp;$Q42&amp;"-3",計算用!$AN$2:$AN$186,0)),""))</f>
        <v/>
      </c>
      <c r="AC42">
        <f>IF($Q42="","",IFERROR(INDEX(計算用!$D$2:$D$186,MATCH("女"&amp;$Q42&amp;"-4",計算用!$AN$2:$AN$186,0)),""))</f>
        <v/>
      </c>
      <c r="AD42" s="26">
        <f>IF($Q42="","",IFERROR(INDEX(計算用!$M$2:$M$186,MATCH("女"&amp;$Q42&amp;"-4",計算用!$AN$2:$AN$186,0)),""))</f>
        <v/>
      </c>
      <c r="AE42" s="26">
        <f>IF($Q42="","",IFERROR(INDEX(計算用!$I$2:$I$186,MATCH("女"&amp;$Q42&amp;"-4",計算用!$AN$2:$AN$186,0)),""))</f>
        <v/>
      </c>
    </row>
    <row r="43">
      <c r="A43" s="26">
        <f>IF(ROW()-3&lt;=計算用!$Q$9,ROW()-3,"")</f>
        <v/>
      </c>
      <c r="B43" s="26">
        <f>IF($A43="","",INDEX(計算用!$T$2:$T$51,$A43))</f>
        <v/>
      </c>
      <c r="C43" s="26">
        <f>IF($A43="","","赤"&amp;INDEX(計算用!$W$2:$W$51,$A43)&amp;"白"&amp;INDEX(計算用!$X$2:$X$51,$A43))</f>
        <v/>
      </c>
      <c r="D43">
        <f>IF($A43="","",IFERROR(INDEX(計算用!$D$2:$D$186,MATCH("男"&amp;$A43&amp;"-1",計算用!$AN$2:$AN$186,0)),""))</f>
        <v/>
      </c>
      <c r="E43" s="26">
        <f>IF($A43="","",IFERROR(INDEX(計算用!$M$2:$M$186,MATCH("男"&amp;$A43&amp;"-1",計算用!$AN$2:$AN$186,0)),""))</f>
        <v/>
      </c>
      <c r="F43" s="26">
        <f>IF($A43="","",IFERROR(INDEX(計算用!$I$2:$I$186,MATCH("男"&amp;$A43&amp;"-1",計算用!$AN$2:$AN$186,0)),""))</f>
        <v/>
      </c>
      <c r="G43">
        <f>IF($A43="","",IFERROR(INDEX(計算用!$D$2:$D$186,MATCH("男"&amp;$A43&amp;"-2",計算用!$AN$2:$AN$186,0)),""))</f>
        <v/>
      </c>
      <c r="H43" s="26">
        <f>IF($A43="","",IFERROR(INDEX(計算用!$M$2:$M$186,MATCH("男"&amp;$A43&amp;"-2",計算用!$AN$2:$AN$186,0)),""))</f>
        <v/>
      </c>
      <c r="I43" s="26">
        <f>IF($A43="","",IFERROR(INDEX(計算用!$I$2:$I$186,MATCH("男"&amp;$A43&amp;"-2",計算用!$AN$2:$AN$186,0)),""))</f>
        <v/>
      </c>
      <c r="J43">
        <f>IF($A43="","",IFERROR(INDEX(計算用!$D$2:$D$186,MATCH("男"&amp;$A43&amp;"-3",計算用!$AN$2:$AN$186,0)),""))</f>
        <v/>
      </c>
      <c r="K43" s="26">
        <f>IF($A43="","",IFERROR(INDEX(計算用!$M$2:$M$186,MATCH("男"&amp;$A43&amp;"-3",計算用!$AN$2:$AN$186,0)),""))</f>
        <v/>
      </c>
      <c r="L43" s="26">
        <f>IF($A43="","",IFERROR(INDEX(計算用!$I$2:$I$186,MATCH("男"&amp;$A43&amp;"-3",計算用!$AN$2:$AN$186,0)),""))</f>
        <v/>
      </c>
      <c r="M43">
        <f>IF($A43="","",IFERROR(INDEX(計算用!$D$2:$D$186,MATCH("男"&amp;$A43&amp;"-4",計算用!$AN$2:$AN$186,0)),""))</f>
        <v/>
      </c>
      <c r="N43" s="26">
        <f>IF($A43="","",IFERROR(INDEX(計算用!$M$2:$M$186,MATCH("男"&amp;$A43&amp;"-4",計算用!$AN$2:$AN$186,0)),""))</f>
        <v/>
      </c>
      <c r="O43" s="26">
        <f>IF($A43="","",IFERROR(INDEX(計算用!$I$2:$I$186,MATCH("男"&amp;$A43&amp;"-4",計算用!$AN$2:$AN$186,0)),""))</f>
        <v/>
      </c>
      <c r="Q43" s="26">
        <f>IF(ROW()-3&lt;=計算用!$Q$11,ROW()-3,"")</f>
        <v/>
      </c>
      <c r="R43" s="26">
        <f>IF($Q43="","",INDEX(計算用!$AC$2:$AC$51,$Q43))</f>
        <v/>
      </c>
      <c r="S43" s="26">
        <f>IF($Q43="","","赤"&amp;INDEX(計算用!$AF$2:$AF$51,$Q43)&amp;"白"&amp;INDEX(計算用!$AG$2:$AG$51,$Q43))</f>
        <v/>
      </c>
      <c r="T43">
        <f>IF($Q43="","",IFERROR(INDEX(計算用!$D$2:$D$186,MATCH("女"&amp;$Q43&amp;"-1",計算用!$AN$2:$AN$186,0)),""))</f>
        <v/>
      </c>
      <c r="U43" s="26">
        <f>IF($Q43="","",IFERROR(INDEX(計算用!$M$2:$M$186,MATCH("女"&amp;$Q43&amp;"-1",計算用!$AN$2:$AN$186,0)),""))</f>
        <v/>
      </c>
      <c r="V43" s="26">
        <f>IF($Q43="","",IFERROR(INDEX(計算用!$I$2:$I$186,MATCH("女"&amp;$Q43&amp;"-1",計算用!$AN$2:$AN$186,0)),""))</f>
        <v/>
      </c>
      <c r="W43">
        <f>IF($Q43="","",IFERROR(INDEX(計算用!$D$2:$D$186,MATCH("女"&amp;$Q43&amp;"-2",計算用!$AN$2:$AN$186,0)),""))</f>
        <v/>
      </c>
      <c r="X43" s="26">
        <f>IF($Q43="","",IFERROR(INDEX(計算用!$M$2:$M$186,MATCH("女"&amp;$Q43&amp;"-2",計算用!$AN$2:$AN$186,0)),""))</f>
        <v/>
      </c>
      <c r="Y43" s="26">
        <f>IF($Q43="","",IFERROR(INDEX(計算用!$I$2:$I$186,MATCH("女"&amp;$Q43&amp;"-2",計算用!$AN$2:$AN$186,0)),""))</f>
        <v/>
      </c>
      <c r="Z43">
        <f>IF($Q43="","",IFERROR(INDEX(計算用!$D$2:$D$186,MATCH("女"&amp;$Q43&amp;"-3",計算用!$AN$2:$AN$186,0)),""))</f>
        <v/>
      </c>
      <c r="AA43" s="26">
        <f>IF($Q43="","",IFERROR(INDEX(計算用!$M$2:$M$186,MATCH("女"&amp;$Q43&amp;"-3",計算用!$AN$2:$AN$186,0)),""))</f>
        <v/>
      </c>
      <c r="AB43" s="26">
        <f>IF($Q43="","",IFERROR(INDEX(計算用!$I$2:$I$186,MATCH("女"&amp;$Q43&amp;"-3",計算用!$AN$2:$AN$186,0)),""))</f>
        <v/>
      </c>
      <c r="AC43">
        <f>IF($Q43="","",IFERROR(INDEX(計算用!$D$2:$D$186,MATCH("女"&amp;$Q43&amp;"-4",計算用!$AN$2:$AN$186,0)),""))</f>
        <v/>
      </c>
      <c r="AD43" s="26">
        <f>IF($Q43="","",IFERROR(INDEX(計算用!$M$2:$M$186,MATCH("女"&amp;$Q43&amp;"-4",計算用!$AN$2:$AN$186,0)),""))</f>
        <v/>
      </c>
      <c r="AE43" s="26">
        <f>IF($Q43="","",IFERROR(INDEX(計算用!$I$2:$I$186,MATCH("女"&amp;$Q43&amp;"-4",計算用!$AN$2:$AN$186,0)),""))</f>
        <v/>
      </c>
    </row>
    <row r="44">
      <c r="A44" s="26">
        <f>IF(ROW()-3&lt;=計算用!$Q$9,ROW()-3,"")</f>
        <v/>
      </c>
      <c r="B44" s="26">
        <f>IF($A44="","",INDEX(計算用!$T$2:$T$51,$A44))</f>
        <v/>
      </c>
      <c r="C44" s="26">
        <f>IF($A44="","","赤"&amp;INDEX(計算用!$W$2:$W$51,$A44)&amp;"白"&amp;INDEX(計算用!$X$2:$X$51,$A44))</f>
        <v/>
      </c>
      <c r="D44">
        <f>IF($A44="","",IFERROR(INDEX(計算用!$D$2:$D$186,MATCH("男"&amp;$A44&amp;"-1",計算用!$AN$2:$AN$186,0)),""))</f>
        <v/>
      </c>
      <c r="E44" s="26">
        <f>IF($A44="","",IFERROR(INDEX(計算用!$M$2:$M$186,MATCH("男"&amp;$A44&amp;"-1",計算用!$AN$2:$AN$186,0)),""))</f>
        <v/>
      </c>
      <c r="F44" s="26">
        <f>IF($A44="","",IFERROR(INDEX(計算用!$I$2:$I$186,MATCH("男"&amp;$A44&amp;"-1",計算用!$AN$2:$AN$186,0)),""))</f>
        <v/>
      </c>
      <c r="G44">
        <f>IF($A44="","",IFERROR(INDEX(計算用!$D$2:$D$186,MATCH("男"&amp;$A44&amp;"-2",計算用!$AN$2:$AN$186,0)),""))</f>
        <v/>
      </c>
      <c r="H44" s="26">
        <f>IF($A44="","",IFERROR(INDEX(計算用!$M$2:$M$186,MATCH("男"&amp;$A44&amp;"-2",計算用!$AN$2:$AN$186,0)),""))</f>
        <v/>
      </c>
      <c r="I44" s="26">
        <f>IF($A44="","",IFERROR(INDEX(計算用!$I$2:$I$186,MATCH("男"&amp;$A44&amp;"-2",計算用!$AN$2:$AN$186,0)),""))</f>
        <v/>
      </c>
      <c r="J44">
        <f>IF($A44="","",IFERROR(INDEX(計算用!$D$2:$D$186,MATCH("男"&amp;$A44&amp;"-3",計算用!$AN$2:$AN$186,0)),""))</f>
        <v/>
      </c>
      <c r="K44" s="26">
        <f>IF($A44="","",IFERROR(INDEX(計算用!$M$2:$M$186,MATCH("男"&amp;$A44&amp;"-3",計算用!$AN$2:$AN$186,0)),""))</f>
        <v/>
      </c>
      <c r="L44" s="26">
        <f>IF($A44="","",IFERROR(INDEX(計算用!$I$2:$I$186,MATCH("男"&amp;$A44&amp;"-3",計算用!$AN$2:$AN$186,0)),""))</f>
        <v/>
      </c>
      <c r="M44">
        <f>IF($A44="","",IFERROR(INDEX(計算用!$D$2:$D$186,MATCH("男"&amp;$A44&amp;"-4",計算用!$AN$2:$AN$186,0)),""))</f>
        <v/>
      </c>
      <c r="N44" s="26">
        <f>IF($A44="","",IFERROR(INDEX(計算用!$M$2:$M$186,MATCH("男"&amp;$A44&amp;"-4",計算用!$AN$2:$AN$186,0)),""))</f>
        <v/>
      </c>
      <c r="O44" s="26">
        <f>IF($A44="","",IFERROR(INDEX(計算用!$I$2:$I$186,MATCH("男"&amp;$A44&amp;"-4",計算用!$AN$2:$AN$186,0)),""))</f>
        <v/>
      </c>
      <c r="Q44" s="26">
        <f>IF(ROW()-3&lt;=計算用!$Q$11,ROW()-3,"")</f>
        <v/>
      </c>
      <c r="R44" s="26">
        <f>IF($Q44="","",INDEX(計算用!$AC$2:$AC$51,$Q44))</f>
        <v/>
      </c>
      <c r="S44" s="26">
        <f>IF($Q44="","","赤"&amp;INDEX(計算用!$AF$2:$AF$51,$Q44)&amp;"白"&amp;INDEX(計算用!$AG$2:$AG$51,$Q44))</f>
        <v/>
      </c>
      <c r="T44">
        <f>IF($Q44="","",IFERROR(INDEX(計算用!$D$2:$D$186,MATCH("女"&amp;$Q44&amp;"-1",計算用!$AN$2:$AN$186,0)),""))</f>
        <v/>
      </c>
      <c r="U44" s="26">
        <f>IF($Q44="","",IFERROR(INDEX(計算用!$M$2:$M$186,MATCH("女"&amp;$Q44&amp;"-1",計算用!$AN$2:$AN$186,0)),""))</f>
        <v/>
      </c>
      <c r="V44" s="26">
        <f>IF($Q44="","",IFERROR(INDEX(計算用!$I$2:$I$186,MATCH("女"&amp;$Q44&amp;"-1",計算用!$AN$2:$AN$186,0)),""))</f>
        <v/>
      </c>
      <c r="W44">
        <f>IF($Q44="","",IFERROR(INDEX(計算用!$D$2:$D$186,MATCH("女"&amp;$Q44&amp;"-2",計算用!$AN$2:$AN$186,0)),""))</f>
        <v/>
      </c>
      <c r="X44" s="26">
        <f>IF($Q44="","",IFERROR(INDEX(計算用!$M$2:$M$186,MATCH("女"&amp;$Q44&amp;"-2",計算用!$AN$2:$AN$186,0)),""))</f>
        <v/>
      </c>
      <c r="Y44" s="26">
        <f>IF($Q44="","",IFERROR(INDEX(計算用!$I$2:$I$186,MATCH("女"&amp;$Q44&amp;"-2",計算用!$AN$2:$AN$186,0)),""))</f>
        <v/>
      </c>
      <c r="Z44">
        <f>IF($Q44="","",IFERROR(INDEX(計算用!$D$2:$D$186,MATCH("女"&amp;$Q44&amp;"-3",計算用!$AN$2:$AN$186,0)),""))</f>
        <v/>
      </c>
      <c r="AA44" s="26">
        <f>IF($Q44="","",IFERROR(INDEX(計算用!$M$2:$M$186,MATCH("女"&amp;$Q44&amp;"-3",計算用!$AN$2:$AN$186,0)),""))</f>
        <v/>
      </c>
      <c r="AB44" s="26">
        <f>IF($Q44="","",IFERROR(INDEX(計算用!$I$2:$I$186,MATCH("女"&amp;$Q44&amp;"-3",計算用!$AN$2:$AN$186,0)),""))</f>
        <v/>
      </c>
      <c r="AC44">
        <f>IF($Q44="","",IFERROR(INDEX(計算用!$D$2:$D$186,MATCH("女"&amp;$Q44&amp;"-4",計算用!$AN$2:$AN$186,0)),""))</f>
        <v/>
      </c>
      <c r="AD44" s="26">
        <f>IF($Q44="","",IFERROR(INDEX(計算用!$M$2:$M$186,MATCH("女"&amp;$Q44&amp;"-4",計算用!$AN$2:$AN$186,0)),""))</f>
        <v/>
      </c>
      <c r="AE44" s="26">
        <f>IF($Q44="","",IFERROR(INDEX(計算用!$I$2:$I$186,MATCH("女"&amp;$Q44&amp;"-4",計算用!$AN$2:$AN$186,0)),""))</f>
        <v/>
      </c>
    </row>
    <row r="45">
      <c r="A45" s="26">
        <f>IF(ROW()-3&lt;=計算用!$Q$9,ROW()-3,"")</f>
        <v/>
      </c>
      <c r="B45" s="26">
        <f>IF($A45="","",INDEX(計算用!$T$2:$T$51,$A45))</f>
        <v/>
      </c>
      <c r="C45" s="26">
        <f>IF($A45="","","赤"&amp;INDEX(計算用!$W$2:$W$51,$A45)&amp;"白"&amp;INDEX(計算用!$X$2:$X$51,$A45))</f>
        <v/>
      </c>
      <c r="D45">
        <f>IF($A45="","",IFERROR(INDEX(計算用!$D$2:$D$186,MATCH("男"&amp;$A45&amp;"-1",計算用!$AN$2:$AN$186,0)),""))</f>
        <v/>
      </c>
      <c r="E45" s="26">
        <f>IF($A45="","",IFERROR(INDEX(計算用!$M$2:$M$186,MATCH("男"&amp;$A45&amp;"-1",計算用!$AN$2:$AN$186,0)),""))</f>
        <v/>
      </c>
      <c r="F45" s="26">
        <f>IF($A45="","",IFERROR(INDEX(計算用!$I$2:$I$186,MATCH("男"&amp;$A45&amp;"-1",計算用!$AN$2:$AN$186,0)),""))</f>
        <v/>
      </c>
      <c r="G45">
        <f>IF($A45="","",IFERROR(INDEX(計算用!$D$2:$D$186,MATCH("男"&amp;$A45&amp;"-2",計算用!$AN$2:$AN$186,0)),""))</f>
        <v/>
      </c>
      <c r="H45" s="26">
        <f>IF($A45="","",IFERROR(INDEX(計算用!$M$2:$M$186,MATCH("男"&amp;$A45&amp;"-2",計算用!$AN$2:$AN$186,0)),""))</f>
        <v/>
      </c>
      <c r="I45" s="26">
        <f>IF($A45="","",IFERROR(INDEX(計算用!$I$2:$I$186,MATCH("男"&amp;$A45&amp;"-2",計算用!$AN$2:$AN$186,0)),""))</f>
        <v/>
      </c>
      <c r="J45">
        <f>IF($A45="","",IFERROR(INDEX(計算用!$D$2:$D$186,MATCH("男"&amp;$A45&amp;"-3",計算用!$AN$2:$AN$186,0)),""))</f>
        <v/>
      </c>
      <c r="K45" s="26">
        <f>IF($A45="","",IFERROR(INDEX(計算用!$M$2:$M$186,MATCH("男"&amp;$A45&amp;"-3",計算用!$AN$2:$AN$186,0)),""))</f>
        <v/>
      </c>
      <c r="L45" s="26">
        <f>IF($A45="","",IFERROR(INDEX(計算用!$I$2:$I$186,MATCH("男"&amp;$A45&amp;"-3",計算用!$AN$2:$AN$186,0)),""))</f>
        <v/>
      </c>
      <c r="M45">
        <f>IF($A45="","",IFERROR(INDEX(計算用!$D$2:$D$186,MATCH("男"&amp;$A45&amp;"-4",計算用!$AN$2:$AN$186,0)),""))</f>
        <v/>
      </c>
      <c r="N45" s="26">
        <f>IF($A45="","",IFERROR(INDEX(計算用!$M$2:$M$186,MATCH("男"&amp;$A45&amp;"-4",計算用!$AN$2:$AN$186,0)),""))</f>
        <v/>
      </c>
      <c r="O45" s="26">
        <f>IF($A45="","",IFERROR(INDEX(計算用!$I$2:$I$186,MATCH("男"&amp;$A45&amp;"-4",計算用!$AN$2:$AN$186,0)),""))</f>
        <v/>
      </c>
      <c r="Q45" s="26">
        <f>IF(ROW()-3&lt;=計算用!$Q$11,ROW()-3,"")</f>
        <v/>
      </c>
      <c r="R45" s="26">
        <f>IF($Q45="","",INDEX(計算用!$AC$2:$AC$51,$Q45))</f>
        <v/>
      </c>
      <c r="S45" s="26">
        <f>IF($Q45="","","赤"&amp;INDEX(計算用!$AF$2:$AF$51,$Q45)&amp;"白"&amp;INDEX(計算用!$AG$2:$AG$51,$Q45))</f>
        <v/>
      </c>
      <c r="T45">
        <f>IF($Q45="","",IFERROR(INDEX(計算用!$D$2:$D$186,MATCH("女"&amp;$Q45&amp;"-1",計算用!$AN$2:$AN$186,0)),""))</f>
        <v/>
      </c>
      <c r="U45" s="26">
        <f>IF($Q45="","",IFERROR(INDEX(計算用!$M$2:$M$186,MATCH("女"&amp;$Q45&amp;"-1",計算用!$AN$2:$AN$186,0)),""))</f>
        <v/>
      </c>
      <c r="V45" s="26">
        <f>IF($Q45="","",IFERROR(INDEX(計算用!$I$2:$I$186,MATCH("女"&amp;$Q45&amp;"-1",計算用!$AN$2:$AN$186,0)),""))</f>
        <v/>
      </c>
      <c r="W45">
        <f>IF($Q45="","",IFERROR(INDEX(計算用!$D$2:$D$186,MATCH("女"&amp;$Q45&amp;"-2",計算用!$AN$2:$AN$186,0)),""))</f>
        <v/>
      </c>
      <c r="X45" s="26">
        <f>IF($Q45="","",IFERROR(INDEX(計算用!$M$2:$M$186,MATCH("女"&amp;$Q45&amp;"-2",計算用!$AN$2:$AN$186,0)),""))</f>
        <v/>
      </c>
      <c r="Y45" s="26">
        <f>IF($Q45="","",IFERROR(INDEX(計算用!$I$2:$I$186,MATCH("女"&amp;$Q45&amp;"-2",計算用!$AN$2:$AN$186,0)),""))</f>
        <v/>
      </c>
      <c r="Z45">
        <f>IF($Q45="","",IFERROR(INDEX(計算用!$D$2:$D$186,MATCH("女"&amp;$Q45&amp;"-3",計算用!$AN$2:$AN$186,0)),""))</f>
        <v/>
      </c>
      <c r="AA45" s="26">
        <f>IF($Q45="","",IFERROR(INDEX(計算用!$M$2:$M$186,MATCH("女"&amp;$Q45&amp;"-3",計算用!$AN$2:$AN$186,0)),""))</f>
        <v/>
      </c>
      <c r="AB45" s="26">
        <f>IF($Q45="","",IFERROR(INDEX(計算用!$I$2:$I$186,MATCH("女"&amp;$Q45&amp;"-3",計算用!$AN$2:$AN$186,0)),""))</f>
        <v/>
      </c>
      <c r="AC45">
        <f>IF($Q45="","",IFERROR(INDEX(計算用!$D$2:$D$186,MATCH("女"&amp;$Q45&amp;"-4",計算用!$AN$2:$AN$186,0)),""))</f>
        <v/>
      </c>
      <c r="AD45" s="26">
        <f>IF($Q45="","",IFERROR(INDEX(計算用!$M$2:$M$186,MATCH("女"&amp;$Q45&amp;"-4",計算用!$AN$2:$AN$186,0)),""))</f>
        <v/>
      </c>
      <c r="AE45" s="26">
        <f>IF($Q45="","",IFERROR(INDEX(計算用!$I$2:$I$186,MATCH("女"&amp;$Q45&amp;"-4",計算用!$AN$2:$AN$186,0)),""))</f>
        <v/>
      </c>
    </row>
    <row r="46">
      <c r="A46" s="26">
        <f>IF(ROW()-3&lt;=計算用!$Q$9,ROW()-3,"")</f>
        <v/>
      </c>
      <c r="B46" s="26">
        <f>IF($A46="","",INDEX(計算用!$T$2:$T$51,$A46))</f>
        <v/>
      </c>
      <c r="C46" s="26">
        <f>IF($A46="","","赤"&amp;INDEX(計算用!$W$2:$W$51,$A46)&amp;"白"&amp;INDEX(計算用!$X$2:$X$51,$A46))</f>
        <v/>
      </c>
      <c r="D46">
        <f>IF($A46="","",IFERROR(INDEX(計算用!$D$2:$D$186,MATCH("男"&amp;$A46&amp;"-1",計算用!$AN$2:$AN$186,0)),""))</f>
        <v/>
      </c>
      <c r="E46" s="26">
        <f>IF($A46="","",IFERROR(INDEX(計算用!$M$2:$M$186,MATCH("男"&amp;$A46&amp;"-1",計算用!$AN$2:$AN$186,0)),""))</f>
        <v/>
      </c>
      <c r="F46" s="26">
        <f>IF($A46="","",IFERROR(INDEX(計算用!$I$2:$I$186,MATCH("男"&amp;$A46&amp;"-1",計算用!$AN$2:$AN$186,0)),""))</f>
        <v/>
      </c>
      <c r="G46">
        <f>IF($A46="","",IFERROR(INDEX(計算用!$D$2:$D$186,MATCH("男"&amp;$A46&amp;"-2",計算用!$AN$2:$AN$186,0)),""))</f>
        <v/>
      </c>
      <c r="H46" s="26">
        <f>IF($A46="","",IFERROR(INDEX(計算用!$M$2:$M$186,MATCH("男"&amp;$A46&amp;"-2",計算用!$AN$2:$AN$186,0)),""))</f>
        <v/>
      </c>
      <c r="I46" s="26">
        <f>IF($A46="","",IFERROR(INDEX(計算用!$I$2:$I$186,MATCH("男"&amp;$A46&amp;"-2",計算用!$AN$2:$AN$186,0)),""))</f>
        <v/>
      </c>
      <c r="J46">
        <f>IF($A46="","",IFERROR(INDEX(計算用!$D$2:$D$186,MATCH("男"&amp;$A46&amp;"-3",計算用!$AN$2:$AN$186,0)),""))</f>
        <v/>
      </c>
      <c r="K46" s="26">
        <f>IF($A46="","",IFERROR(INDEX(計算用!$M$2:$M$186,MATCH("男"&amp;$A46&amp;"-3",計算用!$AN$2:$AN$186,0)),""))</f>
        <v/>
      </c>
      <c r="L46" s="26">
        <f>IF($A46="","",IFERROR(INDEX(計算用!$I$2:$I$186,MATCH("男"&amp;$A46&amp;"-3",計算用!$AN$2:$AN$186,0)),""))</f>
        <v/>
      </c>
      <c r="M46">
        <f>IF($A46="","",IFERROR(INDEX(計算用!$D$2:$D$186,MATCH("男"&amp;$A46&amp;"-4",計算用!$AN$2:$AN$186,0)),""))</f>
        <v/>
      </c>
      <c r="N46" s="26">
        <f>IF($A46="","",IFERROR(INDEX(計算用!$M$2:$M$186,MATCH("男"&amp;$A46&amp;"-4",計算用!$AN$2:$AN$186,0)),""))</f>
        <v/>
      </c>
      <c r="O46" s="26">
        <f>IF($A46="","",IFERROR(INDEX(計算用!$I$2:$I$186,MATCH("男"&amp;$A46&amp;"-4",計算用!$AN$2:$AN$186,0)),""))</f>
        <v/>
      </c>
      <c r="Q46" s="26">
        <f>IF(ROW()-3&lt;=計算用!$Q$11,ROW()-3,"")</f>
        <v/>
      </c>
      <c r="R46" s="26">
        <f>IF($Q46="","",INDEX(計算用!$AC$2:$AC$51,$Q46))</f>
        <v/>
      </c>
      <c r="S46" s="26">
        <f>IF($Q46="","","赤"&amp;INDEX(計算用!$AF$2:$AF$51,$Q46)&amp;"白"&amp;INDEX(計算用!$AG$2:$AG$51,$Q46))</f>
        <v/>
      </c>
      <c r="T46">
        <f>IF($Q46="","",IFERROR(INDEX(計算用!$D$2:$D$186,MATCH("女"&amp;$Q46&amp;"-1",計算用!$AN$2:$AN$186,0)),""))</f>
        <v/>
      </c>
      <c r="U46" s="26">
        <f>IF($Q46="","",IFERROR(INDEX(計算用!$M$2:$M$186,MATCH("女"&amp;$Q46&amp;"-1",計算用!$AN$2:$AN$186,0)),""))</f>
        <v/>
      </c>
      <c r="V46" s="26">
        <f>IF($Q46="","",IFERROR(INDEX(計算用!$I$2:$I$186,MATCH("女"&amp;$Q46&amp;"-1",計算用!$AN$2:$AN$186,0)),""))</f>
        <v/>
      </c>
      <c r="W46">
        <f>IF($Q46="","",IFERROR(INDEX(計算用!$D$2:$D$186,MATCH("女"&amp;$Q46&amp;"-2",計算用!$AN$2:$AN$186,0)),""))</f>
        <v/>
      </c>
      <c r="X46" s="26">
        <f>IF($Q46="","",IFERROR(INDEX(計算用!$M$2:$M$186,MATCH("女"&amp;$Q46&amp;"-2",計算用!$AN$2:$AN$186,0)),""))</f>
        <v/>
      </c>
      <c r="Y46" s="26">
        <f>IF($Q46="","",IFERROR(INDEX(計算用!$I$2:$I$186,MATCH("女"&amp;$Q46&amp;"-2",計算用!$AN$2:$AN$186,0)),""))</f>
        <v/>
      </c>
      <c r="Z46">
        <f>IF($Q46="","",IFERROR(INDEX(計算用!$D$2:$D$186,MATCH("女"&amp;$Q46&amp;"-3",計算用!$AN$2:$AN$186,0)),""))</f>
        <v/>
      </c>
      <c r="AA46" s="26">
        <f>IF($Q46="","",IFERROR(INDEX(計算用!$M$2:$M$186,MATCH("女"&amp;$Q46&amp;"-3",計算用!$AN$2:$AN$186,0)),""))</f>
        <v/>
      </c>
      <c r="AB46" s="26">
        <f>IF($Q46="","",IFERROR(INDEX(計算用!$I$2:$I$186,MATCH("女"&amp;$Q46&amp;"-3",計算用!$AN$2:$AN$186,0)),""))</f>
        <v/>
      </c>
      <c r="AC46">
        <f>IF($Q46="","",IFERROR(INDEX(計算用!$D$2:$D$186,MATCH("女"&amp;$Q46&amp;"-4",計算用!$AN$2:$AN$186,0)),""))</f>
        <v/>
      </c>
      <c r="AD46" s="26">
        <f>IF($Q46="","",IFERROR(INDEX(計算用!$M$2:$M$186,MATCH("女"&amp;$Q46&amp;"-4",計算用!$AN$2:$AN$186,0)),""))</f>
        <v/>
      </c>
      <c r="AE46" s="26">
        <f>IF($Q46="","",IFERROR(INDEX(計算用!$I$2:$I$186,MATCH("女"&amp;$Q46&amp;"-4",計算用!$AN$2:$AN$186,0)),""))</f>
        <v/>
      </c>
    </row>
    <row r="47">
      <c r="A47" s="26">
        <f>IF(ROW()-3&lt;=計算用!$Q$9,ROW()-3,"")</f>
        <v/>
      </c>
      <c r="B47" s="26">
        <f>IF($A47="","",INDEX(計算用!$T$2:$T$51,$A47))</f>
        <v/>
      </c>
      <c r="C47" s="26">
        <f>IF($A47="","","赤"&amp;INDEX(計算用!$W$2:$W$51,$A47)&amp;"白"&amp;INDEX(計算用!$X$2:$X$51,$A47))</f>
        <v/>
      </c>
      <c r="D47">
        <f>IF($A47="","",IFERROR(INDEX(計算用!$D$2:$D$186,MATCH("男"&amp;$A47&amp;"-1",計算用!$AN$2:$AN$186,0)),""))</f>
        <v/>
      </c>
      <c r="E47" s="26">
        <f>IF($A47="","",IFERROR(INDEX(計算用!$M$2:$M$186,MATCH("男"&amp;$A47&amp;"-1",計算用!$AN$2:$AN$186,0)),""))</f>
        <v/>
      </c>
      <c r="F47" s="26">
        <f>IF($A47="","",IFERROR(INDEX(計算用!$I$2:$I$186,MATCH("男"&amp;$A47&amp;"-1",計算用!$AN$2:$AN$186,0)),""))</f>
        <v/>
      </c>
      <c r="G47">
        <f>IF($A47="","",IFERROR(INDEX(計算用!$D$2:$D$186,MATCH("男"&amp;$A47&amp;"-2",計算用!$AN$2:$AN$186,0)),""))</f>
        <v/>
      </c>
      <c r="H47" s="26">
        <f>IF($A47="","",IFERROR(INDEX(計算用!$M$2:$M$186,MATCH("男"&amp;$A47&amp;"-2",計算用!$AN$2:$AN$186,0)),""))</f>
        <v/>
      </c>
      <c r="I47" s="26">
        <f>IF($A47="","",IFERROR(INDEX(計算用!$I$2:$I$186,MATCH("男"&amp;$A47&amp;"-2",計算用!$AN$2:$AN$186,0)),""))</f>
        <v/>
      </c>
      <c r="J47">
        <f>IF($A47="","",IFERROR(INDEX(計算用!$D$2:$D$186,MATCH("男"&amp;$A47&amp;"-3",計算用!$AN$2:$AN$186,0)),""))</f>
        <v/>
      </c>
      <c r="K47" s="26">
        <f>IF($A47="","",IFERROR(INDEX(計算用!$M$2:$M$186,MATCH("男"&amp;$A47&amp;"-3",計算用!$AN$2:$AN$186,0)),""))</f>
        <v/>
      </c>
      <c r="L47" s="26">
        <f>IF($A47="","",IFERROR(INDEX(計算用!$I$2:$I$186,MATCH("男"&amp;$A47&amp;"-3",計算用!$AN$2:$AN$186,0)),""))</f>
        <v/>
      </c>
      <c r="M47">
        <f>IF($A47="","",IFERROR(INDEX(計算用!$D$2:$D$186,MATCH("男"&amp;$A47&amp;"-4",計算用!$AN$2:$AN$186,0)),""))</f>
        <v/>
      </c>
      <c r="N47" s="26">
        <f>IF($A47="","",IFERROR(INDEX(計算用!$M$2:$M$186,MATCH("男"&amp;$A47&amp;"-4",計算用!$AN$2:$AN$186,0)),""))</f>
        <v/>
      </c>
      <c r="O47" s="26">
        <f>IF($A47="","",IFERROR(INDEX(計算用!$I$2:$I$186,MATCH("男"&amp;$A47&amp;"-4",計算用!$AN$2:$AN$186,0)),""))</f>
        <v/>
      </c>
      <c r="Q47" s="26">
        <f>IF(ROW()-3&lt;=計算用!$Q$11,ROW()-3,"")</f>
        <v/>
      </c>
      <c r="R47" s="26">
        <f>IF($Q47="","",INDEX(計算用!$AC$2:$AC$51,$Q47))</f>
        <v/>
      </c>
      <c r="S47" s="26">
        <f>IF($Q47="","","赤"&amp;INDEX(計算用!$AF$2:$AF$51,$Q47)&amp;"白"&amp;INDEX(計算用!$AG$2:$AG$51,$Q47))</f>
        <v/>
      </c>
      <c r="T47">
        <f>IF($Q47="","",IFERROR(INDEX(計算用!$D$2:$D$186,MATCH("女"&amp;$Q47&amp;"-1",計算用!$AN$2:$AN$186,0)),""))</f>
        <v/>
      </c>
      <c r="U47" s="26">
        <f>IF($Q47="","",IFERROR(INDEX(計算用!$M$2:$M$186,MATCH("女"&amp;$Q47&amp;"-1",計算用!$AN$2:$AN$186,0)),""))</f>
        <v/>
      </c>
      <c r="V47" s="26">
        <f>IF($Q47="","",IFERROR(INDEX(計算用!$I$2:$I$186,MATCH("女"&amp;$Q47&amp;"-1",計算用!$AN$2:$AN$186,0)),""))</f>
        <v/>
      </c>
      <c r="W47">
        <f>IF($Q47="","",IFERROR(INDEX(計算用!$D$2:$D$186,MATCH("女"&amp;$Q47&amp;"-2",計算用!$AN$2:$AN$186,0)),""))</f>
        <v/>
      </c>
      <c r="X47" s="26">
        <f>IF($Q47="","",IFERROR(INDEX(計算用!$M$2:$M$186,MATCH("女"&amp;$Q47&amp;"-2",計算用!$AN$2:$AN$186,0)),""))</f>
        <v/>
      </c>
      <c r="Y47" s="26">
        <f>IF($Q47="","",IFERROR(INDEX(計算用!$I$2:$I$186,MATCH("女"&amp;$Q47&amp;"-2",計算用!$AN$2:$AN$186,0)),""))</f>
        <v/>
      </c>
      <c r="Z47">
        <f>IF($Q47="","",IFERROR(INDEX(計算用!$D$2:$D$186,MATCH("女"&amp;$Q47&amp;"-3",計算用!$AN$2:$AN$186,0)),""))</f>
        <v/>
      </c>
      <c r="AA47" s="26">
        <f>IF($Q47="","",IFERROR(INDEX(計算用!$M$2:$M$186,MATCH("女"&amp;$Q47&amp;"-3",計算用!$AN$2:$AN$186,0)),""))</f>
        <v/>
      </c>
      <c r="AB47" s="26">
        <f>IF($Q47="","",IFERROR(INDEX(計算用!$I$2:$I$186,MATCH("女"&amp;$Q47&amp;"-3",計算用!$AN$2:$AN$186,0)),""))</f>
        <v/>
      </c>
      <c r="AC47">
        <f>IF($Q47="","",IFERROR(INDEX(計算用!$D$2:$D$186,MATCH("女"&amp;$Q47&amp;"-4",計算用!$AN$2:$AN$186,0)),""))</f>
        <v/>
      </c>
      <c r="AD47" s="26">
        <f>IF($Q47="","",IFERROR(INDEX(計算用!$M$2:$M$186,MATCH("女"&amp;$Q47&amp;"-4",計算用!$AN$2:$AN$186,0)),""))</f>
        <v/>
      </c>
      <c r="AE47" s="26">
        <f>IF($Q47="","",IFERROR(INDEX(計算用!$I$2:$I$186,MATCH("女"&amp;$Q47&amp;"-4",計算用!$AN$2:$AN$186,0)),""))</f>
        <v/>
      </c>
    </row>
    <row r="48">
      <c r="A48" s="26">
        <f>IF(ROW()-3&lt;=計算用!$Q$9,ROW()-3,"")</f>
        <v/>
      </c>
      <c r="B48" s="26">
        <f>IF($A48="","",INDEX(計算用!$T$2:$T$51,$A48))</f>
        <v/>
      </c>
      <c r="C48" s="26">
        <f>IF($A48="","","赤"&amp;INDEX(計算用!$W$2:$W$51,$A48)&amp;"白"&amp;INDEX(計算用!$X$2:$X$51,$A48))</f>
        <v/>
      </c>
      <c r="D48">
        <f>IF($A48="","",IFERROR(INDEX(計算用!$D$2:$D$186,MATCH("男"&amp;$A48&amp;"-1",計算用!$AN$2:$AN$186,0)),""))</f>
        <v/>
      </c>
      <c r="E48" s="26">
        <f>IF($A48="","",IFERROR(INDEX(計算用!$M$2:$M$186,MATCH("男"&amp;$A48&amp;"-1",計算用!$AN$2:$AN$186,0)),""))</f>
        <v/>
      </c>
      <c r="F48" s="26">
        <f>IF($A48="","",IFERROR(INDEX(計算用!$I$2:$I$186,MATCH("男"&amp;$A48&amp;"-1",計算用!$AN$2:$AN$186,0)),""))</f>
        <v/>
      </c>
      <c r="G48">
        <f>IF($A48="","",IFERROR(INDEX(計算用!$D$2:$D$186,MATCH("男"&amp;$A48&amp;"-2",計算用!$AN$2:$AN$186,0)),""))</f>
        <v/>
      </c>
      <c r="H48" s="26">
        <f>IF($A48="","",IFERROR(INDEX(計算用!$M$2:$M$186,MATCH("男"&amp;$A48&amp;"-2",計算用!$AN$2:$AN$186,0)),""))</f>
        <v/>
      </c>
      <c r="I48" s="26">
        <f>IF($A48="","",IFERROR(INDEX(計算用!$I$2:$I$186,MATCH("男"&amp;$A48&amp;"-2",計算用!$AN$2:$AN$186,0)),""))</f>
        <v/>
      </c>
      <c r="J48">
        <f>IF($A48="","",IFERROR(INDEX(計算用!$D$2:$D$186,MATCH("男"&amp;$A48&amp;"-3",計算用!$AN$2:$AN$186,0)),""))</f>
        <v/>
      </c>
      <c r="K48" s="26">
        <f>IF($A48="","",IFERROR(INDEX(計算用!$M$2:$M$186,MATCH("男"&amp;$A48&amp;"-3",計算用!$AN$2:$AN$186,0)),""))</f>
        <v/>
      </c>
      <c r="L48" s="26">
        <f>IF($A48="","",IFERROR(INDEX(計算用!$I$2:$I$186,MATCH("男"&amp;$A48&amp;"-3",計算用!$AN$2:$AN$186,0)),""))</f>
        <v/>
      </c>
      <c r="M48">
        <f>IF($A48="","",IFERROR(INDEX(計算用!$D$2:$D$186,MATCH("男"&amp;$A48&amp;"-4",計算用!$AN$2:$AN$186,0)),""))</f>
        <v/>
      </c>
      <c r="N48" s="26">
        <f>IF($A48="","",IFERROR(INDEX(計算用!$M$2:$M$186,MATCH("男"&amp;$A48&amp;"-4",計算用!$AN$2:$AN$186,0)),""))</f>
        <v/>
      </c>
      <c r="O48" s="26">
        <f>IF($A48="","",IFERROR(INDEX(計算用!$I$2:$I$186,MATCH("男"&amp;$A48&amp;"-4",計算用!$AN$2:$AN$186,0)),""))</f>
        <v/>
      </c>
      <c r="Q48" s="26">
        <f>IF(ROW()-3&lt;=計算用!$Q$11,ROW()-3,"")</f>
        <v/>
      </c>
      <c r="R48" s="26">
        <f>IF($Q48="","",INDEX(計算用!$AC$2:$AC$51,$Q48))</f>
        <v/>
      </c>
      <c r="S48" s="26">
        <f>IF($Q48="","","赤"&amp;INDEX(計算用!$AF$2:$AF$51,$Q48)&amp;"白"&amp;INDEX(計算用!$AG$2:$AG$51,$Q48))</f>
        <v/>
      </c>
      <c r="T48">
        <f>IF($Q48="","",IFERROR(INDEX(計算用!$D$2:$D$186,MATCH("女"&amp;$Q48&amp;"-1",計算用!$AN$2:$AN$186,0)),""))</f>
        <v/>
      </c>
      <c r="U48" s="26">
        <f>IF($Q48="","",IFERROR(INDEX(計算用!$M$2:$M$186,MATCH("女"&amp;$Q48&amp;"-1",計算用!$AN$2:$AN$186,0)),""))</f>
        <v/>
      </c>
      <c r="V48" s="26">
        <f>IF($Q48="","",IFERROR(INDEX(計算用!$I$2:$I$186,MATCH("女"&amp;$Q48&amp;"-1",計算用!$AN$2:$AN$186,0)),""))</f>
        <v/>
      </c>
      <c r="W48">
        <f>IF($Q48="","",IFERROR(INDEX(計算用!$D$2:$D$186,MATCH("女"&amp;$Q48&amp;"-2",計算用!$AN$2:$AN$186,0)),""))</f>
        <v/>
      </c>
      <c r="X48" s="26">
        <f>IF($Q48="","",IFERROR(INDEX(計算用!$M$2:$M$186,MATCH("女"&amp;$Q48&amp;"-2",計算用!$AN$2:$AN$186,0)),""))</f>
        <v/>
      </c>
      <c r="Y48" s="26">
        <f>IF($Q48="","",IFERROR(INDEX(計算用!$I$2:$I$186,MATCH("女"&amp;$Q48&amp;"-2",計算用!$AN$2:$AN$186,0)),""))</f>
        <v/>
      </c>
      <c r="Z48">
        <f>IF($Q48="","",IFERROR(INDEX(計算用!$D$2:$D$186,MATCH("女"&amp;$Q48&amp;"-3",計算用!$AN$2:$AN$186,0)),""))</f>
        <v/>
      </c>
      <c r="AA48" s="26">
        <f>IF($Q48="","",IFERROR(INDEX(計算用!$M$2:$M$186,MATCH("女"&amp;$Q48&amp;"-3",計算用!$AN$2:$AN$186,0)),""))</f>
        <v/>
      </c>
      <c r="AB48" s="26">
        <f>IF($Q48="","",IFERROR(INDEX(計算用!$I$2:$I$186,MATCH("女"&amp;$Q48&amp;"-3",計算用!$AN$2:$AN$186,0)),""))</f>
        <v/>
      </c>
      <c r="AC48">
        <f>IF($Q48="","",IFERROR(INDEX(計算用!$D$2:$D$186,MATCH("女"&amp;$Q48&amp;"-4",計算用!$AN$2:$AN$186,0)),""))</f>
        <v/>
      </c>
      <c r="AD48" s="26">
        <f>IF($Q48="","",IFERROR(INDEX(計算用!$M$2:$M$186,MATCH("女"&amp;$Q48&amp;"-4",計算用!$AN$2:$AN$186,0)),""))</f>
        <v/>
      </c>
      <c r="AE48" s="26">
        <f>IF($Q48="","",IFERROR(INDEX(計算用!$I$2:$I$186,MATCH("女"&amp;$Q48&amp;"-4",計算用!$AN$2:$AN$186,0)),""))</f>
        <v/>
      </c>
    </row>
    <row r="49">
      <c r="A49" s="26">
        <f>IF(ROW()-3&lt;=計算用!$Q$9,ROW()-3,"")</f>
        <v/>
      </c>
      <c r="B49" s="26">
        <f>IF($A49="","",INDEX(計算用!$T$2:$T$51,$A49))</f>
        <v/>
      </c>
      <c r="C49" s="26">
        <f>IF($A49="","","赤"&amp;INDEX(計算用!$W$2:$W$51,$A49)&amp;"白"&amp;INDEX(計算用!$X$2:$X$51,$A49))</f>
        <v/>
      </c>
      <c r="D49">
        <f>IF($A49="","",IFERROR(INDEX(計算用!$D$2:$D$186,MATCH("男"&amp;$A49&amp;"-1",計算用!$AN$2:$AN$186,0)),""))</f>
        <v/>
      </c>
      <c r="E49" s="26">
        <f>IF($A49="","",IFERROR(INDEX(計算用!$M$2:$M$186,MATCH("男"&amp;$A49&amp;"-1",計算用!$AN$2:$AN$186,0)),""))</f>
        <v/>
      </c>
      <c r="F49" s="26">
        <f>IF($A49="","",IFERROR(INDEX(計算用!$I$2:$I$186,MATCH("男"&amp;$A49&amp;"-1",計算用!$AN$2:$AN$186,0)),""))</f>
        <v/>
      </c>
      <c r="G49">
        <f>IF($A49="","",IFERROR(INDEX(計算用!$D$2:$D$186,MATCH("男"&amp;$A49&amp;"-2",計算用!$AN$2:$AN$186,0)),""))</f>
        <v/>
      </c>
      <c r="H49" s="26">
        <f>IF($A49="","",IFERROR(INDEX(計算用!$M$2:$M$186,MATCH("男"&amp;$A49&amp;"-2",計算用!$AN$2:$AN$186,0)),""))</f>
        <v/>
      </c>
      <c r="I49" s="26">
        <f>IF($A49="","",IFERROR(INDEX(計算用!$I$2:$I$186,MATCH("男"&amp;$A49&amp;"-2",計算用!$AN$2:$AN$186,0)),""))</f>
        <v/>
      </c>
      <c r="J49">
        <f>IF($A49="","",IFERROR(INDEX(計算用!$D$2:$D$186,MATCH("男"&amp;$A49&amp;"-3",計算用!$AN$2:$AN$186,0)),""))</f>
        <v/>
      </c>
      <c r="K49" s="26">
        <f>IF($A49="","",IFERROR(INDEX(計算用!$M$2:$M$186,MATCH("男"&amp;$A49&amp;"-3",計算用!$AN$2:$AN$186,0)),""))</f>
        <v/>
      </c>
      <c r="L49" s="26">
        <f>IF($A49="","",IFERROR(INDEX(計算用!$I$2:$I$186,MATCH("男"&amp;$A49&amp;"-3",計算用!$AN$2:$AN$186,0)),""))</f>
        <v/>
      </c>
      <c r="M49">
        <f>IF($A49="","",IFERROR(INDEX(計算用!$D$2:$D$186,MATCH("男"&amp;$A49&amp;"-4",計算用!$AN$2:$AN$186,0)),""))</f>
        <v/>
      </c>
      <c r="N49" s="26">
        <f>IF($A49="","",IFERROR(INDEX(計算用!$M$2:$M$186,MATCH("男"&amp;$A49&amp;"-4",計算用!$AN$2:$AN$186,0)),""))</f>
        <v/>
      </c>
      <c r="O49" s="26">
        <f>IF($A49="","",IFERROR(INDEX(計算用!$I$2:$I$186,MATCH("男"&amp;$A49&amp;"-4",計算用!$AN$2:$AN$186,0)),""))</f>
        <v/>
      </c>
      <c r="Q49" s="26">
        <f>IF(ROW()-3&lt;=計算用!$Q$11,ROW()-3,"")</f>
        <v/>
      </c>
      <c r="R49" s="26">
        <f>IF($Q49="","",INDEX(計算用!$AC$2:$AC$51,$Q49))</f>
        <v/>
      </c>
      <c r="S49" s="26">
        <f>IF($Q49="","","赤"&amp;INDEX(計算用!$AF$2:$AF$51,$Q49)&amp;"白"&amp;INDEX(計算用!$AG$2:$AG$51,$Q49))</f>
        <v/>
      </c>
      <c r="T49">
        <f>IF($Q49="","",IFERROR(INDEX(計算用!$D$2:$D$186,MATCH("女"&amp;$Q49&amp;"-1",計算用!$AN$2:$AN$186,0)),""))</f>
        <v/>
      </c>
      <c r="U49" s="26">
        <f>IF($Q49="","",IFERROR(INDEX(計算用!$M$2:$M$186,MATCH("女"&amp;$Q49&amp;"-1",計算用!$AN$2:$AN$186,0)),""))</f>
        <v/>
      </c>
      <c r="V49" s="26">
        <f>IF($Q49="","",IFERROR(INDEX(計算用!$I$2:$I$186,MATCH("女"&amp;$Q49&amp;"-1",計算用!$AN$2:$AN$186,0)),""))</f>
        <v/>
      </c>
      <c r="W49">
        <f>IF($Q49="","",IFERROR(INDEX(計算用!$D$2:$D$186,MATCH("女"&amp;$Q49&amp;"-2",計算用!$AN$2:$AN$186,0)),""))</f>
        <v/>
      </c>
      <c r="X49" s="26">
        <f>IF($Q49="","",IFERROR(INDEX(計算用!$M$2:$M$186,MATCH("女"&amp;$Q49&amp;"-2",計算用!$AN$2:$AN$186,0)),""))</f>
        <v/>
      </c>
      <c r="Y49" s="26">
        <f>IF($Q49="","",IFERROR(INDEX(計算用!$I$2:$I$186,MATCH("女"&amp;$Q49&amp;"-2",計算用!$AN$2:$AN$186,0)),""))</f>
        <v/>
      </c>
      <c r="Z49">
        <f>IF($Q49="","",IFERROR(INDEX(計算用!$D$2:$D$186,MATCH("女"&amp;$Q49&amp;"-3",計算用!$AN$2:$AN$186,0)),""))</f>
        <v/>
      </c>
      <c r="AA49" s="26">
        <f>IF($Q49="","",IFERROR(INDEX(計算用!$M$2:$M$186,MATCH("女"&amp;$Q49&amp;"-3",計算用!$AN$2:$AN$186,0)),""))</f>
        <v/>
      </c>
      <c r="AB49" s="26">
        <f>IF($Q49="","",IFERROR(INDEX(計算用!$I$2:$I$186,MATCH("女"&amp;$Q49&amp;"-3",計算用!$AN$2:$AN$186,0)),""))</f>
        <v/>
      </c>
      <c r="AC49">
        <f>IF($Q49="","",IFERROR(INDEX(計算用!$D$2:$D$186,MATCH("女"&amp;$Q49&amp;"-4",計算用!$AN$2:$AN$186,0)),""))</f>
        <v/>
      </c>
      <c r="AD49" s="26">
        <f>IF($Q49="","",IFERROR(INDEX(計算用!$M$2:$M$186,MATCH("女"&amp;$Q49&amp;"-4",計算用!$AN$2:$AN$186,0)),""))</f>
        <v/>
      </c>
      <c r="AE49" s="26">
        <f>IF($Q49="","",IFERROR(INDEX(計算用!$I$2:$I$186,MATCH("女"&amp;$Q49&amp;"-4",計算用!$AN$2:$AN$186,0)),""))</f>
        <v/>
      </c>
    </row>
    <row r="50">
      <c r="A50" s="26">
        <f>IF(ROW()-3&lt;=計算用!$Q$9,ROW()-3,"")</f>
        <v/>
      </c>
      <c r="B50" s="26">
        <f>IF($A50="","",INDEX(計算用!$T$2:$T$51,$A50))</f>
        <v/>
      </c>
      <c r="C50" s="26">
        <f>IF($A50="","","赤"&amp;INDEX(計算用!$W$2:$W$51,$A50)&amp;"白"&amp;INDEX(計算用!$X$2:$X$51,$A50))</f>
        <v/>
      </c>
      <c r="D50">
        <f>IF($A50="","",IFERROR(INDEX(計算用!$D$2:$D$186,MATCH("男"&amp;$A50&amp;"-1",計算用!$AN$2:$AN$186,0)),""))</f>
        <v/>
      </c>
      <c r="E50" s="26">
        <f>IF($A50="","",IFERROR(INDEX(計算用!$M$2:$M$186,MATCH("男"&amp;$A50&amp;"-1",計算用!$AN$2:$AN$186,0)),""))</f>
        <v/>
      </c>
      <c r="F50" s="26">
        <f>IF($A50="","",IFERROR(INDEX(計算用!$I$2:$I$186,MATCH("男"&amp;$A50&amp;"-1",計算用!$AN$2:$AN$186,0)),""))</f>
        <v/>
      </c>
      <c r="G50">
        <f>IF($A50="","",IFERROR(INDEX(計算用!$D$2:$D$186,MATCH("男"&amp;$A50&amp;"-2",計算用!$AN$2:$AN$186,0)),""))</f>
        <v/>
      </c>
      <c r="H50" s="26">
        <f>IF($A50="","",IFERROR(INDEX(計算用!$M$2:$M$186,MATCH("男"&amp;$A50&amp;"-2",計算用!$AN$2:$AN$186,0)),""))</f>
        <v/>
      </c>
      <c r="I50" s="26">
        <f>IF($A50="","",IFERROR(INDEX(計算用!$I$2:$I$186,MATCH("男"&amp;$A50&amp;"-2",計算用!$AN$2:$AN$186,0)),""))</f>
        <v/>
      </c>
      <c r="J50">
        <f>IF($A50="","",IFERROR(INDEX(計算用!$D$2:$D$186,MATCH("男"&amp;$A50&amp;"-3",計算用!$AN$2:$AN$186,0)),""))</f>
        <v/>
      </c>
      <c r="K50" s="26">
        <f>IF($A50="","",IFERROR(INDEX(計算用!$M$2:$M$186,MATCH("男"&amp;$A50&amp;"-3",計算用!$AN$2:$AN$186,0)),""))</f>
        <v/>
      </c>
      <c r="L50" s="26">
        <f>IF($A50="","",IFERROR(INDEX(計算用!$I$2:$I$186,MATCH("男"&amp;$A50&amp;"-3",計算用!$AN$2:$AN$186,0)),""))</f>
        <v/>
      </c>
      <c r="M50">
        <f>IF($A50="","",IFERROR(INDEX(計算用!$D$2:$D$186,MATCH("男"&amp;$A50&amp;"-4",計算用!$AN$2:$AN$186,0)),""))</f>
        <v/>
      </c>
      <c r="N50" s="26">
        <f>IF($A50="","",IFERROR(INDEX(計算用!$M$2:$M$186,MATCH("男"&amp;$A50&amp;"-4",計算用!$AN$2:$AN$186,0)),""))</f>
        <v/>
      </c>
      <c r="O50" s="26">
        <f>IF($A50="","",IFERROR(INDEX(計算用!$I$2:$I$186,MATCH("男"&amp;$A50&amp;"-4",計算用!$AN$2:$AN$186,0)),""))</f>
        <v/>
      </c>
      <c r="Q50" s="26">
        <f>IF(ROW()-3&lt;=計算用!$Q$11,ROW()-3,"")</f>
        <v/>
      </c>
      <c r="R50" s="26">
        <f>IF($Q50="","",INDEX(計算用!$AC$2:$AC$51,$Q50))</f>
        <v/>
      </c>
      <c r="S50" s="26">
        <f>IF($Q50="","","赤"&amp;INDEX(計算用!$AF$2:$AF$51,$Q50)&amp;"白"&amp;INDEX(計算用!$AG$2:$AG$51,$Q50))</f>
        <v/>
      </c>
      <c r="T50">
        <f>IF($Q50="","",IFERROR(INDEX(計算用!$D$2:$D$186,MATCH("女"&amp;$Q50&amp;"-1",計算用!$AN$2:$AN$186,0)),""))</f>
        <v/>
      </c>
      <c r="U50" s="26">
        <f>IF($Q50="","",IFERROR(INDEX(計算用!$M$2:$M$186,MATCH("女"&amp;$Q50&amp;"-1",計算用!$AN$2:$AN$186,0)),""))</f>
        <v/>
      </c>
      <c r="V50" s="26">
        <f>IF($Q50="","",IFERROR(INDEX(計算用!$I$2:$I$186,MATCH("女"&amp;$Q50&amp;"-1",計算用!$AN$2:$AN$186,0)),""))</f>
        <v/>
      </c>
      <c r="W50">
        <f>IF($Q50="","",IFERROR(INDEX(計算用!$D$2:$D$186,MATCH("女"&amp;$Q50&amp;"-2",計算用!$AN$2:$AN$186,0)),""))</f>
        <v/>
      </c>
      <c r="X50" s="26">
        <f>IF($Q50="","",IFERROR(INDEX(計算用!$M$2:$M$186,MATCH("女"&amp;$Q50&amp;"-2",計算用!$AN$2:$AN$186,0)),""))</f>
        <v/>
      </c>
      <c r="Y50" s="26">
        <f>IF($Q50="","",IFERROR(INDEX(計算用!$I$2:$I$186,MATCH("女"&amp;$Q50&amp;"-2",計算用!$AN$2:$AN$186,0)),""))</f>
        <v/>
      </c>
      <c r="Z50">
        <f>IF($Q50="","",IFERROR(INDEX(計算用!$D$2:$D$186,MATCH("女"&amp;$Q50&amp;"-3",計算用!$AN$2:$AN$186,0)),""))</f>
        <v/>
      </c>
      <c r="AA50" s="26">
        <f>IF($Q50="","",IFERROR(INDEX(計算用!$M$2:$M$186,MATCH("女"&amp;$Q50&amp;"-3",計算用!$AN$2:$AN$186,0)),""))</f>
        <v/>
      </c>
      <c r="AB50" s="26">
        <f>IF($Q50="","",IFERROR(INDEX(計算用!$I$2:$I$186,MATCH("女"&amp;$Q50&amp;"-3",計算用!$AN$2:$AN$186,0)),""))</f>
        <v/>
      </c>
      <c r="AC50">
        <f>IF($Q50="","",IFERROR(INDEX(計算用!$D$2:$D$186,MATCH("女"&amp;$Q50&amp;"-4",計算用!$AN$2:$AN$186,0)),""))</f>
        <v/>
      </c>
      <c r="AD50" s="26">
        <f>IF($Q50="","",IFERROR(INDEX(計算用!$M$2:$M$186,MATCH("女"&amp;$Q50&amp;"-4",計算用!$AN$2:$AN$186,0)),""))</f>
        <v/>
      </c>
      <c r="AE50" s="26">
        <f>IF($Q50="","",IFERROR(INDEX(計算用!$I$2:$I$186,MATCH("女"&amp;$Q50&amp;"-4",計算用!$AN$2:$AN$186,0)),""))</f>
        <v/>
      </c>
    </row>
    <row r="51">
      <c r="A51" s="26">
        <f>IF(ROW()-3&lt;=計算用!$Q$9,ROW()-3,"")</f>
        <v/>
      </c>
      <c r="B51" s="26">
        <f>IF($A51="","",INDEX(計算用!$T$2:$T$51,$A51))</f>
        <v/>
      </c>
      <c r="C51" s="26">
        <f>IF($A51="","","赤"&amp;INDEX(計算用!$W$2:$W$51,$A51)&amp;"白"&amp;INDEX(計算用!$X$2:$X$51,$A51))</f>
        <v/>
      </c>
      <c r="D51">
        <f>IF($A51="","",IFERROR(INDEX(計算用!$D$2:$D$186,MATCH("男"&amp;$A51&amp;"-1",計算用!$AN$2:$AN$186,0)),""))</f>
        <v/>
      </c>
      <c r="E51" s="26">
        <f>IF($A51="","",IFERROR(INDEX(計算用!$M$2:$M$186,MATCH("男"&amp;$A51&amp;"-1",計算用!$AN$2:$AN$186,0)),""))</f>
        <v/>
      </c>
      <c r="F51" s="26">
        <f>IF($A51="","",IFERROR(INDEX(計算用!$I$2:$I$186,MATCH("男"&amp;$A51&amp;"-1",計算用!$AN$2:$AN$186,0)),""))</f>
        <v/>
      </c>
      <c r="G51">
        <f>IF($A51="","",IFERROR(INDEX(計算用!$D$2:$D$186,MATCH("男"&amp;$A51&amp;"-2",計算用!$AN$2:$AN$186,0)),""))</f>
        <v/>
      </c>
      <c r="H51" s="26">
        <f>IF($A51="","",IFERROR(INDEX(計算用!$M$2:$M$186,MATCH("男"&amp;$A51&amp;"-2",計算用!$AN$2:$AN$186,0)),""))</f>
        <v/>
      </c>
      <c r="I51" s="26">
        <f>IF($A51="","",IFERROR(INDEX(計算用!$I$2:$I$186,MATCH("男"&amp;$A51&amp;"-2",計算用!$AN$2:$AN$186,0)),""))</f>
        <v/>
      </c>
      <c r="J51">
        <f>IF($A51="","",IFERROR(INDEX(計算用!$D$2:$D$186,MATCH("男"&amp;$A51&amp;"-3",計算用!$AN$2:$AN$186,0)),""))</f>
        <v/>
      </c>
      <c r="K51" s="26">
        <f>IF($A51="","",IFERROR(INDEX(計算用!$M$2:$M$186,MATCH("男"&amp;$A51&amp;"-3",計算用!$AN$2:$AN$186,0)),""))</f>
        <v/>
      </c>
      <c r="L51" s="26">
        <f>IF($A51="","",IFERROR(INDEX(計算用!$I$2:$I$186,MATCH("男"&amp;$A51&amp;"-3",計算用!$AN$2:$AN$186,0)),""))</f>
        <v/>
      </c>
      <c r="M51">
        <f>IF($A51="","",IFERROR(INDEX(計算用!$D$2:$D$186,MATCH("男"&amp;$A51&amp;"-4",計算用!$AN$2:$AN$186,0)),""))</f>
        <v/>
      </c>
      <c r="N51" s="26">
        <f>IF($A51="","",IFERROR(INDEX(計算用!$M$2:$M$186,MATCH("男"&amp;$A51&amp;"-4",計算用!$AN$2:$AN$186,0)),""))</f>
        <v/>
      </c>
      <c r="O51" s="26">
        <f>IF($A51="","",IFERROR(INDEX(計算用!$I$2:$I$186,MATCH("男"&amp;$A51&amp;"-4",計算用!$AN$2:$AN$186,0)),""))</f>
        <v/>
      </c>
      <c r="Q51" s="26">
        <f>IF(ROW()-3&lt;=計算用!$Q$11,ROW()-3,"")</f>
        <v/>
      </c>
      <c r="R51" s="26">
        <f>IF($Q51="","",INDEX(計算用!$AC$2:$AC$51,$Q51))</f>
        <v/>
      </c>
      <c r="S51" s="26">
        <f>IF($Q51="","","赤"&amp;INDEX(計算用!$AF$2:$AF$51,$Q51)&amp;"白"&amp;INDEX(計算用!$AG$2:$AG$51,$Q51))</f>
        <v/>
      </c>
      <c r="T51">
        <f>IF($Q51="","",IFERROR(INDEX(計算用!$D$2:$D$186,MATCH("女"&amp;$Q51&amp;"-1",計算用!$AN$2:$AN$186,0)),""))</f>
        <v/>
      </c>
      <c r="U51" s="26">
        <f>IF($Q51="","",IFERROR(INDEX(計算用!$M$2:$M$186,MATCH("女"&amp;$Q51&amp;"-1",計算用!$AN$2:$AN$186,0)),""))</f>
        <v/>
      </c>
      <c r="V51" s="26">
        <f>IF($Q51="","",IFERROR(INDEX(計算用!$I$2:$I$186,MATCH("女"&amp;$Q51&amp;"-1",計算用!$AN$2:$AN$186,0)),""))</f>
        <v/>
      </c>
      <c r="W51">
        <f>IF($Q51="","",IFERROR(INDEX(計算用!$D$2:$D$186,MATCH("女"&amp;$Q51&amp;"-2",計算用!$AN$2:$AN$186,0)),""))</f>
        <v/>
      </c>
      <c r="X51" s="26">
        <f>IF($Q51="","",IFERROR(INDEX(計算用!$M$2:$M$186,MATCH("女"&amp;$Q51&amp;"-2",計算用!$AN$2:$AN$186,0)),""))</f>
        <v/>
      </c>
      <c r="Y51" s="26">
        <f>IF($Q51="","",IFERROR(INDEX(計算用!$I$2:$I$186,MATCH("女"&amp;$Q51&amp;"-2",計算用!$AN$2:$AN$186,0)),""))</f>
        <v/>
      </c>
      <c r="Z51">
        <f>IF($Q51="","",IFERROR(INDEX(計算用!$D$2:$D$186,MATCH("女"&amp;$Q51&amp;"-3",計算用!$AN$2:$AN$186,0)),""))</f>
        <v/>
      </c>
      <c r="AA51" s="26">
        <f>IF($Q51="","",IFERROR(INDEX(計算用!$M$2:$M$186,MATCH("女"&amp;$Q51&amp;"-3",計算用!$AN$2:$AN$186,0)),""))</f>
        <v/>
      </c>
      <c r="AB51" s="26">
        <f>IF($Q51="","",IFERROR(INDEX(計算用!$I$2:$I$186,MATCH("女"&amp;$Q51&amp;"-3",計算用!$AN$2:$AN$186,0)),""))</f>
        <v/>
      </c>
      <c r="AC51">
        <f>IF($Q51="","",IFERROR(INDEX(計算用!$D$2:$D$186,MATCH("女"&amp;$Q51&amp;"-4",計算用!$AN$2:$AN$186,0)),""))</f>
        <v/>
      </c>
      <c r="AD51" s="26">
        <f>IF($Q51="","",IFERROR(INDEX(計算用!$M$2:$M$186,MATCH("女"&amp;$Q51&amp;"-4",計算用!$AN$2:$AN$186,0)),""))</f>
        <v/>
      </c>
      <c r="AE51" s="26">
        <f>IF($Q51="","",IFERROR(INDEX(計算用!$I$2:$I$186,MATCH("女"&amp;$Q51&amp;"-4",計算用!$AN$2:$AN$186,0)),""))</f>
        <v/>
      </c>
    </row>
    <row r="52">
      <c r="A52" s="26">
        <f>IF(ROW()-3&lt;=計算用!$Q$9,ROW()-3,"")</f>
        <v/>
      </c>
      <c r="B52" s="26">
        <f>IF($A52="","",INDEX(計算用!$T$2:$T$51,$A52))</f>
        <v/>
      </c>
      <c r="C52" s="26">
        <f>IF($A52="","","赤"&amp;INDEX(計算用!$W$2:$W$51,$A52)&amp;"白"&amp;INDEX(計算用!$X$2:$X$51,$A52))</f>
        <v/>
      </c>
      <c r="D52">
        <f>IF($A52="","",IFERROR(INDEX(計算用!$D$2:$D$186,MATCH("男"&amp;$A52&amp;"-1",計算用!$AN$2:$AN$186,0)),""))</f>
        <v/>
      </c>
      <c r="E52" s="26">
        <f>IF($A52="","",IFERROR(INDEX(計算用!$M$2:$M$186,MATCH("男"&amp;$A52&amp;"-1",計算用!$AN$2:$AN$186,0)),""))</f>
        <v/>
      </c>
      <c r="F52" s="26">
        <f>IF($A52="","",IFERROR(INDEX(計算用!$I$2:$I$186,MATCH("男"&amp;$A52&amp;"-1",計算用!$AN$2:$AN$186,0)),""))</f>
        <v/>
      </c>
      <c r="G52">
        <f>IF($A52="","",IFERROR(INDEX(計算用!$D$2:$D$186,MATCH("男"&amp;$A52&amp;"-2",計算用!$AN$2:$AN$186,0)),""))</f>
        <v/>
      </c>
      <c r="H52" s="26">
        <f>IF($A52="","",IFERROR(INDEX(計算用!$M$2:$M$186,MATCH("男"&amp;$A52&amp;"-2",計算用!$AN$2:$AN$186,0)),""))</f>
        <v/>
      </c>
      <c r="I52" s="26">
        <f>IF($A52="","",IFERROR(INDEX(計算用!$I$2:$I$186,MATCH("男"&amp;$A52&amp;"-2",計算用!$AN$2:$AN$186,0)),""))</f>
        <v/>
      </c>
      <c r="J52">
        <f>IF($A52="","",IFERROR(INDEX(計算用!$D$2:$D$186,MATCH("男"&amp;$A52&amp;"-3",計算用!$AN$2:$AN$186,0)),""))</f>
        <v/>
      </c>
      <c r="K52" s="26">
        <f>IF($A52="","",IFERROR(INDEX(計算用!$M$2:$M$186,MATCH("男"&amp;$A52&amp;"-3",計算用!$AN$2:$AN$186,0)),""))</f>
        <v/>
      </c>
      <c r="L52" s="26">
        <f>IF($A52="","",IFERROR(INDEX(計算用!$I$2:$I$186,MATCH("男"&amp;$A52&amp;"-3",計算用!$AN$2:$AN$186,0)),""))</f>
        <v/>
      </c>
      <c r="M52">
        <f>IF($A52="","",IFERROR(INDEX(計算用!$D$2:$D$186,MATCH("男"&amp;$A52&amp;"-4",計算用!$AN$2:$AN$186,0)),""))</f>
        <v/>
      </c>
      <c r="N52" s="26">
        <f>IF($A52="","",IFERROR(INDEX(計算用!$M$2:$M$186,MATCH("男"&amp;$A52&amp;"-4",計算用!$AN$2:$AN$186,0)),""))</f>
        <v/>
      </c>
      <c r="O52" s="26">
        <f>IF($A52="","",IFERROR(INDEX(計算用!$I$2:$I$186,MATCH("男"&amp;$A52&amp;"-4",計算用!$AN$2:$AN$186,0)),""))</f>
        <v/>
      </c>
      <c r="Q52" s="26">
        <f>IF(ROW()-3&lt;=計算用!$Q$11,ROW()-3,"")</f>
        <v/>
      </c>
      <c r="R52" s="26">
        <f>IF($Q52="","",INDEX(計算用!$AC$2:$AC$51,$Q52))</f>
        <v/>
      </c>
      <c r="S52" s="26">
        <f>IF($Q52="","","赤"&amp;INDEX(計算用!$AF$2:$AF$51,$Q52)&amp;"白"&amp;INDEX(計算用!$AG$2:$AG$51,$Q52))</f>
        <v/>
      </c>
      <c r="T52">
        <f>IF($Q52="","",IFERROR(INDEX(計算用!$D$2:$D$186,MATCH("女"&amp;$Q52&amp;"-1",計算用!$AN$2:$AN$186,0)),""))</f>
        <v/>
      </c>
      <c r="U52" s="26">
        <f>IF($Q52="","",IFERROR(INDEX(計算用!$M$2:$M$186,MATCH("女"&amp;$Q52&amp;"-1",計算用!$AN$2:$AN$186,0)),""))</f>
        <v/>
      </c>
      <c r="V52" s="26">
        <f>IF($Q52="","",IFERROR(INDEX(計算用!$I$2:$I$186,MATCH("女"&amp;$Q52&amp;"-1",計算用!$AN$2:$AN$186,0)),""))</f>
        <v/>
      </c>
      <c r="W52">
        <f>IF($Q52="","",IFERROR(INDEX(計算用!$D$2:$D$186,MATCH("女"&amp;$Q52&amp;"-2",計算用!$AN$2:$AN$186,0)),""))</f>
        <v/>
      </c>
      <c r="X52" s="26">
        <f>IF($Q52="","",IFERROR(INDEX(計算用!$M$2:$M$186,MATCH("女"&amp;$Q52&amp;"-2",計算用!$AN$2:$AN$186,0)),""))</f>
        <v/>
      </c>
      <c r="Y52" s="26">
        <f>IF($Q52="","",IFERROR(INDEX(計算用!$I$2:$I$186,MATCH("女"&amp;$Q52&amp;"-2",計算用!$AN$2:$AN$186,0)),""))</f>
        <v/>
      </c>
      <c r="Z52">
        <f>IF($Q52="","",IFERROR(INDEX(計算用!$D$2:$D$186,MATCH("女"&amp;$Q52&amp;"-3",計算用!$AN$2:$AN$186,0)),""))</f>
        <v/>
      </c>
      <c r="AA52" s="26">
        <f>IF($Q52="","",IFERROR(INDEX(計算用!$M$2:$M$186,MATCH("女"&amp;$Q52&amp;"-3",計算用!$AN$2:$AN$186,0)),""))</f>
        <v/>
      </c>
      <c r="AB52" s="26">
        <f>IF($Q52="","",IFERROR(INDEX(計算用!$I$2:$I$186,MATCH("女"&amp;$Q52&amp;"-3",計算用!$AN$2:$AN$186,0)),""))</f>
        <v/>
      </c>
      <c r="AC52">
        <f>IF($Q52="","",IFERROR(INDEX(計算用!$D$2:$D$186,MATCH("女"&amp;$Q52&amp;"-4",計算用!$AN$2:$AN$186,0)),""))</f>
        <v/>
      </c>
      <c r="AD52" s="26">
        <f>IF($Q52="","",IFERROR(INDEX(計算用!$M$2:$M$186,MATCH("女"&amp;$Q52&amp;"-4",計算用!$AN$2:$AN$186,0)),""))</f>
        <v/>
      </c>
      <c r="AE52" s="26">
        <f>IF($Q52="","",IFERROR(INDEX(計算用!$I$2:$I$186,MATCH("女"&amp;$Q52&amp;"-4",計算用!$AN$2:$AN$186,0)),""))</f>
        <v/>
      </c>
    </row>
    <row r="53">
      <c r="A53" s="26">
        <f>IF(ROW()-3&lt;=計算用!$Q$9,ROW()-3,"")</f>
        <v/>
      </c>
      <c r="B53" s="26">
        <f>IF($A53="","",INDEX(計算用!$T$2:$T$51,$A53))</f>
        <v/>
      </c>
      <c r="C53" s="26">
        <f>IF($A53="","","赤"&amp;INDEX(計算用!$W$2:$W$51,$A53)&amp;"白"&amp;INDEX(計算用!$X$2:$X$51,$A53))</f>
        <v/>
      </c>
      <c r="D53">
        <f>IF($A53="","",IFERROR(INDEX(計算用!$D$2:$D$186,MATCH("男"&amp;$A53&amp;"-1",計算用!$AN$2:$AN$186,0)),""))</f>
        <v/>
      </c>
      <c r="E53" s="26">
        <f>IF($A53="","",IFERROR(INDEX(計算用!$M$2:$M$186,MATCH("男"&amp;$A53&amp;"-1",計算用!$AN$2:$AN$186,0)),""))</f>
        <v/>
      </c>
      <c r="F53" s="26">
        <f>IF($A53="","",IFERROR(INDEX(計算用!$I$2:$I$186,MATCH("男"&amp;$A53&amp;"-1",計算用!$AN$2:$AN$186,0)),""))</f>
        <v/>
      </c>
      <c r="G53">
        <f>IF($A53="","",IFERROR(INDEX(計算用!$D$2:$D$186,MATCH("男"&amp;$A53&amp;"-2",計算用!$AN$2:$AN$186,0)),""))</f>
        <v/>
      </c>
      <c r="H53" s="26">
        <f>IF($A53="","",IFERROR(INDEX(計算用!$M$2:$M$186,MATCH("男"&amp;$A53&amp;"-2",計算用!$AN$2:$AN$186,0)),""))</f>
        <v/>
      </c>
      <c r="I53" s="26">
        <f>IF($A53="","",IFERROR(INDEX(計算用!$I$2:$I$186,MATCH("男"&amp;$A53&amp;"-2",計算用!$AN$2:$AN$186,0)),""))</f>
        <v/>
      </c>
      <c r="J53">
        <f>IF($A53="","",IFERROR(INDEX(計算用!$D$2:$D$186,MATCH("男"&amp;$A53&amp;"-3",計算用!$AN$2:$AN$186,0)),""))</f>
        <v/>
      </c>
      <c r="K53" s="26">
        <f>IF($A53="","",IFERROR(INDEX(計算用!$M$2:$M$186,MATCH("男"&amp;$A53&amp;"-3",計算用!$AN$2:$AN$186,0)),""))</f>
        <v/>
      </c>
      <c r="L53" s="26">
        <f>IF($A53="","",IFERROR(INDEX(計算用!$I$2:$I$186,MATCH("男"&amp;$A53&amp;"-3",計算用!$AN$2:$AN$186,0)),""))</f>
        <v/>
      </c>
      <c r="M53">
        <f>IF($A53="","",IFERROR(INDEX(計算用!$D$2:$D$186,MATCH("男"&amp;$A53&amp;"-4",計算用!$AN$2:$AN$186,0)),""))</f>
        <v/>
      </c>
      <c r="N53" s="26">
        <f>IF($A53="","",IFERROR(INDEX(計算用!$M$2:$M$186,MATCH("男"&amp;$A53&amp;"-4",計算用!$AN$2:$AN$186,0)),""))</f>
        <v/>
      </c>
      <c r="O53" s="26">
        <f>IF($A53="","",IFERROR(INDEX(計算用!$I$2:$I$186,MATCH("男"&amp;$A53&amp;"-4",計算用!$AN$2:$AN$186,0)),""))</f>
        <v/>
      </c>
      <c r="Q53" s="26">
        <f>IF(ROW()-3&lt;=計算用!$Q$11,ROW()-3,"")</f>
        <v/>
      </c>
      <c r="R53" s="26">
        <f>IF($Q53="","",INDEX(計算用!$AC$2:$AC$51,$Q53))</f>
        <v/>
      </c>
      <c r="S53" s="26">
        <f>IF($Q53="","","赤"&amp;INDEX(計算用!$AF$2:$AF$51,$Q53)&amp;"白"&amp;INDEX(計算用!$AG$2:$AG$51,$Q53))</f>
        <v/>
      </c>
      <c r="T53">
        <f>IF($Q53="","",IFERROR(INDEX(計算用!$D$2:$D$186,MATCH("女"&amp;$Q53&amp;"-1",計算用!$AN$2:$AN$186,0)),""))</f>
        <v/>
      </c>
      <c r="U53" s="26">
        <f>IF($Q53="","",IFERROR(INDEX(計算用!$M$2:$M$186,MATCH("女"&amp;$Q53&amp;"-1",計算用!$AN$2:$AN$186,0)),""))</f>
        <v/>
      </c>
      <c r="V53" s="26">
        <f>IF($Q53="","",IFERROR(INDEX(計算用!$I$2:$I$186,MATCH("女"&amp;$Q53&amp;"-1",計算用!$AN$2:$AN$186,0)),""))</f>
        <v/>
      </c>
      <c r="W53">
        <f>IF($Q53="","",IFERROR(INDEX(計算用!$D$2:$D$186,MATCH("女"&amp;$Q53&amp;"-2",計算用!$AN$2:$AN$186,0)),""))</f>
        <v/>
      </c>
      <c r="X53" s="26">
        <f>IF($Q53="","",IFERROR(INDEX(計算用!$M$2:$M$186,MATCH("女"&amp;$Q53&amp;"-2",計算用!$AN$2:$AN$186,0)),""))</f>
        <v/>
      </c>
      <c r="Y53" s="26">
        <f>IF($Q53="","",IFERROR(INDEX(計算用!$I$2:$I$186,MATCH("女"&amp;$Q53&amp;"-2",計算用!$AN$2:$AN$186,0)),""))</f>
        <v/>
      </c>
      <c r="Z53">
        <f>IF($Q53="","",IFERROR(INDEX(計算用!$D$2:$D$186,MATCH("女"&amp;$Q53&amp;"-3",計算用!$AN$2:$AN$186,0)),""))</f>
        <v/>
      </c>
      <c r="AA53" s="26">
        <f>IF($Q53="","",IFERROR(INDEX(計算用!$M$2:$M$186,MATCH("女"&amp;$Q53&amp;"-3",計算用!$AN$2:$AN$186,0)),""))</f>
        <v/>
      </c>
      <c r="AB53" s="26">
        <f>IF($Q53="","",IFERROR(INDEX(計算用!$I$2:$I$186,MATCH("女"&amp;$Q53&amp;"-3",計算用!$AN$2:$AN$186,0)),""))</f>
        <v/>
      </c>
      <c r="AC53">
        <f>IF($Q53="","",IFERROR(INDEX(計算用!$D$2:$D$186,MATCH("女"&amp;$Q53&amp;"-4",計算用!$AN$2:$AN$186,0)),""))</f>
        <v/>
      </c>
      <c r="AD53" s="26">
        <f>IF($Q53="","",IFERROR(INDEX(計算用!$M$2:$M$186,MATCH("女"&amp;$Q53&amp;"-4",計算用!$AN$2:$AN$186,0)),""))</f>
        <v/>
      </c>
      <c r="AE53" s="26">
        <f>IF($Q53="","",IFERROR(INDEX(計算用!$I$2:$I$186,MATCH("女"&amp;$Q53&amp;"-4",計算用!$AN$2:$AN$186,0)),""))</f>
        <v/>
      </c>
    </row>
  </sheetData>
  <mergeCells count="14">
    <mergeCell ref="D2:F2"/>
    <mergeCell ref="T2:V2"/>
    <mergeCell ref="G2:I2"/>
    <mergeCell ref="Z2:AB2"/>
    <mergeCell ref="J2:L2"/>
    <mergeCell ref="S2:S3"/>
    <mergeCell ref="AC2:AE2"/>
    <mergeCell ref="B2:B3"/>
    <mergeCell ref="A2:A3"/>
    <mergeCell ref="Q2:Q3"/>
    <mergeCell ref="C2:C3"/>
    <mergeCell ref="R2:R3"/>
    <mergeCell ref="M2:O2"/>
    <mergeCell ref="W2:Y2"/>
  </mergeCells>
  <conditionalFormatting sqref="A4:C53">
    <cfRule type="expression" priority="1" dxfId="8" stopIfTrue="0">
      <formula>AND($A4&lt;&gt;"",OR($B4&lt;&gt;4,$C4&lt;&gt;"赤2白2"))</formula>
    </cfRule>
  </conditionalFormatting>
  <conditionalFormatting sqref="F4:F53">
    <cfRule type="expression" priority="2" dxfId="9">
      <formula>F4="赤"</formula>
    </cfRule>
  </conditionalFormatting>
  <conditionalFormatting sqref="I4:I53">
    <cfRule type="expression" priority="3" dxfId="9">
      <formula>I4="赤"</formula>
    </cfRule>
  </conditionalFormatting>
  <conditionalFormatting sqref="L4:L53">
    <cfRule type="expression" priority="4" dxfId="9">
      <formula>L4="赤"</formula>
    </cfRule>
  </conditionalFormatting>
  <conditionalFormatting sqref="O4:O53">
    <cfRule type="expression" priority="5" dxfId="9">
      <formula>O4="赤"</formula>
    </cfRule>
  </conditionalFormatting>
  <conditionalFormatting sqref="A4:O53">
    <cfRule type="expression" priority="6" dxfId="10">
      <formula>$A4&lt;&gt;""</formula>
    </cfRule>
  </conditionalFormatting>
  <conditionalFormatting sqref="Q4:S53">
    <cfRule type="expression" priority="7" dxfId="8" stopIfTrue="0">
      <formula>AND($Q4&lt;&gt;"",OR($R4&lt;&gt;4,$S4&lt;&gt;"赤2白2"))</formula>
    </cfRule>
  </conditionalFormatting>
  <conditionalFormatting sqref="V4:V53">
    <cfRule type="expression" priority="8" dxfId="9">
      <formula>V4="赤"</formula>
    </cfRule>
  </conditionalFormatting>
  <conditionalFormatting sqref="Y4:Y53">
    <cfRule type="expression" priority="9" dxfId="9">
      <formula>Y4="赤"</formula>
    </cfRule>
  </conditionalFormatting>
  <conditionalFormatting sqref="AB4:AB53">
    <cfRule type="expression" priority="10" dxfId="9">
      <formula>AB4="赤"</formula>
    </cfRule>
  </conditionalFormatting>
  <conditionalFormatting sqref="AE4:AE53">
    <cfRule type="expression" priority="11" dxfId="9">
      <formula>AE4="赤"</formula>
    </cfRule>
  </conditionalFormatting>
  <conditionalFormatting sqref="Q4:AE53">
    <cfRule type="expression" priority="12" dxfId="10">
      <formula>$Q4&lt;&gt;""</formula>
    </cfRule>
  </conditionalFormatting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5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style="11" min="1" max="1"/>
    <col width="12" customWidth="1" style="11" min="2" max="2"/>
    <col width="12" customWidth="1" style="11" min="3" max="3"/>
    <col width="12" customWidth="1" style="11" min="4" max="4"/>
    <col width="12" customWidth="1" style="11" min="5" max="5"/>
    <col width="12" customWidth="1" style="11" min="6" max="6"/>
    <col width="12" customWidth="1" style="11" min="7" max="7"/>
    <col width="12" customWidth="1" style="11" min="8" max="8"/>
    <col width="12" customWidth="1" style="11" min="9" max="9"/>
    <col width="2" customWidth="1" style="11" min="10" max="10"/>
    <col width="5" customWidth="1" style="11" min="11" max="11"/>
    <col width="8" customWidth="1" style="11" min="12" max="12"/>
    <col width="5" customWidth="1" style="11" min="13" max="13"/>
    <col width="8" customWidth="1" style="11" min="14" max="14"/>
    <col width="2" customWidth="1" style="11" min="15" max="15"/>
    <col width="16" customWidth="1" style="11" min="16" max="16"/>
    <col width="16" customWidth="1" style="11" min="17" max="17"/>
    <col width="2" customWidth="1" style="11" min="18" max="18"/>
    <col width="12" customWidth="1" style="11" min="19" max="19"/>
    <col width="12" customWidth="1" style="11" min="20" max="20"/>
    <col width="12" customWidth="1" style="11" min="21" max="21"/>
    <col width="12" customWidth="1" style="11" min="22" max="22"/>
    <col width="12" customWidth="1" style="11" min="23" max="23"/>
    <col width="12" customWidth="1" style="11" min="24" max="24"/>
    <col width="12" customWidth="1" style="11" min="25" max="25"/>
    <col width="12" customWidth="1" style="11" min="26" max="26"/>
  </cols>
  <sheetData>
    <row r="1" ht="48" customHeight="1" s="11">
      <c r="A1" s="27" t="inlineStr">
        <is>
          <t>手直し</t>
        </is>
      </c>
      <c r="C1" s="28" t="inlineStr">
        <is>
          <t>① 右の「自動の組（コピー用）」S6:Z55 をコピーし、B6 に「値として貼り付け」します（右クリック →「貼り付けのオプション」の「値」）。
② 名前を切り取り・貼り付けして、組を直します。結果は「決定版」シートに出ます。
※名簿やタイムを直したときは、もう一度①からやり直してください。</t>
        </is>
      </c>
    </row>
    <row r="2">
      <c r="B2" s="23">
        <f>"男子：自動 "&amp;計算用!$Q$9&amp;"組 → 手直し "&amp;計算用!$Q$13&amp;"組"</f>
        <v/>
      </c>
      <c r="E2" s="24">
        <f>IF(計算用!$Q$15=0,IF(計算用!$Q$13=0,"","確認：問題なし"),"確認："&amp;IF(計算用!$Q$17&gt;0,"入っていない人 "&amp;計算用!$Q$17&amp;"人　","")&amp;IF(計算用!$Q$19&gt;0,"2回以上入っている人 "&amp;計算用!$Q$19&amp;"人　","")&amp;IF(計算用!$Q$21&gt;0,"名簿にない名前 "&amp;計算用!$Q$21&amp;"こ　","")&amp;IF(計算用!$Q$23&gt;0,"同じ名前の人がいます（区別できません）",""))</f>
        <v/>
      </c>
    </row>
    <row r="3">
      <c r="B3" s="23">
        <f>"女子：自動 "&amp;計算用!$Q$11&amp;"組 → 手直し "&amp;計算用!$Q$14&amp;"組"</f>
        <v/>
      </c>
      <c r="E3" s="24">
        <f>IF(計算用!$Q$16=0,IF(計算用!$Q$14=0,"","確認：問題なし"),"確認："&amp;IF(計算用!$Q$18&gt;0,"入っていない人 "&amp;計算用!$Q$18&amp;"人　","")&amp;IF(計算用!$Q$20&gt;0,"2回以上入っている人 "&amp;計算用!$Q$20&amp;"人　","")&amp;IF(計算用!$Q$22&gt;0,"名簿にない名前 "&amp;計算用!$Q$22&amp;"こ　","")&amp;IF(計算用!$Q$24&gt;0,"同じ名前の人がいます（区別できません）",""))</f>
        <v/>
      </c>
      <c r="S3" s="29" t="inlineStr">
        <is>
          <t>自動の組（コピー用）</t>
        </is>
      </c>
      <c r="T3" s="29" t="n"/>
      <c r="U3" s="29" t="n"/>
      <c r="V3" s="29" t="n"/>
      <c r="W3" s="29" t="n"/>
      <c r="X3" s="29" t="n"/>
      <c r="Y3" s="29" t="n"/>
      <c r="Z3" s="29" t="n"/>
    </row>
    <row r="4">
      <c r="A4" s="25" t="inlineStr">
        <is>
          <t>組</t>
        </is>
      </c>
      <c r="B4" s="25" t="inlineStr">
        <is>
          <t>男子</t>
        </is>
      </c>
      <c r="C4" s="25" t="n"/>
      <c r="D4" s="25" t="n"/>
      <c r="E4" s="25" t="n"/>
      <c r="F4" s="25" t="inlineStr">
        <is>
          <t>女子</t>
        </is>
      </c>
      <c r="G4" s="25" t="n"/>
      <c r="H4" s="25" t="n"/>
      <c r="I4" s="25" t="n"/>
      <c r="K4" s="25" t="inlineStr">
        <is>
          <t>男子</t>
        </is>
      </c>
      <c r="L4" s="25" t="n"/>
      <c r="M4" s="25" t="inlineStr">
        <is>
          <t>女子</t>
        </is>
      </c>
      <c r="N4" s="25" t="n"/>
      <c r="P4" s="25" t="inlineStr">
        <is>
          <t>入っていない人</t>
        </is>
      </c>
      <c r="Q4" s="25" t="n"/>
      <c r="S4" s="29" t="inlineStr">
        <is>
          <t>男子</t>
        </is>
      </c>
      <c r="T4" s="29" t="n"/>
      <c r="U4" s="29" t="n"/>
      <c r="V4" s="29" t="n"/>
      <c r="W4" s="29" t="inlineStr">
        <is>
          <t>女子</t>
        </is>
      </c>
      <c r="X4" s="29" t="n"/>
      <c r="Y4" s="29" t="n"/>
      <c r="Z4" s="29" t="n"/>
    </row>
    <row r="5">
      <c r="A5" s="25" t="n"/>
      <c r="B5" s="25" t="inlineStr">
        <is>
          <t>1人目</t>
        </is>
      </c>
      <c r="C5" s="25" t="inlineStr">
        <is>
          <t>2人目</t>
        </is>
      </c>
      <c r="D5" s="25" t="inlineStr">
        <is>
          <t>3人目</t>
        </is>
      </c>
      <c r="E5" s="25" t="inlineStr">
        <is>
          <t>4人目</t>
        </is>
      </c>
      <c r="F5" s="25" t="inlineStr">
        <is>
          <t>1人目</t>
        </is>
      </c>
      <c r="G5" s="25" t="inlineStr">
        <is>
          <t>2人目</t>
        </is>
      </c>
      <c r="H5" s="25" t="inlineStr">
        <is>
          <t>3人目</t>
        </is>
      </c>
      <c r="I5" s="25" t="inlineStr">
        <is>
          <t>4人目</t>
        </is>
      </c>
      <c r="K5" s="25" t="inlineStr">
        <is>
          <t>人数</t>
        </is>
      </c>
      <c r="L5" s="25" t="inlineStr">
        <is>
          <t>内訳</t>
        </is>
      </c>
      <c r="M5" s="25" t="inlineStr">
        <is>
          <t>人数</t>
        </is>
      </c>
      <c r="N5" s="25" t="inlineStr">
        <is>
          <t>内訳</t>
        </is>
      </c>
      <c r="P5" s="25" t="inlineStr">
        <is>
          <t>男子</t>
        </is>
      </c>
      <c r="Q5" s="25" t="inlineStr">
        <is>
          <t>女子</t>
        </is>
      </c>
      <c r="S5" s="29" t="inlineStr">
        <is>
          <t>1人目</t>
        </is>
      </c>
      <c r="T5" s="29" t="inlineStr">
        <is>
          <t>2人目</t>
        </is>
      </c>
      <c r="U5" s="29" t="inlineStr">
        <is>
          <t>3人目</t>
        </is>
      </c>
      <c r="V5" s="29" t="inlineStr">
        <is>
          <t>4人目</t>
        </is>
      </c>
      <c r="W5" s="29" t="inlineStr">
        <is>
          <t>1人目</t>
        </is>
      </c>
      <c r="X5" s="29" t="inlineStr">
        <is>
          <t>2人目</t>
        </is>
      </c>
      <c r="Y5" s="29" t="inlineStr">
        <is>
          <t>3人目</t>
        </is>
      </c>
      <c r="Z5" s="29" t="inlineStr">
        <is>
          <t>4人目</t>
        </is>
      </c>
    </row>
    <row r="6">
      <c r="A6" s="26" t="n">
        <v>1</v>
      </c>
      <c r="B6" s="30" t="inlineStr">
        <is>
          <t>山本 けんた</t>
        </is>
      </c>
      <c r="C6" s="30" t="inlineStr">
        <is>
          <t>森 りく</t>
        </is>
      </c>
      <c r="D6" s="30" t="inlineStr">
        <is>
          <t>村上 かいと</t>
        </is>
      </c>
      <c r="E6" s="30" t="inlineStr">
        <is>
          <t>伊藤 たいが</t>
        </is>
      </c>
      <c r="F6" s="30" t="inlineStr">
        <is>
          <t>田中 あおい</t>
        </is>
      </c>
      <c r="G6" s="30" t="inlineStr">
        <is>
          <t>高橋 ひまり</t>
        </is>
      </c>
      <c r="H6" s="30" t="inlineStr">
        <is>
          <t>中村 ゆな</t>
        </is>
      </c>
      <c r="I6" s="30" t="inlineStr">
        <is>
          <t>森 みお</t>
        </is>
      </c>
      <c r="K6" s="31">
        <f>COUNTIF(B6:E6,"?*")</f>
        <v/>
      </c>
      <c r="L6" s="26">
        <f>IF(K6=0,"","赤"&amp;SUMPRODUCT(COUNTIFS(計算用!$AO$2:$AO$186,"男"&amp;B6:E6,計算用!$I$2:$I$186,"赤"))&amp;"白"&amp;SUMPRODUCT(COUNTIFS(計算用!$AO$2:$AO$186,"男"&amp;B6:E6,計算用!$I$2:$I$186,"白")))</f>
        <v/>
      </c>
      <c r="M6" s="31">
        <f>COUNTIF(F6:I6,"?*")</f>
        <v/>
      </c>
      <c r="N6" s="26">
        <f>IF(M6=0,"","赤"&amp;SUMPRODUCT(COUNTIFS(計算用!$AO$2:$AO$186,"女"&amp;F6:I6,計算用!$I$2:$I$186,"赤"))&amp;"白"&amp;SUMPRODUCT(COUNTIFS(計算用!$AO$2:$AO$186,"女"&amp;F6:I6,計算用!$I$2:$I$186,"白")))</f>
        <v/>
      </c>
      <c r="P6">
        <f>IFERROR(INDEX(計算用!$D$2:$D$186,MATCH(1,計算用!$AR$2:$AR$186,0))&amp;"（"&amp;INDEX(計算用!$M$2:$M$186,MATCH(1,計算用!$AR$2:$AR$186,0))&amp;"）","")</f>
        <v/>
      </c>
      <c r="Q6">
        <f>IFERROR(INDEX(計算用!$D$2:$D$186,MATCH(1,計算用!$AS$2:$AS$186,0))&amp;"（"&amp;INDEX(計算用!$M$2:$M$186,MATCH(1,計算用!$AS$2:$AS$186,0))&amp;"）","")</f>
        <v/>
      </c>
      <c r="S6" s="32">
        <f>'4人組'!D4&amp;""</f>
        <v/>
      </c>
      <c r="T6" s="32">
        <f>'4人組'!G4&amp;""</f>
        <v/>
      </c>
      <c r="U6" s="32">
        <f>'4人組'!J4&amp;""</f>
        <v/>
      </c>
      <c r="V6" s="32">
        <f>'4人組'!M4&amp;""</f>
        <v/>
      </c>
      <c r="W6" s="32">
        <f>'4人組'!T4&amp;""</f>
        <v/>
      </c>
      <c r="X6" s="32">
        <f>'4人組'!W4&amp;""</f>
        <v/>
      </c>
      <c r="Y6" s="32">
        <f>'4人組'!Z4&amp;""</f>
        <v/>
      </c>
      <c r="Z6" s="32">
        <f>'4人組'!AC4&amp;""</f>
        <v/>
      </c>
    </row>
    <row r="7">
      <c r="A7" s="26" t="n">
        <v>2</v>
      </c>
      <c r="B7" s="30" t="inlineStr">
        <is>
          <t>吉田 あおい</t>
        </is>
      </c>
      <c r="C7" s="30" t="inlineStr">
        <is>
          <t>井上 いつき</t>
        </is>
      </c>
      <c r="D7" s="30" t="inlineStr">
        <is>
          <t>前田 かいと</t>
        </is>
      </c>
      <c r="E7" s="30" t="inlineStr">
        <is>
          <t>高橋 さく</t>
        </is>
      </c>
      <c r="F7" s="30" t="inlineStr">
        <is>
          <t>渡辺 めい</t>
        </is>
      </c>
      <c r="G7" s="30" t="inlineStr">
        <is>
          <t>小林 ほのか</t>
        </is>
      </c>
      <c r="H7" s="30" t="inlineStr">
        <is>
          <t>清水 ひな</t>
        </is>
      </c>
      <c r="I7" s="30" t="inlineStr">
        <is>
          <t>山田 ゆな</t>
        </is>
      </c>
      <c r="K7" s="31">
        <f>COUNTIF(B7:E7,"?*")</f>
        <v/>
      </c>
      <c r="L7" s="26">
        <f>IF(K7=0,"","赤"&amp;SUMPRODUCT(COUNTIFS(計算用!$AO$2:$AO$186,"男"&amp;B7:E7,計算用!$I$2:$I$186,"赤"))&amp;"白"&amp;SUMPRODUCT(COUNTIFS(計算用!$AO$2:$AO$186,"男"&amp;B7:E7,計算用!$I$2:$I$186,"白")))</f>
        <v/>
      </c>
      <c r="M7" s="31">
        <f>COUNTIF(F7:I7,"?*")</f>
        <v/>
      </c>
      <c r="N7" s="26">
        <f>IF(M7=0,"","赤"&amp;SUMPRODUCT(COUNTIFS(計算用!$AO$2:$AO$186,"女"&amp;F7:I7,計算用!$I$2:$I$186,"赤"))&amp;"白"&amp;SUMPRODUCT(COUNTIFS(計算用!$AO$2:$AO$186,"女"&amp;F7:I7,計算用!$I$2:$I$186,"白")))</f>
        <v/>
      </c>
      <c r="P7">
        <f>IFERROR(INDEX(計算用!$D$2:$D$186,MATCH(2,計算用!$AR$2:$AR$186,0))&amp;"（"&amp;INDEX(計算用!$M$2:$M$186,MATCH(2,計算用!$AR$2:$AR$186,0))&amp;"）","")</f>
        <v/>
      </c>
      <c r="Q7">
        <f>IFERROR(INDEX(計算用!$D$2:$D$186,MATCH(2,計算用!$AS$2:$AS$186,0))&amp;"（"&amp;INDEX(計算用!$M$2:$M$186,MATCH(2,計算用!$AS$2:$AS$186,0))&amp;"）","")</f>
        <v/>
      </c>
      <c r="S7" s="32">
        <f>'4人組'!D5&amp;""</f>
        <v/>
      </c>
      <c r="T7" s="32">
        <f>'4人組'!G5&amp;""</f>
        <v/>
      </c>
      <c r="U7" s="32">
        <f>'4人組'!J5&amp;""</f>
        <v/>
      </c>
      <c r="V7" s="32">
        <f>'4人組'!M5&amp;""</f>
        <v/>
      </c>
      <c r="W7" s="32">
        <f>'4人組'!T5&amp;""</f>
        <v/>
      </c>
      <c r="X7" s="32">
        <f>'4人組'!W5&amp;""</f>
        <v/>
      </c>
      <c r="Y7" s="32">
        <f>'4人組'!Z5&amp;""</f>
        <v/>
      </c>
      <c r="Z7" s="32">
        <f>'4人組'!AC5&amp;""</f>
        <v/>
      </c>
    </row>
    <row r="8">
      <c r="A8" s="26" t="n">
        <v>3</v>
      </c>
      <c r="B8" s="30" t="inlineStr">
        <is>
          <t>近藤 りく</t>
        </is>
      </c>
      <c r="C8" s="30" t="inlineStr">
        <is>
          <t>高橋 ひなた</t>
        </is>
      </c>
      <c r="D8" s="30" t="inlineStr">
        <is>
          <t>木村 さく</t>
        </is>
      </c>
      <c r="E8" s="30" t="inlineStr">
        <is>
          <t>田中 こうき</t>
        </is>
      </c>
      <c r="F8" s="30" t="inlineStr">
        <is>
          <t>木村 ひまり</t>
        </is>
      </c>
      <c r="G8" s="30" t="inlineStr">
        <is>
          <t>加藤 ひな</t>
        </is>
      </c>
      <c r="H8" s="30" t="inlineStr">
        <is>
          <t>山本 かのん</t>
        </is>
      </c>
      <c r="I8" s="30" t="inlineStr">
        <is>
          <t>後藤 ゆな</t>
        </is>
      </c>
      <c r="K8" s="31">
        <f>COUNTIF(B8:E8,"?*")</f>
        <v/>
      </c>
      <c r="L8" s="26">
        <f>IF(K8=0,"","赤"&amp;SUMPRODUCT(COUNTIFS(計算用!$AO$2:$AO$186,"男"&amp;B8:E8,計算用!$I$2:$I$186,"赤"))&amp;"白"&amp;SUMPRODUCT(COUNTIFS(計算用!$AO$2:$AO$186,"男"&amp;B8:E8,計算用!$I$2:$I$186,"白")))</f>
        <v/>
      </c>
      <c r="M8" s="31">
        <f>COUNTIF(F8:I8,"?*")</f>
        <v/>
      </c>
      <c r="N8" s="26">
        <f>IF(M8=0,"","赤"&amp;SUMPRODUCT(COUNTIFS(計算用!$AO$2:$AO$186,"女"&amp;F8:I8,計算用!$I$2:$I$186,"赤"))&amp;"白"&amp;SUMPRODUCT(COUNTIFS(計算用!$AO$2:$AO$186,"女"&amp;F8:I8,計算用!$I$2:$I$186,"白")))</f>
        <v/>
      </c>
      <c r="P8">
        <f>IFERROR(INDEX(計算用!$D$2:$D$186,MATCH(3,計算用!$AR$2:$AR$186,0))&amp;"（"&amp;INDEX(計算用!$M$2:$M$186,MATCH(3,計算用!$AR$2:$AR$186,0))&amp;"）","")</f>
        <v/>
      </c>
      <c r="Q8">
        <f>IFERROR(INDEX(計算用!$D$2:$D$186,MATCH(3,計算用!$AS$2:$AS$186,0))&amp;"（"&amp;INDEX(計算用!$M$2:$M$186,MATCH(3,計算用!$AS$2:$AS$186,0))&amp;"）","")</f>
        <v/>
      </c>
      <c r="S8" s="32">
        <f>'4人組'!D6&amp;""</f>
        <v/>
      </c>
      <c r="T8" s="32">
        <f>'4人組'!G6&amp;""</f>
        <v/>
      </c>
      <c r="U8" s="32">
        <f>'4人組'!J6&amp;""</f>
        <v/>
      </c>
      <c r="V8" s="32">
        <f>'4人組'!M6&amp;""</f>
        <v/>
      </c>
      <c r="W8" s="32">
        <f>'4人組'!T6&amp;""</f>
        <v/>
      </c>
      <c r="X8" s="32">
        <f>'4人組'!W6&amp;""</f>
        <v/>
      </c>
      <c r="Y8" s="32">
        <f>'4人組'!Z6&amp;""</f>
        <v/>
      </c>
      <c r="Z8" s="32">
        <f>'4人組'!AC6&amp;""</f>
        <v/>
      </c>
    </row>
    <row r="9">
      <c r="A9" s="26" t="n">
        <v>4</v>
      </c>
      <c r="B9" s="30" t="inlineStr">
        <is>
          <t>伊藤 りょう</t>
        </is>
      </c>
      <c r="C9" s="30" t="inlineStr">
        <is>
          <t>清水 そら</t>
        </is>
      </c>
      <c r="D9" s="30" t="inlineStr">
        <is>
          <t>清水 しょう</t>
        </is>
      </c>
      <c r="E9" s="30" t="inlineStr">
        <is>
          <t>森 みなと</t>
        </is>
      </c>
      <c r="F9" s="30" t="inlineStr">
        <is>
          <t>前田 ひな</t>
        </is>
      </c>
      <c r="G9" s="30" t="inlineStr">
        <is>
          <t>前田 えま</t>
        </is>
      </c>
      <c r="H9" s="30" t="inlineStr">
        <is>
          <t>井上 ほのか</t>
        </is>
      </c>
      <c r="I9" s="30" t="inlineStr">
        <is>
          <t>後藤 かのん</t>
        </is>
      </c>
      <c r="K9" s="31">
        <f>COUNTIF(B9:E9,"?*")</f>
        <v/>
      </c>
      <c r="L9" s="26">
        <f>IF(K9=0,"","赤"&amp;SUMPRODUCT(COUNTIFS(計算用!$AO$2:$AO$186,"男"&amp;B9:E9,計算用!$I$2:$I$186,"赤"))&amp;"白"&amp;SUMPRODUCT(COUNTIFS(計算用!$AO$2:$AO$186,"男"&amp;B9:E9,計算用!$I$2:$I$186,"白")))</f>
        <v/>
      </c>
      <c r="M9" s="31">
        <f>COUNTIF(F9:I9,"?*")</f>
        <v/>
      </c>
      <c r="N9" s="26">
        <f>IF(M9=0,"","赤"&amp;SUMPRODUCT(COUNTIFS(計算用!$AO$2:$AO$186,"女"&amp;F9:I9,計算用!$I$2:$I$186,"赤"))&amp;"白"&amp;SUMPRODUCT(COUNTIFS(計算用!$AO$2:$AO$186,"女"&amp;F9:I9,計算用!$I$2:$I$186,"白")))</f>
        <v/>
      </c>
      <c r="P9">
        <f>IFERROR(INDEX(計算用!$D$2:$D$186,MATCH(4,計算用!$AR$2:$AR$186,0))&amp;"（"&amp;INDEX(計算用!$M$2:$M$186,MATCH(4,計算用!$AR$2:$AR$186,0))&amp;"）","")</f>
        <v/>
      </c>
      <c r="Q9">
        <f>IFERROR(INDEX(計算用!$D$2:$D$186,MATCH(4,計算用!$AS$2:$AS$186,0))&amp;"（"&amp;INDEX(計算用!$M$2:$M$186,MATCH(4,計算用!$AS$2:$AS$186,0))&amp;"）","")</f>
        <v/>
      </c>
      <c r="S9" s="32">
        <f>'4人組'!D7&amp;""</f>
        <v/>
      </c>
      <c r="T9" s="32">
        <f>'4人組'!G7&amp;""</f>
        <v/>
      </c>
      <c r="U9" s="32">
        <f>'4人組'!J7&amp;""</f>
        <v/>
      </c>
      <c r="V9" s="32">
        <f>'4人組'!M7&amp;""</f>
        <v/>
      </c>
      <c r="W9" s="32">
        <f>'4人組'!T7&amp;""</f>
        <v/>
      </c>
      <c r="X9" s="32">
        <f>'4人組'!W7&amp;""</f>
        <v/>
      </c>
      <c r="Y9" s="32">
        <f>'4人組'!Z7&amp;""</f>
        <v/>
      </c>
      <c r="Z9" s="32">
        <f>'4人組'!AC7&amp;""</f>
        <v/>
      </c>
    </row>
    <row r="10">
      <c r="A10" s="26" t="n">
        <v>5</v>
      </c>
      <c r="B10" s="30" t="inlineStr">
        <is>
          <t>石川 みなと</t>
        </is>
      </c>
      <c r="C10" s="30" t="inlineStr">
        <is>
          <t>佐藤 けんた</t>
        </is>
      </c>
      <c r="D10" s="30" t="inlineStr">
        <is>
          <t>山本 つばさ</t>
        </is>
      </c>
      <c r="E10" s="30" t="inlineStr">
        <is>
          <t>佐藤 れん</t>
        </is>
      </c>
      <c r="F10" s="30" t="inlineStr">
        <is>
          <t>中村 はな</t>
        </is>
      </c>
      <c r="G10" s="30" t="inlineStr">
        <is>
          <t>石川 めい</t>
        </is>
      </c>
      <c r="H10" s="30" t="inlineStr">
        <is>
          <t>加藤 ことね</t>
        </is>
      </c>
      <c r="I10" s="30" t="inlineStr">
        <is>
          <t>木村 ゆな</t>
        </is>
      </c>
      <c r="K10" s="31">
        <f>COUNTIF(B10:E10,"?*")</f>
        <v/>
      </c>
      <c r="L10" s="26">
        <f>IF(K10=0,"","赤"&amp;SUMPRODUCT(COUNTIFS(計算用!$AO$2:$AO$186,"男"&amp;B10:E10,計算用!$I$2:$I$186,"赤"))&amp;"白"&amp;SUMPRODUCT(COUNTIFS(計算用!$AO$2:$AO$186,"男"&amp;B10:E10,計算用!$I$2:$I$186,"白")))</f>
        <v/>
      </c>
      <c r="M10" s="31">
        <f>COUNTIF(F10:I10,"?*")</f>
        <v/>
      </c>
      <c r="N10" s="26">
        <f>IF(M10=0,"","赤"&amp;SUMPRODUCT(COUNTIFS(計算用!$AO$2:$AO$186,"女"&amp;F10:I10,計算用!$I$2:$I$186,"赤"))&amp;"白"&amp;SUMPRODUCT(COUNTIFS(計算用!$AO$2:$AO$186,"女"&amp;F10:I10,計算用!$I$2:$I$186,"白")))</f>
        <v/>
      </c>
      <c r="P10">
        <f>IFERROR(INDEX(計算用!$D$2:$D$186,MATCH(5,計算用!$AR$2:$AR$186,0))&amp;"（"&amp;INDEX(計算用!$M$2:$M$186,MATCH(5,計算用!$AR$2:$AR$186,0))&amp;"）","")</f>
        <v/>
      </c>
      <c r="Q10">
        <f>IFERROR(INDEX(計算用!$D$2:$D$186,MATCH(5,計算用!$AS$2:$AS$186,0))&amp;"（"&amp;INDEX(計算用!$M$2:$M$186,MATCH(5,計算用!$AS$2:$AS$186,0))&amp;"）","")</f>
        <v/>
      </c>
      <c r="S10" s="32">
        <f>'4人組'!D8&amp;""</f>
        <v/>
      </c>
      <c r="T10" s="32">
        <f>'4人組'!G8&amp;""</f>
        <v/>
      </c>
      <c r="U10" s="32">
        <f>'4人組'!J8&amp;""</f>
        <v/>
      </c>
      <c r="V10" s="32">
        <f>'4人組'!M8&amp;""</f>
        <v/>
      </c>
      <c r="W10" s="32">
        <f>'4人組'!T8&amp;""</f>
        <v/>
      </c>
      <c r="X10" s="32">
        <f>'4人組'!W8&amp;""</f>
        <v/>
      </c>
      <c r="Y10" s="32">
        <f>'4人組'!Z8&amp;""</f>
        <v/>
      </c>
      <c r="Z10" s="32">
        <f>'4人組'!AC8&amp;""</f>
        <v/>
      </c>
    </row>
    <row r="11">
      <c r="A11" s="26" t="n">
        <v>6</v>
      </c>
      <c r="B11" s="30" t="inlineStr">
        <is>
          <t>佐藤 しょう</t>
        </is>
      </c>
      <c r="C11" s="30" t="inlineStr">
        <is>
          <t>木村 ひなた</t>
        </is>
      </c>
      <c r="D11" s="30" t="inlineStr">
        <is>
          <t>中村 りく</t>
        </is>
      </c>
      <c r="E11" s="30" t="inlineStr">
        <is>
          <t>鈴木 りく</t>
        </is>
      </c>
      <c r="F11" s="30" t="inlineStr">
        <is>
          <t>清水 こはる</t>
        </is>
      </c>
      <c r="G11" s="30" t="inlineStr">
        <is>
          <t>石川 さら</t>
        </is>
      </c>
      <c r="H11" s="30" t="inlineStr">
        <is>
          <t>斎藤 みお</t>
        </is>
      </c>
      <c r="I11" s="30" t="inlineStr">
        <is>
          <t>小林 ゆな</t>
        </is>
      </c>
      <c r="K11" s="31">
        <f>COUNTIF(B11:E11,"?*")</f>
        <v/>
      </c>
      <c r="L11" s="26">
        <f>IF(K11=0,"","赤"&amp;SUMPRODUCT(COUNTIFS(計算用!$AO$2:$AO$186,"男"&amp;B11:E11,計算用!$I$2:$I$186,"赤"))&amp;"白"&amp;SUMPRODUCT(COUNTIFS(計算用!$AO$2:$AO$186,"男"&amp;B11:E11,計算用!$I$2:$I$186,"白")))</f>
        <v/>
      </c>
      <c r="M11" s="31">
        <f>COUNTIF(F11:I11,"?*")</f>
        <v/>
      </c>
      <c r="N11" s="26">
        <f>IF(M11=0,"","赤"&amp;SUMPRODUCT(COUNTIFS(計算用!$AO$2:$AO$186,"女"&amp;F11:I11,計算用!$I$2:$I$186,"赤"))&amp;"白"&amp;SUMPRODUCT(COUNTIFS(計算用!$AO$2:$AO$186,"女"&amp;F11:I11,計算用!$I$2:$I$186,"白")))</f>
        <v/>
      </c>
      <c r="P11">
        <f>IFERROR(INDEX(計算用!$D$2:$D$186,MATCH(6,計算用!$AR$2:$AR$186,0))&amp;"（"&amp;INDEX(計算用!$M$2:$M$186,MATCH(6,計算用!$AR$2:$AR$186,0))&amp;"）","")</f>
        <v/>
      </c>
      <c r="Q11">
        <f>IFERROR(INDEX(計算用!$D$2:$D$186,MATCH(6,計算用!$AS$2:$AS$186,0))&amp;"（"&amp;INDEX(計算用!$M$2:$M$186,MATCH(6,計算用!$AS$2:$AS$186,0))&amp;"）","")</f>
        <v/>
      </c>
      <c r="S11" s="32">
        <f>'4人組'!D9&amp;""</f>
        <v/>
      </c>
      <c r="T11" s="32">
        <f>'4人組'!G9&amp;""</f>
        <v/>
      </c>
      <c r="U11" s="32">
        <f>'4人組'!J9&amp;""</f>
        <v/>
      </c>
      <c r="V11" s="32">
        <f>'4人組'!M9&amp;""</f>
        <v/>
      </c>
      <c r="W11" s="32">
        <f>'4人組'!T9&amp;""</f>
        <v/>
      </c>
      <c r="X11" s="32">
        <f>'4人組'!W9&amp;""</f>
        <v/>
      </c>
      <c r="Y11" s="32">
        <f>'4人組'!Z9&amp;""</f>
        <v/>
      </c>
      <c r="Z11" s="32">
        <f>'4人組'!AC9&amp;""</f>
        <v/>
      </c>
    </row>
    <row r="12">
      <c r="A12" s="26" t="n">
        <v>7</v>
      </c>
      <c r="B12" s="30" t="inlineStr">
        <is>
          <t>鈴木 はると</t>
        </is>
      </c>
      <c r="C12" s="30" t="inlineStr">
        <is>
          <t>高橋 たいが</t>
        </is>
      </c>
      <c r="D12" s="30" t="inlineStr">
        <is>
          <t>鈴木 つばさ</t>
        </is>
      </c>
      <c r="E12" s="30" t="inlineStr">
        <is>
          <t>橋本 あおい</t>
        </is>
      </c>
      <c r="F12" s="30" t="inlineStr">
        <is>
          <t>井上 ひまり</t>
        </is>
      </c>
      <c r="G12" s="30" t="inlineStr">
        <is>
          <t>伊藤 ひまり</t>
        </is>
      </c>
      <c r="H12" s="30" t="inlineStr">
        <is>
          <t>山田 あかり</t>
        </is>
      </c>
      <c r="I12" s="30" t="inlineStr">
        <is>
          <t>伊藤 りん</t>
        </is>
      </c>
      <c r="K12" s="31">
        <f>COUNTIF(B12:E12,"?*")</f>
        <v/>
      </c>
      <c r="L12" s="26">
        <f>IF(K12=0,"","赤"&amp;SUMPRODUCT(COUNTIFS(計算用!$AO$2:$AO$186,"男"&amp;B12:E12,計算用!$I$2:$I$186,"赤"))&amp;"白"&amp;SUMPRODUCT(COUNTIFS(計算用!$AO$2:$AO$186,"男"&amp;B12:E12,計算用!$I$2:$I$186,"白")))</f>
        <v/>
      </c>
      <c r="M12" s="31">
        <f>COUNTIF(F12:I12,"?*")</f>
        <v/>
      </c>
      <c r="N12" s="26">
        <f>IF(M12=0,"","赤"&amp;SUMPRODUCT(COUNTIFS(計算用!$AO$2:$AO$186,"女"&amp;F12:I12,計算用!$I$2:$I$186,"赤"))&amp;"白"&amp;SUMPRODUCT(COUNTIFS(計算用!$AO$2:$AO$186,"女"&amp;F12:I12,計算用!$I$2:$I$186,"白")))</f>
        <v/>
      </c>
      <c r="P12">
        <f>IFERROR(INDEX(計算用!$D$2:$D$186,MATCH(7,計算用!$AR$2:$AR$186,0))&amp;"（"&amp;INDEX(計算用!$M$2:$M$186,MATCH(7,計算用!$AR$2:$AR$186,0))&amp;"）","")</f>
        <v/>
      </c>
      <c r="Q12">
        <f>IFERROR(INDEX(計算用!$D$2:$D$186,MATCH(7,計算用!$AS$2:$AS$186,0))&amp;"（"&amp;INDEX(計算用!$M$2:$M$186,MATCH(7,計算用!$AS$2:$AS$186,0))&amp;"）","")</f>
        <v/>
      </c>
      <c r="S12" s="32">
        <f>'4人組'!D10&amp;""</f>
        <v/>
      </c>
      <c r="T12" s="32">
        <f>'4人組'!G10&amp;""</f>
        <v/>
      </c>
      <c r="U12" s="32">
        <f>'4人組'!J10&amp;""</f>
        <v/>
      </c>
      <c r="V12" s="32">
        <f>'4人組'!M10&amp;""</f>
        <v/>
      </c>
      <c r="W12" s="32">
        <f>'4人組'!T10&amp;""</f>
        <v/>
      </c>
      <c r="X12" s="32">
        <f>'4人組'!W10&amp;""</f>
        <v/>
      </c>
      <c r="Y12" s="32">
        <f>'4人組'!Z10&amp;""</f>
        <v/>
      </c>
      <c r="Z12" s="32">
        <f>'4人組'!AC10&amp;""</f>
        <v/>
      </c>
    </row>
    <row r="13">
      <c r="A13" s="26" t="n">
        <v>8</v>
      </c>
      <c r="B13" s="30" t="inlineStr">
        <is>
          <t>山口 しょう</t>
        </is>
      </c>
      <c r="C13" s="30" t="inlineStr">
        <is>
          <t>池田 りょう</t>
        </is>
      </c>
      <c r="D13" s="30" t="inlineStr">
        <is>
          <t>松本 かいと</t>
        </is>
      </c>
      <c r="E13" s="30" t="inlineStr">
        <is>
          <t>山本 はると</t>
        </is>
      </c>
      <c r="F13" s="30" t="inlineStr">
        <is>
          <t>伊藤 つむぎ</t>
        </is>
      </c>
      <c r="G13" s="30" t="inlineStr">
        <is>
          <t>橋本 ひな</t>
        </is>
      </c>
      <c r="H13" s="30" t="inlineStr">
        <is>
          <t>後藤 つむぎ</t>
        </is>
      </c>
      <c r="I13" s="30" t="inlineStr">
        <is>
          <t>長谷川 ひまり</t>
        </is>
      </c>
      <c r="K13" s="31">
        <f>COUNTIF(B13:E13,"?*")</f>
        <v/>
      </c>
      <c r="L13" s="26">
        <f>IF(K13=0,"","赤"&amp;SUMPRODUCT(COUNTIFS(計算用!$AO$2:$AO$186,"男"&amp;B13:E13,計算用!$I$2:$I$186,"赤"))&amp;"白"&amp;SUMPRODUCT(COUNTIFS(計算用!$AO$2:$AO$186,"男"&amp;B13:E13,計算用!$I$2:$I$186,"白")))</f>
        <v/>
      </c>
      <c r="M13" s="31">
        <f>COUNTIF(F13:I13,"?*")</f>
        <v/>
      </c>
      <c r="N13" s="26">
        <f>IF(M13=0,"","赤"&amp;SUMPRODUCT(COUNTIFS(計算用!$AO$2:$AO$186,"女"&amp;F13:I13,計算用!$I$2:$I$186,"赤"))&amp;"白"&amp;SUMPRODUCT(COUNTIFS(計算用!$AO$2:$AO$186,"女"&amp;F13:I13,計算用!$I$2:$I$186,"白")))</f>
        <v/>
      </c>
      <c r="P13">
        <f>IFERROR(INDEX(計算用!$D$2:$D$186,MATCH(8,計算用!$AR$2:$AR$186,0))&amp;"（"&amp;INDEX(計算用!$M$2:$M$186,MATCH(8,計算用!$AR$2:$AR$186,0))&amp;"）","")</f>
        <v/>
      </c>
      <c r="Q13">
        <f>IFERROR(INDEX(計算用!$D$2:$D$186,MATCH(8,計算用!$AS$2:$AS$186,0))&amp;"（"&amp;INDEX(計算用!$M$2:$M$186,MATCH(8,計算用!$AS$2:$AS$186,0))&amp;"）","")</f>
        <v/>
      </c>
      <c r="S13" s="32">
        <f>'4人組'!D11&amp;""</f>
        <v/>
      </c>
      <c r="T13" s="32">
        <f>'4人組'!G11&amp;""</f>
        <v/>
      </c>
      <c r="U13" s="32">
        <f>'4人組'!J11&amp;""</f>
        <v/>
      </c>
      <c r="V13" s="32">
        <f>'4人組'!M11&amp;""</f>
        <v/>
      </c>
      <c r="W13" s="32">
        <f>'4人組'!T11&amp;""</f>
        <v/>
      </c>
      <c r="X13" s="32">
        <f>'4人組'!W11&amp;""</f>
        <v/>
      </c>
      <c r="Y13" s="32">
        <f>'4人組'!Z11&amp;""</f>
        <v/>
      </c>
      <c r="Z13" s="32">
        <f>'4人組'!AC11&amp;""</f>
        <v/>
      </c>
    </row>
    <row r="14">
      <c r="A14" s="26" t="n">
        <v>9</v>
      </c>
      <c r="B14" s="30" t="inlineStr">
        <is>
          <t>松本 たいが</t>
        </is>
      </c>
      <c r="C14" s="30" t="inlineStr">
        <is>
          <t>木村 りょう</t>
        </is>
      </c>
      <c r="D14" s="30" t="inlineStr">
        <is>
          <t>後藤 けんた</t>
        </is>
      </c>
      <c r="E14" s="30" t="inlineStr">
        <is>
          <t>渡辺 みなと</t>
        </is>
      </c>
      <c r="F14" s="30" t="inlineStr">
        <is>
          <t>池田 めい</t>
        </is>
      </c>
      <c r="G14" s="30" t="inlineStr">
        <is>
          <t>橋本 かのん</t>
        </is>
      </c>
      <c r="H14" s="30" t="inlineStr">
        <is>
          <t>小林 ゆい</t>
        </is>
      </c>
      <c r="I14" s="30" t="inlineStr">
        <is>
          <t>小林 ことね</t>
        </is>
      </c>
      <c r="K14" s="31">
        <f>COUNTIF(B14:E14,"?*")</f>
        <v/>
      </c>
      <c r="L14" s="26">
        <f>IF(K14=0,"","赤"&amp;SUMPRODUCT(COUNTIFS(計算用!$AO$2:$AO$186,"男"&amp;B14:E14,計算用!$I$2:$I$186,"赤"))&amp;"白"&amp;SUMPRODUCT(COUNTIFS(計算用!$AO$2:$AO$186,"男"&amp;B14:E14,計算用!$I$2:$I$186,"白")))</f>
        <v/>
      </c>
      <c r="M14" s="31">
        <f>COUNTIF(F14:I14,"?*")</f>
        <v/>
      </c>
      <c r="N14" s="26">
        <f>IF(M14=0,"","赤"&amp;SUMPRODUCT(COUNTIFS(計算用!$AO$2:$AO$186,"女"&amp;F14:I14,計算用!$I$2:$I$186,"赤"))&amp;"白"&amp;SUMPRODUCT(COUNTIFS(計算用!$AO$2:$AO$186,"女"&amp;F14:I14,計算用!$I$2:$I$186,"白")))</f>
        <v/>
      </c>
      <c r="P14">
        <f>IFERROR(INDEX(計算用!$D$2:$D$186,MATCH(9,計算用!$AR$2:$AR$186,0))&amp;"（"&amp;INDEX(計算用!$M$2:$M$186,MATCH(9,計算用!$AR$2:$AR$186,0))&amp;"）","")</f>
        <v/>
      </c>
      <c r="Q14">
        <f>IFERROR(INDEX(計算用!$D$2:$D$186,MATCH(9,計算用!$AS$2:$AS$186,0))&amp;"（"&amp;INDEX(計算用!$M$2:$M$186,MATCH(9,計算用!$AS$2:$AS$186,0))&amp;"）","")</f>
        <v/>
      </c>
      <c r="S14" s="32">
        <f>'4人組'!D12&amp;""</f>
        <v/>
      </c>
      <c r="T14" s="32">
        <f>'4人組'!G12&amp;""</f>
        <v/>
      </c>
      <c r="U14" s="32">
        <f>'4人組'!J12&amp;""</f>
        <v/>
      </c>
      <c r="V14" s="32">
        <f>'4人組'!M12&amp;""</f>
        <v/>
      </c>
      <c r="W14" s="32">
        <f>'4人組'!T12&amp;""</f>
        <v/>
      </c>
      <c r="X14" s="32">
        <f>'4人組'!W12&amp;""</f>
        <v/>
      </c>
      <c r="Y14" s="32">
        <f>'4人組'!Z12&amp;""</f>
        <v/>
      </c>
      <c r="Z14" s="32">
        <f>'4人組'!AC12&amp;""</f>
        <v/>
      </c>
    </row>
    <row r="15">
      <c r="A15" s="26" t="n">
        <v>10</v>
      </c>
      <c r="B15" s="30" t="inlineStr">
        <is>
          <t>吉田 ひなた</t>
        </is>
      </c>
      <c r="C15" s="30" t="inlineStr">
        <is>
          <t>村上 こうき</t>
        </is>
      </c>
      <c r="D15" s="30" t="inlineStr">
        <is>
          <t>斎藤 だいち</t>
        </is>
      </c>
      <c r="E15" s="30" t="inlineStr">
        <is>
          <t>高橋 けんた</t>
        </is>
      </c>
      <c r="F15" s="30" t="inlineStr">
        <is>
          <t>石川 あかり</t>
        </is>
      </c>
      <c r="G15" s="30" t="inlineStr">
        <is>
          <t>伊藤 ゆな</t>
        </is>
      </c>
      <c r="H15" s="30" t="inlineStr">
        <is>
          <t>近藤 つむぎ</t>
        </is>
      </c>
      <c r="I15" s="30" t="inlineStr">
        <is>
          <t>長谷川 あかり</t>
        </is>
      </c>
      <c r="K15" s="31">
        <f>COUNTIF(B15:E15,"?*")</f>
        <v/>
      </c>
      <c r="L15" s="26">
        <f>IF(K15=0,"","赤"&amp;SUMPRODUCT(COUNTIFS(計算用!$AO$2:$AO$186,"男"&amp;B15:E15,計算用!$I$2:$I$186,"赤"))&amp;"白"&amp;SUMPRODUCT(COUNTIFS(計算用!$AO$2:$AO$186,"男"&amp;B15:E15,計算用!$I$2:$I$186,"白")))</f>
        <v/>
      </c>
      <c r="M15" s="31">
        <f>COUNTIF(F15:I15,"?*")</f>
        <v/>
      </c>
      <c r="N15" s="26">
        <f>IF(M15=0,"","赤"&amp;SUMPRODUCT(COUNTIFS(計算用!$AO$2:$AO$186,"女"&amp;F15:I15,計算用!$I$2:$I$186,"赤"))&amp;"白"&amp;SUMPRODUCT(COUNTIFS(計算用!$AO$2:$AO$186,"女"&amp;F15:I15,計算用!$I$2:$I$186,"白")))</f>
        <v/>
      </c>
      <c r="P15">
        <f>IFERROR(INDEX(計算用!$D$2:$D$186,MATCH(10,計算用!$AR$2:$AR$186,0))&amp;"（"&amp;INDEX(計算用!$M$2:$M$186,MATCH(10,計算用!$AR$2:$AR$186,0))&amp;"）","")</f>
        <v/>
      </c>
      <c r="Q15">
        <f>IFERROR(INDEX(計算用!$D$2:$D$186,MATCH(10,計算用!$AS$2:$AS$186,0))&amp;"（"&amp;INDEX(計算用!$M$2:$M$186,MATCH(10,計算用!$AS$2:$AS$186,0))&amp;"）","")</f>
        <v/>
      </c>
      <c r="S15" s="32">
        <f>'4人組'!D13&amp;""</f>
        <v/>
      </c>
      <c r="T15" s="32">
        <f>'4人組'!G13&amp;""</f>
        <v/>
      </c>
      <c r="U15" s="32">
        <f>'4人組'!J13&amp;""</f>
        <v/>
      </c>
      <c r="V15" s="32">
        <f>'4人組'!M13&amp;""</f>
        <v/>
      </c>
      <c r="W15" s="32">
        <f>'4人組'!T13&amp;""</f>
        <v/>
      </c>
      <c r="X15" s="32">
        <f>'4人組'!W13&amp;""</f>
        <v/>
      </c>
      <c r="Y15" s="32">
        <f>'4人組'!Z13&amp;""</f>
        <v/>
      </c>
      <c r="Z15" s="32">
        <f>'4人組'!AC13&amp;""</f>
        <v/>
      </c>
    </row>
    <row r="16">
      <c r="A16" s="26" t="n">
        <v>11</v>
      </c>
      <c r="B16" s="30" t="inlineStr">
        <is>
          <t>近藤 そうた</t>
        </is>
      </c>
      <c r="C16" s="30" t="inlineStr">
        <is>
          <t>橋本 ひなた</t>
        </is>
      </c>
      <c r="D16" s="30" t="inlineStr">
        <is>
          <t>佐藤 そうた</t>
        </is>
      </c>
      <c r="E16" s="30" t="inlineStr">
        <is>
          <t>林 さく</t>
        </is>
      </c>
      <c r="F16" s="30" t="inlineStr">
        <is>
          <t>池田 ゆい</t>
        </is>
      </c>
      <c r="G16" s="30" t="inlineStr">
        <is>
          <t>岡田 さら</t>
        </is>
      </c>
      <c r="H16" s="30" t="inlineStr">
        <is>
          <t>伊藤 さら</t>
        </is>
      </c>
      <c r="I16" s="30" t="n"/>
      <c r="K16" s="31">
        <f>COUNTIF(B16:E16,"?*")</f>
        <v/>
      </c>
      <c r="L16" s="26">
        <f>IF(K16=0,"","赤"&amp;SUMPRODUCT(COUNTIFS(計算用!$AO$2:$AO$186,"男"&amp;B16:E16,計算用!$I$2:$I$186,"赤"))&amp;"白"&amp;SUMPRODUCT(COUNTIFS(計算用!$AO$2:$AO$186,"男"&amp;B16:E16,計算用!$I$2:$I$186,"白")))</f>
        <v/>
      </c>
      <c r="M16" s="31">
        <f>COUNTIF(F16:I16,"?*")</f>
        <v/>
      </c>
      <c r="N16" s="26">
        <f>IF(M16=0,"","赤"&amp;SUMPRODUCT(COUNTIFS(計算用!$AO$2:$AO$186,"女"&amp;F16:I16,計算用!$I$2:$I$186,"赤"))&amp;"白"&amp;SUMPRODUCT(COUNTIFS(計算用!$AO$2:$AO$186,"女"&amp;F16:I16,計算用!$I$2:$I$186,"白")))</f>
        <v/>
      </c>
      <c r="P16">
        <f>IFERROR(INDEX(計算用!$D$2:$D$186,MATCH(11,計算用!$AR$2:$AR$186,0))&amp;"（"&amp;INDEX(計算用!$M$2:$M$186,MATCH(11,計算用!$AR$2:$AR$186,0))&amp;"）","")</f>
        <v/>
      </c>
      <c r="Q16">
        <f>IFERROR(INDEX(計算用!$D$2:$D$186,MATCH(11,計算用!$AS$2:$AS$186,0))&amp;"（"&amp;INDEX(計算用!$M$2:$M$186,MATCH(11,計算用!$AS$2:$AS$186,0))&amp;"）","")</f>
        <v/>
      </c>
      <c r="S16" s="32">
        <f>'4人組'!D14&amp;""</f>
        <v/>
      </c>
      <c r="T16" s="32">
        <f>'4人組'!G14&amp;""</f>
        <v/>
      </c>
      <c r="U16" s="32">
        <f>'4人組'!J14&amp;""</f>
        <v/>
      </c>
      <c r="V16" s="32">
        <f>'4人組'!M14&amp;""</f>
        <v/>
      </c>
      <c r="W16" s="32">
        <f>'4人組'!T14&amp;""</f>
        <v/>
      </c>
      <c r="X16" s="32">
        <f>'4人組'!W14&amp;""</f>
        <v/>
      </c>
      <c r="Y16" s="32">
        <f>'4人組'!Z14&amp;""</f>
        <v/>
      </c>
      <c r="Z16" s="32">
        <f>'4人組'!AC14&amp;""</f>
        <v/>
      </c>
    </row>
    <row r="17">
      <c r="A17" s="26" t="n">
        <v>12</v>
      </c>
      <c r="B17" s="30" t="inlineStr">
        <is>
          <t>池田 こうき</t>
        </is>
      </c>
      <c r="C17" s="30" t="inlineStr">
        <is>
          <t>鈴木 たいが</t>
        </is>
      </c>
      <c r="D17" s="30" t="inlineStr">
        <is>
          <t>山口 だいち</t>
        </is>
      </c>
      <c r="E17" s="30" t="n"/>
      <c r="F17" s="30" t="n"/>
      <c r="G17" s="30" t="n"/>
      <c r="H17" s="30" t="n"/>
      <c r="I17" s="30" t="n"/>
      <c r="K17" s="31">
        <f>COUNTIF(B17:E17,"?*")</f>
        <v/>
      </c>
      <c r="L17" s="26">
        <f>IF(K17=0,"","赤"&amp;SUMPRODUCT(COUNTIFS(計算用!$AO$2:$AO$186,"男"&amp;B17:E17,計算用!$I$2:$I$186,"赤"))&amp;"白"&amp;SUMPRODUCT(COUNTIFS(計算用!$AO$2:$AO$186,"男"&amp;B17:E17,計算用!$I$2:$I$186,"白")))</f>
        <v/>
      </c>
      <c r="M17" s="31">
        <f>COUNTIF(F17:I17,"?*")</f>
        <v/>
      </c>
      <c r="N17" s="26">
        <f>IF(M17=0,"","赤"&amp;SUMPRODUCT(COUNTIFS(計算用!$AO$2:$AO$186,"女"&amp;F17:I17,計算用!$I$2:$I$186,"赤"))&amp;"白"&amp;SUMPRODUCT(COUNTIFS(計算用!$AO$2:$AO$186,"女"&amp;F17:I17,計算用!$I$2:$I$186,"白")))</f>
        <v/>
      </c>
      <c r="P17">
        <f>IFERROR(INDEX(計算用!$D$2:$D$186,MATCH(12,計算用!$AR$2:$AR$186,0))&amp;"（"&amp;INDEX(計算用!$M$2:$M$186,MATCH(12,計算用!$AR$2:$AR$186,0))&amp;"）","")</f>
        <v/>
      </c>
      <c r="Q17">
        <f>IFERROR(INDEX(計算用!$D$2:$D$186,MATCH(12,計算用!$AS$2:$AS$186,0))&amp;"（"&amp;INDEX(計算用!$M$2:$M$186,MATCH(12,計算用!$AS$2:$AS$186,0))&amp;"）","")</f>
        <v/>
      </c>
      <c r="S17" s="32">
        <f>'4人組'!D15&amp;""</f>
        <v/>
      </c>
      <c r="T17" s="32">
        <f>'4人組'!G15&amp;""</f>
        <v/>
      </c>
      <c r="U17" s="32">
        <f>'4人組'!J15&amp;""</f>
        <v/>
      </c>
      <c r="V17" s="32">
        <f>'4人組'!M15&amp;""</f>
        <v/>
      </c>
      <c r="W17" s="32">
        <f>'4人組'!T15&amp;""</f>
        <v/>
      </c>
      <c r="X17" s="32">
        <f>'4人組'!W15&amp;""</f>
        <v/>
      </c>
      <c r="Y17" s="32">
        <f>'4人組'!Z15&amp;""</f>
        <v/>
      </c>
      <c r="Z17" s="32">
        <f>'4人組'!AC15&amp;""</f>
        <v/>
      </c>
    </row>
    <row r="18">
      <c r="A18" s="26" t="n">
        <v>13</v>
      </c>
      <c r="B18" s="30" t="n"/>
      <c r="C18" s="30" t="n"/>
      <c r="D18" s="30" t="n"/>
      <c r="E18" s="30" t="n"/>
      <c r="F18" s="30" t="n"/>
      <c r="G18" s="30" t="n"/>
      <c r="H18" s="30" t="n"/>
      <c r="I18" s="30" t="n"/>
      <c r="K18" s="31">
        <f>COUNTIF(B18:E18,"?*")</f>
        <v/>
      </c>
      <c r="L18" s="26">
        <f>IF(K18=0,"","赤"&amp;SUMPRODUCT(COUNTIFS(計算用!$AO$2:$AO$186,"男"&amp;B18:E18,計算用!$I$2:$I$186,"赤"))&amp;"白"&amp;SUMPRODUCT(COUNTIFS(計算用!$AO$2:$AO$186,"男"&amp;B18:E18,計算用!$I$2:$I$186,"白")))</f>
        <v/>
      </c>
      <c r="M18" s="31">
        <f>COUNTIF(F18:I18,"?*")</f>
        <v/>
      </c>
      <c r="N18" s="26">
        <f>IF(M18=0,"","赤"&amp;SUMPRODUCT(COUNTIFS(計算用!$AO$2:$AO$186,"女"&amp;F18:I18,計算用!$I$2:$I$186,"赤"))&amp;"白"&amp;SUMPRODUCT(COUNTIFS(計算用!$AO$2:$AO$186,"女"&amp;F18:I18,計算用!$I$2:$I$186,"白")))</f>
        <v/>
      </c>
      <c r="P18">
        <f>IFERROR(INDEX(計算用!$D$2:$D$186,MATCH(13,計算用!$AR$2:$AR$186,0))&amp;"（"&amp;INDEX(計算用!$M$2:$M$186,MATCH(13,計算用!$AR$2:$AR$186,0))&amp;"）","")</f>
        <v/>
      </c>
      <c r="Q18">
        <f>IFERROR(INDEX(計算用!$D$2:$D$186,MATCH(13,計算用!$AS$2:$AS$186,0))&amp;"（"&amp;INDEX(計算用!$M$2:$M$186,MATCH(13,計算用!$AS$2:$AS$186,0))&amp;"）","")</f>
        <v/>
      </c>
      <c r="S18" s="32">
        <f>'4人組'!D16&amp;""</f>
        <v/>
      </c>
      <c r="T18" s="32">
        <f>'4人組'!G16&amp;""</f>
        <v/>
      </c>
      <c r="U18" s="32">
        <f>'4人組'!J16&amp;""</f>
        <v/>
      </c>
      <c r="V18" s="32">
        <f>'4人組'!M16&amp;""</f>
        <v/>
      </c>
      <c r="W18" s="32">
        <f>'4人組'!T16&amp;""</f>
        <v/>
      </c>
      <c r="X18" s="32">
        <f>'4人組'!W16&amp;""</f>
        <v/>
      </c>
      <c r="Y18" s="32">
        <f>'4人組'!Z16&amp;""</f>
        <v/>
      </c>
      <c r="Z18" s="32">
        <f>'4人組'!AC16&amp;""</f>
        <v/>
      </c>
    </row>
    <row r="19">
      <c r="A19" s="26" t="n">
        <v>14</v>
      </c>
      <c r="B19" s="30" t="n"/>
      <c r="C19" s="30" t="n"/>
      <c r="D19" s="30" t="n"/>
      <c r="E19" s="30" t="n"/>
      <c r="F19" s="30" t="n"/>
      <c r="G19" s="30" t="n"/>
      <c r="H19" s="30" t="n"/>
      <c r="I19" s="30" t="n"/>
      <c r="K19" s="31">
        <f>COUNTIF(B19:E19,"?*")</f>
        <v/>
      </c>
      <c r="L19" s="26">
        <f>IF(K19=0,"","赤"&amp;SUMPRODUCT(COUNTIFS(計算用!$AO$2:$AO$186,"男"&amp;B19:E19,計算用!$I$2:$I$186,"赤"))&amp;"白"&amp;SUMPRODUCT(COUNTIFS(計算用!$AO$2:$AO$186,"男"&amp;B19:E19,計算用!$I$2:$I$186,"白")))</f>
        <v/>
      </c>
      <c r="M19" s="31">
        <f>COUNTIF(F19:I19,"?*")</f>
        <v/>
      </c>
      <c r="N19" s="26">
        <f>IF(M19=0,"","赤"&amp;SUMPRODUCT(COUNTIFS(計算用!$AO$2:$AO$186,"女"&amp;F19:I19,計算用!$I$2:$I$186,"赤"))&amp;"白"&amp;SUMPRODUCT(COUNTIFS(計算用!$AO$2:$AO$186,"女"&amp;F19:I19,計算用!$I$2:$I$186,"白")))</f>
        <v/>
      </c>
      <c r="P19">
        <f>IFERROR(INDEX(計算用!$D$2:$D$186,MATCH(14,計算用!$AR$2:$AR$186,0))&amp;"（"&amp;INDEX(計算用!$M$2:$M$186,MATCH(14,計算用!$AR$2:$AR$186,0))&amp;"）","")</f>
        <v/>
      </c>
      <c r="Q19">
        <f>IFERROR(INDEX(計算用!$D$2:$D$186,MATCH(14,計算用!$AS$2:$AS$186,0))&amp;"（"&amp;INDEX(計算用!$M$2:$M$186,MATCH(14,計算用!$AS$2:$AS$186,0))&amp;"）","")</f>
        <v/>
      </c>
      <c r="S19" s="32">
        <f>'4人組'!D17&amp;""</f>
        <v/>
      </c>
      <c r="T19" s="32">
        <f>'4人組'!G17&amp;""</f>
        <v/>
      </c>
      <c r="U19" s="32">
        <f>'4人組'!J17&amp;""</f>
        <v/>
      </c>
      <c r="V19" s="32">
        <f>'4人組'!M17&amp;""</f>
        <v/>
      </c>
      <c r="W19" s="32">
        <f>'4人組'!T17&amp;""</f>
        <v/>
      </c>
      <c r="X19" s="32">
        <f>'4人組'!W17&amp;""</f>
        <v/>
      </c>
      <c r="Y19" s="32">
        <f>'4人組'!Z17&amp;""</f>
        <v/>
      </c>
      <c r="Z19" s="32">
        <f>'4人組'!AC17&amp;""</f>
        <v/>
      </c>
    </row>
    <row r="20">
      <c r="A20" s="26" t="n">
        <v>15</v>
      </c>
      <c r="B20" s="30" t="n"/>
      <c r="C20" s="30" t="n"/>
      <c r="D20" s="30" t="n"/>
      <c r="E20" s="30" t="n"/>
      <c r="F20" s="30" t="n"/>
      <c r="G20" s="30" t="n"/>
      <c r="H20" s="30" t="n"/>
      <c r="I20" s="30" t="n"/>
      <c r="K20" s="31">
        <f>COUNTIF(B20:E20,"?*")</f>
        <v/>
      </c>
      <c r="L20" s="26">
        <f>IF(K20=0,"","赤"&amp;SUMPRODUCT(COUNTIFS(計算用!$AO$2:$AO$186,"男"&amp;B20:E20,計算用!$I$2:$I$186,"赤"))&amp;"白"&amp;SUMPRODUCT(COUNTIFS(計算用!$AO$2:$AO$186,"男"&amp;B20:E20,計算用!$I$2:$I$186,"白")))</f>
        <v/>
      </c>
      <c r="M20" s="31">
        <f>COUNTIF(F20:I20,"?*")</f>
        <v/>
      </c>
      <c r="N20" s="26">
        <f>IF(M20=0,"","赤"&amp;SUMPRODUCT(COUNTIFS(計算用!$AO$2:$AO$186,"女"&amp;F20:I20,計算用!$I$2:$I$186,"赤"))&amp;"白"&amp;SUMPRODUCT(COUNTIFS(計算用!$AO$2:$AO$186,"女"&amp;F20:I20,計算用!$I$2:$I$186,"白")))</f>
        <v/>
      </c>
      <c r="P20">
        <f>IFERROR(INDEX(計算用!$D$2:$D$186,MATCH(15,計算用!$AR$2:$AR$186,0))&amp;"（"&amp;INDEX(計算用!$M$2:$M$186,MATCH(15,計算用!$AR$2:$AR$186,0))&amp;"）","")</f>
        <v/>
      </c>
      <c r="Q20">
        <f>IFERROR(INDEX(計算用!$D$2:$D$186,MATCH(15,計算用!$AS$2:$AS$186,0))&amp;"（"&amp;INDEX(計算用!$M$2:$M$186,MATCH(15,計算用!$AS$2:$AS$186,0))&amp;"）","")</f>
        <v/>
      </c>
      <c r="S20" s="32">
        <f>'4人組'!D18&amp;""</f>
        <v/>
      </c>
      <c r="T20" s="32">
        <f>'4人組'!G18&amp;""</f>
        <v/>
      </c>
      <c r="U20" s="32">
        <f>'4人組'!J18&amp;""</f>
        <v/>
      </c>
      <c r="V20" s="32">
        <f>'4人組'!M18&amp;""</f>
        <v/>
      </c>
      <c r="W20" s="32">
        <f>'4人組'!T18&amp;""</f>
        <v/>
      </c>
      <c r="X20" s="32">
        <f>'4人組'!W18&amp;""</f>
        <v/>
      </c>
      <c r="Y20" s="32">
        <f>'4人組'!Z18&amp;""</f>
        <v/>
      </c>
      <c r="Z20" s="32">
        <f>'4人組'!AC18&amp;""</f>
        <v/>
      </c>
    </row>
    <row r="21">
      <c r="A21" s="26" t="n">
        <v>16</v>
      </c>
      <c r="B21" s="30" t="n"/>
      <c r="C21" s="30" t="n"/>
      <c r="D21" s="30" t="n"/>
      <c r="E21" s="30" t="n"/>
      <c r="F21" s="30" t="n"/>
      <c r="G21" s="30" t="n"/>
      <c r="H21" s="30" t="n"/>
      <c r="I21" s="30" t="n"/>
      <c r="K21" s="31">
        <f>COUNTIF(B21:E21,"?*")</f>
        <v/>
      </c>
      <c r="L21" s="26">
        <f>IF(K21=0,"","赤"&amp;SUMPRODUCT(COUNTIFS(計算用!$AO$2:$AO$186,"男"&amp;B21:E21,計算用!$I$2:$I$186,"赤"))&amp;"白"&amp;SUMPRODUCT(COUNTIFS(計算用!$AO$2:$AO$186,"男"&amp;B21:E21,計算用!$I$2:$I$186,"白")))</f>
        <v/>
      </c>
      <c r="M21" s="31">
        <f>COUNTIF(F21:I21,"?*")</f>
        <v/>
      </c>
      <c r="N21" s="26">
        <f>IF(M21=0,"","赤"&amp;SUMPRODUCT(COUNTIFS(計算用!$AO$2:$AO$186,"女"&amp;F21:I21,計算用!$I$2:$I$186,"赤"))&amp;"白"&amp;SUMPRODUCT(COUNTIFS(計算用!$AO$2:$AO$186,"女"&amp;F21:I21,計算用!$I$2:$I$186,"白")))</f>
        <v/>
      </c>
      <c r="P21">
        <f>IFERROR(INDEX(計算用!$D$2:$D$186,MATCH(16,計算用!$AR$2:$AR$186,0))&amp;"（"&amp;INDEX(計算用!$M$2:$M$186,MATCH(16,計算用!$AR$2:$AR$186,0))&amp;"）","")</f>
        <v/>
      </c>
      <c r="Q21">
        <f>IFERROR(INDEX(計算用!$D$2:$D$186,MATCH(16,計算用!$AS$2:$AS$186,0))&amp;"（"&amp;INDEX(計算用!$M$2:$M$186,MATCH(16,計算用!$AS$2:$AS$186,0))&amp;"）","")</f>
        <v/>
      </c>
      <c r="S21" s="32">
        <f>'4人組'!D19&amp;""</f>
        <v/>
      </c>
      <c r="T21" s="32">
        <f>'4人組'!G19&amp;""</f>
        <v/>
      </c>
      <c r="U21" s="32">
        <f>'4人組'!J19&amp;""</f>
        <v/>
      </c>
      <c r="V21" s="32">
        <f>'4人組'!M19&amp;""</f>
        <v/>
      </c>
      <c r="W21" s="32">
        <f>'4人組'!T19&amp;""</f>
        <v/>
      </c>
      <c r="X21" s="32">
        <f>'4人組'!W19&amp;""</f>
        <v/>
      </c>
      <c r="Y21" s="32">
        <f>'4人組'!Z19&amp;""</f>
        <v/>
      </c>
      <c r="Z21" s="32">
        <f>'4人組'!AC19&amp;""</f>
        <v/>
      </c>
    </row>
    <row r="22">
      <c r="A22" s="26" t="n">
        <v>17</v>
      </c>
      <c r="B22" s="30" t="n"/>
      <c r="C22" s="30" t="n"/>
      <c r="D22" s="30" t="n"/>
      <c r="E22" s="30" t="n"/>
      <c r="F22" s="30" t="n"/>
      <c r="G22" s="30" t="n"/>
      <c r="H22" s="30" t="n"/>
      <c r="I22" s="30" t="n"/>
      <c r="K22" s="31">
        <f>COUNTIF(B22:E22,"?*")</f>
        <v/>
      </c>
      <c r="L22" s="26">
        <f>IF(K22=0,"","赤"&amp;SUMPRODUCT(COUNTIFS(計算用!$AO$2:$AO$186,"男"&amp;B22:E22,計算用!$I$2:$I$186,"赤"))&amp;"白"&amp;SUMPRODUCT(COUNTIFS(計算用!$AO$2:$AO$186,"男"&amp;B22:E22,計算用!$I$2:$I$186,"白")))</f>
        <v/>
      </c>
      <c r="M22" s="31">
        <f>COUNTIF(F22:I22,"?*")</f>
        <v/>
      </c>
      <c r="N22" s="26">
        <f>IF(M22=0,"","赤"&amp;SUMPRODUCT(COUNTIFS(計算用!$AO$2:$AO$186,"女"&amp;F22:I22,計算用!$I$2:$I$186,"赤"))&amp;"白"&amp;SUMPRODUCT(COUNTIFS(計算用!$AO$2:$AO$186,"女"&amp;F22:I22,計算用!$I$2:$I$186,"白")))</f>
        <v/>
      </c>
      <c r="P22">
        <f>IFERROR(INDEX(計算用!$D$2:$D$186,MATCH(17,計算用!$AR$2:$AR$186,0))&amp;"（"&amp;INDEX(計算用!$M$2:$M$186,MATCH(17,計算用!$AR$2:$AR$186,0))&amp;"）","")</f>
        <v/>
      </c>
      <c r="Q22">
        <f>IFERROR(INDEX(計算用!$D$2:$D$186,MATCH(17,計算用!$AS$2:$AS$186,0))&amp;"（"&amp;INDEX(計算用!$M$2:$M$186,MATCH(17,計算用!$AS$2:$AS$186,0))&amp;"）","")</f>
        <v/>
      </c>
      <c r="S22" s="32">
        <f>'4人組'!D20&amp;""</f>
        <v/>
      </c>
      <c r="T22" s="32">
        <f>'4人組'!G20&amp;""</f>
        <v/>
      </c>
      <c r="U22" s="32">
        <f>'4人組'!J20&amp;""</f>
        <v/>
      </c>
      <c r="V22" s="32">
        <f>'4人組'!M20&amp;""</f>
        <v/>
      </c>
      <c r="W22" s="32">
        <f>'4人組'!T20&amp;""</f>
        <v/>
      </c>
      <c r="X22" s="32">
        <f>'4人組'!W20&amp;""</f>
        <v/>
      </c>
      <c r="Y22" s="32">
        <f>'4人組'!Z20&amp;""</f>
        <v/>
      </c>
      <c r="Z22" s="32">
        <f>'4人組'!AC20&amp;""</f>
        <v/>
      </c>
    </row>
    <row r="23">
      <c r="A23" s="26" t="n">
        <v>18</v>
      </c>
      <c r="B23" s="30" t="n"/>
      <c r="C23" s="30" t="n"/>
      <c r="D23" s="30" t="n"/>
      <c r="E23" s="30" t="n"/>
      <c r="F23" s="30" t="n"/>
      <c r="G23" s="30" t="n"/>
      <c r="H23" s="30" t="n"/>
      <c r="I23" s="30" t="n"/>
      <c r="K23" s="31">
        <f>COUNTIF(B23:E23,"?*")</f>
        <v/>
      </c>
      <c r="L23" s="26">
        <f>IF(K23=0,"","赤"&amp;SUMPRODUCT(COUNTIFS(計算用!$AO$2:$AO$186,"男"&amp;B23:E23,計算用!$I$2:$I$186,"赤"))&amp;"白"&amp;SUMPRODUCT(COUNTIFS(計算用!$AO$2:$AO$186,"男"&amp;B23:E23,計算用!$I$2:$I$186,"白")))</f>
        <v/>
      </c>
      <c r="M23" s="31">
        <f>COUNTIF(F23:I23,"?*")</f>
        <v/>
      </c>
      <c r="N23" s="26">
        <f>IF(M23=0,"","赤"&amp;SUMPRODUCT(COUNTIFS(計算用!$AO$2:$AO$186,"女"&amp;F23:I23,計算用!$I$2:$I$186,"赤"))&amp;"白"&amp;SUMPRODUCT(COUNTIFS(計算用!$AO$2:$AO$186,"女"&amp;F23:I23,計算用!$I$2:$I$186,"白")))</f>
        <v/>
      </c>
      <c r="P23">
        <f>IFERROR(INDEX(計算用!$D$2:$D$186,MATCH(18,計算用!$AR$2:$AR$186,0))&amp;"（"&amp;INDEX(計算用!$M$2:$M$186,MATCH(18,計算用!$AR$2:$AR$186,0))&amp;"）","")</f>
        <v/>
      </c>
      <c r="Q23">
        <f>IFERROR(INDEX(計算用!$D$2:$D$186,MATCH(18,計算用!$AS$2:$AS$186,0))&amp;"（"&amp;INDEX(計算用!$M$2:$M$186,MATCH(18,計算用!$AS$2:$AS$186,0))&amp;"）","")</f>
        <v/>
      </c>
      <c r="S23" s="32">
        <f>'4人組'!D21&amp;""</f>
        <v/>
      </c>
      <c r="T23" s="32">
        <f>'4人組'!G21&amp;""</f>
        <v/>
      </c>
      <c r="U23" s="32">
        <f>'4人組'!J21&amp;""</f>
        <v/>
      </c>
      <c r="V23" s="32">
        <f>'4人組'!M21&amp;""</f>
        <v/>
      </c>
      <c r="W23" s="32">
        <f>'4人組'!T21&amp;""</f>
        <v/>
      </c>
      <c r="X23" s="32">
        <f>'4人組'!W21&amp;""</f>
        <v/>
      </c>
      <c r="Y23" s="32">
        <f>'4人組'!Z21&amp;""</f>
        <v/>
      </c>
      <c r="Z23" s="32">
        <f>'4人組'!AC21&amp;""</f>
        <v/>
      </c>
    </row>
    <row r="24">
      <c r="A24" s="26" t="n">
        <v>19</v>
      </c>
      <c r="B24" s="30" t="n"/>
      <c r="C24" s="30" t="n"/>
      <c r="D24" s="30" t="n"/>
      <c r="E24" s="30" t="n"/>
      <c r="F24" s="30" t="n"/>
      <c r="G24" s="30" t="n"/>
      <c r="H24" s="30" t="n"/>
      <c r="I24" s="30" t="n"/>
      <c r="K24" s="31">
        <f>COUNTIF(B24:E24,"?*")</f>
        <v/>
      </c>
      <c r="L24" s="26">
        <f>IF(K24=0,"","赤"&amp;SUMPRODUCT(COUNTIFS(計算用!$AO$2:$AO$186,"男"&amp;B24:E24,計算用!$I$2:$I$186,"赤"))&amp;"白"&amp;SUMPRODUCT(COUNTIFS(計算用!$AO$2:$AO$186,"男"&amp;B24:E24,計算用!$I$2:$I$186,"白")))</f>
        <v/>
      </c>
      <c r="M24" s="31">
        <f>COUNTIF(F24:I24,"?*")</f>
        <v/>
      </c>
      <c r="N24" s="26">
        <f>IF(M24=0,"","赤"&amp;SUMPRODUCT(COUNTIFS(計算用!$AO$2:$AO$186,"女"&amp;F24:I24,計算用!$I$2:$I$186,"赤"))&amp;"白"&amp;SUMPRODUCT(COUNTIFS(計算用!$AO$2:$AO$186,"女"&amp;F24:I24,計算用!$I$2:$I$186,"白")))</f>
        <v/>
      </c>
      <c r="P24">
        <f>IFERROR(INDEX(計算用!$D$2:$D$186,MATCH(19,計算用!$AR$2:$AR$186,0))&amp;"（"&amp;INDEX(計算用!$M$2:$M$186,MATCH(19,計算用!$AR$2:$AR$186,0))&amp;"）","")</f>
        <v/>
      </c>
      <c r="Q24">
        <f>IFERROR(INDEX(計算用!$D$2:$D$186,MATCH(19,計算用!$AS$2:$AS$186,0))&amp;"（"&amp;INDEX(計算用!$M$2:$M$186,MATCH(19,計算用!$AS$2:$AS$186,0))&amp;"）","")</f>
        <v/>
      </c>
      <c r="S24" s="32">
        <f>'4人組'!D22&amp;""</f>
        <v/>
      </c>
      <c r="T24" s="32">
        <f>'4人組'!G22&amp;""</f>
        <v/>
      </c>
      <c r="U24" s="32">
        <f>'4人組'!J22&amp;""</f>
        <v/>
      </c>
      <c r="V24" s="32">
        <f>'4人組'!M22&amp;""</f>
        <v/>
      </c>
      <c r="W24" s="32">
        <f>'4人組'!T22&amp;""</f>
        <v/>
      </c>
      <c r="X24" s="32">
        <f>'4人組'!W22&amp;""</f>
        <v/>
      </c>
      <c r="Y24" s="32">
        <f>'4人組'!Z22&amp;""</f>
        <v/>
      </c>
      <c r="Z24" s="32">
        <f>'4人組'!AC22&amp;""</f>
        <v/>
      </c>
    </row>
    <row r="25">
      <c r="A25" s="26" t="n">
        <v>20</v>
      </c>
      <c r="B25" s="30" t="n"/>
      <c r="C25" s="30" t="n"/>
      <c r="D25" s="30" t="n"/>
      <c r="E25" s="30" t="n"/>
      <c r="F25" s="30" t="n"/>
      <c r="G25" s="30" t="n"/>
      <c r="H25" s="30" t="n"/>
      <c r="I25" s="30" t="n"/>
      <c r="K25" s="31">
        <f>COUNTIF(B25:E25,"?*")</f>
        <v/>
      </c>
      <c r="L25" s="26">
        <f>IF(K25=0,"","赤"&amp;SUMPRODUCT(COUNTIFS(計算用!$AO$2:$AO$186,"男"&amp;B25:E25,計算用!$I$2:$I$186,"赤"))&amp;"白"&amp;SUMPRODUCT(COUNTIFS(計算用!$AO$2:$AO$186,"男"&amp;B25:E25,計算用!$I$2:$I$186,"白")))</f>
        <v/>
      </c>
      <c r="M25" s="31">
        <f>COUNTIF(F25:I25,"?*")</f>
        <v/>
      </c>
      <c r="N25" s="26">
        <f>IF(M25=0,"","赤"&amp;SUMPRODUCT(COUNTIFS(計算用!$AO$2:$AO$186,"女"&amp;F25:I25,計算用!$I$2:$I$186,"赤"))&amp;"白"&amp;SUMPRODUCT(COUNTIFS(計算用!$AO$2:$AO$186,"女"&amp;F25:I25,計算用!$I$2:$I$186,"白")))</f>
        <v/>
      </c>
      <c r="P25">
        <f>IFERROR(INDEX(計算用!$D$2:$D$186,MATCH(20,計算用!$AR$2:$AR$186,0))&amp;"（"&amp;INDEX(計算用!$M$2:$M$186,MATCH(20,計算用!$AR$2:$AR$186,0))&amp;"）","")</f>
        <v/>
      </c>
      <c r="Q25">
        <f>IFERROR(INDEX(計算用!$D$2:$D$186,MATCH(20,計算用!$AS$2:$AS$186,0))&amp;"（"&amp;INDEX(計算用!$M$2:$M$186,MATCH(20,計算用!$AS$2:$AS$186,0))&amp;"）","")</f>
        <v/>
      </c>
      <c r="S25" s="32">
        <f>'4人組'!D23&amp;""</f>
        <v/>
      </c>
      <c r="T25" s="32">
        <f>'4人組'!G23&amp;""</f>
        <v/>
      </c>
      <c r="U25" s="32">
        <f>'4人組'!J23&amp;""</f>
        <v/>
      </c>
      <c r="V25" s="32">
        <f>'4人組'!M23&amp;""</f>
        <v/>
      </c>
      <c r="W25" s="32">
        <f>'4人組'!T23&amp;""</f>
        <v/>
      </c>
      <c r="X25" s="32">
        <f>'4人組'!W23&amp;""</f>
        <v/>
      </c>
      <c r="Y25" s="32">
        <f>'4人組'!Z23&amp;""</f>
        <v/>
      </c>
      <c r="Z25" s="32">
        <f>'4人組'!AC23&amp;""</f>
        <v/>
      </c>
    </row>
    <row r="26">
      <c r="A26" s="26" t="n">
        <v>21</v>
      </c>
      <c r="B26" s="30" t="n"/>
      <c r="C26" s="30" t="n"/>
      <c r="D26" s="30" t="n"/>
      <c r="E26" s="30" t="n"/>
      <c r="F26" s="30" t="n"/>
      <c r="G26" s="30" t="n"/>
      <c r="H26" s="30" t="n"/>
      <c r="I26" s="30" t="n"/>
      <c r="K26" s="31">
        <f>COUNTIF(B26:E26,"?*")</f>
        <v/>
      </c>
      <c r="L26" s="26">
        <f>IF(K26=0,"","赤"&amp;SUMPRODUCT(COUNTIFS(計算用!$AO$2:$AO$186,"男"&amp;B26:E26,計算用!$I$2:$I$186,"赤"))&amp;"白"&amp;SUMPRODUCT(COUNTIFS(計算用!$AO$2:$AO$186,"男"&amp;B26:E26,計算用!$I$2:$I$186,"白")))</f>
        <v/>
      </c>
      <c r="M26" s="31">
        <f>COUNTIF(F26:I26,"?*")</f>
        <v/>
      </c>
      <c r="N26" s="26">
        <f>IF(M26=0,"","赤"&amp;SUMPRODUCT(COUNTIFS(計算用!$AO$2:$AO$186,"女"&amp;F26:I26,計算用!$I$2:$I$186,"赤"))&amp;"白"&amp;SUMPRODUCT(COUNTIFS(計算用!$AO$2:$AO$186,"女"&amp;F26:I26,計算用!$I$2:$I$186,"白")))</f>
        <v/>
      </c>
      <c r="P26">
        <f>IFERROR(INDEX(計算用!$D$2:$D$186,MATCH(21,計算用!$AR$2:$AR$186,0))&amp;"（"&amp;INDEX(計算用!$M$2:$M$186,MATCH(21,計算用!$AR$2:$AR$186,0))&amp;"）","")</f>
        <v/>
      </c>
      <c r="Q26">
        <f>IFERROR(INDEX(計算用!$D$2:$D$186,MATCH(21,計算用!$AS$2:$AS$186,0))&amp;"（"&amp;INDEX(計算用!$M$2:$M$186,MATCH(21,計算用!$AS$2:$AS$186,0))&amp;"）","")</f>
        <v/>
      </c>
      <c r="S26" s="32">
        <f>'4人組'!D24&amp;""</f>
        <v/>
      </c>
      <c r="T26" s="32">
        <f>'4人組'!G24&amp;""</f>
        <v/>
      </c>
      <c r="U26" s="32">
        <f>'4人組'!J24&amp;""</f>
        <v/>
      </c>
      <c r="V26" s="32">
        <f>'4人組'!M24&amp;""</f>
        <v/>
      </c>
      <c r="W26" s="32">
        <f>'4人組'!T24&amp;""</f>
        <v/>
      </c>
      <c r="X26" s="32">
        <f>'4人組'!W24&amp;""</f>
        <v/>
      </c>
      <c r="Y26" s="32">
        <f>'4人組'!Z24&amp;""</f>
        <v/>
      </c>
      <c r="Z26" s="32">
        <f>'4人組'!AC24&amp;""</f>
        <v/>
      </c>
    </row>
    <row r="27">
      <c r="A27" s="26" t="n">
        <v>22</v>
      </c>
      <c r="B27" s="30" t="n"/>
      <c r="C27" s="30" t="n"/>
      <c r="D27" s="30" t="n"/>
      <c r="E27" s="30" t="n"/>
      <c r="F27" s="30" t="n"/>
      <c r="G27" s="30" t="n"/>
      <c r="H27" s="30" t="n"/>
      <c r="I27" s="30" t="n"/>
      <c r="K27" s="31">
        <f>COUNTIF(B27:E27,"?*")</f>
        <v/>
      </c>
      <c r="L27" s="26">
        <f>IF(K27=0,"","赤"&amp;SUMPRODUCT(COUNTIFS(計算用!$AO$2:$AO$186,"男"&amp;B27:E27,計算用!$I$2:$I$186,"赤"))&amp;"白"&amp;SUMPRODUCT(COUNTIFS(計算用!$AO$2:$AO$186,"男"&amp;B27:E27,計算用!$I$2:$I$186,"白")))</f>
        <v/>
      </c>
      <c r="M27" s="31">
        <f>COUNTIF(F27:I27,"?*")</f>
        <v/>
      </c>
      <c r="N27" s="26">
        <f>IF(M27=0,"","赤"&amp;SUMPRODUCT(COUNTIFS(計算用!$AO$2:$AO$186,"女"&amp;F27:I27,計算用!$I$2:$I$186,"赤"))&amp;"白"&amp;SUMPRODUCT(COUNTIFS(計算用!$AO$2:$AO$186,"女"&amp;F27:I27,計算用!$I$2:$I$186,"白")))</f>
        <v/>
      </c>
      <c r="P27">
        <f>IFERROR(INDEX(計算用!$D$2:$D$186,MATCH(22,計算用!$AR$2:$AR$186,0))&amp;"（"&amp;INDEX(計算用!$M$2:$M$186,MATCH(22,計算用!$AR$2:$AR$186,0))&amp;"）","")</f>
        <v/>
      </c>
      <c r="Q27">
        <f>IFERROR(INDEX(計算用!$D$2:$D$186,MATCH(22,計算用!$AS$2:$AS$186,0))&amp;"（"&amp;INDEX(計算用!$M$2:$M$186,MATCH(22,計算用!$AS$2:$AS$186,0))&amp;"）","")</f>
        <v/>
      </c>
      <c r="S27" s="32">
        <f>'4人組'!D25&amp;""</f>
        <v/>
      </c>
      <c r="T27" s="32">
        <f>'4人組'!G25&amp;""</f>
        <v/>
      </c>
      <c r="U27" s="32">
        <f>'4人組'!J25&amp;""</f>
        <v/>
      </c>
      <c r="V27" s="32">
        <f>'4人組'!M25&amp;""</f>
        <v/>
      </c>
      <c r="W27" s="32">
        <f>'4人組'!T25&amp;""</f>
        <v/>
      </c>
      <c r="X27" s="32">
        <f>'4人組'!W25&amp;""</f>
        <v/>
      </c>
      <c r="Y27" s="32">
        <f>'4人組'!Z25&amp;""</f>
        <v/>
      </c>
      <c r="Z27" s="32">
        <f>'4人組'!AC25&amp;""</f>
        <v/>
      </c>
    </row>
    <row r="28">
      <c r="A28" s="26" t="n">
        <v>23</v>
      </c>
      <c r="B28" s="30" t="n"/>
      <c r="C28" s="30" t="n"/>
      <c r="D28" s="30" t="n"/>
      <c r="E28" s="30" t="n"/>
      <c r="F28" s="30" t="n"/>
      <c r="G28" s="30" t="n"/>
      <c r="H28" s="30" t="n"/>
      <c r="I28" s="30" t="n"/>
      <c r="K28" s="31">
        <f>COUNTIF(B28:E28,"?*")</f>
        <v/>
      </c>
      <c r="L28" s="26">
        <f>IF(K28=0,"","赤"&amp;SUMPRODUCT(COUNTIFS(計算用!$AO$2:$AO$186,"男"&amp;B28:E28,計算用!$I$2:$I$186,"赤"))&amp;"白"&amp;SUMPRODUCT(COUNTIFS(計算用!$AO$2:$AO$186,"男"&amp;B28:E28,計算用!$I$2:$I$186,"白")))</f>
        <v/>
      </c>
      <c r="M28" s="31">
        <f>COUNTIF(F28:I28,"?*")</f>
        <v/>
      </c>
      <c r="N28" s="26">
        <f>IF(M28=0,"","赤"&amp;SUMPRODUCT(COUNTIFS(計算用!$AO$2:$AO$186,"女"&amp;F28:I28,計算用!$I$2:$I$186,"赤"))&amp;"白"&amp;SUMPRODUCT(COUNTIFS(計算用!$AO$2:$AO$186,"女"&amp;F28:I28,計算用!$I$2:$I$186,"白")))</f>
        <v/>
      </c>
      <c r="P28">
        <f>IFERROR(INDEX(計算用!$D$2:$D$186,MATCH(23,計算用!$AR$2:$AR$186,0))&amp;"（"&amp;INDEX(計算用!$M$2:$M$186,MATCH(23,計算用!$AR$2:$AR$186,0))&amp;"）","")</f>
        <v/>
      </c>
      <c r="Q28">
        <f>IFERROR(INDEX(計算用!$D$2:$D$186,MATCH(23,計算用!$AS$2:$AS$186,0))&amp;"（"&amp;INDEX(計算用!$M$2:$M$186,MATCH(23,計算用!$AS$2:$AS$186,0))&amp;"）","")</f>
        <v/>
      </c>
      <c r="S28" s="32">
        <f>'4人組'!D26&amp;""</f>
        <v/>
      </c>
      <c r="T28" s="32">
        <f>'4人組'!G26&amp;""</f>
        <v/>
      </c>
      <c r="U28" s="32">
        <f>'4人組'!J26&amp;""</f>
        <v/>
      </c>
      <c r="V28" s="32">
        <f>'4人組'!M26&amp;""</f>
        <v/>
      </c>
      <c r="W28" s="32">
        <f>'4人組'!T26&amp;""</f>
        <v/>
      </c>
      <c r="X28" s="32">
        <f>'4人組'!W26&amp;""</f>
        <v/>
      </c>
      <c r="Y28" s="32">
        <f>'4人組'!Z26&amp;""</f>
        <v/>
      </c>
      <c r="Z28" s="32">
        <f>'4人組'!AC26&amp;""</f>
        <v/>
      </c>
    </row>
    <row r="29">
      <c r="A29" s="26" t="n">
        <v>24</v>
      </c>
      <c r="B29" s="30" t="n"/>
      <c r="C29" s="30" t="n"/>
      <c r="D29" s="30" t="n"/>
      <c r="E29" s="30" t="n"/>
      <c r="F29" s="30" t="n"/>
      <c r="G29" s="30" t="n"/>
      <c r="H29" s="30" t="n"/>
      <c r="I29" s="30" t="n"/>
      <c r="K29" s="31">
        <f>COUNTIF(B29:E29,"?*")</f>
        <v/>
      </c>
      <c r="L29" s="26">
        <f>IF(K29=0,"","赤"&amp;SUMPRODUCT(COUNTIFS(計算用!$AO$2:$AO$186,"男"&amp;B29:E29,計算用!$I$2:$I$186,"赤"))&amp;"白"&amp;SUMPRODUCT(COUNTIFS(計算用!$AO$2:$AO$186,"男"&amp;B29:E29,計算用!$I$2:$I$186,"白")))</f>
        <v/>
      </c>
      <c r="M29" s="31">
        <f>COUNTIF(F29:I29,"?*")</f>
        <v/>
      </c>
      <c r="N29" s="26">
        <f>IF(M29=0,"","赤"&amp;SUMPRODUCT(COUNTIFS(計算用!$AO$2:$AO$186,"女"&amp;F29:I29,計算用!$I$2:$I$186,"赤"))&amp;"白"&amp;SUMPRODUCT(COUNTIFS(計算用!$AO$2:$AO$186,"女"&amp;F29:I29,計算用!$I$2:$I$186,"白")))</f>
        <v/>
      </c>
      <c r="P29">
        <f>IFERROR(INDEX(計算用!$D$2:$D$186,MATCH(24,計算用!$AR$2:$AR$186,0))&amp;"（"&amp;INDEX(計算用!$M$2:$M$186,MATCH(24,計算用!$AR$2:$AR$186,0))&amp;"）","")</f>
        <v/>
      </c>
      <c r="Q29">
        <f>IFERROR(INDEX(計算用!$D$2:$D$186,MATCH(24,計算用!$AS$2:$AS$186,0))&amp;"（"&amp;INDEX(計算用!$M$2:$M$186,MATCH(24,計算用!$AS$2:$AS$186,0))&amp;"）","")</f>
        <v/>
      </c>
      <c r="S29" s="32">
        <f>'4人組'!D27&amp;""</f>
        <v/>
      </c>
      <c r="T29" s="32">
        <f>'4人組'!G27&amp;""</f>
        <v/>
      </c>
      <c r="U29" s="32">
        <f>'4人組'!J27&amp;""</f>
        <v/>
      </c>
      <c r="V29" s="32">
        <f>'4人組'!M27&amp;""</f>
        <v/>
      </c>
      <c r="W29" s="32">
        <f>'4人組'!T27&amp;""</f>
        <v/>
      </c>
      <c r="X29" s="32">
        <f>'4人組'!W27&amp;""</f>
        <v/>
      </c>
      <c r="Y29" s="32">
        <f>'4人組'!Z27&amp;""</f>
        <v/>
      </c>
      <c r="Z29" s="32">
        <f>'4人組'!AC27&amp;""</f>
        <v/>
      </c>
    </row>
    <row r="30">
      <c r="A30" s="26" t="n">
        <v>25</v>
      </c>
      <c r="B30" s="30" t="n"/>
      <c r="C30" s="30" t="n"/>
      <c r="D30" s="30" t="n"/>
      <c r="E30" s="30" t="n"/>
      <c r="F30" s="30" t="n"/>
      <c r="G30" s="30" t="n"/>
      <c r="H30" s="30" t="n"/>
      <c r="I30" s="30" t="n"/>
      <c r="K30" s="31">
        <f>COUNTIF(B30:E30,"?*")</f>
        <v/>
      </c>
      <c r="L30" s="26">
        <f>IF(K30=0,"","赤"&amp;SUMPRODUCT(COUNTIFS(計算用!$AO$2:$AO$186,"男"&amp;B30:E30,計算用!$I$2:$I$186,"赤"))&amp;"白"&amp;SUMPRODUCT(COUNTIFS(計算用!$AO$2:$AO$186,"男"&amp;B30:E30,計算用!$I$2:$I$186,"白")))</f>
        <v/>
      </c>
      <c r="M30" s="31">
        <f>COUNTIF(F30:I30,"?*")</f>
        <v/>
      </c>
      <c r="N30" s="26">
        <f>IF(M30=0,"","赤"&amp;SUMPRODUCT(COUNTIFS(計算用!$AO$2:$AO$186,"女"&amp;F30:I30,計算用!$I$2:$I$186,"赤"))&amp;"白"&amp;SUMPRODUCT(COUNTIFS(計算用!$AO$2:$AO$186,"女"&amp;F30:I30,計算用!$I$2:$I$186,"白")))</f>
        <v/>
      </c>
      <c r="P30">
        <f>IFERROR(INDEX(計算用!$D$2:$D$186,MATCH(25,計算用!$AR$2:$AR$186,0))&amp;"（"&amp;INDEX(計算用!$M$2:$M$186,MATCH(25,計算用!$AR$2:$AR$186,0))&amp;"）","")</f>
        <v/>
      </c>
      <c r="Q30">
        <f>IFERROR(INDEX(計算用!$D$2:$D$186,MATCH(25,計算用!$AS$2:$AS$186,0))&amp;"（"&amp;INDEX(計算用!$M$2:$M$186,MATCH(25,計算用!$AS$2:$AS$186,0))&amp;"）","")</f>
        <v/>
      </c>
      <c r="S30" s="32">
        <f>'4人組'!D28&amp;""</f>
        <v/>
      </c>
      <c r="T30" s="32">
        <f>'4人組'!G28&amp;""</f>
        <v/>
      </c>
      <c r="U30" s="32">
        <f>'4人組'!J28&amp;""</f>
        <v/>
      </c>
      <c r="V30" s="32">
        <f>'4人組'!M28&amp;""</f>
        <v/>
      </c>
      <c r="W30" s="32">
        <f>'4人組'!T28&amp;""</f>
        <v/>
      </c>
      <c r="X30" s="32">
        <f>'4人組'!W28&amp;""</f>
        <v/>
      </c>
      <c r="Y30" s="32">
        <f>'4人組'!Z28&amp;""</f>
        <v/>
      </c>
      <c r="Z30" s="32">
        <f>'4人組'!AC28&amp;""</f>
        <v/>
      </c>
    </row>
    <row r="31">
      <c r="A31" s="26" t="n">
        <v>26</v>
      </c>
      <c r="B31" s="30" t="n"/>
      <c r="C31" s="30" t="n"/>
      <c r="D31" s="30" t="n"/>
      <c r="E31" s="30" t="n"/>
      <c r="F31" s="30" t="n"/>
      <c r="G31" s="30" t="n"/>
      <c r="H31" s="30" t="n"/>
      <c r="I31" s="30" t="n"/>
      <c r="K31" s="31">
        <f>COUNTIF(B31:E31,"?*")</f>
        <v/>
      </c>
      <c r="L31" s="26">
        <f>IF(K31=0,"","赤"&amp;SUMPRODUCT(COUNTIFS(計算用!$AO$2:$AO$186,"男"&amp;B31:E31,計算用!$I$2:$I$186,"赤"))&amp;"白"&amp;SUMPRODUCT(COUNTIFS(計算用!$AO$2:$AO$186,"男"&amp;B31:E31,計算用!$I$2:$I$186,"白")))</f>
        <v/>
      </c>
      <c r="M31" s="31">
        <f>COUNTIF(F31:I31,"?*")</f>
        <v/>
      </c>
      <c r="N31" s="26">
        <f>IF(M31=0,"","赤"&amp;SUMPRODUCT(COUNTIFS(計算用!$AO$2:$AO$186,"女"&amp;F31:I31,計算用!$I$2:$I$186,"赤"))&amp;"白"&amp;SUMPRODUCT(COUNTIFS(計算用!$AO$2:$AO$186,"女"&amp;F31:I31,計算用!$I$2:$I$186,"白")))</f>
        <v/>
      </c>
      <c r="P31">
        <f>IFERROR(INDEX(計算用!$D$2:$D$186,MATCH(26,計算用!$AR$2:$AR$186,0))&amp;"（"&amp;INDEX(計算用!$M$2:$M$186,MATCH(26,計算用!$AR$2:$AR$186,0))&amp;"）","")</f>
        <v/>
      </c>
      <c r="Q31">
        <f>IFERROR(INDEX(計算用!$D$2:$D$186,MATCH(26,計算用!$AS$2:$AS$186,0))&amp;"（"&amp;INDEX(計算用!$M$2:$M$186,MATCH(26,計算用!$AS$2:$AS$186,0))&amp;"）","")</f>
        <v/>
      </c>
      <c r="S31" s="32">
        <f>'4人組'!D29&amp;""</f>
        <v/>
      </c>
      <c r="T31" s="32">
        <f>'4人組'!G29&amp;""</f>
        <v/>
      </c>
      <c r="U31" s="32">
        <f>'4人組'!J29&amp;""</f>
        <v/>
      </c>
      <c r="V31" s="32">
        <f>'4人組'!M29&amp;""</f>
        <v/>
      </c>
      <c r="W31" s="32">
        <f>'4人組'!T29&amp;""</f>
        <v/>
      </c>
      <c r="X31" s="32">
        <f>'4人組'!W29&amp;""</f>
        <v/>
      </c>
      <c r="Y31" s="32">
        <f>'4人組'!Z29&amp;""</f>
        <v/>
      </c>
      <c r="Z31" s="32">
        <f>'4人組'!AC29&amp;""</f>
        <v/>
      </c>
    </row>
    <row r="32">
      <c r="A32" s="26" t="n">
        <v>27</v>
      </c>
      <c r="B32" s="30" t="n"/>
      <c r="C32" s="30" t="n"/>
      <c r="D32" s="30" t="n"/>
      <c r="E32" s="30" t="n"/>
      <c r="F32" s="30" t="n"/>
      <c r="G32" s="30" t="n"/>
      <c r="H32" s="30" t="n"/>
      <c r="I32" s="30" t="n"/>
      <c r="K32" s="31">
        <f>COUNTIF(B32:E32,"?*")</f>
        <v/>
      </c>
      <c r="L32" s="26">
        <f>IF(K32=0,"","赤"&amp;SUMPRODUCT(COUNTIFS(計算用!$AO$2:$AO$186,"男"&amp;B32:E32,計算用!$I$2:$I$186,"赤"))&amp;"白"&amp;SUMPRODUCT(COUNTIFS(計算用!$AO$2:$AO$186,"男"&amp;B32:E32,計算用!$I$2:$I$186,"白")))</f>
        <v/>
      </c>
      <c r="M32" s="31">
        <f>COUNTIF(F32:I32,"?*")</f>
        <v/>
      </c>
      <c r="N32" s="26">
        <f>IF(M32=0,"","赤"&amp;SUMPRODUCT(COUNTIFS(計算用!$AO$2:$AO$186,"女"&amp;F32:I32,計算用!$I$2:$I$186,"赤"))&amp;"白"&amp;SUMPRODUCT(COUNTIFS(計算用!$AO$2:$AO$186,"女"&amp;F32:I32,計算用!$I$2:$I$186,"白")))</f>
        <v/>
      </c>
      <c r="P32">
        <f>IFERROR(INDEX(計算用!$D$2:$D$186,MATCH(27,計算用!$AR$2:$AR$186,0))&amp;"（"&amp;INDEX(計算用!$M$2:$M$186,MATCH(27,計算用!$AR$2:$AR$186,0))&amp;"）","")</f>
        <v/>
      </c>
      <c r="Q32">
        <f>IFERROR(INDEX(計算用!$D$2:$D$186,MATCH(27,計算用!$AS$2:$AS$186,0))&amp;"（"&amp;INDEX(計算用!$M$2:$M$186,MATCH(27,計算用!$AS$2:$AS$186,0))&amp;"）","")</f>
        <v/>
      </c>
      <c r="S32" s="32">
        <f>'4人組'!D30&amp;""</f>
        <v/>
      </c>
      <c r="T32" s="32">
        <f>'4人組'!G30&amp;""</f>
        <v/>
      </c>
      <c r="U32" s="32">
        <f>'4人組'!J30&amp;""</f>
        <v/>
      </c>
      <c r="V32" s="32">
        <f>'4人組'!M30&amp;""</f>
        <v/>
      </c>
      <c r="W32" s="32">
        <f>'4人組'!T30&amp;""</f>
        <v/>
      </c>
      <c r="X32" s="32">
        <f>'4人組'!W30&amp;""</f>
        <v/>
      </c>
      <c r="Y32" s="32">
        <f>'4人組'!Z30&amp;""</f>
        <v/>
      </c>
      <c r="Z32" s="32">
        <f>'4人組'!AC30&amp;""</f>
        <v/>
      </c>
    </row>
    <row r="33">
      <c r="A33" s="26" t="n">
        <v>28</v>
      </c>
      <c r="B33" s="30" t="n"/>
      <c r="C33" s="30" t="n"/>
      <c r="D33" s="30" t="n"/>
      <c r="E33" s="30" t="n"/>
      <c r="F33" s="30" t="n"/>
      <c r="G33" s="30" t="n"/>
      <c r="H33" s="30" t="n"/>
      <c r="I33" s="30" t="n"/>
      <c r="K33" s="31">
        <f>COUNTIF(B33:E33,"?*")</f>
        <v/>
      </c>
      <c r="L33" s="26">
        <f>IF(K33=0,"","赤"&amp;SUMPRODUCT(COUNTIFS(計算用!$AO$2:$AO$186,"男"&amp;B33:E33,計算用!$I$2:$I$186,"赤"))&amp;"白"&amp;SUMPRODUCT(COUNTIFS(計算用!$AO$2:$AO$186,"男"&amp;B33:E33,計算用!$I$2:$I$186,"白")))</f>
        <v/>
      </c>
      <c r="M33" s="31">
        <f>COUNTIF(F33:I33,"?*")</f>
        <v/>
      </c>
      <c r="N33" s="26">
        <f>IF(M33=0,"","赤"&amp;SUMPRODUCT(COUNTIFS(計算用!$AO$2:$AO$186,"女"&amp;F33:I33,計算用!$I$2:$I$186,"赤"))&amp;"白"&amp;SUMPRODUCT(COUNTIFS(計算用!$AO$2:$AO$186,"女"&amp;F33:I33,計算用!$I$2:$I$186,"白")))</f>
        <v/>
      </c>
      <c r="P33">
        <f>IFERROR(INDEX(計算用!$D$2:$D$186,MATCH(28,計算用!$AR$2:$AR$186,0))&amp;"（"&amp;INDEX(計算用!$M$2:$M$186,MATCH(28,計算用!$AR$2:$AR$186,0))&amp;"）","")</f>
        <v/>
      </c>
      <c r="Q33">
        <f>IFERROR(INDEX(計算用!$D$2:$D$186,MATCH(28,計算用!$AS$2:$AS$186,0))&amp;"（"&amp;INDEX(計算用!$M$2:$M$186,MATCH(28,計算用!$AS$2:$AS$186,0))&amp;"）","")</f>
        <v/>
      </c>
      <c r="S33" s="32">
        <f>'4人組'!D31&amp;""</f>
        <v/>
      </c>
      <c r="T33" s="32">
        <f>'4人組'!G31&amp;""</f>
        <v/>
      </c>
      <c r="U33" s="32">
        <f>'4人組'!J31&amp;""</f>
        <v/>
      </c>
      <c r="V33" s="32">
        <f>'4人組'!M31&amp;""</f>
        <v/>
      </c>
      <c r="W33" s="32">
        <f>'4人組'!T31&amp;""</f>
        <v/>
      </c>
      <c r="X33" s="32">
        <f>'4人組'!W31&amp;""</f>
        <v/>
      </c>
      <c r="Y33" s="32">
        <f>'4人組'!Z31&amp;""</f>
        <v/>
      </c>
      <c r="Z33" s="32">
        <f>'4人組'!AC31&amp;""</f>
        <v/>
      </c>
    </row>
    <row r="34">
      <c r="A34" s="26" t="n">
        <v>29</v>
      </c>
      <c r="B34" s="30" t="n"/>
      <c r="C34" s="30" t="n"/>
      <c r="D34" s="30" t="n"/>
      <c r="E34" s="30" t="n"/>
      <c r="F34" s="30" t="n"/>
      <c r="G34" s="30" t="n"/>
      <c r="H34" s="30" t="n"/>
      <c r="I34" s="30" t="n"/>
      <c r="K34" s="31">
        <f>COUNTIF(B34:E34,"?*")</f>
        <v/>
      </c>
      <c r="L34" s="26">
        <f>IF(K34=0,"","赤"&amp;SUMPRODUCT(COUNTIFS(計算用!$AO$2:$AO$186,"男"&amp;B34:E34,計算用!$I$2:$I$186,"赤"))&amp;"白"&amp;SUMPRODUCT(COUNTIFS(計算用!$AO$2:$AO$186,"男"&amp;B34:E34,計算用!$I$2:$I$186,"白")))</f>
        <v/>
      </c>
      <c r="M34" s="31">
        <f>COUNTIF(F34:I34,"?*")</f>
        <v/>
      </c>
      <c r="N34" s="26">
        <f>IF(M34=0,"","赤"&amp;SUMPRODUCT(COUNTIFS(計算用!$AO$2:$AO$186,"女"&amp;F34:I34,計算用!$I$2:$I$186,"赤"))&amp;"白"&amp;SUMPRODUCT(COUNTIFS(計算用!$AO$2:$AO$186,"女"&amp;F34:I34,計算用!$I$2:$I$186,"白")))</f>
        <v/>
      </c>
      <c r="P34">
        <f>IFERROR(INDEX(計算用!$D$2:$D$186,MATCH(29,計算用!$AR$2:$AR$186,0))&amp;"（"&amp;INDEX(計算用!$M$2:$M$186,MATCH(29,計算用!$AR$2:$AR$186,0))&amp;"）","")</f>
        <v/>
      </c>
      <c r="Q34">
        <f>IFERROR(INDEX(計算用!$D$2:$D$186,MATCH(29,計算用!$AS$2:$AS$186,0))&amp;"（"&amp;INDEX(計算用!$M$2:$M$186,MATCH(29,計算用!$AS$2:$AS$186,0))&amp;"）","")</f>
        <v/>
      </c>
      <c r="S34" s="32">
        <f>'4人組'!D32&amp;""</f>
        <v/>
      </c>
      <c r="T34" s="32">
        <f>'4人組'!G32&amp;""</f>
        <v/>
      </c>
      <c r="U34" s="32">
        <f>'4人組'!J32&amp;""</f>
        <v/>
      </c>
      <c r="V34" s="32">
        <f>'4人組'!M32&amp;""</f>
        <v/>
      </c>
      <c r="W34" s="32">
        <f>'4人組'!T32&amp;""</f>
        <v/>
      </c>
      <c r="X34" s="32">
        <f>'4人組'!W32&amp;""</f>
        <v/>
      </c>
      <c r="Y34" s="32">
        <f>'4人組'!Z32&amp;""</f>
        <v/>
      </c>
      <c r="Z34" s="32">
        <f>'4人組'!AC32&amp;""</f>
        <v/>
      </c>
    </row>
    <row r="35">
      <c r="A35" s="26" t="n">
        <v>30</v>
      </c>
      <c r="B35" s="30" t="n"/>
      <c r="C35" s="30" t="n"/>
      <c r="D35" s="30" t="n"/>
      <c r="E35" s="30" t="n"/>
      <c r="F35" s="30" t="n"/>
      <c r="G35" s="30" t="n"/>
      <c r="H35" s="30" t="n"/>
      <c r="I35" s="30" t="n"/>
      <c r="K35" s="31">
        <f>COUNTIF(B35:E35,"?*")</f>
        <v/>
      </c>
      <c r="L35" s="26">
        <f>IF(K35=0,"","赤"&amp;SUMPRODUCT(COUNTIFS(計算用!$AO$2:$AO$186,"男"&amp;B35:E35,計算用!$I$2:$I$186,"赤"))&amp;"白"&amp;SUMPRODUCT(COUNTIFS(計算用!$AO$2:$AO$186,"男"&amp;B35:E35,計算用!$I$2:$I$186,"白")))</f>
        <v/>
      </c>
      <c r="M35" s="31">
        <f>COUNTIF(F35:I35,"?*")</f>
        <v/>
      </c>
      <c r="N35" s="26">
        <f>IF(M35=0,"","赤"&amp;SUMPRODUCT(COUNTIFS(計算用!$AO$2:$AO$186,"女"&amp;F35:I35,計算用!$I$2:$I$186,"赤"))&amp;"白"&amp;SUMPRODUCT(COUNTIFS(計算用!$AO$2:$AO$186,"女"&amp;F35:I35,計算用!$I$2:$I$186,"白")))</f>
        <v/>
      </c>
      <c r="P35">
        <f>IFERROR(INDEX(計算用!$D$2:$D$186,MATCH(30,計算用!$AR$2:$AR$186,0))&amp;"（"&amp;INDEX(計算用!$M$2:$M$186,MATCH(30,計算用!$AR$2:$AR$186,0))&amp;"）","")</f>
        <v/>
      </c>
      <c r="Q35">
        <f>IFERROR(INDEX(計算用!$D$2:$D$186,MATCH(30,計算用!$AS$2:$AS$186,0))&amp;"（"&amp;INDEX(計算用!$M$2:$M$186,MATCH(30,計算用!$AS$2:$AS$186,0))&amp;"）","")</f>
        <v/>
      </c>
      <c r="S35" s="32">
        <f>'4人組'!D33&amp;""</f>
        <v/>
      </c>
      <c r="T35" s="32">
        <f>'4人組'!G33&amp;""</f>
        <v/>
      </c>
      <c r="U35" s="32">
        <f>'4人組'!J33&amp;""</f>
        <v/>
      </c>
      <c r="V35" s="32">
        <f>'4人組'!M33&amp;""</f>
        <v/>
      </c>
      <c r="W35" s="32">
        <f>'4人組'!T33&amp;""</f>
        <v/>
      </c>
      <c r="X35" s="32">
        <f>'4人組'!W33&amp;""</f>
        <v/>
      </c>
      <c r="Y35" s="32">
        <f>'4人組'!Z33&amp;""</f>
        <v/>
      </c>
      <c r="Z35" s="32">
        <f>'4人組'!AC33&amp;""</f>
        <v/>
      </c>
    </row>
    <row r="36">
      <c r="A36" s="26" t="n">
        <v>31</v>
      </c>
      <c r="B36" s="30" t="n"/>
      <c r="C36" s="30" t="n"/>
      <c r="D36" s="30" t="n"/>
      <c r="E36" s="30" t="n"/>
      <c r="F36" s="30" t="n"/>
      <c r="G36" s="30" t="n"/>
      <c r="H36" s="30" t="n"/>
      <c r="I36" s="30" t="n"/>
      <c r="K36" s="31">
        <f>COUNTIF(B36:E36,"?*")</f>
        <v/>
      </c>
      <c r="L36" s="26">
        <f>IF(K36=0,"","赤"&amp;SUMPRODUCT(COUNTIFS(計算用!$AO$2:$AO$186,"男"&amp;B36:E36,計算用!$I$2:$I$186,"赤"))&amp;"白"&amp;SUMPRODUCT(COUNTIFS(計算用!$AO$2:$AO$186,"男"&amp;B36:E36,計算用!$I$2:$I$186,"白")))</f>
        <v/>
      </c>
      <c r="M36" s="31">
        <f>COUNTIF(F36:I36,"?*")</f>
        <v/>
      </c>
      <c r="N36" s="26">
        <f>IF(M36=0,"","赤"&amp;SUMPRODUCT(COUNTIFS(計算用!$AO$2:$AO$186,"女"&amp;F36:I36,計算用!$I$2:$I$186,"赤"))&amp;"白"&amp;SUMPRODUCT(COUNTIFS(計算用!$AO$2:$AO$186,"女"&amp;F36:I36,計算用!$I$2:$I$186,"白")))</f>
        <v/>
      </c>
      <c r="P36">
        <f>IFERROR(INDEX(計算用!$D$2:$D$186,MATCH(31,計算用!$AR$2:$AR$186,0))&amp;"（"&amp;INDEX(計算用!$M$2:$M$186,MATCH(31,計算用!$AR$2:$AR$186,0))&amp;"）","")</f>
        <v/>
      </c>
      <c r="Q36">
        <f>IFERROR(INDEX(計算用!$D$2:$D$186,MATCH(31,計算用!$AS$2:$AS$186,0))&amp;"（"&amp;INDEX(計算用!$M$2:$M$186,MATCH(31,計算用!$AS$2:$AS$186,0))&amp;"）","")</f>
        <v/>
      </c>
      <c r="S36" s="32">
        <f>'4人組'!D34&amp;""</f>
        <v/>
      </c>
      <c r="T36" s="32">
        <f>'4人組'!G34&amp;""</f>
        <v/>
      </c>
      <c r="U36" s="32">
        <f>'4人組'!J34&amp;""</f>
        <v/>
      </c>
      <c r="V36" s="32">
        <f>'4人組'!M34&amp;""</f>
        <v/>
      </c>
      <c r="W36" s="32">
        <f>'4人組'!T34&amp;""</f>
        <v/>
      </c>
      <c r="X36" s="32">
        <f>'4人組'!W34&amp;""</f>
        <v/>
      </c>
      <c r="Y36" s="32">
        <f>'4人組'!Z34&amp;""</f>
        <v/>
      </c>
      <c r="Z36" s="32">
        <f>'4人組'!AC34&amp;""</f>
        <v/>
      </c>
    </row>
    <row r="37">
      <c r="A37" s="26" t="n">
        <v>32</v>
      </c>
      <c r="B37" s="30" t="n"/>
      <c r="C37" s="30" t="n"/>
      <c r="D37" s="30" t="n"/>
      <c r="E37" s="30" t="n"/>
      <c r="F37" s="30" t="n"/>
      <c r="G37" s="30" t="n"/>
      <c r="H37" s="30" t="n"/>
      <c r="I37" s="30" t="n"/>
      <c r="K37" s="31">
        <f>COUNTIF(B37:E37,"?*")</f>
        <v/>
      </c>
      <c r="L37" s="26">
        <f>IF(K37=0,"","赤"&amp;SUMPRODUCT(COUNTIFS(計算用!$AO$2:$AO$186,"男"&amp;B37:E37,計算用!$I$2:$I$186,"赤"))&amp;"白"&amp;SUMPRODUCT(COUNTIFS(計算用!$AO$2:$AO$186,"男"&amp;B37:E37,計算用!$I$2:$I$186,"白")))</f>
        <v/>
      </c>
      <c r="M37" s="31">
        <f>COUNTIF(F37:I37,"?*")</f>
        <v/>
      </c>
      <c r="N37" s="26">
        <f>IF(M37=0,"","赤"&amp;SUMPRODUCT(COUNTIFS(計算用!$AO$2:$AO$186,"女"&amp;F37:I37,計算用!$I$2:$I$186,"赤"))&amp;"白"&amp;SUMPRODUCT(COUNTIFS(計算用!$AO$2:$AO$186,"女"&amp;F37:I37,計算用!$I$2:$I$186,"白")))</f>
        <v/>
      </c>
      <c r="P37">
        <f>IFERROR(INDEX(計算用!$D$2:$D$186,MATCH(32,計算用!$AR$2:$AR$186,0))&amp;"（"&amp;INDEX(計算用!$M$2:$M$186,MATCH(32,計算用!$AR$2:$AR$186,0))&amp;"）","")</f>
        <v/>
      </c>
      <c r="Q37">
        <f>IFERROR(INDEX(計算用!$D$2:$D$186,MATCH(32,計算用!$AS$2:$AS$186,0))&amp;"（"&amp;INDEX(計算用!$M$2:$M$186,MATCH(32,計算用!$AS$2:$AS$186,0))&amp;"）","")</f>
        <v/>
      </c>
      <c r="S37" s="32">
        <f>'4人組'!D35&amp;""</f>
        <v/>
      </c>
      <c r="T37" s="32">
        <f>'4人組'!G35&amp;""</f>
        <v/>
      </c>
      <c r="U37" s="32">
        <f>'4人組'!J35&amp;""</f>
        <v/>
      </c>
      <c r="V37" s="32">
        <f>'4人組'!M35&amp;""</f>
        <v/>
      </c>
      <c r="W37" s="32">
        <f>'4人組'!T35&amp;""</f>
        <v/>
      </c>
      <c r="X37" s="32">
        <f>'4人組'!W35&amp;""</f>
        <v/>
      </c>
      <c r="Y37" s="32">
        <f>'4人組'!Z35&amp;""</f>
        <v/>
      </c>
      <c r="Z37" s="32">
        <f>'4人組'!AC35&amp;""</f>
        <v/>
      </c>
    </row>
    <row r="38">
      <c r="A38" s="26" t="n">
        <v>33</v>
      </c>
      <c r="B38" s="30" t="n"/>
      <c r="C38" s="30" t="n"/>
      <c r="D38" s="30" t="n"/>
      <c r="E38" s="30" t="n"/>
      <c r="F38" s="30" t="n"/>
      <c r="G38" s="30" t="n"/>
      <c r="H38" s="30" t="n"/>
      <c r="I38" s="30" t="n"/>
      <c r="K38" s="31">
        <f>COUNTIF(B38:E38,"?*")</f>
        <v/>
      </c>
      <c r="L38" s="26">
        <f>IF(K38=0,"","赤"&amp;SUMPRODUCT(COUNTIFS(計算用!$AO$2:$AO$186,"男"&amp;B38:E38,計算用!$I$2:$I$186,"赤"))&amp;"白"&amp;SUMPRODUCT(COUNTIFS(計算用!$AO$2:$AO$186,"男"&amp;B38:E38,計算用!$I$2:$I$186,"白")))</f>
        <v/>
      </c>
      <c r="M38" s="31">
        <f>COUNTIF(F38:I38,"?*")</f>
        <v/>
      </c>
      <c r="N38" s="26">
        <f>IF(M38=0,"","赤"&amp;SUMPRODUCT(COUNTIFS(計算用!$AO$2:$AO$186,"女"&amp;F38:I38,計算用!$I$2:$I$186,"赤"))&amp;"白"&amp;SUMPRODUCT(COUNTIFS(計算用!$AO$2:$AO$186,"女"&amp;F38:I38,計算用!$I$2:$I$186,"白")))</f>
        <v/>
      </c>
      <c r="P38">
        <f>IFERROR(INDEX(計算用!$D$2:$D$186,MATCH(33,計算用!$AR$2:$AR$186,0))&amp;"（"&amp;INDEX(計算用!$M$2:$M$186,MATCH(33,計算用!$AR$2:$AR$186,0))&amp;"）","")</f>
        <v/>
      </c>
      <c r="Q38">
        <f>IFERROR(INDEX(計算用!$D$2:$D$186,MATCH(33,計算用!$AS$2:$AS$186,0))&amp;"（"&amp;INDEX(計算用!$M$2:$M$186,MATCH(33,計算用!$AS$2:$AS$186,0))&amp;"）","")</f>
        <v/>
      </c>
      <c r="S38" s="32">
        <f>'4人組'!D36&amp;""</f>
        <v/>
      </c>
      <c r="T38" s="32">
        <f>'4人組'!G36&amp;""</f>
        <v/>
      </c>
      <c r="U38" s="32">
        <f>'4人組'!J36&amp;""</f>
        <v/>
      </c>
      <c r="V38" s="32">
        <f>'4人組'!M36&amp;""</f>
        <v/>
      </c>
      <c r="W38" s="32">
        <f>'4人組'!T36&amp;""</f>
        <v/>
      </c>
      <c r="X38" s="32">
        <f>'4人組'!W36&amp;""</f>
        <v/>
      </c>
      <c r="Y38" s="32">
        <f>'4人組'!Z36&amp;""</f>
        <v/>
      </c>
      <c r="Z38" s="32">
        <f>'4人組'!AC36&amp;""</f>
        <v/>
      </c>
    </row>
    <row r="39">
      <c r="A39" s="26" t="n">
        <v>34</v>
      </c>
      <c r="B39" s="30" t="n"/>
      <c r="C39" s="30" t="n"/>
      <c r="D39" s="30" t="n"/>
      <c r="E39" s="30" t="n"/>
      <c r="F39" s="30" t="n"/>
      <c r="G39" s="30" t="n"/>
      <c r="H39" s="30" t="n"/>
      <c r="I39" s="30" t="n"/>
      <c r="K39" s="31">
        <f>COUNTIF(B39:E39,"?*")</f>
        <v/>
      </c>
      <c r="L39" s="26">
        <f>IF(K39=0,"","赤"&amp;SUMPRODUCT(COUNTIFS(計算用!$AO$2:$AO$186,"男"&amp;B39:E39,計算用!$I$2:$I$186,"赤"))&amp;"白"&amp;SUMPRODUCT(COUNTIFS(計算用!$AO$2:$AO$186,"男"&amp;B39:E39,計算用!$I$2:$I$186,"白")))</f>
        <v/>
      </c>
      <c r="M39" s="31">
        <f>COUNTIF(F39:I39,"?*")</f>
        <v/>
      </c>
      <c r="N39" s="26">
        <f>IF(M39=0,"","赤"&amp;SUMPRODUCT(COUNTIFS(計算用!$AO$2:$AO$186,"女"&amp;F39:I39,計算用!$I$2:$I$186,"赤"))&amp;"白"&amp;SUMPRODUCT(COUNTIFS(計算用!$AO$2:$AO$186,"女"&amp;F39:I39,計算用!$I$2:$I$186,"白")))</f>
        <v/>
      </c>
      <c r="P39">
        <f>IFERROR(INDEX(計算用!$D$2:$D$186,MATCH(34,計算用!$AR$2:$AR$186,0))&amp;"（"&amp;INDEX(計算用!$M$2:$M$186,MATCH(34,計算用!$AR$2:$AR$186,0))&amp;"）","")</f>
        <v/>
      </c>
      <c r="Q39">
        <f>IFERROR(INDEX(計算用!$D$2:$D$186,MATCH(34,計算用!$AS$2:$AS$186,0))&amp;"（"&amp;INDEX(計算用!$M$2:$M$186,MATCH(34,計算用!$AS$2:$AS$186,0))&amp;"）","")</f>
        <v/>
      </c>
      <c r="S39" s="32">
        <f>'4人組'!D37&amp;""</f>
        <v/>
      </c>
      <c r="T39" s="32">
        <f>'4人組'!G37&amp;""</f>
        <v/>
      </c>
      <c r="U39" s="32">
        <f>'4人組'!J37&amp;""</f>
        <v/>
      </c>
      <c r="V39" s="32">
        <f>'4人組'!M37&amp;""</f>
        <v/>
      </c>
      <c r="W39" s="32">
        <f>'4人組'!T37&amp;""</f>
        <v/>
      </c>
      <c r="X39" s="32">
        <f>'4人組'!W37&amp;""</f>
        <v/>
      </c>
      <c r="Y39" s="32">
        <f>'4人組'!Z37&amp;""</f>
        <v/>
      </c>
      <c r="Z39" s="32">
        <f>'4人組'!AC37&amp;""</f>
        <v/>
      </c>
    </row>
    <row r="40">
      <c r="A40" s="26" t="n">
        <v>35</v>
      </c>
      <c r="B40" s="30" t="n"/>
      <c r="C40" s="30" t="n"/>
      <c r="D40" s="30" t="n"/>
      <c r="E40" s="30" t="n"/>
      <c r="F40" s="30" t="n"/>
      <c r="G40" s="30" t="n"/>
      <c r="H40" s="30" t="n"/>
      <c r="I40" s="30" t="n"/>
      <c r="K40" s="31">
        <f>COUNTIF(B40:E40,"?*")</f>
        <v/>
      </c>
      <c r="L40" s="26">
        <f>IF(K40=0,"","赤"&amp;SUMPRODUCT(COUNTIFS(計算用!$AO$2:$AO$186,"男"&amp;B40:E40,計算用!$I$2:$I$186,"赤"))&amp;"白"&amp;SUMPRODUCT(COUNTIFS(計算用!$AO$2:$AO$186,"男"&amp;B40:E40,計算用!$I$2:$I$186,"白")))</f>
        <v/>
      </c>
      <c r="M40" s="31">
        <f>COUNTIF(F40:I40,"?*")</f>
        <v/>
      </c>
      <c r="N40" s="26">
        <f>IF(M40=0,"","赤"&amp;SUMPRODUCT(COUNTIFS(計算用!$AO$2:$AO$186,"女"&amp;F40:I40,計算用!$I$2:$I$186,"赤"))&amp;"白"&amp;SUMPRODUCT(COUNTIFS(計算用!$AO$2:$AO$186,"女"&amp;F40:I40,計算用!$I$2:$I$186,"白")))</f>
        <v/>
      </c>
      <c r="P40">
        <f>IFERROR(INDEX(計算用!$D$2:$D$186,MATCH(35,計算用!$AR$2:$AR$186,0))&amp;"（"&amp;INDEX(計算用!$M$2:$M$186,MATCH(35,計算用!$AR$2:$AR$186,0))&amp;"）","")</f>
        <v/>
      </c>
      <c r="Q40">
        <f>IFERROR(INDEX(計算用!$D$2:$D$186,MATCH(35,計算用!$AS$2:$AS$186,0))&amp;"（"&amp;INDEX(計算用!$M$2:$M$186,MATCH(35,計算用!$AS$2:$AS$186,0))&amp;"）","")</f>
        <v/>
      </c>
      <c r="S40" s="32">
        <f>'4人組'!D38&amp;""</f>
        <v/>
      </c>
      <c r="T40" s="32">
        <f>'4人組'!G38&amp;""</f>
        <v/>
      </c>
      <c r="U40" s="32">
        <f>'4人組'!J38&amp;""</f>
        <v/>
      </c>
      <c r="V40" s="32">
        <f>'4人組'!M38&amp;""</f>
        <v/>
      </c>
      <c r="W40" s="32">
        <f>'4人組'!T38&amp;""</f>
        <v/>
      </c>
      <c r="X40" s="32">
        <f>'4人組'!W38&amp;""</f>
        <v/>
      </c>
      <c r="Y40" s="32">
        <f>'4人組'!Z38&amp;""</f>
        <v/>
      </c>
      <c r="Z40" s="32">
        <f>'4人組'!AC38&amp;""</f>
        <v/>
      </c>
    </row>
    <row r="41">
      <c r="A41" s="26" t="n">
        <v>36</v>
      </c>
      <c r="B41" s="30" t="n"/>
      <c r="C41" s="30" t="n"/>
      <c r="D41" s="30" t="n"/>
      <c r="E41" s="30" t="n"/>
      <c r="F41" s="30" t="n"/>
      <c r="G41" s="30" t="n"/>
      <c r="H41" s="30" t="n"/>
      <c r="I41" s="30" t="n"/>
      <c r="K41" s="31">
        <f>COUNTIF(B41:E41,"?*")</f>
        <v/>
      </c>
      <c r="L41" s="26">
        <f>IF(K41=0,"","赤"&amp;SUMPRODUCT(COUNTIFS(計算用!$AO$2:$AO$186,"男"&amp;B41:E41,計算用!$I$2:$I$186,"赤"))&amp;"白"&amp;SUMPRODUCT(COUNTIFS(計算用!$AO$2:$AO$186,"男"&amp;B41:E41,計算用!$I$2:$I$186,"白")))</f>
        <v/>
      </c>
      <c r="M41" s="31">
        <f>COUNTIF(F41:I41,"?*")</f>
        <v/>
      </c>
      <c r="N41" s="26">
        <f>IF(M41=0,"","赤"&amp;SUMPRODUCT(COUNTIFS(計算用!$AO$2:$AO$186,"女"&amp;F41:I41,計算用!$I$2:$I$186,"赤"))&amp;"白"&amp;SUMPRODUCT(COUNTIFS(計算用!$AO$2:$AO$186,"女"&amp;F41:I41,計算用!$I$2:$I$186,"白")))</f>
        <v/>
      </c>
      <c r="P41">
        <f>IFERROR(INDEX(計算用!$D$2:$D$186,MATCH(36,計算用!$AR$2:$AR$186,0))&amp;"（"&amp;INDEX(計算用!$M$2:$M$186,MATCH(36,計算用!$AR$2:$AR$186,0))&amp;"）","")</f>
        <v/>
      </c>
      <c r="Q41">
        <f>IFERROR(INDEX(計算用!$D$2:$D$186,MATCH(36,計算用!$AS$2:$AS$186,0))&amp;"（"&amp;INDEX(計算用!$M$2:$M$186,MATCH(36,計算用!$AS$2:$AS$186,0))&amp;"）","")</f>
        <v/>
      </c>
      <c r="S41" s="32">
        <f>'4人組'!D39&amp;""</f>
        <v/>
      </c>
      <c r="T41" s="32">
        <f>'4人組'!G39&amp;""</f>
        <v/>
      </c>
      <c r="U41" s="32">
        <f>'4人組'!J39&amp;""</f>
        <v/>
      </c>
      <c r="V41" s="32">
        <f>'4人組'!M39&amp;""</f>
        <v/>
      </c>
      <c r="W41" s="32">
        <f>'4人組'!T39&amp;""</f>
        <v/>
      </c>
      <c r="X41" s="32">
        <f>'4人組'!W39&amp;""</f>
        <v/>
      </c>
      <c r="Y41" s="32">
        <f>'4人組'!Z39&amp;""</f>
        <v/>
      </c>
      <c r="Z41" s="32">
        <f>'4人組'!AC39&amp;""</f>
        <v/>
      </c>
    </row>
    <row r="42">
      <c r="A42" s="26" t="n">
        <v>37</v>
      </c>
      <c r="B42" s="30" t="n"/>
      <c r="C42" s="30" t="n"/>
      <c r="D42" s="30" t="n"/>
      <c r="E42" s="30" t="n"/>
      <c r="F42" s="30" t="n"/>
      <c r="G42" s="30" t="n"/>
      <c r="H42" s="30" t="n"/>
      <c r="I42" s="30" t="n"/>
      <c r="K42" s="31">
        <f>COUNTIF(B42:E42,"?*")</f>
        <v/>
      </c>
      <c r="L42" s="26">
        <f>IF(K42=0,"","赤"&amp;SUMPRODUCT(COUNTIFS(計算用!$AO$2:$AO$186,"男"&amp;B42:E42,計算用!$I$2:$I$186,"赤"))&amp;"白"&amp;SUMPRODUCT(COUNTIFS(計算用!$AO$2:$AO$186,"男"&amp;B42:E42,計算用!$I$2:$I$186,"白")))</f>
        <v/>
      </c>
      <c r="M42" s="31">
        <f>COUNTIF(F42:I42,"?*")</f>
        <v/>
      </c>
      <c r="N42" s="26">
        <f>IF(M42=0,"","赤"&amp;SUMPRODUCT(COUNTIFS(計算用!$AO$2:$AO$186,"女"&amp;F42:I42,計算用!$I$2:$I$186,"赤"))&amp;"白"&amp;SUMPRODUCT(COUNTIFS(計算用!$AO$2:$AO$186,"女"&amp;F42:I42,計算用!$I$2:$I$186,"白")))</f>
        <v/>
      </c>
      <c r="P42">
        <f>IFERROR(INDEX(計算用!$D$2:$D$186,MATCH(37,計算用!$AR$2:$AR$186,0))&amp;"（"&amp;INDEX(計算用!$M$2:$M$186,MATCH(37,計算用!$AR$2:$AR$186,0))&amp;"）","")</f>
        <v/>
      </c>
      <c r="Q42">
        <f>IFERROR(INDEX(計算用!$D$2:$D$186,MATCH(37,計算用!$AS$2:$AS$186,0))&amp;"（"&amp;INDEX(計算用!$M$2:$M$186,MATCH(37,計算用!$AS$2:$AS$186,0))&amp;"）","")</f>
        <v/>
      </c>
      <c r="S42" s="32">
        <f>'4人組'!D40&amp;""</f>
        <v/>
      </c>
      <c r="T42" s="32">
        <f>'4人組'!G40&amp;""</f>
        <v/>
      </c>
      <c r="U42" s="32">
        <f>'4人組'!J40&amp;""</f>
        <v/>
      </c>
      <c r="V42" s="32">
        <f>'4人組'!M40&amp;""</f>
        <v/>
      </c>
      <c r="W42" s="32">
        <f>'4人組'!T40&amp;""</f>
        <v/>
      </c>
      <c r="X42" s="32">
        <f>'4人組'!W40&amp;""</f>
        <v/>
      </c>
      <c r="Y42" s="32">
        <f>'4人組'!Z40&amp;""</f>
        <v/>
      </c>
      <c r="Z42" s="32">
        <f>'4人組'!AC40&amp;""</f>
        <v/>
      </c>
    </row>
    <row r="43">
      <c r="A43" s="26" t="n">
        <v>38</v>
      </c>
      <c r="B43" s="30" t="n"/>
      <c r="C43" s="30" t="n"/>
      <c r="D43" s="30" t="n"/>
      <c r="E43" s="30" t="n"/>
      <c r="F43" s="30" t="n"/>
      <c r="G43" s="30" t="n"/>
      <c r="H43" s="30" t="n"/>
      <c r="I43" s="30" t="n"/>
      <c r="K43" s="31">
        <f>COUNTIF(B43:E43,"?*")</f>
        <v/>
      </c>
      <c r="L43" s="26">
        <f>IF(K43=0,"","赤"&amp;SUMPRODUCT(COUNTIFS(計算用!$AO$2:$AO$186,"男"&amp;B43:E43,計算用!$I$2:$I$186,"赤"))&amp;"白"&amp;SUMPRODUCT(COUNTIFS(計算用!$AO$2:$AO$186,"男"&amp;B43:E43,計算用!$I$2:$I$186,"白")))</f>
        <v/>
      </c>
      <c r="M43" s="31">
        <f>COUNTIF(F43:I43,"?*")</f>
        <v/>
      </c>
      <c r="N43" s="26">
        <f>IF(M43=0,"","赤"&amp;SUMPRODUCT(COUNTIFS(計算用!$AO$2:$AO$186,"女"&amp;F43:I43,計算用!$I$2:$I$186,"赤"))&amp;"白"&amp;SUMPRODUCT(COUNTIFS(計算用!$AO$2:$AO$186,"女"&amp;F43:I43,計算用!$I$2:$I$186,"白")))</f>
        <v/>
      </c>
      <c r="P43">
        <f>IFERROR(INDEX(計算用!$D$2:$D$186,MATCH(38,計算用!$AR$2:$AR$186,0))&amp;"（"&amp;INDEX(計算用!$M$2:$M$186,MATCH(38,計算用!$AR$2:$AR$186,0))&amp;"）","")</f>
        <v/>
      </c>
      <c r="Q43">
        <f>IFERROR(INDEX(計算用!$D$2:$D$186,MATCH(38,計算用!$AS$2:$AS$186,0))&amp;"（"&amp;INDEX(計算用!$M$2:$M$186,MATCH(38,計算用!$AS$2:$AS$186,0))&amp;"）","")</f>
        <v/>
      </c>
      <c r="S43" s="32">
        <f>'4人組'!D41&amp;""</f>
        <v/>
      </c>
      <c r="T43" s="32">
        <f>'4人組'!G41&amp;""</f>
        <v/>
      </c>
      <c r="U43" s="32">
        <f>'4人組'!J41&amp;""</f>
        <v/>
      </c>
      <c r="V43" s="32">
        <f>'4人組'!M41&amp;""</f>
        <v/>
      </c>
      <c r="W43" s="32">
        <f>'4人組'!T41&amp;""</f>
        <v/>
      </c>
      <c r="X43" s="32">
        <f>'4人組'!W41&amp;""</f>
        <v/>
      </c>
      <c r="Y43" s="32">
        <f>'4人組'!Z41&amp;""</f>
        <v/>
      </c>
      <c r="Z43" s="32">
        <f>'4人組'!AC41&amp;""</f>
        <v/>
      </c>
    </row>
    <row r="44">
      <c r="A44" s="26" t="n">
        <v>39</v>
      </c>
      <c r="B44" s="30" t="n"/>
      <c r="C44" s="30" t="n"/>
      <c r="D44" s="30" t="n"/>
      <c r="E44" s="30" t="n"/>
      <c r="F44" s="30" t="n"/>
      <c r="G44" s="30" t="n"/>
      <c r="H44" s="30" t="n"/>
      <c r="I44" s="30" t="n"/>
      <c r="K44" s="31">
        <f>COUNTIF(B44:E44,"?*")</f>
        <v/>
      </c>
      <c r="L44" s="26">
        <f>IF(K44=0,"","赤"&amp;SUMPRODUCT(COUNTIFS(計算用!$AO$2:$AO$186,"男"&amp;B44:E44,計算用!$I$2:$I$186,"赤"))&amp;"白"&amp;SUMPRODUCT(COUNTIFS(計算用!$AO$2:$AO$186,"男"&amp;B44:E44,計算用!$I$2:$I$186,"白")))</f>
        <v/>
      </c>
      <c r="M44" s="31">
        <f>COUNTIF(F44:I44,"?*")</f>
        <v/>
      </c>
      <c r="N44" s="26">
        <f>IF(M44=0,"","赤"&amp;SUMPRODUCT(COUNTIFS(計算用!$AO$2:$AO$186,"女"&amp;F44:I44,計算用!$I$2:$I$186,"赤"))&amp;"白"&amp;SUMPRODUCT(COUNTIFS(計算用!$AO$2:$AO$186,"女"&amp;F44:I44,計算用!$I$2:$I$186,"白")))</f>
        <v/>
      </c>
      <c r="P44">
        <f>IFERROR(INDEX(計算用!$D$2:$D$186,MATCH(39,計算用!$AR$2:$AR$186,0))&amp;"（"&amp;INDEX(計算用!$M$2:$M$186,MATCH(39,計算用!$AR$2:$AR$186,0))&amp;"）","")</f>
        <v/>
      </c>
      <c r="Q44">
        <f>IFERROR(INDEX(計算用!$D$2:$D$186,MATCH(39,計算用!$AS$2:$AS$186,0))&amp;"（"&amp;INDEX(計算用!$M$2:$M$186,MATCH(39,計算用!$AS$2:$AS$186,0))&amp;"）","")</f>
        <v/>
      </c>
      <c r="S44" s="32">
        <f>'4人組'!D42&amp;""</f>
        <v/>
      </c>
      <c r="T44" s="32">
        <f>'4人組'!G42&amp;""</f>
        <v/>
      </c>
      <c r="U44" s="32">
        <f>'4人組'!J42&amp;""</f>
        <v/>
      </c>
      <c r="V44" s="32">
        <f>'4人組'!M42&amp;""</f>
        <v/>
      </c>
      <c r="W44" s="32">
        <f>'4人組'!T42&amp;""</f>
        <v/>
      </c>
      <c r="X44" s="32">
        <f>'4人組'!W42&amp;""</f>
        <v/>
      </c>
      <c r="Y44" s="32">
        <f>'4人組'!Z42&amp;""</f>
        <v/>
      </c>
      <c r="Z44" s="32">
        <f>'4人組'!AC42&amp;""</f>
        <v/>
      </c>
    </row>
    <row r="45">
      <c r="A45" s="26" t="n">
        <v>40</v>
      </c>
      <c r="B45" s="30" t="n"/>
      <c r="C45" s="30" t="n"/>
      <c r="D45" s="30" t="n"/>
      <c r="E45" s="30" t="n"/>
      <c r="F45" s="30" t="n"/>
      <c r="G45" s="30" t="n"/>
      <c r="H45" s="30" t="n"/>
      <c r="I45" s="30" t="n"/>
      <c r="K45" s="31">
        <f>COUNTIF(B45:E45,"?*")</f>
        <v/>
      </c>
      <c r="L45" s="26">
        <f>IF(K45=0,"","赤"&amp;SUMPRODUCT(COUNTIFS(計算用!$AO$2:$AO$186,"男"&amp;B45:E45,計算用!$I$2:$I$186,"赤"))&amp;"白"&amp;SUMPRODUCT(COUNTIFS(計算用!$AO$2:$AO$186,"男"&amp;B45:E45,計算用!$I$2:$I$186,"白")))</f>
        <v/>
      </c>
      <c r="M45" s="31">
        <f>COUNTIF(F45:I45,"?*")</f>
        <v/>
      </c>
      <c r="N45" s="26">
        <f>IF(M45=0,"","赤"&amp;SUMPRODUCT(COUNTIFS(計算用!$AO$2:$AO$186,"女"&amp;F45:I45,計算用!$I$2:$I$186,"赤"))&amp;"白"&amp;SUMPRODUCT(COUNTIFS(計算用!$AO$2:$AO$186,"女"&amp;F45:I45,計算用!$I$2:$I$186,"白")))</f>
        <v/>
      </c>
      <c r="P45">
        <f>IFERROR(INDEX(計算用!$D$2:$D$186,MATCH(40,計算用!$AR$2:$AR$186,0))&amp;"（"&amp;INDEX(計算用!$M$2:$M$186,MATCH(40,計算用!$AR$2:$AR$186,0))&amp;"）","")</f>
        <v/>
      </c>
      <c r="Q45">
        <f>IFERROR(INDEX(計算用!$D$2:$D$186,MATCH(40,計算用!$AS$2:$AS$186,0))&amp;"（"&amp;INDEX(計算用!$M$2:$M$186,MATCH(40,計算用!$AS$2:$AS$186,0))&amp;"）","")</f>
        <v/>
      </c>
      <c r="S45" s="32">
        <f>'4人組'!D43&amp;""</f>
        <v/>
      </c>
      <c r="T45" s="32">
        <f>'4人組'!G43&amp;""</f>
        <v/>
      </c>
      <c r="U45" s="32">
        <f>'4人組'!J43&amp;""</f>
        <v/>
      </c>
      <c r="V45" s="32">
        <f>'4人組'!M43&amp;""</f>
        <v/>
      </c>
      <c r="W45" s="32">
        <f>'4人組'!T43&amp;""</f>
        <v/>
      </c>
      <c r="X45" s="32">
        <f>'4人組'!W43&amp;""</f>
        <v/>
      </c>
      <c r="Y45" s="32">
        <f>'4人組'!Z43&amp;""</f>
        <v/>
      </c>
      <c r="Z45" s="32">
        <f>'4人組'!AC43&amp;""</f>
        <v/>
      </c>
    </row>
    <row r="46">
      <c r="A46" s="26" t="n">
        <v>41</v>
      </c>
      <c r="B46" s="30" t="n"/>
      <c r="C46" s="30" t="n"/>
      <c r="D46" s="30" t="n"/>
      <c r="E46" s="30" t="n"/>
      <c r="F46" s="30" t="n"/>
      <c r="G46" s="30" t="n"/>
      <c r="H46" s="30" t="n"/>
      <c r="I46" s="30" t="n"/>
      <c r="K46" s="31">
        <f>COUNTIF(B46:E46,"?*")</f>
        <v/>
      </c>
      <c r="L46" s="26">
        <f>IF(K46=0,"","赤"&amp;SUMPRODUCT(COUNTIFS(計算用!$AO$2:$AO$186,"男"&amp;B46:E46,計算用!$I$2:$I$186,"赤"))&amp;"白"&amp;SUMPRODUCT(COUNTIFS(計算用!$AO$2:$AO$186,"男"&amp;B46:E46,計算用!$I$2:$I$186,"白")))</f>
        <v/>
      </c>
      <c r="M46" s="31">
        <f>COUNTIF(F46:I46,"?*")</f>
        <v/>
      </c>
      <c r="N46" s="26">
        <f>IF(M46=0,"","赤"&amp;SUMPRODUCT(COUNTIFS(計算用!$AO$2:$AO$186,"女"&amp;F46:I46,計算用!$I$2:$I$186,"赤"))&amp;"白"&amp;SUMPRODUCT(COUNTIFS(計算用!$AO$2:$AO$186,"女"&amp;F46:I46,計算用!$I$2:$I$186,"白")))</f>
        <v/>
      </c>
      <c r="P46">
        <f>IFERROR(INDEX(計算用!$D$2:$D$186,MATCH(41,計算用!$AR$2:$AR$186,0))&amp;"（"&amp;INDEX(計算用!$M$2:$M$186,MATCH(41,計算用!$AR$2:$AR$186,0))&amp;"）","")</f>
        <v/>
      </c>
      <c r="Q46">
        <f>IFERROR(INDEX(計算用!$D$2:$D$186,MATCH(41,計算用!$AS$2:$AS$186,0))&amp;"（"&amp;INDEX(計算用!$M$2:$M$186,MATCH(41,計算用!$AS$2:$AS$186,0))&amp;"）","")</f>
        <v/>
      </c>
      <c r="S46" s="32">
        <f>'4人組'!D44&amp;""</f>
        <v/>
      </c>
      <c r="T46" s="32">
        <f>'4人組'!G44&amp;""</f>
        <v/>
      </c>
      <c r="U46" s="32">
        <f>'4人組'!J44&amp;""</f>
        <v/>
      </c>
      <c r="V46" s="32">
        <f>'4人組'!M44&amp;""</f>
        <v/>
      </c>
      <c r="W46" s="32">
        <f>'4人組'!T44&amp;""</f>
        <v/>
      </c>
      <c r="X46" s="32">
        <f>'4人組'!W44&amp;""</f>
        <v/>
      </c>
      <c r="Y46" s="32">
        <f>'4人組'!Z44&amp;""</f>
        <v/>
      </c>
      <c r="Z46" s="32">
        <f>'4人組'!AC44&amp;""</f>
        <v/>
      </c>
    </row>
    <row r="47">
      <c r="A47" s="26" t="n">
        <v>42</v>
      </c>
      <c r="B47" s="30" t="n"/>
      <c r="C47" s="30" t="n"/>
      <c r="D47" s="30" t="n"/>
      <c r="E47" s="30" t="n"/>
      <c r="F47" s="30" t="n"/>
      <c r="G47" s="30" t="n"/>
      <c r="H47" s="30" t="n"/>
      <c r="I47" s="30" t="n"/>
      <c r="K47" s="31">
        <f>COUNTIF(B47:E47,"?*")</f>
        <v/>
      </c>
      <c r="L47" s="26">
        <f>IF(K47=0,"","赤"&amp;SUMPRODUCT(COUNTIFS(計算用!$AO$2:$AO$186,"男"&amp;B47:E47,計算用!$I$2:$I$186,"赤"))&amp;"白"&amp;SUMPRODUCT(COUNTIFS(計算用!$AO$2:$AO$186,"男"&amp;B47:E47,計算用!$I$2:$I$186,"白")))</f>
        <v/>
      </c>
      <c r="M47" s="31">
        <f>COUNTIF(F47:I47,"?*")</f>
        <v/>
      </c>
      <c r="N47" s="26">
        <f>IF(M47=0,"","赤"&amp;SUMPRODUCT(COUNTIFS(計算用!$AO$2:$AO$186,"女"&amp;F47:I47,計算用!$I$2:$I$186,"赤"))&amp;"白"&amp;SUMPRODUCT(COUNTIFS(計算用!$AO$2:$AO$186,"女"&amp;F47:I47,計算用!$I$2:$I$186,"白")))</f>
        <v/>
      </c>
      <c r="P47">
        <f>IFERROR(INDEX(計算用!$D$2:$D$186,MATCH(42,計算用!$AR$2:$AR$186,0))&amp;"（"&amp;INDEX(計算用!$M$2:$M$186,MATCH(42,計算用!$AR$2:$AR$186,0))&amp;"）","")</f>
        <v/>
      </c>
      <c r="Q47">
        <f>IFERROR(INDEX(計算用!$D$2:$D$186,MATCH(42,計算用!$AS$2:$AS$186,0))&amp;"（"&amp;INDEX(計算用!$M$2:$M$186,MATCH(42,計算用!$AS$2:$AS$186,0))&amp;"）","")</f>
        <v/>
      </c>
      <c r="S47" s="32">
        <f>'4人組'!D45&amp;""</f>
        <v/>
      </c>
      <c r="T47" s="32">
        <f>'4人組'!G45&amp;""</f>
        <v/>
      </c>
      <c r="U47" s="32">
        <f>'4人組'!J45&amp;""</f>
        <v/>
      </c>
      <c r="V47" s="32">
        <f>'4人組'!M45&amp;""</f>
        <v/>
      </c>
      <c r="W47" s="32">
        <f>'4人組'!T45&amp;""</f>
        <v/>
      </c>
      <c r="X47" s="32">
        <f>'4人組'!W45&amp;""</f>
        <v/>
      </c>
      <c r="Y47" s="32">
        <f>'4人組'!Z45&amp;""</f>
        <v/>
      </c>
      <c r="Z47" s="32">
        <f>'4人組'!AC45&amp;""</f>
        <v/>
      </c>
    </row>
    <row r="48">
      <c r="A48" s="26" t="n">
        <v>43</v>
      </c>
      <c r="B48" s="30" t="n"/>
      <c r="C48" s="30" t="n"/>
      <c r="D48" s="30" t="n"/>
      <c r="E48" s="30" t="n"/>
      <c r="F48" s="30" t="n"/>
      <c r="G48" s="30" t="n"/>
      <c r="H48" s="30" t="n"/>
      <c r="I48" s="30" t="n"/>
      <c r="K48" s="31">
        <f>COUNTIF(B48:E48,"?*")</f>
        <v/>
      </c>
      <c r="L48" s="26">
        <f>IF(K48=0,"","赤"&amp;SUMPRODUCT(COUNTIFS(計算用!$AO$2:$AO$186,"男"&amp;B48:E48,計算用!$I$2:$I$186,"赤"))&amp;"白"&amp;SUMPRODUCT(COUNTIFS(計算用!$AO$2:$AO$186,"男"&amp;B48:E48,計算用!$I$2:$I$186,"白")))</f>
        <v/>
      </c>
      <c r="M48" s="31">
        <f>COUNTIF(F48:I48,"?*")</f>
        <v/>
      </c>
      <c r="N48" s="26">
        <f>IF(M48=0,"","赤"&amp;SUMPRODUCT(COUNTIFS(計算用!$AO$2:$AO$186,"女"&amp;F48:I48,計算用!$I$2:$I$186,"赤"))&amp;"白"&amp;SUMPRODUCT(COUNTIFS(計算用!$AO$2:$AO$186,"女"&amp;F48:I48,計算用!$I$2:$I$186,"白")))</f>
        <v/>
      </c>
      <c r="P48">
        <f>IFERROR(INDEX(計算用!$D$2:$D$186,MATCH(43,計算用!$AR$2:$AR$186,0))&amp;"（"&amp;INDEX(計算用!$M$2:$M$186,MATCH(43,計算用!$AR$2:$AR$186,0))&amp;"）","")</f>
        <v/>
      </c>
      <c r="Q48">
        <f>IFERROR(INDEX(計算用!$D$2:$D$186,MATCH(43,計算用!$AS$2:$AS$186,0))&amp;"（"&amp;INDEX(計算用!$M$2:$M$186,MATCH(43,計算用!$AS$2:$AS$186,0))&amp;"）","")</f>
        <v/>
      </c>
      <c r="S48" s="32">
        <f>'4人組'!D46&amp;""</f>
        <v/>
      </c>
      <c r="T48" s="32">
        <f>'4人組'!G46&amp;""</f>
        <v/>
      </c>
      <c r="U48" s="32">
        <f>'4人組'!J46&amp;""</f>
        <v/>
      </c>
      <c r="V48" s="32">
        <f>'4人組'!M46&amp;""</f>
        <v/>
      </c>
      <c r="W48" s="32">
        <f>'4人組'!T46&amp;""</f>
        <v/>
      </c>
      <c r="X48" s="32">
        <f>'4人組'!W46&amp;""</f>
        <v/>
      </c>
      <c r="Y48" s="32">
        <f>'4人組'!Z46&amp;""</f>
        <v/>
      </c>
      <c r="Z48" s="32">
        <f>'4人組'!AC46&amp;""</f>
        <v/>
      </c>
    </row>
    <row r="49">
      <c r="A49" s="26" t="n">
        <v>44</v>
      </c>
      <c r="B49" s="30" t="n"/>
      <c r="C49" s="30" t="n"/>
      <c r="D49" s="30" t="n"/>
      <c r="E49" s="30" t="n"/>
      <c r="F49" s="30" t="n"/>
      <c r="G49" s="30" t="n"/>
      <c r="H49" s="30" t="n"/>
      <c r="I49" s="30" t="n"/>
      <c r="K49" s="31">
        <f>COUNTIF(B49:E49,"?*")</f>
        <v/>
      </c>
      <c r="L49" s="26">
        <f>IF(K49=0,"","赤"&amp;SUMPRODUCT(COUNTIFS(計算用!$AO$2:$AO$186,"男"&amp;B49:E49,計算用!$I$2:$I$186,"赤"))&amp;"白"&amp;SUMPRODUCT(COUNTIFS(計算用!$AO$2:$AO$186,"男"&amp;B49:E49,計算用!$I$2:$I$186,"白")))</f>
        <v/>
      </c>
      <c r="M49" s="31">
        <f>COUNTIF(F49:I49,"?*")</f>
        <v/>
      </c>
      <c r="N49" s="26">
        <f>IF(M49=0,"","赤"&amp;SUMPRODUCT(COUNTIFS(計算用!$AO$2:$AO$186,"女"&amp;F49:I49,計算用!$I$2:$I$186,"赤"))&amp;"白"&amp;SUMPRODUCT(COUNTIFS(計算用!$AO$2:$AO$186,"女"&amp;F49:I49,計算用!$I$2:$I$186,"白")))</f>
        <v/>
      </c>
      <c r="P49">
        <f>IFERROR(INDEX(計算用!$D$2:$D$186,MATCH(44,計算用!$AR$2:$AR$186,0))&amp;"（"&amp;INDEX(計算用!$M$2:$M$186,MATCH(44,計算用!$AR$2:$AR$186,0))&amp;"）","")</f>
        <v/>
      </c>
      <c r="Q49">
        <f>IFERROR(INDEX(計算用!$D$2:$D$186,MATCH(44,計算用!$AS$2:$AS$186,0))&amp;"（"&amp;INDEX(計算用!$M$2:$M$186,MATCH(44,計算用!$AS$2:$AS$186,0))&amp;"）","")</f>
        <v/>
      </c>
      <c r="S49" s="32">
        <f>'4人組'!D47&amp;""</f>
        <v/>
      </c>
      <c r="T49" s="32">
        <f>'4人組'!G47&amp;""</f>
        <v/>
      </c>
      <c r="U49" s="32">
        <f>'4人組'!J47&amp;""</f>
        <v/>
      </c>
      <c r="V49" s="32">
        <f>'4人組'!M47&amp;""</f>
        <v/>
      </c>
      <c r="W49" s="32">
        <f>'4人組'!T47&amp;""</f>
        <v/>
      </c>
      <c r="X49" s="32">
        <f>'4人組'!W47&amp;""</f>
        <v/>
      </c>
      <c r="Y49" s="32">
        <f>'4人組'!Z47&amp;""</f>
        <v/>
      </c>
      <c r="Z49" s="32">
        <f>'4人組'!AC47&amp;""</f>
        <v/>
      </c>
    </row>
    <row r="50">
      <c r="A50" s="26" t="n">
        <v>45</v>
      </c>
      <c r="B50" s="30" t="n"/>
      <c r="C50" s="30" t="n"/>
      <c r="D50" s="30" t="n"/>
      <c r="E50" s="30" t="n"/>
      <c r="F50" s="30" t="n"/>
      <c r="G50" s="30" t="n"/>
      <c r="H50" s="30" t="n"/>
      <c r="I50" s="30" t="n"/>
      <c r="K50" s="31">
        <f>COUNTIF(B50:E50,"?*")</f>
        <v/>
      </c>
      <c r="L50" s="26">
        <f>IF(K50=0,"","赤"&amp;SUMPRODUCT(COUNTIFS(計算用!$AO$2:$AO$186,"男"&amp;B50:E50,計算用!$I$2:$I$186,"赤"))&amp;"白"&amp;SUMPRODUCT(COUNTIFS(計算用!$AO$2:$AO$186,"男"&amp;B50:E50,計算用!$I$2:$I$186,"白")))</f>
        <v/>
      </c>
      <c r="M50" s="31">
        <f>COUNTIF(F50:I50,"?*")</f>
        <v/>
      </c>
      <c r="N50" s="26">
        <f>IF(M50=0,"","赤"&amp;SUMPRODUCT(COUNTIFS(計算用!$AO$2:$AO$186,"女"&amp;F50:I50,計算用!$I$2:$I$186,"赤"))&amp;"白"&amp;SUMPRODUCT(COUNTIFS(計算用!$AO$2:$AO$186,"女"&amp;F50:I50,計算用!$I$2:$I$186,"白")))</f>
        <v/>
      </c>
      <c r="P50">
        <f>IFERROR(INDEX(計算用!$D$2:$D$186,MATCH(45,計算用!$AR$2:$AR$186,0))&amp;"（"&amp;INDEX(計算用!$M$2:$M$186,MATCH(45,計算用!$AR$2:$AR$186,0))&amp;"）","")</f>
        <v/>
      </c>
      <c r="Q50">
        <f>IFERROR(INDEX(計算用!$D$2:$D$186,MATCH(45,計算用!$AS$2:$AS$186,0))&amp;"（"&amp;INDEX(計算用!$M$2:$M$186,MATCH(45,計算用!$AS$2:$AS$186,0))&amp;"）","")</f>
        <v/>
      </c>
      <c r="S50" s="32">
        <f>'4人組'!D48&amp;""</f>
        <v/>
      </c>
      <c r="T50" s="32">
        <f>'4人組'!G48&amp;""</f>
        <v/>
      </c>
      <c r="U50" s="32">
        <f>'4人組'!J48&amp;""</f>
        <v/>
      </c>
      <c r="V50" s="32">
        <f>'4人組'!M48&amp;""</f>
        <v/>
      </c>
      <c r="W50" s="32">
        <f>'4人組'!T48&amp;""</f>
        <v/>
      </c>
      <c r="X50" s="32">
        <f>'4人組'!W48&amp;""</f>
        <v/>
      </c>
      <c r="Y50" s="32">
        <f>'4人組'!Z48&amp;""</f>
        <v/>
      </c>
      <c r="Z50" s="32">
        <f>'4人組'!AC48&amp;""</f>
        <v/>
      </c>
    </row>
    <row r="51">
      <c r="A51" s="26" t="n">
        <v>46</v>
      </c>
      <c r="B51" s="30" t="n"/>
      <c r="C51" s="30" t="n"/>
      <c r="D51" s="30" t="n"/>
      <c r="E51" s="30" t="n"/>
      <c r="F51" s="30" t="n"/>
      <c r="G51" s="30" t="n"/>
      <c r="H51" s="30" t="n"/>
      <c r="I51" s="30" t="n"/>
      <c r="K51" s="31">
        <f>COUNTIF(B51:E51,"?*")</f>
        <v/>
      </c>
      <c r="L51" s="26">
        <f>IF(K51=0,"","赤"&amp;SUMPRODUCT(COUNTIFS(計算用!$AO$2:$AO$186,"男"&amp;B51:E51,計算用!$I$2:$I$186,"赤"))&amp;"白"&amp;SUMPRODUCT(COUNTIFS(計算用!$AO$2:$AO$186,"男"&amp;B51:E51,計算用!$I$2:$I$186,"白")))</f>
        <v/>
      </c>
      <c r="M51" s="31">
        <f>COUNTIF(F51:I51,"?*")</f>
        <v/>
      </c>
      <c r="N51" s="26">
        <f>IF(M51=0,"","赤"&amp;SUMPRODUCT(COUNTIFS(計算用!$AO$2:$AO$186,"女"&amp;F51:I51,計算用!$I$2:$I$186,"赤"))&amp;"白"&amp;SUMPRODUCT(COUNTIFS(計算用!$AO$2:$AO$186,"女"&amp;F51:I51,計算用!$I$2:$I$186,"白")))</f>
        <v/>
      </c>
      <c r="P51">
        <f>IFERROR(INDEX(計算用!$D$2:$D$186,MATCH(46,計算用!$AR$2:$AR$186,0))&amp;"（"&amp;INDEX(計算用!$M$2:$M$186,MATCH(46,計算用!$AR$2:$AR$186,0))&amp;"）","")</f>
        <v/>
      </c>
      <c r="Q51">
        <f>IFERROR(INDEX(計算用!$D$2:$D$186,MATCH(46,計算用!$AS$2:$AS$186,0))&amp;"（"&amp;INDEX(計算用!$M$2:$M$186,MATCH(46,計算用!$AS$2:$AS$186,0))&amp;"）","")</f>
        <v/>
      </c>
      <c r="S51" s="32">
        <f>'4人組'!D49&amp;""</f>
        <v/>
      </c>
      <c r="T51" s="32">
        <f>'4人組'!G49&amp;""</f>
        <v/>
      </c>
      <c r="U51" s="32">
        <f>'4人組'!J49&amp;""</f>
        <v/>
      </c>
      <c r="V51" s="32">
        <f>'4人組'!M49&amp;""</f>
        <v/>
      </c>
      <c r="W51" s="32">
        <f>'4人組'!T49&amp;""</f>
        <v/>
      </c>
      <c r="X51" s="32">
        <f>'4人組'!W49&amp;""</f>
        <v/>
      </c>
      <c r="Y51" s="32">
        <f>'4人組'!Z49&amp;""</f>
        <v/>
      </c>
      <c r="Z51" s="32">
        <f>'4人組'!AC49&amp;""</f>
        <v/>
      </c>
    </row>
    <row r="52">
      <c r="A52" s="26" t="n">
        <v>47</v>
      </c>
      <c r="B52" s="30" t="n"/>
      <c r="C52" s="30" t="n"/>
      <c r="D52" s="30" t="n"/>
      <c r="E52" s="30" t="n"/>
      <c r="F52" s="30" t="n"/>
      <c r="G52" s="30" t="n"/>
      <c r="H52" s="30" t="n"/>
      <c r="I52" s="30" t="n"/>
      <c r="K52" s="31">
        <f>COUNTIF(B52:E52,"?*")</f>
        <v/>
      </c>
      <c r="L52" s="26">
        <f>IF(K52=0,"","赤"&amp;SUMPRODUCT(COUNTIFS(計算用!$AO$2:$AO$186,"男"&amp;B52:E52,計算用!$I$2:$I$186,"赤"))&amp;"白"&amp;SUMPRODUCT(COUNTIFS(計算用!$AO$2:$AO$186,"男"&amp;B52:E52,計算用!$I$2:$I$186,"白")))</f>
        <v/>
      </c>
      <c r="M52" s="31">
        <f>COUNTIF(F52:I52,"?*")</f>
        <v/>
      </c>
      <c r="N52" s="26">
        <f>IF(M52=0,"","赤"&amp;SUMPRODUCT(COUNTIFS(計算用!$AO$2:$AO$186,"女"&amp;F52:I52,計算用!$I$2:$I$186,"赤"))&amp;"白"&amp;SUMPRODUCT(COUNTIFS(計算用!$AO$2:$AO$186,"女"&amp;F52:I52,計算用!$I$2:$I$186,"白")))</f>
        <v/>
      </c>
      <c r="P52">
        <f>IFERROR(INDEX(計算用!$D$2:$D$186,MATCH(47,計算用!$AR$2:$AR$186,0))&amp;"（"&amp;INDEX(計算用!$M$2:$M$186,MATCH(47,計算用!$AR$2:$AR$186,0))&amp;"）","")</f>
        <v/>
      </c>
      <c r="Q52">
        <f>IFERROR(INDEX(計算用!$D$2:$D$186,MATCH(47,計算用!$AS$2:$AS$186,0))&amp;"（"&amp;INDEX(計算用!$M$2:$M$186,MATCH(47,計算用!$AS$2:$AS$186,0))&amp;"）","")</f>
        <v/>
      </c>
      <c r="S52" s="32">
        <f>'4人組'!D50&amp;""</f>
        <v/>
      </c>
      <c r="T52" s="32">
        <f>'4人組'!G50&amp;""</f>
        <v/>
      </c>
      <c r="U52" s="32">
        <f>'4人組'!J50&amp;""</f>
        <v/>
      </c>
      <c r="V52" s="32">
        <f>'4人組'!M50&amp;""</f>
        <v/>
      </c>
      <c r="W52" s="32">
        <f>'4人組'!T50&amp;""</f>
        <v/>
      </c>
      <c r="X52" s="32">
        <f>'4人組'!W50&amp;""</f>
        <v/>
      </c>
      <c r="Y52" s="32">
        <f>'4人組'!Z50&amp;""</f>
        <v/>
      </c>
      <c r="Z52" s="32">
        <f>'4人組'!AC50&amp;""</f>
        <v/>
      </c>
    </row>
    <row r="53">
      <c r="A53" s="26" t="n">
        <v>48</v>
      </c>
      <c r="B53" s="30" t="n"/>
      <c r="C53" s="30" t="n"/>
      <c r="D53" s="30" t="n"/>
      <c r="E53" s="30" t="n"/>
      <c r="F53" s="30" t="n"/>
      <c r="G53" s="30" t="n"/>
      <c r="H53" s="30" t="n"/>
      <c r="I53" s="30" t="n"/>
      <c r="K53" s="31">
        <f>COUNTIF(B53:E53,"?*")</f>
        <v/>
      </c>
      <c r="L53" s="26">
        <f>IF(K53=0,"","赤"&amp;SUMPRODUCT(COUNTIFS(計算用!$AO$2:$AO$186,"男"&amp;B53:E53,計算用!$I$2:$I$186,"赤"))&amp;"白"&amp;SUMPRODUCT(COUNTIFS(計算用!$AO$2:$AO$186,"男"&amp;B53:E53,計算用!$I$2:$I$186,"白")))</f>
        <v/>
      </c>
      <c r="M53" s="31">
        <f>COUNTIF(F53:I53,"?*")</f>
        <v/>
      </c>
      <c r="N53" s="26">
        <f>IF(M53=0,"","赤"&amp;SUMPRODUCT(COUNTIFS(計算用!$AO$2:$AO$186,"女"&amp;F53:I53,計算用!$I$2:$I$186,"赤"))&amp;"白"&amp;SUMPRODUCT(COUNTIFS(計算用!$AO$2:$AO$186,"女"&amp;F53:I53,計算用!$I$2:$I$186,"白")))</f>
        <v/>
      </c>
      <c r="P53">
        <f>IFERROR(INDEX(計算用!$D$2:$D$186,MATCH(48,計算用!$AR$2:$AR$186,0))&amp;"（"&amp;INDEX(計算用!$M$2:$M$186,MATCH(48,計算用!$AR$2:$AR$186,0))&amp;"）","")</f>
        <v/>
      </c>
      <c r="Q53">
        <f>IFERROR(INDEX(計算用!$D$2:$D$186,MATCH(48,計算用!$AS$2:$AS$186,0))&amp;"（"&amp;INDEX(計算用!$M$2:$M$186,MATCH(48,計算用!$AS$2:$AS$186,0))&amp;"）","")</f>
        <v/>
      </c>
      <c r="S53" s="32">
        <f>'4人組'!D51&amp;""</f>
        <v/>
      </c>
      <c r="T53" s="32">
        <f>'4人組'!G51&amp;""</f>
        <v/>
      </c>
      <c r="U53" s="32">
        <f>'4人組'!J51&amp;""</f>
        <v/>
      </c>
      <c r="V53" s="32">
        <f>'4人組'!M51&amp;""</f>
        <v/>
      </c>
      <c r="W53" s="32">
        <f>'4人組'!T51&amp;""</f>
        <v/>
      </c>
      <c r="X53" s="32">
        <f>'4人組'!W51&amp;""</f>
        <v/>
      </c>
      <c r="Y53" s="32">
        <f>'4人組'!Z51&amp;""</f>
        <v/>
      </c>
      <c r="Z53" s="32">
        <f>'4人組'!AC51&amp;""</f>
        <v/>
      </c>
    </row>
    <row r="54">
      <c r="A54" s="26" t="n">
        <v>49</v>
      </c>
      <c r="B54" s="30" t="n"/>
      <c r="C54" s="30" t="n"/>
      <c r="D54" s="30" t="n"/>
      <c r="E54" s="30" t="n"/>
      <c r="F54" s="30" t="n"/>
      <c r="G54" s="30" t="n"/>
      <c r="H54" s="30" t="n"/>
      <c r="I54" s="30" t="n"/>
      <c r="K54" s="31">
        <f>COUNTIF(B54:E54,"?*")</f>
        <v/>
      </c>
      <c r="L54" s="26">
        <f>IF(K54=0,"","赤"&amp;SUMPRODUCT(COUNTIFS(計算用!$AO$2:$AO$186,"男"&amp;B54:E54,計算用!$I$2:$I$186,"赤"))&amp;"白"&amp;SUMPRODUCT(COUNTIFS(計算用!$AO$2:$AO$186,"男"&amp;B54:E54,計算用!$I$2:$I$186,"白")))</f>
        <v/>
      </c>
      <c r="M54" s="31">
        <f>COUNTIF(F54:I54,"?*")</f>
        <v/>
      </c>
      <c r="N54" s="26">
        <f>IF(M54=0,"","赤"&amp;SUMPRODUCT(COUNTIFS(計算用!$AO$2:$AO$186,"女"&amp;F54:I54,計算用!$I$2:$I$186,"赤"))&amp;"白"&amp;SUMPRODUCT(COUNTIFS(計算用!$AO$2:$AO$186,"女"&amp;F54:I54,計算用!$I$2:$I$186,"白")))</f>
        <v/>
      </c>
      <c r="P54">
        <f>IFERROR(INDEX(計算用!$D$2:$D$186,MATCH(49,計算用!$AR$2:$AR$186,0))&amp;"（"&amp;INDEX(計算用!$M$2:$M$186,MATCH(49,計算用!$AR$2:$AR$186,0))&amp;"）","")</f>
        <v/>
      </c>
      <c r="Q54">
        <f>IFERROR(INDEX(計算用!$D$2:$D$186,MATCH(49,計算用!$AS$2:$AS$186,0))&amp;"（"&amp;INDEX(計算用!$M$2:$M$186,MATCH(49,計算用!$AS$2:$AS$186,0))&amp;"）","")</f>
        <v/>
      </c>
      <c r="S54" s="32">
        <f>'4人組'!D52&amp;""</f>
        <v/>
      </c>
      <c r="T54" s="32">
        <f>'4人組'!G52&amp;""</f>
        <v/>
      </c>
      <c r="U54" s="32">
        <f>'4人組'!J52&amp;""</f>
        <v/>
      </c>
      <c r="V54" s="32">
        <f>'4人組'!M52&amp;""</f>
        <v/>
      </c>
      <c r="W54" s="32">
        <f>'4人組'!T52&amp;""</f>
        <v/>
      </c>
      <c r="X54" s="32">
        <f>'4人組'!W52&amp;""</f>
        <v/>
      </c>
      <c r="Y54" s="32">
        <f>'4人組'!Z52&amp;""</f>
        <v/>
      </c>
      <c r="Z54" s="32">
        <f>'4人組'!AC52&amp;""</f>
        <v/>
      </c>
    </row>
    <row r="55">
      <c r="A55" s="26" t="n">
        <v>50</v>
      </c>
      <c r="B55" s="30" t="n"/>
      <c r="C55" s="30" t="n"/>
      <c r="D55" s="30" t="n"/>
      <c r="E55" s="30" t="n"/>
      <c r="F55" s="30" t="n"/>
      <c r="G55" s="30" t="n"/>
      <c r="H55" s="30" t="n"/>
      <c r="I55" s="30" t="n"/>
      <c r="K55" s="31">
        <f>COUNTIF(B55:E55,"?*")</f>
        <v/>
      </c>
      <c r="L55" s="26">
        <f>IF(K55=0,"","赤"&amp;SUMPRODUCT(COUNTIFS(計算用!$AO$2:$AO$186,"男"&amp;B55:E55,計算用!$I$2:$I$186,"赤"))&amp;"白"&amp;SUMPRODUCT(COUNTIFS(計算用!$AO$2:$AO$186,"男"&amp;B55:E55,計算用!$I$2:$I$186,"白")))</f>
        <v/>
      </c>
      <c r="M55" s="31">
        <f>COUNTIF(F55:I55,"?*")</f>
        <v/>
      </c>
      <c r="N55" s="26">
        <f>IF(M55=0,"","赤"&amp;SUMPRODUCT(COUNTIFS(計算用!$AO$2:$AO$186,"女"&amp;F55:I55,計算用!$I$2:$I$186,"赤"))&amp;"白"&amp;SUMPRODUCT(COUNTIFS(計算用!$AO$2:$AO$186,"女"&amp;F55:I55,計算用!$I$2:$I$186,"白")))</f>
        <v/>
      </c>
      <c r="P55">
        <f>IFERROR(INDEX(計算用!$D$2:$D$186,MATCH(50,計算用!$AR$2:$AR$186,0))&amp;"（"&amp;INDEX(計算用!$M$2:$M$186,MATCH(50,計算用!$AR$2:$AR$186,0))&amp;"）","")</f>
        <v/>
      </c>
      <c r="Q55">
        <f>IFERROR(INDEX(計算用!$D$2:$D$186,MATCH(50,計算用!$AS$2:$AS$186,0))&amp;"（"&amp;INDEX(計算用!$M$2:$M$186,MATCH(50,計算用!$AS$2:$AS$186,0))&amp;"）","")</f>
        <v/>
      </c>
      <c r="S55" s="32">
        <f>'4人組'!D53&amp;""</f>
        <v/>
      </c>
      <c r="T55" s="32">
        <f>'4人組'!G53&amp;""</f>
        <v/>
      </c>
      <c r="U55" s="32">
        <f>'4人組'!J53&amp;""</f>
        <v/>
      </c>
      <c r="V55" s="32">
        <f>'4人組'!M53&amp;""</f>
        <v/>
      </c>
      <c r="W55" s="32">
        <f>'4人組'!T53&amp;""</f>
        <v/>
      </c>
      <c r="X55" s="32">
        <f>'4人組'!W53&amp;""</f>
        <v/>
      </c>
      <c r="Y55" s="32">
        <f>'4人組'!Z53&amp;""</f>
        <v/>
      </c>
      <c r="Z55" s="32">
        <f>'4人組'!AC53&amp;""</f>
        <v/>
      </c>
    </row>
  </sheetData>
  <mergeCells count="10">
    <mergeCell ref="P4:Q4"/>
    <mergeCell ref="S3:Z3"/>
    <mergeCell ref="B4:E4"/>
    <mergeCell ref="S4:V4"/>
    <mergeCell ref="A4:A5"/>
    <mergeCell ref="F4:I4"/>
    <mergeCell ref="W4:Z4"/>
    <mergeCell ref="C1:Z1"/>
    <mergeCell ref="K4:L4"/>
    <mergeCell ref="M4:N4"/>
  </mergeCells>
  <conditionalFormatting sqref="B6:E55">
    <cfRule type="expression" priority="1" dxfId="11" stopIfTrue="1">
      <formula>AND(B6&lt;&gt;"",OR(COUNTIF(計算用!$AO$2:$AO$186,"男"&amp;B6)=0,COUNTIF($B$6:$E$55,B6)&gt;1))</formula>
    </cfRule>
    <cfRule type="expression" priority="2" dxfId="9">
      <formula>AND(B6&lt;&gt;"",IFERROR(INDEX(計算用!$I$2:$I$186,MATCH("男"&amp;B6,計算用!$AO$2:$AO$186,0))="赤",FALSE))</formula>
    </cfRule>
  </conditionalFormatting>
  <conditionalFormatting sqref="K6:L55">
    <cfRule type="expression" priority="3" dxfId="12" stopIfTrue="1">
      <formula>AND($K6=0,ROW()-5&lt;計算用!$Q$13)</formula>
    </cfRule>
    <cfRule type="expression" priority="4" dxfId="13">
      <formula>AND($K6&gt;0,OR($K6&lt;&gt;4,$L6&lt;&gt;"赤2白2"))</formula>
    </cfRule>
  </conditionalFormatting>
  <conditionalFormatting sqref="F6:I55">
    <cfRule type="expression" priority="5" dxfId="11" stopIfTrue="1">
      <formula>AND(F6&lt;&gt;"",OR(COUNTIF(計算用!$AO$2:$AO$186,"女"&amp;F6)=0,COUNTIF($F$6:$I$55,F6)&gt;1))</formula>
    </cfRule>
    <cfRule type="expression" priority="6" dxfId="9">
      <formula>AND(F6&lt;&gt;"",IFERROR(INDEX(計算用!$I$2:$I$186,MATCH("女"&amp;F6,計算用!$AO$2:$AO$186,0))="赤",FALSE))</formula>
    </cfRule>
  </conditionalFormatting>
  <conditionalFormatting sqref="M6:N55">
    <cfRule type="expression" priority="7" dxfId="12" stopIfTrue="1">
      <formula>AND($M6=0,ROW()-5&lt;計算用!$Q$14)</formula>
    </cfRule>
    <cfRule type="expression" priority="8" dxfId="13">
      <formula>AND($M6&gt;0,OR($M6&lt;&gt;4,$N6&lt;&gt;"赤2白2"))</formula>
    </cfRule>
  </conditionalFormatting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E53"/>
  <sheetViews>
    <sheetView workbookViewId="0">
      <selection activeCell="A1" sqref="A1"/>
    </sheetView>
  </sheetViews>
  <sheetFormatPr baseColWidth="8" defaultRowHeight="15"/>
  <cols>
    <col width="5" customWidth="1" style="11" min="1" max="1"/>
    <col width="5" customWidth="1" style="11" min="2" max="2"/>
    <col width="9" customWidth="1" style="11" min="3" max="3"/>
    <col width="13" customWidth="1" style="11" min="4" max="4"/>
    <col width="5" customWidth="1" style="11" min="5" max="5"/>
    <col width="4" customWidth="1" style="11" min="6" max="6"/>
    <col width="13" customWidth="1" style="11" min="7" max="7"/>
    <col width="5" customWidth="1" style="11" min="8" max="8"/>
    <col width="4" customWidth="1" style="11" min="9" max="9"/>
    <col width="13" customWidth="1" style="11" min="10" max="10"/>
    <col width="5" customWidth="1" style="11" min="11" max="11"/>
    <col width="4" customWidth="1" style="11" min="12" max="12"/>
    <col width="13" customWidth="1" style="11" min="13" max="13"/>
    <col width="5" customWidth="1" style="11" min="14" max="14"/>
    <col width="4" customWidth="1" style="11" min="15" max="15"/>
    <col width="2" customWidth="1" style="11" min="16" max="16"/>
    <col width="5" customWidth="1" style="11" min="17" max="17"/>
    <col width="5" customWidth="1" style="11" min="18" max="18"/>
    <col width="9" customWidth="1" style="11" min="19" max="19"/>
    <col width="13" customWidth="1" style="11" min="20" max="20"/>
    <col width="5" customWidth="1" style="11" min="21" max="21"/>
    <col width="4" customWidth="1" style="11" min="22" max="22"/>
    <col width="13" customWidth="1" style="11" min="23" max="23"/>
    <col width="5" customWidth="1" style="11" min="24" max="24"/>
    <col width="4" customWidth="1" style="11" min="25" max="25"/>
    <col width="13" customWidth="1" style="11" min="26" max="26"/>
    <col width="5" customWidth="1" style="11" min="27" max="27"/>
    <col width="4" customWidth="1" style="11" min="28" max="28"/>
    <col width="13" customWidth="1" style="11" min="29" max="29"/>
    <col width="5" customWidth="1" style="11" min="30" max="30"/>
    <col width="4" customWidth="1" style="11" min="31" max="31"/>
  </cols>
  <sheetData>
    <row r="1">
      <c r="A1" s="23" t="inlineStr">
        <is>
          <t>男子</t>
        </is>
      </c>
      <c r="D1" s="24">
        <f>IF(計算用!$Q$15&gt;0,"※手直しシートに確認が必要なところがあります",IF(SUMPRODUCT((ROW(手直し!$K$6:$K$55)-5&lt;=計算用!$Q$13)*(手直し!$K$6:$K$55=0))&gt;0,"※だれもいない組があります（赤い組）",IF(SUMPRODUCT((ROW(手直し!$K$6:$K$55)-5&lt;=計算用!$Q$13)*(((手直し!$K$6:$K$55&lt;&gt;4)+(手直し!$L$6:$L$55&lt;&gt;"赤2白2"))&gt;0))&gt;0,"※黄色の組は、人数の都合で調整した組です","")))</f>
        <v/>
      </c>
      <c r="Q1" s="23" t="inlineStr">
        <is>
          <t>女子</t>
        </is>
      </c>
      <c r="T1" s="24">
        <f>IF(計算用!$Q$16&gt;0,"※手直しシートに確認が必要なところがあります",IF(SUMPRODUCT((ROW(手直し!$M$6:$M$55)-5&lt;=計算用!$Q$14)*(手直し!$M$6:$M$55=0))&gt;0,"※だれもいない組があります（赤い組）",IF(SUMPRODUCT((ROW(手直し!$M$6:$M$55)-5&lt;=計算用!$Q$14)*(((手直し!$M$6:$M$55&lt;&gt;4)+(手直し!$N$6:$N$55&lt;&gt;"赤2白2"))&gt;0))&gt;0,"※黄色の組は、人数の都合で調整した組です","")))</f>
        <v/>
      </c>
    </row>
    <row r="2">
      <c r="A2" s="25" t="inlineStr">
        <is>
          <t>組</t>
        </is>
      </c>
      <c r="B2" s="25" t="inlineStr">
        <is>
          <t>人数</t>
        </is>
      </c>
      <c r="C2" s="25" t="inlineStr">
        <is>
          <t>内訳</t>
        </is>
      </c>
      <c r="D2" s="25" t="inlineStr">
        <is>
          <t>1人目</t>
        </is>
      </c>
      <c r="E2" s="25" t="n"/>
      <c r="F2" s="25" t="n"/>
      <c r="G2" s="25" t="inlineStr">
        <is>
          <t>2人目</t>
        </is>
      </c>
      <c r="H2" s="25" t="n"/>
      <c r="I2" s="25" t="n"/>
      <c r="J2" s="25" t="inlineStr">
        <is>
          <t>3人目</t>
        </is>
      </c>
      <c r="K2" s="25" t="n"/>
      <c r="L2" s="25" t="n"/>
      <c r="M2" s="25" t="inlineStr">
        <is>
          <t>4人目</t>
        </is>
      </c>
      <c r="N2" s="25" t="n"/>
      <c r="O2" s="25" t="n"/>
      <c r="Q2" s="25" t="inlineStr">
        <is>
          <t>組</t>
        </is>
      </c>
      <c r="R2" s="25" t="inlineStr">
        <is>
          <t>人数</t>
        </is>
      </c>
      <c r="S2" s="25" t="inlineStr">
        <is>
          <t>内訳</t>
        </is>
      </c>
      <c r="T2" s="25" t="inlineStr">
        <is>
          <t>1人目</t>
        </is>
      </c>
      <c r="U2" s="25" t="n"/>
      <c r="V2" s="25" t="n"/>
      <c r="W2" s="25" t="inlineStr">
        <is>
          <t>2人目</t>
        </is>
      </c>
      <c r="X2" s="25" t="n"/>
      <c r="Y2" s="25" t="n"/>
      <c r="Z2" s="25" t="inlineStr">
        <is>
          <t>3人目</t>
        </is>
      </c>
      <c r="AA2" s="25" t="n"/>
      <c r="AB2" s="25" t="n"/>
      <c r="AC2" s="25" t="inlineStr">
        <is>
          <t>4人目</t>
        </is>
      </c>
      <c r="AD2" s="25" t="n"/>
      <c r="AE2" s="25" t="n"/>
    </row>
    <row r="3">
      <c r="A3" s="25" t="n"/>
      <c r="B3" s="25" t="n"/>
      <c r="C3" s="25" t="n"/>
      <c r="D3" s="25" t="inlineStr">
        <is>
          <t>名前</t>
        </is>
      </c>
      <c r="E3" s="25" t="inlineStr">
        <is>
          <t>クラス</t>
        </is>
      </c>
      <c r="F3" s="25" t="inlineStr">
        <is>
          <t>色</t>
        </is>
      </c>
      <c r="G3" s="25" t="inlineStr">
        <is>
          <t>名前</t>
        </is>
      </c>
      <c r="H3" s="25" t="inlineStr">
        <is>
          <t>クラス</t>
        </is>
      </c>
      <c r="I3" s="25" t="inlineStr">
        <is>
          <t>色</t>
        </is>
      </c>
      <c r="J3" s="25" t="inlineStr">
        <is>
          <t>名前</t>
        </is>
      </c>
      <c r="K3" s="25" t="inlineStr">
        <is>
          <t>クラス</t>
        </is>
      </c>
      <c r="L3" s="25" t="inlineStr">
        <is>
          <t>色</t>
        </is>
      </c>
      <c r="M3" s="25" t="inlineStr">
        <is>
          <t>名前</t>
        </is>
      </c>
      <c r="N3" s="25" t="inlineStr">
        <is>
          <t>クラス</t>
        </is>
      </c>
      <c r="O3" s="25" t="inlineStr">
        <is>
          <t>色</t>
        </is>
      </c>
      <c r="Q3" s="25" t="n"/>
      <c r="R3" s="25" t="n"/>
      <c r="S3" s="25" t="n"/>
      <c r="T3" s="25" t="inlineStr">
        <is>
          <t>名前</t>
        </is>
      </c>
      <c r="U3" s="25" t="inlineStr">
        <is>
          <t>クラス</t>
        </is>
      </c>
      <c r="V3" s="25" t="inlineStr">
        <is>
          <t>色</t>
        </is>
      </c>
      <c r="W3" s="25" t="inlineStr">
        <is>
          <t>名前</t>
        </is>
      </c>
      <c r="X3" s="25" t="inlineStr">
        <is>
          <t>クラス</t>
        </is>
      </c>
      <c r="Y3" s="25" t="inlineStr">
        <is>
          <t>色</t>
        </is>
      </c>
      <c r="Z3" s="25" t="inlineStr">
        <is>
          <t>名前</t>
        </is>
      </c>
      <c r="AA3" s="25" t="inlineStr">
        <is>
          <t>クラス</t>
        </is>
      </c>
      <c r="AB3" s="25" t="inlineStr">
        <is>
          <t>色</t>
        </is>
      </c>
      <c r="AC3" s="25" t="inlineStr">
        <is>
          <t>名前</t>
        </is>
      </c>
      <c r="AD3" s="25" t="inlineStr">
        <is>
          <t>クラス</t>
        </is>
      </c>
      <c r="AE3" s="25" t="inlineStr">
        <is>
          <t>色</t>
        </is>
      </c>
    </row>
    <row r="4">
      <c r="A4" s="26">
        <f>IF(ROW()-3&lt;=計算用!$Q$13,ROW()-3,"")</f>
        <v/>
      </c>
      <c r="B4" s="26">
        <f>IF($A4="","",手直し!K6)</f>
        <v/>
      </c>
      <c r="C4" s="26">
        <f>IF($A4="","",手直し!L6)</f>
        <v/>
      </c>
      <c r="D4">
        <f>IF($A4="","",手直し!B6&amp;"")</f>
        <v/>
      </c>
      <c r="E4" s="26">
        <f>IF(OR($A4="",手直し!B6=""),"",IFERROR(INDEX(計算用!$M$2:$M$186,MATCH("男"&amp;手直し!B6,計算用!$AO$2:$AO$186,0)),"？"))</f>
        <v/>
      </c>
      <c r="F4" s="26">
        <f>IF(OR($A4="",手直し!B6=""),"",IFERROR(INDEX(計算用!$I$2:$I$186,MATCH("男"&amp;手直し!B6,計算用!$AO$2:$AO$186,0)),"？"))</f>
        <v/>
      </c>
      <c r="G4">
        <f>IF($A4="","",手直し!C6&amp;"")</f>
        <v/>
      </c>
      <c r="H4" s="26">
        <f>IF(OR($A4="",手直し!C6=""),"",IFERROR(INDEX(計算用!$M$2:$M$186,MATCH("男"&amp;手直し!C6,計算用!$AO$2:$AO$186,0)),"？"))</f>
        <v/>
      </c>
      <c r="I4" s="26">
        <f>IF(OR($A4="",手直し!C6=""),"",IFERROR(INDEX(計算用!$I$2:$I$186,MATCH("男"&amp;手直し!C6,計算用!$AO$2:$AO$186,0)),"？"))</f>
        <v/>
      </c>
      <c r="J4">
        <f>IF($A4="","",手直し!D6&amp;"")</f>
        <v/>
      </c>
      <c r="K4" s="26">
        <f>IF(OR($A4="",手直し!D6=""),"",IFERROR(INDEX(計算用!$M$2:$M$186,MATCH("男"&amp;手直し!D6,計算用!$AO$2:$AO$186,0)),"？"))</f>
        <v/>
      </c>
      <c r="L4" s="26">
        <f>IF(OR($A4="",手直し!D6=""),"",IFERROR(INDEX(計算用!$I$2:$I$186,MATCH("男"&amp;手直し!D6,計算用!$AO$2:$AO$186,0)),"？"))</f>
        <v/>
      </c>
      <c r="M4">
        <f>IF($A4="","",手直し!E6&amp;"")</f>
        <v/>
      </c>
      <c r="N4" s="26">
        <f>IF(OR($A4="",手直し!E6=""),"",IFERROR(INDEX(計算用!$M$2:$M$186,MATCH("男"&amp;手直し!E6,計算用!$AO$2:$AO$186,0)),"？"))</f>
        <v/>
      </c>
      <c r="O4" s="26">
        <f>IF(OR($A4="",手直し!E6=""),"",IFERROR(INDEX(計算用!$I$2:$I$186,MATCH("男"&amp;手直し!E6,計算用!$AO$2:$AO$186,0)),"？"))</f>
        <v/>
      </c>
      <c r="Q4" s="26">
        <f>IF(ROW()-3&lt;=計算用!$Q$14,ROW()-3,"")</f>
        <v/>
      </c>
      <c r="R4" s="26">
        <f>IF($Q4="","",手直し!M6)</f>
        <v/>
      </c>
      <c r="S4" s="26">
        <f>IF($Q4="","",手直し!N6)</f>
        <v/>
      </c>
      <c r="T4">
        <f>IF($Q4="","",手直し!F6&amp;"")</f>
        <v/>
      </c>
      <c r="U4" s="26">
        <f>IF(OR($Q4="",手直し!F6=""),"",IFERROR(INDEX(計算用!$M$2:$M$186,MATCH("女"&amp;手直し!F6,計算用!$AO$2:$AO$186,0)),"？"))</f>
        <v/>
      </c>
      <c r="V4" s="26">
        <f>IF(OR($Q4="",手直し!F6=""),"",IFERROR(INDEX(計算用!$I$2:$I$186,MATCH("女"&amp;手直し!F6,計算用!$AO$2:$AO$186,0)),"？"))</f>
        <v/>
      </c>
      <c r="W4">
        <f>IF($Q4="","",手直し!G6&amp;"")</f>
        <v/>
      </c>
      <c r="X4" s="26">
        <f>IF(OR($Q4="",手直し!G6=""),"",IFERROR(INDEX(計算用!$M$2:$M$186,MATCH("女"&amp;手直し!G6,計算用!$AO$2:$AO$186,0)),"？"))</f>
        <v/>
      </c>
      <c r="Y4" s="26">
        <f>IF(OR($Q4="",手直し!G6=""),"",IFERROR(INDEX(計算用!$I$2:$I$186,MATCH("女"&amp;手直し!G6,計算用!$AO$2:$AO$186,0)),"？"))</f>
        <v/>
      </c>
      <c r="Z4">
        <f>IF($Q4="","",手直し!H6&amp;"")</f>
        <v/>
      </c>
      <c r="AA4" s="26">
        <f>IF(OR($Q4="",手直し!H6=""),"",IFERROR(INDEX(計算用!$M$2:$M$186,MATCH("女"&amp;手直し!H6,計算用!$AO$2:$AO$186,0)),"？"))</f>
        <v/>
      </c>
      <c r="AB4" s="26">
        <f>IF(OR($Q4="",手直し!H6=""),"",IFERROR(INDEX(計算用!$I$2:$I$186,MATCH("女"&amp;手直し!H6,計算用!$AO$2:$AO$186,0)),"？"))</f>
        <v/>
      </c>
      <c r="AC4">
        <f>IF($Q4="","",手直し!I6&amp;"")</f>
        <v/>
      </c>
      <c r="AD4" s="26">
        <f>IF(OR($Q4="",手直し!I6=""),"",IFERROR(INDEX(計算用!$M$2:$M$186,MATCH("女"&amp;手直し!I6,計算用!$AO$2:$AO$186,0)),"？"))</f>
        <v/>
      </c>
      <c r="AE4" s="26">
        <f>IF(OR($Q4="",手直し!I6=""),"",IFERROR(INDEX(計算用!$I$2:$I$186,MATCH("女"&amp;手直し!I6,計算用!$AO$2:$AO$186,0)),"？"))</f>
        <v/>
      </c>
    </row>
    <row r="5">
      <c r="A5" s="26">
        <f>IF(ROW()-3&lt;=計算用!$Q$13,ROW()-3,"")</f>
        <v/>
      </c>
      <c r="B5" s="26">
        <f>IF($A5="","",手直し!K7)</f>
        <v/>
      </c>
      <c r="C5" s="26">
        <f>IF($A5="","",手直し!L7)</f>
        <v/>
      </c>
      <c r="D5">
        <f>IF($A5="","",手直し!B7&amp;"")</f>
        <v/>
      </c>
      <c r="E5" s="26">
        <f>IF(OR($A5="",手直し!B7=""),"",IFERROR(INDEX(計算用!$M$2:$M$186,MATCH("男"&amp;手直し!B7,計算用!$AO$2:$AO$186,0)),"？"))</f>
        <v/>
      </c>
      <c r="F5" s="26">
        <f>IF(OR($A5="",手直し!B7=""),"",IFERROR(INDEX(計算用!$I$2:$I$186,MATCH("男"&amp;手直し!B7,計算用!$AO$2:$AO$186,0)),"？"))</f>
        <v/>
      </c>
      <c r="G5">
        <f>IF($A5="","",手直し!C7&amp;"")</f>
        <v/>
      </c>
      <c r="H5" s="26">
        <f>IF(OR($A5="",手直し!C7=""),"",IFERROR(INDEX(計算用!$M$2:$M$186,MATCH("男"&amp;手直し!C7,計算用!$AO$2:$AO$186,0)),"？"))</f>
        <v/>
      </c>
      <c r="I5" s="26">
        <f>IF(OR($A5="",手直し!C7=""),"",IFERROR(INDEX(計算用!$I$2:$I$186,MATCH("男"&amp;手直し!C7,計算用!$AO$2:$AO$186,0)),"？"))</f>
        <v/>
      </c>
      <c r="J5">
        <f>IF($A5="","",手直し!D7&amp;"")</f>
        <v/>
      </c>
      <c r="K5" s="26">
        <f>IF(OR($A5="",手直し!D7=""),"",IFERROR(INDEX(計算用!$M$2:$M$186,MATCH("男"&amp;手直し!D7,計算用!$AO$2:$AO$186,0)),"？"))</f>
        <v/>
      </c>
      <c r="L5" s="26">
        <f>IF(OR($A5="",手直し!D7=""),"",IFERROR(INDEX(計算用!$I$2:$I$186,MATCH("男"&amp;手直し!D7,計算用!$AO$2:$AO$186,0)),"？"))</f>
        <v/>
      </c>
      <c r="M5">
        <f>IF($A5="","",手直し!E7&amp;"")</f>
        <v/>
      </c>
      <c r="N5" s="26">
        <f>IF(OR($A5="",手直し!E7=""),"",IFERROR(INDEX(計算用!$M$2:$M$186,MATCH("男"&amp;手直し!E7,計算用!$AO$2:$AO$186,0)),"？"))</f>
        <v/>
      </c>
      <c r="O5" s="26">
        <f>IF(OR($A5="",手直し!E7=""),"",IFERROR(INDEX(計算用!$I$2:$I$186,MATCH("男"&amp;手直し!E7,計算用!$AO$2:$AO$186,0)),"？"))</f>
        <v/>
      </c>
      <c r="Q5" s="26">
        <f>IF(ROW()-3&lt;=計算用!$Q$14,ROW()-3,"")</f>
        <v/>
      </c>
      <c r="R5" s="26">
        <f>IF($Q5="","",手直し!M7)</f>
        <v/>
      </c>
      <c r="S5" s="26">
        <f>IF($Q5="","",手直し!N7)</f>
        <v/>
      </c>
      <c r="T5">
        <f>IF($Q5="","",手直し!F7&amp;"")</f>
        <v/>
      </c>
      <c r="U5" s="26">
        <f>IF(OR($Q5="",手直し!F7=""),"",IFERROR(INDEX(計算用!$M$2:$M$186,MATCH("女"&amp;手直し!F7,計算用!$AO$2:$AO$186,0)),"？"))</f>
        <v/>
      </c>
      <c r="V5" s="26">
        <f>IF(OR($Q5="",手直し!F7=""),"",IFERROR(INDEX(計算用!$I$2:$I$186,MATCH("女"&amp;手直し!F7,計算用!$AO$2:$AO$186,0)),"？"))</f>
        <v/>
      </c>
      <c r="W5">
        <f>IF($Q5="","",手直し!G7&amp;"")</f>
        <v/>
      </c>
      <c r="X5" s="26">
        <f>IF(OR($Q5="",手直し!G7=""),"",IFERROR(INDEX(計算用!$M$2:$M$186,MATCH("女"&amp;手直し!G7,計算用!$AO$2:$AO$186,0)),"？"))</f>
        <v/>
      </c>
      <c r="Y5" s="26">
        <f>IF(OR($Q5="",手直し!G7=""),"",IFERROR(INDEX(計算用!$I$2:$I$186,MATCH("女"&amp;手直し!G7,計算用!$AO$2:$AO$186,0)),"？"))</f>
        <v/>
      </c>
      <c r="Z5">
        <f>IF($Q5="","",手直し!H7&amp;"")</f>
        <v/>
      </c>
      <c r="AA5" s="26">
        <f>IF(OR($Q5="",手直し!H7=""),"",IFERROR(INDEX(計算用!$M$2:$M$186,MATCH("女"&amp;手直し!H7,計算用!$AO$2:$AO$186,0)),"？"))</f>
        <v/>
      </c>
      <c r="AB5" s="26">
        <f>IF(OR($Q5="",手直し!H7=""),"",IFERROR(INDEX(計算用!$I$2:$I$186,MATCH("女"&amp;手直し!H7,計算用!$AO$2:$AO$186,0)),"？"))</f>
        <v/>
      </c>
      <c r="AC5">
        <f>IF($Q5="","",手直し!I7&amp;"")</f>
        <v/>
      </c>
      <c r="AD5" s="26">
        <f>IF(OR($Q5="",手直し!I7=""),"",IFERROR(INDEX(計算用!$M$2:$M$186,MATCH("女"&amp;手直し!I7,計算用!$AO$2:$AO$186,0)),"？"))</f>
        <v/>
      </c>
      <c r="AE5" s="26">
        <f>IF(OR($Q5="",手直し!I7=""),"",IFERROR(INDEX(計算用!$I$2:$I$186,MATCH("女"&amp;手直し!I7,計算用!$AO$2:$AO$186,0)),"？"))</f>
        <v/>
      </c>
    </row>
    <row r="6">
      <c r="A6" s="26">
        <f>IF(ROW()-3&lt;=計算用!$Q$13,ROW()-3,"")</f>
        <v/>
      </c>
      <c r="B6" s="26">
        <f>IF($A6="","",手直し!K8)</f>
        <v/>
      </c>
      <c r="C6" s="26">
        <f>IF($A6="","",手直し!L8)</f>
        <v/>
      </c>
      <c r="D6">
        <f>IF($A6="","",手直し!B8&amp;"")</f>
        <v/>
      </c>
      <c r="E6" s="26">
        <f>IF(OR($A6="",手直し!B8=""),"",IFERROR(INDEX(計算用!$M$2:$M$186,MATCH("男"&amp;手直し!B8,計算用!$AO$2:$AO$186,0)),"？"))</f>
        <v/>
      </c>
      <c r="F6" s="26">
        <f>IF(OR($A6="",手直し!B8=""),"",IFERROR(INDEX(計算用!$I$2:$I$186,MATCH("男"&amp;手直し!B8,計算用!$AO$2:$AO$186,0)),"？"))</f>
        <v/>
      </c>
      <c r="G6">
        <f>IF($A6="","",手直し!C8&amp;"")</f>
        <v/>
      </c>
      <c r="H6" s="26">
        <f>IF(OR($A6="",手直し!C8=""),"",IFERROR(INDEX(計算用!$M$2:$M$186,MATCH("男"&amp;手直し!C8,計算用!$AO$2:$AO$186,0)),"？"))</f>
        <v/>
      </c>
      <c r="I6" s="26">
        <f>IF(OR($A6="",手直し!C8=""),"",IFERROR(INDEX(計算用!$I$2:$I$186,MATCH("男"&amp;手直し!C8,計算用!$AO$2:$AO$186,0)),"？"))</f>
        <v/>
      </c>
      <c r="J6">
        <f>IF($A6="","",手直し!D8&amp;"")</f>
        <v/>
      </c>
      <c r="K6" s="26">
        <f>IF(OR($A6="",手直し!D8=""),"",IFERROR(INDEX(計算用!$M$2:$M$186,MATCH("男"&amp;手直し!D8,計算用!$AO$2:$AO$186,0)),"？"))</f>
        <v/>
      </c>
      <c r="L6" s="26">
        <f>IF(OR($A6="",手直し!D8=""),"",IFERROR(INDEX(計算用!$I$2:$I$186,MATCH("男"&amp;手直し!D8,計算用!$AO$2:$AO$186,0)),"？"))</f>
        <v/>
      </c>
      <c r="M6">
        <f>IF($A6="","",手直し!E8&amp;"")</f>
        <v/>
      </c>
      <c r="N6" s="26">
        <f>IF(OR($A6="",手直し!E8=""),"",IFERROR(INDEX(計算用!$M$2:$M$186,MATCH("男"&amp;手直し!E8,計算用!$AO$2:$AO$186,0)),"？"))</f>
        <v/>
      </c>
      <c r="O6" s="26">
        <f>IF(OR($A6="",手直し!E8=""),"",IFERROR(INDEX(計算用!$I$2:$I$186,MATCH("男"&amp;手直し!E8,計算用!$AO$2:$AO$186,0)),"？"))</f>
        <v/>
      </c>
      <c r="Q6" s="26">
        <f>IF(ROW()-3&lt;=計算用!$Q$14,ROW()-3,"")</f>
        <v/>
      </c>
      <c r="R6" s="26">
        <f>IF($Q6="","",手直し!M8)</f>
        <v/>
      </c>
      <c r="S6" s="26">
        <f>IF($Q6="","",手直し!N8)</f>
        <v/>
      </c>
      <c r="T6">
        <f>IF($Q6="","",手直し!F8&amp;"")</f>
        <v/>
      </c>
      <c r="U6" s="26">
        <f>IF(OR($Q6="",手直し!F8=""),"",IFERROR(INDEX(計算用!$M$2:$M$186,MATCH("女"&amp;手直し!F8,計算用!$AO$2:$AO$186,0)),"？"))</f>
        <v/>
      </c>
      <c r="V6" s="26">
        <f>IF(OR($Q6="",手直し!F8=""),"",IFERROR(INDEX(計算用!$I$2:$I$186,MATCH("女"&amp;手直し!F8,計算用!$AO$2:$AO$186,0)),"？"))</f>
        <v/>
      </c>
      <c r="W6">
        <f>IF($Q6="","",手直し!G8&amp;"")</f>
        <v/>
      </c>
      <c r="X6" s="26">
        <f>IF(OR($Q6="",手直し!G8=""),"",IFERROR(INDEX(計算用!$M$2:$M$186,MATCH("女"&amp;手直し!G8,計算用!$AO$2:$AO$186,0)),"？"))</f>
        <v/>
      </c>
      <c r="Y6" s="26">
        <f>IF(OR($Q6="",手直し!G8=""),"",IFERROR(INDEX(計算用!$I$2:$I$186,MATCH("女"&amp;手直し!G8,計算用!$AO$2:$AO$186,0)),"？"))</f>
        <v/>
      </c>
      <c r="Z6">
        <f>IF($Q6="","",手直し!H8&amp;"")</f>
        <v/>
      </c>
      <c r="AA6" s="26">
        <f>IF(OR($Q6="",手直し!H8=""),"",IFERROR(INDEX(計算用!$M$2:$M$186,MATCH("女"&amp;手直し!H8,計算用!$AO$2:$AO$186,0)),"？"))</f>
        <v/>
      </c>
      <c r="AB6" s="26">
        <f>IF(OR($Q6="",手直し!H8=""),"",IFERROR(INDEX(計算用!$I$2:$I$186,MATCH("女"&amp;手直し!H8,計算用!$AO$2:$AO$186,0)),"？"))</f>
        <v/>
      </c>
      <c r="AC6">
        <f>IF($Q6="","",手直し!I8&amp;"")</f>
        <v/>
      </c>
      <c r="AD6" s="26">
        <f>IF(OR($Q6="",手直し!I8=""),"",IFERROR(INDEX(計算用!$M$2:$M$186,MATCH("女"&amp;手直し!I8,計算用!$AO$2:$AO$186,0)),"？"))</f>
        <v/>
      </c>
      <c r="AE6" s="26">
        <f>IF(OR($Q6="",手直し!I8=""),"",IFERROR(INDEX(計算用!$I$2:$I$186,MATCH("女"&amp;手直し!I8,計算用!$AO$2:$AO$186,0)),"？"))</f>
        <v/>
      </c>
    </row>
    <row r="7">
      <c r="A7" s="26">
        <f>IF(ROW()-3&lt;=計算用!$Q$13,ROW()-3,"")</f>
        <v/>
      </c>
      <c r="B7" s="26">
        <f>IF($A7="","",手直し!K9)</f>
        <v/>
      </c>
      <c r="C7" s="26">
        <f>IF($A7="","",手直し!L9)</f>
        <v/>
      </c>
      <c r="D7">
        <f>IF($A7="","",手直し!B9&amp;"")</f>
        <v/>
      </c>
      <c r="E7" s="26">
        <f>IF(OR($A7="",手直し!B9=""),"",IFERROR(INDEX(計算用!$M$2:$M$186,MATCH("男"&amp;手直し!B9,計算用!$AO$2:$AO$186,0)),"？"))</f>
        <v/>
      </c>
      <c r="F7" s="26">
        <f>IF(OR($A7="",手直し!B9=""),"",IFERROR(INDEX(計算用!$I$2:$I$186,MATCH("男"&amp;手直し!B9,計算用!$AO$2:$AO$186,0)),"？"))</f>
        <v/>
      </c>
      <c r="G7">
        <f>IF($A7="","",手直し!C9&amp;"")</f>
        <v/>
      </c>
      <c r="H7" s="26">
        <f>IF(OR($A7="",手直し!C9=""),"",IFERROR(INDEX(計算用!$M$2:$M$186,MATCH("男"&amp;手直し!C9,計算用!$AO$2:$AO$186,0)),"？"))</f>
        <v/>
      </c>
      <c r="I7" s="26">
        <f>IF(OR($A7="",手直し!C9=""),"",IFERROR(INDEX(計算用!$I$2:$I$186,MATCH("男"&amp;手直し!C9,計算用!$AO$2:$AO$186,0)),"？"))</f>
        <v/>
      </c>
      <c r="J7">
        <f>IF($A7="","",手直し!D9&amp;"")</f>
        <v/>
      </c>
      <c r="K7" s="26">
        <f>IF(OR($A7="",手直し!D9=""),"",IFERROR(INDEX(計算用!$M$2:$M$186,MATCH("男"&amp;手直し!D9,計算用!$AO$2:$AO$186,0)),"？"))</f>
        <v/>
      </c>
      <c r="L7" s="26">
        <f>IF(OR($A7="",手直し!D9=""),"",IFERROR(INDEX(計算用!$I$2:$I$186,MATCH("男"&amp;手直し!D9,計算用!$AO$2:$AO$186,0)),"？"))</f>
        <v/>
      </c>
      <c r="M7">
        <f>IF($A7="","",手直し!E9&amp;"")</f>
        <v/>
      </c>
      <c r="N7" s="26">
        <f>IF(OR($A7="",手直し!E9=""),"",IFERROR(INDEX(計算用!$M$2:$M$186,MATCH("男"&amp;手直し!E9,計算用!$AO$2:$AO$186,0)),"？"))</f>
        <v/>
      </c>
      <c r="O7" s="26">
        <f>IF(OR($A7="",手直し!E9=""),"",IFERROR(INDEX(計算用!$I$2:$I$186,MATCH("男"&amp;手直し!E9,計算用!$AO$2:$AO$186,0)),"？"))</f>
        <v/>
      </c>
      <c r="Q7" s="26">
        <f>IF(ROW()-3&lt;=計算用!$Q$14,ROW()-3,"")</f>
        <v/>
      </c>
      <c r="R7" s="26">
        <f>IF($Q7="","",手直し!M9)</f>
        <v/>
      </c>
      <c r="S7" s="26">
        <f>IF($Q7="","",手直し!N9)</f>
        <v/>
      </c>
      <c r="T7">
        <f>IF($Q7="","",手直し!F9&amp;"")</f>
        <v/>
      </c>
      <c r="U7" s="26">
        <f>IF(OR($Q7="",手直し!F9=""),"",IFERROR(INDEX(計算用!$M$2:$M$186,MATCH("女"&amp;手直し!F9,計算用!$AO$2:$AO$186,0)),"？"))</f>
        <v/>
      </c>
      <c r="V7" s="26">
        <f>IF(OR($Q7="",手直し!F9=""),"",IFERROR(INDEX(計算用!$I$2:$I$186,MATCH("女"&amp;手直し!F9,計算用!$AO$2:$AO$186,0)),"？"))</f>
        <v/>
      </c>
      <c r="W7">
        <f>IF($Q7="","",手直し!G9&amp;"")</f>
        <v/>
      </c>
      <c r="X7" s="26">
        <f>IF(OR($Q7="",手直し!G9=""),"",IFERROR(INDEX(計算用!$M$2:$M$186,MATCH("女"&amp;手直し!G9,計算用!$AO$2:$AO$186,0)),"？"))</f>
        <v/>
      </c>
      <c r="Y7" s="26">
        <f>IF(OR($Q7="",手直し!G9=""),"",IFERROR(INDEX(計算用!$I$2:$I$186,MATCH("女"&amp;手直し!G9,計算用!$AO$2:$AO$186,0)),"？"))</f>
        <v/>
      </c>
      <c r="Z7">
        <f>IF($Q7="","",手直し!H9&amp;"")</f>
        <v/>
      </c>
      <c r="AA7" s="26">
        <f>IF(OR($Q7="",手直し!H9=""),"",IFERROR(INDEX(計算用!$M$2:$M$186,MATCH("女"&amp;手直し!H9,計算用!$AO$2:$AO$186,0)),"？"))</f>
        <v/>
      </c>
      <c r="AB7" s="26">
        <f>IF(OR($Q7="",手直し!H9=""),"",IFERROR(INDEX(計算用!$I$2:$I$186,MATCH("女"&amp;手直し!H9,計算用!$AO$2:$AO$186,0)),"？"))</f>
        <v/>
      </c>
      <c r="AC7">
        <f>IF($Q7="","",手直し!I9&amp;"")</f>
        <v/>
      </c>
      <c r="AD7" s="26">
        <f>IF(OR($Q7="",手直し!I9=""),"",IFERROR(INDEX(計算用!$M$2:$M$186,MATCH("女"&amp;手直し!I9,計算用!$AO$2:$AO$186,0)),"？"))</f>
        <v/>
      </c>
      <c r="AE7" s="26">
        <f>IF(OR($Q7="",手直し!I9=""),"",IFERROR(INDEX(計算用!$I$2:$I$186,MATCH("女"&amp;手直し!I9,計算用!$AO$2:$AO$186,0)),"？"))</f>
        <v/>
      </c>
    </row>
    <row r="8">
      <c r="A8" s="26">
        <f>IF(ROW()-3&lt;=計算用!$Q$13,ROW()-3,"")</f>
        <v/>
      </c>
      <c r="B8" s="26">
        <f>IF($A8="","",手直し!K10)</f>
        <v/>
      </c>
      <c r="C8" s="26">
        <f>IF($A8="","",手直し!L10)</f>
        <v/>
      </c>
      <c r="D8">
        <f>IF($A8="","",手直し!B10&amp;"")</f>
        <v/>
      </c>
      <c r="E8" s="26">
        <f>IF(OR($A8="",手直し!B10=""),"",IFERROR(INDEX(計算用!$M$2:$M$186,MATCH("男"&amp;手直し!B10,計算用!$AO$2:$AO$186,0)),"？"))</f>
        <v/>
      </c>
      <c r="F8" s="26">
        <f>IF(OR($A8="",手直し!B10=""),"",IFERROR(INDEX(計算用!$I$2:$I$186,MATCH("男"&amp;手直し!B10,計算用!$AO$2:$AO$186,0)),"？"))</f>
        <v/>
      </c>
      <c r="G8">
        <f>IF($A8="","",手直し!C10&amp;"")</f>
        <v/>
      </c>
      <c r="H8" s="26">
        <f>IF(OR($A8="",手直し!C10=""),"",IFERROR(INDEX(計算用!$M$2:$M$186,MATCH("男"&amp;手直し!C10,計算用!$AO$2:$AO$186,0)),"？"))</f>
        <v/>
      </c>
      <c r="I8" s="26">
        <f>IF(OR($A8="",手直し!C10=""),"",IFERROR(INDEX(計算用!$I$2:$I$186,MATCH("男"&amp;手直し!C10,計算用!$AO$2:$AO$186,0)),"？"))</f>
        <v/>
      </c>
      <c r="J8">
        <f>IF($A8="","",手直し!D10&amp;"")</f>
        <v/>
      </c>
      <c r="K8" s="26">
        <f>IF(OR($A8="",手直し!D10=""),"",IFERROR(INDEX(計算用!$M$2:$M$186,MATCH("男"&amp;手直し!D10,計算用!$AO$2:$AO$186,0)),"？"))</f>
        <v/>
      </c>
      <c r="L8" s="26">
        <f>IF(OR($A8="",手直し!D10=""),"",IFERROR(INDEX(計算用!$I$2:$I$186,MATCH("男"&amp;手直し!D10,計算用!$AO$2:$AO$186,0)),"？"))</f>
        <v/>
      </c>
      <c r="M8">
        <f>IF($A8="","",手直し!E10&amp;"")</f>
        <v/>
      </c>
      <c r="N8" s="26">
        <f>IF(OR($A8="",手直し!E10=""),"",IFERROR(INDEX(計算用!$M$2:$M$186,MATCH("男"&amp;手直し!E10,計算用!$AO$2:$AO$186,0)),"？"))</f>
        <v/>
      </c>
      <c r="O8" s="26">
        <f>IF(OR($A8="",手直し!E10=""),"",IFERROR(INDEX(計算用!$I$2:$I$186,MATCH("男"&amp;手直し!E10,計算用!$AO$2:$AO$186,0)),"？"))</f>
        <v/>
      </c>
      <c r="Q8" s="26">
        <f>IF(ROW()-3&lt;=計算用!$Q$14,ROW()-3,"")</f>
        <v/>
      </c>
      <c r="R8" s="26">
        <f>IF($Q8="","",手直し!M10)</f>
        <v/>
      </c>
      <c r="S8" s="26">
        <f>IF($Q8="","",手直し!N10)</f>
        <v/>
      </c>
      <c r="T8">
        <f>IF($Q8="","",手直し!F10&amp;"")</f>
        <v/>
      </c>
      <c r="U8" s="26">
        <f>IF(OR($Q8="",手直し!F10=""),"",IFERROR(INDEX(計算用!$M$2:$M$186,MATCH("女"&amp;手直し!F10,計算用!$AO$2:$AO$186,0)),"？"))</f>
        <v/>
      </c>
      <c r="V8" s="26">
        <f>IF(OR($Q8="",手直し!F10=""),"",IFERROR(INDEX(計算用!$I$2:$I$186,MATCH("女"&amp;手直し!F10,計算用!$AO$2:$AO$186,0)),"？"))</f>
        <v/>
      </c>
      <c r="W8">
        <f>IF($Q8="","",手直し!G10&amp;"")</f>
        <v/>
      </c>
      <c r="X8" s="26">
        <f>IF(OR($Q8="",手直し!G10=""),"",IFERROR(INDEX(計算用!$M$2:$M$186,MATCH("女"&amp;手直し!G10,計算用!$AO$2:$AO$186,0)),"？"))</f>
        <v/>
      </c>
      <c r="Y8" s="26">
        <f>IF(OR($Q8="",手直し!G10=""),"",IFERROR(INDEX(計算用!$I$2:$I$186,MATCH("女"&amp;手直し!G10,計算用!$AO$2:$AO$186,0)),"？"))</f>
        <v/>
      </c>
      <c r="Z8">
        <f>IF($Q8="","",手直し!H10&amp;"")</f>
        <v/>
      </c>
      <c r="AA8" s="26">
        <f>IF(OR($Q8="",手直し!H10=""),"",IFERROR(INDEX(計算用!$M$2:$M$186,MATCH("女"&amp;手直し!H10,計算用!$AO$2:$AO$186,0)),"？"))</f>
        <v/>
      </c>
      <c r="AB8" s="26">
        <f>IF(OR($Q8="",手直し!H10=""),"",IFERROR(INDEX(計算用!$I$2:$I$186,MATCH("女"&amp;手直し!H10,計算用!$AO$2:$AO$186,0)),"？"))</f>
        <v/>
      </c>
      <c r="AC8">
        <f>IF($Q8="","",手直し!I10&amp;"")</f>
        <v/>
      </c>
      <c r="AD8" s="26">
        <f>IF(OR($Q8="",手直し!I10=""),"",IFERROR(INDEX(計算用!$M$2:$M$186,MATCH("女"&amp;手直し!I10,計算用!$AO$2:$AO$186,0)),"？"))</f>
        <v/>
      </c>
      <c r="AE8" s="26">
        <f>IF(OR($Q8="",手直し!I10=""),"",IFERROR(INDEX(計算用!$I$2:$I$186,MATCH("女"&amp;手直し!I10,計算用!$AO$2:$AO$186,0)),"？"))</f>
        <v/>
      </c>
    </row>
    <row r="9">
      <c r="A9" s="26">
        <f>IF(ROW()-3&lt;=計算用!$Q$13,ROW()-3,"")</f>
        <v/>
      </c>
      <c r="B9" s="26">
        <f>IF($A9="","",手直し!K11)</f>
        <v/>
      </c>
      <c r="C9" s="26">
        <f>IF($A9="","",手直し!L11)</f>
        <v/>
      </c>
      <c r="D9">
        <f>IF($A9="","",手直し!B11&amp;"")</f>
        <v/>
      </c>
      <c r="E9" s="26">
        <f>IF(OR($A9="",手直し!B11=""),"",IFERROR(INDEX(計算用!$M$2:$M$186,MATCH("男"&amp;手直し!B11,計算用!$AO$2:$AO$186,0)),"？"))</f>
        <v/>
      </c>
      <c r="F9" s="26">
        <f>IF(OR($A9="",手直し!B11=""),"",IFERROR(INDEX(計算用!$I$2:$I$186,MATCH("男"&amp;手直し!B11,計算用!$AO$2:$AO$186,0)),"？"))</f>
        <v/>
      </c>
      <c r="G9">
        <f>IF($A9="","",手直し!C11&amp;"")</f>
        <v/>
      </c>
      <c r="H9" s="26">
        <f>IF(OR($A9="",手直し!C11=""),"",IFERROR(INDEX(計算用!$M$2:$M$186,MATCH("男"&amp;手直し!C11,計算用!$AO$2:$AO$186,0)),"？"))</f>
        <v/>
      </c>
      <c r="I9" s="26">
        <f>IF(OR($A9="",手直し!C11=""),"",IFERROR(INDEX(計算用!$I$2:$I$186,MATCH("男"&amp;手直し!C11,計算用!$AO$2:$AO$186,0)),"？"))</f>
        <v/>
      </c>
      <c r="J9">
        <f>IF($A9="","",手直し!D11&amp;"")</f>
        <v/>
      </c>
      <c r="K9" s="26">
        <f>IF(OR($A9="",手直し!D11=""),"",IFERROR(INDEX(計算用!$M$2:$M$186,MATCH("男"&amp;手直し!D11,計算用!$AO$2:$AO$186,0)),"？"))</f>
        <v/>
      </c>
      <c r="L9" s="26">
        <f>IF(OR($A9="",手直し!D11=""),"",IFERROR(INDEX(計算用!$I$2:$I$186,MATCH("男"&amp;手直し!D11,計算用!$AO$2:$AO$186,0)),"？"))</f>
        <v/>
      </c>
      <c r="M9">
        <f>IF($A9="","",手直し!E11&amp;"")</f>
        <v/>
      </c>
      <c r="N9" s="26">
        <f>IF(OR($A9="",手直し!E11=""),"",IFERROR(INDEX(計算用!$M$2:$M$186,MATCH("男"&amp;手直し!E11,計算用!$AO$2:$AO$186,0)),"？"))</f>
        <v/>
      </c>
      <c r="O9" s="26">
        <f>IF(OR($A9="",手直し!E11=""),"",IFERROR(INDEX(計算用!$I$2:$I$186,MATCH("男"&amp;手直し!E11,計算用!$AO$2:$AO$186,0)),"？"))</f>
        <v/>
      </c>
      <c r="Q9" s="26">
        <f>IF(ROW()-3&lt;=計算用!$Q$14,ROW()-3,"")</f>
        <v/>
      </c>
      <c r="R9" s="26">
        <f>IF($Q9="","",手直し!M11)</f>
        <v/>
      </c>
      <c r="S9" s="26">
        <f>IF($Q9="","",手直し!N11)</f>
        <v/>
      </c>
      <c r="T9">
        <f>IF($Q9="","",手直し!F11&amp;"")</f>
        <v/>
      </c>
      <c r="U9" s="26">
        <f>IF(OR($Q9="",手直し!F11=""),"",IFERROR(INDEX(計算用!$M$2:$M$186,MATCH("女"&amp;手直し!F11,計算用!$AO$2:$AO$186,0)),"？"))</f>
        <v/>
      </c>
      <c r="V9" s="26">
        <f>IF(OR($Q9="",手直し!F11=""),"",IFERROR(INDEX(計算用!$I$2:$I$186,MATCH("女"&amp;手直し!F11,計算用!$AO$2:$AO$186,0)),"？"))</f>
        <v/>
      </c>
      <c r="W9">
        <f>IF($Q9="","",手直し!G11&amp;"")</f>
        <v/>
      </c>
      <c r="X9" s="26">
        <f>IF(OR($Q9="",手直し!G11=""),"",IFERROR(INDEX(計算用!$M$2:$M$186,MATCH("女"&amp;手直し!G11,計算用!$AO$2:$AO$186,0)),"？"))</f>
        <v/>
      </c>
      <c r="Y9" s="26">
        <f>IF(OR($Q9="",手直し!G11=""),"",IFERROR(INDEX(計算用!$I$2:$I$186,MATCH("女"&amp;手直し!G11,計算用!$AO$2:$AO$186,0)),"？"))</f>
        <v/>
      </c>
      <c r="Z9">
        <f>IF($Q9="","",手直し!H11&amp;"")</f>
        <v/>
      </c>
      <c r="AA9" s="26">
        <f>IF(OR($Q9="",手直し!H11=""),"",IFERROR(INDEX(計算用!$M$2:$M$186,MATCH("女"&amp;手直し!H11,計算用!$AO$2:$AO$186,0)),"？"))</f>
        <v/>
      </c>
      <c r="AB9" s="26">
        <f>IF(OR($Q9="",手直し!H11=""),"",IFERROR(INDEX(計算用!$I$2:$I$186,MATCH("女"&amp;手直し!H11,計算用!$AO$2:$AO$186,0)),"？"))</f>
        <v/>
      </c>
      <c r="AC9">
        <f>IF($Q9="","",手直し!I11&amp;"")</f>
        <v/>
      </c>
      <c r="AD9" s="26">
        <f>IF(OR($Q9="",手直し!I11=""),"",IFERROR(INDEX(計算用!$M$2:$M$186,MATCH("女"&amp;手直し!I11,計算用!$AO$2:$AO$186,0)),"？"))</f>
        <v/>
      </c>
      <c r="AE9" s="26">
        <f>IF(OR($Q9="",手直し!I11=""),"",IFERROR(INDEX(計算用!$I$2:$I$186,MATCH("女"&amp;手直し!I11,計算用!$AO$2:$AO$186,0)),"？"))</f>
        <v/>
      </c>
    </row>
    <row r="10">
      <c r="A10" s="26">
        <f>IF(ROW()-3&lt;=計算用!$Q$13,ROW()-3,"")</f>
        <v/>
      </c>
      <c r="B10" s="26">
        <f>IF($A10="","",手直し!K12)</f>
        <v/>
      </c>
      <c r="C10" s="26">
        <f>IF($A10="","",手直し!L12)</f>
        <v/>
      </c>
      <c r="D10">
        <f>IF($A10="","",手直し!B12&amp;"")</f>
        <v/>
      </c>
      <c r="E10" s="26">
        <f>IF(OR($A10="",手直し!B12=""),"",IFERROR(INDEX(計算用!$M$2:$M$186,MATCH("男"&amp;手直し!B12,計算用!$AO$2:$AO$186,0)),"？"))</f>
        <v/>
      </c>
      <c r="F10" s="26">
        <f>IF(OR($A10="",手直し!B12=""),"",IFERROR(INDEX(計算用!$I$2:$I$186,MATCH("男"&amp;手直し!B12,計算用!$AO$2:$AO$186,0)),"？"))</f>
        <v/>
      </c>
      <c r="G10">
        <f>IF($A10="","",手直し!C12&amp;"")</f>
        <v/>
      </c>
      <c r="H10" s="26">
        <f>IF(OR($A10="",手直し!C12=""),"",IFERROR(INDEX(計算用!$M$2:$M$186,MATCH("男"&amp;手直し!C12,計算用!$AO$2:$AO$186,0)),"？"))</f>
        <v/>
      </c>
      <c r="I10" s="26">
        <f>IF(OR($A10="",手直し!C12=""),"",IFERROR(INDEX(計算用!$I$2:$I$186,MATCH("男"&amp;手直し!C12,計算用!$AO$2:$AO$186,0)),"？"))</f>
        <v/>
      </c>
      <c r="J10">
        <f>IF($A10="","",手直し!D12&amp;"")</f>
        <v/>
      </c>
      <c r="K10" s="26">
        <f>IF(OR($A10="",手直し!D12=""),"",IFERROR(INDEX(計算用!$M$2:$M$186,MATCH("男"&amp;手直し!D12,計算用!$AO$2:$AO$186,0)),"？"))</f>
        <v/>
      </c>
      <c r="L10" s="26">
        <f>IF(OR($A10="",手直し!D12=""),"",IFERROR(INDEX(計算用!$I$2:$I$186,MATCH("男"&amp;手直し!D12,計算用!$AO$2:$AO$186,0)),"？"))</f>
        <v/>
      </c>
      <c r="M10">
        <f>IF($A10="","",手直し!E12&amp;"")</f>
        <v/>
      </c>
      <c r="N10" s="26">
        <f>IF(OR($A10="",手直し!E12=""),"",IFERROR(INDEX(計算用!$M$2:$M$186,MATCH("男"&amp;手直し!E12,計算用!$AO$2:$AO$186,0)),"？"))</f>
        <v/>
      </c>
      <c r="O10" s="26">
        <f>IF(OR($A10="",手直し!E12=""),"",IFERROR(INDEX(計算用!$I$2:$I$186,MATCH("男"&amp;手直し!E12,計算用!$AO$2:$AO$186,0)),"？"))</f>
        <v/>
      </c>
      <c r="Q10" s="26">
        <f>IF(ROW()-3&lt;=計算用!$Q$14,ROW()-3,"")</f>
        <v/>
      </c>
      <c r="R10" s="26">
        <f>IF($Q10="","",手直し!M12)</f>
        <v/>
      </c>
      <c r="S10" s="26">
        <f>IF($Q10="","",手直し!N12)</f>
        <v/>
      </c>
      <c r="T10">
        <f>IF($Q10="","",手直し!F12&amp;"")</f>
        <v/>
      </c>
      <c r="U10" s="26">
        <f>IF(OR($Q10="",手直し!F12=""),"",IFERROR(INDEX(計算用!$M$2:$M$186,MATCH("女"&amp;手直し!F12,計算用!$AO$2:$AO$186,0)),"？"))</f>
        <v/>
      </c>
      <c r="V10" s="26">
        <f>IF(OR($Q10="",手直し!F12=""),"",IFERROR(INDEX(計算用!$I$2:$I$186,MATCH("女"&amp;手直し!F12,計算用!$AO$2:$AO$186,0)),"？"))</f>
        <v/>
      </c>
      <c r="W10">
        <f>IF($Q10="","",手直し!G12&amp;"")</f>
        <v/>
      </c>
      <c r="X10" s="26">
        <f>IF(OR($Q10="",手直し!G12=""),"",IFERROR(INDEX(計算用!$M$2:$M$186,MATCH("女"&amp;手直し!G12,計算用!$AO$2:$AO$186,0)),"？"))</f>
        <v/>
      </c>
      <c r="Y10" s="26">
        <f>IF(OR($Q10="",手直し!G12=""),"",IFERROR(INDEX(計算用!$I$2:$I$186,MATCH("女"&amp;手直し!G12,計算用!$AO$2:$AO$186,0)),"？"))</f>
        <v/>
      </c>
      <c r="Z10">
        <f>IF($Q10="","",手直し!H12&amp;"")</f>
        <v/>
      </c>
      <c r="AA10" s="26">
        <f>IF(OR($Q10="",手直し!H12=""),"",IFERROR(INDEX(計算用!$M$2:$M$186,MATCH("女"&amp;手直し!H12,計算用!$AO$2:$AO$186,0)),"？"))</f>
        <v/>
      </c>
      <c r="AB10" s="26">
        <f>IF(OR($Q10="",手直し!H12=""),"",IFERROR(INDEX(計算用!$I$2:$I$186,MATCH("女"&amp;手直し!H12,計算用!$AO$2:$AO$186,0)),"？"))</f>
        <v/>
      </c>
      <c r="AC10">
        <f>IF($Q10="","",手直し!I12&amp;"")</f>
        <v/>
      </c>
      <c r="AD10" s="26">
        <f>IF(OR($Q10="",手直し!I12=""),"",IFERROR(INDEX(計算用!$M$2:$M$186,MATCH("女"&amp;手直し!I12,計算用!$AO$2:$AO$186,0)),"？"))</f>
        <v/>
      </c>
      <c r="AE10" s="26">
        <f>IF(OR($Q10="",手直し!I12=""),"",IFERROR(INDEX(計算用!$I$2:$I$186,MATCH("女"&amp;手直し!I12,計算用!$AO$2:$AO$186,0)),"？"))</f>
        <v/>
      </c>
    </row>
    <row r="11">
      <c r="A11" s="26">
        <f>IF(ROW()-3&lt;=計算用!$Q$13,ROW()-3,"")</f>
        <v/>
      </c>
      <c r="B11" s="26">
        <f>IF($A11="","",手直し!K13)</f>
        <v/>
      </c>
      <c r="C11" s="26">
        <f>IF($A11="","",手直し!L13)</f>
        <v/>
      </c>
      <c r="D11">
        <f>IF($A11="","",手直し!B13&amp;"")</f>
        <v/>
      </c>
      <c r="E11" s="26">
        <f>IF(OR($A11="",手直し!B13=""),"",IFERROR(INDEX(計算用!$M$2:$M$186,MATCH("男"&amp;手直し!B13,計算用!$AO$2:$AO$186,0)),"？"))</f>
        <v/>
      </c>
      <c r="F11" s="26">
        <f>IF(OR($A11="",手直し!B13=""),"",IFERROR(INDEX(計算用!$I$2:$I$186,MATCH("男"&amp;手直し!B13,計算用!$AO$2:$AO$186,0)),"？"))</f>
        <v/>
      </c>
      <c r="G11">
        <f>IF($A11="","",手直し!C13&amp;"")</f>
        <v/>
      </c>
      <c r="H11" s="26">
        <f>IF(OR($A11="",手直し!C13=""),"",IFERROR(INDEX(計算用!$M$2:$M$186,MATCH("男"&amp;手直し!C13,計算用!$AO$2:$AO$186,0)),"？"))</f>
        <v/>
      </c>
      <c r="I11" s="26">
        <f>IF(OR($A11="",手直し!C13=""),"",IFERROR(INDEX(計算用!$I$2:$I$186,MATCH("男"&amp;手直し!C13,計算用!$AO$2:$AO$186,0)),"？"))</f>
        <v/>
      </c>
      <c r="J11">
        <f>IF($A11="","",手直し!D13&amp;"")</f>
        <v/>
      </c>
      <c r="K11" s="26">
        <f>IF(OR($A11="",手直し!D13=""),"",IFERROR(INDEX(計算用!$M$2:$M$186,MATCH("男"&amp;手直し!D13,計算用!$AO$2:$AO$186,0)),"？"))</f>
        <v/>
      </c>
      <c r="L11" s="26">
        <f>IF(OR($A11="",手直し!D13=""),"",IFERROR(INDEX(計算用!$I$2:$I$186,MATCH("男"&amp;手直し!D13,計算用!$AO$2:$AO$186,0)),"？"))</f>
        <v/>
      </c>
      <c r="M11">
        <f>IF($A11="","",手直し!E13&amp;"")</f>
        <v/>
      </c>
      <c r="N11" s="26">
        <f>IF(OR($A11="",手直し!E13=""),"",IFERROR(INDEX(計算用!$M$2:$M$186,MATCH("男"&amp;手直し!E13,計算用!$AO$2:$AO$186,0)),"？"))</f>
        <v/>
      </c>
      <c r="O11" s="26">
        <f>IF(OR($A11="",手直し!E13=""),"",IFERROR(INDEX(計算用!$I$2:$I$186,MATCH("男"&amp;手直し!E13,計算用!$AO$2:$AO$186,0)),"？"))</f>
        <v/>
      </c>
      <c r="Q11" s="26">
        <f>IF(ROW()-3&lt;=計算用!$Q$14,ROW()-3,"")</f>
        <v/>
      </c>
      <c r="R11" s="26">
        <f>IF($Q11="","",手直し!M13)</f>
        <v/>
      </c>
      <c r="S11" s="26">
        <f>IF($Q11="","",手直し!N13)</f>
        <v/>
      </c>
      <c r="T11">
        <f>IF($Q11="","",手直し!F13&amp;"")</f>
        <v/>
      </c>
      <c r="U11" s="26">
        <f>IF(OR($Q11="",手直し!F13=""),"",IFERROR(INDEX(計算用!$M$2:$M$186,MATCH("女"&amp;手直し!F13,計算用!$AO$2:$AO$186,0)),"？"))</f>
        <v/>
      </c>
      <c r="V11" s="26">
        <f>IF(OR($Q11="",手直し!F13=""),"",IFERROR(INDEX(計算用!$I$2:$I$186,MATCH("女"&amp;手直し!F13,計算用!$AO$2:$AO$186,0)),"？"))</f>
        <v/>
      </c>
      <c r="W11">
        <f>IF($Q11="","",手直し!G13&amp;"")</f>
        <v/>
      </c>
      <c r="X11" s="26">
        <f>IF(OR($Q11="",手直し!G13=""),"",IFERROR(INDEX(計算用!$M$2:$M$186,MATCH("女"&amp;手直し!G13,計算用!$AO$2:$AO$186,0)),"？"))</f>
        <v/>
      </c>
      <c r="Y11" s="26">
        <f>IF(OR($Q11="",手直し!G13=""),"",IFERROR(INDEX(計算用!$I$2:$I$186,MATCH("女"&amp;手直し!G13,計算用!$AO$2:$AO$186,0)),"？"))</f>
        <v/>
      </c>
      <c r="Z11">
        <f>IF($Q11="","",手直し!H13&amp;"")</f>
        <v/>
      </c>
      <c r="AA11" s="26">
        <f>IF(OR($Q11="",手直し!H13=""),"",IFERROR(INDEX(計算用!$M$2:$M$186,MATCH("女"&amp;手直し!H13,計算用!$AO$2:$AO$186,0)),"？"))</f>
        <v/>
      </c>
      <c r="AB11" s="26">
        <f>IF(OR($Q11="",手直し!H13=""),"",IFERROR(INDEX(計算用!$I$2:$I$186,MATCH("女"&amp;手直し!H13,計算用!$AO$2:$AO$186,0)),"？"))</f>
        <v/>
      </c>
      <c r="AC11">
        <f>IF($Q11="","",手直し!I13&amp;"")</f>
        <v/>
      </c>
      <c r="AD11" s="26">
        <f>IF(OR($Q11="",手直し!I13=""),"",IFERROR(INDEX(計算用!$M$2:$M$186,MATCH("女"&amp;手直し!I13,計算用!$AO$2:$AO$186,0)),"？"))</f>
        <v/>
      </c>
      <c r="AE11" s="26">
        <f>IF(OR($Q11="",手直し!I13=""),"",IFERROR(INDEX(計算用!$I$2:$I$186,MATCH("女"&amp;手直し!I13,計算用!$AO$2:$AO$186,0)),"？"))</f>
        <v/>
      </c>
    </row>
    <row r="12">
      <c r="A12" s="26">
        <f>IF(ROW()-3&lt;=計算用!$Q$13,ROW()-3,"")</f>
        <v/>
      </c>
      <c r="B12" s="26">
        <f>IF($A12="","",手直し!K14)</f>
        <v/>
      </c>
      <c r="C12" s="26">
        <f>IF($A12="","",手直し!L14)</f>
        <v/>
      </c>
      <c r="D12">
        <f>IF($A12="","",手直し!B14&amp;"")</f>
        <v/>
      </c>
      <c r="E12" s="26">
        <f>IF(OR($A12="",手直し!B14=""),"",IFERROR(INDEX(計算用!$M$2:$M$186,MATCH("男"&amp;手直し!B14,計算用!$AO$2:$AO$186,0)),"？"))</f>
        <v/>
      </c>
      <c r="F12" s="26">
        <f>IF(OR($A12="",手直し!B14=""),"",IFERROR(INDEX(計算用!$I$2:$I$186,MATCH("男"&amp;手直し!B14,計算用!$AO$2:$AO$186,0)),"？"))</f>
        <v/>
      </c>
      <c r="G12">
        <f>IF($A12="","",手直し!C14&amp;"")</f>
        <v/>
      </c>
      <c r="H12" s="26">
        <f>IF(OR($A12="",手直し!C14=""),"",IFERROR(INDEX(計算用!$M$2:$M$186,MATCH("男"&amp;手直し!C14,計算用!$AO$2:$AO$186,0)),"？"))</f>
        <v/>
      </c>
      <c r="I12" s="26">
        <f>IF(OR($A12="",手直し!C14=""),"",IFERROR(INDEX(計算用!$I$2:$I$186,MATCH("男"&amp;手直し!C14,計算用!$AO$2:$AO$186,0)),"？"))</f>
        <v/>
      </c>
      <c r="J12">
        <f>IF($A12="","",手直し!D14&amp;"")</f>
        <v/>
      </c>
      <c r="K12" s="26">
        <f>IF(OR($A12="",手直し!D14=""),"",IFERROR(INDEX(計算用!$M$2:$M$186,MATCH("男"&amp;手直し!D14,計算用!$AO$2:$AO$186,0)),"？"))</f>
        <v/>
      </c>
      <c r="L12" s="26">
        <f>IF(OR($A12="",手直し!D14=""),"",IFERROR(INDEX(計算用!$I$2:$I$186,MATCH("男"&amp;手直し!D14,計算用!$AO$2:$AO$186,0)),"？"))</f>
        <v/>
      </c>
      <c r="M12">
        <f>IF($A12="","",手直し!E14&amp;"")</f>
        <v/>
      </c>
      <c r="N12" s="26">
        <f>IF(OR($A12="",手直し!E14=""),"",IFERROR(INDEX(計算用!$M$2:$M$186,MATCH("男"&amp;手直し!E14,計算用!$AO$2:$AO$186,0)),"？"))</f>
        <v/>
      </c>
      <c r="O12" s="26">
        <f>IF(OR($A12="",手直し!E14=""),"",IFERROR(INDEX(計算用!$I$2:$I$186,MATCH("男"&amp;手直し!E14,計算用!$AO$2:$AO$186,0)),"？"))</f>
        <v/>
      </c>
      <c r="Q12" s="26">
        <f>IF(ROW()-3&lt;=計算用!$Q$14,ROW()-3,"")</f>
        <v/>
      </c>
      <c r="R12" s="26">
        <f>IF($Q12="","",手直し!M14)</f>
        <v/>
      </c>
      <c r="S12" s="26">
        <f>IF($Q12="","",手直し!N14)</f>
        <v/>
      </c>
      <c r="T12">
        <f>IF($Q12="","",手直し!F14&amp;"")</f>
        <v/>
      </c>
      <c r="U12" s="26">
        <f>IF(OR($Q12="",手直し!F14=""),"",IFERROR(INDEX(計算用!$M$2:$M$186,MATCH("女"&amp;手直し!F14,計算用!$AO$2:$AO$186,0)),"？"))</f>
        <v/>
      </c>
      <c r="V12" s="26">
        <f>IF(OR($Q12="",手直し!F14=""),"",IFERROR(INDEX(計算用!$I$2:$I$186,MATCH("女"&amp;手直し!F14,計算用!$AO$2:$AO$186,0)),"？"))</f>
        <v/>
      </c>
      <c r="W12">
        <f>IF($Q12="","",手直し!G14&amp;"")</f>
        <v/>
      </c>
      <c r="X12" s="26">
        <f>IF(OR($Q12="",手直し!G14=""),"",IFERROR(INDEX(計算用!$M$2:$M$186,MATCH("女"&amp;手直し!G14,計算用!$AO$2:$AO$186,0)),"？"))</f>
        <v/>
      </c>
      <c r="Y12" s="26">
        <f>IF(OR($Q12="",手直し!G14=""),"",IFERROR(INDEX(計算用!$I$2:$I$186,MATCH("女"&amp;手直し!G14,計算用!$AO$2:$AO$186,0)),"？"))</f>
        <v/>
      </c>
      <c r="Z12">
        <f>IF($Q12="","",手直し!H14&amp;"")</f>
        <v/>
      </c>
      <c r="AA12" s="26">
        <f>IF(OR($Q12="",手直し!H14=""),"",IFERROR(INDEX(計算用!$M$2:$M$186,MATCH("女"&amp;手直し!H14,計算用!$AO$2:$AO$186,0)),"？"))</f>
        <v/>
      </c>
      <c r="AB12" s="26">
        <f>IF(OR($Q12="",手直し!H14=""),"",IFERROR(INDEX(計算用!$I$2:$I$186,MATCH("女"&amp;手直し!H14,計算用!$AO$2:$AO$186,0)),"？"))</f>
        <v/>
      </c>
      <c r="AC12">
        <f>IF($Q12="","",手直し!I14&amp;"")</f>
        <v/>
      </c>
      <c r="AD12" s="26">
        <f>IF(OR($Q12="",手直し!I14=""),"",IFERROR(INDEX(計算用!$M$2:$M$186,MATCH("女"&amp;手直し!I14,計算用!$AO$2:$AO$186,0)),"？"))</f>
        <v/>
      </c>
      <c r="AE12" s="26">
        <f>IF(OR($Q12="",手直し!I14=""),"",IFERROR(INDEX(計算用!$I$2:$I$186,MATCH("女"&amp;手直し!I14,計算用!$AO$2:$AO$186,0)),"？"))</f>
        <v/>
      </c>
    </row>
    <row r="13">
      <c r="A13" s="26">
        <f>IF(ROW()-3&lt;=計算用!$Q$13,ROW()-3,"")</f>
        <v/>
      </c>
      <c r="B13" s="26">
        <f>IF($A13="","",手直し!K15)</f>
        <v/>
      </c>
      <c r="C13" s="26">
        <f>IF($A13="","",手直し!L15)</f>
        <v/>
      </c>
      <c r="D13">
        <f>IF($A13="","",手直し!B15&amp;"")</f>
        <v/>
      </c>
      <c r="E13" s="26">
        <f>IF(OR($A13="",手直し!B15=""),"",IFERROR(INDEX(計算用!$M$2:$M$186,MATCH("男"&amp;手直し!B15,計算用!$AO$2:$AO$186,0)),"？"))</f>
        <v/>
      </c>
      <c r="F13" s="26">
        <f>IF(OR($A13="",手直し!B15=""),"",IFERROR(INDEX(計算用!$I$2:$I$186,MATCH("男"&amp;手直し!B15,計算用!$AO$2:$AO$186,0)),"？"))</f>
        <v/>
      </c>
      <c r="G13">
        <f>IF($A13="","",手直し!C15&amp;"")</f>
        <v/>
      </c>
      <c r="H13" s="26">
        <f>IF(OR($A13="",手直し!C15=""),"",IFERROR(INDEX(計算用!$M$2:$M$186,MATCH("男"&amp;手直し!C15,計算用!$AO$2:$AO$186,0)),"？"))</f>
        <v/>
      </c>
      <c r="I13" s="26">
        <f>IF(OR($A13="",手直し!C15=""),"",IFERROR(INDEX(計算用!$I$2:$I$186,MATCH("男"&amp;手直し!C15,計算用!$AO$2:$AO$186,0)),"？"))</f>
        <v/>
      </c>
      <c r="J13">
        <f>IF($A13="","",手直し!D15&amp;"")</f>
        <v/>
      </c>
      <c r="K13" s="26">
        <f>IF(OR($A13="",手直し!D15=""),"",IFERROR(INDEX(計算用!$M$2:$M$186,MATCH("男"&amp;手直し!D15,計算用!$AO$2:$AO$186,0)),"？"))</f>
        <v/>
      </c>
      <c r="L13" s="26">
        <f>IF(OR($A13="",手直し!D15=""),"",IFERROR(INDEX(計算用!$I$2:$I$186,MATCH("男"&amp;手直し!D15,計算用!$AO$2:$AO$186,0)),"？"))</f>
        <v/>
      </c>
      <c r="M13">
        <f>IF($A13="","",手直し!E15&amp;"")</f>
        <v/>
      </c>
      <c r="N13" s="26">
        <f>IF(OR($A13="",手直し!E15=""),"",IFERROR(INDEX(計算用!$M$2:$M$186,MATCH("男"&amp;手直し!E15,計算用!$AO$2:$AO$186,0)),"？"))</f>
        <v/>
      </c>
      <c r="O13" s="26">
        <f>IF(OR($A13="",手直し!E15=""),"",IFERROR(INDEX(計算用!$I$2:$I$186,MATCH("男"&amp;手直し!E15,計算用!$AO$2:$AO$186,0)),"？"))</f>
        <v/>
      </c>
      <c r="Q13" s="26">
        <f>IF(ROW()-3&lt;=計算用!$Q$14,ROW()-3,"")</f>
        <v/>
      </c>
      <c r="R13" s="26">
        <f>IF($Q13="","",手直し!M15)</f>
        <v/>
      </c>
      <c r="S13" s="26">
        <f>IF($Q13="","",手直し!N15)</f>
        <v/>
      </c>
      <c r="T13">
        <f>IF($Q13="","",手直し!F15&amp;"")</f>
        <v/>
      </c>
      <c r="U13" s="26">
        <f>IF(OR($Q13="",手直し!F15=""),"",IFERROR(INDEX(計算用!$M$2:$M$186,MATCH("女"&amp;手直し!F15,計算用!$AO$2:$AO$186,0)),"？"))</f>
        <v/>
      </c>
      <c r="V13" s="26">
        <f>IF(OR($Q13="",手直し!F15=""),"",IFERROR(INDEX(計算用!$I$2:$I$186,MATCH("女"&amp;手直し!F15,計算用!$AO$2:$AO$186,0)),"？"))</f>
        <v/>
      </c>
      <c r="W13">
        <f>IF($Q13="","",手直し!G15&amp;"")</f>
        <v/>
      </c>
      <c r="X13" s="26">
        <f>IF(OR($Q13="",手直し!G15=""),"",IFERROR(INDEX(計算用!$M$2:$M$186,MATCH("女"&amp;手直し!G15,計算用!$AO$2:$AO$186,0)),"？"))</f>
        <v/>
      </c>
      <c r="Y13" s="26">
        <f>IF(OR($Q13="",手直し!G15=""),"",IFERROR(INDEX(計算用!$I$2:$I$186,MATCH("女"&amp;手直し!G15,計算用!$AO$2:$AO$186,0)),"？"))</f>
        <v/>
      </c>
      <c r="Z13">
        <f>IF($Q13="","",手直し!H15&amp;"")</f>
        <v/>
      </c>
      <c r="AA13" s="26">
        <f>IF(OR($Q13="",手直し!H15=""),"",IFERROR(INDEX(計算用!$M$2:$M$186,MATCH("女"&amp;手直し!H15,計算用!$AO$2:$AO$186,0)),"？"))</f>
        <v/>
      </c>
      <c r="AB13" s="26">
        <f>IF(OR($Q13="",手直し!H15=""),"",IFERROR(INDEX(計算用!$I$2:$I$186,MATCH("女"&amp;手直し!H15,計算用!$AO$2:$AO$186,0)),"？"))</f>
        <v/>
      </c>
      <c r="AC13">
        <f>IF($Q13="","",手直し!I15&amp;"")</f>
        <v/>
      </c>
      <c r="AD13" s="26">
        <f>IF(OR($Q13="",手直し!I15=""),"",IFERROR(INDEX(計算用!$M$2:$M$186,MATCH("女"&amp;手直し!I15,計算用!$AO$2:$AO$186,0)),"？"))</f>
        <v/>
      </c>
      <c r="AE13" s="26">
        <f>IF(OR($Q13="",手直し!I15=""),"",IFERROR(INDEX(計算用!$I$2:$I$186,MATCH("女"&amp;手直し!I15,計算用!$AO$2:$AO$186,0)),"？"))</f>
        <v/>
      </c>
    </row>
    <row r="14">
      <c r="A14" s="26">
        <f>IF(ROW()-3&lt;=計算用!$Q$13,ROW()-3,"")</f>
        <v/>
      </c>
      <c r="B14" s="26">
        <f>IF($A14="","",手直し!K16)</f>
        <v/>
      </c>
      <c r="C14" s="26">
        <f>IF($A14="","",手直し!L16)</f>
        <v/>
      </c>
      <c r="D14">
        <f>IF($A14="","",手直し!B16&amp;"")</f>
        <v/>
      </c>
      <c r="E14" s="26">
        <f>IF(OR($A14="",手直し!B16=""),"",IFERROR(INDEX(計算用!$M$2:$M$186,MATCH("男"&amp;手直し!B16,計算用!$AO$2:$AO$186,0)),"？"))</f>
        <v/>
      </c>
      <c r="F14" s="26">
        <f>IF(OR($A14="",手直し!B16=""),"",IFERROR(INDEX(計算用!$I$2:$I$186,MATCH("男"&amp;手直し!B16,計算用!$AO$2:$AO$186,0)),"？"))</f>
        <v/>
      </c>
      <c r="G14">
        <f>IF($A14="","",手直し!C16&amp;"")</f>
        <v/>
      </c>
      <c r="H14" s="26">
        <f>IF(OR($A14="",手直し!C16=""),"",IFERROR(INDEX(計算用!$M$2:$M$186,MATCH("男"&amp;手直し!C16,計算用!$AO$2:$AO$186,0)),"？"))</f>
        <v/>
      </c>
      <c r="I14" s="26">
        <f>IF(OR($A14="",手直し!C16=""),"",IFERROR(INDEX(計算用!$I$2:$I$186,MATCH("男"&amp;手直し!C16,計算用!$AO$2:$AO$186,0)),"？"))</f>
        <v/>
      </c>
      <c r="J14">
        <f>IF($A14="","",手直し!D16&amp;"")</f>
        <v/>
      </c>
      <c r="K14" s="26">
        <f>IF(OR($A14="",手直し!D16=""),"",IFERROR(INDEX(計算用!$M$2:$M$186,MATCH("男"&amp;手直し!D16,計算用!$AO$2:$AO$186,0)),"？"))</f>
        <v/>
      </c>
      <c r="L14" s="26">
        <f>IF(OR($A14="",手直し!D16=""),"",IFERROR(INDEX(計算用!$I$2:$I$186,MATCH("男"&amp;手直し!D16,計算用!$AO$2:$AO$186,0)),"？"))</f>
        <v/>
      </c>
      <c r="M14">
        <f>IF($A14="","",手直し!E16&amp;"")</f>
        <v/>
      </c>
      <c r="N14" s="26">
        <f>IF(OR($A14="",手直し!E16=""),"",IFERROR(INDEX(計算用!$M$2:$M$186,MATCH("男"&amp;手直し!E16,計算用!$AO$2:$AO$186,0)),"？"))</f>
        <v/>
      </c>
      <c r="O14" s="26">
        <f>IF(OR($A14="",手直し!E16=""),"",IFERROR(INDEX(計算用!$I$2:$I$186,MATCH("男"&amp;手直し!E16,計算用!$AO$2:$AO$186,0)),"？"))</f>
        <v/>
      </c>
      <c r="Q14" s="26">
        <f>IF(ROW()-3&lt;=計算用!$Q$14,ROW()-3,"")</f>
        <v/>
      </c>
      <c r="R14" s="26">
        <f>IF($Q14="","",手直し!M16)</f>
        <v/>
      </c>
      <c r="S14" s="26">
        <f>IF($Q14="","",手直し!N16)</f>
        <v/>
      </c>
      <c r="T14">
        <f>IF($Q14="","",手直し!F16&amp;"")</f>
        <v/>
      </c>
      <c r="U14" s="26">
        <f>IF(OR($Q14="",手直し!F16=""),"",IFERROR(INDEX(計算用!$M$2:$M$186,MATCH("女"&amp;手直し!F16,計算用!$AO$2:$AO$186,0)),"？"))</f>
        <v/>
      </c>
      <c r="V14" s="26">
        <f>IF(OR($Q14="",手直し!F16=""),"",IFERROR(INDEX(計算用!$I$2:$I$186,MATCH("女"&amp;手直し!F16,計算用!$AO$2:$AO$186,0)),"？"))</f>
        <v/>
      </c>
      <c r="W14">
        <f>IF($Q14="","",手直し!G16&amp;"")</f>
        <v/>
      </c>
      <c r="X14" s="26">
        <f>IF(OR($Q14="",手直し!G16=""),"",IFERROR(INDEX(計算用!$M$2:$M$186,MATCH("女"&amp;手直し!G16,計算用!$AO$2:$AO$186,0)),"？"))</f>
        <v/>
      </c>
      <c r="Y14" s="26">
        <f>IF(OR($Q14="",手直し!G16=""),"",IFERROR(INDEX(計算用!$I$2:$I$186,MATCH("女"&amp;手直し!G16,計算用!$AO$2:$AO$186,0)),"？"))</f>
        <v/>
      </c>
      <c r="Z14">
        <f>IF($Q14="","",手直し!H16&amp;"")</f>
        <v/>
      </c>
      <c r="AA14" s="26">
        <f>IF(OR($Q14="",手直し!H16=""),"",IFERROR(INDEX(計算用!$M$2:$M$186,MATCH("女"&amp;手直し!H16,計算用!$AO$2:$AO$186,0)),"？"))</f>
        <v/>
      </c>
      <c r="AB14" s="26">
        <f>IF(OR($Q14="",手直し!H16=""),"",IFERROR(INDEX(計算用!$I$2:$I$186,MATCH("女"&amp;手直し!H16,計算用!$AO$2:$AO$186,0)),"？"))</f>
        <v/>
      </c>
      <c r="AC14">
        <f>IF($Q14="","",手直し!I16&amp;"")</f>
        <v/>
      </c>
      <c r="AD14" s="26">
        <f>IF(OR($Q14="",手直し!I16=""),"",IFERROR(INDEX(計算用!$M$2:$M$186,MATCH("女"&amp;手直し!I16,計算用!$AO$2:$AO$186,0)),"？"))</f>
        <v/>
      </c>
      <c r="AE14" s="26">
        <f>IF(OR($Q14="",手直し!I16=""),"",IFERROR(INDEX(計算用!$I$2:$I$186,MATCH("女"&amp;手直し!I16,計算用!$AO$2:$AO$186,0)),"？"))</f>
        <v/>
      </c>
    </row>
    <row r="15">
      <c r="A15" s="26">
        <f>IF(ROW()-3&lt;=計算用!$Q$13,ROW()-3,"")</f>
        <v/>
      </c>
      <c r="B15" s="26">
        <f>IF($A15="","",手直し!K17)</f>
        <v/>
      </c>
      <c r="C15" s="26">
        <f>IF($A15="","",手直し!L17)</f>
        <v/>
      </c>
      <c r="D15">
        <f>IF($A15="","",手直し!B17&amp;"")</f>
        <v/>
      </c>
      <c r="E15" s="26">
        <f>IF(OR($A15="",手直し!B17=""),"",IFERROR(INDEX(計算用!$M$2:$M$186,MATCH("男"&amp;手直し!B17,計算用!$AO$2:$AO$186,0)),"？"))</f>
        <v/>
      </c>
      <c r="F15" s="26">
        <f>IF(OR($A15="",手直し!B17=""),"",IFERROR(INDEX(計算用!$I$2:$I$186,MATCH("男"&amp;手直し!B17,計算用!$AO$2:$AO$186,0)),"？"))</f>
        <v/>
      </c>
      <c r="G15">
        <f>IF($A15="","",手直し!C17&amp;"")</f>
        <v/>
      </c>
      <c r="H15" s="26">
        <f>IF(OR($A15="",手直し!C17=""),"",IFERROR(INDEX(計算用!$M$2:$M$186,MATCH("男"&amp;手直し!C17,計算用!$AO$2:$AO$186,0)),"？"))</f>
        <v/>
      </c>
      <c r="I15" s="26">
        <f>IF(OR($A15="",手直し!C17=""),"",IFERROR(INDEX(計算用!$I$2:$I$186,MATCH("男"&amp;手直し!C17,計算用!$AO$2:$AO$186,0)),"？"))</f>
        <v/>
      </c>
      <c r="J15">
        <f>IF($A15="","",手直し!D17&amp;"")</f>
        <v/>
      </c>
      <c r="K15" s="26">
        <f>IF(OR($A15="",手直し!D17=""),"",IFERROR(INDEX(計算用!$M$2:$M$186,MATCH("男"&amp;手直し!D17,計算用!$AO$2:$AO$186,0)),"？"))</f>
        <v/>
      </c>
      <c r="L15" s="26">
        <f>IF(OR($A15="",手直し!D17=""),"",IFERROR(INDEX(計算用!$I$2:$I$186,MATCH("男"&amp;手直し!D17,計算用!$AO$2:$AO$186,0)),"？"))</f>
        <v/>
      </c>
      <c r="M15">
        <f>IF($A15="","",手直し!E17&amp;"")</f>
        <v/>
      </c>
      <c r="N15" s="26">
        <f>IF(OR($A15="",手直し!E17=""),"",IFERROR(INDEX(計算用!$M$2:$M$186,MATCH("男"&amp;手直し!E17,計算用!$AO$2:$AO$186,0)),"？"))</f>
        <v/>
      </c>
      <c r="O15" s="26">
        <f>IF(OR($A15="",手直し!E17=""),"",IFERROR(INDEX(計算用!$I$2:$I$186,MATCH("男"&amp;手直し!E17,計算用!$AO$2:$AO$186,0)),"？"))</f>
        <v/>
      </c>
      <c r="Q15" s="26">
        <f>IF(ROW()-3&lt;=計算用!$Q$14,ROW()-3,"")</f>
        <v/>
      </c>
      <c r="R15" s="26">
        <f>IF($Q15="","",手直し!M17)</f>
        <v/>
      </c>
      <c r="S15" s="26">
        <f>IF($Q15="","",手直し!N17)</f>
        <v/>
      </c>
      <c r="T15">
        <f>IF($Q15="","",手直し!F17&amp;"")</f>
        <v/>
      </c>
      <c r="U15" s="26">
        <f>IF(OR($Q15="",手直し!F17=""),"",IFERROR(INDEX(計算用!$M$2:$M$186,MATCH("女"&amp;手直し!F17,計算用!$AO$2:$AO$186,0)),"？"))</f>
        <v/>
      </c>
      <c r="V15" s="26">
        <f>IF(OR($Q15="",手直し!F17=""),"",IFERROR(INDEX(計算用!$I$2:$I$186,MATCH("女"&amp;手直し!F17,計算用!$AO$2:$AO$186,0)),"？"))</f>
        <v/>
      </c>
      <c r="W15">
        <f>IF($Q15="","",手直し!G17&amp;"")</f>
        <v/>
      </c>
      <c r="X15" s="26">
        <f>IF(OR($Q15="",手直し!G17=""),"",IFERROR(INDEX(計算用!$M$2:$M$186,MATCH("女"&amp;手直し!G17,計算用!$AO$2:$AO$186,0)),"？"))</f>
        <v/>
      </c>
      <c r="Y15" s="26">
        <f>IF(OR($Q15="",手直し!G17=""),"",IFERROR(INDEX(計算用!$I$2:$I$186,MATCH("女"&amp;手直し!G17,計算用!$AO$2:$AO$186,0)),"？"))</f>
        <v/>
      </c>
      <c r="Z15">
        <f>IF($Q15="","",手直し!H17&amp;"")</f>
        <v/>
      </c>
      <c r="AA15" s="26">
        <f>IF(OR($Q15="",手直し!H17=""),"",IFERROR(INDEX(計算用!$M$2:$M$186,MATCH("女"&amp;手直し!H17,計算用!$AO$2:$AO$186,0)),"？"))</f>
        <v/>
      </c>
      <c r="AB15" s="26">
        <f>IF(OR($Q15="",手直し!H17=""),"",IFERROR(INDEX(計算用!$I$2:$I$186,MATCH("女"&amp;手直し!H17,計算用!$AO$2:$AO$186,0)),"？"))</f>
        <v/>
      </c>
      <c r="AC15">
        <f>IF($Q15="","",手直し!I17&amp;"")</f>
        <v/>
      </c>
      <c r="AD15" s="26">
        <f>IF(OR($Q15="",手直し!I17=""),"",IFERROR(INDEX(計算用!$M$2:$M$186,MATCH("女"&amp;手直し!I17,計算用!$AO$2:$AO$186,0)),"？"))</f>
        <v/>
      </c>
      <c r="AE15" s="26">
        <f>IF(OR($Q15="",手直し!I17=""),"",IFERROR(INDEX(計算用!$I$2:$I$186,MATCH("女"&amp;手直し!I17,計算用!$AO$2:$AO$186,0)),"？"))</f>
        <v/>
      </c>
    </row>
    <row r="16">
      <c r="A16" s="26">
        <f>IF(ROW()-3&lt;=計算用!$Q$13,ROW()-3,"")</f>
        <v/>
      </c>
      <c r="B16" s="26">
        <f>IF($A16="","",手直し!K18)</f>
        <v/>
      </c>
      <c r="C16" s="26">
        <f>IF($A16="","",手直し!L18)</f>
        <v/>
      </c>
      <c r="D16">
        <f>IF($A16="","",手直し!B18&amp;"")</f>
        <v/>
      </c>
      <c r="E16" s="26">
        <f>IF(OR($A16="",手直し!B18=""),"",IFERROR(INDEX(計算用!$M$2:$M$186,MATCH("男"&amp;手直し!B18,計算用!$AO$2:$AO$186,0)),"？"))</f>
        <v/>
      </c>
      <c r="F16" s="26">
        <f>IF(OR($A16="",手直し!B18=""),"",IFERROR(INDEX(計算用!$I$2:$I$186,MATCH("男"&amp;手直し!B18,計算用!$AO$2:$AO$186,0)),"？"))</f>
        <v/>
      </c>
      <c r="G16">
        <f>IF($A16="","",手直し!C18&amp;"")</f>
        <v/>
      </c>
      <c r="H16" s="26">
        <f>IF(OR($A16="",手直し!C18=""),"",IFERROR(INDEX(計算用!$M$2:$M$186,MATCH("男"&amp;手直し!C18,計算用!$AO$2:$AO$186,0)),"？"))</f>
        <v/>
      </c>
      <c r="I16" s="26">
        <f>IF(OR($A16="",手直し!C18=""),"",IFERROR(INDEX(計算用!$I$2:$I$186,MATCH("男"&amp;手直し!C18,計算用!$AO$2:$AO$186,0)),"？"))</f>
        <v/>
      </c>
      <c r="J16">
        <f>IF($A16="","",手直し!D18&amp;"")</f>
        <v/>
      </c>
      <c r="K16" s="26">
        <f>IF(OR($A16="",手直し!D18=""),"",IFERROR(INDEX(計算用!$M$2:$M$186,MATCH("男"&amp;手直し!D18,計算用!$AO$2:$AO$186,0)),"？"))</f>
        <v/>
      </c>
      <c r="L16" s="26">
        <f>IF(OR($A16="",手直し!D18=""),"",IFERROR(INDEX(計算用!$I$2:$I$186,MATCH("男"&amp;手直し!D18,計算用!$AO$2:$AO$186,0)),"？"))</f>
        <v/>
      </c>
      <c r="M16">
        <f>IF($A16="","",手直し!E18&amp;"")</f>
        <v/>
      </c>
      <c r="N16" s="26">
        <f>IF(OR($A16="",手直し!E18=""),"",IFERROR(INDEX(計算用!$M$2:$M$186,MATCH("男"&amp;手直し!E18,計算用!$AO$2:$AO$186,0)),"？"))</f>
        <v/>
      </c>
      <c r="O16" s="26">
        <f>IF(OR($A16="",手直し!E18=""),"",IFERROR(INDEX(計算用!$I$2:$I$186,MATCH("男"&amp;手直し!E18,計算用!$AO$2:$AO$186,0)),"？"))</f>
        <v/>
      </c>
      <c r="Q16" s="26">
        <f>IF(ROW()-3&lt;=計算用!$Q$14,ROW()-3,"")</f>
        <v/>
      </c>
      <c r="R16" s="26">
        <f>IF($Q16="","",手直し!M18)</f>
        <v/>
      </c>
      <c r="S16" s="26">
        <f>IF($Q16="","",手直し!N18)</f>
        <v/>
      </c>
      <c r="T16">
        <f>IF($Q16="","",手直し!F18&amp;"")</f>
        <v/>
      </c>
      <c r="U16" s="26">
        <f>IF(OR($Q16="",手直し!F18=""),"",IFERROR(INDEX(計算用!$M$2:$M$186,MATCH("女"&amp;手直し!F18,計算用!$AO$2:$AO$186,0)),"？"))</f>
        <v/>
      </c>
      <c r="V16" s="26">
        <f>IF(OR($Q16="",手直し!F18=""),"",IFERROR(INDEX(計算用!$I$2:$I$186,MATCH("女"&amp;手直し!F18,計算用!$AO$2:$AO$186,0)),"？"))</f>
        <v/>
      </c>
      <c r="W16">
        <f>IF($Q16="","",手直し!G18&amp;"")</f>
        <v/>
      </c>
      <c r="X16" s="26">
        <f>IF(OR($Q16="",手直し!G18=""),"",IFERROR(INDEX(計算用!$M$2:$M$186,MATCH("女"&amp;手直し!G18,計算用!$AO$2:$AO$186,0)),"？"))</f>
        <v/>
      </c>
      <c r="Y16" s="26">
        <f>IF(OR($Q16="",手直し!G18=""),"",IFERROR(INDEX(計算用!$I$2:$I$186,MATCH("女"&amp;手直し!G18,計算用!$AO$2:$AO$186,0)),"？"))</f>
        <v/>
      </c>
      <c r="Z16">
        <f>IF($Q16="","",手直し!H18&amp;"")</f>
        <v/>
      </c>
      <c r="AA16" s="26">
        <f>IF(OR($Q16="",手直し!H18=""),"",IFERROR(INDEX(計算用!$M$2:$M$186,MATCH("女"&amp;手直し!H18,計算用!$AO$2:$AO$186,0)),"？"))</f>
        <v/>
      </c>
      <c r="AB16" s="26">
        <f>IF(OR($Q16="",手直し!H18=""),"",IFERROR(INDEX(計算用!$I$2:$I$186,MATCH("女"&amp;手直し!H18,計算用!$AO$2:$AO$186,0)),"？"))</f>
        <v/>
      </c>
      <c r="AC16">
        <f>IF($Q16="","",手直し!I18&amp;"")</f>
        <v/>
      </c>
      <c r="AD16" s="26">
        <f>IF(OR($Q16="",手直し!I18=""),"",IFERROR(INDEX(計算用!$M$2:$M$186,MATCH("女"&amp;手直し!I18,計算用!$AO$2:$AO$186,0)),"？"))</f>
        <v/>
      </c>
      <c r="AE16" s="26">
        <f>IF(OR($Q16="",手直し!I18=""),"",IFERROR(INDEX(計算用!$I$2:$I$186,MATCH("女"&amp;手直し!I18,計算用!$AO$2:$AO$186,0)),"？"))</f>
        <v/>
      </c>
    </row>
    <row r="17">
      <c r="A17" s="26">
        <f>IF(ROW()-3&lt;=計算用!$Q$13,ROW()-3,"")</f>
        <v/>
      </c>
      <c r="B17" s="26">
        <f>IF($A17="","",手直し!K19)</f>
        <v/>
      </c>
      <c r="C17" s="26">
        <f>IF($A17="","",手直し!L19)</f>
        <v/>
      </c>
      <c r="D17">
        <f>IF($A17="","",手直し!B19&amp;"")</f>
        <v/>
      </c>
      <c r="E17" s="26">
        <f>IF(OR($A17="",手直し!B19=""),"",IFERROR(INDEX(計算用!$M$2:$M$186,MATCH("男"&amp;手直し!B19,計算用!$AO$2:$AO$186,0)),"？"))</f>
        <v/>
      </c>
      <c r="F17" s="26">
        <f>IF(OR($A17="",手直し!B19=""),"",IFERROR(INDEX(計算用!$I$2:$I$186,MATCH("男"&amp;手直し!B19,計算用!$AO$2:$AO$186,0)),"？"))</f>
        <v/>
      </c>
      <c r="G17">
        <f>IF($A17="","",手直し!C19&amp;"")</f>
        <v/>
      </c>
      <c r="H17" s="26">
        <f>IF(OR($A17="",手直し!C19=""),"",IFERROR(INDEX(計算用!$M$2:$M$186,MATCH("男"&amp;手直し!C19,計算用!$AO$2:$AO$186,0)),"？"))</f>
        <v/>
      </c>
      <c r="I17" s="26">
        <f>IF(OR($A17="",手直し!C19=""),"",IFERROR(INDEX(計算用!$I$2:$I$186,MATCH("男"&amp;手直し!C19,計算用!$AO$2:$AO$186,0)),"？"))</f>
        <v/>
      </c>
      <c r="J17">
        <f>IF($A17="","",手直し!D19&amp;"")</f>
        <v/>
      </c>
      <c r="K17" s="26">
        <f>IF(OR($A17="",手直し!D19=""),"",IFERROR(INDEX(計算用!$M$2:$M$186,MATCH("男"&amp;手直し!D19,計算用!$AO$2:$AO$186,0)),"？"))</f>
        <v/>
      </c>
      <c r="L17" s="26">
        <f>IF(OR($A17="",手直し!D19=""),"",IFERROR(INDEX(計算用!$I$2:$I$186,MATCH("男"&amp;手直し!D19,計算用!$AO$2:$AO$186,0)),"？"))</f>
        <v/>
      </c>
      <c r="M17">
        <f>IF($A17="","",手直し!E19&amp;"")</f>
        <v/>
      </c>
      <c r="N17" s="26">
        <f>IF(OR($A17="",手直し!E19=""),"",IFERROR(INDEX(計算用!$M$2:$M$186,MATCH("男"&amp;手直し!E19,計算用!$AO$2:$AO$186,0)),"？"))</f>
        <v/>
      </c>
      <c r="O17" s="26">
        <f>IF(OR($A17="",手直し!E19=""),"",IFERROR(INDEX(計算用!$I$2:$I$186,MATCH("男"&amp;手直し!E19,計算用!$AO$2:$AO$186,0)),"？"))</f>
        <v/>
      </c>
      <c r="Q17" s="26">
        <f>IF(ROW()-3&lt;=計算用!$Q$14,ROW()-3,"")</f>
        <v/>
      </c>
      <c r="R17" s="26">
        <f>IF($Q17="","",手直し!M19)</f>
        <v/>
      </c>
      <c r="S17" s="26">
        <f>IF($Q17="","",手直し!N19)</f>
        <v/>
      </c>
      <c r="T17">
        <f>IF($Q17="","",手直し!F19&amp;"")</f>
        <v/>
      </c>
      <c r="U17" s="26">
        <f>IF(OR($Q17="",手直し!F19=""),"",IFERROR(INDEX(計算用!$M$2:$M$186,MATCH("女"&amp;手直し!F19,計算用!$AO$2:$AO$186,0)),"？"))</f>
        <v/>
      </c>
      <c r="V17" s="26">
        <f>IF(OR($Q17="",手直し!F19=""),"",IFERROR(INDEX(計算用!$I$2:$I$186,MATCH("女"&amp;手直し!F19,計算用!$AO$2:$AO$186,0)),"？"))</f>
        <v/>
      </c>
      <c r="W17">
        <f>IF($Q17="","",手直し!G19&amp;"")</f>
        <v/>
      </c>
      <c r="X17" s="26">
        <f>IF(OR($Q17="",手直し!G19=""),"",IFERROR(INDEX(計算用!$M$2:$M$186,MATCH("女"&amp;手直し!G19,計算用!$AO$2:$AO$186,0)),"？"))</f>
        <v/>
      </c>
      <c r="Y17" s="26">
        <f>IF(OR($Q17="",手直し!G19=""),"",IFERROR(INDEX(計算用!$I$2:$I$186,MATCH("女"&amp;手直し!G19,計算用!$AO$2:$AO$186,0)),"？"))</f>
        <v/>
      </c>
      <c r="Z17">
        <f>IF($Q17="","",手直し!H19&amp;"")</f>
        <v/>
      </c>
      <c r="AA17" s="26">
        <f>IF(OR($Q17="",手直し!H19=""),"",IFERROR(INDEX(計算用!$M$2:$M$186,MATCH("女"&amp;手直し!H19,計算用!$AO$2:$AO$186,0)),"？"))</f>
        <v/>
      </c>
      <c r="AB17" s="26">
        <f>IF(OR($Q17="",手直し!H19=""),"",IFERROR(INDEX(計算用!$I$2:$I$186,MATCH("女"&amp;手直し!H19,計算用!$AO$2:$AO$186,0)),"？"))</f>
        <v/>
      </c>
      <c r="AC17">
        <f>IF($Q17="","",手直し!I19&amp;"")</f>
        <v/>
      </c>
      <c r="AD17" s="26">
        <f>IF(OR($Q17="",手直し!I19=""),"",IFERROR(INDEX(計算用!$M$2:$M$186,MATCH("女"&amp;手直し!I19,計算用!$AO$2:$AO$186,0)),"？"))</f>
        <v/>
      </c>
      <c r="AE17" s="26">
        <f>IF(OR($Q17="",手直し!I19=""),"",IFERROR(INDEX(計算用!$I$2:$I$186,MATCH("女"&amp;手直し!I19,計算用!$AO$2:$AO$186,0)),"？"))</f>
        <v/>
      </c>
    </row>
    <row r="18">
      <c r="A18" s="26">
        <f>IF(ROW()-3&lt;=計算用!$Q$13,ROW()-3,"")</f>
        <v/>
      </c>
      <c r="B18" s="26">
        <f>IF($A18="","",手直し!K20)</f>
        <v/>
      </c>
      <c r="C18" s="26">
        <f>IF($A18="","",手直し!L20)</f>
        <v/>
      </c>
      <c r="D18">
        <f>IF($A18="","",手直し!B20&amp;"")</f>
        <v/>
      </c>
      <c r="E18" s="26">
        <f>IF(OR($A18="",手直し!B20=""),"",IFERROR(INDEX(計算用!$M$2:$M$186,MATCH("男"&amp;手直し!B20,計算用!$AO$2:$AO$186,0)),"？"))</f>
        <v/>
      </c>
      <c r="F18" s="26">
        <f>IF(OR($A18="",手直し!B20=""),"",IFERROR(INDEX(計算用!$I$2:$I$186,MATCH("男"&amp;手直し!B20,計算用!$AO$2:$AO$186,0)),"？"))</f>
        <v/>
      </c>
      <c r="G18">
        <f>IF($A18="","",手直し!C20&amp;"")</f>
        <v/>
      </c>
      <c r="H18" s="26">
        <f>IF(OR($A18="",手直し!C20=""),"",IFERROR(INDEX(計算用!$M$2:$M$186,MATCH("男"&amp;手直し!C20,計算用!$AO$2:$AO$186,0)),"？"))</f>
        <v/>
      </c>
      <c r="I18" s="26">
        <f>IF(OR($A18="",手直し!C20=""),"",IFERROR(INDEX(計算用!$I$2:$I$186,MATCH("男"&amp;手直し!C20,計算用!$AO$2:$AO$186,0)),"？"))</f>
        <v/>
      </c>
      <c r="J18">
        <f>IF($A18="","",手直し!D20&amp;"")</f>
        <v/>
      </c>
      <c r="K18" s="26">
        <f>IF(OR($A18="",手直し!D20=""),"",IFERROR(INDEX(計算用!$M$2:$M$186,MATCH("男"&amp;手直し!D20,計算用!$AO$2:$AO$186,0)),"？"))</f>
        <v/>
      </c>
      <c r="L18" s="26">
        <f>IF(OR($A18="",手直し!D20=""),"",IFERROR(INDEX(計算用!$I$2:$I$186,MATCH("男"&amp;手直し!D20,計算用!$AO$2:$AO$186,0)),"？"))</f>
        <v/>
      </c>
      <c r="M18">
        <f>IF($A18="","",手直し!E20&amp;"")</f>
        <v/>
      </c>
      <c r="N18" s="26">
        <f>IF(OR($A18="",手直し!E20=""),"",IFERROR(INDEX(計算用!$M$2:$M$186,MATCH("男"&amp;手直し!E20,計算用!$AO$2:$AO$186,0)),"？"))</f>
        <v/>
      </c>
      <c r="O18" s="26">
        <f>IF(OR($A18="",手直し!E20=""),"",IFERROR(INDEX(計算用!$I$2:$I$186,MATCH("男"&amp;手直し!E20,計算用!$AO$2:$AO$186,0)),"？"))</f>
        <v/>
      </c>
      <c r="Q18" s="26">
        <f>IF(ROW()-3&lt;=計算用!$Q$14,ROW()-3,"")</f>
        <v/>
      </c>
      <c r="R18" s="26">
        <f>IF($Q18="","",手直し!M20)</f>
        <v/>
      </c>
      <c r="S18" s="26">
        <f>IF($Q18="","",手直し!N20)</f>
        <v/>
      </c>
      <c r="T18">
        <f>IF($Q18="","",手直し!F20&amp;"")</f>
        <v/>
      </c>
      <c r="U18" s="26">
        <f>IF(OR($Q18="",手直し!F20=""),"",IFERROR(INDEX(計算用!$M$2:$M$186,MATCH("女"&amp;手直し!F20,計算用!$AO$2:$AO$186,0)),"？"))</f>
        <v/>
      </c>
      <c r="V18" s="26">
        <f>IF(OR($Q18="",手直し!F20=""),"",IFERROR(INDEX(計算用!$I$2:$I$186,MATCH("女"&amp;手直し!F20,計算用!$AO$2:$AO$186,0)),"？"))</f>
        <v/>
      </c>
      <c r="W18">
        <f>IF($Q18="","",手直し!G20&amp;"")</f>
        <v/>
      </c>
      <c r="X18" s="26">
        <f>IF(OR($Q18="",手直し!G20=""),"",IFERROR(INDEX(計算用!$M$2:$M$186,MATCH("女"&amp;手直し!G20,計算用!$AO$2:$AO$186,0)),"？"))</f>
        <v/>
      </c>
      <c r="Y18" s="26">
        <f>IF(OR($Q18="",手直し!G20=""),"",IFERROR(INDEX(計算用!$I$2:$I$186,MATCH("女"&amp;手直し!G20,計算用!$AO$2:$AO$186,0)),"？"))</f>
        <v/>
      </c>
      <c r="Z18">
        <f>IF($Q18="","",手直し!H20&amp;"")</f>
        <v/>
      </c>
      <c r="AA18" s="26">
        <f>IF(OR($Q18="",手直し!H20=""),"",IFERROR(INDEX(計算用!$M$2:$M$186,MATCH("女"&amp;手直し!H20,計算用!$AO$2:$AO$186,0)),"？"))</f>
        <v/>
      </c>
      <c r="AB18" s="26">
        <f>IF(OR($Q18="",手直し!H20=""),"",IFERROR(INDEX(計算用!$I$2:$I$186,MATCH("女"&amp;手直し!H20,計算用!$AO$2:$AO$186,0)),"？"))</f>
        <v/>
      </c>
      <c r="AC18">
        <f>IF($Q18="","",手直し!I20&amp;"")</f>
        <v/>
      </c>
      <c r="AD18" s="26">
        <f>IF(OR($Q18="",手直し!I20=""),"",IFERROR(INDEX(計算用!$M$2:$M$186,MATCH("女"&amp;手直し!I20,計算用!$AO$2:$AO$186,0)),"？"))</f>
        <v/>
      </c>
      <c r="AE18" s="26">
        <f>IF(OR($Q18="",手直し!I20=""),"",IFERROR(INDEX(計算用!$I$2:$I$186,MATCH("女"&amp;手直し!I20,計算用!$AO$2:$AO$186,0)),"？"))</f>
        <v/>
      </c>
    </row>
    <row r="19">
      <c r="A19" s="26">
        <f>IF(ROW()-3&lt;=計算用!$Q$13,ROW()-3,"")</f>
        <v/>
      </c>
      <c r="B19" s="26">
        <f>IF($A19="","",手直し!K21)</f>
        <v/>
      </c>
      <c r="C19" s="26">
        <f>IF($A19="","",手直し!L21)</f>
        <v/>
      </c>
      <c r="D19">
        <f>IF($A19="","",手直し!B21&amp;"")</f>
        <v/>
      </c>
      <c r="E19" s="26">
        <f>IF(OR($A19="",手直し!B21=""),"",IFERROR(INDEX(計算用!$M$2:$M$186,MATCH("男"&amp;手直し!B21,計算用!$AO$2:$AO$186,0)),"？"))</f>
        <v/>
      </c>
      <c r="F19" s="26">
        <f>IF(OR($A19="",手直し!B21=""),"",IFERROR(INDEX(計算用!$I$2:$I$186,MATCH("男"&amp;手直し!B21,計算用!$AO$2:$AO$186,0)),"？"))</f>
        <v/>
      </c>
      <c r="G19">
        <f>IF($A19="","",手直し!C21&amp;"")</f>
        <v/>
      </c>
      <c r="H19" s="26">
        <f>IF(OR($A19="",手直し!C21=""),"",IFERROR(INDEX(計算用!$M$2:$M$186,MATCH("男"&amp;手直し!C21,計算用!$AO$2:$AO$186,0)),"？"))</f>
        <v/>
      </c>
      <c r="I19" s="26">
        <f>IF(OR($A19="",手直し!C21=""),"",IFERROR(INDEX(計算用!$I$2:$I$186,MATCH("男"&amp;手直し!C21,計算用!$AO$2:$AO$186,0)),"？"))</f>
        <v/>
      </c>
      <c r="J19">
        <f>IF($A19="","",手直し!D21&amp;"")</f>
        <v/>
      </c>
      <c r="K19" s="26">
        <f>IF(OR($A19="",手直し!D21=""),"",IFERROR(INDEX(計算用!$M$2:$M$186,MATCH("男"&amp;手直し!D21,計算用!$AO$2:$AO$186,0)),"？"))</f>
        <v/>
      </c>
      <c r="L19" s="26">
        <f>IF(OR($A19="",手直し!D21=""),"",IFERROR(INDEX(計算用!$I$2:$I$186,MATCH("男"&amp;手直し!D21,計算用!$AO$2:$AO$186,0)),"？"))</f>
        <v/>
      </c>
      <c r="M19">
        <f>IF($A19="","",手直し!E21&amp;"")</f>
        <v/>
      </c>
      <c r="N19" s="26">
        <f>IF(OR($A19="",手直し!E21=""),"",IFERROR(INDEX(計算用!$M$2:$M$186,MATCH("男"&amp;手直し!E21,計算用!$AO$2:$AO$186,0)),"？"))</f>
        <v/>
      </c>
      <c r="O19" s="26">
        <f>IF(OR($A19="",手直し!E21=""),"",IFERROR(INDEX(計算用!$I$2:$I$186,MATCH("男"&amp;手直し!E21,計算用!$AO$2:$AO$186,0)),"？"))</f>
        <v/>
      </c>
      <c r="Q19" s="26">
        <f>IF(ROW()-3&lt;=計算用!$Q$14,ROW()-3,"")</f>
        <v/>
      </c>
      <c r="R19" s="26">
        <f>IF($Q19="","",手直し!M21)</f>
        <v/>
      </c>
      <c r="S19" s="26">
        <f>IF($Q19="","",手直し!N21)</f>
        <v/>
      </c>
      <c r="T19">
        <f>IF($Q19="","",手直し!F21&amp;"")</f>
        <v/>
      </c>
      <c r="U19" s="26">
        <f>IF(OR($Q19="",手直し!F21=""),"",IFERROR(INDEX(計算用!$M$2:$M$186,MATCH("女"&amp;手直し!F21,計算用!$AO$2:$AO$186,0)),"？"))</f>
        <v/>
      </c>
      <c r="V19" s="26">
        <f>IF(OR($Q19="",手直し!F21=""),"",IFERROR(INDEX(計算用!$I$2:$I$186,MATCH("女"&amp;手直し!F21,計算用!$AO$2:$AO$186,0)),"？"))</f>
        <v/>
      </c>
      <c r="W19">
        <f>IF($Q19="","",手直し!G21&amp;"")</f>
        <v/>
      </c>
      <c r="X19" s="26">
        <f>IF(OR($Q19="",手直し!G21=""),"",IFERROR(INDEX(計算用!$M$2:$M$186,MATCH("女"&amp;手直し!G21,計算用!$AO$2:$AO$186,0)),"？"))</f>
        <v/>
      </c>
      <c r="Y19" s="26">
        <f>IF(OR($Q19="",手直し!G21=""),"",IFERROR(INDEX(計算用!$I$2:$I$186,MATCH("女"&amp;手直し!G21,計算用!$AO$2:$AO$186,0)),"？"))</f>
        <v/>
      </c>
      <c r="Z19">
        <f>IF($Q19="","",手直し!H21&amp;"")</f>
        <v/>
      </c>
      <c r="AA19" s="26">
        <f>IF(OR($Q19="",手直し!H21=""),"",IFERROR(INDEX(計算用!$M$2:$M$186,MATCH("女"&amp;手直し!H21,計算用!$AO$2:$AO$186,0)),"？"))</f>
        <v/>
      </c>
      <c r="AB19" s="26">
        <f>IF(OR($Q19="",手直し!H21=""),"",IFERROR(INDEX(計算用!$I$2:$I$186,MATCH("女"&amp;手直し!H21,計算用!$AO$2:$AO$186,0)),"？"))</f>
        <v/>
      </c>
      <c r="AC19">
        <f>IF($Q19="","",手直し!I21&amp;"")</f>
        <v/>
      </c>
      <c r="AD19" s="26">
        <f>IF(OR($Q19="",手直し!I21=""),"",IFERROR(INDEX(計算用!$M$2:$M$186,MATCH("女"&amp;手直し!I21,計算用!$AO$2:$AO$186,0)),"？"))</f>
        <v/>
      </c>
      <c r="AE19" s="26">
        <f>IF(OR($Q19="",手直し!I21=""),"",IFERROR(INDEX(計算用!$I$2:$I$186,MATCH("女"&amp;手直し!I21,計算用!$AO$2:$AO$186,0)),"？"))</f>
        <v/>
      </c>
    </row>
    <row r="20">
      <c r="A20" s="26">
        <f>IF(ROW()-3&lt;=計算用!$Q$13,ROW()-3,"")</f>
        <v/>
      </c>
      <c r="B20" s="26">
        <f>IF($A20="","",手直し!K22)</f>
        <v/>
      </c>
      <c r="C20" s="26">
        <f>IF($A20="","",手直し!L22)</f>
        <v/>
      </c>
      <c r="D20">
        <f>IF($A20="","",手直し!B22&amp;"")</f>
        <v/>
      </c>
      <c r="E20" s="26">
        <f>IF(OR($A20="",手直し!B22=""),"",IFERROR(INDEX(計算用!$M$2:$M$186,MATCH("男"&amp;手直し!B22,計算用!$AO$2:$AO$186,0)),"？"))</f>
        <v/>
      </c>
      <c r="F20" s="26">
        <f>IF(OR($A20="",手直し!B22=""),"",IFERROR(INDEX(計算用!$I$2:$I$186,MATCH("男"&amp;手直し!B22,計算用!$AO$2:$AO$186,0)),"？"))</f>
        <v/>
      </c>
      <c r="G20">
        <f>IF($A20="","",手直し!C22&amp;"")</f>
        <v/>
      </c>
      <c r="H20" s="26">
        <f>IF(OR($A20="",手直し!C22=""),"",IFERROR(INDEX(計算用!$M$2:$M$186,MATCH("男"&amp;手直し!C22,計算用!$AO$2:$AO$186,0)),"？"))</f>
        <v/>
      </c>
      <c r="I20" s="26">
        <f>IF(OR($A20="",手直し!C22=""),"",IFERROR(INDEX(計算用!$I$2:$I$186,MATCH("男"&amp;手直し!C22,計算用!$AO$2:$AO$186,0)),"？"))</f>
        <v/>
      </c>
      <c r="J20">
        <f>IF($A20="","",手直し!D22&amp;"")</f>
        <v/>
      </c>
      <c r="K20" s="26">
        <f>IF(OR($A20="",手直し!D22=""),"",IFERROR(INDEX(計算用!$M$2:$M$186,MATCH("男"&amp;手直し!D22,計算用!$AO$2:$AO$186,0)),"？"))</f>
        <v/>
      </c>
      <c r="L20" s="26">
        <f>IF(OR($A20="",手直し!D22=""),"",IFERROR(INDEX(計算用!$I$2:$I$186,MATCH("男"&amp;手直し!D22,計算用!$AO$2:$AO$186,0)),"？"))</f>
        <v/>
      </c>
      <c r="M20">
        <f>IF($A20="","",手直し!E22&amp;"")</f>
        <v/>
      </c>
      <c r="N20" s="26">
        <f>IF(OR($A20="",手直し!E22=""),"",IFERROR(INDEX(計算用!$M$2:$M$186,MATCH("男"&amp;手直し!E22,計算用!$AO$2:$AO$186,0)),"？"))</f>
        <v/>
      </c>
      <c r="O20" s="26">
        <f>IF(OR($A20="",手直し!E22=""),"",IFERROR(INDEX(計算用!$I$2:$I$186,MATCH("男"&amp;手直し!E22,計算用!$AO$2:$AO$186,0)),"？"))</f>
        <v/>
      </c>
      <c r="Q20" s="26">
        <f>IF(ROW()-3&lt;=計算用!$Q$14,ROW()-3,"")</f>
        <v/>
      </c>
      <c r="R20" s="26">
        <f>IF($Q20="","",手直し!M22)</f>
        <v/>
      </c>
      <c r="S20" s="26">
        <f>IF($Q20="","",手直し!N22)</f>
        <v/>
      </c>
      <c r="T20">
        <f>IF($Q20="","",手直し!F22&amp;"")</f>
        <v/>
      </c>
      <c r="U20" s="26">
        <f>IF(OR($Q20="",手直し!F22=""),"",IFERROR(INDEX(計算用!$M$2:$M$186,MATCH("女"&amp;手直し!F22,計算用!$AO$2:$AO$186,0)),"？"))</f>
        <v/>
      </c>
      <c r="V20" s="26">
        <f>IF(OR($Q20="",手直し!F22=""),"",IFERROR(INDEX(計算用!$I$2:$I$186,MATCH("女"&amp;手直し!F22,計算用!$AO$2:$AO$186,0)),"？"))</f>
        <v/>
      </c>
      <c r="W20">
        <f>IF($Q20="","",手直し!G22&amp;"")</f>
        <v/>
      </c>
      <c r="X20" s="26">
        <f>IF(OR($Q20="",手直し!G22=""),"",IFERROR(INDEX(計算用!$M$2:$M$186,MATCH("女"&amp;手直し!G22,計算用!$AO$2:$AO$186,0)),"？"))</f>
        <v/>
      </c>
      <c r="Y20" s="26">
        <f>IF(OR($Q20="",手直し!G22=""),"",IFERROR(INDEX(計算用!$I$2:$I$186,MATCH("女"&amp;手直し!G22,計算用!$AO$2:$AO$186,0)),"？"))</f>
        <v/>
      </c>
      <c r="Z20">
        <f>IF($Q20="","",手直し!H22&amp;"")</f>
        <v/>
      </c>
      <c r="AA20" s="26">
        <f>IF(OR($Q20="",手直し!H22=""),"",IFERROR(INDEX(計算用!$M$2:$M$186,MATCH("女"&amp;手直し!H22,計算用!$AO$2:$AO$186,0)),"？"))</f>
        <v/>
      </c>
      <c r="AB20" s="26">
        <f>IF(OR($Q20="",手直し!H22=""),"",IFERROR(INDEX(計算用!$I$2:$I$186,MATCH("女"&amp;手直し!H22,計算用!$AO$2:$AO$186,0)),"？"))</f>
        <v/>
      </c>
      <c r="AC20">
        <f>IF($Q20="","",手直し!I22&amp;"")</f>
        <v/>
      </c>
      <c r="AD20" s="26">
        <f>IF(OR($Q20="",手直し!I22=""),"",IFERROR(INDEX(計算用!$M$2:$M$186,MATCH("女"&amp;手直し!I22,計算用!$AO$2:$AO$186,0)),"？"))</f>
        <v/>
      </c>
      <c r="AE20" s="26">
        <f>IF(OR($Q20="",手直し!I22=""),"",IFERROR(INDEX(計算用!$I$2:$I$186,MATCH("女"&amp;手直し!I22,計算用!$AO$2:$AO$186,0)),"？"))</f>
        <v/>
      </c>
    </row>
    <row r="21">
      <c r="A21" s="26">
        <f>IF(ROW()-3&lt;=計算用!$Q$13,ROW()-3,"")</f>
        <v/>
      </c>
      <c r="B21" s="26">
        <f>IF($A21="","",手直し!K23)</f>
        <v/>
      </c>
      <c r="C21" s="26">
        <f>IF($A21="","",手直し!L23)</f>
        <v/>
      </c>
      <c r="D21">
        <f>IF($A21="","",手直し!B23&amp;"")</f>
        <v/>
      </c>
      <c r="E21" s="26">
        <f>IF(OR($A21="",手直し!B23=""),"",IFERROR(INDEX(計算用!$M$2:$M$186,MATCH("男"&amp;手直し!B23,計算用!$AO$2:$AO$186,0)),"？"))</f>
        <v/>
      </c>
      <c r="F21" s="26">
        <f>IF(OR($A21="",手直し!B23=""),"",IFERROR(INDEX(計算用!$I$2:$I$186,MATCH("男"&amp;手直し!B23,計算用!$AO$2:$AO$186,0)),"？"))</f>
        <v/>
      </c>
      <c r="G21">
        <f>IF($A21="","",手直し!C23&amp;"")</f>
        <v/>
      </c>
      <c r="H21" s="26">
        <f>IF(OR($A21="",手直し!C23=""),"",IFERROR(INDEX(計算用!$M$2:$M$186,MATCH("男"&amp;手直し!C23,計算用!$AO$2:$AO$186,0)),"？"))</f>
        <v/>
      </c>
      <c r="I21" s="26">
        <f>IF(OR($A21="",手直し!C23=""),"",IFERROR(INDEX(計算用!$I$2:$I$186,MATCH("男"&amp;手直し!C23,計算用!$AO$2:$AO$186,0)),"？"))</f>
        <v/>
      </c>
      <c r="J21">
        <f>IF($A21="","",手直し!D23&amp;"")</f>
        <v/>
      </c>
      <c r="K21" s="26">
        <f>IF(OR($A21="",手直し!D23=""),"",IFERROR(INDEX(計算用!$M$2:$M$186,MATCH("男"&amp;手直し!D23,計算用!$AO$2:$AO$186,0)),"？"))</f>
        <v/>
      </c>
      <c r="L21" s="26">
        <f>IF(OR($A21="",手直し!D23=""),"",IFERROR(INDEX(計算用!$I$2:$I$186,MATCH("男"&amp;手直し!D23,計算用!$AO$2:$AO$186,0)),"？"))</f>
        <v/>
      </c>
      <c r="M21">
        <f>IF($A21="","",手直し!E23&amp;"")</f>
        <v/>
      </c>
      <c r="N21" s="26">
        <f>IF(OR($A21="",手直し!E23=""),"",IFERROR(INDEX(計算用!$M$2:$M$186,MATCH("男"&amp;手直し!E23,計算用!$AO$2:$AO$186,0)),"？"))</f>
        <v/>
      </c>
      <c r="O21" s="26">
        <f>IF(OR($A21="",手直し!E23=""),"",IFERROR(INDEX(計算用!$I$2:$I$186,MATCH("男"&amp;手直し!E23,計算用!$AO$2:$AO$186,0)),"？"))</f>
        <v/>
      </c>
      <c r="Q21" s="26">
        <f>IF(ROW()-3&lt;=計算用!$Q$14,ROW()-3,"")</f>
        <v/>
      </c>
      <c r="R21" s="26">
        <f>IF($Q21="","",手直し!M23)</f>
        <v/>
      </c>
      <c r="S21" s="26">
        <f>IF($Q21="","",手直し!N23)</f>
        <v/>
      </c>
      <c r="T21">
        <f>IF($Q21="","",手直し!F23&amp;"")</f>
        <v/>
      </c>
      <c r="U21" s="26">
        <f>IF(OR($Q21="",手直し!F23=""),"",IFERROR(INDEX(計算用!$M$2:$M$186,MATCH("女"&amp;手直し!F23,計算用!$AO$2:$AO$186,0)),"？"))</f>
        <v/>
      </c>
      <c r="V21" s="26">
        <f>IF(OR($Q21="",手直し!F23=""),"",IFERROR(INDEX(計算用!$I$2:$I$186,MATCH("女"&amp;手直し!F23,計算用!$AO$2:$AO$186,0)),"？"))</f>
        <v/>
      </c>
      <c r="W21">
        <f>IF($Q21="","",手直し!G23&amp;"")</f>
        <v/>
      </c>
      <c r="X21" s="26">
        <f>IF(OR($Q21="",手直し!G23=""),"",IFERROR(INDEX(計算用!$M$2:$M$186,MATCH("女"&amp;手直し!G23,計算用!$AO$2:$AO$186,0)),"？"))</f>
        <v/>
      </c>
      <c r="Y21" s="26">
        <f>IF(OR($Q21="",手直し!G23=""),"",IFERROR(INDEX(計算用!$I$2:$I$186,MATCH("女"&amp;手直し!G23,計算用!$AO$2:$AO$186,0)),"？"))</f>
        <v/>
      </c>
      <c r="Z21">
        <f>IF($Q21="","",手直し!H23&amp;"")</f>
        <v/>
      </c>
      <c r="AA21" s="26">
        <f>IF(OR($Q21="",手直し!H23=""),"",IFERROR(INDEX(計算用!$M$2:$M$186,MATCH("女"&amp;手直し!H23,計算用!$AO$2:$AO$186,0)),"？"))</f>
        <v/>
      </c>
      <c r="AB21" s="26">
        <f>IF(OR($Q21="",手直し!H23=""),"",IFERROR(INDEX(計算用!$I$2:$I$186,MATCH("女"&amp;手直し!H23,計算用!$AO$2:$AO$186,0)),"？"))</f>
        <v/>
      </c>
      <c r="AC21">
        <f>IF($Q21="","",手直し!I23&amp;"")</f>
        <v/>
      </c>
      <c r="AD21" s="26">
        <f>IF(OR($Q21="",手直し!I23=""),"",IFERROR(INDEX(計算用!$M$2:$M$186,MATCH("女"&amp;手直し!I23,計算用!$AO$2:$AO$186,0)),"？"))</f>
        <v/>
      </c>
      <c r="AE21" s="26">
        <f>IF(OR($Q21="",手直し!I23=""),"",IFERROR(INDEX(計算用!$I$2:$I$186,MATCH("女"&amp;手直し!I23,計算用!$AO$2:$AO$186,0)),"？"))</f>
        <v/>
      </c>
    </row>
    <row r="22">
      <c r="A22" s="26">
        <f>IF(ROW()-3&lt;=計算用!$Q$13,ROW()-3,"")</f>
        <v/>
      </c>
      <c r="B22" s="26">
        <f>IF($A22="","",手直し!K24)</f>
        <v/>
      </c>
      <c r="C22" s="26">
        <f>IF($A22="","",手直し!L24)</f>
        <v/>
      </c>
      <c r="D22">
        <f>IF($A22="","",手直し!B24&amp;"")</f>
        <v/>
      </c>
      <c r="E22" s="26">
        <f>IF(OR($A22="",手直し!B24=""),"",IFERROR(INDEX(計算用!$M$2:$M$186,MATCH("男"&amp;手直し!B24,計算用!$AO$2:$AO$186,0)),"？"))</f>
        <v/>
      </c>
      <c r="F22" s="26">
        <f>IF(OR($A22="",手直し!B24=""),"",IFERROR(INDEX(計算用!$I$2:$I$186,MATCH("男"&amp;手直し!B24,計算用!$AO$2:$AO$186,0)),"？"))</f>
        <v/>
      </c>
      <c r="G22">
        <f>IF($A22="","",手直し!C24&amp;"")</f>
        <v/>
      </c>
      <c r="H22" s="26">
        <f>IF(OR($A22="",手直し!C24=""),"",IFERROR(INDEX(計算用!$M$2:$M$186,MATCH("男"&amp;手直し!C24,計算用!$AO$2:$AO$186,0)),"？"))</f>
        <v/>
      </c>
      <c r="I22" s="26">
        <f>IF(OR($A22="",手直し!C24=""),"",IFERROR(INDEX(計算用!$I$2:$I$186,MATCH("男"&amp;手直し!C24,計算用!$AO$2:$AO$186,0)),"？"))</f>
        <v/>
      </c>
      <c r="J22">
        <f>IF($A22="","",手直し!D24&amp;"")</f>
        <v/>
      </c>
      <c r="K22" s="26">
        <f>IF(OR($A22="",手直し!D24=""),"",IFERROR(INDEX(計算用!$M$2:$M$186,MATCH("男"&amp;手直し!D24,計算用!$AO$2:$AO$186,0)),"？"))</f>
        <v/>
      </c>
      <c r="L22" s="26">
        <f>IF(OR($A22="",手直し!D24=""),"",IFERROR(INDEX(計算用!$I$2:$I$186,MATCH("男"&amp;手直し!D24,計算用!$AO$2:$AO$186,0)),"？"))</f>
        <v/>
      </c>
      <c r="M22">
        <f>IF($A22="","",手直し!E24&amp;"")</f>
        <v/>
      </c>
      <c r="N22" s="26">
        <f>IF(OR($A22="",手直し!E24=""),"",IFERROR(INDEX(計算用!$M$2:$M$186,MATCH("男"&amp;手直し!E24,計算用!$AO$2:$AO$186,0)),"？"))</f>
        <v/>
      </c>
      <c r="O22" s="26">
        <f>IF(OR($A22="",手直し!E24=""),"",IFERROR(INDEX(計算用!$I$2:$I$186,MATCH("男"&amp;手直し!E24,計算用!$AO$2:$AO$186,0)),"？"))</f>
        <v/>
      </c>
      <c r="Q22" s="26">
        <f>IF(ROW()-3&lt;=計算用!$Q$14,ROW()-3,"")</f>
        <v/>
      </c>
      <c r="R22" s="26">
        <f>IF($Q22="","",手直し!M24)</f>
        <v/>
      </c>
      <c r="S22" s="26">
        <f>IF($Q22="","",手直し!N24)</f>
        <v/>
      </c>
      <c r="T22">
        <f>IF($Q22="","",手直し!F24&amp;"")</f>
        <v/>
      </c>
      <c r="U22" s="26">
        <f>IF(OR($Q22="",手直し!F24=""),"",IFERROR(INDEX(計算用!$M$2:$M$186,MATCH("女"&amp;手直し!F24,計算用!$AO$2:$AO$186,0)),"？"))</f>
        <v/>
      </c>
      <c r="V22" s="26">
        <f>IF(OR($Q22="",手直し!F24=""),"",IFERROR(INDEX(計算用!$I$2:$I$186,MATCH("女"&amp;手直し!F24,計算用!$AO$2:$AO$186,0)),"？"))</f>
        <v/>
      </c>
      <c r="W22">
        <f>IF($Q22="","",手直し!G24&amp;"")</f>
        <v/>
      </c>
      <c r="X22" s="26">
        <f>IF(OR($Q22="",手直し!G24=""),"",IFERROR(INDEX(計算用!$M$2:$M$186,MATCH("女"&amp;手直し!G24,計算用!$AO$2:$AO$186,0)),"？"))</f>
        <v/>
      </c>
      <c r="Y22" s="26">
        <f>IF(OR($Q22="",手直し!G24=""),"",IFERROR(INDEX(計算用!$I$2:$I$186,MATCH("女"&amp;手直し!G24,計算用!$AO$2:$AO$186,0)),"？"))</f>
        <v/>
      </c>
      <c r="Z22">
        <f>IF($Q22="","",手直し!H24&amp;"")</f>
        <v/>
      </c>
      <c r="AA22" s="26">
        <f>IF(OR($Q22="",手直し!H24=""),"",IFERROR(INDEX(計算用!$M$2:$M$186,MATCH("女"&amp;手直し!H24,計算用!$AO$2:$AO$186,0)),"？"))</f>
        <v/>
      </c>
      <c r="AB22" s="26">
        <f>IF(OR($Q22="",手直し!H24=""),"",IFERROR(INDEX(計算用!$I$2:$I$186,MATCH("女"&amp;手直し!H24,計算用!$AO$2:$AO$186,0)),"？"))</f>
        <v/>
      </c>
      <c r="AC22">
        <f>IF($Q22="","",手直し!I24&amp;"")</f>
        <v/>
      </c>
      <c r="AD22" s="26">
        <f>IF(OR($Q22="",手直し!I24=""),"",IFERROR(INDEX(計算用!$M$2:$M$186,MATCH("女"&amp;手直し!I24,計算用!$AO$2:$AO$186,0)),"？"))</f>
        <v/>
      </c>
      <c r="AE22" s="26">
        <f>IF(OR($Q22="",手直し!I24=""),"",IFERROR(INDEX(計算用!$I$2:$I$186,MATCH("女"&amp;手直し!I24,計算用!$AO$2:$AO$186,0)),"？"))</f>
        <v/>
      </c>
    </row>
    <row r="23">
      <c r="A23" s="26">
        <f>IF(ROW()-3&lt;=計算用!$Q$13,ROW()-3,"")</f>
        <v/>
      </c>
      <c r="B23" s="26">
        <f>IF($A23="","",手直し!K25)</f>
        <v/>
      </c>
      <c r="C23" s="26">
        <f>IF($A23="","",手直し!L25)</f>
        <v/>
      </c>
      <c r="D23">
        <f>IF($A23="","",手直し!B25&amp;"")</f>
        <v/>
      </c>
      <c r="E23" s="26">
        <f>IF(OR($A23="",手直し!B25=""),"",IFERROR(INDEX(計算用!$M$2:$M$186,MATCH("男"&amp;手直し!B25,計算用!$AO$2:$AO$186,0)),"？"))</f>
        <v/>
      </c>
      <c r="F23" s="26">
        <f>IF(OR($A23="",手直し!B25=""),"",IFERROR(INDEX(計算用!$I$2:$I$186,MATCH("男"&amp;手直し!B25,計算用!$AO$2:$AO$186,0)),"？"))</f>
        <v/>
      </c>
      <c r="G23">
        <f>IF($A23="","",手直し!C25&amp;"")</f>
        <v/>
      </c>
      <c r="H23" s="26">
        <f>IF(OR($A23="",手直し!C25=""),"",IFERROR(INDEX(計算用!$M$2:$M$186,MATCH("男"&amp;手直し!C25,計算用!$AO$2:$AO$186,0)),"？"))</f>
        <v/>
      </c>
      <c r="I23" s="26">
        <f>IF(OR($A23="",手直し!C25=""),"",IFERROR(INDEX(計算用!$I$2:$I$186,MATCH("男"&amp;手直し!C25,計算用!$AO$2:$AO$186,0)),"？"))</f>
        <v/>
      </c>
      <c r="J23">
        <f>IF($A23="","",手直し!D25&amp;"")</f>
        <v/>
      </c>
      <c r="K23" s="26">
        <f>IF(OR($A23="",手直し!D25=""),"",IFERROR(INDEX(計算用!$M$2:$M$186,MATCH("男"&amp;手直し!D25,計算用!$AO$2:$AO$186,0)),"？"))</f>
        <v/>
      </c>
      <c r="L23" s="26">
        <f>IF(OR($A23="",手直し!D25=""),"",IFERROR(INDEX(計算用!$I$2:$I$186,MATCH("男"&amp;手直し!D25,計算用!$AO$2:$AO$186,0)),"？"))</f>
        <v/>
      </c>
      <c r="M23">
        <f>IF($A23="","",手直し!E25&amp;"")</f>
        <v/>
      </c>
      <c r="N23" s="26">
        <f>IF(OR($A23="",手直し!E25=""),"",IFERROR(INDEX(計算用!$M$2:$M$186,MATCH("男"&amp;手直し!E25,計算用!$AO$2:$AO$186,0)),"？"))</f>
        <v/>
      </c>
      <c r="O23" s="26">
        <f>IF(OR($A23="",手直し!E25=""),"",IFERROR(INDEX(計算用!$I$2:$I$186,MATCH("男"&amp;手直し!E25,計算用!$AO$2:$AO$186,0)),"？"))</f>
        <v/>
      </c>
      <c r="Q23" s="26">
        <f>IF(ROW()-3&lt;=計算用!$Q$14,ROW()-3,"")</f>
        <v/>
      </c>
      <c r="R23" s="26">
        <f>IF($Q23="","",手直し!M25)</f>
        <v/>
      </c>
      <c r="S23" s="26">
        <f>IF($Q23="","",手直し!N25)</f>
        <v/>
      </c>
      <c r="T23">
        <f>IF($Q23="","",手直し!F25&amp;"")</f>
        <v/>
      </c>
      <c r="U23" s="26">
        <f>IF(OR($Q23="",手直し!F25=""),"",IFERROR(INDEX(計算用!$M$2:$M$186,MATCH("女"&amp;手直し!F25,計算用!$AO$2:$AO$186,0)),"？"))</f>
        <v/>
      </c>
      <c r="V23" s="26">
        <f>IF(OR($Q23="",手直し!F25=""),"",IFERROR(INDEX(計算用!$I$2:$I$186,MATCH("女"&amp;手直し!F25,計算用!$AO$2:$AO$186,0)),"？"))</f>
        <v/>
      </c>
      <c r="W23">
        <f>IF($Q23="","",手直し!G25&amp;"")</f>
        <v/>
      </c>
      <c r="X23" s="26">
        <f>IF(OR($Q23="",手直し!G25=""),"",IFERROR(INDEX(計算用!$M$2:$M$186,MATCH("女"&amp;手直し!G25,計算用!$AO$2:$AO$186,0)),"？"))</f>
        <v/>
      </c>
      <c r="Y23" s="26">
        <f>IF(OR($Q23="",手直し!G25=""),"",IFERROR(INDEX(計算用!$I$2:$I$186,MATCH("女"&amp;手直し!G25,計算用!$AO$2:$AO$186,0)),"？"))</f>
        <v/>
      </c>
      <c r="Z23">
        <f>IF($Q23="","",手直し!H25&amp;"")</f>
        <v/>
      </c>
      <c r="AA23" s="26">
        <f>IF(OR($Q23="",手直し!H25=""),"",IFERROR(INDEX(計算用!$M$2:$M$186,MATCH("女"&amp;手直し!H25,計算用!$AO$2:$AO$186,0)),"？"))</f>
        <v/>
      </c>
      <c r="AB23" s="26">
        <f>IF(OR($Q23="",手直し!H25=""),"",IFERROR(INDEX(計算用!$I$2:$I$186,MATCH("女"&amp;手直し!H25,計算用!$AO$2:$AO$186,0)),"？"))</f>
        <v/>
      </c>
      <c r="AC23">
        <f>IF($Q23="","",手直し!I25&amp;"")</f>
        <v/>
      </c>
      <c r="AD23" s="26">
        <f>IF(OR($Q23="",手直し!I25=""),"",IFERROR(INDEX(計算用!$M$2:$M$186,MATCH("女"&amp;手直し!I25,計算用!$AO$2:$AO$186,0)),"？"))</f>
        <v/>
      </c>
      <c r="AE23" s="26">
        <f>IF(OR($Q23="",手直し!I25=""),"",IFERROR(INDEX(計算用!$I$2:$I$186,MATCH("女"&amp;手直し!I25,計算用!$AO$2:$AO$186,0)),"？"))</f>
        <v/>
      </c>
    </row>
    <row r="24">
      <c r="A24" s="26">
        <f>IF(ROW()-3&lt;=計算用!$Q$13,ROW()-3,"")</f>
        <v/>
      </c>
      <c r="B24" s="26">
        <f>IF($A24="","",手直し!K26)</f>
        <v/>
      </c>
      <c r="C24" s="26">
        <f>IF($A24="","",手直し!L26)</f>
        <v/>
      </c>
      <c r="D24">
        <f>IF($A24="","",手直し!B26&amp;"")</f>
        <v/>
      </c>
      <c r="E24" s="26">
        <f>IF(OR($A24="",手直し!B26=""),"",IFERROR(INDEX(計算用!$M$2:$M$186,MATCH("男"&amp;手直し!B26,計算用!$AO$2:$AO$186,0)),"？"))</f>
        <v/>
      </c>
      <c r="F24" s="26">
        <f>IF(OR($A24="",手直し!B26=""),"",IFERROR(INDEX(計算用!$I$2:$I$186,MATCH("男"&amp;手直し!B26,計算用!$AO$2:$AO$186,0)),"？"))</f>
        <v/>
      </c>
      <c r="G24">
        <f>IF($A24="","",手直し!C26&amp;"")</f>
        <v/>
      </c>
      <c r="H24" s="26">
        <f>IF(OR($A24="",手直し!C26=""),"",IFERROR(INDEX(計算用!$M$2:$M$186,MATCH("男"&amp;手直し!C26,計算用!$AO$2:$AO$186,0)),"？"))</f>
        <v/>
      </c>
      <c r="I24" s="26">
        <f>IF(OR($A24="",手直し!C26=""),"",IFERROR(INDEX(計算用!$I$2:$I$186,MATCH("男"&amp;手直し!C26,計算用!$AO$2:$AO$186,0)),"？"))</f>
        <v/>
      </c>
      <c r="J24">
        <f>IF($A24="","",手直し!D26&amp;"")</f>
        <v/>
      </c>
      <c r="K24" s="26">
        <f>IF(OR($A24="",手直し!D26=""),"",IFERROR(INDEX(計算用!$M$2:$M$186,MATCH("男"&amp;手直し!D26,計算用!$AO$2:$AO$186,0)),"？"))</f>
        <v/>
      </c>
      <c r="L24" s="26">
        <f>IF(OR($A24="",手直し!D26=""),"",IFERROR(INDEX(計算用!$I$2:$I$186,MATCH("男"&amp;手直し!D26,計算用!$AO$2:$AO$186,0)),"？"))</f>
        <v/>
      </c>
      <c r="M24">
        <f>IF($A24="","",手直し!E26&amp;"")</f>
        <v/>
      </c>
      <c r="N24" s="26">
        <f>IF(OR($A24="",手直し!E26=""),"",IFERROR(INDEX(計算用!$M$2:$M$186,MATCH("男"&amp;手直し!E26,計算用!$AO$2:$AO$186,0)),"？"))</f>
        <v/>
      </c>
      <c r="O24" s="26">
        <f>IF(OR($A24="",手直し!E26=""),"",IFERROR(INDEX(計算用!$I$2:$I$186,MATCH("男"&amp;手直し!E26,計算用!$AO$2:$AO$186,0)),"？"))</f>
        <v/>
      </c>
      <c r="Q24" s="26">
        <f>IF(ROW()-3&lt;=計算用!$Q$14,ROW()-3,"")</f>
        <v/>
      </c>
      <c r="R24" s="26">
        <f>IF($Q24="","",手直し!M26)</f>
        <v/>
      </c>
      <c r="S24" s="26">
        <f>IF($Q24="","",手直し!N26)</f>
        <v/>
      </c>
      <c r="T24">
        <f>IF($Q24="","",手直し!F26&amp;"")</f>
        <v/>
      </c>
      <c r="U24" s="26">
        <f>IF(OR($Q24="",手直し!F26=""),"",IFERROR(INDEX(計算用!$M$2:$M$186,MATCH("女"&amp;手直し!F26,計算用!$AO$2:$AO$186,0)),"？"))</f>
        <v/>
      </c>
      <c r="V24" s="26">
        <f>IF(OR($Q24="",手直し!F26=""),"",IFERROR(INDEX(計算用!$I$2:$I$186,MATCH("女"&amp;手直し!F26,計算用!$AO$2:$AO$186,0)),"？"))</f>
        <v/>
      </c>
      <c r="W24">
        <f>IF($Q24="","",手直し!G26&amp;"")</f>
        <v/>
      </c>
      <c r="X24" s="26">
        <f>IF(OR($Q24="",手直し!G26=""),"",IFERROR(INDEX(計算用!$M$2:$M$186,MATCH("女"&amp;手直し!G26,計算用!$AO$2:$AO$186,0)),"？"))</f>
        <v/>
      </c>
      <c r="Y24" s="26">
        <f>IF(OR($Q24="",手直し!G26=""),"",IFERROR(INDEX(計算用!$I$2:$I$186,MATCH("女"&amp;手直し!G26,計算用!$AO$2:$AO$186,0)),"？"))</f>
        <v/>
      </c>
      <c r="Z24">
        <f>IF($Q24="","",手直し!H26&amp;"")</f>
        <v/>
      </c>
      <c r="AA24" s="26">
        <f>IF(OR($Q24="",手直し!H26=""),"",IFERROR(INDEX(計算用!$M$2:$M$186,MATCH("女"&amp;手直し!H26,計算用!$AO$2:$AO$186,0)),"？"))</f>
        <v/>
      </c>
      <c r="AB24" s="26">
        <f>IF(OR($Q24="",手直し!H26=""),"",IFERROR(INDEX(計算用!$I$2:$I$186,MATCH("女"&amp;手直し!H26,計算用!$AO$2:$AO$186,0)),"？"))</f>
        <v/>
      </c>
      <c r="AC24">
        <f>IF($Q24="","",手直し!I26&amp;"")</f>
        <v/>
      </c>
      <c r="AD24" s="26">
        <f>IF(OR($Q24="",手直し!I26=""),"",IFERROR(INDEX(計算用!$M$2:$M$186,MATCH("女"&amp;手直し!I26,計算用!$AO$2:$AO$186,0)),"？"))</f>
        <v/>
      </c>
      <c r="AE24" s="26">
        <f>IF(OR($Q24="",手直し!I26=""),"",IFERROR(INDEX(計算用!$I$2:$I$186,MATCH("女"&amp;手直し!I26,計算用!$AO$2:$AO$186,0)),"？"))</f>
        <v/>
      </c>
    </row>
    <row r="25">
      <c r="A25" s="26">
        <f>IF(ROW()-3&lt;=計算用!$Q$13,ROW()-3,"")</f>
        <v/>
      </c>
      <c r="B25" s="26">
        <f>IF($A25="","",手直し!K27)</f>
        <v/>
      </c>
      <c r="C25" s="26">
        <f>IF($A25="","",手直し!L27)</f>
        <v/>
      </c>
      <c r="D25">
        <f>IF($A25="","",手直し!B27&amp;"")</f>
        <v/>
      </c>
      <c r="E25" s="26">
        <f>IF(OR($A25="",手直し!B27=""),"",IFERROR(INDEX(計算用!$M$2:$M$186,MATCH("男"&amp;手直し!B27,計算用!$AO$2:$AO$186,0)),"？"))</f>
        <v/>
      </c>
      <c r="F25" s="26">
        <f>IF(OR($A25="",手直し!B27=""),"",IFERROR(INDEX(計算用!$I$2:$I$186,MATCH("男"&amp;手直し!B27,計算用!$AO$2:$AO$186,0)),"？"))</f>
        <v/>
      </c>
      <c r="G25">
        <f>IF($A25="","",手直し!C27&amp;"")</f>
        <v/>
      </c>
      <c r="H25" s="26">
        <f>IF(OR($A25="",手直し!C27=""),"",IFERROR(INDEX(計算用!$M$2:$M$186,MATCH("男"&amp;手直し!C27,計算用!$AO$2:$AO$186,0)),"？"))</f>
        <v/>
      </c>
      <c r="I25" s="26">
        <f>IF(OR($A25="",手直し!C27=""),"",IFERROR(INDEX(計算用!$I$2:$I$186,MATCH("男"&amp;手直し!C27,計算用!$AO$2:$AO$186,0)),"？"))</f>
        <v/>
      </c>
      <c r="J25">
        <f>IF($A25="","",手直し!D27&amp;"")</f>
        <v/>
      </c>
      <c r="K25" s="26">
        <f>IF(OR($A25="",手直し!D27=""),"",IFERROR(INDEX(計算用!$M$2:$M$186,MATCH("男"&amp;手直し!D27,計算用!$AO$2:$AO$186,0)),"？"))</f>
        <v/>
      </c>
      <c r="L25" s="26">
        <f>IF(OR($A25="",手直し!D27=""),"",IFERROR(INDEX(計算用!$I$2:$I$186,MATCH("男"&amp;手直し!D27,計算用!$AO$2:$AO$186,0)),"？"))</f>
        <v/>
      </c>
      <c r="M25">
        <f>IF($A25="","",手直し!E27&amp;"")</f>
        <v/>
      </c>
      <c r="N25" s="26">
        <f>IF(OR($A25="",手直し!E27=""),"",IFERROR(INDEX(計算用!$M$2:$M$186,MATCH("男"&amp;手直し!E27,計算用!$AO$2:$AO$186,0)),"？"))</f>
        <v/>
      </c>
      <c r="O25" s="26">
        <f>IF(OR($A25="",手直し!E27=""),"",IFERROR(INDEX(計算用!$I$2:$I$186,MATCH("男"&amp;手直し!E27,計算用!$AO$2:$AO$186,0)),"？"))</f>
        <v/>
      </c>
      <c r="Q25" s="26">
        <f>IF(ROW()-3&lt;=計算用!$Q$14,ROW()-3,"")</f>
        <v/>
      </c>
      <c r="R25" s="26">
        <f>IF($Q25="","",手直し!M27)</f>
        <v/>
      </c>
      <c r="S25" s="26">
        <f>IF($Q25="","",手直し!N27)</f>
        <v/>
      </c>
      <c r="T25">
        <f>IF($Q25="","",手直し!F27&amp;"")</f>
        <v/>
      </c>
      <c r="U25" s="26">
        <f>IF(OR($Q25="",手直し!F27=""),"",IFERROR(INDEX(計算用!$M$2:$M$186,MATCH("女"&amp;手直し!F27,計算用!$AO$2:$AO$186,0)),"？"))</f>
        <v/>
      </c>
      <c r="V25" s="26">
        <f>IF(OR($Q25="",手直し!F27=""),"",IFERROR(INDEX(計算用!$I$2:$I$186,MATCH("女"&amp;手直し!F27,計算用!$AO$2:$AO$186,0)),"？"))</f>
        <v/>
      </c>
      <c r="W25">
        <f>IF($Q25="","",手直し!G27&amp;"")</f>
        <v/>
      </c>
      <c r="X25" s="26">
        <f>IF(OR($Q25="",手直し!G27=""),"",IFERROR(INDEX(計算用!$M$2:$M$186,MATCH("女"&amp;手直し!G27,計算用!$AO$2:$AO$186,0)),"？"))</f>
        <v/>
      </c>
      <c r="Y25" s="26">
        <f>IF(OR($Q25="",手直し!G27=""),"",IFERROR(INDEX(計算用!$I$2:$I$186,MATCH("女"&amp;手直し!G27,計算用!$AO$2:$AO$186,0)),"？"))</f>
        <v/>
      </c>
      <c r="Z25">
        <f>IF($Q25="","",手直し!H27&amp;"")</f>
        <v/>
      </c>
      <c r="AA25" s="26">
        <f>IF(OR($Q25="",手直し!H27=""),"",IFERROR(INDEX(計算用!$M$2:$M$186,MATCH("女"&amp;手直し!H27,計算用!$AO$2:$AO$186,0)),"？"))</f>
        <v/>
      </c>
      <c r="AB25" s="26">
        <f>IF(OR($Q25="",手直し!H27=""),"",IFERROR(INDEX(計算用!$I$2:$I$186,MATCH("女"&amp;手直し!H27,計算用!$AO$2:$AO$186,0)),"？"))</f>
        <v/>
      </c>
      <c r="AC25">
        <f>IF($Q25="","",手直し!I27&amp;"")</f>
        <v/>
      </c>
      <c r="AD25" s="26">
        <f>IF(OR($Q25="",手直し!I27=""),"",IFERROR(INDEX(計算用!$M$2:$M$186,MATCH("女"&amp;手直し!I27,計算用!$AO$2:$AO$186,0)),"？"))</f>
        <v/>
      </c>
      <c r="AE25" s="26">
        <f>IF(OR($Q25="",手直し!I27=""),"",IFERROR(INDEX(計算用!$I$2:$I$186,MATCH("女"&amp;手直し!I27,計算用!$AO$2:$AO$186,0)),"？"))</f>
        <v/>
      </c>
    </row>
    <row r="26">
      <c r="A26" s="26">
        <f>IF(ROW()-3&lt;=計算用!$Q$13,ROW()-3,"")</f>
        <v/>
      </c>
      <c r="B26" s="26">
        <f>IF($A26="","",手直し!K28)</f>
        <v/>
      </c>
      <c r="C26" s="26">
        <f>IF($A26="","",手直し!L28)</f>
        <v/>
      </c>
      <c r="D26">
        <f>IF($A26="","",手直し!B28&amp;"")</f>
        <v/>
      </c>
      <c r="E26" s="26">
        <f>IF(OR($A26="",手直し!B28=""),"",IFERROR(INDEX(計算用!$M$2:$M$186,MATCH("男"&amp;手直し!B28,計算用!$AO$2:$AO$186,0)),"？"))</f>
        <v/>
      </c>
      <c r="F26" s="26">
        <f>IF(OR($A26="",手直し!B28=""),"",IFERROR(INDEX(計算用!$I$2:$I$186,MATCH("男"&amp;手直し!B28,計算用!$AO$2:$AO$186,0)),"？"))</f>
        <v/>
      </c>
      <c r="G26">
        <f>IF($A26="","",手直し!C28&amp;"")</f>
        <v/>
      </c>
      <c r="H26" s="26">
        <f>IF(OR($A26="",手直し!C28=""),"",IFERROR(INDEX(計算用!$M$2:$M$186,MATCH("男"&amp;手直し!C28,計算用!$AO$2:$AO$186,0)),"？"))</f>
        <v/>
      </c>
      <c r="I26" s="26">
        <f>IF(OR($A26="",手直し!C28=""),"",IFERROR(INDEX(計算用!$I$2:$I$186,MATCH("男"&amp;手直し!C28,計算用!$AO$2:$AO$186,0)),"？"))</f>
        <v/>
      </c>
      <c r="J26">
        <f>IF($A26="","",手直し!D28&amp;"")</f>
        <v/>
      </c>
      <c r="K26" s="26">
        <f>IF(OR($A26="",手直し!D28=""),"",IFERROR(INDEX(計算用!$M$2:$M$186,MATCH("男"&amp;手直し!D28,計算用!$AO$2:$AO$186,0)),"？"))</f>
        <v/>
      </c>
      <c r="L26" s="26">
        <f>IF(OR($A26="",手直し!D28=""),"",IFERROR(INDEX(計算用!$I$2:$I$186,MATCH("男"&amp;手直し!D28,計算用!$AO$2:$AO$186,0)),"？"))</f>
        <v/>
      </c>
      <c r="M26">
        <f>IF($A26="","",手直し!E28&amp;"")</f>
        <v/>
      </c>
      <c r="N26" s="26">
        <f>IF(OR($A26="",手直し!E28=""),"",IFERROR(INDEX(計算用!$M$2:$M$186,MATCH("男"&amp;手直し!E28,計算用!$AO$2:$AO$186,0)),"？"))</f>
        <v/>
      </c>
      <c r="O26" s="26">
        <f>IF(OR($A26="",手直し!E28=""),"",IFERROR(INDEX(計算用!$I$2:$I$186,MATCH("男"&amp;手直し!E28,計算用!$AO$2:$AO$186,0)),"？"))</f>
        <v/>
      </c>
      <c r="Q26" s="26">
        <f>IF(ROW()-3&lt;=計算用!$Q$14,ROW()-3,"")</f>
        <v/>
      </c>
      <c r="R26" s="26">
        <f>IF($Q26="","",手直し!M28)</f>
        <v/>
      </c>
      <c r="S26" s="26">
        <f>IF($Q26="","",手直し!N28)</f>
        <v/>
      </c>
      <c r="T26">
        <f>IF($Q26="","",手直し!F28&amp;"")</f>
        <v/>
      </c>
      <c r="U26" s="26">
        <f>IF(OR($Q26="",手直し!F28=""),"",IFERROR(INDEX(計算用!$M$2:$M$186,MATCH("女"&amp;手直し!F28,計算用!$AO$2:$AO$186,0)),"？"))</f>
        <v/>
      </c>
      <c r="V26" s="26">
        <f>IF(OR($Q26="",手直し!F28=""),"",IFERROR(INDEX(計算用!$I$2:$I$186,MATCH("女"&amp;手直し!F28,計算用!$AO$2:$AO$186,0)),"？"))</f>
        <v/>
      </c>
      <c r="W26">
        <f>IF($Q26="","",手直し!G28&amp;"")</f>
        <v/>
      </c>
      <c r="X26" s="26">
        <f>IF(OR($Q26="",手直し!G28=""),"",IFERROR(INDEX(計算用!$M$2:$M$186,MATCH("女"&amp;手直し!G28,計算用!$AO$2:$AO$186,0)),"？"))</f>
        <v/>
      </c>
      <c r="Y26" s="26">
        <f>IF(OR($Q26="",手直し!G28=""),"",IFERROR(INDEX(計算用!$I$2:$I$186,MATCH("女"&amp;手直し!G28,計算用!$AO$2:$AO$186,0)),"？"))</f>
        <v/>
      </c>
      <c r="Z26">
        <f>IF($Q26="","",手直し!H28&amp;"")</f>
        <v/>
      </c>
      <c r="AA26" s="26">
        <f>IF(OR($Q26="",手直し!H28=""),"",IFERROR(INDEX(計算用!$M$2:$M$186,MATCH("女"&amp;手直し!H28,計算用!$AO$2:$AO$186,0)),"？"))</f>
        <v/>
      </c>
      <c r="AB26" s="26">
        <f>IF(OR($Q26="",手直し!H28=""),"",IFERROR(INDEX(計算用!$I$2:$I$186,MATCH("女"&amp;手直し!H28,計算用!$AO$2:$AO$186,0)),"？"))</f>
        <v/>
      </c>
      <c r="AC26">
        <f>IF($Q26="","",手直し!I28&amp;"")</f>
        <v/>
      </c>
      <c r="AD26" s="26">
        <f>IF(OR($Q26="",手直し!I28=""),"",IFERROR(INDEX(計算用!$M$2:$M$186,MATCH("女"&amp;手直し!I28,計算用!$AO$2:$AO$186,0)),"？"))</f>
        <v/>
      </c>
      <c r="AE26" s="26">
        <f>IF(OR($Q26="",手直し!I28=""),"",IFERROR(INDEX(計算用!$I$2:$I$186,MATCH("女"&amp;手直し!I28,計算用!$AO$2:$AO$186,0)),"？"))</f>
        <v/>
      </c>
    </row>
    <row r="27">
      <c r="A27" s="26">
        <f>IF(ROW()-3&lt;=計算用!$Q$13,ROW()-3,"")</f>
        <v/>
      </c>
      <c r="B27" s="26">
        <f>IF($A27="","",手直し!K29)</f>
        <v/>
      </c>
      <c r="C27" s="26">
        <f>IF($A27="","",手直し!L29)</f>
        <v/>
      </c>
      <c r="D27">
        <f>IF($A27="","",手直し!B29&amp;"")</f>
        <v/>
      </c>
      <c r="E27" s="26">
        <f>IF(OR($A27="",手直し!B29=""),"",IFERROR(INDEX(計算用!$M$2:$M$186,MATCH("男"&amp;手直し!B29,計算用!$AO$2:$AO$186,0)),"？"))</f>
        <v/>
      </c>
      <c r="F27" s="26">
        <f>IF(OR($A27="",手直し!B29=""),"",IFERROR(INDEX(計算用!$I$2:$I$186,MATCH("男"&amp;手直し!B29,計算用!$AO$2:$AO$186,0)),"？"))</f>
        <v/>
      </c>
      <c r="G27">
        <f>IF($A27="","",手直し!C29&amp;"")</f>
        <v/>
      </c>
      <c r="H27" s="26">
        <f>IF(OR($A27="",手直し!C29=""),"",IFERROR(INDEX(計算用!$M$2:$M$186,MATCH("男"&amp;手直し!C29,計算用!$AO$2:$AO$186,0)),"？"))</f>
        <v/>
      </c>
      <c r="I27" s="26">
        <f>IF(OR($A27="",手直し!C29=""),"",IFERROR(INDEX(計算用!$I$2:$I$186,MATCH("男"&amp;手直し!C29,計算用!$AO$2:$AO$186,0)),"？"))</f>
        <v/>
      </c>
      <c r="J27">
        <f>IF($A27="","",手直し!D29&amp;"")</f>
        <v/>
      </c>
      <c r="K27" s="26">
        <f>IF(OR($A27="",手直し!D29=""),"",IFERROR(INDEX(計算用!$M$2:$M$186,MATCH("男"&amp;手直し!D29,計算用!$AO$2:$AO$186,0)),"？"))</f>
        <v/>
      </c>
      <c r="L27" s="26">
        <f>IF(OR($A27="",手直し!D29=""),"",IFERROR(INDEX(計算用!$I$2:$I$186,MATCH("男"&amp;手直し!D29,計算用!$AO$2:$AO$186,0)),"？"))</f>
        <v/>
      </c>
      <c r="M27">
        <f>IF($A27="","",手直し!E29&amp;"")</f>
        <v/>
      </c>
      <c r="N27" s="26">
        <f>IF(OR($A27="",手直し!E29=""),"",IFERROR(INDEX(計算用!$M$2:$M$186,MATCH("男"&amp;手直し!E29,計算用!$AO$2:$AO$186,0)),"？"))</f>
        <v/>
      </c>
      <c r="O27" s="26">
        <f>IF(OR($A27="",手直し!E29=""),"",IFERROR(INDEX(計算用!$I$2:$I$186,MATCH("男"&amp;手直し!E29,計算用!$AO$2:$AO$186,0)),"？"))</f>
        <v/>
      </c>
      <c r="Q27" s="26">
        <f>IF(ROW()-3&lt;=計算用!$Q$14,ROW()-3,"")</f>
        <v/>
      </c>
      <c r="R27" s="26">
        <f>IF($Q27="","",手直し!M29)</f>
        <v/>
      </c>
      <c r="S27" s="26">
        <f>IF($Q27="","",手直し!N29)</f>
        <v/>
      </c>
      <c r="T27">
        <f>IF($Q27="","",手直し!F29&amp;"")</f>
        <v/>
      </c>
      <c r="U27" s="26">
        <f>IF(OR($Q27="",手直し!F29=""),"",IFERROR(INDEX(計算用!$M$2:$M$186,MATCH("女"&amp;手直し!F29,計算用!$AO$2:$AO$186,0)),"？"))</f>
        <v/>
      </c>
      <c r="V27" s="26">
        <f>IF(OR($Q27="",手直し!F29=""),"",IFERROR(INDEX(計算用!$I$2:$I$186,MATCH("女"&amp;手直し!F29,計算用!$AO$2:$AO$186,0)),"？"))</f>
        <v/>
      </c>
      <c r="W27">
        <f>IF($Q27="","",手直し!G29&amp;"")</f>
        <v/>
      </c>
      <c r="X27" s="26">
        <f>IF(OR($Q27="",手直し!G29=""),"",IFERROR(INDEX(計算用!$M$2:$M$186,MATCH("女"&amp;手直し!G29,計算用!$AO$2:$AO$186,0)),"？"))</f>
        <v/>
      </c>
      <c r="Y27" s="26">
        <f>IF(OR($Q27="",手直し!G29=""),"",IFERROR(INDEX(計算用!$I$2:$I$186,MATCH("女"&amp;手直し!G29,計算用!$AO$2:$AO$186,0)),"？"))</f>
        <v/>
      </c>
      <c r="Z27">
        <f>IF($Q27="","",手直し!H29&amp;"")</f>
        <v/>
      </c>
      <c r="AA27" s="26">
        <f>IF(OR($Q27="",手直し!H29=""),"",IFERROR(INDEX(計算用!$M$2:$M$186,MATCH("女"&amp;手直し!H29,計算用!$AO$2:$AO$186,0)),"？"))</f>
        <v/>
      </c>
      <c r="AB27" s="26">
        <f>IF(OR($Q27="",手直し!H29=""),"",IFERROR(INDEX(計算用!$I$2:$I$186,MATCH("女"&amp;手直し!H29,計算用!$AO$2:$AO$186,0)),"？"))</f>
        <v/>
      </c>
      <c r="AC27">
        <f>IF($Q27="","",手直し!I29&amp;"")</f>
        <v/>
      </c>
      <c r="AD27" s="26">
        <f>IF(OR($Q27="",手直し!I29=""),"",IFERROR(INDEX(計算用!$M$2:$M$186,MATCH("女"&amp;手直し!I29,計算用!$AO$2:$AO$186,0)),"？"))</f>
        <v/>
      </c>
      <c r="AE27" s="26">
        <f>IF(OR($Q27="",手直し!I29=""),"",IFERROR(INDEX(計算用!$I$2:$I$186,MATCH("女"&amp;手直し!I29,計算用!$AO$2:$AO$186,0)),"？"))</f>
        <v/>
      </c>
    </row>
    <row r="28">
      <c r="A28" s="26">
        <f>IF(ROW()-3&lt;=計算用!$Q$13,ROW()-3,"")</f>
        <v/>
      </c>
      <c r="B28" s="26">
        <f>IF($A28="","",手直し!K30)</f>
        <v/>
      </c>
      <c r="C28" s="26">
        <f>IF($A28="","",手直し!L30)</f>
        <v/>
      </c>
      <c r="D28">
        <f>IF($A28="","",手直し!B30&amp;"")</f>
        <v/>
      </c>
      <c r="E28" s="26">
        <f>IF(OR($A28="",手直し!B30=""),"",IFERROR(INDEX(計算用!$M$2:$M$186,MATCH("男"&amp;手直し!B30,計算用!$AO$2:$AO$186,0)),"？"))</f>
        <v/>
      </c>
      <c r="F28" s="26">
        <f>IF(OR($A28="",手直し!B30=""),"",IFERROR(INDEX(計算用!$I$2:$I$186,MATCH("男"&amp;手直し!B30,計算用!$AO$2:$AO$186,0)),"？"))</f>
        <v/>
      </c>
      <c r="G28">
        <f>IF($A28="","",手直し!C30&amp;"")</f>
        <v/>
      </c>
      <c r="H28" s="26">
        <f>IF(OR($A28="",手直し!C30=""),"",IFERROR(INDEX(計算用!$M$2:$M$186,MATCH("男"&amp;手直し!C30,計算用!$AO$2:$AO$186,0)),"？"))</f>
        <v/>
      </c>
      <c r="I28" s="26">
        <f>IF(OR($A28="",手直し!C30=""),"",IFERROR(INDEX(計算用!$I$2:$I$186,MATCH("男"&amp;手直し!C30,計算用!$AO$2:$AO$186,0)),"？"))</f>
        <v/>
      </c>
      <c r="J28">
        <f>IF($A28="","",手直し!D30&amp;"")</f>
        <v/>
      </c>
      <c r="K28" s="26">
        <f>IF(OR($A28="",手直し!D30=""),"",IFERROR(INDEX(計算用!$M$2:$M$186,MATCH("男"&amp;手直し!D30,計算用!$AO$2:$AO$186,0)),"？"))</f>
        <v/>
      </c>
      <c r="L28" s="26">
        <f>IF(OR($A28="",手直し!D30=""),"",IFERROR(INDEX(計算用!$I$2:$I$186,MATCH("男"&amp;手直し!D30,計算用!$AO$2:$AO$186,0)),"？"))</f>
        <v/>
      </c>
      <c r="M28">
        <f>IF($A28="","",手直し!E30&amp;"")</f>
        <v/>
      </c>
      <c r="N28" s="26">
        <f>IF(OR($A28="",手直し!E30=""),"",IFERROR(INDEX(計算用!$M$2:$M$186,MATCH("男"&amp;手直し!E30,計算用!$AO$2:$AO$186,0)),"？"))</f>
        <v/>
      </c>
      <c r="O28" s="26">
        <f>IF(OR($A28="",手直し!E30=""),"",IFERROR(INDEX(計算用!$I$2:$I$186,MATCH("男"&amp;手直し!E30,計算用!$AO$2:$AO$186,0)),"？"))</f>
        <v/>
      </c>
      <c r="Q28" s="26">
        <f>IF(ROW()-3&lt;=計算用!$Q$14,ROW()-3,"")</f>
        <v/>
      </c>
      <c r="R28" s="26">
        <f>IF($Q28="","",手直し!M30)</f>
        <v/>
      </c>
      <c r="S28" s="26">
        <f>IF($Q28="","",手直し!N30)</f>
        <v/>
      </c>
      <c r="T28">
        <f>IF($Q28="","",手直し!F30&amp;"")</f>
        <v/>
      </c>
      <c r="U28" s="26">
        <f>IF(OR($Q28="",手直し!F30=""),"",IFERROR(INDEX(計算用!$M$2:$M$186,MATCH("女"&amp;手直し!F30,計算用!$AO$2:$AO$186,0)),"？"))</f>
        <v/>
      </c>
      <c r="V28" s="26">
        <f>IF(OR($Q28="",手直し!F30=""),"",IFERROR(INDEX(計算用!$I$2:$I$186,MATCH("女"&amp;手直し!F30,計算用!$AO$2:$AO$186,0)),"？"))</f>
        <v/>
      </c>
      <c r="W28">
        <f>IF($Q28="","",手直し!G30&amp;"")</f>
        <v/>
      </c>
      <c r="X28" s="26">
        <f>IF(OR($Q28="",手直し!G30=""),"",IFERROR(INDEX(計算用!$M$2:$M$186,MATCH("女"&amp;手直し!G30,計算用!$AO$2:$AO$186,0)),"？"))</f>
        <v/>
      </c>
      <c r="Y28" s="26">
        <f>IF(OR($Q28="",手直し!G30=""),"",IFERROR(INDEX(計算用!$I$2:$I$186,MATCH("女"&amp;手直し!G30,計算用!$AO$2:$AO$186,0)),"？"))</f>
        <v/>
      </c>
      <c r="Z28">
        <f>IF($Q28="","",手直し!H30&amp;"")</f>
        <v/>
      </c>
      <c r="AA28" s="26">
        <f>IF(OR($Q28="",手直し!H30=""),"",IFERROR(INDEX(計算用!$M$2:$M$186,MATCH("女"&amp;手直し!H30,計算用!$AO$2:$AO$186,0)),"？"))</f>
        <v/>
      </c>
      <c r="AB28" s="26">
        <f>IF(OR($Q28="",手直し!H30=""),"",IFERROR(INDEX(計算用!$I$2:$I$186,MATCH("女"&amp;手直し!H30,計算用!$AO$2:$AO$186,0)),"？"))</f>
        <v/>
      </c>
      <c r="AC28">
        <f>IF($Q28="","",手直し!I30&amp;"")</f>
        <v/>
      </c>
      <c r="AD28" s="26">
        <f>IF(OR($Q28="",手直し!I30=""),"",IFERROR(INDEX(計算用!$M$2:$M$186,MATCH("女"&amp;手直し!I30,計算用!$AO$2:$AO$186,0)),"？"))</f>
        <v/>
      </c>
      <c r="AE28" s="26">
        <f>IF(OR($Q28="",手直し!I30=""),"",IFERROR(INDEX(計算用!$I$2:$I$186,MATCH("女"&amp;手直し!I30,計算用!$AO$2:$AO$186,0)),"？"))</f>
        <v/>
      </c>
    </row>
    <row r="29">
      <c r="A29" s="26">
        <f>IF(ROW()-3&lt;=計算用!$Q$13,ROW()-3,"")</f>
        <v/>
      </c>
      <c r="B29" s="26">
        <f>IF($A29="","",手直し!K31)</f>
        <v/>
      </c>
      <c r="C29" s="26">
        <f>IF($A29="","",手直し!L31)</f>
        <v/>
      </c>
      <c r="D29">
        <f>IF($A29="","",手直し!B31&amp;"")</f>
        <v/>
      </c>
      <c r="E29" s="26">
        <f>IF(OR($A29="",手直し!B31=""),"",IFERROR(INDEX(計算用!$M$2:$M$186,MATCH("男"&amp;手直し!B31,計算用!$AO$2:$AO$186,0)),"？"))</f>
        <v/>
      </c>
      <c r="F29" s="26">
        <f>IF(OR($A29="",手直し!B31=""),"",IFERROR(INDEX(計算用!$I$2:$I$186,MATCH("男"&amp;手直し!B31,計算用!$AO$2:$AO$186,0)),"？"))</f>
        <v/>
      </c>
      <c r="G29">
        <f>IF($A29="","",手直し!C31&amp;"")</f>
        <v/>
      </c>
      <c r="H29" s="26">
        <f>IF(OR($A29="",手直し!C31=""),"",IFERROR(INDEX(計算用!$M$2:$M$186,MATCH("男"&amp;手直し!C31,計算用!$AO$2:$AO$186,0)),"？"))</f>
        <v/>
      </c>
      <c r="I29" s="26">
        <f>IF(OR($A29="",手直し!C31=""),"",IFERROR(INDEX(計算用!$I$2:$I$186,MATCH("男"&amp;手直し!C31,計算用!$AO$2:$AO$186,0)),"？"))</f>
        <v/>
      </c>
      <c r="J29">
        <f>IF($A29="","",手直し!D31&amp;"")</f>
        <v/>
      </c>
      <c r="K29" s="26">
        <f>IF(OR($A29="",手直し!D31=""),"",IFERROR(INDEX(計算用!$M$2:$M$186,MATCH("男"&amp;手直し!D31,計算用!$AO$2:$AO$186,0)),"？"))</f>
        <v/>
      </c>
      <c r="L29" s="26">
        <f>IF(OR($A29="",手直し!D31=""),"",IFERROR(INDEX(計算用!$I$2:$I$186,MATCH("男"&amp;手直し!D31,計算用!$AO$2:$AO$186,0)),"？"))</f>
        <v/>
      </c>
      <c r="M29">
        <f>IF($A29="","",手直し!E31&amp;"")</f>
        <v/>
      </c>
      <c r="N29" s="26">
        <f>IF(OR($A29="",手直し!E31=""),"",IFERROR(INDEX(計算用!$M$2:$M$186,MATCH("男"&amp;手直し!E31,計算用!$AO$2:$AO$186,0)),"？"))</f>
        <v/>
      </c>
      <c r="O29" s="26">
        <f>IF(OR($A29="",手直し!E31=""),"",IFERROR(INDEX(計算用!$I$2:$I$186,MATCH("男"&amp;手直し!E31,計算用!$AO$2:$AO$186,0)),"？"))</f>
        <v/>
      </c>
      <c r="Q29" s="26">
        <f>IF(ROW()-3&lt;=計算用!$Q$14,ROW()-3,"")</f>
        <v/>
      </c>
      <c r="R29" s="26">
        <f>IF($Q29="","",手直し!M31)</f>
        <v/>
      </c>
      <c r="S29" s="26">
        <f>IF($Q29="","",手直し!N31)</f>
        <v/>
      </c>
      <c r="T29">
        <f>IF($Q29="","",手直し!F31&amp;"")</f>
        <v/>
      </c>
      <c r="U29" s="26">
        <f>IF(OR($Q29="",手直し!F31=""),"",IFERROR(INDEX(計算用!$M$2:$M$186,MATCH("女"&amp;手直し!F31,計算用!$AO$2:$AO$186,0)),"？"))</f>
        <v/>
      </c>
      <c r="V29" s="26">
        <f>IF(OR($Q29="",手直し!F31=""),"",IFERROR(INDEX(計算用!$I$2:$I$186,MATCH("女"&amp;手直し!F31,計算用!$AO$2:$AO$186,0)),"？"))</f>
        <v/>
      </c>
      <c r="W29">
        <f>IF($Q29="","",手直し!G31&amp;"")</f>
        <v/>
      </c>
      <c r="X29" s="26">
        <f>IF(OR($Q29="",手直し!G31=""),"",IFERROR(INDEX(計算用!$M$2:$M$186,MATCH("女"&amp;手直し!G31,計算用!$AO$2:$AO$186,0)),"？"))</f>
        <v/>
      </c>
      <c r="Y29" s="26">
        <f>IF(OR($Q29="",手直し!G31=""),"",IFERROR(INDEX(計算用!$I$2:$I$186,MATCH("女"&amp;手直し!G31,計算用!$AO$2:$AO$186,0)),"？"))</f>
        <v/>
      </c>
      <c r="Z29">
        <f>IF($Q29="","",手直し!H31&amp;"")</f>
        <v/>
      </c>
      <c r="AA29" s="26">
        <f>IF(OR($Q29="",手直し!H31=""),"",IFERROR(INDEX(計算用!$M$2:$M$186,MATCH("女"&amp;手直し!H31,計算用!$AO$2:$AO$186,0)),"？"))</f>
        <v/>
      </c>
      <c r="AB29" s="26">
        <f>IF(OR($Q29="",手直し!H31=""),"",IFERROR(INDEX(計算用!$I$2:$I$186,MATCH("女"&amp;手直し!H31,計算用!$AO$2:$AO$186,0)),"？"))</f>
        <v/>
      </c>
      <c r="AC29">
        <f>IF($Q29="","",手直し!I31&amp;"")</f>
        <v/>
      </c>
      <c r="AD29" s="26">
        <f>IF(OR($Q29="",手直し!I31=""),"",IFERROR(INDEX(計算用!$M$2:$M$186,MATCH("女"&amp;手直し!I31,計算用!$AO$2:$AO$186,0)),"？"))</f>
        <v/>
      </c>
      <c r="AE29" s="26">
        <f>IF(OR($Q29="",手直し!I31=""),"",IFERROR(INDEX(計算用!$I$2:$I$186,MATCH("女"&amp;手直し!I31,計算用!$AO$2:$AO$186,0)),"？"))</f>
        <v/>
      </c>
    </row>
    <row r="30">
      <c r="A30" s="26">
        <f>IF(ROW()-3&lt;=計算用!$Q$13,ROW()-3,"")</f>
        <v/>
      </c>
      <c r="B30" s="26">
        <f>IF($A30="","",手直し!K32)</f>
        <v/>
      </c>
      <c r="C30" s="26">
        <f>IF($A30="","",手直し!L32)</f>
        <v/>
      </c>
      <c r="D30">
        <f>IF($A30="","",手直し!B32&amp;"")</f>
        <v/>
      </c>
      <c r="E30" s="26">
        <f>IF(OR($A30="",手直し!B32=""),"",IFERROR(INDEX(計算用!$M$2:$M$186,MATCH("男"&amp;手直し!B32,計算用!$AO$2:$AO$186,0)),"？"))</f>
        <v/>
      </c>
      <c r="F30" s="26">
        <f>IF(OR($A30="",手直し!B32=""),"",IFERROR(INDEX(計算用!$I$2:$I$186,MATCH("男"&amp;手直し!B32,計算用!$AO$2:$AO$186,0)),"？"))</f>
        <v/>
      </c>
      <c r="G30">
        <f>IF($A30="","",手直し!C32&amp;"")</f>
        <v/>
      </c>
      <c r="H30" s="26">
        <f>IF(OR($A30="",手直し!C32=""),"",IFERROR(INDEX(計算用!$M$2:$M$186,MATCH("男"&amp;手直し!C32,計算用!$AO$2:$AO$186,0)),"？"))</f>
        <v/>
      </c>
      <c r="I30" s="26">
        <f>IF(OR($A30="",手直し!C32=""),"",IFERROR(INDEX(計算用!$I$2:$I$186,MATCH("男"&amp;手直し!C32,計算用!$AO$2:$AO$186,0)),"？"))</f>
        <v/>
      </c>
      <c r="J30">
        <f>IF($A30="","",手直し!D32&amp;"")</f>
        <v/>
      </c>
      <c r="K30" s="26">
        <f>IF(OR($A30="",手直し!D32=""),"",IFERROR(INDEX(計算用!$M$2:$M$186,MATCH("男"&amp;手直し!D32,計算用!$AO$2:$AO$186,0)),"？"))</f>
        <v/>
      </c>
      <c r="L30" s="26">
        <f>IF(OR($A30="",手直し!D32=""),"",IFERROR(INDEX(計算用!$I$2:$I$186,MATCH("男"&amp;手直し!D32,計算用!$AO$2:$AO$186,0)),"？"))</f>
        <v/>
      </c>
      <c r="M30">
        <f>IF($A30="","",手直し!E32&amp;"")</f>
        <v/>
      </c>
      <c r="N30" s="26">
        <f>IF(OR($A30="",手直し!E32=""),"",IFERROR(INDEX(計算用!$M$2:$M$186,MATCH("男"&amp;手直し!E32,計算用!$AO$2:$AO$186,0)),"？"))</f>
        <v/>
      </c>
      <c r="O30" s="26">
        <f>IF(OR($A30="",手直し!E32=""),"",IFERROR(INDEX(計算用!$I$2:$I$186,MATCH("男"&amp;手直し!E32,計算用!$AO$2:$AO$186,0)),"？"))</f>
        <v/>
      </c>
      <c r="Q30" s="26">
        <f>IF(ROW()-3&lt;=計算用!$Q$14,ROW()-3,"")</f>
        <v/>
      </c>
      <c r="R30" s="26">
        <f>IF($Q30="","",手直し!M32)</f>
        <v/>
      </c>
      <c r="S30" s="26">
        <f>IF($Q30="","",手直し!N32)</f>
        <v/>
      </c>
      <c r="T30">
        <f>IF($Q30="","",手直し!F32&amp;"")</f>
        <v/>
      </c>
      <c r="U30" s="26">
        <f>IF(OR($Q30="",手直し!F32=""),"",IFERROR(INDEX(計算用!$M$2:$M$186,MATCH("女"&amp;手直し!F32,計算用!$AO$2:$AO$186,0)),"？"))</f>
        <v/>
      </c>
      <c r="V30" s="26">
        <f>IF(OR($Q30="",手直し!F32=""),"",IFERROR(INDEX(計算用!$I$2:$I$186,MATCH("女"&amp;手直し!F32,計算用!$AO$2:$AO$186,0)),"？"))</f>
        <v/>
      </c>
      <c r="W30">
        <f>IF($Q30="","",手直し!G32&amp;"")</f>
        <v/>
      </c>
      <c r="X30" s="26">
        <f>IF(OR($Q30="",手直し!G32=""),"",IFERROR(INDEX(計算用!$M$2:$M$186,MATCH("女"&amp;手直し!G32,計算用!$AO$2:$AO$186,0)),"？"))</f>
        <v/>
      </c>
      <c r="Y30" s="26">
        <f>IF(OR($Q30="",手直し!G32=""),"",IFERROR(INDEX(計算用!$I$2:$I$186,MATCH("女"&amp;手直し!G32,計算用!$AO$2:$AO$186,0)),"？"))</f>
        <v/>
      </c>
      <c r="Z30">
        <f>IF($Q30="","",手直し!H32&amp;"")</f>
        <v/>
      </c>
      <c r="AA30" s="26">
        <f>IF(OR($Q30="",手直し!H32=""),"",IFERROR(INDEX(計算用!$M$2:$M$186,MATCH("女"&amp;手直し!H32,計算用!$AO$2:$AO$186,0)),"？"))</f>
        <v/>
      </c>
      <c r="AB30" s="26">
        <f>IF(OR($Q30="",手直し!H32=""),"",IFERROR(INDEX(計算用!$I$2:$I$186,MATCH("女"&amp;手直し!H32,計算用!$AO$2:$AO$186,0)),"？"))</f>
        <v/>
      </c>
      <c r="AC30">
        <f>IF($Q30="","",手直し!I32&amp;"")</f>
        <v/>
      </c>
      <c r="AD30" s="26">
        <f>IF(OR($Q30="",手直し!I32=""),"",IFERROR(INDEX(計算用!$M$2:$M$186,MATCH("女"&amp;手直し!I32,計算用!$AO$2:$AO$186,0)),"？"))</f>
        <v/>
      </c>
      <c r="AE30" s="26">
        <f>IF(OR($Q30="",手直し!I32=""),"",IFERROR(INDEX(計算用!$I$2:$I$186,MATCH("女"&amp;手直し!I32,計算用!$AO$2:$AO$186,0)),"？"))</f>
        <v/>
      </c>
    </row>
    <row r="31">
      <c r="A31" s="26">
        <f>IF(ROW()-3&lt;=計算用!$Q$13,ROW()-3,"")</f>
        <v/>
      </c>
      <c r="B31" s="26">
        <f>IF($A31="","",手直し!K33)</f>
        <v/>
      </c>
      <c r="C31" s="26">
        <f>IF($A31="","",手直し!L33)</f>
        <v/>
      </c>
      <c r="D31">
        <f>IF($A31="","",手直し!B33&amp;"")</f>
        <v/>
      </c>
      <c r="E31" s="26">
        <f>IF(OR($A31="",手直し!B33=""),"",IFERROR(INDEX(計算用!$M$2:$M$186,MATCH("男"&amp;手直し!B33,計算用!$AO$2:$AO$186,0)),"？"))</f>
        <v/>
      </c>
      <c r="F31" s="26">
        <f>IF(OR($A31="",手直し!B33=""),"",IFERROR(INDEX(計算用!$I$2:$I$186,MATCH("男"&amp;手直し!B33,計算用!$AO$2:$AO$186,0)),"？"))</f>
        <v/>
      </c>
      <c r="G31">
        <f>IF($A31="","",手直し!C33&amp;"")</f>
        <v/>
      </c>
      <c r="H31" s="26">
        <f>IF(OR($A31="",手直し!C33=""),"",IFERROR(INDEX(計算用!$M$2:$M$186,MATCH("男"&amp;手直し!C33,計算用!$AO$2:$AO$186,0)),"？"))</f>
        <v/>
      </c>
      <c r="I31" s="26">
        <f>IF(OR($A31="",手直し!C33=""),"",IFERROR(INDEX(計算用!$I$2:$I$186,MATCH("男"&amp;手直し!C33,計算用!$AO$2:$AO$186,0)),"？"))</f>
        <v/>
      </c>
      <c r="J31">
        <f>IF($A31="","",手直し!D33&amp;"")</f>
        <v/>
      </c>
      <c r="K31" s="26">
        <f>IF(OR($A31="",手直し!D33=""),"",IFERROR(INDEX(計算用!$M$2:$M$186,MATCH("男"&amp;手直し!D33,計算用!$AO$2:$AO$186,0)),"？"))</f>
        <v/>
      </c>
      <c r="L31" s="26">
        <f>IF(OR($A31="",手直し!D33=""),"",IFERROR(INDEX(計算用!$I$2:$I$186,MATCH("男"&amp;手直し!D33,計算用!$AO$2:$AO$186,0)),"？"))</f>
        <v/>
      </c>
      <c r="M31">
        <f>IF($A31="","",手直し!E33&amp;"")</f>
        <v/>
      </c>
      <c r="N31" s="26">
        <f>IF(OR($A31="",手直し!E33=""),"",IFERROR(INDEX(計算用!$M$2:$M$186,MATCH("男"&amp;手直し!E33,計算用!$AO$2:$AO$186,0)),"？"))</f>
        <v/>
      </c>
      <c r="O31" s="26">
        <f>IF(OR($A31="",手直し!E33=""),"",IFERROR(INDEX(計算用!$I$2:$I$186,MATCH("男"&amp;手直し!E33,計算用!$AO$2:$AO$186,0)),"？"))</f>
        <v/>
      </c>
      <c r="Q31" s="26">
        <f>IF(ROW()-3&lt;=計算用!$Q$14,ROW()-3,"")</f>
        <v/>
      </c>
      <c r="R31" s="26">
        <f>IF($Q31="","",手直し!M33)</f>
        <v/>
      </c>
      <c r="S31" s="26">
        <f>IF($Q31="","",手直し!N33)</f>
        <v/>
      </c>
      <c r="T31">
        <f>IF($Q31="","",手直し!F33&amp;"")</f>
        <v/>
      </c>
      <c r="U31" s="26">
        <f>IF(OR($Q31="",手直し!F33=""),"",IFERROR(INDEX(計算用!$M$2:$M$186,MATCH("女"&amp;手直し!F33,計算用!$AO$2:$AO$186,0)),"？"))</f>
        <v/>
      </c>
      <c r="V31" s="26">
        <f>IF(OR($Q31="",手直し!F33=""),"",IFERROR(INDEX(計算用!$I$2:$I$186,MATCH("女"&amp;手直し!F33,計算用!$AO$2:$AO$186,0)),"？"))</f>
        <v/>
      </c>
      <c r="W31">
        <f>IF($Q31="","",手直し!G33&amp;"")</f>
        <v/>
      </c>
      <c r="X31" s="26">
        <f>IF(OR($Q31="",手直し!G33=""),"",IFERROR(INDEX(計算用!$M$2:$M$186,MATCH("女"&amp;手直し!G33,計算用!$AO$2:$AO$186,0)),"？"))</f>
        <v/>
      </c>
      <c r="Y31" s="26">
        <f>IF(OR($Q31="",手直し!G33=""),"",IFERROR(INDEX(計算用!$I$2:$I$186,MATCH("女"&amp;手直し!G33,計算用!$AO$2:$AO$186,0)),"？"))</f>
        <v/>
      </c>
      <c r="Z31">
        <f>IF($Q31="","",手直し!H33&amp;"")</f>
        <v/>
      </c>
      <c r="AA31" s="26">
        <f>IF(OR($Q31="",手直し!H33=""),"",IFERROR(INDEX(計算用!$M$2:$M$186,MATCH("女"&amp;手直し!H33,計算用!$AO$2:$AO$186,0)),"？"))</f>
        <v/>
      </c>
      <c r="AB31" s="26">
        <f>IF(OR($Q31="",手直し!H33=""),"",IFERROR(INDEX(計算用!$I$2:$I$186,MATCH("女"&amp;手直し!H33,計算用!$AO$2:$AO$186,0)),"？"))</f>
        <v/>
      </c>
      <c r="AC31">
        <f>IF($Q31="","",手直し!I33&amp;"")</f>
        <v/>
      </c>
      <c r="AD31" s="26">
        <f>IF(OR($Q31="",手直し!I33=""),"",IFERROR(INDEX(計算用!$M$2:$M$186,MATCH("女"&amp;手直し!I33,計算用!$AO$2:$AO$186,0)),"？"))</f>
        <v/>
      </c>
      <c r="AE31" s="26">
        <f>IF(OR($Q31="",手直し!I33=""),"",IFERROR(INDEX(計算用!$I$2:$I$186,MATCH("女"&amp;手直し!I33,計算用!$AO$2:$AO$186,0)),"？"))</f>
        <v/>
      </c>
    </row>
    <row r="32">
      <c r="A32" s="26">
        <f>IF(ROW()-3&lt;=計算用!$Q$13,ROW()-3,"")</f>
        <v/>
      </c>
      <c r="B32" s="26">
        <f>IF($A32="","",手直し!K34)</f>
        <v/>
      </c>
      <c r="C32" s="26">
        <f>IF($A32="","",手直し!L34)</f>
        <v/>
      </c>
      <c r="D32">
        <f>IF($A32="","",手直し!B34&amp;"")</f>
        <v/>
      </c>
      <c r="E32" s="26">
        <f>IF(OR($A32="",手直し!B34=""),"",IFERROR(INDEX(計算用!$M$2:$M$186,MATCH("男"&amp;手直し!B34,計算用!$AO$2:$AO$186,0)),"？"))</f>
        <v/>
      </c>
      <c r="F32" s="26">
        <f>IF(OR($A32="",手直し!B34=""),"",IFERROR(INDEX(計算用!$I$2:$I$186,MATCH("男"&amp;手直し!B34,計算用!$AO$2:$AO$186,0)),"？"))</f>
        <v/>
      </c>
      <c r="G32">
        <f>IF($A32="","",手直し!C34&amp;"")</f>
        <v/>
      </c>
      <c r="H32" s="26">
        <f>IF(OR($A32="",手直し!C34=""),"",IFERROR(INDEX(計算用!$M$2:$M$186,MATCH("男"&amp;手直し!C34,計算用!$AO$2:$AO$186,0)),"？"))</f>
        <v/>
      </c>
      <c r="I32" s="26">
        <f>IF(OR($A32="",手直し!C34=""),"",IFERROR(INDEX(計算用!$I$2:$I$186,MATCH("男"&amp;手直し!C34,計算用!$AO$2:$AO$186,0)),"？"))</f>
        <v/>
      </c>
      <c r="J32">
        <f>IF($A32="","",手直し!D34&amp;"")</f>
        <v/>
      </c>
      <c r="K32" s="26">
        <f>IF(OR($A32="",手直し!D34=""),"",IFERROR(INDEX(計算用!$M$2:$M$186,MATCH("男"&amp;手直し!D34,計算用!$AO$2:$AO$186,0)),"？"))</f>
        <v/>
      </c>
      <c r="L32" s="26">
        <f>IF(OR($A32="",手直し!D34=""),"",IFERROR(INDEX(計算用!$I$2:$I$186,MATCH("男"&amp;手直し!D34,計算用!$AO$2:$AO$186,0)),"？"))</f>
        <v/>
      </c>
      <c r="M32">
        <f>IF($A32="","",手直し!E34&amp;"")</f>
        <v/>
      </c>
      <c r="N32" s="26">
        <f>IF(OR($A32="",手直し!E34=""),"",IFERROR(INDEX(計算用!$M$2:$M$186,MATCH("男"&amp;手直し!E34,計算用!$AO$2:$AO$186,0)),"？"))</f>
        <v/>
      </c>
      <c r="O32" s="26">
        <f>IF(OR($A32="",手直し!E34=""),"",IFERROR(INDEX(計算用!$I$2:$I$186,MATCH("男"&amp;手直し!E34,計算用!$AO$2:$AO$186,0)),"？"))</f>
        <v/>
      </c>
      <c r="Q32" s="26">
        <f>IF(ROW()-3&lt;=計算用!$Q$14,ROW()-3,"")</f>
        <v/>
      </c>
      <c r="R32" s="26">
        <f>IF($Q32="","",手直し!M34)</f>
        <v/>
      </c>
      <c r="S32" s="26">
        <f>IF($Q32="","",手直し!N34)</f>
        <v/>
      </c>
      <c r="T32">
        <f>IF($Q32="","",手直し!F34&amp;"")</f>
        <v/>
      </c>
      <c r="U32" s="26">
        <f>IF(OR($Q32="",手直し!F34=""),"",IFERROR(INDEX(計算用!$M$2:$M$186,MATCH("女"&amp;手直し!F34,計算用!$AO$2:$AO$186,0)),"？"))</f>
        <v/>
      </c>
      <c r="V32" s="26">
        <f>IF(OR($Q32="",手直し!F34=""),"",IFERROR(INDEX(計算用!$I$2:$I$186,MATCH("女"&amp;手直し!F34,計算用!$AO$2:$AO$186,0)),"？"))</f>
        <v/>
      </c>
      <c r="W32">
        <f>IF($Q32="","",手直し!G34&amp;"")</f>
        <v/>
      </c>
      <c r="X32" s="26">
        <f>IF(OR($Q32="",手直し!G34=""),"",IFERROR(INDEX(計算用!$M$2:$M$186,MATCH("女"&amp;手直し!G34,計算用!$AO$2:$AO$186,0)),"？"))</f>
        <v/>
      </c>
      <c r="Y32" s="26">
        <f>IF(OR($Q32="",手直し!G34=""),"",IFERROR(INDEX(計算用!$I$2:$I$186,MATCH("女"&amp;手直し!G34,計算用!$AO$2:$AO$186,0)),"？"))</f>
        <v/>
      </c>
      <c r="Z32">
        <f>IF($Q32="","",手直し!H34&amp;"")</f>
        <v/>
      </c>
      <c r="AA32" s="26">
        <f>IF(OR($Q32="",手直し!H34=""),"",IFERROR(INDEX(計算用!$M$2:$M$186,MATCH("女"&amp;手直し!H34,計算用!$AO$2:$AO$186,0)),"？"))</f>
        <v/>
      </c>
      <c r="AB32" s="26">
        <f>IF(OR($Q32="",手直し!H34=""),"",IFERROR(INDEX(計算用!$I$2:$I$186,MATCH("女"&amp;手直し!H34,計算用!$AO$2:$AO$186,0)),"？"))</f>
        <v/>
      </c>
      <c r="AC32">
        <f>IF($Q32="","",手直し!I34&amp;"")</f>
        <v/>
      </c>
      <c r="AD32" s="26">
        <f>IF(OR($Q32="",手直し!I34=""),"",IFERROR(INDEX(計算用!$M$2:$M$186,MATCH("女"&amp;手直し!I34,計算用!$AO$2:$AO$186,0)),"？"))</f>
        <v/>
      </c>
      <c r="AE32" s="26">
        <f>IF(OR($Q32="",手直し!I34=""),"",IFERROR(INDEX(計算用!$I$2:$I$186,MATCH("女"&amp;手直し!I34,計算用!$AO$2:$AO$186,0)),"？"))</f>
        <v/>
      </c>
    </row>
    <row r="33">
      <c r="A33" s="26">
        <f>IF(ROW()-3&lt;=計算用!$Q$13,ROW()-3,"")</f>
        <v/>
      </c>
      <c r="B33" s="26">
        <f>IF($A33="","",手直し!K35)</f>
        <v/>
      </c>
      <c r="C33" s="26">
        <f>IF($A33="","",手直し!L35)</f>
        <v/>
      </c>
      <c r="D33">
        <f>IF($A33="","",手直し!B35&amp;"")</f>
        <v/>
      </c>
      <c r="E33" s="26">
        <f>IF(OR($A33="",手直し!B35=""),"",IFERROR(INDEX(計算用!$M$2:$M$186,MATCH("男"&amp;手直し!B35,計算用!$AO$2:$AO$186,0)),"？"))</f>
        <v/>
      </c>
      <c r="F33" s="26">
        <f>IF(OR($A33="",手直し!B35=""),"",IFERROR(INDEX(計算用!$I$2:$I$186,MATCH("男"&amp;手直し!B35,計算用!$AO$2:$AO$186,0)),"？"))</f>
        <v/>
      </c>
      <c r="G33">
        <f>IF($A33="","",手直し!C35&amp;"")</f>
        <v/>
      </c>
      <c r="H33" s="26">
        <f>IF(OR($A33="",手直し!C35=""),"",IFERROR(INDEX(計算用!$M$2:$M$186,MATCH("男"&amp;手直し!C35,計算用!$AO$2:$AO$186,0)),"？"))</f>
        <v/>
      </c>
      <c r="I33" s="26">
        <f>IF(OR($A33="",手直し!C35=""),"",IFERROR(INDEX(計算用!$I$2:$I$186,MATCH("男"&amp;手直し!C35,計算用!$AO$2:$AO$186,0)),"？"))</f>
        <v/>
      </c>
      <c r="J33">
        <f>IF($A33="","",手直し!D35&amp;"")</f>
        <v/>
      </c>
      <c r="K33" s="26">
        <f>IF(OR($A33="",手直し!D35=""),"",IFERROR(INDEX(計算用!$M$2:$M$186,MATCH("男"&amp;手直し!D35,計算用!$AO$2:$AO$186,0)),"？"))</f>
        <v/>
      </c>
      <c r="L33" s="26">
        <f>IF(OR($A33="",手直し!D35=""),"",IFERROR(INDEX(計算用!$I$2:$I$186,MATCH("男"&amp;手直し!D35,計算用!$AO$2:$AO$186,0)),"？"))</f>
        <v/>
      </c>
      <c r="M33">
        <f>IF($A33="","",手直し!E35&amp;"")</f>
        <v/>
      </c>
      <c r="N33" s="26">
        <f>IF(OR($A33="",手直し!E35=""),"",IFERROR(INDEX(計算用!$M$2:$M$186,MATCH("男"&amp;手直し!E35,計算用!$AO$2:$AO$186,0)),"？"))</f>
        <v/>
      </c>
      <c r="O33" s="26">
        <f>IF(OR($A33="",手直し!E35=""),"",IFERROR(INDEX(計算用!$I$2:$I$186,MATCH("男"&amp;手直し!E35,計算用!$AO$2:$AO$186,0)),"？"))</f>
        <v/>
      </c>
      <c r="Q33" s="26">
        <f>IF(ROW()-3&lt;=計算用!$Q$14,ROW()-3,"")</f>
        <v/>
      </c>
      <c r="R33" s="26">
        <f>IF($Q33="","",手直し!M35)</f>
        <v/>
      </c>
      <c r="S33" s="26">
        <f>IF($Q33="","",手直し!N35)</f>
        <v/>
      </c>
      <c r="T33">
        <f>IF($Q33="","",手直し!F35&amp;"")</f>
        <v/>
      </c>
      <c r="U33" s="26">
        <f>IF(OR($Q33="",手直し!F35=""),"",IFERROR(INDEX(計算用!$M$2:$M$186,MATCH("女"&amp;手直し!F35,計算用!$AO$2:$AO$186,0)),"？"))</f>
        <v/>
      </c>
      <c r="V33" s="26">
        <f>IF(OR($Q33="",手直し!F35=""),"",IFERROR(INDEX(計算用!$I$2:$I$186,MATCH("女"&amp;手直し!F35,計算用!$AO$2:$AO$186,0)),"？"))</f>
        <v/>
      </c>
      <c r="W33">
        <f>IF($Q33="","",手直し!G35&amp;"")</f>
        <v/>
      </c>
      <c r="X33" s="26">
        <f>IF(OR($Q33="",手直し!G35=""),"",IFERROR(INDEX(計算用!$M$2:$M$186,MATCH("女"&amp;手直し!G35,計算用!$AO$2:$AO$186,0)),"？"))</f>
        <v/>
      </c>
      <c r="Y33" s="26">
        <f>IF(OR($Q33="",手直し!G35=""),"",IFERROR(INDEX(計算用!$I$2:$I$186,MATCH("女"&amp;手直し!G35,計算用!$AO$2:$AO$186,0)),"？"))</f>
        <v/>
      </c>
      <c r="Z33">
        <f>IF($Q33="","",手直し!H35&amp;"")</f>
        <v/>
      </c>
      <c r="AA33" s="26">
        <f>IF(OR($Q33="",手直し!H35=""),"",IFERROR(INDEX(計算用!$M$2:$M$186,MATCH("女"&amp;手直し!H35,計算用!$AO$2:$AO$186,0)),"？"))</f>
        <v/>
      </c>
      <c r="AB33" s="26">
        <f>IF(OR($Q33="",手直し!H35=""),"",IFERROR(INDEX(計算用!$I$2:$I$186,MATCH("女"&amp;手直し!H35,計算用!$AO$2:$AO$186,0)),"？"))</f>
        <v/>
      </c>
      <c r="AC33">
        <f>IF($Q33="","",手直し!I35&amp;"")</f>
        <v/>
      </c>
      <c r="AD33" s="26">
        <f>IF(OR($Q33="",手直し!I35=""),"",IFERROR(INDEX(計算用!$M$2:$M$186,MATCH("女"&amp;手直し!I35,計算用!$AO$2:$AO$186,0)),"？"))</f>
        <v/>
      </c>
      <c r="AE33" s="26">
        <f>IF(OR($Q33="",手直し!I35=""),"",IFERROR(INDEX(計算用!$I$2:$I$186,MATCH("女"&amp;手直し!I35,計算用!$AO$2:$AO$186,0)),"？"))</f>
        <v/>
      </c>
    </row>
    <row r="34">
      <c r="A34" s="26">
        <f>IF(ROW()-3&lt;=計算用!$Q$13,ROW()-3,"")</f>
        <v/>
      </c>
      <c r="B34" s="26">
        <f>IF($A34="","",手直し!K36)</f>
        <v/>
      </c>
      <c r="C34" s="26">
        <f>IF($A34="","",手直し!L36)</f>
        <v/>
      </c>
      <c r="D34">
        <f>IF($A34="","",手直し!B36&amp;"")</f>
        <v/>
      </c>
      <c r="E34" s="26">
        <f>IF(OR($A34="",手直し!B36=""),"",IFERROR(INDEX(計算用!$M$2:$M$186,MATCH("男"&amp;手直し!B36,計算用!$AO$2:$AO$186,0)),"？"))</f>
        <v/>
      </c>
      <c r="F34" s="26">
        <f>IF(OR($A34="",手直し!B36=""),"",IFERROR(INDEX(計算用!$I$2:$I$186,MATCH("男"&amp;手直し!B36,計算用!$AO$2:$AO$186,0)),"？"))</f>
        <v/>
      </c>
      <c r="G34">
        <f>IF($A34="","",手直し!C36&amp;"")</f>
        <v/>
      </c>
      <c r="H34" s="26">
        <f>IF(OR($A34="",手直し!C36=""),"",IFERROR(INDEX(計算用!$M$2:$M$186,MATCH("男"&amp;手直し!C36,計算用!$AO$2:$AO$186,0)),"？"))</f>
        <v/>
      </c>
      <c r="I34" s="26">
        <f>IF(OR($A34="",手直し!C36=""),"",IFERROR(INDEX(計算用!$I$2:$I$186,MATCH("男"&amp;手直し!C36,計算用!$AO$2:$AO$186,0)),"？"))</f>
        <v/>
      </c>
      <c r="J34">
        <f>IF($A34="","",手直し!D36&amp;"")</f>
        <v/>
      </c>
      <c r="K34" s="26">
        <f>IF(OR($A34="",手直し!D36=""),"",IFERROR(INDEX(計算用!$M$2:$M$186,MATCH("男"&amp;手直し!D36,計算用!$AO$2:$AO$186,0)),"？"))</f>
        <v/>
      </c>
      <c r="L34" s="26">
        <f>IF(OR($A34="",手直し!D36=""),"",IFERROR(INDEX(計算用!$I$2:$I$186,MATCH("男"&amp;手直し!D36,計算用!$AO$2:$AO$186,0)),"？"))</f>
        <v/>
      </c>
      <c r="M34">
        <f>IF($A34="","",手直し!E36&amp;"")</f>
        <v/>
      </c>
      <c r="N34" s="26">
        <f>IF(OR($A34="",手直し!E36=""),"",IFERROR(INDEX(計算用!$M$2:$M$186,MATCH("男"&amp;手直し!E36,計算用!$AO$2:$AO$186,0)),"？"))</f>
        <v/>
      </c>
      <c r="O34" s="26">
        <f>IF(OR($A34="",手直し!E36=""),"",IFERROR(INDEX(計算用!$I$2:$I$186,MATCH("男"&amp;手直し!E36,計算用!$AO$2:$AO$186,0)),"？"))</f>
        <v/>
      </c>
      <c r="Q34" s="26">
        <f>IF(ROW()-3&lt;=計算用!$Q$14,ROW()-3,"")</f>
        <v/>
      </c>
      <c r="R34" s="26">
        <f>IF($Q34="","",手直し!M36)</f>
        <v/>
      </c>
      <c r="S34" s="26">
        <f>IF($Q34="","",手直し!N36)</f>
        <v/>
      </c>
      <c r="T34">
        <f>IF($Q34="","",手直し!F36&amp;"")</f>
        <v/>
      </c>
      <c r="U34" s="26">
        <f>IF(OR($Q34="",手直し!F36=""),"",IFERROR(INDEX(計算用!$M$2:$M$186,MATCH("女"&amp;手直し!F36,計算用!$AO$2:$AO$186,0)),"？"))</f>
        <v/>
      </c>
      <c r="V34" s="26">
        <f>IF(OR($Q34="",手直し!F36=""),"",IFERROR(INDEX(計算用!$I$2:$I$186,MATCH("女"&amp;手直し!F36,計算用!$AO$2:$AO$186,0)),"？"))</f>
        <v/>
      </c>
      <c r="W34">
        <f>IF($Q34="","",手直し!G36&amp;"")</f>
        <v/>
      </c>
      <c r="X34" s="26">
        <f>IF(OR($Q34="",手直し!G36=""),"",IFERROR(INDEX(計算用!$M$2:$M$186,MATCH("女"&amp;手直し!G36,計算用!$AO$2:$AO$186,0)),"？"))</f>
        <v/>
      </c>
      <c r="Y34" s="26">
        <f>IF(OR($Q34="",手直し!G36=""),"",IFERROR(INDEX(計算用!$I$2:$I$186,MATCH("女"&amp;手直し!G36,計算用!$AO$2:$AO$186,0)),"？"))</f>
        <v/>
      </c>
      <c r="Z34">
        <f>IF($Q34="","",手直し!H36&amp;"")</f>
        <v/>
      </c>
      <c r="AA34" s="26">
        <f>IF(OR($Q34="",手直し!H36=""),"",IFERROR(INDEX(計算用!$M$2:$M$186,MATCH("女"&amp;手直し!H36,計算用!$AO$2:$AO$186,0)),"？"))</f>
        <v/>
      </c>
      <c r="AB34" s="26">
        <f>IF(OR($Q34="",手直し!H36=""),"",IFERROR(INDEX(計算用!$I$2:$I$186,MATCH("女"&amp;手直し!H36,計算用!$AO$2:$AO$186,0)),"？"))</f>
        <v/>
      </c>
      <c r="AC34">
        <f>IF($Q34="","",手直し!I36&amp;"")</f>
        <v/>
      </c>
      <c r="AD34" s="26">
        <f>IF(OR($Q34="",手直し!I36=""),"",IFERROR(INDEX(計算用!$M$2:$M$186,MATCH("女"&amp;手直し!I36,計算用!$AO$2:$AO$186,0)),"？"))</f>
        <v/>
      </c>
      <c r="AE34" s="26">
        <f>IF(OR($Q34="",手直し!I36=""),"",IFERROR(INDEX(計算用!$I$2:$I$186,MATCH("女"&amp;手直し!I36,計算用!$AO$2:$AO$186,0)),"？"))</f>
        <v/>
      </c>
    </row>
    <row r="35">
      <c r="A35" s="26">
        <f>IF(ROW()-3&lt;=計算用!$Q$13,ROW()-3,"")</f>
        <v/>
      </c>
      <c r="B35" s="26">
        <f>IF($A35="","",手直し!K37)</f>
        <v/>
      </c>
      <c r="C35" s="26">
        <f>IF($A35="","",手直し!L37)</f>
        <v/>
      </c>
      <c r="D35">
        <f>IF($A35="","",手直し!B37&amp;"")</f>
        <v/>
      </c>
      <c r="E35" s="26">
        <f>IF(OR($A35="",手直し!B37=""),"",IFERROR(INDEX(計算用!$M$2:$M$186,MATCH("男"&amp;手直し!B37,計算用!$AO$2:$AO$186,0)),"？"))</f>
        <v/>
      </c>
      <c r="F35" s="26">
        <f>IF(OR($A35="",手直し!B37=""),"",IFERROR(INDEX(計算用!$I$2:$I$186,MATCH("男"&amp;手直し!B37,計算用!$AO$2:$AO$186,0)),"？"))</f>
        <v/>
      </c>
      <c r="G35">
        <f>IF($A35="","",手直し!C37&amp;"")</f>
        <v/>
      </c>
      <c r="H35" s="26">
        <f>IF(OR($A35="",手直し!C37=""),"",IFERROR(INDEX(計算用!$M$2:$M$186,MATCH("男"&amp;手直し!C37,計算用!$AO$2:$AO$186,0)),"？"))</f>
        <v/>
      </c>
      <c r="I35" s="26">
        <f>IF(OR($A35="",手直し!C37=""),"",IFERROR(INDEX(計算用!$I$2:$I$186,MATCH("男"&amp;手直し!C37,計算用!$AO$2:$AO$186,0)),"？"))</f>
        <v/>
      </c>
      <c r="J35">
        <f>IF($A35="","",手直し!D37&amp;"")</f>
        <v/>
      </c>
      <c r="K35" s="26">
        <f>IF(OR($A35="",手直し!D37=""),"",IFERROR(INDEX(計算用!$M$2:$M$186,MATCH("男"&amp;手直し!D37,計算用!$AO$2:$AO$186,0)),"？"))</f>
        <v/>
      </c>
      <c r="L35" s="26">
        <f>IF(OR($A35="",手直し!D37=""),"",IFERROR(INDEX(計算用!$I$2:$I$186,MATCH("男"&amp;手直し!D37,計算用!$AO$2:$AO$186,0)),"？"))</f>
        <v/>
      </c>
      <c r="M35">
        <f>IF($A35="","",手直し!E37&amp;"")</f>
        <v/>
      </c>
      <c r="N35" s="26">
        <f>IF(OR($A35="",手直し!E37=""),"",IFERROR(INDEX(計算用!$M$2:$M$186,MATCH("男"&amp;手直し!E37,計算用!$AO$2:$AO$186,0)),"？"))</f>
        <v/>
      </c>
      <c r="O35" s="26">
        <f>IF(OR($A35="",手直し!E37=""),"",IFERROR(INDEX(計算用!$I$2:$I$186,MATCH("男"&amp;手直し!E37,計算用!$AO$2:$AO$186,0)),"？"))</f>
        <v/>
      </c>
      <c r="Q35" s="26">
        <f>IF(ROW()-3&lt;=計算用!$Q$14,ROW()-3,"")</f>
        <v/>
      </c>
      <c r="R35" s="26">
        <f>IF($Q35="","",手直し!M37)</f>
        <v/>
      </c>
      <c r="S35" s="26">
        <f>IF($Q35="","",手直し!N37)</f>
        <v/>
      </c>
      <c r="T35">
        <f>IF($Q35="","",手直し!F37&amp;"")</f>
        <v/>
      </c>
      <c r="U35" s="26">
        <f>IF(OR($Q35="",手直し!F37=""),"",IFERROR(INDEX(計算用!$M$2:$M$186,MATCH("女"&amp;手直し!F37,計算用!$AO$2:$AO$186,0)),"？"))</f>
        <v/>
      </c>
      <c r="V35" s="26">
        <f>IF(OR($Q35="",手直し!F37=""),"",IFERROR(INDEX(計算用!$I$2:$I$186,MATCH("女"&amp;手直し!F37,計算用!$AO$2:$AO$186,0)),"？"))</f>
        <v/>
      </c>
      <c r="W35">
        <f>IF($Q35="","",手直し!G37&amp;"")</f>
        <v/>
      </c>
      <c r="X35" s="26">
        <f>IF(OR($Q35="",手直し!G37=""),"",IFERROR(INDEX(計算用!$M$2:$M$186,MATCH("女"&amp;手直し!G37,計算用!$AO$2:$AO$186,0)),"？"))</f>
        <v/>
      </c>
      <c r="Y35" s="26">
        <f>IF(OR($Q35="",手直し!G37=""),"",IFERROR(INDEX(計算用!$I$2:$I$186,MATCH("女"&amp;手直し!G37,計算用!$AO$2:$AO$186,0)),"？"))</f>
        <v/>
      </c>
      <c r="Z35">
        <f>IF($Q35="","",手直し!H37&amp;"")</f>
        <v/>
      </c>
      <c r="AA35" s="26">
        <f>IF(OR($Q35="",手直し!H37=""),"",IFERROR(INDEX(計算用!$M$2:$M$186,MATCH("女"&amp;手直し!H37,計算用!$AO$2:$AO$186,0)),"？"))</f>
        <v/>
      </c>
      <c r="AB35" s="26">
        <f>IF(OR($Q35="",手直し!H37=""),"",IFERROR(INDEX(計算用!$I$2:$I$186,MATCH("女"&amp;手直し!H37,計算用!$AO$2:$AO$186,0)),"？"))</f>
        <v/>
      </c>
      <c r="AC35">
        <f>IF($Q35="","",手直し!I37&amp;"")</f>
        <v/>
      </c>
      <c r="AD35" s="26">
        <f>IF(OR($Q35="",手直し!I37=""),"",IFERROR(INDEX(計算用!$M$2:$M$186,MATCH("女"&amp;手直し!I37,計算用!$AO$2:$AO$186,0)),"？"))</f>
        <v/>
      </c>
      <c r="AE35" s="26">
        <f>IF(OR($Q35="",手直し!I37=""),"",IFERROR(INDEX(計算用!$I$2:$I$186,MATCH("女"&amp;手直し!I37,計算用!$AO$2:$AO$186,0)),"？"))</f>
        <v/>
      </c>
    </row>
    <row r="36">
      <c r="A36" s="26">
        <f>IF(ROW()-3&lt;=計算用!$Q$13,ROW()-3,"")</f>
        <v/>
      </c>
      <c r="B36" s="26">
        <f>IF($A36="","",手直し!K38)</f>
        <v/>
      </c>
      <c r="C36" s="26">
        <f>IF($A36="","",手直し!L38)</f>
        <v/>
      </c>
      <c r="D36">
        <f>IF($A36="","",手直し!B38&amp;"")</f>
        <v/>
      </c>
      <c r="E36" s="26">
        <f>IF(OR($A36="",手直し!B38=""),"",IFERROR(INDEX(計算用!$M$2:$M$186,MATCH("男"&amp;手直し!B38,計算用!$AO$2:$AO$186,0)),"？"))</f>
        <v/>
      </c>
      <c r="F36" s="26">
        <f>IF(OR($A36="",手直し!B38=""),"",IFERROR(INDEX(計算用!$I$2:$I$186,MATCH("男"&amp;手直し!B38,計算用!$AO$2:$AO$186,0)),"？"))</f>
        <v/>
      </c>
      <c r="G36">
        <f>IF($A36="","",手直し!C38&amp;"")</f>
        <v/>
      </c>
      <c r="H36" s="26">
        <f>IF(OR($A36="",手直し!C38=""),"",IFERROR(INDEX(計算用!$M$2:$M$186,MATCH("男"&amp;手直し!C38,計算用!$AO$2:$AO$186,0)),"？"))</f>
        <v/>
      </c>
      <c r="I36" s="26">
        <f>IF(OR($A36="",手直し!C38=""),"",IFERROR(INDEX(計算用!$I$2:$I$186,MATCH("男"&amp;手直し!C38,計算用!$AO$2:$AO$186,0)),"？"))</f>
        <v/>
      </c>
      <c r="J36">
        <f>IF($A36="","",手直し!D38&amp;"")</f>
        <v/>
      </c>
      <c r="K36" s="26">
        <f>IF(OR($A36="",手直し!D38=""),"",IFERROR(INDEX(計算用!$M$2:$M$186,MATCH("男"&amp;手直し!D38,計算用!$AO$2:$AO$186,0)),"？"))</f>
        <v/>
      </c>
      <c r="L36" s="26">
        <f>IF(OR($A36="",手直し!D38=""),"",IFERROR(INDEX(計算用!$I$2:$I$186,MATCH("男"&amp;手直し!D38,計算用!$AO$2:$AO$186,0)),"？"))</f>
        <v/>
      </c>
      <c r="M36">
        <f>IF($A36="","",手直し!E38&amp;"")</f>
        <v/>
      </c>
      <c r="N36" s="26">
        <f>IF(OR($A36="",手直し!E38=""),"",IFERROR(INDEX(計算用!$M$2:$M$186,MATCH("男"&amp;手直し!E38,計算用!$AO$2:$AO$186,0)),"？"))</f>
        <v/>
      </c>
      <c r="O36" s="26">
        <f>IF(OR($A36="",手直し!E38=""),"",IFERROR(INDEX(計算用!$I$2:$I$186,MATCH("男"&amp;手直し!E38,計算用!$AO$2:$AO$186,0)),"？"))</f>
        <v/>
      </c>
      <c r="Q36" s="26">
        <f>IF(ROW()-3&lt;=計算用!$Q$14,ROW()-3,"")</f>
        <v/>
      </c>
      <c r="R36" s="26">
        <f>IF($Q36="","",手直し!M38)</f>
        <v/>
      </c>
      <c r="S36" s="26">
        <f>IF($Q36="","",手直し!N38)</f>
        <v/>
      </c>
      <c r="T36">
        <f>IF($Q36="","",手直し!F38&amp;"")</f>
        <v/>
      </c>
      <c r="U36" s="26">
        <f>IF(OR($Q36="",手直し!F38=""),"",IFERROR(INDEX(計算用!$M$2:$M$186,MATCH("女"&amp;手直し!F38,計算用!$AO$2:$AO$186,0)),"？"))</f>
        <v/>
      </c>
      <c r="V36" s="26">
        <f>IF(OR($Q36="",手直し!F38=""),"",IFERROR(INDEX(計算用!$I$2:$I$186,MATCH("女"&amp;手直し!F38,計算用!$AO$2:$AO$186,0)),"？"))</f>
        <v/>
      </c>
      <c r="W36">
        <f>IF($Q36="","",手直し!G38&amp;"")</f>
        <v/>
      </c>
      <c r="X36" s="26">
        <f>IF(OR($Q36="",手直し!G38=""),"",IFERROR(INDEX(計算用!$M$2:$M$186,MATCH("女"&amp;手直し!G38,計算用!$AO$2:$AO$186,0)),"？"))</f>
        <v/>
      </c>
      <c r="Y36" s="26">
        <f>IF(OR($Q36="",手直し!G38=""),"",IFERROR(INDEX(計算用!$I$2:$I$186,MATCH("女"&amp;手直し!G38,計算用!$AO$2:$AO$186,0)),"？"))</f>
        <v/>
      </c>
      <c r="Z36">
        <f>IF($Q36="","",手直し!H38&amp;"")</f>
        <v/>
      </c>
      <c r="AA36" s="26">
        <f>IF(OR($Q36="",手直し!H38=""),"",IFERROR(INDEX(計算用!$M$2:$M$186,MATCH("女"&amp;手直し!H38,計算用!$AO$2:$AO$186,0)),"？"))</f>
        <v/>
      </c>
      <c r="AB36" s="26">
        <f>IF(OR($Q36="",手直し!H38=""),"",IFERROR(INDEX(計算用!$I$2:$I$186,MATCH("女"&amp;手直し!H38,計算用!$AO$2:$AO$186,0)),"？"))</f>
        <v/>
      </c>
      <c r="AC36">
        <f>IF($Q36="","",手直し!I38&amp;"")</f>
        <v/>
      </c>
      <c r="AD36" s="26">
        <f>IF(OR($Q36="",手直し!I38=""),"",IFERROR(INDEX(計算用!$M$2:$M$186,MATCH("女"&amp;手直し!I38,計算用!$AO$2:$AO$186,0)),"？"))</f>
        <v/>
      </c>
      <c r="AE36" s="26">
        <f>IF(OR($Q36="",手直し!I38=""),"",IFERROR(INDEX(計算用!$I$2:$I$186,MATCH("女"&amp;手直し!I38,計算用!$AO$2:$AO$186,0)),"？"))</f>
        <v/>
      </c>
    </row>
    <row r="37">
      <c r="A37" s="26">
        <f>IF(ROW()-3&lt;=計算用!$Q$13,ROW()-3,"")</f>
        <v/>
      </c>
      <c r="B37" s="26">
        <f>IF($A37="","",手直し!K39)</f>
        <v/>
      </c>
      <c r="C37" s="26">
        <f>IF($A37="","",手直し!L39)</f>
        <v/>
      </c>
      <c r="D37">
        <f>IF($A37="","",手直し!B39&amp;"")</f>
        <v/>
      </c>
      <c r="E37" s="26">
        <f>IF(OR($A37="",手直し!B39=""),"",IFERROR(INDEX(計算用!$M$2:$M$186,MATCH("男"&amp;手直し!B39,計算用!$AO$2:$AO$186,0)),"？"))</f>
        <v/>
      </c>
      <c r="F37" s="26">
        <f>IF(OR($A37="",手直し!B39=""),"",IFERROR(INDEX(計算用!$I$2:$I$186,MATCH("男"&amp;手直し!B39,計算用!$AO$2:$AO$186,0)),"？"))</f>
        <v/>
      </c>
      <c r="G37">
        <f>IF($A37="","",手直し!C39&amp;"")</f>
        <v/>
      </c>
      <c r="H37" s="26">
        <f>IF(OR($A37="",手直し!C39=""),"",IFERROR(INDEX(計算用!$M$2:$M$186,MATCH("男"&amp;手直し!C39,計算用!$AO$2:$AO$186,0)),"？"))</f>
        <v/>
      </c>
      <c r="I37" s="26">
        <f>IF(OR($A37="",手直し!C39=""),"",IFERROR(INDEX(計算用!$I$2:$I$186,MATCH("男"&amp;手直し!C39,計算用!$AO$2:$AO$186,0)),"？"))</f>
        <v/>
      </c>
      <c r="J37">
        <f>IF($A37="","",手直し!D39&amp;"")</f>
        <v/>
      </c>
      <c r="K37" s="26">
        <f>IF(OR($A37="",手直し!D39=""),"",IFERROR(INDEX(計算用!$M$2:$M$186,MATCH("男"&amp;手直し!D39,計算用!$AO$2:$AO$186,0)),"？"))</f>
        <v/>
      </c>
      <c r="L37" s="26">
        <f>IF(OR($A37="",手直し!D39=""),"",IFERROR(INDEX(計算用!$I$2:$I$186,MATCH("男"&amp;手直し!D39,計算用!$AO$2:$AO$186,0)),"？"))</f>
        <v/>
      </c>
      <c r="M37">
        <f>IF($A37="","",手直し!E39&amp;"")</f>
        <v/>
      </c>
      <c r="N37" s="26">
        <f>IF(OR($A37="",手直し!E39=""),"",IFERROR(INDEX(計算用!$M$2:$M$186,MATCH("男"&amp;手直し!E39,計算用!$AO$2:$AO$186,0)),"？"))</f>
        <v/>
      </c>
      <c r="O37" s="26">
        <f>IF(OR($A37="",手直し!E39=""),"",IFERROR(INDEX(計算用!$I$2:$I$186,MATCH("男"&amp;手直し!E39,計算用!$AO$2:$AO$186,0)),"？"))</f>
        <v/>
      </c>
      <c r="Q37" s="26">
        <f>IF(ROW()-3&lt;=計算用!$Q$14,ROW()-3,"")</f>
        <v/>
      </c>
      <c r="R37" s="26">
        <f>IF($Q37="","",手直し!M39)</f>
        <v/>
      </c>
      <c r="S37" s="26">
        <f>IF($Q37="","",手直し!N39)</f>
        <v/>
      </c>
      <c r="T37">
        <f>IF($Q37="","",手直し!F39&amp;"")</f>
        <v/>
      </c>
      <c r="U37" s="26">
        <f>IF(OR($Q37="",手直し!F39=""),"",IFERROR(INDEX(計算用!$M$2:$M$186,MATCH("女"&amp;手直し!F39,計算用!$AO$2:$AO$186,0)),"？"))</f>
        <v/>
      </c>
      <c r="V37" s="26">
        <f>IF(OR($Q37="",手直し!F39=""),"",IFERROR(INDEX(計算用!$I$2:$I$186,MATCH("女"&amp;手直し!F39,計算用!$AO$2:$AO$186,0)),"？"))</f>
        <v/>
      </c>
      <c r="W37">
        <f>IF($Q37="","",手直し!G39&amp;"")</f>
        <v/>
      </c>
      <c r="X37" s="26">
        <f>IF(OR($Q37="",手直し!G39=""),"",IFERROR(INDEX(計算用!$M$2:$M$186,MATCH("女"&amp;手直し!G39,計算用!$AO$2:$AO$186,0)),"？"))</f>
        <v/>
      </c>
      <c r="Y37" s="26">
        <f>IF(OR($Q37="",手直し!G39=""),"",IFERROR(INDEX(計算用!$I$2:$I$186,MATCH("女"&amp;手直し!G39,計算用!$AO$2:$AO$186,0)),"？"))</f>
        <v/>
      </c>
      <c r="Z37">
        <f>IF($Q37="","",手直し!H39&amp;"")</f>
        <v/>
      </c>
      <c r="AA37" s="26">
        <f>IF(OR($Q37="",手直し!H39=""),"",IFERROR(INDEX(計算用!$M$2:$M$186,MATCH("女"&amp;手直し!H39,計算用!$AO$2:$AO$186,0)),"？"))</f>
        <v/>
      </c>
      <c r="AB37" s="26">
        <f>IF(OR($Q37="",手直し!H39=""),"",IFERROR(INDEX(計算用!$I$2:$I$186,MATCH("女"&amp;手直し!H39,計算用!$AO$2:$AO$186,0)),"？"))</f>
        <v/>
      </c>
      <c r="AC37">
        <f>IF($Q37="","",手直し!I39&amp;"")</f>
        <v/>
      </c>
      <c r="AD37" s="26">
        <f>IF(OR($Q37="",手直し!I39=""),"",IFERROR(INDEX(計算用!$M$2:$M$186,MATCH("女"&amp;手直し!I39,計算用!$AO$2:$AO$186,0)),"？"))</f>
        <v/>
      </c>
      <c r="AE37" s="26">
        <f>IF(OR($Q37="",手直し!I39=""),"",IFERROR(INDEX(計算用!$I$2:$I$186,MATCH("女"&amp;手直し!I39,計算用!$AO$2:$AO$186,0)),"？"))</f>
        <v/>
      </c>
    </row>
    <row r="38">
      <c r="A38" s="26">
        <f>IF(ROW()-3&lt;=計算用!$Q$13,ROW()-3,"")</f>
        <v/>
      </c>
      <c r="B38" s="26">
        <f>IF($A38="","",手直し!K40)</f>
        <v/>
      </c>
      <c r="C38" s="26">
        <f>IF($A38="","",手直し!L40)</f>
        <v/>
      </c>
      <c r="D38">
        <f>IF($A38="","",手直し!B40&amp;"")</f>
        <v/>
      </c>
      <c r="E38" s="26">
        <f>IF(OR($A38="",手直し!B40=""),"",IFERROR(INDEX(計算用!$M$2:$M$186,MATCH("男"&amp;手直し!B40,計算用!$AO$2:$AO$186,0)),"？"))</f>
        <v/>
      </c>
      <c r="F38" s="26">
        <f>IF(OR($A38="",手直し!B40=""),"",IFERROR(INDEX(計算用!$I$2:$I$186,MATCH("男"&amp;手直し!B40,計算用!$AO$2:$AO$186,0)),"？"))</f>
        <v/>
      </c>
      <c r="G38">
        <f>IF($A38="","",手直し!C40&amp;"")</f>
        <v/>
      </c>
      <c r="H38" s="26">
        <f>IF(OR($A38="",手直し!C40=""),"",IFERROR(INDEX(計算用!$M$2:$M$186,MATCH("男"&amp;手直し!C40,計算用!$AO$2:$AO$186,0)),"？"))</f>
        <v/>
      </c>
      <c r="I38" s="26">
        <f>IF(OR($A38="",手直し!C40=""),"",IFERROR(INDEX(計算用!$I$2:$I$186,MATCH("男"&amp;手直し!C40,計算用!$AO$2:$AO$186,0)),"？"))</f>
        <v/>
      </c>
      <c r="J38">
        <f>IF($A38="","",手直し!D40&amp;"")</f>
        <v/>
      </c>
      <c r="K38" s="26">
        <f>IF(OR($A38="",手直し!D40=""),"",IFERROR(INDEX(計算用!$M$2:$M$186,MATCH("男"&amp;手直し!D40,計算用!$AO$2:$AO$186,0)),"？"))</f>
        <v/>
      </c>
      <c r="L38" s="26">
        <f>IF(OR($A38="",手直し!D40=""),"",IFERROR(INDEX(計算用!$I$2:$I$186,MATCH("男"&amp;手直し!D40,計算用!$AO$2:$AO$186,0)),"？"))</f>
        <v/>
      </c>
      <c r="M38">
        <f>IF($A38="","",手直し!E40&amp;"")</f>
        <v/>
      </c>
      <c r="N38" s="26">
        <f>IF(OR($A38="",手直し!E40=""),"",IFERROR(INDEX(計算用!$M$2:$M$186,MATCH("男"&amp;手直し!E40,計算用!$AO$2:$AO$186,0)),"？"))</f>
        <v/>
      </c>
      <c r="O38" s="26">
        <f>IF(OR($A38="",手直し!E40=""),"",IFERROR(INDEX(計算用!$I$2:$I$186,MATCH("男"&amp;手直し!E40,計算用!$AO$2:$AO$186,0)),"？"))</f>
        <v/>
      </c>
      <c r="Q38" s="26">
        <f>IF(ROW()-3&lt;=計算用!$Q$14,ROW()-3,"")</f>
        <v/>
      </c>
      <c r="R38" s="26">
        <f>IF($Q38="","",手直し!M40)</f>
        <v/>
      </c>
      <c r="S38" s="26">
        <f>IF($Q38="","",手直し!N40)</f>
        <v/>
      </c>
      <c r="T38">
        <f>IF($Q38="","",手直し!F40&amp;"")</f>
        <v/>
      </c>
      <c r="U38" s="26">
        <f>IF(OR($Q38="",手直し!F40=""),"",IFERROR(INDEX(計算用!$M$2:$M$186,MATCH("女"&amp;手直し!F40,計算用!$AO$2:$AO$186,0)),"？"))</f>
        <v/>
      </c>
      <c r="V38" s="26">
        <f>IF(OR($Q38="",手直し!F40=""),"",IFERROR(INDEX(計算用!$I$2:$I$186,MATCH("女"&amp;手直し!F40,計算用!$AO$2:$AO$186,0)),"？"))</f>
        <v/>
      </c>
      <c r="W38">
        <f>IF($Q38="","",手直し!G40&amp;"")</f>
        <v/>
      </c>
      <c r="X38" s="26">
        <f>IF(OR($Q38="",手直し!G40=""),"",IFERROR(INDEX(計算用!$M$2:$M$186,MATCH("女"&amp;手直し!G40,計算用!$AO$2:$AO$186,0)),"？"))</f>
        <v/>
      </c>
      <c r="Y38" s="26">
        <f>IF(OR($Q38="",手直し!G40=""),"",IFERROR(INDEX(計算用!$I$2:$I$186,MATCH("女"&amp;手直し!G40,計算用!$AO$2:$AO$186,0)),"？"))</f>
        <v/>
      </c>
      <c r="Z38">
        <f>IF($Q38="","",手直し!H40&amp;"")</f>
        <v/>
      </c>
      <c r="AA38" s="26">
        <f>IF(OR($Q38="",手直し!H40=""),"",IFERROR(INDEX(計算用!$M$2:$M$186,MATCH("女"&amp;手直し!H40,計算用!$AO$2:$AO$186,0)),"？"))</f>
        <v/>
      </c>
      <c r="AB38" s="26">
        <f>IF(OR($Q38="",手直し!H40=""),"",IFERROR(INDEX(計算用!$I$2:$I$186,MATCH("女"&amp;手直し!H40,計算用!$AO$2:$AO$186,0)),"？"))</f>
        <v/>
      </c>
      <c r="AC38">
        <f>IF($Q38="","",手直し!I40&amp;"")</f>
        <v/>
      </c>
      <c r="AD38" s="26">
        <f>IF(OR($Q38="",手直し!I40=""),"",IFERROR(INDEX(計算用!$M$2:$M$186,MATCH("女"&amp;手直し!I40,計算用!$AO$2:$AO$186,0)),"？"))</f>
        <v/>
      </c>
      <c r="AE38" s="26">
        <f>IF(OR($Q38="",手直し!I40=""),"",IFERROR(INDEX(計算用!$I$2:$I$186,MATCH("女"&amp;手直し!I40,計算用!$AO$2:$AO$186,0)),"？"))</f>
        <v/>
      </c>
    </row>
    <row r="39">
      <c r="A39" s="26">
        <f>IF(ROW()-3&lt;=計算用!$Q$13,ROW()-3,"")</f>
        <v/>
      </c>
      <c r="B39" s="26">
        <f>IF($A39="","",手直し!K41)</f>
        <v/>
      </c>
      <c r="C39" s="26">
        <f>IF($A39="","",手直し!L41)</f>
        <v/>
      </c>
      <c r="D39">
        <f>IF($A39="","",手直し!B41&amp;"")</f>
        <v/>
      </c>
      <c r="E39" s="26">
        <f>IF(OR($A39="",手直し!B41=""),"",IFERROR(INDEX(計算用!$M$2:$M$186,MATCH("男"&amp;手直し!B41,計算用!$AO$2:$AO$186,0)),"？"))</f>
        <v/>
      </c>
      <c r="F39" s="26">
        <f>IF(OR($A39="",手直し!B41=""),"",IFERROR(INDEX(計算用!$I$2:$I$186,MATCH("男"&amp;手直し!B41,計算用!$AO$2:$AO$186,0)),"？"))</f>
        <v/>
      </c>
      <c r="G39">
        <f>IF($A39="","",手直し!C41&amp;"")</f>
        <v/>
      </c>
      <c r="H39" s="26">
        <f>IF(OR($A39="",手直し!C41=""),"",IFERROR(INDEX(計算用!$M$2:$M$186,MATCH("男"&amp;手直し!C41,計算用!$AO$2:$AO$186,0)),"？"))</f>
        <v/>
      </c>
      <c r="I39" s="26">
        <f>IF(OR($A39="",手直し!C41=""),"",IFERROR(INDEX(計算用!$I$2:$I$186,MATCH("男"&amp;手直し!C41,計算用!$AO$2:$AO$186,0)),"？"))</f>
        <v/>
      </c>
      <c r="J39">
        <f>IF($A39="","",手直し!D41&amp;"")</f>
        <v/>
      </c>
      <c r="K39" s="26">
        <f>IF(OR($A39="",手直し!D41=""),"",IFERROR(INDEX(計算用!$M$2:$M$186,MATCH("男"&amp;手直し!D41,計算用!$AO$2:$AO$186,0)),"？"))</f>
        <v/>
      </c>
      <c r="L39" s="26">
        <f>IF(OR($A39="",手直し!D41=""),"",IFERROR(INDEX(計算用!$I$2:$I$186,MATCH("男"&amp;手直し!D41,計算用!$AO$2:$AO$186,0)),"？"))</f>
        <v/>
      </c>
      <c r="M39">
        <f>IF($A39="","",手直し!E41&amp;"")</f>
        <v/>
      </c>
      <c r="N39" s="26">
        <f>IF(OR($A39="",手直し!E41=""),"",IFERROR(INDEX(計算用!$M$2:$M$186,MATCH("男"&amp;手直し!E41,計算用!$AO$2:$AO$186,0)),"？"))</f>
        <v/>
      </c>
      <c r="O39" s="26">
        <f>IF(OR($A39="",手直し!E41=""),"",IFERROR(INDEX(計算用!$I$2:$I$186,MATCH("男"&amp;手直し!E41,計算用!$AO$2:$AO$186,0)),"？"))</f>
        <v/>
      </c>
      <c r="Q39" s="26">
        <f>IF(ROW()-3&lt;=計算用!$Q$14,ROW()-3,"")</f>
        <v/>
      </c>
      <c r="R39" s="26">
        <f>IF($Q39="","",手直し!M41)</f>
        <v/>
      </c>
      <c r="S39" s="26">
        <f>IF($Q39="","",手直し!N41)</f>
        <v/>
      </c>
      <c r="T39">
        <f>IF($Q39="","",手直し!F41&amp;"")</f>
        <v/>
      </c>
      <c r="U39" s="26">
        <f>IF(OR($Q39="",手直し!F41=""),"",IFERROR(INDEX(計算用!$M$2:$M$186,MATCH("女"&amp;手直し!F41,計算用!$AO$2:$AO$186,0)),"？"))</f>
        <v/>
      </c>
      <c r="V39" s="26">
        <f>IF(OR($Q39="",手直し!F41=""),"",IFERROR(INDEX(計算用!$I$2:$I$186,MATCH("女"&amp;手直し!F41,計算用!$AO$2:$AO$186,0)),"？"))</f>
        <v/>
      </c>
      <c r="W39">
        <f>IF($Q39="","",手直し!G41&amp;"")</f>
        <v/>
      </c>
      <c r="X39" s="26">
        <f>IF(OR($Q39="",手直し!G41=""),"",IFERROR(INDEX(計算用!$M$2:$M$186,MATCH("女"&amp;手直し!G41,計算用!$AO$2:$AO$186,0)),"？"))</f>
        <v/>
      </c>
      <c r="Y39" s="26">
        <f>IF(OR($Q39="",手直し!G41=""),"",IFERROR(INDEX(計算用!$I$2:$I$186,MATCH("女"&amp;手直し!G41,計算用!$AO$2:$AO$186,0)),"？"))</f>
        <v/>
      </c>
      <c r="Z39">
        <f>IF($Q39="","",手直し!H41&amp;"")</f>
        <v/>
      </c>
      <c r="AA39" s="26">
        <f>IF(OR($Q39="",手直し!H41=""),"",IFERROR(INDEX(計算用!$M$2:$M$186,MATCH("女"&amp;手直し!H41,計算用!$AO$2:$AO$186,0)),"？"))</f>
        <v/>
      </c>
      <c r="AB39" s="26">
        <f>IF(OR($Q39="",手直し!H41=""),"",IFERROR(INDEX(計算用!$I$2:$I$186,MATCH("女"&amp;手直し!H41,計算用!$AO$2:$AO$186,0)),"？"))</f>
        <v/>
      </c>
      <c r="AC39">
        <f>IF($Q39="","",手直し!I41&amp;"")</f>
        <v/>
      </c>
      <c r="AD39" s="26">
        <f>IF(OR($Q39="",手直し!I41=""),"",IFERROR(INDEX(計算用!$M$2:$M$186,MATCH("女"&amp;手直し!I41,計算用!$AO$2:$AO$186,0)),"？"))</f>
        <v/>
      </c>
      <c r="AE39" s="26">
        <f>IF(OR($Q39="",手直し!I41=""),"",IFERROR(INDEX(計算用!$I$2:$I$186,MATCH("女"&amp;手直し!I41,計算用!$AO$2:$AO$186,0)),"？"))</f>
        <v/>
      </c>
    </row>
    <row r="40">
      <c r="A40" s="26">
        <f>IF(ROW()-3&lt;=計算用!$Q$13,ROW()-3,"")</f>
        <v/>
      </c>
      <c r="B40" s="26">
        <f>IF($A40="","",手直し!K42)</f>
        <v/>
      </c>
      <c r="C40" s="26">
        <f>IF($A40="","",手直し!L42)</f>
        <v/>
      </c>
      <c r="D40">
        <f>IF($A40="","",手直し!B42&amp;"")</f>
        <v/>
      </c>
      <c r="E40" s="26">
        <f>IF(OR($A40="",手直し!B42=""),"",IFERROR(INDEX(計算用!$M$2:$M$186,MATCH("男"&amp;手直し!B42,計算用!$AO$2:$AO$186,0)),"？"))</f>
        <v/>
      </c>
      <c r="F40" s="26">
        <f>IF(OR($A40="",手直し!B42=""),"",IFERROR(INDEX(計算用!$I$2:$I$186,MATCH("男"&amp;手直し!B42,計算用!$AO$2:$AO$186,0)),"？"))</f>
        <v/>
      </c>
      <c r="G40">
        <f>IF($A40="","",手直し!C42&amp;"")</f>
        <v/>
      </c>
      <c r="H40" s="26">
        <f>IF(OR($A40="",手直し!C42=""),"",IFERROR(INDEX(計算用!$M$2:$M$186,MATCH("男"&amp;手直し!C42,計算用!$AO$2:$AO$186,0)),"？"))</f>
        <v/>
      </c>
      <c r="I40" s="26">
        <f>IF(OR($A40="",手直し!C42=""),"",IFERROR(INDEX(計算用!$I$2:$I$186,MATCH("男"&amp;手直し!C42,計算用!$AO$2:$AO$186,0)),"？"))</f>
        <v/>
      </c>
      <c r="J40">
        <f>IF($A40="","",手直し!D42&amp;"")</f>
        <v/>
      </c>
      <c r="K40" s="26">
        <f>IF(OR($A40="",手直し!D42=""),"",IFERROR(INDEX(計算用!$M$2:$M$186,MATCH("男"&amp;手直し!D42,計算用!$AO$2:$AO$186,0)),"？"))</f>
        <v/>
      </c>
      <c r="L40" s="26">
        <f>IF(OR($A40="",手直し!D42=""),"",IFERROR(INDEX(計算用!$I$2:$I$186,MATCH("男"&amp;手直し!D42,計算用!$AO$2:$AO$186,0)),"？"))</f>
        <v/>
      </c>
      <c r="M40">
        <f>IF($A40="","",手直し!E42&amp;"")</f>
        <v/>
      </c>
      <c r="N40" s="26">
        <f>IF(OR($A40="",手直し!E42=""),"",IFERROR(INDEX(計算用!$M$2:$M$186,MATCH("男"&amp;手直し!E42,計算用!$AO$2:$AO$186,0)),"？"))</f>
        <v/>
      </c>
      <c r="O40" s="26">
        <f>IF(OR($A40="",手直し!E42=""),"",IFERROR(INDEX(計算用!$I$2:$I$186,MATCH("男"&amp;手直し!E42,計算用!$AO$2:$AO$186,0)),"？"))</f>
        <v/>
      </c>
      <c r="Q40" s="26">
        <f>IF(ROW()-3&lt;=計算用!$Q$14,ROW()-3,"")</f>
        <v/>
      </c>
      <c r="R40" s="26">
        <f>IF($Q40="","",手直し!M42)</f>
        <v/>
      </c>
      <c r="S40" s="26">
        <f>IF($Q40="","",手直し!N42)</f>
        <v/>
      </c>
      <c r="T40">
        <f>IF($Q40="","",手直し!F42&amp;"")</f>
        <v/>
      </c>
      <c r="U40" s="26">
        <f>IF(OR($Q40="",手直し!F42=""),"",IFERROR(INDEX(計算用!$M$2:$M$186,MATCH("女"&amp;手直し!F42,計算用!$AO$2:$AO$186,0)),"？"))</f>
        <v/>
      </c>
      <c r="V40" s="26">
        <f>IF(OR($Q40="",手直し!F42=""),"",IFERROR(INDEX(計算用!$I$2:$I$186,MATCH("女"&amp;手直し!F42,計算用!$AO$2:$AO$186,0)),"？"))</f>
        <v/>
      </c>
      <c r="W40">
        <f>IF($Q40="","",手直し!G42&amp;"")</f>
        <v/>
      </c>
      <c r="X40" s="26">
        <f>IF(OR($Q40="",手直し!G42=""),"",IFERROR(INDEX(計算用!$M$2:$M$186,MATCH("女"&amp;手直し!G42,計算用!$AO$2:$AO$186,0)),"？"))</f>
        <v/>
      </c>
      <c r="Y40" s="26">
        <f>IF(OR($Q40="",手直し!G42=""),"",IFERROR(INDEX(計算用!$I$2:$I$186,MATCH("女"&amp;手直し!G42,計算用!$AO$2:$AO$186,0)),"？"))</f>
        <v/>
      </c>
      <c r="Z40">
        <f>IF($Q40="","",手直し!H42&amp;"")</f>
        <v/>
      </c>
      <c r="AA40" s="26">
        <f>IF(OR($Q40="",手直し!H42=""),"",IFERROR(INDEX(計算用!$M$2:$M$186,MATCH("女"&amp;手直し!H42,計算用!$AO$2:$AO$186,0)),"？"))</f>
        <v/>
      </c>
      <c r="AB40" s="26">
        <f>IF(OR($Q40="",手直し!H42=""),"",IFERROR(INDEX(計算用!$I$2:$I$186,MATCH("女"&amp;手直し!H42,計算用!$AO$2:$AO$186,0)),"？"))</f>
        <v/>
      </c>
      <c r="AC40">
        <f>IF($Q40="","",手直し!I42&amp;"")</f>
        <v/>
      </c>
      <c r="AD40" s="26">
        <f>IF(OR($Q40="",手直し!I42=""),"",IFERROR(INDEX(計算用!$M$2:$M$186,MATCH("女"&amp;手直し!I42,計算用!$AO$2:$AO$186,0)),"？"))</f>
        <v/>
      </c>
      <c r="AE40" s="26">
        <f>IF(OR($Q40="",手直し!I42=""),"",IFERROR(INDEX(計算用!$I$2:$I$186,MATCH("女"&amp;手直し!I42,計算用!$AO$2:$AO$186,0)),"？"))</f>
        <v/>
      </c>
    </row>
    <row r="41">
      <c r="A41" s="26">
        <f>IF(ROW()-3&lt;=計算用!$Q$13,ROW()-3,"")</f>
        <v/>
      </c>
      <c r="B41" s="26">
        <f>IF($A41="","",手直し!K43)</f>
        <v/>
      </c>
      <c r="C41" s="26">
        <f>IF($A41="","",手直し!L43)</f>
        <v/>
      </c>
      <c r="D41">
        <f>IF($A41="","",手直し!B43&amp;"")</f>
        <v/>
      </c>
      <c r="E41" s="26">
        <f>IF(OR($A41="",手直し!B43=""),"",IFERROR(INDEX(計算用!$M$2:$M$186,MATCH("男"&amp;手直し!B43,計算用!$AO$2:$AO$186,0)),"？"))</f>
        <v/>
      </c>
      <c r="F41" s="26">
        <f>IF(OR($A41="",手直し!B43=""),"",IFERROR(INDEX(計算用!$I$2:$I$186,MATCH("男"&amp;手直し!B43,計算用!$AO$2:$AO$186,0)),"？"))</f>
        <v/>
      </c>
      <c r="G41">
        <f>IF($A41="","",手直し!C43&amp;"")</f>
        <v/>
      </c>
      <c r="H41" s="26">
        <f>IF(OR($A41="",手直し!C43=""),"",IFERROR(INDEX(計算用!$M$2:$M$186,MATCH("男"&amp;手直し!C43,計算用!$AO$2:$AO$186,0)),"？"))</f>
        <v/>
      </c>
      <c r="I41" s="26">
        <f>IF(OR($A41="",手直し!C43=""),"",IFERROR(INDEX(計算用!$I$2:$I$186,MATCH("男"&amp;手直し!C43,計算用!$AO$2:$AO$186,0)),"？"))</f>
        <v/>
      </c>
      <c r="J41">
        <f>IF($A41="","",手直し!D43&amp;"")</f>
        <v/>
      </c>
      <c r="K41" s="26">
        <f>IF(OR($A41="",手直し!D43=""),"",IFERROR(INDEX(計算用!$M$2:$M$186,MATCH("男"&amp;手直し!D43,計算用!$AO$2:$AO$186,0)),"？"))</f>
        <v/>
      </c>
      <c r="L41" s="26">
        <f>IF(OR($A41="",手直し!D43=""),"",IFERROR(INDEX(計算用!$I$2:$I$186,MATCH("男"&amp;手直し!D43,計算用!$AO$2:$AO$186,0)),"？"))</f>
        <v/>
      </c>
      <c r="M41">
        <f>IF($A41="","",手直し!E43&amp;"")</f>
        <v/>
      </c>
      <c r="N41" s="26">
        <f>IF(OR($A41="",手直し!E43=""),"",IFERROR(INDEX(計算用!$M$2:$M$186,MATCH("男"&amp;手直し!E43,計算用!$AO$2:$AO$186,0)),"？"))</f>
        <v/>
      </c>
      <c r="O41" s="26">
        <f>IF(OR($A41="",手直し!E43=""),"",IFERROR(INDEX(計算用!$I$2:$I$186,MATCH("男"&amp;手直し!E43,計算用!$AO$2:$AO$186,0)),"？"))</f>
        <v/>
      </c>
      <c r="Q41" s="26">
        <f>IF(ROW()-3&lt;=計算用!$Q$14,ROW()-3,"")</f>
        <v/>
      </c>
      <c r="R41" s="26">
        <f>IF($Q41="","",手直し!M43)</f>
        <v/>
      </c>
      <c r="S41" s="26">
        <f>IF($Q41="","",手直し!N43)</f>
        <v/>
      </c>
      <c r="T41">
        <f>IF($Q41="","",手直し!F43&amp;"")</f>
        <v/>
      </c>
      <c r="U41" s="26">
        <f>IF(OR($Q41="",手直し!F43=""),"",IFERROR(INDEX(計算用!$M$2:$M$186,MATCH("女"&amp;手直し!F43,計算用!$AO$2:$AO$186,0)),"？"))</f>
        <v/>
      </c>
      <c r="V41" s="26">
        <f>IF(OR($Q41="",手直し!F43=""),"",IFERROR(INDEX(計算用!$I$2:$I$186,MATCH("女"&amp;手直し!F43,計算用!$AO$2:$AO$186,0)),"？"))</f>
        <v/>
      </c>
      <c r="W41">
        <f>IF($Q41="","",手直し!G43&amp;"")</f>
        <v/>
      </c>
      <c r="X41" s="26">
        <f>IF(OR($Q41="",手直し!G43=""),"",IFERROR(INDEX(計算用!$M$2:$M$186,MATCH("女"&amp;手直し!G43,計算用!$AO$2:$AO$186,0)),"？"))</f>
        <v/>
      </c>
      <c r="Y41" s="26">
        <f>IF(OR($Q41="",手直し!G43=""),"",IFERROR(INDEX(計算用!$I$2:$I$186,MATCH("女"&amp;手直し!G43,計算用!$AO$2:$AO$186,0)),"？"))</f>
        <v/>
      </c>
      <c r="Z41">
        <f>IF($Q41="","",手直し!H43&amp;"")</f>
        <v/>
      </c>
      <c r="AA41" s="26">
        <f>IF(OR($Q41="",手直し!H43=""),"",IFERROR(INDEX(計算用!$M$2:$M$186,MATCH("女"&amp;手直し!H43,計算用!$AO$2:$AO$186,0)),"？"))</f>
        <v/>
      </c>
      <c r="AB41" s="26">
        <f>IF(OR($Q41="",手直し!H43=""),"",IFERROR(INDEX(計算用!$I$2:$I$186,MATCH("女"&amp;手直し!H43,計算用!$AO$2:$AO$186,0)),"？"))</f>
        <v/>
      </c>
      <c r="AC41">
        <f>IF($Q41="","",手直し!I43&amp;"")</f>
        <v/>
      </c>
      <c r="AD41" s="26">
        <f>IF(OR($Q41="",手直し!I43=""),"",IFERROR(INDEX(計算用!$M$2:$M$186,MATCH("女"&amp;手直し!I43,計算用!$AO$2:$AO$186,0)),"？"))</f>
        <v/>
      </c>
      <c r="AE41" s="26">
        <f>IF(OR($Q41="",手直し!I43=""),"",IFERROR(INDEX(計算用!$I$2:$I$186,MATCH("女"&amp;手直し!I43,計算用!$AO$2:$AO$186,0)),"？"))</f>
        <v/>
      </c>
    </row>
    <row r="42">
      <c r="A42" s="26">
        <f>IF(ROW()-3&lt;=計算用!$Q$13,ROW()-3,"")</f>
        <v/>
      </c>
      <c r="B42" s="26">
        <f>IF($A42="","",手直し!K44)</f>
        <v/>
      </c>
      <c r="C42" s="26">
        <f>IF($A42="","",手直し!L44)</f>
        <v/>
      </c>
      <c r="D42">
        <f>IF($A42="","",手直し!B44&amp;"")</f>
        <v/>
      </c>
      <c r="E42" s="26">
        <f>IF(OR($A42="",手直し!B44=""),"",IFERROR(INDEX(計算用!$M$2:$M$186,MATCH("男"&amp;手直し!B44,計算用!$AO$2:$AO$186,0)),"？"))</f>
        <v/>
      </c>
      <c r="F42" s="26">
        <f>IF(OR($A42="",手直し!B44=""),"",IFERROR(INDEX(計算用!$I$2:$I$186,MATCH("男"&amp;手直し!B44,計算用!$AO$2:$AO$186,0)),"？"))</f>
        <v/>
      </c>
      <c r="G42">
        <f>IF($A42="","",手直し!C44&amp;"")</f>
        <v/>
      </c>
      <c r="H42" s="26">
        <f>IF(OR($A42="",手直し!C44=""),"",IFERROR(INDEX(計算用!$M$2:$M$186,MATCH("男"&amp;手直し!C44,計算用!$AO$2:$AO$186,0)),"？"))</f>
        <v/>
      </c>
      <c r="I42" s="26">
        <f>IF(OR($A42="",手直し!C44=""),"",IFERROR(INDEX(計算用!$I$2:$I$186,MATCH("男"&amp;手直し!C44,計算用!$AO$2:$AO$186,0)),"？"))</f>
        <v/>
      </c>
      <c r="J42">
        <f>IF($A42="","",手直し!D44&amp;"")</f>
        <v/>
      </c>
      <c r="K42" s="26">
        <f>IF(OR($A42="",手直し!D44=""),"",IFERROR(INDEX(計算用!$M$2:$M$186,MATCH("男"&amp;手直し!D44,計算用!$AO$2:$AO$186,0)),"？"))</f>
        <v/>
      </c>
      <c r="L42" s="26">
        <f>IF(OR($A42="",手直し!D44=""),"",IFERROR(INDEX(計算用!$I$2:$I$186,MATCH("男"&amp;手直し!D44,計算用!$AO$2:$AO$186,0)),"？"))</f>
        <v/>
      </c>
      <c r="M42">
        <f>IF($A42="","",手直し!E44&amp;"")</f>
        <v/>
      </c>
      <c r="N42" s="26">
        <f>IF(OR($A42="",手直し!E44=""),"",IFERROR(INDEX(計算用!$M$2:$M$186,MATCH("男"&amp;手直し!E44,計算用!$AO$2:$AO$186,0)),"？"))</f>
        <v/>
      </c>
      <c r="O42" s="26">
        <f>IF(OR($A42="",手直し!E44=""),"",IFERROR(INDEX(計算用!$I$2:$I$186,MATCH("男"&amp;手直し!E44,計算用!$AO$2:$AO$186,0)),"？"))</f>
        <v/>
      </c>
      <c r="Q42" s="26">
        <f>IF(ROW()-3&lt;=計算用!$Q$14,ROW()-3,"")</f>
        <v/>
      </c>
      <c r="R42" s="26">
        <f>IF($Q42="","",手直し!M44)</f>
        <v/>
      </c>
      <c r="S42" s="26">
        <f>IF($Q42="","",手直し!N44)</f>
        <v/>
      </c>
      <c r="T42">
        <f>IF($Q42="","",手直し!F44&amp;"")</f>
        <v/>
      </c>
      <c r="U42" s="26">
        <f>IF(OR($Q42="",手直し!F44=""),"",IFERROR(INDEX(計算用!$M$2:$M$186,MATCH("女"&amp;手直し!F44,計算用!$AO$2:$AO$186,0)),"？"))</f>
        <v/>
      </c>
      <c r="V42" s="26">
        <f>IF(OR($Q42="",手直し!F44=""),"",IFERROR(INDEX(計算用!$I$2:$I$186,MATCH("女"&amp;手直し!F44,計算用!$AO$2:$AO$186,0)),"？"))</f>
        <v/>
      </c>
      <c r="W42">
        <f>IF($Q42="","",手直し!G44&amp;"")</f>
        <v/>
      </c>
      <c r="X42" s="26">
        <f>IF(OR($Q42="",手直し!G44=""),"",IFERROR(INDEX(計算用!$M$2:$M$186,MATCH("女"&amp;手直し!G44,計算用!$AO$2:$AO$186,0)),"？"))</f>
        <v/>
      </c>
      <c r="Y42" s="26">
        <f>IF(OR($Q42="",手直し!G44=""),"",IFERROR(INDEX(計算用!$I$2:$I$186,MATCH("女"&amp;手直し!G44,計算用!$AO$2:$AO$186,0)),"？"))</f>
        <v/>
      </c>
      <c r="Z42">
        <f>IF($Q42="","",手直し!H44&amp;"")</f>
        <v/>
      </c>
      <c r="AA42" s="26">
        <f>IF(OR($Q42="",手直し!H44=""),"",IFERROR(INDEX(計算用!$M$2:$M$186,MATCH("女"&amp;手直し!H44,計算用!$AO$2:$AO$186,0)),"？"))</f>
        <v/>
      </c>
      <c r="AB42" s="26">
        <f>IF(OR($Q42="",手直し!H44=""),"",IFERROR(INDEX(計算用!$I$2:$I$186,MATCH("女"&amp;手直し!H44,計算用!$AO$2:$AO$186,0)),"？"))</f>
        <v/>
      </c>
      <c r="AC42">
        <f>IF($Q42="","",手直し!I44&amp;"")</f>
        <v/>
      </c>
      <c r="AD42" s="26">
        <f>IF(OR($Q42="",手直し!I44=""),"",IFERROR(INDEX(計算用!$M$2:$M$186,MATCH("女"&amp;手直し!I44,計算用!$AO$2:$AO$186,0)),"？"))</f>
        <v/>
      </c>
      <c r="AE42" s="26">
        <f>IF(OR($Q42="",手直し!I44=""),"",IFERROR(INDEX(計算用!$I$2:$I$186,MATCH("女"&amp;手直し!I44,計算用!$AO$2:$AO$186,0)),"？"))</f>
        <v/>
      </c>
    </row>
    <row r="43">
      <c r="A43" s="26">
        <f>IF(ROW()-3&lt;=計算用!$Q$13,ROW()-3,"")</f>
        <v/>
      </c>
      <c r="B43" s="26">
        <f>IF($A43="","",手直し!K45)</f>
        <v/>
      </c>
      <c r="C43" s="26">
        <f>IF($A43="","",手直し!L45)</f>
        <v/>
      </c>
      <c r="D43">
        <f>IF($A43="","",手直し!B45&amp;"")</f>
        <v/>
      </c>
      <c r="E43" s="26">
        <f>IF(OR($A43="",手直し!B45=""),"",IFERROR(INDEX(計算用!$M$2:$M$186,MATCH("男"&amp;手直し!B45,計算用!$AO$2:$AO$186,0)),"？"))</f>
        <v/>
      </c>
      <c r="F43" s="26">
        <f>IF(OR($A43="",手直し!B45=""),"",IFERROR(INDEX(計算用!$I$2:$I$186,MATCH("男"&amp;手直し!B45,計算用!$AO$2:$AO$186,0)),"？"))</f>
        <v/>
      </c>
      <c r="G43">
        <f>IF($A43="","",手直し!C45&amp;"")</f>
        <v/>
      </c>
      <c r="H43" s="26">
        <f>IF(OR($A43="",手直し!C45=""),"",IFERROR(INDEX(計算用!$M$2:$M$186,MATCH("男"&amp;手直し!C45,計算用!$AO$2:$AO$186,0)),"？"))</f>
        <v/>
      </c>
      <c r="I43" s="26">
        <f>IF(OR($A43="",手直し!C45=""),"",IFERROR(INDEX(計算用!$I$2:$I$186,MATCH("男"&amp;手直し!C45,計算用!$AO$2:$AO$186,0)),"？"))</f>
        <v/>
      </c>
      <c r="J43">
        <f>IF($A43="","",手直し!D45&amp;"")</f>
        <v/>
      </c>
      <c r="K43" s="26">
        <f>IF(OR($A43="",手直し!D45=""),"",IFERROR(INDEX(計算用!$M$2:$M$186,MATCH("男"&amp;手直し!D45,計算用!$AO$2:$AO$186,0)),"？"))</f>
        <v/>
      </c>
      <c r="L43" s="26">
        <f>IF(OR($A43="",手直し!D45=""),"",IFERROR(INDEX(計算用!$I$2:$I$186,MATCH("男"&amp;手直し!D45,計算用!$AO$2:$AO$186,0)),"？"))</f>
        <v/>
      </c>
      <c r="M43">
        <f>IF($A43="","",手直し!E45&amp;"")</f>
        <v/>
      </c>
      <c r="N43" s="26">
        <f>IF(OR($A43="",手直し!E45=""),"",IFERROR(INDEX(計算用!$M$2:$M$186,MATCH("男"&amp;手直し!E45,計算用!$AO$2:$AO$186,0)),"？"))</f>
        <v/>
      </c>
      <c r="O43" s="26">
        <f>IF(OR($A43="",手直し!E45=""),"",IFERROR(INDEX(計算用!$I$2:$I$186,MATCH("男"&amp;手直し!E45,計算用!$AO$2:$AO$186,0)),"？"))</f>
        <v/>
      </c>
      <c r="Q43" s="26">
        <f>IF(ROW()-3&lt;=計算用!$Q$14,ROW()-3,"")</f>
        <v/>
      </c>
      <c r="R43" s="26">
        <f>IF($Q43="","",手直し!M45)</f>
        <v/>
      </c>
      <c r="S43" s="26">
        <f>IF($Q43="","",手直し!N45)</f>
        <v/>
      </c>
      <c r="T43">
        <f>IF($Q43="","",手直し!F45&amp;"")</f>
        <v/>
      </c>
      <c r="U43" s="26">
        <f>IF(OR($Q43="",手直し!F45=""),"",IFERROR(INDEX(計算用!$M$2:$M$186,MATCH("女"&amp;手直し!F45,計算用!$AO$2:$AO$186,0)),"？"))</f>
        <v/>
      </c>
      <c r="V43" s="26">
        <f>IF(OR($Q43="",手直し!F45=""),"",IFERROR(INDEX(計算用!$I$2:$I$186,MATCH("女"&amp;手直し!F45,計算用!$AO$2:$AO$186,0)),"？"))</f>
        <v/>
      </c>
      <c r="W43">
        <f>IF($Q43="","",手直し!G45&amp;"")</f>
        <v/>
      </c>
      <c r="X43" s="26">
        <f>IF(OR($Q43="",手直し!G45=""),"",IFERROR(INDEX(計算用!$M$2:$M$186,MATCH("女"&amp;手直し!G45,計算用!$AO$2:$AO$186,0)),"？"))</f>
        <v/>
      </c>
      <c r="Y43" s="26">
        <f>IF(OR($Q43="",手直し!G45=""),"",IFERROR(INDEX(計算用!$I$2:$I$186,MATCH("女"&amp;手直し!G45,計算用!$AO$2:$AO$186,0)),"？"))</f>
        <v/>
      </c>
      <c r="Z43">
        <f>IF($Q43="","",手直し!H45&amp;"")</f>
        <v/>
      </c>
      <c r="AA43" s="26">
        <f>IF(OR($Q43="",手直し!H45=""),"",IFERROR(INDEX(計算用!$M$2:$M$186,MATCH("女"&amp;手直し!H45,計算用!$AO$2:$AO$186,0)),"？"))</f>
        <v/>
      </c>
      <c r="AB43" s="26">
        <f>IF(OR($Q43="",手直し!H45=""),"",IFERROR(INDEX(計算用!$I$2:$I$186,MATCH("女"&amp;手直し!H45,計算用!$AO$2:$AO$186,0)),"？"))</f>
        <v/>
      </c>
      <c r="AC43">
        <f>IF($Q43="","",手直し!I45&amp;"")</f>
        <v/>
      </c>
      <c r="AD43" s="26">
        <f>IF(OR($Q43="",手直し!I45=""),"",IFERROR(INDEX(計算用!$M$2:$M$186,MATCH("女"&amp;手直し!I45,計算用!$AO$2:$AO$186,0)),"？"))</f>
        <v/>
      </c>
      <c r="AE43" s="26">
        <f>IF(OR($Q43="",手直し!I45=""),"",IFERROR(INDEX(計算用!$I$2:$I$186,MATCH("女"&amp;手直し!I45,計算用!$AO$2:$AO$186,0)),"？"))</f>
        <v/>
      </c>
    </row>
    <row r="44">
      <c r="A44" s="26">
        <f>IF(ROW()-3&lt;=計算用!$Q$13,ROW()-3,"")</f>
        <v/>
      </c>
      <c r="B44" s="26">
        <f>IF($A44="","",手直し!K46)</f>
        <v/>
      </c>
      <c r="C44" s="26">
        <f>IF($A44="","",手直し!L46)</f>
        <v/>
      </c>
      <c r="D44">
        <f>IF($A44="","",手直し!B46&amp;"")</f>
        <v/>
      </c>
      <c r="E44" s="26">
        <f>IF(OR($A44="",手直し!B46=""),"",IFERROR(INDEX(計算用!$M$2:$M$186,MATCH("男"&amp;手直し!B46,計算用!$AO$2:$AO$186,0)),"？"))</f>
        <v/>
      </c>
      <c r="F44" s="26">
        <f>IF(OR($A44="",手直し!B46=""),"",IFERROR(INDEX(計算用!$I$2:$I$186,MATCH("男"&amp;手直し!B46,計算用!$AO$2:$AO$186,0)),"？"))</f>
        <v/>
      </c>
      <c r="G44">
        <f>IF($A44="","",手直し!C46&amp;"")</f>
        <v/>
      </c>
      <c r="H44" s="26">
        <f>IF(OR($A44="",手直し!C46=""),"",IFERROR(INDEX(計算用!$M$2:$M$186,MATCH("男"&amp;手直し!C46,計算用!$AO$2:$AO$186,0)),"？"))</f>
        <v/>
      </c>
      <c r="I44" s="26">
        <f>IF(OR($A44="",手直し!C46=""),"",IFERROR(INDEX(計算用!$I$2:$I$186,MATCH("男"&amp;手直し!C46,計算用!$AO$2:$AO$186,0)),"？"))</f>
        <v/>
      </c>
      <c r="J44">
        <f>IF($A44="","",手直し!D46&amp;"")</f>
        <v/>
      </c>
      <c r="K44" s="26">
        <f>IF(OR($A44="",手直し!D46=""),"",IFERROR(INDEX(計算用!$M$2:$M$186,MATCH("男"&amp;手直し!D46,計算用!$AO$2:$AO$186,0)),"？"))</f>
        <v/>
      </c>
      <c r="L44" s="26">
        <f>IF(OR($A44="",手直し!D46=""),"",IFERROR(INDEX(計算用!$I$2:$I$186,MATCH("男"&amp;手直し!D46,計算用!$AO$2:$AO$186,0)),"？"))</f>
        <v/>
      </c>
      <c r="M44">
        <f>IF($A44="","",手直し!E46&amp;"")</f>
        <v/>
      </c>
      <c r="N44" s="26">
        <f>IF(OR($A44="",手直し!E46=""),"",IFERROR(INDEX(計算用!$M$2:$M$186,MATCH("男"&amp;手直し!E46,計算用!$AO$2:$AO$186,0)),"？"))</f>
        <v/>
      </c>
      <c r="O44" s="26">
        <f>IF(OR($A44="",手直し!E46=""),"",IFERROR(INDEX(計算用!$I$2:$I$186,MATCH("男"&amp;手直し!E46,計算用!$AO$2:$AO$186,0)),"？"))</f>
        <v/>
      </c>
      <c r="Q44" s="26">
        <f>IF(ROW()-3&lt;=計算用!$Q$14,ROW()-3,"")</f>
        <v/>
      </c>
      <c r="R44" s="26">
        <f>IF($Q44="","",手直し!M46)</f>
        <v/>
      </c>
      <c r="S44" s="26">
        <f>IF($Q44="","",手直し!N46)</f>
        <v/>
      </c>
      <c r="T44">
        <f>IF($Q44="","",手直し!F46&amp;"")</f>
        <v/>
      </c>
      <c r="U44" s="26">
        <f>IF(OR($Q44="",手直し!F46=""),"",IFERROR(INDEX(計算用!$M$2:$M$186,MATCH("女"&amp;手直し!F46,計算用!$AO$2:$AO$186,0)),"？"))</f>
        <v/>
      </c>
      <c r="V44" s="26">
        <f>IF(OR($Q44="",手直し!F46=""),"",IFERROR(INDEX(計算用!$I$2:$I$186,MATCH("女"&amp;手直し!F46,計算用!$AO$2:$AO$186,0)),"？"))</f>
        <v/>
      </c>
      <c r="W44">
        <f>IF($Q44="","",手直し!G46&amp;"")</f>
        <v/>
      </c>
      <c r="X44" s="26">
        <f>IF(OR($Q44="",手直し!G46=""),"",IFERROR(INDEX(計算用!$M$2:$M$186,MATCH("女"&amp;手直し!G46,計算用!$AO$2:$AO$186,0)),"？"))</f>
        <v/>
      </c>
      <c r="Y44" s="26">
        <f>IF(OR($Q44="",手直し!G46=""),"",IFERROR(INDEX(計算用!$I$2:$I$186,MATCH("女"&amp;手直し!G46,計算用!$AO$2:$AO$186,0)),"？"))</f>
        <v/>
      </c>
      <c r="Z44">
        <f>IF($Q44="","",手直し!H46&amp;"")</f>
        <v/>
      </c>
      <c r="AA44" s="26">
        <f>IF(OR($Q44="",手直し!H46=""),"",IFERROR(INDEX(計算用!$M$2:$M$186,MATCH("女"&amp;手直し!H46,計算用!$AO$2:$AO$186,0)),"？"))</f>
        <v/>
      </c>
      <c r="AB44" s="26">
        <f>IF(OR($Q44="",手直し!H46=""),"",IFERROR(INDEX(計算用!$I$2:$I$186,MATCH("女"&amp;手直し!H46,計算用!$AO$2:$AO$186,0)),"？"))</f>
        <v/>
      </c>
      <c r="AC44">
        <f>IF($Q44="","",手直し!I46&amp;"")</f>
        <v/>
      </c>
      <c r="AD44" s="26">
        <f>IF(OR($Q44="",手直し!I46=""),"",IFERROR(INDEX(計算用!$M$2:$M$186,MATCH("女"&amp;手直し!I46,計算用!$AO$2:$AO$186,0)),"？"))</f>
        <v/>
      </c>
      <c r="AE44" s="26">
        <f>IF(OR($Q44="",手直し!I46=""),"",IFERROR(INDEX(計算用!$I$2:$I$186,MATCH("女"&amp;手直し!I46,計算用!$AO$2:$AO$186,0)),"？"))</f>
        <v/>
      </c>
    </row>
    <row r="45">
      <c r="A45" s="26">
        <f>IF(ROW()-3&lt;=計算用!$Q$13,ROW()-3,"")</f>
        <v/>
      </c>
      <c r="B45" s="26">
        <f>IF($A45="","",手直し!K47)</f>
        <v/>
      </c>
      <c r="C45" s="26">
        <f>IF($A45="","",手直し!L47)</f>
        <v/>
      </c>
      <c r="D45">
        <f>IF($A45="","",手直し!B47&amp;"")</f>
        <v/>
      </c>
      <c r="E45" s="26">
        <f>IF(OR($A45="",手直し!B47=""),"",IFERROR(INDEX(計算用!$M$2:$M$186,MATCH("男"&amp;手直し!B47,計算用!$AO$2:$AO$186,0)),"？"))</f>
        <v/>
      </c>
      <c r="F45" s="26">
        <f>IF(OR($A45="",手直し!B47=""),"",IFERROR(INDEX(計算用!$I$2:$I$186,MATCH("男"&amp;手直し!B47,計算用!$AO$2:$AO$186,0)),"？"))</f>
        <v/>
      </c>
      <c r="G45">
        <f>IF($A45="","",手直し!C47&amp;"")</f>
        <v/>
      </c>
      <c r="H45" s="26">
        <f>IF(OR($A45="",手直し!C47=""),"",IFERROR(INDEX(計算用!$M$2:$M$186,MATCH("男"&amp;手直し!C47,計算用!$AO$2:$AO$186,0)),"？"))</f>
        <v/>
      </c>
      <c r="I45" s="26">
        <f>IF(OR($A45="",手直し!C47=""),"",IFERROR(INDEX(計算用!$I$2:$I$186,MATCH("男"&amp;手直し!C47,計算用!$AO$2:$AO$186,0)),"？"))</f>
        <v/>
      </c>
      <c r="J45">
        <f>IF($A45="","",手直し!D47&amp;"")</f>
        <v/>
      </c>
      <c r="K45" s="26">
        <f>IF(OR($A45="",手直し!D47=""),"",IFERROR(INDEX(計算用!$M$2:$M$186,MATCH("男"&amp;手直し!D47,計算用!$AO$2:$AO$186,0)),"？"))</f>
        <v/>
      </c>
      <c r="L45" s="26">
        <f>IF(OR($A45="",手直し!D47=""),"",IFERROR(INDEX(計算用!$I$2:$I$186,MATCH("男"&amp;手直し!D47,計算用!$AO$2:$AO$186,0)),"？"))</f>
        <v/>
      </c>
      <c r="M45">
        <f>IF($A45="","",手直し!E47&amp;"")</f>
        <v/>
      </c>
      <c r="N45" s="26">
        <f>IF(OR($A45="",手直し!E47=""),"",IFERROR(INDEX(計算用!$M$2:$M$186,MATCH("男"&amp;手直し!E47,計算用!$AO$2:$AO$186,0)),"？"))</f>
        <v/>
      </c>
      <c r="O45" s="26">
        <f>IF(OR($A45="",手直し!E47=""),"",IFERROR(INDEX(計算用!$I$2:$I$186,MATCH("男"&amp;手直し!E47,計算用!$AO$2:$AO$186,0)),"？"))</f>
        <v/>
      </c>
      <c r="Q45" s="26">
        <f>IF(ROW()-3&lt;=計算用!$Q$14,ROW()-3,"")</f>
        <v/>
      </c>
      <c r="R45" s="26">
        <f>IF($Q45="","",手直し!M47)</f>
        <v/>
      </c>
      <c r="S45" s="26">
        <f>IF($Q45="","",手直し!N47)</f>
        <v/>
      </c>
      <c r="T45">
        <f>IF($Q45="","",手直し!F47&amp;"")</f>
        <v/>
      </c>
      <c r="U45" s="26">
        <f>IF(OR($Q45="",手直し!F47=""),"",IFERROR(INDEX(計算用!$M$2:$M$186,MATCH("女"&amp;手直し!F47,計算用!$AO$2:$AO$186,0)),"？"))</f>
        <v/>
      </c>
      <c r="V45" s="26">
        <f>IF(OR($Q45="",手直し!F47=""),"",IFERROR(INDEX(計算用!$I$2:$I$186,MATCH("女"&amp;手直し!F47,計算用!$AO$2:$AO$186,0)),"？"))</f>
        <v/>
      </c>
      <c r="W45">
        <f>IF($Q45="","",手直し!G47&amp;"")</f>
        <v/>
      </c>
      <c r="X45" s="26">
        <f>IF(OR($Q45="",手直し!G47=""),"",IFERROR(INDEX(計算用!$M$2:$M$186,MATCH("女"&amp;手直し!G47,計算用!$AO$2:$AO$186,0)),"？"))</f>
        <v/>
      </c>
      <c r="Y45" s="26">
        <f>IF(OR($Q45="",手直し!G47=""),"",IFERROR(INDEX(計算用!$I$2:$I$186,MATCH("女"&amp;手直し!G47,計算用!$AO$2:$AO$186,0)),"？"))</f>
        <v/>
      </c>
      <c r="Z45">
        <f>IF($Q45="","",手直し!H47&amp;"")</f>
        <v/>
      </c>
      <c r="AA45" s="26">
        <f>IF(OR($Q45="",手直し!H47=""),"",IFERROR(INDEX(計算用!$M$2:$M$186,MATCH("女"&amp;手直し!H47,計算用!$AO$2:$AO$186,0)),"？"))</f>
        <v/>
      </c>
      <c r="AB45" s="26">
        <f>IF(OR($Q45="",手直し!H47=""),"",IFERROR(INDEX(計算用!$I$2:$I$186,MATCH("女"&amp;手直し!H47,計算用!$AO$2:$AO$186,0)),"？"))</f>
        <v/>
      </c>
      <c r="AC45">
        <f>IF($Q45="","",手直し!I47&amp;"")</f>
        <v/>
      </c>
      <c r="AD45" s="26">
        <f>IF(OR($Q45="",手直し!I47=""),"",IFERROR(INDEX(計算用!$M$2:$M$186,MATCH("女"&amp;手直し!I47,計算用!$AO$2:$AO$186,0)),"？"))</f>
        <v/>
      </c>
      <c r="AE45" s="26">
        <f>IF(OR($Q45="",手直し!I47=""),"",IFERROR(INDEX(計算用!$I$2:$I$186,MATCH("女"&amp;手直し!I47,計算用!$AO$2:$AO$186,0)),"？"))</f>
        <v/>
      </c>
    </row>
    <row r="46">
      <c r="A46" s="26">
        <f>IF(ROW()-3&lt;=計算用!$Q$13,ROW()-3,"")</f>
        <v/>
      </c>
      <c r="B46" s="26">
        <f>IF($A46="","",手直し!K48)</f>
        <v/>
      </c>
      <c r="C46" s="26">
        <f>IF($A46="","",手直し!L48)</f>
        <v/>
      </c>
      <c r="D46">
        <f>IF($A46="","",手直し!B48&amp;"")</f>
        <v/>
      </c>
      <c r="E46" s="26">
        <f>IF(OR($A46="",手直し!B48=""),"",IFERROR(INDEX(計算用!$M$2:$M$186,MATCH("男"&amp;手直し!B48,計算用!$AO$2:$AO$186,0)),"？"))</f>
        <v/>
      </c>
      <c r="F46" s="26">
        <f>IF(OR($A46="",手直し!B48=""),"",IFERROR(INDEX(計算用!$I$2:$I$186,MATCH("男"&amp;手直し!B48,計算用!$AO$2:$AO$186,0)),"？"))</f>
        <v/>
      </c>
      <c r="G46">
        <f>IF($A46="","",手直し!C48&amp;"")</f>
        <v/>
      </c>
      <c r="H46" s="26">
        <f>IF(OR($A46="",手直し!C48=""),"",IFERROR(INDEX(計算用!$M$2:$M$186,MATCH("男"&amp;手直し!C48,計算用!$AO$2:$AO$186,0)),"？"))</f>
        <v/>
      </c>
      <c r="I46" s="26">
        <f>IF(OR($A46="",手直し!C48=""),"",IFERROR(INDEX(計算用!$I$2:$I$186,MATCH("男"&amp;手直し!C48,計算用!$AO$2:$AO$186,0)),"？"))</f>
        <v/>
      </c>
      <c r="J46">
        <f>IF($A46="","",手直し!D48&amp;"")</f>
        <v/>
      </c>
      <c r="K46" s="26">
        <f>IF(OR($A46="",手直し!D48=""),"",IFERROR(INDEX(計算用!$M$2:$M$186,MATCH("男"&amp;手直し!D48,計算用!$AO$2:$AO$186,0)),"？"))</f>
        <v/>
      </c>
      <c r="L46" s="26">
        <f>IF(OR($A46="",手直し!D48=""),"",IFERROR(INDEX(計算用!$I$2:$I$186,MATCH("男"&amp;手直し!D48,計算用!$AO$2:$AO$186,0)),"？"))</f>
        <v/>
      </c>
      <c r="M46">
        <f>IF($A46="","",手直し!E48&amp;"")</f>
        <v/>
      </c>
      <c r="N46" s="26">
        <f>IF(OR($A46="",手直し!E48=""),"",IFERROR(INDEX(計算用!$M$2:$M$186,MATCH("男"&amp;手直し!E48,計算用!$AO$2:$AO$186,0)),"？"))</f>
        <v/>
      </c>
      <c r="O46" s="26">
        <f>IF(OR($A46="",手直し!E48=""),"",IFERROR(INDEX(計算用!$I$2:$I$186,MATCH("男"&amp;手直し!E48,計算用!$AO$2:$AO$186,0)),"？"))</f>
        <v/>
      </c>
      <c r="Q46" s="26">
        <f>IF(ROW()-3&lt;=計算用!$Q$14,ROW()-3,"")</f>
        <v/>
      </c>
      <c r="R46" s="26">
        <f>IF($Q46="","",手直し!M48)</f>
        <v/>
      </c>
      <c r="S46" s="26">
        <f>IF($Q46="","",手直し!N48)</f>
        <v/>
      </c>
      <c r="T46">
        <f>IF($Q46="","",手直し!F48&amp;"")</f>
        <v/>
      </c>
      <c r="U46" s="26">
        <f>IF(OR($Q46="",手直し!F48=""),"",IFERROR(INDEX(計算用!$M$2:$M$186,MATCH("女"&amp;手直し!F48,計算用!$AO$2:$AO$186,0)),"？"))</f>
        <v/>
      </c>
      <c r="V46" s="26">
        <f>IF(OR($Q46="",手直し!F48=""),"",IFERROR(INDEX(計算用!$I$2:$I$186,MATCH("女"&amp;手直し!F48,計算用!$AO$2:$AO$186,0)),"？"))</f>
        <v/>
      </c>
      <c r="W46">
        <f>IF($Q46="","",手直し!G48&amp;"")</f>
        <v/>
      </c>
      <c r="X46" s="26">
        <f>IF(OR($Q46="",手直し!G48=""),"",IFERROR(INDEX(計算用!$M$2:$M$186,MATCH("女"&amp;手直し!G48,計算用!$AO$2:$AO$186,0)),"？"))</f>
        <v/>
      </c>
      <c r="Y46" s="26">
        <f>IF(OR($Q46="",手直し!G48=""),"",IFERROR(INDEX(計算用!$I$2:$I$186,MATCH("女"&amp;手直し!G48,計算用!$AO$2:$AO$186,0)),"？"))</f>
        <v/>
      </c>
      <c r="Z46">
        <f>IF($Q46="","",手直し!H48&amp;"")</f>
        <v/>
      </c>
      <c r="AA46" s="26">
        <f>IF(OR($Q46="",手直し!H48=""),"",IFERROR(INDEX(計算用!$M$2:$M$186,MATCH("女"&amp;手直し!H48,計算用!$AO$2:$AO$186,0)),"？"))</f>
        <v/>
      </c>
      <c r="AB46" s="26">
        <f>IF(OR($Q46="",手直し!H48=""),"",IFERROR(INDEX(計算用!$I$2:$I$186,MATCH("女"&amp;手直し!H48,計算用!$AO$2:$AO$186,0)),"？"))</f>
        <v/>
      </c>
      <c r="AC46">
        <f>IF($Q46="","",手直し!I48&amp;"")</f>
        <v/>
      </c>
      <c r="AD46" s="26">
        <f>IF(OR($Q46="",手直し!I48=""),"",IFERROR(INDEX(計算用!$M$2:$M$186,MATCH("女"&amp;手直し!I48,計算用!$AO$2:$AO$186,0)),"？"))</f>
        <v/>
      </c>
      <c r="AE46" s="26">
        <f>IF(OR($Q46="",手直し!I48=""),"",IFERROR(INDEX(計算用!$I$2:$I$186,MATCH("女"&amp;手直し!I48,計算用!$AO$2:$AO$186,0)),"？"))</f>
        <v/>
      </c>
    </row>
    <row r="47">
      <c r="A47" s="26">
        <f>IF(ROW()-3&lt;=計算用!$Q$13,ROW()-3,"")</f>
        <v/>
      </c>
      <c r="B47" s="26">
        <f>IF($A47="","",手直し!K49)</f>
        <v/>
      </c>
      <c r="C47" s="26">
        <f>IF($A47="","",手直し!L49)</f>
        <v/>
      </c>
      <c r="D47">
        <f>IF($A47="","",手直し!B49&amp;"")</f>
        <v/>
      </c>
      <c r="E47" s="26">
        <f>IF(OR($A47="",手直し!B49=""),"",IFERROR(INDEX(計算用!$M$2:$M$186,MATCH("男"&amp;手直し!B49,計算用!$AO$2:$AO$186,0)),"？"))</f>
        <v/>
      </c>
      <c r="F47" s="26">
        <f>IF(OR($A47="",手直し!B49=""),"",IFERROR(INDEX(計算用!$I$2:$I$186,MATCH("男"&amp;手直し!B49,計算用!$AO$2:$AO$186,0)),"？"))</f>
        <v/>
      </c>
      <c r="G47">
        <f>IF($A47="","",手直し!C49&amp;"")</f>
        <v/>
      </c>
      <c r="H47" s="26">
        <f>IF(OR($A47="",手直し!C49=""),"",IFERROR(INDEX(計算用!$M$2:$M$186,MATCH("男"&amp;手直し!C49,計算用!$AO$2:$AO$186,0)),"？"))</f>
        <v/>
      </c>
      <c r="I47" s="26">
        <f>IF(OR($A47="",手直し!C49=""),"",IFERROR(INDEX(計算用!$I$2:$I$186,MATCH("男"&amp;手直し!C49,計算用!$AO$2:$AO$186,0)),"？"))</f>
        <v/>
      </c>
      <c r="J47">
        <f>IF($A47="","",手直し!D49&amp;"")</f>
        <v/>
      </c>
      <c r="K47" s="26">
        <f>IF(OR($A47="",手直し!D49=""),"",IFERROR(INDEX(計算用!$M$2:$M$186,MATCH("男"&amp;手直し!D49,計算用!$AO$2:$AO$186,0)),"？"))</f>
        <v/>
      </c>
      <c r="L47" s="26">
        <f>IF(OR($A47="",手直し!D49=""),"",IFERROR(INDEX(計算用!$I$2:$I$186,MATCH("男"&amp;手直し!D49,計算用!$AO$2:$AO$186,0)),"？"))</f>
        <v/>
      </c>
      <c r="M47">
        <f>IF($A47="","",手直し!E49&amp;"")</f>
        <v/>
      </c>
      <c r="N47" s="26">
        <f>IF(OR($A47="",手直し!E49=""),"",IFERROR(INDEX(計算用!$M$2:$M$186,MATCH("男"&amp;手直し!E49,計算用!$AO$2:$AO$186,0)),"？"))</f>
        <v/>
      </c>
      <c r="O47" s="26">
        <f>IF(OR($A47="",手直し!E49=""),"",IFERROR(INDEX(計算用!$I$2:$I$186,MATCH("男"&amp;手直し!E49,計算用!$AO$2:$AO$186,0)),"？"))</f>
        <v/>
      </c>
      <c r="Q47" s="26">
        <f>IF(ROW()-3&lt;=計算用!$Q$14,ROW()-3,"")</f>
        <v/>
      </c>
      <c r="R47" s="26">
        <f>IF($Q47="","",手直し!M49)</f>
        <v/>
      </c>
      <c r="S47" s="26">
        <f>IF($Q47="","",手直し!N49)</f>
        <v/>
      </c>
      <c r="T47">
        <f>IF($Q47="","",手直し!F49&amp;"")</f>
        <v/>
      </c>
      <c r="U47" s="26">
        <f>IF(OR($Q47="",手直し!F49=""),"",IFERROR(INDEX(計算用!$M$2:$M$186,MATCH("女"&amp;手直し!F49,計算用!$AO$2:$AO$186,0)),"？"))</f>
        <v/>
      </c>
      <c r="V47" s="26">
        <f>IF(OR($Q47="",手直し!F49=""),"",IFERROR(INDEX(計算用!$I$2:$I$186,MATCH("女"&amp;手直し!F49,計算用!$AO$2:$AO$186,0)),"？"))</f>
        <v/>
      </c>
      <c r="W47">
        <f>IF($Q47="","",手直し!G49&amp;"")</f>
        <v/>
      </c>
      <c r="X47" s="26">
        <f>IF(OR($Q47="",手直し!G49=""),"",IFERROR(INDEX(計算用!$M$2:$M$186,MATCH("女"&amp;手直し!G49,計算用!$AO$2:$AO$186,0)),"？"))</f>
        <v/>
      </c>
      <c r="Y47" s="26">
        <f>IF(OR($Q47="",手直し!G49=""),"",IFERROR(INDEX(計算用!$I$2:$I$186,MATCH("女"&amp;手直し!G49,計算用!$AO$2:$AO$186,0)),"？"))</f>
        <v/>
      </c>
      <c r="Z47">
        <f>IF($Q47="","",手直し!H49&amp;"")</f>
        <v/>
      </c>
      <c r="AA47" s="26">
        <f>IF(OR($Q47="",手直し!H49=""),"",IFERROR(INDEX(計算用!$M$2:$M$186,MATCH("女"&amp;手直し!H49,計算用!$AO$2:$AO$186,0)),"？"))</f>
        <v/>
      </c>
      <c r="AB47" s="26">
        <f>IF(OR($Q47="",手直し!H49=""),"",IFERROR(INDEX(計算用!$I$2:$I$186,MATCH("女"&amp;手直し!H49,計算用!$AO$2:$AO$186,0)),"？"))</f>
        <v/>
      </c>
      <c r="AC47">
        <f>IF($Q47="","",手直し!I49&amp;"")</f>
        <v/>
      </c>
      <c r="AD47" s="26">
        <f>IF(OR($Q47="",手直し!I49=""),"",IFERROR(INDEX(計算用!$M$2:$M$186,MATCH("女"&amp;手直し!I49,計算用!$AO$2:$AO$186,0)),"？"))</f>
        <v/>
      </c>
      <c r="AE47" s="26">
        <f>IF(OR($Q47="",手直し!I49=""),"",IFERROR(INDEX(計算用!$I$2:$I$186,MATCH("女"&amp;手直し!I49,計算用!$AO$2:$AO$186,0)),"？"))</f>
        <v/>
      </c>
    </row>
    <row r="48">
      <c r="A48" s="26">
        <f>IF(ROW()-3&lt;=計算用!$Q$13,ROW()-3,"")</f>
        <v/>
      </c>
      <c r="B48" s="26">
        <f>IF($A48="","",手直し!K50)</f>
        <v/>
      </c>
      <c r="C48" s="26">
        <f>IF($A48="","",手直し!L50)</f>
        <v/>
      </c>
      <c r="D48">
        <f>IF($A48="","",手直し!B50&amp;"")</f>
        <v/>
      </c>
      <c r="E48" s="26">
        <f>IF(OR($A48="",手直し!B50=""),"",IFERROR(INDEX(計算用!$M$2:$M$186,MATCH("男"&amp;手直し!B50,計算用!$AO$2:$AO$186,0)),"？"))</f>
        <v/>
      </c>
      <c r="F48" s="26">
        <f>IF(OR($A48="",手直し!B50=""),"",IFERROR(INDEX(計算用!$I$2:$I$186,MATCH("男"&amp;手直し!B50,計算用!$AO$2:$AO$186,0)),"？"))</f>
        <v/>
      </c>
      <c r="G48">
        <f>IF($A48="","",手直し!C50&amp;"")</f>
        <v/>
      </c>
      <c r="H48" s="26">
        <f>IF(OR($A48="",手直し!C50=""),"",IFERROR(INDEX(計算用!$M$2:$M$186,MATCH("男"&amp;手直し!C50,計算用!$AO$2:$AO$186,0)),"？"))</f>
        <v/>
      </c>
      <c r="I48" s="26">
        <f>IF(OR($A48="",手直し!C50=""),"",IFERROR(INDEX(計算用!$I$2:$I$186,MATCH("男"&amp;手直し!C50,計算用!$AO$2:$AO$186,0)),"？"))</f>
        <v/>
      </c>
      <c r="J48">
        <f>IF($A48="","",手直し!D50&amp;"")</f>
        <v/>
      </c>
      <c r="K48" s="26">
        <f>IF(OR($A48="",手直し!D50=""),"",IFERROR(INDEX(計算用!$M$2:$M$186,MATCH("男"&amp;手直し!D50,計算用!$AO$2:$AO$186,0)),"？"))</f>
        <v/>
      </c>
      <c r="L48" s="26">
        <f>IF(OR($A48="",手直し!D50=""),"",IFERROR(INDEX(計算用!$I$2:$I$186,MATCH("男"&amp;手直し!D50,計算用!$AO$2:$AO$186,0)),"？"))</f>
        <v/>
      </c>
      <c r="M48">
        <f>IF($A48="","",手直し!E50&amp;"")</f>
        <v/>
      </c>
      <c r="N48" s="26">
        <f>IF(OR($A48="",手直し!E50=""),"",IFERROR(INDEX(計算用!$M$2:$M$186,MATCH("男"&amp;手直し!E50,計算用!$AO$2:$AO$186,0)),"？"))</f>
        <v/>
      </c>
      <c r="O48" s="26">
        <f>IF(OR($A48="",手直し!E50=""),"",IFERROR(INDEX(計算用!$I$2:$I$186,MATCH("男"&amp;手直し!E50,計算用!$AO$2:$AO$186,0)),"？"))</f>
        <v/>
      </c>
      <c r="Q48" s="26">
        <f>IF(ROW()-3&lt;=計算用!$Q$14,ROW()-3,"")</f>
        <v/>
      </c>
      <c r="R48" s="26">
        <f>IF($Q48="","",手直し!M50)</f>
        <v/>
      </c>
      <c r="S48" s="26">
        <f>IF($Q48="","",手直し!N50)</f>
        <v/>
      </c>
      <c r="T48">
        <f>IF($Q48="","",手直し!F50&amp;"")</f>
        <v/>
      </c>
      <c r="U48" s="26">
        <f>IF(OR($Q48="",手直し!F50=""),"",IFERROR(INDEX(計算用!$M$2:$M$186,MATCH("女"&amp;手直し!F50,計算用!$AO$2:$AO$186,0)),"？"))</f>
        <v/>
      </c>
      <c r="V48" s="26">
        <f>IF(OR($Q48="",手直し!F50=""),"",IFERROR(INDEX(計算用!$I$2:$I$186,MATCH("女"&amp;手直し!F50,計算用!$AO$2:$AO$186,0)),"？"))</f>
        <v/>
      </c>
      <c r="W48">
        <f>IF($Q48="","",手直し!G50&amp;"")</f>
        <v/>
      </c>
      <c r="X48" s="26">
        <f>IF(OR($Q48="",手直し!G50=""),"",IFERROR(INDEX(計算用!$M$2:$M$186,MATCH("女"&amp;手直し!G50,計算用!$AO$2:$AO$186,0)),"？"))</f>
        <v/>
      </c>
      <c r="Y48" s="26">
        <f>IF(OR($Q48="",手直し!G50=""),"",IFERROR(INDEX(計算用!$I$2:$I$186,MATCH("女"&amp;手直し!G50,計算用!$AO$2:$AO$186,0)),"？"))</f>
        <v/>
      </c>
      <c r="Z48">
        <f>IF($Q48="","",手直し!H50&amp;"")</f>
        <v/>
      </c>
      <c r="AA48" s="26">
        <f>IF(OR($Q48="",手直し!H50=""),"",IFERROR(INDEX(計算用!$M$2:$M$186,MATCH("女"&amp;手直し!H50,計算用!$AO$2:$AO$186,0)),"？"))</f>
        <v/>
      </c>
      <c r="AB48" s="26">
        <f>IF(OR($Q48="",手直し!H50=""),"",IFERROR(INDEX(計算用!$I$2:$I$186,MATCH("女"&amp;手直し!H50,計算用!$AO$2:$AO$186,0)),"？"))</f>
        <v/>
      </c>
      <c r="AC48">
        <f>IF($Q48="","",手直し!I50&amp;"")</f>
        <v/>
      </c>
      <c r="AD48" s="26">
        <f>IF(OR($Q48="",手直し!I50=""),"",IFERROR(INDEX(計算用!$M$2:$M$186,MATCH("女"&amp;手直し!I50,計算用!$AO$2:$AO$186,0)),"？"))</f>
        <v/>
      </c>
      <c r="AE48" s="26">
        <f>IF(OR($Q48="",手直し!I50=""),"",IFERROR(INDEX(計算用!$I$2:$I$186,MATCH("女"&amp;手直し!I50,計算用!$AO$2:$AO$186,0)),"？"))</f>
        <v/>
      </c>
    </row>
    <row r="49">
      <c r="A49" s="26">
        <f>IF(ROW()-3&lt;=計算用!$Q$13,ROW()-3,"")</f>
        <v/>
      </c>
      <c r="B49" s="26">
        <f>IF($A49="","",手直し!K51)</f>
        <v/>
      </c>
      <c r="C49" s="26">
        <f>IF($A49="","",手直し!L51)</f>
        <v/>
      </c>
      <c r="D49">
        <f>IF($A49="","",手直し!B51&amp;"")</f>
        <v/>
      </c>
      <c r="E49" s="26">
        <f>IF(OR($A49="",手直し!B51=""),"",IFERROR(INDEX(計算用!$M$2:$M$186,MATCH("男"&amp;手直し!B51,計算用!$AO$2:$AO$186,0)),"？"))</f>
        <v/>
      </c>
      <c r="F49" s="26">
        <f>IF(OR($A49="",手直し!B51=""),"",IFERROR(INDEX(計算用!$I$2:$I$186,MATCH("男"&amp;手直し!B51,計算用!$AO$2:$AO$186,0)),"？"))</f>
        <v/>
      </c>
      <c r="G49">
        <f>IF($A49="","",手直し!C51&amp;"")</f>
        <v/>
      </c>
      <c r="H49" s="26">
        <f>IF(OR($A49="",手直し!C51=""),"",IFERROR(INDEX(計算用!$M$2:$M$186,MATCH("男"&amp;手直し!C51,計算用!$AO$2:$AO$186,0)),"？"))</f>
        <v/>
      </c>
      <c r="I49" s="26">
        <f>IF(OR($A49="",手直し!C51=""),"",IFERROR(INDEX(計算用!$I$2:$I$186,MATCH("男"&amp;手直し!C51,計算用!$AO$2:$AO$186,0)),"？"))</f>
        <v/>
      </c>
      <c r="J49">
        <f>IF($A49="","",手直し!D51&amp;"")</f>
        <v/>
      </c>
      <c r="K49" s="26">
        <f>IF(OR($A49="",手直し!D51=""),"",IFERROR(INDEX(計算用!$M$2:$M$186,MATCH("男"&amp;手直し!D51,計算用!$AO$2:$AO$186,0)),"？"))</f>
        <v/>
      </c>
      <c r="L49" s="26">
        <f>IF(OR($A49="",手直し!D51=""),"",IFERROR(INDEX(計算用!$I$2:$I$186,MATCH("男"&amp;手直し!D51,計算用!$AO$2:$AO$186,0)),"？"))</f>
        <v/>
      </c>
      <c r="M49">
        <f>IF($A49="","",手直し!E51&amp;"")</f>
        <v/>
      </c>
      <c r="N49" s="26">
        <f>IF(OR($A49="",手直し!E51=""),"",IFERROR(INDEX(計算用!$M$2:$M$186,MATCH("男"&amp;手直し!E51,計算用!$AO$2:$AO$186,0)),"？"))</f>
        <v/>
      </c>
      <c r="O49" s="26">
        <f>IF(OR($A49="",手直し!E51=""),"",IFERROR(INDEX(計算用!$I$2:$I$186,MATCH("男"&amp;手直し!E51,計算用!$AO$2:$AO$186,0)),"？"))</f>
        <v/>
      </c>
      <c r="Q49" s="26">
        <f>IF(ROW()-3&lt;=計算用!$Q$14,ROW()-3,"")</f>
        <v/>
      </c>
      <c r="R49" s="26">
        <f>IF($Q49="","",手直し!M51)</f>
        <v/>
      </c>
      <c r="S49" s="26">
        <f>IF($Q49="","",手直し!N51)</f>
        <v/>
      </c>
      <c r="T49">
        <f>IF($Q49="","",手直し!F51&amp;"")</f>
        <v/>
      </c>
      <c r="U49" s="26">
        <f>IF(OR($Q49="",手直し!F51=""),"",IFERROR(INDEX(計算用!$M$2:$M$186,MATCH("女"&amp;手直し!F51,計算用!$AO$2:$AO$186,0)),"？"))</f>
        <v/>
      </c>
      <c r="V49" s="26">
        <f>IF(OR($Q49="",手直し!F51=""),"",IFERROR(INDEX(計算用!$I$2:$I$186,MATCH("女"&amp;手直し!F51,計算用!$AO$2:$AO$186,0)),"？"))</f>
        <v/>
      </c>
      <c r="W49">
        <f>IF($Q49="","",手直し!G51&amp;"")</f>
        <v/>
      </c>
      <c r="X49" s="26">
        <f>IF(OR($Q49="",手直し!G51=""),"",IFERROR(INDEX(計算用!$M$2:$M$186,MATCH("女"&amp;手直し!G51,計算用!$AO$2:$AO$186,0)),"？"))</f>
        <v/>
      </c>
      <c r="Y49" s="26">
        <f>IF(OR($Q49="",手直し!G51=""),"",IFERROR(INDEX(計算用!$I$2:$I$186,MATCH("女"&amp;手直し!G51,計算用!$AO$2:$AO$186,0)),"？"))</f>
        <v/>
      </c>
      <c r="Z49">
        <f>IF($Q49="","",手直し!H51&amp;"")</f>
        <v/>
      </c>
      <c r="AA49" s="26">
        <f>IF(OR($Q49="",手直し!H51=""),"",IFERROR(INDEX(計算用!$M$2:$M$186,MATCH("女"&amp;手直し!H51,計算用!$AO$2:$AO$186,0)),"？"))</f>
        <v/>
      </c>
      <c r="AB49" s="26">
        <f>IF(OR($Q49="",手直し!H51=""),"",IFERROR(INDEX(計算用!$I$2:$I$186,MATCH("女"&amp;手直し!H51,計算用!$AO$2:$AO$186,0)),"？"))</f>
        <v/>
      </c>
      <c r="AC49">
        <f>IF($Q49="","",手直し!I51&amp;"")</f>
        <v/>
      </c>
      <c r="AD49" s="26">
        <f>IF(OR($Q49="",手直し!I51=""),"",IFERROR(INDEX(計算用!$M$2:$M$186,MATCH("女"&amp;手直し!I51,計算用!$AO$2:$AO$186,0)),"？"))</f>
        <v/>
      </c>
      <c r="AE49" s="26">
        <f>IF(OR($Q49="",手直し!I51=""),"",IFERROR(INDEX(計算用!$I$2:$I$186,MATCH("女"&amp;手直し!I51,計算用!$AO$2:$AO$186,0)),"？"))</f>
        <v/>
      </c>
    </row>
    <row r="50">
      <c r="A50" s="26">
        <f>IF(ROW()-3&lt;=計算用!$Q$13,ROW()-3,"")</f>
        <v/>
      </c>
      <c r="B50" s="26">
        <f>IF($A50="","",手直し!K52)</f>
        <v/>
      </c>
      <c r="C50" s="26">
        <f>IF($A50="","",手直し!L52)</f>
        <v/>
      </c>
      <c r="D50">
        <f>IF($A50="","",手直し!B52&amp;"")</f>
        <v/>
      </c>
      <c r="E50" s="26">
        <f>IF(OR($A50="",手直し!B52=""),"",IFERROR(INDEX(計算用!$M$2:$M$186,MATCH("男"&amp;手直し!B52,計算用!$AO$2:$AO$186,0)),"？"))</f>
        <v/>
      </c>
      <c r="F50" s="26">
        <f>IF(OR($A50="",手直し!B52=""),"",IFERROR(INDEX(計算用!$I$2:$I$186,MATCH("男"&amp;手直し!B52,計算用!$AO$2:$AO$186,0)),"？"))</f>
        <v/>
      </c>
      <c r="G50">
        <f>IF($A50="","",手直し!C52&amp;"")</f>
        <v/>
      </c>
      <c r="H50" s="26">
        <f>IF(OR($A50="",手直し!C52=""),"",IFERROR(INDEX(計算用!$M$2:$M$186,MATCH("男"&amp;手直し!C52,計算用!$AO$2:$AO$186,0)),"？"))</f>
        <v/>
      </c>
      <c r="I50" s="26">
        <f>IF(OR($A50="",手直し!C52=""),"",IFERROR(INDEX(計算用!$I$2:$I$186,MATCH("男"&amp;手直し!C52,計算用!$AO$2:$AO$186,0)),"？"))</f>
        <v/>
      </c>
      <c r="J50">
        <f>IF($A50="","",手直し!D52&amp;"")</f>
        <v/>
      </c>
      <c r="K50" s="26">
        <f>IF(OR($A50="",手直し!D52=""),"",IFERROR(INDEX(計算用!$M$2:$M$186,MATCH("男"&amp;手直し!D52,計算用!$AO$2:$AO$186,0)),"？"))</f>
        <v/>
      </c>
      <c r="L50" s="26">
        <f>IF(OR($A50="",手直し!D52=""),"",IFERROR(INDEX(計算用!$I$2:$I$186,MATCH("男"&amp;手直し!D52,計算用!$AO$2:$AO$186,0)),"？"))</f>
        <v/>
      </c>
      <c r="M50">
        <f>IF($A50="","",手直し!E52&amp;"")</f>
        <v/>
      </c>
      <c r="N50" s="26">
        <f>IF(OR($A50="",手直し!E52=""),"",IFERROR(INDEX(計算用!$M$2:$M$186,MATCH("男"&amp;手直し!E52,計算用!$AO$2:$AO$186,0)),"？"))</f>
        <v/>
      </c>
      <c r="O50" s="26">
        <f>IF(OR($A50="",手直し!E52=""),"",IFERROR(INDEX(計算用!$I$2:$I$186,MATCH("男"&amp;手直し!E52,計算用!$AO$2:$AO$186,0)),"？"))</f>
        <v/>
      </c>
      <c r="Q50" s="26">
        <f>IF(ROW()-3&lt;=計算用!$Q$14,ROW()-3,"")</f>
        <v/>
      </c>
      <c r="R50" s="26">
        <f>IF($Q50="","",手直し!M52)</f>
        <v/>
      </c>
      <c r="S50" s="26">
        <f>IF($Q50="","",手直し!N52)</f>
        <v/>
      </c>
      <c r="T50">
        <f>IF($Q50="","",手直し!F52&amp;"")</f>
        <v/>
      </c>
      <c r="U50" s="26">
        <f>IF(OR($Q50="",手直し!F52=""),"",IFERROR(INDEX(計算用!$M$2:$M$186,MATCH("女"&amp;手直し!F52,計算用!$AO$2:$AO$186,0)),"？"))</f>
        <v/>
      </c>
      <c r="V50" s="26">
        <f>IF(OR($Q50="",手直し!F52=""),"",IFERROR(INDEX(計算用!$I$2:$I$186,MATCH("女"&amp;手直し!F52,計算用!$AO$2:$AO$186,0)),"？"))</f>
        <v/>
      </c>
      <c r="W50">
        <f>IF($Q50="","",手直し!G52&amp;"")</f>
        <v/>
      </c>
      <c r="X50" s="26">
        <f>IF(OR($Q50="",手直し!G52=""),"",IFERROR(INDEX(計算用!$M$2:$M$186,MATCH("女"&amp;手直し!G52,計算用!$AO$2:$AO$186,0)),"？"))</f>
        <v/>
      </c>
      <c r="Y50" s="26">
        <f>IF(OR($Q50="",手直し!G52=""),"",IFERROR(INDEX(計算用!$I$2:$I$186,MATCH("女"&amp;手直し!G52,計算用!$AO$2:$AO$186,0)),"？"))</f>
        <v/>
      </c>
      <c r="Z50">
        <f>IF($Q50="","",手直し!H52&amp;"")</f>
        <v/>
      </c>
      <c r="AA50" s="26">
        <f>IF(OR($Q50="",手直し!H52=""),"",IFERROR(INDEX(計算用!$M$2:$M$186,MATCH("女"&amp;手直し!H52,計算用!$AO$2:$AO$186,0)),"？"))</f>
        <v/>
      </c>
      <c r="AB50" s="26">
        <f>IF(OR($Q50="",手直し!H52=""),"",IFERROR(INDEX(計算用!$I$2:$I$186,MATCH("女"&amp;手直し!H52,計算用!$AO$2:$AO$186,0)),"？"))</f>
        <v/>
      </c>
      <c r="AC50">
        <f>IF($Q50="","",手直し!I52&amp;"")</f>
        <v/>
      </c>
      <c r="AD50" s="26">
        <f>IF(OR($Q50="",手直し!I52=""),"",IFERROR(INDEX(計算用!$M$2:$M$186,MATCH("女"&amp;手直し!I52,計算用!$AO$2:$AO$186,0)),"？"))</f>
        <v/>
      </c>
      <c r="AE50" s="26">
        <f>IF(OR($Q50="",手直し!I52=""),"",IFERROR(INDEX(計算用!$I$2:$I$186,MATCH("女"&amp;手直し!I52,計算用!$AO$2:$AO$186,0)),"？"))</f>
        <v/>
      </c>
    </row>
    <row r="51">
      <c r="A51" s="26">
        <f>IF(ROW()-3&lt;=計算用!$Q$13,ROW()-3,"")</f>
        <v/>
      </c>
      <c r="B51" s="26">
        <f>IF($A51="","",手直し!K53)</f>
        <v/>
      </c>
      <c r="C51" s="26">
        <f>IF($A51="","",手直し!L53)</f>
        <v/>
      </c>
      <c r="D51">
        <f>IF($A51="","",手直し!B53&amp;"")</f>
        <v/>
      </c>
      <c r="E51" s="26">
        <f>IF(OR($A51="",手直し!B53=""),"",IFERROR(INDEX(計算用!$M$2:$M$186,MATCH("男"&amp;手直し!B53,計算用!$AO$2:$AO$186,0)),"？"))</f>
        <v/>
      </c>
      <c r="F51" s="26">
        <f>IF(OR($A51="",手直し!B53=""),"",IFERROR(INDEX(計算用!$I$2:$I$186,MATCH("男"&amp;手直し!B53,計算用!$AO$2:$AO$186,0)),"？"))</f>
        <v/>
      </c>
      <c r="G51">
        <f>IF($A51="","",手直し!C53&amp;"")</f>
        <v/>
      </c>
      <c r="H51" s="26">
        <f>IF(OR($A51="",手直し!C53=""),"",IFERROR(INDEX(計算用!$M$2:$M$186,MATCH("男"&amp;手直し!C53,計算用!$AO$2:$AO$186,0)),"？"))</f>
        <v/>
      </c>
      <c r="I51" s="26">
        <f>IF(OR($A51="",手直し!C53=""),"",IFERROR(INDEX(計算用!$I$2:$I$186,MATCH("男"&amp;手直し!C53,計算用!$AO$2:$AO$186,0)),"？"))</f>
        <v/>
      </c>
      <c r="J51">
        <f>IF($A51="","",手直し!D53&amp;"")</f>
        <v/>
      </c>
      <c r="K51" s="26">
        <f>IF(OR($A51="",手直し!D53=""),"",IFERROR(INDEX(計算用!$M$2:$M$186,MATCH("男"&amp;手直し!D53,計算用!$AO$2:$AO$186,0)),"？"))</f>
        <v/>
      </c>
      <c r="L51" s="26">
        <f>IF(OR($A51="",手直し!D53=""),"",IFERROR(INDEX(計算用!$I$2:$I$186,MATCH("男"&amp;手直し!D53,計算用!$AO$2:$AO$186,0)),"？"))</f>
        <v/>
      </c>
      <c r="M51">
        <f>IF($A51="","",手直し!E53&amp;"")</f>
        <v/>
      </c>
      <c r="N51" s="26">
        <f>IF(OR($A51="",手直し!E53=""),"",IFERROR(INDEX(計算用!$M$2:$M$186,MATCH("男"&amp;手直し!E53,計算用!$AO$2:$AO$186,0)),"？"))</f>
        <v/>
      </c>
      <c r="O51" s="26">
        <f>IF(OR($A51="",手直し!E53=""),"",IFERROR(INDEX(計算用!$I$2:$I$186,MATCH("男"&amp;手直し!E53,計算用!$AO$2:$AO$186,0)),"？"))</f>
        <v/>
      </c>
      <c r="Q51" s="26">
        <f>IF(ROW()-3&lt;=計算用!$Q$14,ROW()-3,"")</f>
        <v/>
      </c>
      <c r="R51" s="26">
        <f>IF($Q51="","",手直し!M53)</f>
        <v/>
      </c>
      <c r="S51" s="26">
        <f>IF($Q51="","",手直し!N53)</f>
        <v/>
      </c>
      <c r="T51">
        <f>IF($Q51="","",手直し!F53&amp;"")</f>
        <v/>
      </c>
      <c r="U51" s="26">
        <f>IF(OR($Q51="",手直し!F53=""),"",IFERROR(INDEX(計算用!$M$2:$M$186,MATCH("女"&amp;手直し!F53,計算用!$AO$2:$AO$186,0)),"？"))</f>
        <v/>
      </c>
      <c r="V51" s="26">
        <f>IF(OR($Q51="",手直し!F53=""),"",IFERROR(INDEX(計算用!$I$2:$I$186,MATCH("女"&amp;手直し!F53,計算用!$AO$2:$AO$186,0)),"？"))</f>
        <v/>
      </c>
      <c r="W51">
        <f>IF($Q51="","",手直し!G53&amp;"")</f>
        <v/>
      </c>
      <c r="X51" s="26">
        <f>IF(OR($Q51="",手直し!G53=""),"",IFERROR(INDEX(計算用!$M$2:$M$186,MATCH("女"&amp;手直し!G53,計算用!$AO$2:$AO$186,0)),"？"))</f>
        <v/>
      </c>
      <c r="Y51" s="26">
        <f>IF(OR($Q51="",手直し!G53=""),"",IFERROR(INDEX(計算用!$I$2:$I$186,MATCH("女"&amp;手直し!G53,計算用!$AO$2:$AO$186,0)),"？"))</f>
        <v/>
      </c>
      <c r="Z51">
        <f>IF($Q51="","",手直し!H53&amp;"")</f>
        <v/>
      </c>
      <c r="AA51" s="26">
        <f>IF(OR($Q51="",手直し!H53=""),"",IFERROR(INDEX(計算用!$M$2:$M$186,MATCH("女"&amp;手直し!H53,計算用!$AO$2:$AO$186,0)),"？"))</f>
        <v/>
      </c>
      <c r="AB51" s="26">
        <f>IF(OR($Q51="",手直し!H53=""),"",IFERROR(INDEX(計算用!$I$2:$I$186,MATCH("女"&amp;手直し!H53,計算用!$AO$2:$AO$186,0)),"？"))</f>
        <v/>
      </c>
      <c r="AC51">
        <f>IF($Q51="","",手直し!I53&amp;"")</f>
        <v/>
      </c>
      <c r="AD51" s="26">
        <f>IF(OR($Q51="",手直し!I53=""),"",IFERROR(INDEX(計算用!$M$2:$M$186,MATCH("女"&amp;手直し!I53,計算用!$AO$2:$AO$186,0)),"？"))</f>
        <v/>
      </c>
      <c r="AE51" s="26">
        <f>IF(OR($Q51="",手直し!I53=""),"",IFERROR(INDEX(計算用!$I$2:$I$186,MATCH("女"&amp;手直し!I53,計算用!$AO$2:$AO$186,0)),"？"))</f>
        <v/>
      </c>
    </row>
    <row r="52">
      <c r="A52" s="26">
        <f>IF(ROW()-3&lt;=計算用!$Q$13,ROW()-3,"")</f>
        <v/>
      </c>
      <c r="B52" s="26">
        <f>IF($A52="","",手直し!K54)</f>
        <v/>
      </c>
      <c r="C52" s="26">
        <f>IF($A52="","",手直し!L54)</f>
        <v/>
      </c>
      <c r="D52">
        <f>IF($A52="","",手直し!B54&amp;"")</f>
        <v/>
      </c>
      <c r="E52" s="26">
        <f>IF(OR($A52="",手直し!B54=""),"",IFERROR(INDEX(計算用!$M$2:$M$186,MATCH("男"&amp;手直し!B54,計算用!$AO$2:$AO$186,0)),"？"))</f>
        <v/>
      </c>
      <c r="F52" s="26">
        <f>IF(OR($A52="",手直し!B54=""),"",IFERROR(INDEX(計算用!$I$2:$I$186,MATCH("男"&amp;手直し!B54,計算用!$AO$2:$AO$186,0)),"？"))</f>
        <v/>
      </c>
      <c r="G52">
        <f>IF($A52="","",手直し!C54&amp;"")</f>
        <v/>
      </c>
      <c r="H52" s="26">
        <f>IF(OR($A52="",手直し!C54=""),"",IFERROR(INDEX(計算用!$M$2:$M$186,MATCH("男"&amp;手直し!C54,計算用!$AO$2:$AO$186,0)),"？"))</f>
        <v/>
      </c>
      <c r="I52" s="26">
        <f>IF(OR($A52="",手直し!C54=""),"",IFERROR(INDEX(計算用!$I$2:$I$186,MATCH("男"&amp;手直し!C54,計算用!$AO$2:$AO$186,0)),"？"))</f>
        <v/>
      </c>
      <c r="J52">
        <f>IF($A52="","",手直し!D54&amp;"")</f>
        <v/>
      </c>
      <c r="K52" s="26">
        <f>IF(OR($A52="",手直し!D54=""),"",IFERROR(INDEX(計算用!$M$2:$M$186,MATCH("男"&amp;手直し!D54,計算用!$AO$2:$AO$186,0)),"？"))</f>
        <v/>
      </c>
      <c r="L52" s="26">
        <f>IF(OR($A52="",手直し!D54=""),"",IFERROR(INDEX(計算用!$I$2:$I$186,MATCH("男"&amp;手直し!D54,計算用!$AO$2:$AO$186,0)),"？"))</f>
        <v/>
      </c>
      <c r="M52">
        <f>IF($A52="","",手直し!E54&amp;"")</f>
        <v/>
      </c>
      <c r="N52" s="26">
        <f>IF(OR($A52="",手直し!E54=""),"",IFERROR(INDEX(計算用!$M$2:$M$186,MATCH("男"&amp;手直し!E54,計算用!$AO$2:$AO$186,0)),"？"))</f>
        <v/>
      </c>
      <c r="O52" s="26">
        <f>IF(OR($A52="",手直し!E54=""),"",IFERROR(INDEX(計算用!$I$2:$I$186,MATCH("男"&amp;手直し!E54,計算用!$AO$2:$AO$186,0)),"？"))</f>
        <v/>
      </c>
      <c r="Q52" s="26">
        <f>IF(ROW()-3&lt;=計算用!$Q$14,ROW()-3,"")</f>
        <v/>
      </c>
      <c r="R52" s="26">
        <f>IF($Q52="","",手直し!M54)</f>
        <v/>
      </c>
      <c r="S52" s="26">
        <f>IF($Q52="","",手直し!N54)</f>
        <v/>
      </c>
      <c r="T52">
        <f>IF($Q52="","",手直し!F54&amp;"")</f>
        <v/>
      </c>
      <c r="U52" s="26">
        <f>IF(OR($Q52="",手直し!F54=""),"",IFERROR(INDEX(計算用!$M$2:$M$186,MATCH("女"&amp;手直し!F54,計算用!$AO$2:$AO$186,0)),"？"))</f>
        <v/>
      </c>
      <c r="V52" s="26">
        <f>IF(OR($Q52="",手直し!F54=""),"",IFERROR(INDEX(計算用!$I$2:$I$186,MATCH("女"&amp;手直し!F54,計算用!$AO$2:$AO$186,0)),"？"))</f>
        <v/>
      </c>
      <c r="W52">
        <f>IF($Q52="","",手直し!G54&amp;"")</f>
        <v/>
      </c>
      <c r="X52" s="26">
        <f>IF(OR($Q52="",手直し!G54=""),"",IFERROR(INDEX(計算用!$M$2:$M$186,MATCH("女"&amp;手直し!G54,計算用!$AO$2:$AO$186,0)),"？"))</f>
        <v/>
      </c>
      <c r="Y52" s="26">
        <f>IF(OR($Q52="",手直し!G54=""),"",IFERROR(INDEX(計算用!$I$2:$I$186,MATCH("女"&amp;手直し!G54,計算用!$AO$2:$AO$186,0)),"？"))</f>
        <v/>
      </c>
      <c r="Z52">
        <f>IF($Q52="","",手直し!H54&amp;"")</f>
        <v/>
      </c>
      <c r="AA52" s="26">
        <f>IF(OR($Q52="",手直し!H54=""),"",IFERROR(INDEX(計算用!$M$2:$M$186,MATCH("女"&amp;手直し!H54,計算用!$AO$2:$AO$186,0)),"？"))</f>
        <v/>
      </c>
      <c r="AB52" s="26">
        <f>IF(OR($Q52="",手直し!H54=""),"",IFERROR(INDEX(計算用!$I$2:$I$186,MATCH("女"&amp;手直し!H54,計算用!$AO$2:$AO$186,0)),"？"))</f>
        <v/>
      </c>
      <c r="AC52">
        <f>IF($Q52="","",手直し!I54&amp;"")</f>
        <v/>
      </c>
      <c r="AD52" s="26">
        <f>IF(OR($Q52="",手直し!I54=""),"",IFERROR(INDEX(計算用!$M$2:$M$186,MATCH("女"&amp;手直し!I54,計算用!$AO$2:$AO$186,0)),"？"))</f>
        <v/>
      </c>
      <c r="AE52" s="26">
        <f>IF(OR($Q52="",手直し!I54=""),"",IFERROR(INDEX(計算用!$I$2:$I$186,MATCH("女"&amp;手直し!I54,計算用!$AO$2:$AO$186,0)),"？"))</f>
        <v/>
      </c>
    </row>
    <row r="53">
      <c r="A53" s="26">
        <f>IF(ROW()-3&lt;=計算用!$Q$13,ROW()-3,"")</f>
        <v/>
      </c>
      <c r="B53" s="26">
        <f>IF($A53="","",手直し!K55)</f>
        <v/>
      </c>
      <c r="C53" s="26">
        <f>IF($A53="","",手直し!L55)</f>
        <v/>
      </c>
      <c r="D53">
        <f>IF($A53="","",手直し!B55&amp;"")</f>
        <v/>
      </c>
      <c r="E53" s="26">
        <f>IF(OR($A53="",手直し!B55=""),"",IFERROR(INDEX(計算用!$M$2:$M$186,MATCH("男"&amp;手直し!B55,計算用!$AO$2:$AO$186,0)),"？"))</f>
        <v/>
      </c>
      <c r="F53" s="26">
        <f>IF(OR($A53="",手直し!B55=""),"",IFERROR(INDEX(計算用!$I$2:$I$186,MATCH("男"&amp;手直し!B55,計算用!$AO$2:$AO$186,0)),"？"))</f>
        <v/>
      </c>
      <c r="G53">
        <f>IF($A53="","",手直し!C55&amp;"")</f>
        <v/>
      </c>
      <c r="H53" s="26">
        <f>IF(OR($A53="",手直し!C55=""),"",IFERROR(INDEX(計算用!$M$2:$M$186,MATCH("男"&amp;手直し!C55,計算用!$AO$2:$AO$186,0)),"？"))</f>
        <v/>
      </c>
      <c r="I53" s="26">
        <f>IF(OR($A53="",手直し!C55=""),"",IFERROR(INDEX(計算用!$I$2:$I$186,MATCH("男"&amp;手直し!C55,計算用!$AO$2:$AO$186,0)),"？"))</f>
        <v/>
      </c>
      <c r="J53">
        <f>IF($A53="","",手直し!D55&amp;"")</f>
        <v/>
      </c>
      <c r="K53" s="26">
        <f>IF(OR($A53="",手直し!D55=""),"",IFERROR(INDEX(計算用!$M$2:$M$186,MATCH("男"&amp;手直し!D55,計算用!$AO$2:$AO$186,0)),"？"))</f>
        <v/>
      </c>
      <c r="L53" s="26">
        <f>IF(OR($A53="",手直し!D55=""),"",IFERROR(INDEX(計算用!$I$2:$I$186,MATCH("男"&amp;手直し!D55,計算用!$AO$2:$AO$186,0)),"？"))</f>
        <v/>
      </c>
      <c r="M53">
        <f>IF($A53="","",手直し!E55&amp;"")</f>
        <v/>
      </c>
      <c r="N53" s="26">
        <f>IF(OR($A53="",手直し!E55=""),"",IFERROR(INDEX(計算用!$M$2:$M$186,MATCH("男"&amp;手直し!E55,計算用!$AO$2:$AO$186,0)),"？"))</f>
        <v/>
      </c>
      <c r="O53" s="26">
        <f>IF(OR($A53="",手直し!E55=""),"",IFERROR(INDEX(計算用!$I$2:$I$186,MATCH("男"&amp;手直し!E55,計算用!$AO$2:$AO$186,0)),"？"))</f>
        <v/>
      </c>
      <c r="Q53" s="26">
        <f>IF(ROW()-3&lt;=計算用!$Q$14,ROW()-3,"")</f>
        <v/>
      </c>
      <c r="R53" s="26">
        <f>IF($Q53="","",手直し!M55)</f>
        <v/>
      </c>
      <c r="S53" s="26">
        <f>IF($Q53="","",手直し!N55)</f>
        <v/>
      </c>
      <c r="T53">
        <f>IF($Q53="","",手直し!F55&amp;"")</f>
        <v/>
      </c>
      <c r="U53" s="26">
        <f>IF(OR($Q53="",手直し!F55=""),"",IFERROR(INDEX(計算用!$M$2:$M$186,MATCH("女"&amp;手直し!F55,計算用!$AO$2:$AO$186,0)),"？"))</f>
        <v/>
      </c>
      <c r="V53" s="26">
        <f>IF(OR($Q53="",手直し!F55=""),"",IFERROR(INDEX(計算用!$I$2:$I$186,MATCH("女"&amp;手直し!F55,計算用!$AO$2:$AO$186,0)),"？"))</f>
        <v/>
      </c>
      <c r="W53">
        <f>IF($Q53="","",手直し!G55&amp;"")</f>
        <v/>
      </c>
      <c r="X53" s="26">
        <f>IF(OR($Q53="",手直し!G55=""),"",IFERROR(INDEX(計算用!$M$2:$M$186,MATCH("女"&amp;手直し!G55,計算用!$AO$2:$AO$186,0)),"？"))</f>
        <v/>
      </c>
      <c r="Y53" s="26">
        <f>IF(OR($Q53="",手直し!G55=""),"",IFERROR(INDEX(計算用!$I$2:$I$186,MATCH("女"&amp;手直し!G55,計算用!$AO$2:$AO$186,0)),"？"))</f>
        <v/>
      </c>
      <c r="Z53">
        <f>IF($Q53="","",手直し!H55&amp;"")</f>
        <v/>
      </c>
      <c r="AA53" s="26">
        <f>IF(OR($Q53="",手直し!H55=""),"",IFERROR(INDEX(計算用!$M$2:$M$186,MATCH("女"&amp;手直し!H55,計算用!$AO$2:$AO$186,0)),"？"))</f>
        <v/>
      </c>
      <c r="AB53" s="26">
        <f>IF(OR($Q53="",手直し!H55=""),"",IFERROR(INDEX(計算用!$I$2:$I$186,MATCH("女"&amp;手直し!H55,計算用!$AO$2:$AO$186,0)),"？"))</f>
        <v/>
      </c>
      <c r="AC53">
        <f>IF($Q53="","",手直し!I55&amp;"")</f>
        <v/>
      </c>
      <c r="AD53" s="26">
        <f>IF(OR($Q53="",手直し!I55=""),"",IFERROR(INDEX(計算用!$M$2:$M$186,MATCH("女"&amp;手直し!I55,計算用!$AO$2:$AO$186,0)),"？"))</f>
        <v/>
      </c>
      <c r="AE53" s="26">
        <f>IF(OR($Q53="",手直し!I55=""),"",IFERROR(INDEX(計算用!$I$2:$I$186,MATCH("女"&amp;手直し!I55,計算用!$AO$2:$AO$186,0)),"？"))</f>
        <v/>
      </c>
    </row>
  </sheetData>
  <mergeCells count="14">
    <mergeCell ref="D2:F2"/>
    <mergeCell ref="T2:V2"/>
    <mergeCell ref="G2:I2"/>
    <mergeCell ref="Z2:AB2"/>
    <mergeCell ref="J2:L2"/>
    <mergeCell ref="S2:S3"/>
    <mergeCell ref="AC2:AE2"/>
    <mergeCell ref="B2:B3"/>
    <mergeCell ref="A2:A3"/>
    <mergeCell ref="Q2:Q3"/>
    <mergeCell ref="C2:C3"/>
    <mergeCell ref="R2:R3"/>
    <mergeCell ref="M2:O2"/>
    <mergeCell ref="W2:Y2"/>
  </mergeCells>
  <conditionalFormatting sqref="A4:C53">
    <cfRule type="expression" priority="1" dxfId="14" stopIfTrue="1">
      <formula>AND($A4&lt;&gt;"",$B4=0)</formula>
    </cfRule>
    <cfRule type="expression" priority="2" dxfId="8" stopIfTrue="0">
      <formula>AND($A4&lt;&gt;"",OR($B4&lt;&gt;4,$C4&lt;&gt;"赤2白2"))</formula>
    </cfRule>
  </conditionalFormatting>
  <conditionalFormatting sqref="F4:F53">
    <cfRule type="expression" priority="3" dxfId="9">
      <formula>F4="赤"</formula>
    </cfRule>
  </conditionalFormatting>
  <conditionalFormatting sqref="I4:I53">
    <cfRule type="expression" priority="4" dxfId="9">
      <formula>I4="赤"</formula>
    </cfRule>
  </conditionalFormatting>
  <conditionalFormatting sqref="L4:L53">
    <cfRule type="expression" priority="5" dxfId="9">
      <formula>L4="赤"</formula>
    </cfRule>
  </conditionalFormatting>
  <conditionalFormatting sqref="O4:O53">
    <cfRule type="expression" priority="6" dxfId="9">
      <formula>O4="赤"</formula>
    </cfRule>
  </conditionalFormatting>
  <conditionalFormatting sqref="A4:O53">
    <cfRule type="expression" priority="7" dxfId="10">
      <formula>$A4&lt;&gt;""</formula>
    </cfRule>
  </conditionalFormatting>
  <conditionalFormatting sqref="Q4:S53">
    <cfRule type="expression" priority="8" dxfId="14" stopIfTrue="1">
      <formula>AND($Q4&lt;&gt;"",$R4=0)</formula>
    </cfRule>
    <cfRule type="expression" priority="9" dxfId="8" stopIfTrue="0">
      <formula>AND($Q4&lt;&gt;"",OR($R4&lt;&gt;4,$S4&lt;&gt;"赤2白2"))</formula>
    </cfRule>
  </conditionalFormatting>
  <conditionalFormatting sqref="V4:V53">
    <cfRule type="expression" priority="10" dxfId="9">
      <formula>V4="赤"</formula>
    </cfRule>
  </conditionalFormatting>
  <conditionalFormatting sqref="Y4:Y53">
    <cfRule type="expression" priority="11" dxfId="9">
      <formula>Y4="赤"</formula>
    </cfRule>
  </conditionalFormatting>
  <conditionalFormatting sqref="AB4:AB53">
    <cfRule type="expression" priority="12" dxfId="9">
      <formula>AB4="赤"</formula>
    </cfRule>
  </conditionalFormatting>
  <conditionalFormatting sqref="AE4:AE53">
    <cfRule type="expression" priority="13" dxfId="9">
      <formula>AE4="赤"</formula>
    </cfRule>
  </conditionalFormatting>
  <conditionalFormatting sqref="Q4:AE53">
    <cfRule type="expression" priority="14" dxfId="10">
      <formula>$Q4&lt;&gt;""</formula>
    </cfRule>
  </conditionalFormatting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186"/>
  <sheetViews>
    <sheetView workbookViewId="0">
      <selection activeCell="A1" sqref="A1"/>
    </sheetView>
  </sheetViews>
  <sheetFormatPr baseColWidth="8" defaultRowHeight="13.5"/>
  <sheetData>
    <row r="1">
      <c r="A1" s="21" t="inlineStr">
        <is>
          <t>通し番号</t>
        </is>
      </c>
      <c r="B1" s="21" t="inlineStr">
        <is>
          <t>クラス番号</t>
        </is>
      </c>
      <c r="C1" s="21" t="inlineStr">
        <is>
          <t>クラス内行</t>
        </is>
      </c>
      <c r="D1" s="21" t="inlineStr">
        <is>
          <t>名前</t>
        </is>
      </c>
      <c r="E1" s="21" t="inlineStr">
        <is>
          <t>性別(入力)</t>
        </is>
      </c>
      <c r="F1" s="21" t="inlineStr">
        <is>
          <t>性別</t>
        </is>
      </c>
      <c r="G1" s="21" t="inlineStr">
        <is>
          <t>タイム</t>
        </is>
      </c>
      <c r="H1" s="21" t="inlineStr">
        <is>
          <t>赤白(入力)</t>
        </is>
      </c>
      <c r="I1" s="21" t="inlineStr">
        <is>
          <t>赤白</t>
        </is>
      </c>
      <c r="J1" s="21" t="inlineStr">
        <is>
          <t>区分</t>
        </is>
      </c>
      <c r="K1" s="21" t="inlineStr">
        <is>
          <t>区分内順位</t>
        </is>
      </c>
      <c r="L1" s="21" t="inlineStr">
        <is>
          <t>検索キー</t>
        </is>
      </c>
      <c r="M1" s="21" t="inlineStr">
        <is>
          <t>クラス</t>
        </is>
      </c>
      <c r="N1" s="21" t="inlineStr">
        <is>
          <t>入力不足</t>
        </is>
      </c>
      <c r="P1" s="21" t="inlineStr">
        <is>
          <t>区分</t>
        </is>
      </c>
      <c r="Q1" s="21" t="inlineStr">
        <is>
          <t>人数</t>
        </is>
      </c>
      <c r="S1" t="inlineStr">
        <is>
          <t>男組</t>
        </is>
      </c>
      <c r="T1" t="inlineStr">
        <is>
          <t>男人数</t>
        </is>
      </c>
      <c r="U1" t="inlineStr">
        <is>
          <t>男赤残り</t>
        </is>
      </c>
      <c r="V1" t="inlineStr">
        <is>
          <t>男白残り</t>
        </is>
      </c>
      <c r="W1" t="inlineStr">
        <is>
          <t>男赤人数</t>
        </is>
      </c>
      <c r="X1" t="inlineStr">
        <is>
          <t>男白人数</t>
        </is>
      </c>
      <c r="Y1" t="inlineStr">
        <is>
          <t>男赤累計</t>
        </is>
      </c>
      <c r="Z1" t="inlineStr">
        <is>
          <t>男白累計</t>
        </is>
      </c>
      <c r="AB1" t="inlineStr">
        <is>
          <t>女組</t>
        </is>
      </c>
      <c r="AC1" t="inlineStr">
        <is>
          <t>女人数</t>
        </is>
      </c>
      <c r="AD1" t="inlineStr">
        <is>
          <t>女赤残り</t>
        </is>
      </c>
      <c r="AE1" t="inlineStr">
        <is>
          <t>女白残り</t>
        </is>
      </c>
      <c r="AF1" t="inlineStr">
        <is>
          <t>女赤人数</t>
        </is>
      </c>
      <c r="AG1" t="inlineStr">
        <is>
          <t>女白人数</t>
        </is>
      </c>
      <c r="AH1" t="inlineStr">
        <is>
          <t>女赤累計</t>
        </is>
      </c>
      <c r="AI1" t="inlineStr">
        <is>
          <t>女白累計</t>
        </is>
      </c>
      <c r="AK1" t="inlineStr">
        <is>
          <t>組</t>
        </is>
      </c>
      <c r="AL1" t="inlineStr">
        <is>
          <t>前の組までの人数</t>
        </is>
      </c>
      <c r="AM1" t="inlineStr">
        <is>
          <t>組内番号</t>
        </is>
      </c>
      <c r="AN1" t="inlineStr">
        <is>
          <t>組キー</t>
        </is>
      </c>
      <c r="AO1" t="inlineStr">
        <is>
          <t>性別+名前</t>
        </is>
      </c>
      <c r="AP1" t="inlineStr">
        <is>
          <t>手直しでの回数</t>
        </is>
      </c>
      <c r="AQ1" t="inlineStr">
        <is>
          <t>入っていない</t>
        </is>
      </c>
      <c r="AR1" t="inlineStr">
        <is>
          <t>男子の入っていない番号</t>
        </is>
      </c>
      <c r="AS1" t="inlineStr">
        <is>
          <t>女子の入っていない番号</t>
        </is>
      </c>
    </row>
    <row r="2">
      <c r="A2" s="21">
        <f>ROW()-1</f>
        <v/>
      </c>
      <c r="B2" s="21">
        <f>INT((A2-1)/37)+1</f>
        <v/>
      </c>
      <c r="C2" s="21">
        <f>MOD(A2-1,37)+1</f>
        <v/>
      </c>
      <c r="D2" s="21">
        <f>INDEX(①データ入力!$B$3:$Y$39,C2,(B2-1)*5+1)&amp;""</f>
        <v/>
      </c>
      <c r="E2" s="21">
        <f>INDEX(①データ入力!$B$3:$Y$39,C2,(B2-1)*5+2)&amp;""</f>
        <v/>
      </c>
      <c r="F2" s="21">
        <f>IF(OR(E2="1",E2="１",E2="男"),"男",IF(OR(E2="2",E2="２",E2="女"),"女",""))</f>
        <v/>
      </c>
      <c r="G2" s="21">
        <f>INDEX(①データ入力!$B$3:$Y$39,C2,(B2-1)*5+3)</f>
        <v/>
      </c>
      <c r="H2" s="21">
        <f>INDEX(①データ入力!$B$3:$Y$39,C2,(B2-1)*5+4)&amp;""</f>
        <v/>
      </c>
      <c r="I2" s="21">
        <f>IF(LEFT(TRIM(H2),1)="赤","赤",IF(LEFT(TRIM(H2),1)="白","白",""))</f>
        <v/>
      </c>
      <c r="J2" s="21">
        <f>IF(AND(D2&lt;&gt;"",F2&lt;&gt;"",I2&lt;&gt;"",ISNUMBER(G2)),F2&amp;I2,"")</f>
        <v/>
      </c>
      <c r="K2" s="21">
        <f>IF(J2="","",COUNTIFS($J$2:$J$186,J2,$G$2:$G$186,"&lt;"&amp;G2)+COUNTIFS($J$2:$J$186,J2,$G$2:$G$186,G2,$A$2:$A$186,"&lt;"&amp;A2)+1)</f>
        <v/>
      </c>
      <c r="L2" s="21">
        <f>IF(J2="","",J2&amp;K2)</f>
        <v/>
      </c>
      <c r="M2" s="21">
        <f>B2&amp;"組"</f>
        <v/>
      </c>
      <c r="N2" s="21">
        <f>IF(AND(D2&lt;&gt;"",J2=""),1,0)</f>
        <v/>
      </c>
      <c r="P2" s="21" t="inlineStr">
        <is>
          <t>男赤</t>
        </is>
      </c>
      <c r="Q2" s="21">
        <f>COUNTIF($J$2:$J$186,P2)</f>
        <v/>
      </c>
      <c r="S2" t="n">
        <v>1</v>
      </c>
      <c r="T2">
        <f>IF(OR($Q$9=0,S2&gt;$Q$9),0,INT($Q$8/$Q$9)+IF(S2&lt;=MOD($Q$8,$Q$9),1,0))</f>
        <v/>
      </c>
      <c r="U2">
        <f>$Q$2</f>
        <v/>
      </c>
      <c r="V2">
        <f>$Q$3</f>
        <v/>
      </c>
      <c r="W2">
        <f>IF(T2=0,0,MIN(U2,MAX(IF(MOD(T2,2)=0,T2/2,IF(U2&gt;=V2,(T2+1)/2,(T2-1)/2)),T2-V2)))</f>
        <v/>
      </c>
      <c r="X2">
        <f>T2-W2</f>
        <v/>
      </c>
      <c r="Y2">
        <f>0+W2</f>
        <v/>
      </c>
      <c r="Z2">
        <f>0+X2</f>
        <v/>
      </c>
      <c r="AB2" t="n">
        <v>1</v>
      </c>
      <c r="AC2">
        <f>IF(OR($Q$11=0,AB2&gt;$Q$11),0,INT($Q$10/$Q$11)+IF(AB2&lt;=MOD($Q$10,$Q$11),1,0))</f>
        <v/>
      </c>
      <c r="AD2">
        <f>$Q$4</f>
        <v/>
      </c>
      <c r="AE2">
        <f>$Q$5</f>
        <v/>
      </c>
      <c r="AF2">
        <f>IF(AC2=0,0,MIN(AD2,MAX(IF(MOD(AC2,2)=0,AC2/2,IF(AD2&gt;=AE2,(AC2+1)/2,(AC2-1)/2)),AC2-AE2)))</f>
        <v/>
      </c>
      <c r="AG2">
        <f>AC2-AF2</f>
        <v/>
      </c>
      <c r="AH2">
        <f>0+AF2</f>
        <v/>
      </c>
      <c r="AI2">
        <f>0+AG2</f>
        <v/>
      </c>
      <c r="AK2">
        <f>IF(J2="","",IF(J2="男赤",COUNTIF($Y$2:$Y$51,"&lt;"&amp;K2),IF(J2="男白",COUNTIF($Z$2:$Z$51,"&lt;"&amp;K2),IF(J2="女赤",COUNTIF($AH$2:$AH$51,"&lt;"&amp;K2),COUNTIF($AI$2:$AI$51,"&lt;"&amp;K2))))+1)</f>
        <v/>
      </c>
      <c r="AL2">
        <f>IF(AK2="","",IF(AK2=1,0,IF(J2="男赤",INDEX($Y$2:$Y$51,AK2-1),IF(J2="男白",INDEX($Z$2:$Z$51,AK2-1),IF(J2="女赤",INDEX($AH$2:$AH$51,AK2-1),INDEX($AI$2:$AI$51,AK2-1))))))</f>
        <v/>
      </c>
      <c r="AM2">
        <f>IF(AK2="","",IF(RIGHT(J2,1)="赤",K2-AL2,IF(LEFT(J2,1)="男",INDEX($W$2:$W$51,AK2),INDEX($AF$2:$AF$51,AK2))+K2-AL2))</f>
        <v/>
      </c>
      <c r="AN2">
        <f>IF(AK2="","",F2&amp;AK2&amp;"-"&amp;AM2)</f>
        <v/>
      </c>
      <c r="AO2">
        <f>IF(J2="","",F2&amp;D2)</f>
        <v/>
      </c>
      <c r="AP2">
        <f>IF(J2="","",IF(F2="男",COUNTIF(手直し!$B$6:$E$55,D2),COUNTIF(手直し!$F$6:$I$55,D2)))</f>
        <v/>
      </c>
      <c r="AQ2">
        <f>IF(AND(J2&lt;&gt;"",AP2=0),1,0)</f>
        <v/>
      </c>
      <c r="AR2">
        <f>IF(AND(AQ2=1,F2="男"),COUNTIFS($AQ$2:AQ2,1,$F$2:F2,"男"),"")</f>
        <v/>
      </c>
      <c r="AS2">
        <f>IF(AND(AQ2=1,F2="女"),COUNTIFS($AQ$2:AQ2,1,$F$2:F2,"女"),"")</f>
        <v/>
      </c>
    </row>
    <row r="3">
      <c r="A3" s="21">
        <f>ROW()-1</f>
        <v/>
      </c>
      <c r="B3" s="21">
        <f>INT((A3-1)/37)+1</f>
        <v/>
      </c>
      <c r="C3" s="21">
        <f>MOD(A3-1,37)+1</f>
        <v/>
      </c>
      <c r="D3" s="21">
        <f>INDEX(①データ入力!$B$3:$Y$39,C3,(B3-1)*5+1)&amp;""</f>
        <v/>
      </c>
      <c r="E3" s="21">
        <f>INDEX(①データ入力!$B$3:$Y$39,C3,(B3-1)*5+2)&amp;""</f>
        <v/>
      </c>
      <c r="F3" s="21">
        <f>IF(OR(E3="1",E3="１",E3="男"),"男",IF(OR(E3="2",E3="２",E3="女"),"女",""))</f>
        <v/>
      </c>
      <c r="G3" s="21">
        <f>INDEX(①データ入力!$B$3:$Y$39,C3,(B3-1)*5+3)</f>
        <v/>
      </c>
      <c r="H3" s="21">
        <f>INDEX(①データ入力!$B$3:$Y$39,C3,(B3-1)*5+4)&amp;""</f>
        <v/>
      </c>
      <c r="I3" s="21">
        <f>IF(LEFT(TRIM(H3),1)="赤","赤",IF(LEFT(TRIM(H3),1)="白","白",""))</f>
        <v/>
      </c>
      <c r="J3" s="21">
        <f>IF(AND(D3&lt;&gt;"",F3&lt;&gt;"",I3&lt;&gt;"",ISNUMBER(G3)),F3&amp;I3,"")</f>
        <v/>
      </c>
      <c r="K3" s="21">
        <f>IF(J3="","",COUNTIFS($J$2:$J$186,J3,$G$2:$G$186,"&lt;"&amp;G3)+COUNTIFS($J$2:$J$186,J3,$G$2:$G$186,G3,$A$2:$A$186,"&lt;"&amp;A3)+1)</f>
        <v/>
      </c>
      <c r="L3" s="21">
        <f>IF(J3="","",J3&amp;K3)</f>
        <v/>
      </c>
      <c r="M3" s="21">
        <f>B3&amp;"組"</f>
        <v/>
      </c>
      <c r="N3" s="21">
        <f>IF(AND(D3&lt;&gt;"",J3=""),1,0)</f>
        <v/>
      </c>
      <c r="P3" s="21" t="inlineStr">
        <is>
          <t>男白</t>
        </is>
      </c>
      <c r="Q3" s="21">
        <f>COUNTIF($J$2:$J$186,P3)</f>
        <v/>
      </c>
      <c r="S3" t="n">
        <v>2</v>
      </c>
      <c r="T3">
        <f>IF(OR($Q$9=0,S3&gt;$Q$9),0,INT($Q$8/$Q$9)+IF(S3&lt;=MOD($Q$8,$Q$9),1,0))</f>
        <v/>
      </c>
      <c r="U3">
        <f>$Q$2-Y2</f>
        <v/>
      </c>
      <c r="V3">
        <f>$Q$3-Z2</f>
        <v/>
      </c>
      <c r="W3">
        <f>IF(T3=0,0,MIN(U3,MAX(IF(MOD(T3,2)=0,T3/2,IF(U3&gt;=V3,(T3+1)/2,(T3-1)/2)),T3-V3)))</f>
        <v/>
      </c>
      <c r="X3">
        <f>T3-W3</f>
        <v/>
      </c>
      <c r="Y3">
        <f>Y2+W3</f>
        <v/>
      </c>
      <c r="Z3">
        <f>Z2+X3</f>
        <v/>
      </c>
      <c r="AB3" t="n">
        <v>2</v>
      </c>
      <c r="AC3">
        <f>IF(OR($Q$11=0,AB3&gt;$Q$11),0,INT($Q$10/$Q$11)+IF(AB3&lt;=MOD($Q$10,$Q$11),1,0))</f>
        <v/>
      </c>
      <c r="AD3">
        <f>$Q$4-AH2</f>
        <v/>
      </c>
      <c r="AE3">
        <f>$Q$5-AI2</f>
        <v/>
      </c>
      <c r="AF3">
        <f>IF(AC3=0,0,MIN(AD3,MAX(IF(MOD(AC3,2)=0,AC3/2,IF(AD3&gt;=AE3,(AC3+1)/2,(AC3-1)/2)),AC3-AE3)))</f>
        <v/>
      </c>
      <c r="AG3">
        <f>AC3-AF3</f>
        <v/>
      </c>
      <c r="AH3">
        <f>AH2+AF3</f>
        <v/>
      </c>
      <c r="AI3">
        <f>AI2+AG3</f>
        <v/>
      </c>
      <c r="AK3">
        <f>IF(J3="","",IF(J3="男赤",COUNTIF($Y$2:$Y$51,"&lt;"&amp;K3),IF(J3="男白",COUNTIF($Z$2:$Z$51,"&lt;"&amp;K3),IF(J3="女赤",COUNTIF($AH$2:$AH$51,"&lt;"&amp;K3),COUNTIF($AI$2:$AI$51,"&lt;"&amp;K3))))+1)</f>
        <v/>
      </c>
      <c r="AL3">
        <f>IF(AK3="","",IF(AK3=1,0,IF(J3="男赤",INDEX($Y$2:$Y$51,AK3-1),IF(J3="男白",INDEX($Z$2:$Z$51,AK3-1),IF(J3="女赤",INDEX($AH$2:$AH$51,AK3-1),INDEX($AI$2:$AI$51,AK3-1))))))</f>
        <v/>
      </c>
      <c r="AM3">
        <f>IF(AK3="","",IF(RIGHT(J3,1)="赤",K3-AL3,IF(LEFT(J3,1)="男",INDEX($W$2:$W$51,AK3),INDEX($AF$2:$AF$51,AK3))+K3-AL3))</f>
        <v/>
      </c>
      <c r="AN3">
        <f>IF(AK3="","",F3&amp;AK3&amp;"-"&amp;AM3)</f>
        <v/>
      </c>
      <c r="AO3">
        <f>IF(J3="","",F3&amp;D3)</f>
        <v/>
      </c>
      <c r="AP3">
        <f>IF(J3="","",IF(F3="男",COUNTIF(手直し!$B$6:$E$55,D3),COUNTIF(手直し!$F$6:$I$55,D3)))</f>
        <v/>
      </c>
      <c r="AQ3">
        <f>IF(AND(J3&lt;&gt;"",AP3=0),1,0)</f>
        <v/>
      </c>
      <c r="AR3">
        <f>IF(AND(AQ3=1,F3="男"),COUNTIFS($AQ$2:AQ3,1,$F$2:F3,"男"),"")</f>
        <v/>
      </c>
      <c r="AS3">
        <f>IF(AND(AQ3=1,F3="女"),COUNTIFS($AQ$2:AQ3,1,$F$2:F3,"女"),"")</f>
        <v/>
      </c>
    </row>
    <row r="4">
      <c r="A4" s="21">
        <f>ROW()-1</f>
        <v/>
      </c>
      <c r="B4" s="21">
        <f>INT((A4-1)/37)+1</f>
        <v/>
      </c>
      <c r="C4" s="21">
        <f>MOD(A4-1,37)+1</f>
        <v/>
      </c>
      <c r="D4" s="21">
        <f>INDEX(①データ入力!$B$3:$Y$39,C4,(B4-1)*5+1)&amp;""</f>
        <v/>
      </c>
      <c r="E4" s="21">
        <f>INDEX(①データ入力!$B$3:$Y$39,C4,(B4-1)*5+2)&amp;""</f>
        <v/>
      </c>
      <c r="F4" s="21">
        <f>IF(OR(E4="1",E4="１",E4="男"),"男",IF(OR(E4="2",E4="２",E4="女"),"女",""))</f>
        <v/>
      </c>
      <c r="G4" s="21">
        <f>INDEX(①データ入力!$B$3:$Y$39,C4,(B4-1)*5+3)</f>
        <v/>
      </c>
      <c r="H4" s="21">
        <f>INDEX(①データ入力!$B$3:$Y$39,C4,(B4-1)*5+4)&amp;""</f>
        <v/>
      </c>
      <c r="I4" s="21">
        <f>IF(LEFT(TRIM(H4),1)="赤","赤",IF(LEFT(TRIM(H4),1)="白","白",""))</f>
        <v/>
      </c>
      <c r="J4" s="21">
        <f>IF(AND(D4&lt;&gt;"",F4&lt;&gt;"",I4&lt;&gt;"",ISNUMBER(G4)),F4&amp;I4,"")</f>
        <v/>
      </c>
      <c r="K4" s="21">
        <f>IF(J4="","",COUNTIFS($J$2:$J$186,J4,$G$2:$G$186,"&lt;"&amp;G4)+COUNTIFS($J$2:$J$186,J4,$G$2:$G$186,G4,$A$2:$A$186,"&lt;"&amp;A4)+1)</f>
        <v/>
      </c>
      <c r="L4" s="21">
        <f>IF(J4="","",J4&amp;K4)</f>
        <v/>
      </c>
      <c r="M4" s="21">
        <f>B4&amp;"組"</f>
        <v/>
      </c>
      <c r="N4" s="21">
        <f>IF(AND(D4&lt;&gt;"",J4=""),1,0)</f>
        <v/>
      </c>
      <c r="P4" s="21" t="inlineStr">
        <is>
          <t>女赤</t>
        </is>
      </c>
      <c r="Q4" s="21">
        <f>COUNTIF($J$2:$J$186,P4)</f>
        <v/>
      </c>
      <c r="S4" t="n">
        <v>3</v>
      </c>
      <c r="T4">
        <f>IF(OR($Q$9=0,S4&gt;$Q$9),0,INT($Q$8/$Q$9)+IF(S4&lt;=MOD($Q$8,$Q$9),1,0))</f>
        <v/>
      </c>
      <c r="U4">
        <f>$Q$2-Y3</f>
        <v/>
      </c>
      <c r="V4">
        <f>$Q$3-Z3</f>
        <v/>
      </c>
      <c r="W4">
        <f>IF(T4=0,0,MIN(U4,MAX(IF(MOD(T4,2)=0,T4/2,IF(U4&gt;=V4,(T4+1)/2,(T4-1)/2)),T4-V4)))</f>
        <v/>
      </c>
      <c r="X4">
        <f>T4-W4</f>
        <v/>
      </c>
      <c r="Y4">
        <f>Y3+W4</f>
        <v/>
      </c>
      <c r="Z4">
        <f>Z3+X4</f>
        <v/>
      </c>
      <c r="AB4" t="n">
        <v>3</v>
      </c>
      <c r="AC4">
        <f>IF(OR($Q$11=0,AB4&gt;$Q$11),0,INT($Q$10/$Q$11)+IF(AB4&lt;=MOD($Q$10,$Q$11),1,0))</f>
        <v/>
      </c>
      <c r="AD4">
        <f>$Q$4-AH3</f>
        <v/>
      </c>
      <c r="AE4">
        <f>$Q$5-AI3</f>
        <v/>
      </c>
      <c r="AF4">
        <f>IF(AC4=0,0,MIN(AD4,MAX(IF(MOD(AC4,2)=0,AC4/2,IF(AD4&gt;=AE4,(AC4+1)/2,(AC4-1)/2)),AC4-AE4)))</f>
        <v/>
      </c>
      <c r="AG4">
        <f>AC4-AF4</f>
        <v/>
      </c>
      <c r="AH4">
        <f>AH3+AF4</f>
        <v/>
      </c>
      <c r="AI4">
        <f>AI3+AG4</f>
        <v/>
      </c>
      <c r="AK4">
        <f>IF(J4="","",IF(J4="男赤",COUNTIF($Y$2:$Y$51,"&lt;"&amp;K4),IF(J4="男白",COUNTIF($Z$2:$Z$51,"&lt;"&amp;K4),IF(J4="女赤",COUNTIF($AH$2:$AH$51,"&lt;"&amp;K4),COUNTIF($AI$2:$AI$51,"&lt;"&amp;K4))))+1)</f>
        <v/>
      </c>
      <c r="AL4">
        <f>IF(AK4="","",IF(AK4=1,0,IF(J4="男赤",INDEX($Y$2:$Y$51,AK4-1),IF(J4="男白",INDEX($Z$2:$Z$51,AK4-1),IF(J4="女赤",INDEX($AH$2:$AH$51,AK4-1),INDEX($AI$2:$AI$51,AK4-1))))))</f>
        <v/>
      </c>
      <c r="AM4">
        <f>IF(AK4="","",IF(RIGHT(J4,1)="赤",K4-AL4,IF(LEFT(J4,1)="男",INDEX($W$2:$W$51,AK4),INDEX($AF$2:$AF$51,AK4))+K4-AL4))</f>
        <v/>
      </c>
      <c r="AN4">
        <f>IF(AK4="","",F4&amp;AK4&amp;"-"&amp;AM4)</f>
        <v/>
      </c>
      <c r="AO4">
        <f>IF(J4="","",F4&amp;D4)</f>
        <v/>
      </c>
      <c r="AP4">
        <f>IF(J4="","",IF(F4="男",COUNTIF(手直し!$B$6:$E$55,D4),COUNTIF(手直し!$F$6:$I$55,D4)))</f>
        <v/>
      </c>
      <c r="AQ4">
        <f>IF(AND(J4&lt;&gt;"",AP4=0),1,0)</f>
        <v/>
      </c>
      <c r="AR4">
        <f>IF(AND(AQ4=1,F4="男"),COUNTIFS($AQ$2:AQ4,1,$F$2:F4,"男"),"")</f>
        <v/>
      </c>
      <c r="AS4">
        <f>IF(AND(AQ4=1,F4="女"),COUNTIFS($AQ$2:AQ4,1,$F$2:F4,"女"),"")</f>
        <v/>
      </c>
    </row>
    <row r="5">
      <c r="A5" s="21">
        <f>ROW()-1</f>
        <v/>
      </c>
      <c r="B5" s="21">
        <f>INT((A5-1)/37)+1</f>
        <v/>
      </c>
      <c r="C5" s="21">
        <f>MOD(A5-1,37)+1</f>
        <v/>
      </c>
      <c r="D5" s="21">
        <f>INDEX(①データ入力!$B$3:$Y$39,C5,(B5-1)*5+1)&amp;""</f>
        <v/>
      </c>
      <c r="E5" s="21">
        <f>INDEX(①データ入力!$B$3:$Y$39,C5,(B5-1)*5+2)&amp;""</f>
        <v/>
      </c>
      <c r="F5" s="21">
        <f>IF(OR(E5="1",E5="１",E5="男"),"男",IF(OR(E5="2",E5="２",E5="女"),"女",""))</f>
        <v/>
      </c>
      <c r="G5" s="21">
        <f>INDEX(①データ入力!$B$3:$Y$39,C5,(B5-1)*5+3)</f>
        <v/>
      </c>
      <c r="H5" s="21">
        <f>INDEX(①データ入力!$B$3:$Y$39,C5,(B5-1)*5+4)&amp;""</f>
        <v/>
      </c>
      <c r="I5" s="21">
        <f>IF(LEFT(TRIM(H5),1)="赤","赤",IF(LEFT(TRIM(H5),1)="白","白",""))</f>
        <v/>
      </c>
      <c r="J5" s="21">
        <f>IF(AND(D5&lt;&gt;"",F5&lt;&gt;"",I5&lt;&gt;"",ISNUMBER(G5)),F5&amp;I5,"")</f>
        <v/>
      </c>
      <c r="K5" s="21">
        <f>IF(J5="","",COUNTIFS($J$2:$J$186,J5,$G$2:$G$186,"&lt;"&amp;G5)+COUNTIFS($J$2:$J$186,J5,$G$2:$G$186,G5,$A$2:$A$186,"&lt;"&amp;A5)+1)</f>
        <v/>
      </c>
      <c r="L5" s="21">
        <f>IF(J5="","",J5&amp;K5)</f>
        <v/>
      </c>
      <c r="M5" s="21">
        <f>B5&amp;"組"</f>
        <v/>
      </c>
      <c r="N5" s="21">
        <f>IF(AND(D5&lt;&gt;"",J5=""),1,0)</f>
        <v/>
      </c>
      <c r="P5" s="21" t="inlineStr">
        <is>
          <t>女白</t>
        </is>
      </c>
      <c r="Q5" s="21">
        <f>COUNTIF($J$2:$J$186,P5)</f>
        <v/>
      </c>
      <c r="S5" t="n">
        <v>4</v>
      </c>
      <c r="T5">
        <f>IF(OR($Q$9=0,S5&gt;$Q$9),0,INT($Q$8/$Q$9)+IF(S5&lt;=MOD($Q$8,$Q$9),1,0))</f>
        <v/>
      </c>
      <c r="U5">
        <f>$Q$2-Y4</f>
        <v/>
      </c>
      <c r="V5">
        <f>$Q$3-Z4</f>
        <v/>
      </c>
      <c r="W5">
        <f>IF(T5=0,0,MIN(U5,MAX(IF(MOD(T5,2)=0,T5/2,IF(U5&gt;=V5,(T5+1)/2,(T5-1)/2)),T5-V5)))</f>
        <v/>
      </c>
      <c r="X5">
        <f>T5-W5</f>
        <v/>
      </c>
      <c r="Y5">
        <f>Y4+W5</f>
        <v/>
      </c>
      <c r="Z5">
        <f>Z4+X5</f>
        <v/>
      </c>
      <c r="AB5" t="n">
        <v>4</v>
      </c>
      <c r="AC5">
        <f>IF(OR($Q$11=0,AB5&gt;$Q$11),0,INT($Q$10/$Q$11)+IF(AB5&lt;=MOD($Q$10,$Q$11),1,0))</f>
        <v/>
      </c>
      <c r="AD5">
        <f>$Q$4-AH4</f>
        <v/>
      </c>
      <c r="AE5">
        <f>$Q$5-AI4</f>
        <v/>
      </c>
      <c r="AF5">
        <f>IF(AC5=0,0,MIN(AD5,MAX(IF(MOD(AC5,2)=0,AC5/2,IF(AD5&gt;=AE5,(AC5+1)/2,(AC5-1)/2)),AC5-AE5)))</f>
        <v/>
      </c>
      <c r="AG5">
        <f>AC5-AF5</f>
        <v/>
      </c>
      <c r="AH5">
        <f>AH4+AF5</f>
        <v/>
      </c>
      <c r="AI5">
        <f>AI4+AG5</f>
        <v/>
      </c>
      <c r="AK5">
        <f>IF(J5="","",IF(J5="男赤",COUNTIF($Y$2:$Y$51,"&lt;"&amp;K5),IF(J5="男白",COUNTIF($Z$2:$Z$51,"&lt;"&amp;K5),IF(J5="女赤",COUNTIF($AH$2:$AH$51,"&lt;"&amp;K5),COUNTIF($AI$2:$AI$51,"&lt;"&amp;K5))))+1)</f>
        <v/>
      </c>
      <c r="AL5">
        <f>IF(AK5="","",IF(AK5=1,0,IF(J5="男赤",INDEX($Y$2:$Y$51,AK5-1),IF(J5="男白",INDEX($Z$2:$Z$51,AK5-1),IF(J5="女赤",INDEX($AH$2:$AH$51,AK5-1),INDEX($AI$2:$AI$51,AK5-1))))))</f>
        <v/>
      </c>
      <c r="AM5">
        <f>IF(AK5="","",IF(RIGHT(J5,1)="赤",K5-AL5,IF(LEFT(J5,1)="男",INDEX($W$2:$W$51,AK5),INDEX($AF$2:$AF$51,AK5))+K5-AL5))</f>
        <v/>
      </c>
      <c r="AN5">
        <f>IF(AK5="","",F5&amp;AK5&amp;"-"&amp;AM5)</f>
        <v/>
      </c>
      <c r="AO5">
        <f>IF(J5="","",F5&amp;D5)</f>
        <v/>
      </c>
      <c r="AP5">
        <f>IF(J5="","",IF(F5="男",COUNTIF(手直し!$B$6:$E$55,D5),COUNTIF(手直し!$F$6:$I$55,D5)))</f>
        <v/>
      </c>
      <c r="AQ5">
        <f>IF(AND(J5&lt;&gt;"",AP5=0),1,0)</f>
        <v/>
      </c>
      <c r="AR5">
        <f>IF(AND(AQ5=1,F5="男"),COUNTIFS($AQ$2:AQ5,1,$F$2:F5,"男"),"")</f>
        <v/>
      </c>
      <c r="AS5">
        <f>IF(AND(AQ5=1,F5="女"),COUNTIFS($AQ$2:AQ5,1,$F$2:F5,"女"),"")</f>
        <v/>
      </c>
    </row>
    <row r="6">
      <c r="A6" s="21">
        <f>ROW()-1</f>
        <v/>
      </c>
      <c r="B6" s="21">
        <f>INT((A6-1)/37)+1</f>
        <v/>
      </c>
      <c r="C6" s="21">
        <f>MOD(A6-1,37)+1</f>
        <v/>
      </c>
      <c r="D6" s="21">
        <f>INDEX(①データ入力!$B$3:$Y$39,C6,(B6-1)*5+1)&amp;""</f>
        <v/>
      </c>
      <c r="E6" s="21">
        <f>INDEX(①データ入力!$B$3:$Y$39,C6,(B6-1)*5+2)&amp;""</f>
        <v/>
      </c>
      <c r="F6" s="21">
        <f>IF(OR(E6="1",E6="１",E6="男"),"男",IF(OR(E6="2",E6="２",E6="女"),"女",""))</f>
        <v/>
      </c>
      <c r="G6" s="21">
        <f>INDEX(①データ入力!$B$3:$Y$39,C6,(B6-1)*5+3)</f>
        <v/>
      </c>
      <c r="H6" s="21">
        <f>INDEX(①データ入力!$B$3:$Y$39,C6,(B6-1)*5+4)&amp;""</f>
        <v/>
      </c>
      <c r="I6" s="21">
        <f>IF(LEFT(TRIM(H6),1)="赤","赤",IF(LEFT(TRIM(H6),1)="白","白",""))</f>
        <v/>
      </c>
      <c r="J6" s="21">
        <f>IF(AND(D6&lt;&gt;"",F6&lt;&gt;"",I6&lt;&gt;"",ISNUMBER(G6)),F6&amp;I6,"")</f>
        <v/>
      </c>
      <c r="K6" s="21">
        <f>IF(J6="","",COUNTIFS($J$2:$J$186,J6,$G$2:$G$186,"&lt;"&amp;G6)+COUNTIFS($J$2:$J$186,J6,$G$2:$G$186,G6,$A$2:$A$186,"&lt;"&amp;A6)+1)</f>
        <v/>
      </c>
      <c r="L6" s="21">
        <f>IF(J6="","",J6&amp;K6)</f>
        <v/>
      </c>
      <c r="M6" s="21">
        <f>B6&amp;"組"</f>
        <v/>
      </c>
      <c r="N6" s="21">
        <f>IF(AND(D6&lt;&gt;"",J6=""),1,0)</f>
        <v/>
      </c>
      <c r="P6" s="21" t="inlineStr">
        <is>
          <t>入力不足</t>
        </is>
      </c>
      <c r="Q6" s="21">
        <f>SUM($N$2:$N$186)</f>
        <v/>
      </c>
      <c r="S6" t="n">
        <v>5</v>
      </c>
      <c r="T6">
        <f>IF(OR($Q$9=0,S6&gt;$Q$9),0,INT($Q$8/$Q$9)+IF(S6&lt;=MOD($Q$8,$Q$9),1,0))</f>
        <v/>
      </c>
      <c r="U6">
        <f>$Q$2-Y5</f>
        <v/>
      </c>
      <c r="V6">
        <f>$Q$3-Z5</f>
        <v/>
      </c>
      <c r="W6">
        <f>IF(T6=0,0,MIN(U6,MAX(IF(MOD(T6,2)=0,T6/2,IF(U6&gt;=V6,(T6+1)/2,(T6-1)/2)),T6-V6)))</f>
        <v/>
      </c>
      <c r="X6">
        <f>T6-W6</f>
        <v/>
      </c>
      <c r="Y6">
        <f>Y5+W6</f>
        <v/>
      </c>
      <c r="Z6">
        <f>Z5+X6</f>
        <v/>
      </c>
      <c r="AB6" t="n">
        <v>5</v>
      </c>
      <c r="AC6">
        <f>IF(OR($Q$11=0,AB6&gt;$Q$11),0,INT($Q$10/$Q$11)+IF(AB6&lt;=MOD($Q$10,$Q$11),1,0))</f>
        <v/>
      </c>
      <c r="AD6">
        <f>$Q$4-AH5</f>
        <v/>
      </c>
      <c r="AE6">
        <f>$Q$5-AI5</f>
        <v/>
      </c>
      <c r="AF6">
        <f>IF(AC6=0,0,MIN(AD6,MAX(IF(MOD(AC6,2)=0,AC6/2,IF(AD6&gt;=AE6,(AC6+1)/2,(AC6-1)/2)),AC6-AE6)))</f>
        <v/>
      </c>
      <c r="AG6">
        <f>AC6-AF6</f>
        <v/>
      </c>
      <c r="AH6">
        <f>AH5+AF6</f>
        <v/>
      </c>
      <c r="AI6">
        <f>AI5+AG6</f>
        <v/>
      </c>
      <c r="AK6">
        <f>IF(J6="","",IF(J6="男赤",COUNTIF($Y$2:$Y$51,"&lt;"&amp;K6),IF(J6="男白",COUNTIF($Z$2:$Z$51,"&lt;"&amp;K6),IF(J6="女赤",COUNTIF($AH$2:$AH$51,"&lt;"&amp;K6),COUNTIF($AI$2:$AI$51,"&lt;"&amp;K6))))+1)</f>
        <v/>
      </c>
      <c r="AL6">
        <f>IF(AK6="","",IF(AK6=1,0,IF(J6="男赤",INDEX($Y$2:$Y$51,AK6-1),IF(J6="男白",INDEX($Z$2:$Z$51,AK6-1),IF(J6="女赤",INDEX($AH$2:$AH$51,AK6-1),INDEX($AI$2:$AI$51,AK6-1))))))</f>
        <v/>
      </c>
      <c r="AM6">
        <f>IF(AK6="","",IF(RIGHT(J6,1)="赤",K6-AL6,IF(LEFT(J6,1)="男",INDEX($W$2:$W$51,AK6),INDEX($AF$2:$AF$51,AK6))+K6-AL6))</f>
        <v/>
      </c>
      <c r="AN6">
        <f>IF(AK6="","",F6&amp;AK6&amp;"-"&amp;AM6)</f>
        <v/>
      </c>
      <c r="AO6">
        <f>IF(J6="","",F6&amp;D6)</f>
        <v/>
      </c>
      <c r="AP6">
        <f>IF(J6="","",IF(F6="男",COUNTIF(手直し!$B$6:$E$55,D6),COUNTIF(手直し!$F$6:$I$55,D6)))</f>
        <v/>
      </c>
      <c r="AQ6">
        <f>IF(AND(J6&lt;&gt;"",AP6=0),1,0)</f>
        <v/>
      </c>
      <c r="AR6">
        <f>IF(AND(AQ6=1,F6="男"),COUNTIFS($AQ$2:AQ6,1,$F$2:F6,"男"),"")</f>
        <v/>
      </c>
      <c r="AS6">
        <f>IF(AND(AQ6=1,F6="女"),COUNTIFS($AQ$2:AQ6,1,$F$2:F6,"女"),"")</f>
        <v/>
      </c>
    </row>
    <row r="7">
      <c r="A7" s="21">
        <f>ROW()-1</f>
        <v/>
      </c>
      <c r="B7" s="21">
        <f>INT((A7-1)/37)+1</f>
        <v/>
      </c>
      <c r="C7" s="21">
        <f>MOD(A7-1,37)+1</f>
        <v/>
      </c>
      <c r="D7" s="21">
        <f>INDEX(①データ入力!$B$3:$Y$39,C7,(B7-1)*5+1)&amp;""</f>
        <v/>
      </c>
      <c r="E7" s="21">
        <f>INDEX(①データ入力!$B$3:$Y$39,C7,(B7-1)*5+2)&amp;""</f>
        <v/>
      </c>
      <c r="F7" s="21">
        <f>IF(OR(E7="1",E7="１",E7="男"),"男",IF(OR(E7="2",E7="２",E7="女"),"女",""))</f>
        <v/>
      </c>
      <c r="G7" s="21">
        <f>INDEX(①データ入力!$B$3:$Y$39,C7,(B7-1)*5+3)</f>
        <v/>
      </c>
      <c r="H7" s="21">
        <f>INDEX(①データ入力!$B$3:$Y$39,C7,(B7-1)*5+4)&amp;""</f>
        <v/>
      </c>
      <c r="I7" s="21">
        <f>IF(LEFT(TRIM(H7),1)="赤","赤",IF(LEFT(TRIM(H7),1)="白","白",""))</f>
        <v/>
      </c>
      <c r="J7" s="21">
        <f>IF(AND(D7&lt;&gt;"",F7&lt;&gt;"",I7&lt;&gt;"",ISNUMBER(G7)),F7&amp;I7,"")</f>
        <v/>
      </c>
      <c r="K7" s="21">
        <f>IF(J7="","",COUNTIFS($J$2:$J$186,J7,$G$2:$G$186,"&lt;"&amp;G7)+COUNTIFS($J$2:$J$186,J7,$G$2:$G$186,G7,$A$2:$A$186,"&lt;"&amp;A7)+1)</f>
        <v/>
      </c>
      <c r="L7" s="21">
        <f>IF(J7="","",J7&amp;K7)</f>
        <v/>
      </c>
      <c r="M7" s="21">
        <f>B7&amp;"組"</f>
        <v/>
      </c>
      <c r="N7" s="21">
        <f>IF(AND(D7&lt;&gt;"",J7=""),1,0)</f>
        <v/>
      </c>
      <c r="P7" s="21" t="n"/>
      <c r="Q7" s="21" t="n"/>
      <c r="S7" t="n">
        <v>6</v>
      </c>
      <c r="T7">
        <f>IF(OR($Q$9=0,S7&gt;$Q$9),0,INT($Q$8/$Q$9)+IF(S7&lt;=MOD($Q$8,$Q$9),1,0))</f>
        <v/>
      </c>
      <c r="U7">
        <f>$Q$2-Y6</f>
        <v/>
      </c>
      <c r="V7">
        <f>$Q$3-Z6</f>
        <v/>
      </c>
      <c r="W7">
        <f>IF(T7=0,0,MIN(U7,MAX(IF(MOD(T7,2)=0,T7/2,IF(U7&gt;=V7,(T7+1)/2,(T7-1)/2)),T7-V7)))</f>
        <v/>
      </c>
      <c r="X7">
        <f>T7-W7</f>
        <v/>
      </c>
      <c r="Y7">
        <f>Y6+W7</f>
        <v/>
      </c>
      <c r="Z7">
        <f>Z6+X7</f>
        <v/>
      </c>
      <c r="AB7" t="n">
        <v>6</v>
      </c>
      <c r="AC7">
        <f>IF(OR($Q$11=0,AB7&gt;$Q$11),0,INT($Q$10/$Q$11)+IF(AB7&lt;=MOD($Q$10,$Q$11),1,0))</f>
        <v/>
      </c>
      <c r="AD7">
        <f>$Q$4-AH6</f>
        <v/>
      </c>
      <c r="AE7">
        <f>$Q$5-AI6</f>
        <v/>
      </c>
      <c r="AF7">
        <f>IF(AC7=0,0,MIN(AD7,MAX(IF(MOD(AC7,2)=0,AC7/2,IF(AD7&gt;=AE7,(AC7+1)/2,(AC7-1)/2)),AC7-AE7)))</f>
        <v/>
      </c>
      <c r="AG7">
        <f>AC7-AF7</f>
        <v/>
      </c>
      <c r="AH7">
        <f>AH6+AF7</f>
        <v/>
      </c>
      <c r="AI7">
        <f>AI6+AG7</f>
        <v/>
      </c>
      <c r="AK7">
        <f>IF(J7="","",IF(J7="男赤",COUNTIF($Y$2:$Y$51,"&lt;"&amp;K7),IF(J7="男白",COUNTIF($Z$2:$Z$51,"&lt;"&amp;K7),IF(J7="女赤",COUNTIF($AH$2:$AH$51,"&lt;"&amp;K7),COUNTIF($AI$2:$AI$51,"&lt;"&amp;K7))))+1)</f>
        <v/>
      </c>
      <c r="AL7">
        <f>IF(AK7="","",IF(AK7=1,0,IF(J7="男赤",INDEX($Y$2:$Y$51,AK7-1),IF(J7="男白",INDEX($Z$2:$Z$51,AK7-1),IF(J7="女赤",INDEX($AH$2:$AH$51,AK7-1),INDEX($AI$2:$AI$51,AK7-1))))))</f>
        <v/>
      </c>
      <c r="AM7">
        <f>IF(AK7="","",IF(RIGHT(J7,1)="赤",K7-AL7,IF(LEFT(J7,1)="男",INDEX($W$2:$W$51,AK7),INDEX($AF$2:$AF$51,AK7))+K7-AL7))</f>
        <v/>
      </c>
      <c r="AN7">
        <f>IF(AK7="","",F7&amp;AK7&amp;"-"&amp;AM7)</f>
        <v/>
      </c>
      <c r="AO7">
        <f>IF(J7="","",F7&amp;D7)</f>
        <v/>
      </c>
      <c r="AP7">
        <f>IF(J7="","",IF(F7="男",COUNTIF(手直し!$B$6:$E$55,D7),COUNTIF(手直し!$F$6:$I$55,D7)))</f>
        <v/>
      </c>
      <c r="AQ7">
        <f>IF(AND(J7&lt;&gt;"",AP7=0),1,0)</f>
        <v/>
      </c>
      <c r="AR7">
        <f>IF(AND(AQ7=1,F7="男"),COUNTIFS($AQ$2:AQ7,1,$F$2:F7,"男"),"")</f>
        <v/>
      </c>
      <c r="AS7">
        <f>IF(AND(AQ7=1,F7="女"),COUNTIFS($AQ$2:AQ7,1,$F$2:F7,"女"),"")</f>
        <v/>
      </c>
    </row>
    <row r="8">
      <c r="A8" s="21">
        <f>ROW()-1</f>
        <v/>
      </c>
      <c r="B8" s="21">
        <f>INT((A8-1)/37)+1</f>
        <v/>
      </c>
      <c r="C8" s="21">
        <f>MOD(A8-1,37)+1</f>
        <v/>
      </c>
      <c r="D8" s="21">
        <f>INDEX(①データ入力!$B$3:$Y$39,C8,(B8-1)*5+1)&amp;""</f>
        <v/>
      </c>
      <c r="E8" s="21">
        <f>INDEX(①データ入力!$B$3:$Y$39,C8,(B8-1)*5+2)&amp;""</f>
        <v/>
      </c>
      <c r="F8" s="21">
        <f>IF(OR(E8="1",E8="１",E8="男"),"男",IF(OR(E8="2",E8="２",E8="女"),"女",""))</f>
        <v/>
      </c>
      <c r="G8" s="21">
        <f>INDEX(①データ入力!$B$3:$Y$39,C8,(B8-1)*5+3)</f>
        <v/>
      </c>
      <c r="H8" s="21">
        <f>INDEX(①データ入力!$B$3:$Y$39,C8,(B8-1)*5+4)&amp;""</f>
        <v/>
      </c>
      <c r="I8" s="21">
        <f>IF(LEFT(TRIM(H8),1)="赤","赤",IF(LEFT(TRIM(H8),1)="白","白",""))</f>
        <v/>
      </c>
      <c r="J8" s="21">
        <f>IF(AND(D8&lt;&gt;"",F8&lt;&gt;"",I8&lt;&gt;"",ISNUMBER(G8)),F8&amp;I8,"")</f>
        <v/>
      </c>
      <c r="K8" s="21">
        <f>IF(J8="","",COUNTIFS($J$2:$J$186,J8,$G$2:$G$186,"&lt;"&amp;G8)+COUNTIFS($J$2:$J$186,J8,$G$2:$G$186,G8,$A$2:$A$186,"&lt;"&amp;A8)+1)</f>
        <v/>
      </c>
      <c r="L8" s="21">
        <f>IF(J8="","",J8&amp;K8)</f>
        <v/>
      </c>
      <c r="M8" s="21">
        <f>B8&amp;"組"</f>
        <v/>
      </c>
      <c r="N8" s="21">
        <f>IF(AND(D8&lt;&gt;"",J8=""),1,0)</f>
        <v/>
      </c>
      <c r="P8" s="21" t="inlineStr">
        <is>
          <t>男子人数</t>
        </is>
      </c>
      <c r="Q8" s="21">
        <f>Q2+Q3</f>
        <v/>
      </c>
      <c r="S8" t="n">
        <v>7</v>
      </c>
      <c r="T8">
        <f>IF(OR($Q$9=0,S8&gt;$Q$9),0,INT($Q$8/$Q$9)+IF(S8&lt;=MOD($Q$8,$Q$9),1,0))</f>
        <v/>
      </c>
      <c r="U8">
        <f>$Q$2-Y7</f>
        <v/>
      </c>
      <c r="V8">
        <f>$Q$3-Z7</f>
        <v/>
      </c>
      <c r="W8">
        <f>IF(T8=0,0,MIN(U8,MAX(IF(MOD(T8,2)=0,T8/2,IF(U8&gt;=V8,(T8+1)/2,(T8-1)/2)),T8-V8)))</f>
        <v/>
      </c>
      <c r="X8">
        <f>T8-W8</f>
        <v/>
      </c>
      <c r="Y8">
        <f>Y7+W8</f>
        <v/>
      </c>
      <c r="Z8">
        <f>Z7+X8</f>
        <v/>
      </c>
      <c r="AB8" t="n">
        <v>7</v>
      </c>
      <c r="AC8">
        <f>IF(OR($Q$11=0,AB8&gt;$Q$11),0,INT($Q$10/$Q$11)+IF(AB8&lt;=MOD($Q$10,$Q$11),1,0))</f>
        <v/>
      </c>
      <c r="AD8">
        <f>$Q$4-AH7</f>
        <v/>
      </c>
      <c r="AE8">
        <f>$Q$5-AI7</f>
        <v/>
      </c>
      <c r="AF8">
        <f>IF(AC8=0,0,MIN(AD8,MAX(IF(MOD(AC8,2)=0,AC8/2,IF(AD8&gt;=AE8,(AC8+1)/2,(AC8-1)/2)),AC8-AE8)))</f>
        <v/>
      </c>
      <c r="AG8">
        <f>AC8-AF8</f>
        <v/>
      </c>
      <c r="AH8">
        <f>AH7+AF8</f>
        <v/>
      </c>
      <c r="AI8">
        <f>AI7+AG8</f>
        <v/>
      </c>
      <c r="AK8">
        <f>IF(J8="","",IF(J8="男赤",COUNTIF($Y$2:$Y$51,"&lt;"&amp;K8),IF(J8="男白",COUNTIF($Z$2:$Z$51,"&lt;"&amp;K8),IF(J8="女赤",COUNTIF($AH$2:$AH$51,"&lt;"&amp;K8),COUNTIF($AI$2:$AI$51,"&lt;"&amp;K8))))+1)</f>
        <v/>
      </c>
      <c r="AL8">
        <f>IF(AK8="","",IF(AK8=1,0,IF(J8="男赤",INDEX($Y$2:$Y$51,AK8-1),IF(J8="男白",INDEX($Z$2:$Z$51,AK8-1),IF(J8="女赤",INDEX($AH$2:$AH$51,AK8-1),INDEX($AI$2:$AI$51,AK8-1))))))</f>
        <v/>
      </c>
      <c r="AM8">
        <f>IF(AK8="","",IF(RIGHT(J8,1)="赤",K8-AL8,IF(LEFT(J8,1)="男",INDEX($W$2:$W$51,AK8),INDEX($AF$2:$AF$51,AK8))+K8-AL8))</f>
        <v/>
      </c>
      <c r="AN8">
        <f>IF(AK8="","",F8&amp;AK8&amp;"-"&amp;AM8)</f>
        <v/>
      </c>
      <c r="AO8">
        <f>IF(J8="","",F8&amp;D8)</f>
        <v/>
      </c>
      <c r="AP8">
        <f>IF(J8="","",IF(F8="男",COUNTIF(手直し!$B$6:$E$55,D8),COUNTIF(手直し!$F$6:$I$55,D8)))</f>
        <v/>
      </c>
      <c r="AQ8">
        <f>IF(AND(J8&lt;&gt;"",AP8=0),1,0)</f>
        <v/>
      </c>
      <c r="AR8">
        <f>IF(AND(AQ8=1,F8="男"),COUNTIFS($AQ$2:AQ8,1,$F$2:F8,"男"),"")</f>
        <v/>
      </c>
      <c r="AS8">
        <f>IF(AND(AQ8=1,F8="女"),COUNTIFS($AQ$2:AQ8,1,$F$2:F8,"女"),"")</f>
        <v/>
      </c>
    </row>
    <row r="9">
      <c r="A9" s="21">
        <f>ROW()-1</f>
        <v/>
      </c>
      <c r="B9" s="21">
        <f>INT((A9-1)/37)+1</f>
        <v/>
      </c>
      <c r="C9" s="21">
        <f>MOD(A9-1,37)+1</f>
        <v/>
      </c>
      <c r="D9" s="21">
        <f>INDEX(①データ入力!$B$3:$Y$39,C9,(B9-1)*5+1)&amp;""</f>
        <v/>
      </c>
      <c r="E9" s="21">
        <f>INDEX(①データ入力!$B$3:$Y$39,C9,(B9-1)*5+2)&amp;""</f>
        <v/>
      </c>
      <c r="F9" s="21">
        <f>IF(OR(E9="1",E9="１",E9="男"),"男",IF(OR(E9="2",E9="２",E9="女"),"女",""))</f>
        <v/>
      </c>
      <c r="G9" s="21">
        <f>INDEX(①データ入力!$B$3:$Y$39,C9,(B9-1)*5+3)</f>
        <v/>
      </c>
      <c r="H9" s="21">
        <f>INDEX(①データ入力!$B$3:$Y$39,C9,(B9-1)*5+4)&amp;""</f>
        <v/>
      </c>
      <c r="I9" s="21">
        <f>IF(LEFT(TRIM(H9),1)="赤","赤",IF(LEFT(TRIM(H9),1)="白","白",""))</f>
        <v/>
      </c>
      <c r="J9" s="21">
        <f>IF(AND(D9&lt;&gt;"",F9&lt;&gt;"",I9&lt;&gt;"",ISNUMBER(G9)),F9&amp;I9,"")</f>
        <v/>
      </c>
      <c r="K9" s="21">
        <f>IF(J9="","",COUNTIFS($J$2:$J$186,J9,$G$2:$G$186,"&lt;"&amp;G9)+COUNTIFS($J$2:$J$186,J9,$G$2:$G$186,G9,$A$2:$A$186,"&lt;"&amp;A9)+1)</f>
        <v/>
      </c>
      <c r="L9" s="21">
        <f>IF(J9="","",J9&amp;K9)</f>
        <v/>
      </c>
      <c r="M9" s="21">
        <f>B9&amp;"組"</f>
        <v/>
      </c>
      <c r="N9" s="21">
        <f>IF(AND(D9&lt;&gt;"",J9=""),1,0)</f>
        <v/>
      </c>
      <c r="P9" t="inlineStr">
        <is>
          <t>男子組数</t>
        </is>
      </c>
      <c r="Q9">
        <f>ROUNDUP(Q8/4,0)</f>
        <v/>
      </c>
      <c r="S9" t="n">
        <v>8</v>
      </c>
      <c r="T9">
        <f>IF(OR($Q$9=0,S9&gt;$Q$9),0,INT($Q$8/$Q$9)+IF(S9&lt;=MOD($Q$8,$Q$9),1,0))</f>
        <v/>
      </c>
      <c r="U9">
        <f>$Q$2-Y8</f>
        <v/>
      </c>
      <c r="V9">
        <f>$Q$3-Z8</f>
        <v/>
      </c>
      <c r="W9">
        <f>IF(T9=0,0,MIN(U9,MAX(IF(MOD(T9,2)=0,T9/2,IF(U9&gt;=V9,(T9+1)/2,(T9-1)/2)),T9-V9)))</f>
        <v/>
      </c>
      <c r="X9">
        <f>T9-W9</f>
        <v/>
      </c>
      <c r="Y9">
        <f>Y8+W9</f>
        <v/>
      </c>
      <c r="Z9">
        <f>Z8+X9</f>
        <v/>
      </c>
      <c r="AB9" t="n">
        <v>8</v>
      </c>
      <c r="AC9">
        <f>IF(OR($Q$11=0,AB9&gt;$Q$11),0,INT($Q$10/$Q$11)+IF(AB9&lt;=MOD($Q$10,$Q$11),1,0))</f>
        <v/>
      </c>
      <c r="AD9">
        <f>$Q$4-AH8</f>
        <v/>
      </c>
      <c r="AE9">
        <f>$Q$5-AI8</f>
        <v/>
      </c>
      <c r="AF9">
        <f>IF(AC9=0,0,MIN(AD9,MAX(IF(MOD(AC9,2)=0,AC9/2,IF(AD9&gt;=AE9,(AC9+1)/2,(AC9-1)/2)),AC9-AE9)))</f>
        <v/>
      </c>
      <c r="AG9">
        <f>AC9-AF9</f>
        <v/>
      </c>
      <c r="AH9">
        <f>AH8+AF9</f>
        <v/>
      </c>
      <c r="AI9">
        <f>AI8+AG9</f>
        <v/>
      </c>
      <c r="AK9">
        <f>IF(J9="","",IF(J9="男赤",COUNTIF($Y$2:$Y$51,"&lt;"&amp;K9),IF(J9="男白",COUNTIF($Z$2:$Z$51,"&lt;"&amp;K9),IF(J9="女赤",COUNTIF($AH$2:$AH$51,"&lt;"&amp;K9),COUNTIF($AI$2:$AI$51,"&lt;"&amp;K9))))+1)</f>
        <v/>
      </c>
      <c r="AL9">
        <f>IF(AK9="","",IF(AK9=1,0,IF(J9="男赤",INDEX($Y$2:$Y$51,AK9-1),IF(J9="男白",INDEX($Z$2:$Z$51,AK9-1),IF(J9="女赤",INDEX($AH$2:$AH$51,AK9-1),INDEX($AI$2:$AI$51,AK9-1))))))</f>
        <v/>
      </c>
      <c r="AM9">
        <f>IF(AK9="","",IF(RIGHT(J9,1)="赤",K9-AL9,IF(LEFT(J9,1)="男",INDEX($W$2:$W$51,AK9),INDEX($AF$2:$AF$51,AK9))+K9-AL9))</f>
        <v/>
      </c>
      <c r="AN9">
        <f>IF(AK9="","",F9&amp;AK9&amp;"-"&amp;AM9)</f>
        <v/>
      </c>
      <c r="AO9">
        <f>IF(J9="","",F9&amp;D9)</f>
        <v/>
      </c>
      <c r="AP9">
        <f>IF(J9="","",IF(F9="男",COUNTIF(手直し!$B$6:$E$55,D9),COUNTIF(手直し!$F$6:$I$55,D9)))</f>
        <v/>
      </c>
      <c r="AQ9">
        <f>IF(AND(J9&lt;&gt;"",AP9=0),1,0)</f>
        <v/>
      </c>
      <c r="AR9">
        <f>IF(AND(AQ9=1,F9="男"),COUNTIFS($AQ$2:AQ9,1,$F$2:F9,"男"),"")</f>
        <v/>
      </c>
      <c r="AS9">
        <f>IF(AND(AQ9=1,F9="女"),COUNTIFS($AQ$2:AQ9,1,$F$2:F9,"女"),"")</f>
        <v/>
      </c>
    </row>
    <row r="10">
      <c r="A10" s="21">
        <f>ROW()-1</f>
        <v/>
      </c>
      <c r="B10" s="21">
        <f>INT((A10-1)/37)+1</f>
        <v/>
      </c>
      <c r="C10" s="21">
        <f>MOD(A10-1,37)+1</f>
        <v/>
      </c>
      <c r="D10" s="21">
        <f>INDEX(①データ入力!$B$3:$Y$39,C10,(B10-1)*5+1)&amp;""</f>
        <v/>
      </c>
      <c r="E10" s="21">
        <f>INDEX(①データ入力!$B$3:$Y$39,C10,(B10-1)*5+2)&amp;""</f>
        <v/>
      </c>
      <c r="F10" s="21">
        <f>IF(OR(E10="1",E10="１",E10="男"),"男",IF(OR(E10="2",E10="２",E10="女"),"女",""))</f>
        <v/>
      </c>
      <c r="G10" s="21">
        <f>INDEX(①データ入力!$B$3:$Y$39,C10,(B10-1)*5+3)</f>
        <v/>
      </c>
      <c r="H10" s="21">
        <f>INDEX(①データ入力!$B$3:$Y$39,C10,(B10-1)*5+4)&amp;""</f>
        <v/>
      </c>
      <c r="I10" s="21">
        <f>IF(LEFT(TRIM(H10),1)="赤","赤",IF(LEFT(TRIM(H10),1)="白","白",""))</f>
        <v/>
      </c>
      <c r="J10" s="21">
        <f>IF(AND(D10&lt;&gt;"",F10&lt;&gt;"",I10&lt;&gt;"",ISNUMBER(G10)),F10&amp;I10,"")</f>
        <v/>
      </c>
      <c r="K10" s="21">
        <f>IF(J10="","",COUNTIFS($J$2:$J$186,J10,$G$2:$G$186,"&lt;"&amp;G10)+COUNTIFS($J$2:$J$186,J10,$G$2:$G$186,G10,$A$2:$A$186,"&lt;"&amp;A10)+1)</f>
        <v/>
      </c>
      <c r="L10" s="21">
        <f>IF(J10="","",J10&amp;K10)</f>
        <v/>
      </c>
      <c r="M10" s="21">
        <f>B10&amp;"組"</f>
        <v/>
      </c>
      <c r="N10" s="21">
        <f>IF(AND(D10&lt;&gt;"",J10=""),1,0)</f>
        <v/>
      </c>
      <c r="P10" t="inlineStr">
        <is>
          <t>女子人数</t>
        </is>
      </c>
      <c r="Q10">
        <f>Q4+Q5</f>
        <v/>
      </c>
      <c r="S10" t="n">
        <v>9</v>
      </c>
      <c r="T10">
        <f>IF(OR($Q$9=0,S10&gt;$Q$9),0,INT($Q$8/$Q$9)+IF(S10&lt;=MOD($Q$8,$Q$9),1,0))</f>
        <v/>
      </c>
      <c r="U10">
        <f>$Q$2-Y9</f>
        <v/>
      </c>
      <c r="V10">
        <f>$Q$3-Z9</f>
        <v/>
      </c>
      <c r="W10">
        <f>IF(T10=0,0,MIN(U10,MAX(IF(MOD(T10,2)=0,T10/2,IF(U10&gt;=V10,(T10+1)/2,(T10-1)/2)),T10-V10)))</f>
        <v/>
      </c>
      <c r="X10">
        <f>T10-W10</f>
        <v/>
      </c>
      <c r="Y10">
        <f>Y9+W10</f>
        <v/>
      </c>
      <c r="Z10">
        <f>Z9+X10</f>
        <v/>
      </c>
      <c r="AB10" t="n">
        <v>9</v>
      </c>
      <c r="AC10">
        <f>IF(OR($Q$11=0,AB10&gt;$Q$11),0,INT($Q$10/$Q$11)+IF(AB10&lt;=MOD($Q$10,$Q$11),1,0))</f>
        <v/>
      </c>
      <c r="AD10">
        <f>$Q$4-AH9</f>
        <v/>
      </c>
      <c r="AE10">
        <f>$Q$5-AI9</f>
        <v/>
      </c>
      <c r="AF10">
        <f>IF(AC10=0,0,MIN(AD10,MAX(IF(MOD(AC10,2)=0,AC10/2,IF(AD10&gt;=AE10,(AC10+1)/2,(AC10-1)/2)),AC10-AE10)))</f>
        <v/>
      </c>
      <c r="AG10">
        <f>AC10-AF10</f>
        <v/>
      </c>
      <c r="AH10">
        <f>AH9+AF10</f>
        <v/>
      </c>
      <c r="AI10">
        <f>AI9+AG10</f>
        <v/>
      </c>
      <c r="AK10">
        <f>IF(J10="","",IF(J10="男赤",COUNTIF($Y$2:$Y$51,"&lt;"&amp;K10),IF(J10="男白",COUNTIF($Z$2:$Z$51,"&lt;"&amp;K10),IF(J10="女赤",COUNTIF($AH$2:$AH$51,"&lt;"&amp;K10),COUNTIF($AI$2:$AI$51,"&lt;"&amp;K10))))+1)</f>
        <v/>
      </c>
      <c r="AL10">
        <f>IF(AK10="","",IF(AK10=1,0,IF(J10="男赤",INDEX($Y$2:$Y$51,AK10-1),IF(J10="男白",INDEX($Z$2:$Z$51,AK10-1),IF(J10="女赤",INDEX($AH$2:$AH$51,AK10-1),INDEX($AI$2:$AI$51,AK10-1))))))</f>
        <v/>
      </c>
      <c r="AM10">
        <f>IF(AK10="","",IF(RIGHT(J10,1)="赤",K10-AL10,IF(LEFT(J10,1)="男",INDEX($W$2:$W$51,AK10),INDEX($AF$2:$AF$51,AK10))+K10-AL10))</f>
        <v/>
      </c>
      <c r="AN10">
        <f>IF(AK10="","",F10&amp;AK10&amp;"-"&amp;AM10)</f>
        <v/>
      </c>
      <c r="AO10">
        <f>IF(J10="","",F10&amp;D10)</f>
        <v/>
      </c>
      <c r="AP10">
        <f>IF(J10="","",IF(F10="男",COUNTIF(手直し!$B$6:$E$55,D10),COUNTIF(手直し!$F$6:$I$55,D10)))</f>
        <v/>
      </c>
      <c r="AQ10">
        <f>IF(AND(J10&lt;&gt;"",AP10=0),1,0)</f>
        <v/>
      </c>
      <c r="AR10">
        <f>IF(AND(AQ10=1,F10="男"),COUNTIFS($AQ$2:AQ10,1,$F$2:F10,"男"),"")</f>
        <v/>
      </c>
      <c r="AS10">
        <f>IF(AND(AQ10=1,F10="女"),COUNTIFS($AQ$2:AQ10,1,$F$2:F10,"女"),"")</f>
        <v/>
      </c>
    </row>
    <row r="11">
      <c r="A11" s="21">
        <f>ROW()-1</f>
        <v/>
      </c>
      <c r="B11" s="21">
        <f>INT((A11-1)/37)+1</f>
        <v/>
      </c>
      <c r="C11" s="21">
        <f>MOD(A11-1,37)+1</f>
        <v/>
      </c>
      <c r="D11" s="21">
        <f>INDEX(①データ入力!$B$3:$Y$39,C11,(B11-1)*5+1)&amp;""</f>
        <v/>
      </c>
      <c r="E11" s="21">
        <f>INDEX(①データ入力!$B$3:$Y$39,C11,(B11-1)*5+2)&amp;""</f>
        <v/>
      </c>
      <c r="F11" s="21">
        <f>IF(OR(E11="1",E11="１",E11="男"),"男",IF(OR(E11="2",E11="２",E11="女"),"女",""))</f>
        <v/>
      </c>
      <c r="G11" s="21">
        <f>INDEX(①データ入力!$B$3:$Y$39,C11,(B11-1)*5+3)</f>
        <v/>
      </c>
      <c r="H11" s="21">
        <f>INDEX(①データ入力!$B$3:$Y$39,C11,(B11-1)*5+4)&amp;""</f>
        <v/>
      </c>
      <c r="I11" s="21">
        <f>IF(LEFT(TRIM(H11),1)="赤","赤",IF(LEFT(TRIM(H11),1)="白","白",""))</f>
        <v/>
      </c>
      <c r="J11" s="21">
        <f>IF(AND(D11&lt;&gt;"",F11&lt;&gt;"",I11&lt;&gt;"",ISNUMBER(G11)),F11&amp;I11,"")</f>
        <v/>
      </c>
      <c r="K11" s="21">
        <f>IF(J11="","",COUNTIFS($J$2:$J$186,J11,$G$2:$G$186,"&lt;"&amp;G11)+COUNTIFS($J$2:$J$186,J11,$G$2:$G$186,G11,$A$2:$A$186,"&lt;"&amp;A11)+1)</f>
        <v/>
      </c>
      <c r="L11" s="21">
        <f>IF(J11="","",J11&amp;K11)</f>
        <v/>
      </c>
      <c r="M11" s="21">
        <f>B11&amp;"組"</f>
        <v/>
      </c>
      <c r="N11" s="21">
        <f>IF(AND(D11&lt;&gt;"",J11=""),1,0)</f>
        <v/>
      </c>
      <c r="P11" t="inlineStr">
        <is>
          <t>女子組数</t>
        </is>
      </c>
      <c r="Q11">
        <f>ROUNDUP(Q10/4,0)</f>
        <v/>
      </c>
      <c r="S11" t="n">
        <v>10</v>
      </c>
      <c r="T11">
        <f>IF(OR($Q$9=0,S11&gt;$Q$9),0,INT($Q$8/$Q$9)+IF(S11&lt;=MOD($Q$8,$Q$9),1,0))</f>
        <v/>
      </c>
      <c r="U11">
        <f>$Q$2-Y10</f>
        <v/>
      </c>
      <c r="V11">
        <f>$Q$3-Z10</f>
        <v/>
      </c>
      <c r="W11">
        <f>IF(T11=0,0,MIN(U11,MAX(IF(MOD(T11,2)=0,T11/2,IF(U11&gt;=V11,(T11+1)/2,(T11-1)/2)),T11-V11)))</f>
        <v/>
      </c>
      <c r="X11">
        <f>T11-W11</f>
        <v/>
      </c>
      <c r="Y11">
        <f>Y10+W11</f>
        <v/>
      </c>
      <c r="Z11">
        <f>Z10+X11</f>
        <v/>
      </c>
      <c r="AB11" t="n">
        <v>10</v>
      </c>
      <c r="AC11">
        <f>IF(OR($Q$11=0,AB11&gt;$Q$11),0,INT($Q$10/$Q$11)+IF(AB11&lt;=MOD($Q$10,$Q$11),1,0))</f>
        <v/>
      </c>
      <c r="AD11">
        <f>$Q$4-AH10</f>
        <v/>
      </c>
      <c r="AE11">
        <f>$Q$5-AI10</f>
        <v/>
      </c>
      <c r="AF11">
        <f>IF(AC11=0,0,MIN(AD11,MAX(IF(MOD(AC11,2)=0,AC11/2,IF(AD11&gt;=AE11,(AC11+1)/2,(AC11-1)/2)),AC11-AE11)))</f>
        <v/>
      </c>
      <c r="AG11">
        <f>AC11-AF11</f>
        <v/>
      </c>
      <c r="AH11">
        <f>AH10+AF11</f>
        <v/>
      </c>
      <c r="AI11">
        <f>AI10+AG11</f>
        <v/>
      </c>
      <c r="AK11">
        <f>IF(J11="","",IF(J11="男赤",COUNTIF($Y$2:$Y$51,"&lt;"&amp;K11),IF(J11="男白",COUNTIF($Z$2:$Z$51,"&lt;"&amp;K11),IF(J11="女赤",COUNTIF($AH$2:$AH$51,"&lt;"&amp;K11),COUNTIF($AI$2:$AI$51,"&lt;"&amp;K11))))+1)</f>
        <v/>
      </c>
      <c r="AL11">
        <f>IF(AK11="","",IF(AK11=1,0,IF(J11="男赤",INDEX($Y$2:$Y$51,AK11-1),IF(J11="男白",INDEX($Z$2:$Z$51,AK11-1),IF(J11="女赤",INDEX($AH$2:$AH$51,AK11-1),INDEX($AI$2:$AI$51,AK11-1))))))</f>
        <v/>
      </c>
      <c r="AM11">
        <f>IF(AK11="","",IF(RIGHT(J11,1)="赤",K11-AL11,IF(LEFT(J11,1)="男",INDEX($W$2:$W$51,AK11),INDEX($AF$2:$AF$51,AK11))+K11-AL11))</f>
        <v/>
      </c>
      <c r="AN11">
        <f>IF(AK11="","",F11&amp;AK11&amp;"-"&amp;AM11)</f>
        <v/>
      </c>
      <c r="AO11">
        <f>IF(J11="","",F11&amp;D11)</f>
        <v/>
      </c>
      <c r="AP11">
        <f>IF(J11="","",IF(F11="男",COUNTIF(手直し!$B$6:$E$55,D11),COUNTIF(手直し!$F$6:$I$55,D11)))</f>
        <v/>
      </c>
      <c r="AQ11">
        <f>IF(AND(J11&lt;&gt;"",AP11=0),1,0)</f>
        <v/>
      </c>
      <c r="AR11">
        <f>IF(AND(AQ11=1,F11="男"),COUNTIFS($AQ$2:AQ11,1,$F$2:F11,"男"),"")</f>
        <v/>
      </c>
      <c r="AS11">
        <f>IF(AND(AQ11=1,F11="女"),COUNTIFS($AQ$2:AQ11,1,$F$2:F11,"女"),"")</f>
        <v/>
      </c>
    </row>
    <row r="12">
      <c r="A12" s="21">
        <f>ROW()-1</f>
        <v/>
      </c>
      <c r="B12" s="21">
        <f>INT((A12-1)/37)+1</f>
        <v/>
      </c>
      <c r="C12" s="21">
        <f>MOD(A12-1,37)+1</f>
        <v/>
      </c>
      <c r="D12" s="21">
        <f>INDEX(①データ入力!$B$3:$Y$39,C12,(B12-1)*5+1)&amp;""</f>
        <v/>
      </c>
      <c r="E12" s="21">
        <f>INDEX(①データ入力!$B$3:$Y$39,C12,(B12-1)*5+2)&amp;""</f>
        <v/>
      </c>
      <c r="F12" s="21">
        <f>IF(OR(E12="1",E12="１",E12="男"),"男",IF(OR(E12="2",E12="２",E12="女"),"女",""))</f>
        <v/>
      </c>
      <c r="G12" s="21">
        <f>INDEX(①データ入力!$B$3:$Y$39,C12,(B12-1)*5+3)</f>
        <v/>
      </c>
      <c r="H12" s="21">
        <f>INDEX(①データ入力!$B$3:$Y$39,C12,(B12-1)*5+4)&amp;""</f>
        <v/>
      </c>
      <c r="I12" s="21">
        <f>IF(LEFT(TRIM(H12),1)="赤","赤",IF(LEFT(TRIM(H12),1)="白","白",""))</f>
        <v/>
      </c>
      <c r="J12" s="21">
        <f>IF(AND(D12&lt;&gt;"",F12&lt;&gt;"",I12&lt;&gt;"",ISNUMBER(G12)),F12&amp;I12,"")</f>
        <v/>
      </c>
      <c r="K12" s="21">
        <f>IF(J12="","",COUNTIFS($J$2:$J$186,J12,$G$2:$G$186,"&lt;"&amp;G12)+COUNTIFS($J$2:$J$186,J12,$G$2:$G$186,G12,$A$2:$A$186,"&lt;"&amp;A12)+1)</f>
        <v/>
      </c>
      <c r="L12" s="21">
        <f>IF(J12="","",J12&amp;K12)</f>
        <v/>
      </c>
      <c r="M12" s="21">
        <f>B12&amp;"組"</f>
        <v/>
      </c>
      <c r="N12" s="21">
        <f>IF(AND(D12&lt;&gt;"",J12=""),1,0)</f>
        <v/>
      </c>
      <c r="S12" t="n">
        <v>11</v>
      </c>
      <c r="T12">
        <f>IF(OR($Q$9=0,S12&gt;$Q$9),0,INT($Q$8/$Q$9)+IF(S12&lt;=MOD($Q$8,$Q$9),1,0))</f>
        <v/>
      </c>
      <c r="U12">
        <f>$Q$2-Y11</f>
        <v/>
      </c>
      <c r="V12">
        <f>$Q$3-Z11</f>
        <v/>
      </c>
      <c r="W12">
        <f>IF(T12=0,0,MIN(U12,MAX(IF(MOD(T12,2)=0,T12/2,IF(U12&gt;=V12,(T12+1)/2,(T12-1)/2)),T12-V12)))</f>
        <v/>
      </c>
      <c r="X12">
        <f>T12-W12</f>
        <v/>
      </c>
      <c r="Y12">
        <f>Y11+W12</f>
        <v/>
      </c>
      <c r="Z12">
        <f>Z11+X12</f>
        <v/>
      </c>
      <c r="AB12" t="n">
        <v>11</v>
      </c>
      <c r="AC12">
        <f>IF(OR($Q$11=0,AB12&gt;$Q$11),0,INT($Q$10/$Q$11)+IF(AB12&lt;=MOD($Q$10,$Q$11),1,0))</f>
        <v/>
      </c>
      <c r="AD12">
        <f>$Q$4-AH11</f>
        <v/>
      </c>
      <c r="AE12">
        <f>$Q$5-AI11</f>
        <v/>
      </c>
      <c r="AF12">
        <f>IF(AC12=0,0,MIN(AD12,MAX(IF(MOD(AC12,2)=0,AC12/2,IF(AD12&gt;=AE12,(AC12+1)/2,(AC12-1)/2)),AC12-AE12)))</f>
        <v/>
      </c>
      <c r="AG12">
        <f>AC12-AF12</f>
        <v/>
      </c>
      <c r="AH12">
        <f>AH11+AF12</f>
        <v/>
      </c>
      <c r="AI12">
        <f>AI11+AG12</f>
        <v/>
      </c>
      <c r="AK12">
        <f>IF(J12="","",IF(J12="男赤",COUNTIF($Y$2:$Y$51,"&lt;"&amp;K12),IF(J12="男白",COUNTIF($Z$2:$Z$51,"&lt;"&amp;K12),IF(J12="女赤",COUNTIF($AH$2:$AH$51,"&lt;"&amp;K12),COUNTIF($AI$2:$AI$51,"&lt;"&amp;K12))))+1)</f>
        <v/>
      </c>
      <c r="AL12">
        <f>IF(AK12="","",IF(AK12=1,0,IF(J12="男赤",INDEX($Y$2:$Y$51,AK12-1),IF(J12="男白",INDEX($Z$2:$Z$51,AK12-1),IF(J12="女赤",INDEX($AH$2:$AH$51,AK12-1),INDEX($AI$2:$AI$51,AK12-1))))))</f>
        <v/>
      </c>
      <c r="AM12">
        <f>IF(AK12="","",IF(RIGHT(J12,1)="赤",K12-AL12,IF(LEFT(J12,1)="男",INDEX($W$2:$W$51,AK12),INDEX($AF$2:$AF$51,AK12))+K12-AL12))</f>
        <v/>
      </c>
      <c r="AN12">
        <f>IF(AK12="","",F12&amp;AK12&amp;"-"&amp;AM12)</f>
        <v/>
      </c>
      <c r="AO12">
        <f>IF(J12="","",F12&amp;D12)</f>
        <v/>
      </c>
      <c r="AP12">
        <f>IF(J12="","",IF(F12="男",COUNTIF(手直し!$B$6:$E$55,D12),COUNTIF(手直し!$F$6:$I$55,D12)))</f>
        <v/>
      </c>
      <c r="AQ12">
        <f>IF(AND(J12&lt;&gt;"",AP12=0),1,0)</f>
        <v/>
      </c>
      <c r="AR12">
        <f>IF(AND(AQ12=1,F12="男"),COUNTIFS($AQ$2:AQ12,1,$F$2:F12,"男"),"")</f>
        <v/>
      </c>
      <c r="AS12">
        <f>IF(AND(AQ12=1,F12="女"),COUNTIFS($AQ$2:AQ12,1,$F$2:F12,"女"),"")</f>
        <v/>
      </c>
    </row>
    <row r="13">
      <c r="A13" s="21">
        <f>ROW()-1</f>
        <v/>
      </c>
      <c r="B13" s="21">
        <f>INT((A13-1)/37)+1</f>
        <v/>
      </c>
      <c r="C13" s="21">
        <f>MOD(A13-1,37)+1</f>
        <v/>
      </c>
      <c r="D13" s="21">
        <f>INDEX(①データ入力!$B$3:$Y$39,C13,(B13-1)*5+1)&amp;""</f>
        <v/>
      </c>
      <c r="E13" s="21">
        <f>INDEX(①データ入力!$B$3:$Y$39,C13,(B13-1)*5+2)&amp;""</f>
        <v/>
      </c>
      <c r="F13" s="21">
        <f>IF(OR(E13="1",E13="１",E13="男"),"男",IF(OR(E13="2",E13="２",E13="女"),"女",""))</f>
        <v/>
      </c>
      <c r="G13" s="21">
        <f>INDEX(①データ入力!$B$3:$Y$39,C13,(B13-1)*5+3)</f>
        <v/>
      </c>
      <c r="H13" s="21">
        <f>INDEX(①データ入力!$B$3:$Y$39,C13,(B13-1)*5+4)&amp;""</f>
        <v/>
      </c>
      <c r="I13" s="21">
        <f>IF(LEFT(TRIM(H13),1)="赤","赤",IF(LEFT(TRIM(H13),1)="白","白",""))</f>
        <v/>
      </c>
      <c r="J13" s="21">
        <f>IF(AND(D13&lt;&gt;"",F13&lt;&gt;"",I13&lt;&gt;"",ISNUMBER(G13)),F13&amp;I13,"")</f>
        <v/>
      </c>
      <c r="K13" s="21">
        <f>IF(J13="","",COUNTIFS($J$2:$J$186,J13,$G$2:$G$186,"&lt;"&amp;G13)+COUNTIFS($J$2:$J$186,J13,$G$2:$G$186,G13,$A$2:$A$186,"&lt;"&amp;A13)+1)</f>
        <v/>
      </c>
      <c r="L13" s="21">
        <f>IF(J13="","",J13&amp;K13)</f>
        <v/>
      </c>
      <c r="M13" s="21">
        <f>B13&amp;"組"</f>
        <v/>
      </c>
      <c r="N13" s="21">
        <f>IF(AND(D13&lt;&gt;"",J13=""),1,0)</f>
        <v/>
      </c>
      <c r="P13" t="inlineStr">
        <is>
          <t>男子決定組数</t>
        </is>
      </c>
      <c r="Q13">
        <f>SUMPRODUCT(MAX((手直し!$B$6:$E$55&lt;&gt;"")*(ROW(手直し!$B$6:$E$55)-5)))</f>
        <v/>
      </c>
      <c r="S13" t="n">
        <v>12</v>
      </c>
      <c r="T13">
        <f>IF(OR($Q$9=0,S13&gt;$Q$9),0,INT($Q$8/$Q$9)+IF(S13&lt;=MOD($Q$8,$Q$9),1,0))</f>
        <v/>
      </c>
      <c r="U13">
        <f>$Q$2-Y12</f>
        <v/>
      </c>
      <c r="V13">
        <f>$Q$3-Z12</f>
        <v/>
      </c>
      <c r="W13">
        <f>IF(T13=0,0,MIN(U13,MAX(IF(MOD(T13,2)=0,T13/2,IF(U13&gt;=V13,(T13+1)/2,(T13-1)/2)),T13-V13)))</f>
        <v/>
      </c>
      <c r="X13">
        <f>T13-W13</f>
        <v/>
      </c>
      <c r="Y13">
        <f>Y12+W13</f>
        <v/>
      </c>
      <c r="Z13">
        <f>Z12+X13</f>
        <v/>
      </c>
      <c r="AB13" t="n">
        <v>12</v>
      </c>
      <c r="AC13">
        <f>IF(OR($Q$11=0,AB13&gt;$Q$11),0,INT($Q$10/$Q$11)+IF(AB13&lt;=MOD($Q$10,$Q$11),1,0))</f>
        <v/>
      </c>
      <c r="AD13">
        <f>$Q$4-AH12</f>
        <v/>
      </c>
      <c r="AE13">
        <f>$Q$5-AI12</f>
        <v/>
      </c>
      <c r="AF13">
        <f>IF(AC13=0,0,MIN(AD13,MAX(IF(MOD(AC13,2)=0,AC13/2,IF(AD13&gt;=AE13,(AC13+1)/2,(AC13-1)/2)),AC13-AE13)))</f>
        <v/>
      </c>
      <c r="AG13">
        <f>AC13-AF13</f>
        <v/>
      </c>
      <c r="AH13">
        <f>AH12+AF13</f>
        <v/>
      </c>
      <c r="AI13">
        <f>AI12+AG13</f>
        <v/>
      </c>
      <c r="AK13">
        <f>IF(J13="","",IF(J13="男赤",COUNTIF($Y$2:$Y$51,"&lt;"&amp;K13),IF(J13="男白",COUNTIF($Z$2:$Z$51,"&lt;"&amp;K13),IF(J13="女赤",COUNTIF($AH$2:$AH$51,"&lt;"&amp;K13),COUNTIF($AI$2:$AI$51,"&lt;"&amp;K13))))+1)</f>
        <v/>
      </c>
      <c r="AL13">
        <f>IF(AK13="","",IF(AK13=1,0,IF(J13="男赤",INDEX($Y$2:$Y$51,AK13-1),IF(J13="男白",INDEX($Z$2:$Z$51,AK13-1),IF(J13="女赤",INDEX($AH$2:$AH$51,AK13-1),INDEX($AI$2:$AI$51,AK13-1))))))</f>
        <v/>
      </c>
      <c r="AM13">
        <f>IF(AK13="","",IF(RIGHT(J13,1)="赤",K13-AL13,IF(LEFT(J13,1)="男",INDEX($W$2:$W$51,AK13),INDEX($AF$2:$AF$51,AK13))+K13-AL13))</f>
        <v/>
      </c>
      <c r="AN13">
        <f>IF(AK13="","",F13&amp;AK13&amp;"-"&amp;AM13)</f>
        <v/>
      </c>
      <c r="AO13">
        <f>IF(J13="","",F13&amp;D13)</f>
        <v/>
      </c>
      <c r="AP13">
        <f>IF(J13="","",IF(F13="男",COUNTIF(手直し!$B$6:$E$55,D13),COUNTIF(手直し!$F$6:$I$55,D13)))</f>
        <v/>
      </c>
      <c r="AQ13">
        <f>IF(AND(J13&lt;&gt;"",AP13=0),1,0)</f>
        <v/>
      </c>
      <c r="AR13">
        <f>IF(AND(AQ13=1,F13="男"),COUNTIFS($AQ$2:AQ13,1,$F$2:F13,"男"),"")</f>
        <v/>
      </c>
      <c r="AS13">
        <f>IF(AND(AQ13=1,F13="女"),COUNTIFS($AQ$2:AQ13,1,$F$2:F13,"女"),"")</f>
        <v/>
      </c>
    </row>
    <row r="14">
      <c r="A14" s="21">
        <f>ROW()-1</f>
        <v/>
      </c>
      <c r="B14" s="21">
        <f>INT((A14-1)/37)+1</f>
        <v/>
      </c>
      <c r="C14" s="21">
        <f>MOD(A14-1,37)+1</f>
        <v/>
      </c>
      <c r="D14" s="21">
        <f>INDEX(①データ入力!$B$3:$Y$39,C14,(B14-1)*5+1)&amp;""</f>
        <v/>
      </c>
      <c r="E14" s="21">
        <f>INDEX(①データ入力!$B$3:$Y$39,C14,(B14-1)*5+2)&amp;""</f>
        <v/>
      </c>
      <c r="F14" s="21">
        <f>IF(OR(E14="1",E14="１",E14="男"),"男",IF(OR(E14="2",E14="２",E14="女"),"女",""))</f>
        <v/>
      </c>
      <c r="G14" s="21">
        <f>INDEX(①データ入力!$B$3:$Y$39,C14,(B14-1)*5+3)</f>
        <v/>
      </c>
      <c r="H14" s="21">
        <f>INDEX(①データ入力!$B$3:$Y$39,C14,(B14-1)*5+4)&amp;""</f>
        <v/>
      </c>
      <c r="I14" s="21">
        <f>IF(LEFT(TRIM(H14),1)="赤","赤",IF(LEFT(TRIM(H14),1)="白","白",""))</f>
        <v/>
      </c>
      <c r="J14" s="21">
        <f>IF(AND(D14&lt;&gt;"",F14&lt;&gt;"",I14&lt;&gt;"",ISNUMBER(G14)),F14&amp;I14,"")</f>
        <v/>
      </c>
      <c r="K14" s="21">
        <f>IF(J14="","",COUNTIFS($J$2:$J$186,J14,$G$2:$G$186,"&lt;"&amp;G14)+COUNTIFS($J$2:$J$186,J14,$G$2:$G$186,G14,$A$2:$A$186,"&lt;"&amp;A14)+1)</f>
        <v/>
      </c>
      <c r="L14" s="21">
        <f>IF(J14="","",J14&amp;K14)</f>
        <v/>
      </c>
      <c r="M14" s="21">
        <f>B14&amp;"組"</f>
        <v/>
      </c>
      <c r="N14" s="21">
        <f>IF(AND(D14&lt;&gt;"",J14=""),1,0)</f>
        <v/>
      </c>
      <c r="P14" t="inlineStr">
        <is>
          <t>女子決定組数</t>
        </is>
      </c>
      <c r="Q14">
        <f>SUMPRODUCT(MAX((手直し!$F$6:$I$55&lt;&gt;"")*(ROW(手直し!$F$6:$I$55)-5)))</f>
        <v/>
      </c>
      <c r="S14" t="n">
        <v>13</v>
      </c>
      <c r="T14">
        <f>IF(OR($Q$9=0,S14&gt;$Q$9),0,INT($Q$8/$Q$9)+IF(S14&lt;=MOD($Q$8,$Q$9),1,0))</f>
        <v/>
      </c>
      <c r="U14">
        <f>$Q$2-Y13</f>
        <v/>
      </c>
      <c r="V14">
        <f>$Q$3-Z13</f>
        <v/>
      </c>
      <c r="W14">
        <f>IF(T14=0,0,MIN(U14,MAX(IF(MOD(T14,2)=0,T14/2,IF(U14&gt;=V14,(T14+1)/2,(T14-1)/2)),T14-V14)))</f>
        <v/>
      </c>
      <c r="X14">
        <f>T14-W14</f>
        <v/>
      </c>
      <c r="Y14">
        <f>Y13+W14</f>
        <v/>
      </c>
      <c r="Z14">
        <f>Z13+X14</f>
        <v/>
      </c>
      <c r="AB14" t="n">
        <v>13</v>
      </c>
      <c r="AC14">
        <f>IF(OR($Q$11=0,AB14&gt;$Q$11),0,INT($Q$10/$Q$11)+IF(AB14&lt;=MOD($Q$10,$Q$11),1,0))</f>
        <v/>
      </c>
      <c r="AD14">
        <f>$Q$4-AH13</f>
        <v/>
      </c>
      <c r="AE14">
        <f>$Q$5-AI13</f>
        <v/>
      </c>
      <c r="AF14">
        <f>IF(AC14=0,0,MIN(AD14,MAX(IF(MOD(AC14,2)=0,AC14/2,IF(AD14&gt;=AE14,(AC14+1)/2,(AC14-1)/2)),AC14-AE14)))</f>
        <v/>
      </c>
      <c r="AG14">
        <f>AC14-AF14</f>
        <v/>
      </c>
      <c r="AH14">
        <f>AH13+AF14</f>
        <v/>
      </c>
      <c r="AI14">
        <f>AI13+AG14</f>
        <v/>
      </c>
      <c r="AK14">
        <f>IF(J14="","",IF(J14="男赤",COUNTIF($Y$2:$Y$51,"&lt;"&amp;K14),IF(J14="男白",COUNTIF($Z$2:$Z$51,"&lt;"&amp;K14),IF(J14="女赤",COUNTIF($AH$2:$AH$51,"&lt;"&amp;K14),COUNTIF($AI$2:$AI$51,"&lt;"&amp;K14))))+1)</f>
        <v/>
      </c>
      <c r="AL14">
        <f>IF(AK14="","",IF(AK14=1,0,IF(J14="男赤",INDEX($Y$2:$Y$51,AK14-1),IF(J14="男白",INDEX($Z$2:$Z$51,AK14-1),IF(J14="女赤",INDEX($AH$2:$AH$51,AK14-1),INDEX($AI$2:$AI$51,AK14-1))))))</f>
        <v/>
      </c>
      <c r="AM14">
        <f>IF(AK14="","",IF(RIGHT(J14,1)="赤",K14-AL14,IF(LEFT(J14,1)="男",INDEX($W$2:$W$51,AK14),INDEX($AF$2:$AF$51,AK14))+K14-AL14))</f>
        <v/>
      </c>
      <c r="AN14">
        <f>IF(AK14="","",F14&amp;AK14&amp;"-"&amp;AM14)</f>
        <v/>
      </c>
      <c r="AO14">
        <f>IF(J14="","",F14&amp;D14)</f>
        <v/>
      </c>
      <c r="AP14">
        <f>IF(J14="","",IF(F14="男",COUNTIF(手直し!$B$6:$E$55,D14),COUNTIF(手直し!$F$6:$I$55,D14)))</f>
        <v/>
      </c>
      <c r="AQ14">
        <f>IF(AND(J14&lt;&gt;"",AP14=0),1,0)</f>
        <v/>
      </c>
      <c r="AR14">
        <f>IF(AND(AQ14=1,F14="男"),COUNTIFS($AQ$2:AQ14,1,$F$2:F14,"男"),"")</f>
        <v/>
      </c>
      <c r="AS14">
        <f>IF(AND(AQ14=1,F14="女"),COUNTIFS($AQ$2:AQ14,1,$F$2:F14,"女"),"")</f>
        <v/>
      </c>
    </row>
    <row r="15">
      <c r="A15" s="21">
        <f>ROW()-1</f>
        <v/>
      </c>
      <c r="B15" s="21">
        <f>INT((A15-1)/37)+1</f>
        <v/>
      </c>
      <c r="C15" s="21">
        <f>MOD(A15-1,37)+1</f>
        <v/>
      </c>
      <c r="D15" s="21">
        <f>INDEX(①データ入力!$B$3:$Y$39,C15,(B15-1)*5+1)&amp;""</f>
        <v/>
      </c>
      <c r="E15" s="21">
        <f>INDEX(①データ入力!$B$3:$Y$39,C15,(B15-1)*5+2)&amp;""</f>
        <v/>
      </c>
      <c r="F15" s="21">
        <f>IF(OR(E15="1",E15="１",E15="男"),"男",IF(OR(E15="2",E15="２",E15="女"),"女",""))</f>
        <v/>
      </c>
      <c r="G15" s="21">
        <f>INDEX(①データ入力!$B$3:$Y$39,C15,(B15-1)*5+3)</f>
        <v/>
      </c>
      <c r="H15" s="21">
        <f>INDEX(①データ入力!$B$3:$Y$39,C15,(B15-1)*5+4)&amp;""</f>
        <v/>
      </c>
      <c r="I15" s="21">
        <f>IF(LEFT(TRIM(H15),1)="赤","赤",IF(LEFT(TRIM(H15),1)="白","白",""))</f>
        <v/>
      </c>
      <c r="J15" s="21">
        <f>IF(AND(D15&lt;&gt;"",F15&lt;&gt;"",I15&lt;&gt;"",ISNUMBER(G15)),F15&amp;I15,"")</f>
        <v/>
      </c>
      <c r="K15" s="21">
        <f>IF(J15="","",COUNTIFS($J$2:$J$186,J15,$G$2:$G$186,"&lt;"&amp;G15)+COUNTIFS($J$2:$J$186,J15,$G$2:$G$186,G15,$A$2:$A$186,"&lt;"&amp;A15)+1)</f>
        <v/>
      </c>
      <c r="L15" s="21">
        <f>IF(J15="","",J15&amp;K15)</f>
        <v/>
      </c>
      <c r="M15" s="21">
        <f>B15&amp;"組"</f>
        <v/>
      </c>
      <c r="N15" s="21">
        <f>IF(AND(D15&lt;&gt;"",J15=""),1,0)</f>
        <v/>
      </c>
      <c r="P15" t="inlineStr">
        <is>
          <t>男子確認の数</t>
        </is>
      </c>
      <c r="Q15">
        <f>Q17+Q19+Q21+Q23</f>
        <v/>
      </c>
      <c r="S15" t="n">
        <v>14</v>
      </c>
      <c r="T15">
        <f>IF(OR($Q$9=0,S15&gt;$Q$9),0,INT($Q$8/$Q$9)+IF(S15&lt;=MOD($Q$8,$Q$9),1,0))</f>
        <v/>
      </c>
      <c r="U15">
        <f>$Q$2-Y14</f>
        <v/>
      </c>
      <c r="V15">
        <f>$Q$3-Z14</f>
        <v/>
      </c>
      <c r="W15">
        <f>IF(T15=0,0,MIN(U15,MAX(IF(MOD(T15,2)=0,T15/2,IF(U15&gt;=V15,(T15+1)/2,(T15-1)/2)),T15-V15)))</f>
        <v/>
      </c>
      <c r="X15">
        <f>T15-W15</f>
        <v/>
      </c>
      <c r="Y15">
        <f>Y14+W15</f>
        <v/>
      </c>
      <c r="Z15">
        <f>Z14+X15</f>
        <v/>
      </c>
      <c r="AB15" t="n">
        <v>14</v>
      </c>
      <c r="AC15">
        <f>IF(OR($Q$11=0,AB15&gt;$Q$11),0,INT($Q$10/$Q$11)+IF(AB15&lt;=MOD($Q$10,$Q$11),1,0))</f>
        <v/>
      </c>
      <c r="AD15">
        <f>$Q$4-AH14</f>
        <v/>
      </c>
      <c r="AE15">
        <f>$Q$5-AI14</f>
        <v/>
      </c>
      <c r="AF15">
        <f>IF(AC15=0,0,MIN(AD15,MAX(IF(MOD(AC15,2)=0,AC15/2,IF(AD15&gt;=AE15,(AC15+1)/2,(AC15-1)/2)),AC15-AE15)))</f>
        <v/>
      </c>
      <c r="AG15">
        <f>AC15-AF15</f>
        <v/>
      </c>
      <c r="AH15">
        <f>AH14+AF15</f>
        <v/>
      </c>
      <c r="AI15">
        <f>AI14+AG15</f>
        <v/>
      </c>
      <c r="AK15">
        <f>IF(J15="","",IF(J15="男赤",COUNTIF($Y$2:$Y$51,"&lt;"&amp;K15),IF(J15="男白",COUNTIF($Z$2:$Z$51,"&lt;"&amp;K15),IF(J15="女赤",COUNTIF($AH$2:$AH$51,"&lt;"&amp;K15),COUNTIF($AI$2:$AI$51,"&lt;"&amp;K15))))+1)</f>
        <v/>
      </c>
      <c r="AL15">
        <f>IF(AK15="","",IF(AK15=1,0,IF(J15="男赤",INDEX($Y$2:$Y$51,AK15-1),IF(J15="男白",INDEX($Z$2:$Z$51,AK15-1),IF(J15="女赤",INDEX($AH$2:$AH$51,AK15-1),INDEX($AI$2:$AI$51,AK15-1))))))</f>
        <v/>
      </c>
      <c r="AM15">
        <f>IF(AK15="","",IF(RIGHT(J15,1)="赤",K15-AL15,IF(LEFT(J15,1)="男",INDEX($W$2:$W$51,AK15),INDEX($AF$2:$AF$51,AK15))+K15-AL15))</f>
        <v/>
      </c>
      <c r="AN15">
        <f>IF(AK15="","",F15&amp;AK15&amp;"-"&amp;AM15)</f>
        <v/>
      </c>
      <c r="AO15">
        <f>IF(J15="","",F15&amp;D15)</f>
        <v/>
      </c>
      <c r="AP15">
        <f>IF(J15="","",IF(F15="男",COUNTIF(手直し!$B$6:$E$55,D15),COUNTIF(手直し!$F$6:$I$55,D15)))</f>
        <v/>
      </c>
      <c r="AQ15">
        <f>IF(AND(J15&lt;&gt;"",AP15=0),1,0)</f>
        <v/>
      </c>
      <c r="AR15">
        <f>IF(AND(AQ15=1,F15="男"),COUNTIFS($AQ$2:AQ15,1,$F$2:F15,"男"),"")</f>
        <v/>
      </c>
      <c r="AS15">
        <f>IF(AND(AQ15=1,F15="女"),COUNTIFS($AQ$2:AQ15,1,$F$2:F15,"女"),"")</f>
        <v/>
      </c>
    </row>
    <row r="16">
      <c r="A16" s="21">
        <f>ROW()-1</f>
        <v/>
      </c>
      <c r="B16" s="21">
        <f>INT((A16-1)/37)+1</f>
        <v/>
      </c>
      <c r="C16" s="21">
        <f>MOD(A16-1,37)+1</f>
        <v/>
      </c>
      <c r="D16" s="21">
        <f>INDEX(①データ入力!$B$3:$Y$39,C16,(B16-1)*5+1)&amp;""</f>
        <v/>
      </c>
      <c r="E16" s="21">
        <f>INDEX(①データ入力!$B$3:$Y$39,C16,(B16-1)*5+2)&amp;""</f>
        <v/>
      </c>
      <c r="F16" s="21">
        <f>IF(OR(E16="1",E16="１",E16="男"),"男",IF(OR(E16="2",E16="２",E16="女"),"女",""))</f>
        <v/>
      </c>
      <c r="G16" s="21">
        <f>INDEX(①データ入力!$B$3:$Y$39,C16,(B16-1)*5+3)</f>
        <v/>
      </c>
      <c r="H16" s="21">
        <f>INDEX(①データ入力!$B$3:$Y$39,C16,(B16-1)*5+4)&amp;""</f>
        <v/>
      </c>
      <c r="I16" s="21">
        <f>IF(LEFT(TRIM(H16),1)="赤","赤",IF(LEFT(TRIM(H16),1)="白","白",""))</f>
        <v/>
      </c>
      <c r="J16" s="21">
        <f>IF(AND(D16&lt;&gt;"",F16&lt;&gt;"",I16&lt;&gt;"",ISNUMBER(G16)),F16&amp;I16,"")</f>
        <v/>
      </c>
      <c r="K16" s="21">
        <f>IF(J16="","",COUNTIFS($J$2:$J$186,J16,$G$2:$G$186,"&lt;"&amp;G16)+COUNTIFS($J$2:$J$186,J16,$G$2:$G$186,G16,$A$2:$A$186,"&lt;"&amp;A16)+1)</f>
        <v/>
      </c>
      <c r="L16" s="21">
        <f>IF(J16="","",J16&amp;K16)</f>
        <v/>
      </c>
      <c r="M16" s="21">
        <f>B16&amp;"組"</f>
        <v/>
      </c>
      <c r="N16" s="21">
        <f>IF(AND(D16&lt;&gt;"",J16=""),1,0)</f>
        <v/>
      </c>
      <c r="P16" t="inlineStr">
        <is>
          <t>女子確認の数</t>
        </is>
      </c>
      <c r="Q16">
        <f>Q18+Q20+Q22+Q24</f>
        <v/>
      </c>
      <c r="S16" t="n">
        <v>15</v>
      </c>
      <c r="T16">
        <f>IF(OR($Q$9=0,S16&gt;$Q$9),0,INT($Q$8/$Q$9)+IF(S16&lt;=MOD($Q$8,$Q$9),1,0))</f>
        <v/>
      </c>
      <c r="U16">
        <f>$Q$2-Y15</f>
        <v/>
      </c>
      <c r="V16">
        <f>$Q$3-Z15</f>
        <v/>
      </c>
      <c r="W16">
        <f>IF(T16=0,0,MIN(U16,MAX(IF(MOD(T16,2)=0,T16/2,IF(U16&gt;=V16,(T16+1)/2,(T16-1)/2)),T16-V16)))</f>
        <v/>
      </c>
      <c r="X16">
        <f>T16-W16</f>
        <v/>
      </c>
      <c r="Y16">
        <f>Y15+W16</f>
        <v/>
      </c>
      <c r="Z16">
        <f>Z15+X16</f>
        <v/>
      </c>
      <c r="AB16" t="n">
        <v>15</v>
      </c>
      <c r="AC16">
        <f>IF(OR($Q$11=0,AB16&gt;$Q$11),0,INT($Q$10/$Q$11)+IF(AB16&lt;=MOD($Q$10,$Q$11),1,0))</f>
        <v/>
      </c>
      <c r="AD16">
        <f>$Q$4-AH15</f>
        <v/>
      </c>
      <c r="AE16">
        <f>$Q$5-AI15</f>
        <v/>
      </c>
      <c r="AF16">
        <f>IF(AC16=0,0,MIN(AD16,MAX(IF(MOD(AC16,2)=0,AC16/2,IF(AD16&gt;=AE16,(AC16+1)/2,(AC16-1)/2)),AC16-AE16)))</f>
        <v/>
      </c>
      <c r="AG16">
        <f>AC16-AF16</f>
        <v/>
      </c>
      <c r="AH16">
        <f>AH15+AF16</f>
        <v/>
      </c>
      <c r="AI16">
        <f>AI15+AG16</f>
        <v/>
      </c>
      <c r="AK16">
        <f>IF(J16="","",IF(J16="男赤",COUNTIF($Y$2:$Y$51,"&lt;"&amp;K16),IF(J16="男白",COUNTIF($Z$2:$Z$51,"&lt;"&amp;K16),IF(J16="女赤",COUNTIF($AH$2:$AH$51,"&lt;"&amp;K16),COUNTIF($AI$2:$AI$51,"&lt;"&amp;K16))))+1)</f>
        <v/>
      </c>
      <c r="AL16">
        <f>IF(AK16="","",IF(AK16=1,0,IF(J16="男赤",INDEX($Y$2:$Y$51,AK16-1),IF(J16="男白",INDEX($Z$2:$Z$51,AK16-1),IF(J16="女赤",INDEX($AH$2:$AH$51,AK16-1),INDEX($AI$2:$AI$51,AK16-1))))))</f>
        <v/>
      </c>
      <c r="AM16">
        <f>IF(AK16="","",IF(RIGHT(J16,1)="赤",K16-AL16,IF(LEFT(J16,1)="男",INDEX($W$2:$W$51,AK16),INDEX($AF$2:$AF$51,AK16))+K16-AL16))</f>
        <v/>
      </c>
      <c r="AN16">
        <f>IF(AK16="","",F16&amp;AK16&amp;"-"&amp;AM16)</f>
        <v/>
      </c>
      <c r="AO16">
        <f>IF(J16="","",F16&amp;D16)</f>
        <v/>
      </c>
      <c r="AP16">
        <f>IF(J16="","",IF(F16="男",COUNTIF(手直し!$B$6:$E$55,D16),COUNTIF(手直し!$F$6:$I$55,D16)))</f>
        <v/>
      </c>
      <c r="AQ16">
        <f>IF(AND(J16&lt;&gt;"",AP16=0),1,0)</f>
        <v/>
      </c>
      <c r="AR16">
        <f>IF(AND(AQ16=1,F16="男"),COUNTIFS($AQ$2:AQ16,1,$F$2:F16,"男"),"")</f>
        <v/>
      </c>
      <c r="AS16">
        <f>IF(AND(AQ16=1,F16="女"),COUNTIFS($AQ$2:AQ16,1,$F$2:F16,"女"),"")</f>
        <v/>
      </c>
    </row>
    <row r="17">
      <c r="A17" s="21">
        <f>ROW()-1</f>
        <v/>
      </c>
      <c r="B17" s="21">
        <f>INT((A17-1)/37)+1</f>
        <v/>
      </c>
      <c r="C17" s="21">
        <f>MOD(A17-1,37)+1</f>
        <v/>
      </c>
      <c r="D17" s="21">
        <f>INDEX(①データ入力!$B$3:$Y$39,C17,(B17-1)*5+1)&amp;""</f>
        <v/>
      </c>
      <c r="E17" s="21">
        <f>INDEX(①データ入力!$B$3:$Y$39,C17,(B17-1)*5+2)&amp;""</f>
        <v/>
      </c>
      <c r="F17" s="21">
        <f>IF(OR(E17="1",E17="１",E17="男"),"男",IF(OR(E17="2",E17="２",E17="女"),"女",""))</f>
        <v/>
      </c>
      <c r="G17" s="21">
        <f>INDEX(①データ入力!$B$3:$Y$39,C17,(B17-1)*5+3)</f>
        <v/>
      </c>
      <c r="H17" s="21">
        <f>INDEX(①データ入力!$B$3:$Y$39,C17,(B17-1)*5+4)&amp;""</f>
        <v/>
      </c>
      <c r="I17" s="21">
        <f>IF(LEFT(TRIM(H17),1)="赤","赤",IF(LEFT(TRIM(H17),1)="白","白",""))</f>
        <v/>
      </c>
      <c r="J17" s="21">
        <f>IF(AND(D17&lt;&gt;"",F17&lt;&gt;"",I17&lt;&gt;"",ISNUMBER(G17)),F17&amp;I17,"")</f>
        <v/>
      </c>
      <c r="K17" s="21">
        <f>IF(J17="","",COUNTIFS($J$2:$J$186,J17,$G$2:$G$186,"&lt;"&amp;G17)+COUNTIFS($J$2:$J$186,J17,$G$2:$G$186,G17,$A$2:$A$186,"&lt;"&amp;A17)+1)</f>
        <v/>
      </c>
      <c r="L17" s="21">
        <f>IF(J17="","",J17&amp;K17)</f>
        <v/>
      </c>
      <c r="M17" s="21">
        <f>B17&amp;"組"</f>
        <v/>
      </c>
      <c r="N17" s="21">
        <f>IF(AND(D17&lt;&gt;"",J17=""),1,0)</f>
        <v/>
      </c>
      <c r="P17" t="inlineStr">
        <is>
          <t>男子入っていない</t>
        </is>
      </c>
      <c r="Q17">
        <f>COUNTIFS($AQ$2:$AQ$186,1,$F$2:$F$186,"男")</f>
        <v/>
      </c>
      <c r="S17" t="n">
        <v>16</v>
      </c>
      <c r="T17">
        <f>IF(OR($Q$9=0,S17&gt;$Q$9),0,INT($Q$8/$Q$9)+IF(S17&lt;=MOD($Q$8,$Q$9),1,0))</f>
        <v/>
      </c>
      <c r="U17">
        <f>$Q$2-Y16</f>
        <v/>
      </c>
      <c r="V17">
        <f>$Q$3-Z16</f>
        <v/>
      </c>
      <c r="W17">
        <f>IF(T17=0,0,MIN(U17,MAX(IF(MOD(T17,2)=0,T17/2,IF(U17&gt;=V17,(T17+1)/2,(T17-1)/2)),T17-V17)))</f>
        <v/>
      </c>
      <c r="X17">
        <f>T17-W17</f>
        <v/>
      </c>
      <c r="Y17">
        <f>Y16+W17</f>
        <v/>
      </c>
      <c r="Z17">
        <f>Z16+X17</f>
        <v/>
      </c>
      <c r="AB17" t="n">
        <v>16</v>
      </c>
      <c r="AC17">
        <f>IF(OR($Q$11=0,AB17&gt;$Q$11),0,INT($Q$10/$Q$11)+IF(AB17&lt;=MOD($Q$10,$Q$11),1,0))</f>
        <v/>
      </c>
      <c r="AD17">
        <f>$Q$4-AH16</f>
        <v/>
      </c>
      <c r="AE17">
        <f>$Q$5-AI16</f>
        <v/>
      </c>
      <c r="AF17">
        <f>IF(AC17=0,0,MIN(AD17,MAX(IF(MOD(AC17,2)=0,AC17/2,IF(AD17&gt;=AE17,(AC17+1)/2,(AC17-1)/2)),AC17-AE17)))</f>
        <v/>
      </c>
      <c r="AG17">
        <f>AC17-AF17</f>
        <v/>
      </c>
      <c r="AH17">
        <f>AH16+AF17</f>
        <v/>
      </c>
      <c r="AI17">
        <f>AI16+AG17</f>
        <v/>
      </c>
      <c r="AK17">
        <f>IF(J17="","",IF(J17="男赤",COUNTIF($Y$2:$Y$51,"&lt;"&amp;K17),IF(J17="男白",COUNTIF($Z$2:$Z$51,"&lt;"&amp;K17),IF(J17="女赤",COUNTIF($AH$2:$AH$51,"&lt;"&amp;K17),COUNTIF($AI$2:$AI$51,"&lt;"&amp;K17))))+1)</f>
        <v/>
      </c>
      <c r="AL17">
        <f>IF(AK17="","",IF(AK17=1,0,IF(J17="男赤",INDEX($Y$2:$Y$51,AK17-1),IF(J17="男白",INDEX($Z$2:$Z$51,AK17-1),IF(J17="女赤",INDEX($AH$2:$AH$51,AK17-1),INDEX($AI$2:$AI$51,AK17-1))))))</f>
        <v/>
      </c>
      <c r="AM17">
        <f>IF(AK17="","",IF(RIGHT(J17,1)="赤",K17-AL17,IF(LEFT(J17,1)="男",INDEX($W$2:$W$51,AK17),INDEX($AF$2:$AF$51,AK17))+K17-AL17))</f>
        <v/>
      </c>
      <c r="AN17">
        <f>IF(AK17="","",F17&amp;AK17&amp;"-"&amp;AM17)</f>
        <v/>
      </c>
      <c r="AO17">
        <f>IF(J17="","",F17&amp;D17)</f>
        <v/>
      </c>
      <c r="AP17">
        <f>IF(J17="","",IF(F17="男",COUNTIF(手直し!$B$6:$E$55,D17),COUNTIF(手直し!$F$6:$I$55,D17)))</f>
        <v/>
      </c>
      <c r="AQ17">
        <f>IF(AND(J17&lt;&gt;"",AP17=0),1,0)</f>
        <v/>
      </c>
      <c r="AR17">
        <f>IF(AND(AQ17=1,F17="男"),COUNTIFS($AQ$2:AQ17,1,$F$2:F17,"男"),"")</f>
        <v/>
      </c>
      <c r="AS17">
        <f>IF(AND(AQ17=1,F17="女"),COUNTIFS($AQ$2:AQ17,1,$F$2:F17,"女"),"")</f>
        <v/>
      </c>
    </row>
    <row r="18">
      <c r="A18" s="21">
        <f>ROW()-1</f>
        <v/>
      </c>
      <c r="B18" s="21">
        <f>INT((A18-1)/37)+1</f>
        <v/>
      </c>
      <c r="C18" s="21">
        <f>MOD(A18-1,37)+1</f>
        <v/>
      </c>
      <c r="D18" s="21">
        <f>INDEX(①データ入力!$B$3:$Y$39,C18,(B18-1)*5+1)&amp;""</f>
        <v/>
      </c>
      <c r="E18" s="21">
        <f>INDEX(①データ入力!$B$3:$Y$39,C18,(B18-1)*5+2)&amp;""</f>
        <v/>
      </c>
      <c r="F18" s="21">
        <f>IF(OR(E18="1",E18="１",E18="男"),"男",IF(OR(E18="2",E18="２",E18="女"),"女",""))</f>
        <v/>
      </c>
      <c r="G18" s="21">
        <f>INDEX(①データ入力!$B$3:$Y$39,C18,(B18-1)*5+3)</f>
        <v/>
      </c>
      <c r="H18" s="21">
        <f>INDEX(①データ入力!$B$3:$Y$39,C18,(B18-1)*5+4)&amp;""</f>
        <v/>
      </c>
      <c r="I18" s="21">
        <f>IF(LEFT(TRIM(H18),1)="赤","赤",IF(LEFT(TRIM(H18),1)="白","白",""))</f>
        <v/>
      </c>
      <c r="J18" s="21">
        <f>IF(AND(D18&lt;&gt;"",F18&lt;&gt;"",I18&lt;&gt;"",ISNUMBER(G18)),F18&amp;I18,"")</f>
        <v/>
      </c>
      <c r="K18" s="21">
        <f>IF(J18="","",COUNTIFS($J$2:$J$186,J18,$G$2:$G$186,"&lt;"&amp;G18)+COUNTIFS($J$2:$J$186,J18,$G$2:$G$186,G18,$A$2:$A$186,"&lt;"&amp;A18)+1)</f>
        <v/>
      </c>
      <c r="L18" s="21">
        <f>IF(J18="","",J18&amp;K18)</f>
        <v/>
      </c>
      <c r="M18" s="21">
        <f>B18&amp;"組"</f>
        <v/>
      </c>
      <c r="N18" s="21">
        <f>IF(AND(D18&lt;&gt;"",J18=""),1,0)</f>
        <v/>
      </c>
      <c r="P18" t="inlineStr">
        <is>
          <t>女子入っていない</t>
        </is>
      </c>
      <c r="Q18">
        <f>COUNTIFS($AQ$2:$AQ$186,1,$F$2:$F$186,"女")</f>
        <v/>
      </c>
      <c r="S18" t="n">
        <v>17</v>
      </c>
      <c r="T18">
        <f>IF(OR($Q$9=0,S18&gt;$Q$9),0,INT($Q$8/$Q$9)+IF(S18&lt;=MOD($Q$8,$Q$9),1,0))</f>
        <v/>
      </c>
      <c r="U18">
        <f>$Q$2-Y17</f>
        <v/>
      </c>
      <c r="V18">
        <f>$Q$3-Z17</f>
        <v/>
      </c>
      <c r="W18">
        <f>IF(T18=0,0,MIN(U18,MAX(IF(MOD(T18,2)=0,T18/2,IF(U18&gt;=V18,(T18+1)/2,(T18-1)/2)),T18-V18)))</f>
        <v/>
      </c>
      <c r="X18">
        <f>T18-W18</f>
        <v/>
      </c>
      <c r="Y18">
        <f>Y17+W18</f>
        <v/>
      </c>
      <c r="Z18">
        <f>Z17+X18</f>
        <v/>
      </c>
      <c r="AB18" t="n">
        <v>17</v>
      </c>
      <c r="AC18">
        <f>IF(OR($Q$11=0,AB18&gt;$Q$11),0,INT($Q$10/$Q$11)+IF(AB18&lt;=MOD($Q$10,$Q$11),1,0))</f>
        <v/>
      </c>
      <c r="AD18">
        <f>$Q$4-AH17</f>
        <v/>
      </c>
      <c r="AE18">
        <f>$Q$5-AI17</f>
        <v/>
      </c>
      <c r="AF18">
        <f>IF(AC18=0,0,MIN(AD18,MAX(IF(MOD(AC18,2)=0,AC18/2,IF(AD18&gt;=AE18,(AC18+1)/2,(AC18-1)/2)),AC18-AE18)))</f>
        <v/>
      </c>
      <c r="AG18">
        <f>AC18-AF18</f>
        <v/>
      </c>
      <c r="AH18">
        <f>AH17+AF18</f>
        <v/>
      </c>
      <c r="AI18">
        <f>AI17+AG18</f>
        <v/>
      </c>
      <c r="AK18">
        <f>IF(J18="","",IF(J18="男赤",COUNTIF($Y$2:$Y$51,"&lt;"&amp;K18),IF(J18="男白",COUNTIF($Z$2:$Z$51,"&lt;"&amp;K18),IF(J18="女赤",COUNTIF($AH$2:$AH$51,"&lt;"&amp;K18),COUNTIF($AI$2:$AI$51,"&lt;"&amp;K18))))+1)</f>
        <v/>
      </c>
      <c r="AL18">
        <f>IF(AK18="","",IF(AK18=1,0,IF(J18="男赤",INDEX($Y$2:$Y$51,AK18-1),IF(J18="男白",INDEX($Z$2:$Z$51,AK18-1),IF(J18="女赤",INDEX($AH$2:$AH$51,AK18-1),INDEX($AI$2:$AI$51,AK18-1))))))</f>
        <v/>
      </c>
      <c r="AM18">
        <f>IF(AK18="","",IF(RIGHT(J18,1)="赤",K18-AL18,IF(LEFT(J18,1)="男",INDEX($W$2:$W$51,AK18),INDEX($AF$2:$AF$51,AK18))+K18-AL18))</f>
        <v/>
      </c>
      <c r="AN18">
        <f>IF(AK18="","",F18&amp;AK18&amp;"-"&amp;AM18)</f>
        <v/>
      </c>
      <c r="AO18">
        <f>IF(J18="","",F18&amp;D18)</f>
        <v/>
      </c>
      <c r="AP18">
        <f>IF(J18="","",IF(F18="男",COUNTIF(手直し!$B$6:$E$55,D18),COUNTIF(手直し!$F$6:$I$55,D18)))</f>
        <v/>
      </c>
      <c r="AQ18">
        <f>IF(AND(J18&lt;&gt;"",AP18=0),1,0)</f>
        <v/>
      </c>
      <c r="AR18">
        <f>IF(AND(AQ18=1,F18="男"),COUNTIFS($AQ$2:AQ18,1,$F$2:F18,"男"),"")</f>
        <v/>
      </c>
      <c r="AS18">
        <f>IF(AND(AQ18=1,F18="女"),COUNTIFS($AQ$2:AQ18,1,$F$2:F18,"女"),"")</f>
        <v/>
      </c>
    </row>
    <row r="19">
      <c r="A19" s="21">
        <f>ROW()-1</f>
        <v/>
      </c>
      <c r="B19" s="21">
        <f>INT((A19-1)/37)+1</f>
        <v/>
      </c>
      <c r="C19" s="21">
        <f>MOD(A19-1,37)+1</f>
        <v/>
      </c>
      <c r="D19" s="21">
        <f>INDEX(①データ入力!$B$3:$Y$39,C19,(B19-1)*5+1)&amp;""</f>
        <v/>
      </c>
      <c r="E19" s="21">
        <f>INDEX(①データ入力!$B$3:$Y$39,C19,(B19-1)*5+2)&amp;""</f>
        <v/>
      </c>
      <c r="F19" s="21">
        <f>IF(OR(E19="1",E19="１",E19="男"),"男",IF(OR(E19="2",E19="２",E19="女"),"女",""))</f>
        <v/>
      </c>
      <c r="G19" s="21">
        <f>INDEX(①データ入力!$B$3:$Y$39,C19,(B19-1)*5+3)</f>
        <v/>
      </c>
      <c r="H19" s="21">
        <f>INDEX(①データ入力!$B$3:$Y$39,C19,(B19-1)*5+4)&amp;""</f>
        <v/>
      </c>
      <c r="I19" s="21">
        <f>IF(LEFT(TRIM(H19),1)="赤","赤",IF(LEFT(TRIM(H19),1)="白","白",""))</f>
        <v/>
      </c>
      <c r="J19" s="21">
        <f>IF(AND(D19&lt;&gt;"",F19&lt;&gt;"",I19&lt;&gt;"",ISNUMBER(G19)),F19&amp;I19,"")</f>
        <v/>
      </c>
      <c r="K19" s="21">
        <f>IF(J19="","",COUNTIFS($J$2:$J$186,J19,$G$2:$G$186,"&lt;"&amp;G19)+COUNTIFS($J$2:$J$186,J19,$G$2:$G$186,G19,$A$2:$A$186,"&lt;"&amp;A19)+1)</f>
        <v/>
      </c>
      <c r="L19" s="21">
        <f>IF(J19="","",J19&amp;K19)</f>
        <v/>
      </c>
      <c r="M19" s="21">
        <f>B19&amp;"組"</f>
        <v/>
      </c>
      <c r="N19" s="21">
        <f>IF(AND(D19&lt;&gt;"",J19=""),1,0)</f>
        <v/>
      </c>
      <c r="P19" t="inlineStr">
        <is>
          <t>男子2回以上</t>
        </is>
      </c>
      <c r="Q19">
        <f>COUNTIFS($AP$2:$AP$186,"&gt;1",$F$2:$F$186,"男")</f>
        <v/>
      </c>
      <c r="S19" t="n">
        <v>18</v>
      </c>
      <c r="T19">
        <f>IF(OR($Q$9=0,S19&gt;$Q$9),0,INT($Q$8/$Q$9)+IF(S19&lt;=MOD($Q$8,$Q$9),1,0))</f>
        <v/>
      </c>
      <c r="U19">
        <f>$Q$2-Y18</f>
        <v/>
      </c>
      <c r="V19">
        <f>$Q$3-Z18</f>
        <v/>
      </c>
      <c r="W19">
        <f>IF(T19=0,0,MIN(U19,MAX(IF(MOD(T19,2)=0,T19/2,IF(U19&gt;=V19,(T19+1)/2,(T19-1)/2)),T19-V19)))</f>
        <v/>
      </c>
      <c r="X19">
        <f>T19-W19</f>
        <v/>
      </c>
      <c r="Y19">
        <f>Y18+W19</f>
        <v/>
      </c>
      <c r="Z19">
        <f>Z18+X19</f>
        <v/>
      </c>
      <c r="AB19" t="n">
        <v>18</v>
      </c>
      <c r="AC19">
        <f>IF(OR($Q$11=0,AB19&gt;$Q$11),0,INT($Q$10/$Q$11)+IF(AB19&lt;=MOD($Q$10,$Q$11),1,0))</f>
        <v/>
      </c>
      <c r="AD19">
        <f>$Q$4-AH18</f>
        <v/>
      </c>
      <c r="AE19">
        <f>$Q$5-AI18</f>
        <v/>
      </c>
      <c r="AF19">
        <f>IF(AC19=0,0,MIN(AD19,MAX(IF(MOD(AC19,2)=0,AC19/2,IF(AD19&gt;=AE19,(AC19+1)/2,(AC19-1)/2)),AC19-AE19)))</f>
        <v/>
      </c>
      <c r="AG19">
        <f>AC19-AF19</f>
        <v/>
      </c>
      <c r="AH19">
        <f>AH18+AF19</f>
        <v/>
      </c>
      <c r="AI19">
        <f>AI18+AG19</f>
        <v/>
      </c>
      <c r="AK19">
        <f>IF(J19="","",IF(J19="男赤",COUNTIF($Y$2:$Y$51,"&lt;"&amp;K19),IF(J19="男白",COUNTIF($Z$2:$Z$51,"&lt;"&amp;K19),IF(J19="女赤",COUNTIF($AH$2:$AH$51,"&lt;"&amp;K19),COUNTIF($AI$2:$AI$51,"&lt;"&amp;K19))))+1)</f>
        <v/>
      </c>
      <c r="AL19">
        <f>IF(AK19="","",IF(AK19=1,0,IF(J19="男赤",INDEX($Y$2:$Y$51,AK19-1),IF(J19="男白",INDEX($Z$2:$Z$51,AK19-1),IF(J19="女赤",INDEX($AH$2:$AH$51,AK19-1),INDEX($AI$2:$AI$51,AK19-1))))))</f>
        <v/>
      </c>
      <c r="AM19">
        <f>IF(AK19="","",IF(RIGHT(J19,1)="赤",K19-AL19,IF(LEFT(J19,1)="男",INDEX($W$2:$W$51,AK19),INDEX($AF$2:$AF$51,AK19))+K19-AL19))</f>
        <v/>
      </c>
      <c r="AN19">
        <f>IF(AK19="","",F19&amp;AK19&amp;"-"&amp;AM19)</f>
        <v/>
      </c>
      <c r="AO19">
        <f>IF(J19="","",F19&amp;D19)</f>
        <v/>
      </c>
      <c r="AP19">
        <f>IF(J19="","",IF(F19="男",COUNTIF(手直し!$B$6:$E$55,D19),COUNTIF(手直し!$F$6:$I$55,D19)))</f>
        <v/>
      </c>
      <c r="AQ19">
        <f>IF(AND(J19&lt;&gt;"",AP19=0),1,0)</f>
        <v/>
      </c>
      <c r="AR19">
        <f>IF(AND(AQ19=1,F19="男"),COUNTIFS($AQ$2:AQ19,1,$F$2:F19,"男"),"")</f>
        <v/>
      </c>
      <c r="AS19">
        <f>IF(AND(AQ19=1,F19="女"),COUNTIFS($AQ$2:AQ19,1,$F$2:F19,"女"),"")</f>
        <v/>
      </c>
    </row>
    <row r="20">
      <c r="A20" s="21">
        <f>ROW()-1</f>
        <v/>
      </c>
      <c r="B20" s="21">
        <f>INT((A20-1)/37)+1</f>
        <v/>
      </c>
      <c r="C20" s="21">
        <f>MOD(A20-1,37)+1</f>
        <v/>
      </c>
      <c r="D20" s="21">
        <f>INDEX(①データ入力!$B$3:$Y$39,C20,(B20-1)*5+1)&amp;""</f>
        <v/>
      </c>
      <c r="E20" s="21">
        <f>INDEX(①データ入力!$B$3:$Y$39,C20,(B20-1)*5+2)&amp;""</f>
        <v/>
      </c>
      <c r="F20" s="21">
        <f>IF(OR(E20="1",E20="１",E20="男"),"男",IF(OR(E20="2",E20="２",E20="女"),"女",""))</f>
        <v/>
      </c>
      <c r="G20" s="21">
        <f>INDEX(①データ入力!$B$3:$Y$39,C20,(B20-1)*5+3)</f>
        <v/>
      </c>
      <c r="H20" s="21">
        <f>INDEX(①データ入力!$B$3:$Y$39,C20,(B20-1)*5+4)&amp;""</f>
        <v/>
      </c>
      <c r="I20" s="21">
        <f>IF(LEFT(TRIM(H20),1)="赤","赤",IF(LEFT(TRIM(H20),1)="白","白",""))</f>
        <v/>
      </c>
      <c r="J20" s="21">
        <f>IF(AND(D20&lt;&gt;"",F20&lt;&gt;"",I20&lt;&gt;"",ISNUMBER(G20)),F20&amp;I20,"")</f>
        <v/>
      </c>
      <c r="K20" s="21">
        <f>IF(J20="","",COUNTIFS($J$2:$J$186,J20,$G$2:$G$186,"&lt;"&amp;G20)+COUNTIFS($J$2:$J$186,J20,$G$2:$G$186,G20,$A$2:$A$186,"&lt;"&amp;A20)+1)</f>
        <v/>
      </c>
      <c r="L20" s="21">
        <f>IF(J20="","",J20&amp;K20)</f>
        <v/>
      </c>
      <c r="M20" s="21">
        <f>B20&amp;"組"</f>
        <v/>
      </c>
      <c r="N20" s="21">
        <f>IF(AND(D20&lt;&gt;"",J20=""),1,0)</f>
        <v/>
      </c>
      <c r="P20" t="inlineStr">
        <is>
          <t>女子2回以上</t>
        </is>
      </c>
      <c r="Q20">
        <f>COUNTIFS($AP$2:$AP$186,"&gt;1",$F$2:$F$186,"女")</f>
        <v/>
      </c>
      <c r="S20" t="n">
        <v>19</v>
      </c>
      <c r="T20">
        <f>IF(OR($Q$9=0,S20&gt;$Q$9),0,INT($Q$8/$Q$9)+IF(S20&lt;=MOD($Q$8,$Q$9),1,0))</f>
        <v/>
      </c>
      <c r="U20">
        <f>$Q$2-Y19</f>
        <v/>
      </c>
      <c r="V20">
        <f>$Q$3-Z19</f>
        <v/>
      </c>
      <c r="W20">
        <f>IF(T20=0,0,MIN(U20,MAX(IF(MOD(T20,2)=0,T20/2,IF(U20&gt;=V20,(T20+1)/2,(T20-1)/2)),T20-V20)))</f>
        <v/>
      </c>
      <c r="X20">
        <f>T20-W20</f>
        <v/>
      </c>
      <c r="Y20">
        <f>Y19+W20</f>
        <v/>
      </c>
      <c r="Z20">
        <f>Z19+X20</f>
        <v/>
      </c>
      <c r="AB20" t="n">
        <v>19</v>
      </c>
      <c r="AC20">
        <f>IF(OR($Q$11=0,AB20&gt;$Q$11),0,INT($Q$10/$Q$11)+IF(AB20&lt;=MOD($Q$10,$Q$11),1,0))</f>
        <v/>
      </c>
      <c r="AD20">
        <f>$Q$4-AH19</f>
        <v/>
      </c>
      <c r="AE20">
        <f>$Q$5-AI19</f>
        <v/>
      </c>
      <c r="AF20">
        <f>IF(AC20=0,0,MIN(AD20,MAX(IF(MOD(AC20,2)=0,AC20/2,IF(AD20&gt;=AE20,(AC20+1)/2,(AC20-1)/2)),AC20-AE20)))</f>
        <v/>
      </c>
      <c r="AG20">
        <f>AC20-AF20</f>
        <v/>
      </c>
      <c r="AH20">
        <f>AH19+AF20</f>
        <v/>
      </c>
      <c r="AI20">
        <f>AI19+AG20</f>
        <v/>
      </c>
      <c r="AK20">
        <f>IF(J20="","",IF(J20="男赤",COUNTIF($Y$2:$Y$51,"&lt;"&amp;K20),IF(J20="男白",COUNTIF($Z$2:$Z$51,"&lt;"&amp;K20),IF(J20="女赤",COUNTIF($AH$2:$AH$51,"&lt;"&amp;K20),COUNTIF($AI$2:$AI$51,"&lt;"&amp;K20))))+1)</f>
        <v/>
      </c>
      <c r="AL20">
        <f>IF(AK20="","",IF(AK20=1,0,IF(J20="男赤",INDEX($Y$2:$Y$51,AK20-1),IF(J20="男白",INDEX($Z$2:$Z$51,AK20-1),IF(J20="女赤",INDEX($AH$2:$AH$51,AK20-1),INDEX($AI$2:$AI$51,AK20-1))))))</f>
        <v/>
      </c>
      <c r="AM20">
        <f>IF(AK20="","",IF(RIGHT(J20,1)="赤",K20-AL20,IF(LEFT(J20,1)="男",INDEX($W$2:$W$51,AK20),INDEX($AF$2:$AF$51,AK20))+K20-AL20))</f>
        <v/>
      </c>
      <c r="AN20">
        <f>IF(AK20="","",F20&amp;AK20&amp;"-"&amp;AM20)</f>
        <v/>
      </c>
      <c r="AO20">
        <f>IF(J20="","",F20&amp;D20)</f>
        <v/>
      </c>
      <c r="AP20">
        <f>IF(J20="","",IF(F20="男",COUNTIF(手直し!$B$6:$E$55,D20),COUNTIF(手直し!$F$6:$I$55,D20)))</f>
        <v/>
      </c>
      <c r="AQ20">
        <f>IF(AND(J20&lt;&gt;"",AP20=0),1,0)</f>
        <v/>
      </c>
      <c r="AR20">
        <f>IF(AND(AQ20=1,F20="男"),COUNTIFS($AQ$2:AQ20,1,$F$2:F20,"男"),"")</f>
        <v/>
      </c>
      <c r="AS20">
        <f>IF(AND(AQ20=1,F20="女"),COUNTIFS($AQ$2:AQ20,1,$F$2:F20,"女"),"")</f>
        <v/>
      </c>
    </row>
    <row r="21">
      <c r="A21" s="21">
        <f>ROW()-1</f>
        <v/>
      </c>
      <c r="B21" s="21">
        <f>INT((A21-1)/37)+1</f>
        <v/>
      </c>
      <c r="C21" s="21">
        <f>MOD(A21-1,37)+1</f>
        <v/>
      </c>
      <c r="D21" s="21">
        <f>INDEX(①データ入力!$B$3:$Y$39,C21,(B21-1)*5+1)&amp;""</f>
        <v/>
      </c>
      <c r="E21" s="21">
        <f>INDEX(①データ入力!$B$3:$Y$39,C21,(B21-1)*5+2)&amp;""</f>
        <v/>
      </c>
      <c r="F21" s="21">
        <f>IF(OR(E21="1",E21="１",E21="男"),"男",IF(OR(E21="2",E21="２",E21="女"),"女",""))</f>
        <v/>
      </c>
      <c r="G21" s="21">
        <f>INDEX(①データ入力!$B$3:$Y$39,C21,(B21-1)*5+3)</f>
        <v/>
      </c>
      <c r="H21" s="21">
        <f>INDEX(①データ入力!$B$3:$Y$39,C21,(B21-1)*5+4)&amp;""</f>
        <v/>
      </c>
      <c r="I21" s="21">
        <f>IF(LEFT(TRIM(H21),1)="赤","赤",IF(LEFT(TRIM(H21),1)="白","白",""))</f>
        <v/>
      </c>
      <c r="J21" s="21">
        <f>IF(AND(D21&lt;&gt;"",F21&lt;&gt;"",I21&lt;&gt;"",ISNUMBER(G21)),F21&amp;I21,"")</f>
        <v/>
      </c>
      <c r="K21" s="21">
        <f>IF(J21="","",COUNTIFS($J$2:$J$186,J21,$G$2:$G$186,"&lt;"&amp;G21)+COUNTIFS($J$2:$J$186,J21,$G$2:$G$186,G21,$A$2:$A$186,"&lt;"&amp;A21)+1)</f>
        <v/>
      </c>
      <c r="L21" s="21">
        <f>IF(J21="","",J21&amp;K21)</f>
        <v/>
      </c>
      <c r="M21" s="21">
        <f>B21&amp;"組"</f>
        <v/>
      </c>
      <c r="N21" s="21">
        <f>IF(AND(D21&lt;&gt;"",J21=""),1,0)</f>
        <v/>
      </c>
      <c r="P21" t="inlineStr">
        <is>
          <t>男子名簿にない名前</t>
        </is>
      </c>
      <c r="Q21">
        <f>SUMPRODUCT((手直し!$B$6:$E$55&lt;&gt;"")*(COUNTIF($AO$2:$AO$186,"男"&amp;手直し!$B$6:$E$55)=0))</f>
        <v/>
      </c>
      <c r="S21" t="n">
        <v>20</v>
      </c>
      <c r="T21">
        <f>IF(OR($Q$9=0,S21&gt;$Q$9),0,INT($Q$8/$Q$9)+IF(S21&lt;=MOD($Q$8,$Q$9),1,0))</f>
        <v/>
      </c>
      <c r="U21">
        <f>$Q$2-Y20</f>
        <v/>
      </c>
      <c r="V21">
        <f>$Q$3-Z20</f>
        <v/>
      </c>
      <c r="W21">
        <f>IF(T21=0,0,MIN(U21,MAX(IF(MOD(T21,2)=0,T21/2,IF(U21&gt;=V21,(T21+1)/2,(T21-1)/2)),T21-V21)))</f>
        <v/>
      </c>
      <c r="X21">
        <f>T21-W21</f>
        <v/>
      </c>
      <c r="Y21">
        <f>Y20+W21</f>
        <v/>
      </c>
      <c r="Z21">
        <f>Z20+X21</f>
        <v/>
      </c>
      <c r="AB21" t="n">
        <v>20</v>
      </c>
      <c r="AC21">
        <f>IF(OR($Q$11=0,AB21&gt;$Q$11),0,INT($Q$10/$Q$11)+IF(AB21&lt;=MOD($Q$10,$Q$11),1,0))</f>
        <v/>
      </c>
      <c r="AD21">
        <f>$Q$4-AH20</f>
        <v/>
      </c>
      <c r="AE21">
        <f>$Q$5-AI20</f>
        <v/>
      </c>
      <c r="AF21">
        <f>IF(AC21=0,0,MIN(AD21,MAX(IF(MOD(AC21,2)=0,AC21/2,IF(AD21&gt;=AE21,(AC21+1)/2,(AC21-1)/2)),AC21-AE21)))</f>
        <v/>
      </c>
      <c r="AG21">
        <f>AC21-AF21</f>
        <v/>
      </c>
      <c r="AH21">
        <f>AH20+AF21</f>
        <v/>
      </c>
      <c r="AI21">
        <f>AI20+AG21</f>
        <v/>
      </c>
      <c r="AK21">
        <f>IF(J21="","",IF(J21="男赤",COUNTIF($Y$2:$Y$51,"&lt;"&amp;K21),IF(J21="男白",COUNTIF($Z$2:$Z$51,"&lt;"&amp;K21),IF(J21="女赤",COUNTIF($AH$2:$AH$51,"&lt;"&amp;K21),COUNTIF($AI$2:$AI$51,"&lt;"&amp;K21))))+1)</f>
        <v/>
      </c>
      <c r="AL21">
        <f>IF(AK21="","",IF(AK21=1,0,IF(J21="男赤",INDEX($Y$2:$Y$51,AK21-1),IF(J21="男白",INDEX($Z$2:$Z$51,AK21-1),IF(J21="女赤",INDEX($AH$2:$AH$51,AK21-1),INDEX($AI$2:$AI$51,AK21-1))))))</f>
        <v/>
      </c>
      <c r="AM21">
        <f>IF(AK21="","",IF(RIGHT(J21,1)="赤",K21-AL21,IF(LEFT(J21,1)="男",INDEX($W$2:$W$51,AK21),INDEX($AF$2:$AF$51,AK21))+K21-AL21))</f>
        <v/>
      </c>
      <c r="AN21">
        <f>IF(AK21="","",F21&amp;AK21&amp;"-"&amp;AM21)</f>
        <v/>
      </c>
      <c r="AO21">
        <f>IF(J21="","",F21&amp;D21)</f>
        <v/>
      </c>
      <c r="AP21">
        <f>IF(J21="","",IF(F21="男",COUNTIF(手直し!$B$6:$E$55,D21),COUNTIF(手直し!$F$6:$I$55,D21)))</f>
        <v/>
      </c>
      <c r="AQ21">
        <f>IF(AND(J21&lt;&gt;"",AP21=0),1,0)</f>
        <v/>
      </c>
      <c r="AR21">
        <f>IF(AND(AQ21=1,F21="男"),COUNTIFS($AQ$2:AQ21,1,$F$2:F21,"男"),"")</f>
        <v/>
      </c>
      <c r="AS21">
        <f>IF(AND(AQ21=1,F21="女"),COUNTIFS($AQ$2:AQ21,1,$F$2:F21,"女"),"")</f>
        <v/>
      </c>
    </row>
    <row r="22">
      <c r="A22" s="21">
        <f>ROW()-1</f>
        <v/>
      </c>
      <c r="B22" s="21">
        <f>INT((A22-1)/37)+1</f>
        <v/>
      </c>
      <c r="C22" s="21">
        <f>MOD(A22-1,37)+1</f>
        <v/>
      </c>
      <c r="D22" s="21">
        <f>INDEX(①データ入力!$B$3:$Y$39,C22,(B22-1)*5+1)&amp;""</f>
        <v/>
      </c>
      <c r="E22" s="21">
        <f>INDEX(①データ入力!$B$3:$Y$39,C22,(B22-1)*5+2)&amp;""</f>
        <v/>
      </c>
      <c r="F22" s="21">
        <f>IF(OR(E22="1",E22="１",E22="男"),"男",IF(OR(E22="2",E22="２",E22="女"),"女",""))</f>
        <v/>
      </c>
      <c r="G22" s="21">
        <f>INDEX(①データ入力!$B$3:$Y$39,C22,(B22-1)*5+3)</f>
        <v/>
      </c>
      <c r="H22" s="21">
        <f>INDEX(①データ入力!$B$3:$Y$39,C22,(B22-1)*5+4)&amp;""</f>
        <v/>
      </c>
      <c r="I22" s="21">
        <f>IF(LEFT(TRIM(H22),1)="赤","赤",IF(LEFT(TRIM(H22),1)="白","白",""))</f>
        <v/>
      </c>
      <c r="J22" s="21">
        <f>IF(AND(D22&lt;&gt;"",F22&lt;&gt;"",I22&lt;&gt;"",ISNUMBER(G22)),F22&amp;I22,"")</f>
        <v/>
      </c>
      <c r="K22" s="21">
        <f>IF(J22="","",COUNTIFS($J$2:$J$186,J22,$G$2:$G$186,"&lt;"&amp;G22)+COUNTIFS($J$2:$J$186,J22,$G$2:$G$186,G22,$A$2:$A$186,"&lt;"&amp;A22)+1)</f>
        <v/>
      </c>
      <c r="L22" s="21">
        <f>IF(J22="","",J22&amp;K22)</f>
        <v/>
      </c>
      <c r="M22" s="21">
        <f>B22&amp;"組"</f>
        <v/>
      </c>
      <c r="N22" s="21">
        <f>IF(AND(D22&lt;&gt;"",J22=""),1,0)</f>
        <v/>
      </c>
      <c r="P22" t="inlineStr">
        <is>
          <t>女子名簿にない名前</t>
        </is>
      </c>
      <c r="Q22">
        <f>SUMPRODUCT((手直し!$F$6:$I$55&lt;&gt;"")*(COUNTIF($AO$2:$AO$186,"女"&amp;手直し!$F$6:$I$55)=0))</f>
        <v/>
      </c>
      <c r="S22" t="n">
        <v>21</v>
      </c>
      <c r="T22">
        <f>IF(OR($Q$9=0,S22&gt;$Q$9),0,INT($Q$8/$Q$9)+IF(S22&lt;=MOD($Q$8,$Q$9),1,0))</f>
        <v/>
      </c>
      <c r="U22">
        <f>$Q$2-Y21</f>
        <v/>
      </c>
      <c r="V22">
        <f>$Q$3-Z21</f>
        <v/>
      </c>
      <c r="W22">
        <f>IF(T22=0,0,MIN(U22,MAX(IF(MOD(T22,2)=0,T22/2,IF(U22&gt;=V22,(T22+1)/2,(T22-1)/2)),T22-V22)))</f>
        <v/>
      </c>
      <c r="X22">
        <f>T22-W22</f>
        <v/>
      </c>
      <c r="Y22">
        <f>Y21+W22</f>
        <v/>
      </c>
      <c r="Z22">
        <f>Z21+X22</f>
        <v/>
      </c>
      <c r="AB22" t="n">
        <v>21</v>
      </c>
      <c r="AC22">
        <f>IF(OR($Q$11=0,AB22&gt;$Q$11),0,INT($Q$10/$Q$11)+IF(AB22&lt;=MOD($Q$10,$Q$11),1,0))</f>
        <v/>
      </c>
      <c r="AD22">
        <f>$Q$4-AH21</f>
        <v/>
      </c>
      <c r="AE22">
        <f>$Q$5-AI21</f>
        <v/>
      </c>
      <c r="AF22">
        <f>IF(AC22=0,0,MIN(AD22,MAX(IF(MOD(AC22,2)=0,AC22/2,IF(AD22&gt;=AE22,(AC22+1)/2,(AC22-1)/2)),AC22-AE22)))</f>
        <v/>
      </c>
      <c r="AG22">
        <f>AC22-AF22</f>
        <v/>
      </c>
      <c r="AH22">
        <f>AH21+AF22</f>
        <v/>
      </c>
      <c r="AI22">
        <f>AI21+AG22</f>
        <v/>
      </c>
      <c r="AK22">
        <f>IF(J22="","",IF(J22="男赤",COUNTIF($Y$2:$Y$51,"&lt;"&amp;K22),IF(J22="男白",COUNTIF($Z$2:$Z$51,"&lt;"&amp;K22),IF(J22="女赤",COUNTIF($AH$2:$AH$51,"&lt;"&amp;K22),COUNTIF($AI$2:$AI$51,"&lt;"&amp;K22))))+1)</f>
        <v/>
      </c>
      <c r="AL22">
        <f>IF(AK22="","",IF(AK22=1,0,IF(J22="男赤",INDEX($Y$2:$Y$51,AK22-1),IF(J22="男白",INDEX($Z$2:$Z$51,AK22-1),IF(J22="女赤",INDEX($AH$2:$AH$51,AK22-1),INDEX($AI$2:$AI$51,AK22-1))))))</f>
        <v/>
      </c>
      <c r="AM22">
        <f>IF(AK22="","",IF(RIGHT(J22,1)="赤",K22-AL22,IF(LEFT(J22,1)="男",INDEX($W$2:$W$51,AK22),INDEX($AF$2:$AF$51,AK22))+K22-AL22))</f>
        <v/>
      </c>
      <c r="AN22">
        <f>IF(AK22="","",F22&amp;AK22&amp;"-"&amp;AM22)</f>
        <v/>
      </c>
      <c r="AO22">
        <f>IF(J22="","",F22&amp;D22)</f>
        <v/>
      </c>
      <c r="AP22">
        <f>IF(J22="","",IF(F22="男",COUNTIF(手直し!$B$6:$E$55,D22),COUNTIF(手直し!$F$6:$I$55,D22)))</f>
        <v/>
      </c>
      <c r="AQ22">
        <f>IF(AND(J22&lt;&gt;"",AP22=0),1,0)</f>
        <v/>
      </c>
      <c r="AR22">
        <f>IF(AND(AQ22=1,F22="男"),COUNTIFS($AQ$2:AQ22,1,$F$2:F22,"男"),"")</f>
        <v/>
      </c>
      <c r="AS22">
        <f>IF(AND(AQ22=1,F22="女"),COUNTIFS($AQ$2:AQ22,1,$F$2:F22,"女"),"")</f>
        <v/>
      </c>
    </row>
    <row r="23">
      <c r="A23" s="21">
        <f>ROW()-1</f>
        <v/>
      </c>
      <c r="B23" s="21">
        <f>INT((A23-1)/37)+1</f>
        <v/>
      </c>
      <c r="C23" s="21">
        <f>MOD(A23-1,37)+1</f>
        <v/>
      </c>
      <c r="D23" s="21">
        <f>INDEX(①データ入力!$B$3:$Y$39,C23,(B23-1)*5+1)&amp;""</f>
        <v/>
      </c>
      <c r="E23" s="21">
        <f>INDEX(①データ入力!$B$3:$Y$39,C23,(B23-1)*5+2)&amp;""</f>
        <v/>
      </c>
      <c r="F23" s="21">
        <f>IF(OR(E23="1",E23="１",E23="男"),"男",IF(OR(E23="2",E23="２",E23="女"),"女",""))</f>
        <v/>
      </c>
      <c r="G23" s="21">
        <f>INDEX(①データ入力!$B$3:$Y$39,C23,(B23-1)*5+3)</f>
        <v/>
      </c>
      <c r="H23" s="21">
        <f>INDEX(①データ入力!$B$3:$Y$39,C23,(B23-1)*5+4)&amp;""</f>
        <v/>
      </c>
      <c r="I23" s="21">
        <f>IF(LEFT(TRIM(H23),1)="赤","赤",IF(LEFT(TRIM(H23),1)="白","白",""))</f>
        <v/>
      </c>
      <c r="J23" s="21">
        <f>IF(AND(D23&lt;&gt;"",F23&lt;&gt;"",I23&lt;&gt;"",ISNUMBER(G23)),F23&amp;I23,"")</f>
        <v/>
      </c>
      <c r="K23" s="21">
        <f>IF(J23="","",COUNTIFS($J$2:$J$186,J23,$G$2:$G$186,"&lt;"&amp;G23)+COUNTIFS($J$2:$J$186,J23,$G$2:$G$186,G23,$A$2:$A$186,"&lt;"&amp;A23)+1)</f>
        <v/>
      </c>
      <c r="L23" s="21">
        <f>IF(J23="","",J23&amp;K23)</f>
        <v/>
      </c>
      <c r="M23" s="21">
        <f>B23&amp;"組"</f>
        <v/>
      </c>
      <c r="N23" s="21">
        <f>IF(AND(D23&lt;&gt;"",J23=""),1,0)</f>
        <v/>
      </c>
      <c r="P23" t="inlineStr">
        <is>
          <t>男子同じ名前</t>
        </is>
      </c>
      <c r="Q23">
        <f>SUMPRODUCT(($F$2:$F$186="男")*($AO$2:$AO$186&lt;&gt;"")*(COUNTIF($AO$2:$AO$186,$AO$2:$AO$186)&gt;1))</f>
        <v/>
      </c>
      <c r="S23" t="n">
        <v>22</v>
      </c>
      <c r="T23">
        <f>IF(OR($Q$9=0,S23&gt;$Q$9),0,INT($Q$8/$Q$9)+IF(S23&lt;=MOD($Q$8,$Q$9),1,0))</f>
        <v/>
      </c>
      <c r="U23">
        <f>$Q$2-Y22</f>
        <v/>
      </c>
      <c r="V23">
        <f>$Q$3-Z22</f>
        <v/>
      </c>
      <c r="W23">
        <f>IF(T23=0,0,MIN(U23,MAX(IF(MOD(T23,2)=0,T23/2,IF(U23&gt;=V23,(T23+1)/2,(T23-1)/2)),T23-V23)))</f>
        <v/>
      </c>
      <c r="X23">
        <f>T23-W23</f>
        <v/>
      </c>
      <c r="Y23">
        <f>Y22+W23</f>
        <v/>
      </c>
      <c r="Z23">
        <f>Z22+X23</f>
        <v/>
      </c>
      <c r="AB23" t="n">
        <v>22</v>
      </c>
      <c r="AC23">
        <f>IF(OR($Q$11=0,AB23&gt;$Q$11),0,INT($Q$10/$Q$11)+IF(AB23&lt;=MOD($Q$10,$Q$11),1,0))</f>
        <v/>
      </c>
      <c r="AD23">
        <f>$Q$4-AH22</f>
        <v/>
      </c>
      <c r="AE23">
        <f>$Q$5-AI22</f>
        <v/>
      </c>
      <c r="AF23">
        <f>IF(AC23=0,0,MIN(AD23,MAX(IF(MOD(AC23,2)=0,AC23/2,IF(AD23&gt;=AE23,(AC23+1)/2,(AC23-1)/2)),AC23-AE23)))</f>
        <v/>
      </c>
      <c r="AG23">
        <f>AC23-AF23</f>
        <v/>
      </c>
      <c r="AH23">
        <f>AH22+AF23</f>
        <v/>
      </c>
      <c r="AI23">
        <f>AI22+AG23</f>
        <v/>
      </c>
      <c r="AK23">
        <f>IF(J23="","",IF(J23="男赤",COUNTIF($Y$2:$Y$51,"&lt;"&amp;K23),IF(J23="男白",COUNTIF($Z$2:$Z$51,"&lt;"&amp;K23),IF(J23="女赤",COUNTIF($AH$2:$AH$51,"&lt;"&amp;K23),COUNTIF($AI$2:$AI$51,"&lt;"&amp;K23))))+1)</f>
        <v/>
      </c>
      <c r="AL23">
        <f>IF(AK23="","",IF(AK23=1,0,IF(J23="男赤",INDEX($Y$2:$Y$51,AK23-1),IF(J23="男白",INDEX($Z$2:$Z$51,AK23-1),IF(J23="女赤",INDEX($AH$2:$AH$51,AK23-1),INDEX($AI$2:$AI$51,AK23-1))))))</f>
        <v/>
      </c>
      <c r="AM23">
        <f>IF(AK23="","",IF(RIGHT(J23,1)="赤",K23-AL23,IF(LEFT(J23,1)="男",INDEX($W$2:$W$51,AK23),INDEX($AF$2:$AF$51,AK23))+K23-AL23))</f>
        <v/>
      </c>
      <c r="AN23">
        <f>IF(AK23="","",F23&amp;AK23&amp;"-"&amp;AM23)</f>
        <v/>
      </c>
      <c r="AO23">
        <f>IF(J23="","",F23&amp;D23)</f>
        <v/>
      </c>
      <c r="AP23">
        <f>IF(J23="","",IF(F23="男",COUNTIF(手直し!$B$6:$E$55,D23),COUNTIF(手直し!$F$6:$I$55,D23)))</f>
        <v/>
      </c>
      <c r="AQ23">
        <f>IF(AND(J23&lt;&gt;"",AP23=0),1,0)</f>
        <v/>
      </c>
      <c r="AR23">
        <f>IF(AND(AQ23=1,F23="男"),COUNTIFS($AQ$2:AQ23,1,$F$2:F23,"男"),"")</f>
        <v/>
      </c>
      <c r="AS23">
        <f>IF(AND(AQ23=1,F23="女"),COUNTIFS($AQ$2:AQ23,1,$F$2:F23,"女"),"")</f>
        <v/>
      </c>
    </row>
    <row r="24">
      <c r="A24" s="21">
        <f>ROW()-1</f>
        <v/>
      </c>
      <c r="B24" s="21">
        <f>INT((A24-1)/37)+1</f>
        <v/>
      </c>
      <c r="C24" s="21">
        <f>MOD(A24-1,37)+1</f>
        <v/>
      </c>
      <c r="D24" s="21">
        <f>INDEX(①データ入力!$B$3:$Y$39,C24,(B24-1)*5+1)&amp;""</f>
        <v/>
      </c>
      <c r="E24" s="21">
        <f>INDEX(①データ入力!$B$3:$Y$39,C24,(B24-1)*5+2)&amp;""</f>
        <v/>
      </c>
      <c r="F24" s="21">
        <f>IF(OR(E24="1",E24="１",E24="男"),"男",IF(OR(E24="2",E24="２",E24="女"),"女",""))</f>
        <v/>
      </c>
      <c r="G24" s="21">
        <f>INDEX(①データ入力!$B$3:$Y$39,C24,(B24-1)*5+3)</f>
        <v/>
      </c>
      <c r="H24" s="21">
        <f>INDEX(①データ入力!$B$3:$Y$39,C24,(B24-1)*5+4)&amp;""</f>
        <v/>
      </c>
      <c r="I24" s="21">
        <f>IF(LEFT(TRIM(H24),1)="赤","赤",IF(LEFT(TRIM(H24),1)="白","白",""))</f>
        <v/>
      </c>
      <c r="J24" s="21">
        <f>IF(AND(D24&lt;&gt;"",F24&lt;&gt;"",I24&lt;&gt;"",ISNUMBER(G24)),F24&amp;I24,"")</f>
        <v/>
      </c>
      <c r="K24" s="21">
        <f>IF(J24="","",COUNTIFS($J$2:$J$186,J24,$G$2:$G$186,"&lt;"&amp;G24)+COUNTIFS($J$2:$J$186,J24,$G$2:$G$186,G24,$A$2:$A$186,"&lt;"&amp;A24)+1)</f>
        <v/>
      </c>
      <c r="L24" s="21">
        <f>IF(J24="","",J24&amp;K24)</f>
        <v/>
      </c>
      <c r="M24" s="21">
        <f>B24&amp;"組"</f>
        <v/>
      </c>
      <c r="N24" s="21">
        <f>IF(AND(D24&lt;&gt;"",J24=""),1,0)</f>
        <v/>
      </c>
      <c r="P24" t="inlineStr">
        <is>
          <t>女子同じ名前</t>
        </is>
      </c>
      <c r="Q24">
        <f>SUMPRODUCT(($F$2:$F$186="女")*($AO$2:$AO$186&lt;&gt;"")*(COUNTIF($AO$2:$AO$186,$AO$2:$AO$186)&gt;1))</f>
        <v/>
      </c>
      <c r="S24" t="n">
        <v>23</v>
      </c>
      <c r="T24">
        <f>IF(OR($Q$9=0,S24&gt;$Q$9),0,INT($Q$8/$Q$9)+IF(S24&lt;=MOD($Q$8,$Q$9),1,0))</f>
        <v/>
      </c>
      <c r="U24">
        <f>$Q$2-Y23</f>
        <v/>
      </c>
      <c r="V24">
        <f>$Q$3-Z23</f>
        <v/>
      </c>
      <c r="W24">
        <f>IF(T24=0,0,MIN(U24,MAX(IF(MOD(T24,2)=0,T24/2,IF(U24&gt;=V24,(T24+1)/2,(T24-1)/2)),T24-V24)))</f>
        <v/>
      </c>
      <c r="X24">
        <f>T24-W24</f>
        <v/>
      </c>
      <c r="Y24">
        <f>Y23+W24</f>
        <v/>
      </c>
      <c r="Z24">
        <f>Z23+X24</f>
        <v/>
      </c>
      <c r="AB24" t="n">
        <v>23</v>
      </c>
      <c r="AC24">
        <f>IF(OR($Q$11=0,AB24&gt;$Q$11),0,INT($Q$10/$Q$11)+IF(AB24&lt;=MOD($Q$10,$Q$11),1,0))</f>
        <v/>
      </c>
      <c r="AD24">
        <f>$Q$4-AH23</f>
        <v/>
      </c>
      <c r="AE24">
        <f>$Q$5-AI23</f>
        <v/>
      </c>
      <c r="AF24">
        <f>IF(AC24=0,0,MIN(AD24,MAX(IF(MOD(AC24,2)=0,AC24/2,IF(AD24&gt;=AE24,(AC24+1)/2,(AC24-1)/2)),AC24-AE24)))</f>
        <v/>
      </c>
      <c r="AG24">
        <f>AC24-AF24</f>
        <v/>
      </c>
      <c r="AH24">
        <f>AH23+AF24</f>
        <v/>
      </c>
      <c r="AI24">
        <f>AI23+AG24</f>
        <v/>
      </c>
      <c r="AK24">
        <f>IF(J24="","",IF(J24="男赤",COUNTIF($Y$2:$Y$51,"&lt;"&amp;K24),IF(J24="男白",COUNTIF($Z$2:$Z$51,"&lt;"&amp;K24),IF(J24="女赤",COUNTIF($AH$2:$AH$51,"&lt;"&amp;K24),COUNTIF($AI$2:$AI$51,"&lt;"&amp;K24))))+1)</f>
        <v/>
      </c>
      <c r="AL24">
        <f>IF(AK24="","",IF(AK24=1,0,IF(J24="男赤",INDEX($Y$2:$Y$51,AK24-1),IF(J24="男白",INDEX($Z$2:$Z$51,AK24-1),IF(J24="女赤",INDEX($AH$2:$AH$51,AK24-1),INDEX($AI$2:$AI$51,AK24-1))))))</f>
        <v/>
      </c>
      <c r="AM24">
        <f>IF(AK24="","",IF(RIGHT(J24,1)="赤",K24-AL24,IF(LEFT(J24,1)="男",INDEX($W$2:$W$51,AK24),INDEX($AF$2:$AF$51,AK24))+K24-AL24))</f>
        <v/>
      </c>
      <c r="AN24">
        <f>IF(AK24="","",F24&amp;AK24&amp;"-"&amp;AM24)</f>
        <v/>
      </c>
      <c r="AO24">
        <f>IF(J24="","",F24&amp;D24)</f>
        <v/>
      </c>
      <c r="AP24">
        <f>IF(J24="","",IF(F24="男",COUNTIF(手直し!$B$6:$E$55,D24),COUNTIF(手直し!$F$6:$I$55,D24)))</f>
        <v/>
      </c>
      <c r="AQ24">
        <f>IF(AND(J24&lt;&gt;"",AP24=0),1,0)</f>
        <v/>
      </c>
      <c r="AR24">
        <f>IF(AND(AQ24=1,F24="男"),COUNTIFS($AQ$2:AQ24,1,$F$2:F24,"男"),"")</f>
        <v/>
      </c>
      <c r="AS24">
        <f>IF(AND(AQ24=1,F24="女"),COUNTIFS($AQ$2:AQ24,1,$F$2:F24,"女"),"")</f>
        <v/>
      </c>
    </row>
    <row r="25">
      <c r="A25" s="21">
        <f>ROW()-1</f>
        <v/>
      </c>
      <c r="B25" s="21">
        <f>INT((A25-1)/37)+1</f>
        <v/>
      </c>
      <c r="C25" s="21">
        <f>MOD(A25-1,37)+1</f>
        <v/>
      </c>
      <c r="D25" s="21">
        <f>INDEX(①データ入力!$B$3:$Y$39,C25,(B25-1)*5+1)&amp;""</f>
        <v/>
      </c>
      <c r="E25" s="21">
        <f>INDEX(①データ入力!$B$3:$Y$39,C25,(B25-1)*5+2)&amp;""</f>
        <v/>
      </c>
      <c r="F25" s="21">
        <f>IF(OR(E25="1",E25="１",E25="男"),"男",IF(OR(E25="2",E25="２",E25="女"),"女",""))</f>
        <v/>
      </c>
      <c r="G25" s="21">
        <f>INDEX(①データ入力!$B$3:$Y$39,C25,(B25-1)*5+3)</f>
        <v/>
      </c>
      <c r="H25" s="21">
        <f>INDEX(①データ入力!$B$3:$Y$39,C25,(B25-1)*5+4)&amp;""</f>
        <v/>
      </c>
      <c r="I25" s="21">
        <f>IF(LEFT(TRIM(H25),1)="赤","赤",IF(LEFT(TRIM(H25),1)="白","白",""))</f>
        <v/>
      </c>
      <c r="J25" s="21">
        <f>IF(AND(D25&lt;&gt;"",F25&lt;&gt;"",I25&lt;&gt;"",ISNUMBER(G25)),F25&amp;I25,"")</f>
        <v/>
      </c>
      <c r="K25" s="21">
        <f>IF(J25="","",COUNTIFS($J$2:$J$186,J25,$G$2:$G$186,"&lt;"&amp;G25)+COUNTIFS($J$2:$J$186,J25,$G$2:$G$186,G25,$A$2:$A$186,"&lt;"&amp;A25)+1)</f>
        <v/>
      </c>
      <c r="L25" s="21">
        <f>IF(J25="","",J25&amp;K25)</f>
        <v/>
      </c>
      <c r="M25" s="21">
        <f>B25&amp;"組"</f>
        <v/>
      </c>
      <c r="N25" s="21">
        <f>IF(AND(D25&lt;&gt;"",J25=""),1,0)</f>
        <v/>
      </c>
      <c r="S25" t="n">
        <v>24</v>
      </c>
      <c r="T25">
        <f>IF(OR($Q$9=0,S25&gt;$Q$9),0,INT($Q$8/$Q$9)+IF(S25&lt;=MOD($Q$8,$Q$9),1,0))</f>
        <v/>
      </c>
      <c r="U25">
        <f>$Q$2-Y24</f>
        <v/>
      </c>
      <c r="V25">
        <f>$Q$3-Z24</f>
        <v/>
      </c>
      <c r="W25">
        <f>IF(T25=0,0,MIN(U25,MAX(IF(MOD(T25,2)=0,T25/2,IF(U25&gt;=V25,(T25+1)/2,(T25-1)/2)),T25-V25)))</f>
        <v/>
      </c>
      <c r="X25">
        <f>T25-W25</f>
        <v/>
      </c>
      <c r="Y25">
        <f>Y24+W25</f>
        <v/>
      </c>
      <c r="Z25">
        <f>Z24+X25</f>
        <v/>
      </c>
      <c r="AB25" t="n">
        <v>24</v>
      </c>
      <c r="AC25">
        <f>IF(OR($Q$11=0,AB25&gt;$Q$11),0,INT($Q$10/$Q$11)+IF(AB25&lt;=MOD($Q$10,$Q$11),1,0))</f>
        <v/>
      </c>
      <c r="AD25">
        <f>$Q$4-AH24</f>
        <v/>
      </c>
      <c r="AE25">
        <f>$Q$5-AI24</f>
        <v/>
      </c>
      <c r="AF25">
        <f>IF(AC25=0,0,MIN(AD25,MAX(IF(MOD(AC25,2)=0,AC25/2,IF(AD25&gt;=AE25,(AC25+1)/2,(AC25-1)/2)),AC25-AE25)))</f>
        <v/>
      </c>
      <c r="AG25">
        <f>AC25-AF25</f>
        <v/>
      </c>
      <c r="AH25">
        <f>AH24+AF25</f>
        <v/>
      </c>
      <c r="AI25">
        <f>AI24+AG25</f>
        <v/>
      </c>
      <c r="AK25">
        <f>IF(J25="","",IF(J25="男赤",COUNTIF($Y$2:$Y$51,"&lt;"&amp;K25),IF(J25="男白",COUNTIF($Z$2:$Z$51,"&lt;"&amp;K25),IF(J25="女赤",COUNTIF($AH$2:$AH$51,"&lt;"&amp;K25),COUNTIF($AI$2:$AI$51,"&lt;"&amp;K25))))+1)</f>
        <v/>
      </c>
      <c r="AL25">
        <f>IF(AK25="","",IF(AK25=1,0,IF(J25="男赤",INDEX($Y$2:$Y$51,AK25-1),IF(J25="男白",INDEX($Z$2:$Z$51,AK25-1),IF(J25="女赤",INDEX($AH$2:$AH$51,AK25-1),INDEX($AI$2:$AI$51,AK25-1))))))</f>
        <v/>
      </c>
      <c r="AM25">
        <f>IF(AK25="","",IF(RIGHT(J25,1)="赤",K25-AL25,IF(LEFT(J25,1)="男",INDEX($W$2:$W$51,AK25),INDEX($AF$2:$AF$51,AK25))+K25-AL25))</f>
        <v/>
      </c>
      <c r="AN25">
        <f>IF(AK25="","",F25&amp;AK25&amp;"-"&amp;AM25)</f>
        <v/>
      </c>
      <c r="AO25">
        <f>IF(J25="","",F25&amp;D25)</f>
        <v/>
      </c>
      <c r="AP25">
        <f>IF(J25="","",IF(F25="男",COUNTIF(手直し!$B$6:$E$55,D25),COUNTIF(手直し!$F$6:$I$55,D25)))</f>
        <v/>
      </c>
      <c r="AQ25">
        <f>IF(AND(J25&lt;&gt;"",AP25=0),1,0)</f>
        <v/>
      </c>
      <c r="AR25">
        <f>IF(AND(AQ25=1,F25="男"),COUNTIFS($AQ$2:AQ25,1,$F$2:F25,"男"),"")</f>
        <v/>
      </c>
      <c r="AS25">
        <f>IF(AND(AQ25=1,F25="女"),COUNTIFS($AQ$2:AQ25,1,$F$2:F25,"女"),"")</f>
        <v/>
      </c>
    </row>
    <row r="26">
      <c r="A26" s="21">
        <f>ROW()-1</f>
        <v/>
      </c>
      <c r="B26" s="21">
        <f>INT((A26-1)/37)+1</f>
        <v/>
      </c>
      <c r="C26" s="21">
        <f>MOD(A26-1,37)+1</f>
        <v/>
      </c>
      <c r="D26" s="21">
        <f>INDEX(①データ入力!$B$3:$Y$39,C26,(B26-1)*5+1)&amp;""</f>
        <v/>
      </c>
      <c r="E26" s="21">
        <f>INDEX(①データ入力!$B$3:$Y$39,C26,(B26-1)*5+2)&amp;""</f>
        <v/>
      </c>
      <c r="F26" s="21">
        <f>IF(OR(E26="1",E26="１",E26="男"),"男",IF(OR(E26="2",E26="２",E26="女"),"女",""))</f>
        <v/>
      </c>
      <c r="G26" s="21">
        <f>INDEX(①データ入力!$B$3:$Y$39,C26,(B26-1)*5+3)</f>
        <v/>
      </c>
      <c r="H26" s="21">
        <f>INDEX(①データ入力!$B$3:$Y$39,C26,(B26-1)*5+4)&amp;""</f>
        <v/>
      </c>
      <c r="I26" s="21">
        <f>IF(LEFT(TRIM(H26),1)="赤","赤",IF(LEFT(TRIM(H26),1)="白","白",""))</f>
        <v/>
      </c>
      <c r="J26" s="21">
        <f>IF(AND(D26&lt;&gt;"",F26&lt;&gt;"",I26&lt;&gt;"",ISNUMBER(G26)),F26&amp;I26,"")</f>
        <v/>
      </c>
      <c r="K26" s="21">
        <f>IF(J26="","",COUNTIFS($J$2:$J$186,J26,$G$2:$G$186,"&lt;"&amp;G26)+COUNTIFS($J$2:$J$186,J26,$G$2:$G$186,G26,$A$2:$A$186,"&lt;"&amp;A26)+1)</f>
        <v/>
      </c>
      <c r="L26" s="21">
        <f>IF(J26="","",J26&amp;K26)</f>
        <v/>
      </c>
      <c r="M26" s="21">
        <f>B26&amp;"組"</f>
        <v/>
      </c>
      <c r="N26" s="21">
        <f>IF(AND(D26&lt;&gt;"",J26=""),1,0)</f>
        <v/>
      </c>
      <c r="S26" t="n">
        <v>25</v>
      </c>
      <c r="T26">
        <f>IF(OR($Q$9=0,S26&gt;$Q$9),0,INT($Q$8/$Q$9)+IF(S26&lt;=MOD($Q$8,$Q$9),1,0))</f>
        <v/>
      </c>
      <c r="U26">
        <f>$Q$2-Y25</f>
        <v/>
      </c>
      <c r="V26">
        <f>$Q$3-Z25</f>
        <v/>
      </c>
      <c r="W26">
        <f>IF(T26=0,0,MIN(U26,MAX(IF(MOD(T26,2)=0,T26/2,IF(U26&gt;=V26,(T26+1)/2,(T26-1)/2)),T26-V26)))</f>
        <v/>
      </c>
      <c r="X26">
        <f>T26-W26</f>
        <v/>
      </c>
      <c r="Y26">
        <f>Y25+W26</f>
        <v/>
      </c>
      <c r="Z26">
        <f>Z25+X26</f>
        <v/>
      </c>
      <c r="AB26" t="n">
        <v>25</v>
      </c>
      <c r="AC26">
        <f>IF(OR($Q$11=0,AB26&gt;$Q$11),0,INT($Q$10/$Q$11)+IF(AB26&lt;=MOD($Q$10,$Q$11),1,0))</f>
        <v/>
      </c>
      <c r="AD26">
        <f>$Q$4-AH25</f>
        <v/>
      </c>
      <c r="AE26">
        <f>$Q$5-AI25</f>
        <v/>
      </c>
      <c r="AF26">
        <f>IF(AC26=0,0,MIN(AD26,MAX(IF(MOD(AC26,2)=0,AC26/2,IF(AD26&gt;=AE26,(AC26+1)/2,(AC26-1)/2)),AC26-AE26)))</f>
        <v/>
      </c>
      <c r="AG26">
        <f>AC26-AF26</f>
        <v/>
      </c>
      <c r="AH26">
        <f>AH25+AF26</f>
        <v/>
      </c>
      <c r="AI26">
        <f>AI25+AG26</f>
        <v/>
      </c>
      <c r="AK26">
        <f>IF(J26="","",IF(J26="男赤",COUNTIF($Y$2:$Y$51,"&lt;"&amp;K26),IF(J26="男白",COUNTIF($Z$2:$Z$51,"&lt;"&amp;K26),IF(J26="女赤",COUNTIF($AH$2:$AH$51,"&lt;"&amp;K26),COUNTIF($AI$2:$AI$51,"&lt;"&amp;K26))))+1)</f>
        <v/>
      </c>
      <c r="AL26">
        <f>IF(AK26="","",IF(AK26=1,0,IF(J26="男赤",INDEX($Y$2:$Y$51,AK26-1),IF(J26="男白",INDEX($Z$2:$Z$51,AK26-1),IF(J26="女赤",INDEX($AH$2:$AH$51,AK26-1),INDEX($AI$2:$AI$51,AK26-1))))))</f>
        <v/>
      </c>
      <c r="AM26">
        <f>IF(AK26="","",IF(RIGHT(J26,1)="赤",K26-AL26,IF(LEFT(J26,1)="男",INDEX($W$2:$W$51,AK26),INDEX($AF$2:$AF$51,AK26))+K26-AL26))</f>
        <v/>
      </c>
      <c r="AN26">
        <f>IF(AK26="","",F26&amp;AK26&amp;"-"&amp;AM26)</f>
        <v/>
      </c>
      <c r="AO26">
        <f>IF(J26="","",F26&amp;D26)</f>
        <v/>
      </c>
      <c r="AP26">
        <f>IF(J26="","",IF(F26="男",COUNTIF(手直し!$B$6:$E$55,D26),COUNTIF(手直し!$F$6:$I$55,D26)))</f>
        <v/>
      </c>
      <c r="AQ26">
        <f>IF(AND(J26&lt;&gt;"",AP26=0),1,0)</f>
        <v/>
      </c>
      <c r="AR26">
        <f>IF(AND(AQ26=1,F26="男"),COUNTIFS($AQ$2:AQ26,1,$F$2:F26,"男"),"")</f>
        <v/>
      </c>
      <c r="AS26">
        <f>IF(AND(AQ26=1,F26="女"),COUNTIFS($AQ$2:AQ26,1,$F$2:F26,"女"),"")</f>
        <v/>
      </c>
    </row>
    <row r="27">
      <c r="A27" s="21">
        <f>ROW()-1</f>
        <v/>
      </c>
      <c r="B27" s="21">
        <f>INT((A27-1)/37)+1</f>
        <v/>
      </c>
      <c r="C27" s="21">
        <f>MOD(A27-1,37)+1</f>
        <v/>
      </c>
      <c r="D27" s="21">
        <f>INDEX(①データ入力!$B$3:$Y$39,C27,(B27-1)*5+1)&amp;""</f>
        <v/>
      </c>
      <c r="E27" s="21">
        <f>INDEX(①データ入力!$B$3:$Y$39,C27,(B27-1)*5+2)&amp;""</f>
        <v/>
      </c>
      <c r="F27" s="21">
        <f>IF(OR(E27="1",E27="１",E27="男"),"男",IF(OR(E27="2",E27="２",E27="女"),"女",""))</f>
        <v/>
      </c>
      <c r="G27" s="21">
        <f>INDEX(①データ入力!$B$3:$Y$39,C27,(B27-1)*5+3)</f>
        <v/>
      </c>
      <c r="H27" s="21">
        <f>INDEX(①データ入力!$B$3:$Y$39,C27,(B27-1)*5+4)&amp;""</f>
        <v/>
      </c>
      <c r="I27" s="21">
        <f>IF(LEFT(TRIM(H27),1)="赤","赤",IF(LEFT(TRIM(H27),1)="白","白",""))</f>
        <v/>
      </c>
      <c r="J27" s="21">
        <f>IF(AND(D27&lt;&gt;"",F27&lt;&gt;"",I27&lt;&gt;"",ISNUMBER(G27)),F27&amp;I27,"")</f>
        <v/>
      </c>
      <c r="K27" s="21">
        <f>IF(J27="","",COUNTIFS($J$2:$J$186,J27,$G$2:$G$186,"&lt;"&amp;G27)+COUNTIFS($J$2:$J$186,J27,$G$2:$G$186,G27,$A$2:$A$186,"&lt;"&amp;A27)+1)</f>
        <v/>
      </c>
      <c r="L27" s="21">
        <f>IF(J27="","",J27&amp;K27)</f>
        <v/>
      </c>
      <c r="M27" s="21">
        <f>B27&amp;"組"</f>
        <v/>
      </c>
      <c r="N27" s="21">
        <f>IF(AND(D27&lt;&gt;"",J27=""),1,0)</f>
        <v/>
      </c>
      <c r="S27" t="n">
        <v>26</v>
      </c>
      <c r="T27">
        <f>IF(OR($Q$9=0,S27&gt;$Q$9),0,INT($Q$8/$Q$9)+IF(S27&lt;=MOD($Q$8,$Q$9),1,0))</f>
        <v/>
      </c>
      <c r="U27">
        <f>$Q$2-Y26</f>
        <v/>
      </c>
      <c r="V27">
        <f>$Q$3-Z26</f>
        <v/>
      </c>
      <c r="W27">
        <f>IF(T27=0,0,MIN(U27,MAX(IF(MOD(T27,2)=0,T27/2,IF(U27&gt;=V27,(T27+1)/2,(T27-1)/2)),T27-V27)))</f>
        <v/>
      </c>
      <c r="X27">
        <f>T27-W27</f>
        <v/>
      </c>
      <c r="Y27">
        <f>Y26+W27</f>
        <v/>
      </c>
      <c r="Z27">
        <f>Z26+X27</f>
        <v/>
      </c>
      <c r="AB27" t="n">
        <v>26</v>
      </c>
      <c r="AC27">
        <f>IF(OR($Q$11=0,AB27&gt;$Q$11),0,INT($Q$10/$Q$11)+IF(AB27&lt;=MOD($Q$10,$Q$11),1,0))</f>
        <v/>
      </c>
      <c r="AD27">
        <f>$Q$4-AH26</f>
        <v/>
      </c>
      <c r="AE27">
        <f>$Q$5-AI26</f>
        <v/>
      </c>
      <c r="AF27">
        <f>IF(AC27=0,0,MIN(AD27,MAX(IF(MOD(AC27,2)=0,AC27/2,IF(AD27&gt;=AE27,(AC27+1)/2,(AC27-1)/2)),AC27-AE27)))</f>
        <v/>
      </c>
      <c r="AG27">
        <f>AC27-AF27</f>
        <v/>
      </c>
      <c r="AH27">
        <f>AH26+AF27</f>
        <v/>
      </c>
      <c r="AI27">
        <f>AI26+AG27</f>
        <v/>
      </c>
      <c r="AK27">
        <f>IF(J27="","",IF(J27="男赤",COUNTIF($Y$2:$Y$51,"&lt;"&amp;K27),IF(J27="男白",COUNTIF($Z$2:$Z$51,"&lt;"&amp;K27),IF(J27="女赤",COUNTIF($AH$2:$AH$51,"&lt;"&amp;K27),COUNTIF($AI$2:$AI$51,"&lt;"&amp;K27))))+1)</f>
        <v/>
      </c>
      <c r="AL27">
        <f>IF(AK27="","",IF(AK27=1,0,IF(J27="男赤",INDEX($Y$2:$Y$51,AK27-1),IF(J27="男白",INDEX($Z$2:$Z$51,AK27-1),IF(J27="女赤",INDEX($AH$2:$AH$51,AK27-1),INDEX($AI$2:$AI$51,AK27-1))))))</f>
        <v/>
      </c>
      <c r="AM27">
        <f>IF(AK27="","",IF(RIGHT(J27,1)="赤",K27-AL27,IF(LEFT(J27,1)="男",INDEX($W$2:$W$51,AK27),INDEX($AF$2:$AF$51,AK27))+K27-AL27))</f>
        <v/>
      </c>
      <c r="AN27">
        <f>IF(AK27="","",F27&amp;AK27&amp;"-"&amp;AM27)</f>
        <v/>
      </c>
      <c r="AO27">
        <f>IF(J27="","",F27&amp;D27)</f>
        <v/>
      </c>
      <c r="AP27">
        <f>IF(J27="","",IF(F27="男",COUNTIF(手直し!$B$6:$E$55,D27),COUNTIF(手直し!$F$6:$I$55,D27)))</f>
        <v/>
      </c>
      <c r="AQ27">
        <f>IF(AND(J27&lt;&gt;"",AP27=0),1,0)</f>
        <v/>
      </c>
      <c r="AR27">
        <f>IF(AND(AQ27=1,F27="男"),COUNTIFS($AQ$2:AQ27,1,$F$2:F27,"男"),"")</f>
        <v/>
      </c>
      <c r="AS27">
        <f>IF(AND(AQ27=1,F27="女"),COUNTIFS($AQ$2:AQ27,1,$F$2:F27,"女"),"")</f>
        <v/>
      </c>
    </row>
    <row r="28">
      <c r="A28" s="21">
        <f>ROW()-1</f>
        <v/>
      </c>
      <c r="B28" s="21">
        <f>INT((A28-1)/37)+1</f>
        <v/>
      </c>
      <c r="C28" s="21">
        <f>MOD(A28-1,37)+1</f>
        <v/>
      </c>
      <c r="D28" s="21">
        <f>INDEX(①データ入力!$B$3:$Y$39,C28,(B28-1)*5+1)&amp;""</f>
        <v/>
      </c>
      <c r="E28" s="21">
        <f>INDEX(①データ入力!$B$3:$Y$39,C28,(B28-1)*5+2)&amp;""</f>
        <v/>
      </c>
      <c r="F28" s="21">
        <f>IF(OR(E28="1",E28="１",E28="男"),"男",IF(OR(E28="2",E28="２",E28="女"),"女",""))</f>
        <v/>
      </c>
      <c r="G28" s="21">
        <f>INDEX(①データ入力!$B$3:$Y$39,C28,(B28-1)*5+3)</f>
        <v/>
      </c>
      <c r="H28" s="21">
        <f>INDEX(①データ入力!$B$3:$Y$39,C28,(B28-1)*5+4)&amp;""</f>
        <v/>
      </c>
      <c r="I28" s="21">
        <f>IF(LEFT(TRIM(H28),1)="赤","赤",IF(LEFT(TRIM(H28),1)="白","白",""))</f>
        <v/>
      </c>
      <c r="J28" s="21">
        <f>IF(AND(D28&lt;&gt;"",F28&lt;&gt;"",I28&lt;&gt;"",ISNUMBER(G28)),F28&amp;I28,"")</f>
        <v/>
      </c>
      <c r="K28" s="21">
        <f>IF(J28="","",COUNTIFS($J$2:$J$186,J28,$G$2:$G$186,"&lt;"&amp;G28)+COUNTIFS($J$2:$J$186,J28,$G$2:$G$186,G28,$A$2:$A$186,"&lt;"&amp;A28)+1)</f>
        <v/>
      </c>
      <c r="L28" s="21">
        <f>IF(J28="","",J28&amp;K28)</f>
        <v/>
      </c>
      <c r="M28" s="21">
        <f>B28&amp;"組"</f>
        <v/>
      </c>
      <c r="N28" s="21">
        <f>IF(AND(D28&lt;&gt;"",J28=""),1,0)</f>
        <v/>
      </c>
      <c r="S28" t="n">
        <v>27</v>
      </c>
      <c r="T28">
        <f>IF(OR($Q$9=0,S28&gt;$Q$9),0,INT($Q$8/$Q$9)+IF(S28&lt;=MOD($Q$8,$Q$9),1,0))</f>
        <v/>
      </c>
      <c r="U28">
        <f>$Q$2-Y27</f>
        <v/>
      </c>
      <c r="V28">
        <f>$Q$3-Z27</f>
        <v/>
      </c>
      <c r="W28">
        <f>IF(T28=0,0,MIN(U28,MAX(IF(MOD(T28,2)=0,T28/2,IF(U28&gt;=V28,(T28+1)/2,(T28-1)/2)),T28-V28)))</f>
        <v/>
      </c>
      <c r="X28">
        <f>T28-W28</f>
        <v/>
      </c>
      <c r="Y28">
        <f>Y27+W28</f>
        <v/>
      </c>
      <c r="Z28">
        <f>Z27+X28</f>
        <v/>
      </c>
      <c r="AB28" t="n">
        <v>27</v>
      </c>
      <c r="AC28">
        <f>IF(OR($Q$11=0,AB28&gt;$Q$11),0,INT($Q$10/$Q$11)+IF(AB28&lt;=MOD($Q$10,$Q$11),1,0))</f>
        <v/>
      </c>
      <c r="AD28">
        <f>$Q$4-AH27</f>
        <v/>
      </c>
      <c r="AE28">
        <f>$Q$5-AI27</f>
        <v/>
      </c>
      <c r="AF28">
        <f>IF(AC28=0,0,MIN(AD28,MAX(IF(MOD(AC28,2)=0,AC28/2,IF(AD28&gt;=AE28,(AC28+1)/2,(AC28-1)/2)),AC28-AE28)))</f>
        <v/>
      </c>
      <c r="AG28">
        <f>AC28-AF28</f>
        <v/>
      </c>
      <c r="AH28">
        <f>AH27+AF28</f>
        <v/>
      </c>
      <c r="AI28">
        <f>AI27+AG28</f>
        <v/>
      </c>
      <c r="AK28">
        <f>IF(J28="","",IF(J28="男赤",COUNTIF($Y$2:$Y$51,"&lt;"&amp;K28),IF(J28="男白",COUNTIF($Z$2:$Z$51,"&lt;"&amp;K28),IF(J28="女赤",COUNTIF($AH$2:$AH$51,"&lt;"&amp;K28),COUNTIF($AI$2:$AI$51,"&lt;"&amp;K28))))+1)</f>
        <v/>
      </c>
      <c r="AL28">
        <f>IF(AK28="","",IF(AK28=1,0,IF(J28="男赤",INDEX($Y$2:$Y$51,AK28-1),IF(J28="男白",INDEX($Z$2:$Z$51,AK28-1),IF(J28="女赤",INDEX($AH$2:$AH$51,AK28-1),INDEX($AI$2:$AI$51,AK28-1))))))</f>
        <v/>
      </c>
      <c r="AM28">
        <f>IF(AK28="","",IF(RIGHT(J28,1)="赤",K28-AL28,IF(LEFT(J28,1)="男",INDEX($W$2:$W$51,AK28),INDEX($AF$2:$AF$51,AK28))+K28-AL28))</f>
        <v/>
      </c>
      <c r="AN28">
        <f>IF(AK28="","",F28&amp;AK28&amp;"-"&amp;AM28)</f>
        <v/>
      </c>
      <c r="AO28">
        <f>IF(J28="","",F28&amp;D28)</f>
        <v/>
      </c>
      <c r="AP28">
        <f>IF(J28="","",IF(F28="男",COUNTIF(手直し!$B$6:$E$55,D28),COUNTIF(手直し!$F$6:$I$55,D28)))</f>
        <v/>
      </c>
      <c r="AQ28">
        <f>IF(AND(J28&lt;&gt;"",AP28=0),1,0)</f>
        <v/>
      </c>
      <c r="AR28">
        <f>IF(AND(AQ28=1,F28="男"),COUNTIFS($AQ$2:AQ28,1,$F$2:F28,"男"),"")</f>
        <v/>
      </c>
      <c r="AS28">
        <f>IF(AND(AQ28=1,F28="女"),COUNTIFS($AQ$2:AQ28,1,$F$2:F28,"女"),"")</f>
        <v/>
      </c>
    </row>
    <row r="29">
      <c r="A29" s="21">
        <f>ROW()-1</f>
        <v/>
      </c>
      <c r="B29" s="21">
        <f>INT((A29-1)/37)+1</f>
        <v/>
      </c>
      <c r="C29" s="21">
        <f>MOD(A29-1,37)+1</f>
        <v/>
      </c>
      <c r="D29" s="21">
        <f>INDEX(①データ入力!$B$3:$Y$39,C29,(B29-1)*5+1)&amp;""</f>
        <v/>
      </c>
      <c r="E29" s="21">
        <f>INDEX(①データ入力!$B$3:$Y$39,C29,(B29-1)*5+2)&amp;""</f>
        <v/>
      </c>
      <c r="F29" s="21">
        <f>IF(OR(E29="1",E29="１",E29="男"),"男",IF(OR(E29="2",E29="２",E29="女"),"女",""))</f>
        <v/>
      </c>
      <c r="G29" s="21">
        <f>INDEX(①データ入力!$B$3:$Y$39,C29,(B29-1)*5+3)</f>
        <v/>
      </c>
      <c r="H29" s="21">
        <f>INDEX(①データ入力!$B$3:$Y$39,C29,(B29-1)*5+4)&amp;""</f>
        <v/>
      </c>
      <c r="I29" s="21">
        <f>IF(LEFT(TRIM(H29),1)="赤","赤",IF(LEFT(TRIM(H29),1)="白","白",""))</f>
        <v/>
      </c>
      <c r="J29" s="21">
        <f>IF(AND(D29&lt;&gt;"",F29&lt;&gt;"",I29&lt;&gt;"",ISNUMBER(G29)),F29&amp;I29,"")</f>
        <v/>
      </c>
      <c r="K29" s="21">
        <f>IF(J29="","",COUNTIFS($J$2:$J$186,J29,$G$2:$G$186,"&lt;"&amp;G29)+COUNTIFS($J$2:$J$186,J29,$G$2:$G$186,G29,$A$2:$A$186,"&lt;"&amp;A29)+1)</f>
        <v/>
      </c>
      <c r="L29" s="21">
        <f>IF(J29="","",J29&amp;K29)</f>
        <v/>
      </c>
      <c r="M29" s="21">
        <f>B29&amp;"組"</f>
        <v/>
      </c>
      <c r="N29" s="21">
        <f>IF(AND(D29&lt;&gt;"",J29=""),1,0)</f>
        <v/>
      </c>
      <c r="S29" t="n">
        <v>28</v>
      </c>
      <c r="T29">
        <f>IF(OR($Q$9=0,S29&gt;$Q$9),0,INT($Q$8/$Q$9)+IF(S29&lt;=MOD($Q$8,$Q$9),1,0))</f>
        <v/>
      </c>
      <c r="U29">
        <f>$Q$2-Y28</f>
        <v/>
      </c>
      <c r="V29">
        <f>$Q$3-Z28</f>
        <v/>
      </c>
      <c r="W29">
        <f>IF(T29=0,0,MIN(U29,MAX(IF(MOD(T29,2)=0,T29/2,IF(U29&gt;=V29,(T29+1)/2,(T29-1)/2)),T29-V29)))</f>
        <v/>
      </c>
      <c r="X29">
        <f>T29-W29</f>
        <v/>
      </c>
      <c r="Y29">
        <f>Y28+W29</f>
        <v/>
      </c>
      <c r="Z29">
        <f>Z28+X29</f>
        <v/>
      </c>
      <c r="AB29" t="n">
        <v>28</v>
      </c>
      <c r="AC29">
        <f>IF(OR($Q$11=0,AB29&gt;$Q$11),0,INT($Q$10/$Q$11)+IF(AB29&lt;=MOD($Q$10,$Q$11),1,0))</f>
        <v/>
      </c>
      <c r="AD29">
        <f>$Q$4-AH28</f>
        <v/>
      </c>
      <c r="AE29">
        <f>$Q$5-AI28</f>
        <v/>
      </c>
      <c r="AF29">
        <f>IF(AC29=0,0,MIN(AD29,MAX(IF(MOD(AC29,2)=0,AC29/2,IF(AD29&gt;=AE29,(AC29+1)/2,(AC29-1)/2)),AC29-AE29)))</f>
        <v/>
      </c>
      <c r="AG29">
        <f>AC29-AF29</f>
        <v/>
      </c>
      <c r="AH29">
        <f>AH28+AF29</f>
        <v/>
      </c>
      <c r="AI29">
        <f>AI28+AG29</f>
        <v/>
      </c>
      <c r="AK29">
        <f>IF(J29="","",IF(J29="男赤",COUNTIF($Y$2:$Y$51,"&lt;"&amp;K29),IF(J29="男白",COUNTIF($Z$2:$Z$51,"&lt;"&amp;K29),IF(J29="女赤",COUNTIF($AH$2:$AH$51,"&lt;"&amp;K29),COUNTIF($AI$2:$AI$51,"&lt;"&amp;K29))))+1)</f>
        <v/>
      </c>
      <c r="AL29">
        <f>IF(AK29="","",IF(AK29=1,0,IF(J29="男赤",INDEX($Y$2:$Y$51,AK29-1),IF(J29="男白",INDEX($Z$2:$Z$51,AK29-1),IF(J29="女赤",INDEX($AH$2:$AH$51,AK29-1),INDEX($AI$2:$AI$51,AK29-1))))))</f>
        <v/>
      </c>
      <c r="AM29">
        <f>IF(AK29="","",IF(RIGHT(J29,1)="赤",K29-AL29,IF(LEFT(J29,1)="男",INDEX($W$2:$W$51,AK29),INDEX($AF$2:$AF$51,AK29))+K29-AL29))</f>
        <v/>
      </c>
      <c r="AN29">
        <f>IF(AK29="","",F29&amp;AK29&amp;"-"&amp;AM29)</f>
        <v/>
      </c>
      <c r="AO29">
        <f>IF(J29="","",F29&amp;D29)</f>
        <v/>
      </c>
      <c r="AP29">
        <f>IF(J29="","",IF(F29="男",COUNTIF(手直し!$B$6:$E$55,D29),COUNTIF(手直し!$F$6:$I$55,D29)))</f>
        <v/>
      </c>
      <c r="AQ29">
        <f>IF(AND(J29&lt;&gt;"",AP29=0),1,0)</f>
        <v/>
      </c>
      <c r="AR29">
        <f>IF(AND(AQ29=1,F29="男"),COUNTIFS($AQ$2:AQ29,1,$F$2:F29,"男"),"")</f>
        <v/>
      </c>
      <c r="AS29">
        <f>IF(AND(AQ29=1,F29="女"),COUNTIFS($AQ$2:AQ29,1,$F$2:F29,"女"),"")</f>
        <v/>
      </c>
    </row>
    <row r="30">
      <c r="A30" s="21">
        <f>ROW()-1</f>
        <v/>
      </c>
      <c r="B30" s="21">
        <f>INT((A30-1)/37)+1</f>
        <v/>
      </c>
      <c r="C30" s="21">
        <f>MOD(A30-1,37)+1</f>
        <v/>
      </c>
      <c r="D30" s="21">
        <f>INDEX(①データ入力!$B$3:$Y$39,C30,(B30-1)*5+1)&amp;""</f>
        <v/>
      </c>
      <c r="E30" s="21">
        <f>INDEX(①データ入力!$B$3:$Y$39,C30,(B30-1)*5+2)&amp;""</f>
        <v/>
      </c>
      <c r="F30" s="21">
        <f>IF(OR(E30="1",E30="１",E30="男"),"男",IF(OR(E30="2",E30="２",E30="女"),"女",""))</f>
        <v/>
      </c>
      <c r="G30" s="21">
        <f>INDEX(①データ入力!$B$3:$Y$39,C30,(B30-1)*5+3)</f>
        <v/>
      </c>
      <c r="H30" s="21">
        <f>INDEX(①データ入力!$B$3:$Y$39,C30,(B30-1)*5+4)&amp;""</f>
        <v/>
      </c>
      <c r="I30" s="21">
        <f>IF(LEFT(TRIM(H30),1)="赤","赤",IF(LEFT(TRIM(H30),1)="白","白",""))</f>
        <v/>
      </c>
      <c r="J30" s="21">
        <f>IF(AND(D30&lt;&gt;"",F30&lt;&gt;"",I30&lt;&gt;"",ISNUMBER(G30)),F30&amp;I30,"")</f>
        <v/>
      </c>
      <c r="K30" s="21">
        <f>IF(J30="","",COUNTIFS($J$2:$J$186,J30,$G$2:$G$186,"&lt;"&amp;G30)+COUNTIFS($J$2:$J$186,J30,$G$2:$G$186,G30,$A$2:$A$186,"&lt;"&amp;A30)+1)</f>
        <v/>
      </c>
      <c r="L30" s="21">
        <f>IF(J30="","",J30&amp;K30)</f>
        <v/>
      </c>
      <c r="M30" s="21">
        <f>B30&amp;"組"</f>
        <v/>
      </c>
      <c r="N30" s="21">
        <f>IF(AND(D30&lt;&gt;"",J30=""),1,0)</f>
        <v/>
      </c>
      <c r="S30" t="n">
        <v>29</v>
      </c>
      <c r="T30">
        <f>IF(OR($Q$9=0,S30&gt;$Q$9),0,INT($Q$8/$Q$9)+IF(S30&lt;=MOD($Q$8,$Q$9),1,0))</f>
        <v/>
      </c>
      <c r="U30">
        <f>$Q$2-Y29</f>
        <v/>
      </c>
      <c r="V30">
        <f>$Q$3-Z29</f>
        <v/>
      </c>
      <c r="W30">
        <f>IF(T30=0,0,MIN(U30,MAX(IF(MOD(T30,2)=0,T30/2,IF(U30&gt;=V30,(T30+1)/2,(T30-1)/2)),T30-V30)))</f>
        <v/>
      </c>
      <c r="X30">
        <f>T30-W30</f>
        <v/>
      </c>
      <c r="Y30">
        <f>Y29+W30</f>
        <v/>
      </c>
      <c r="Z30">
        <f>Z29+X30</f>
        <v/>
      </c>
      <c r="AB30" t="n">
        <v>29</v>
      </c>
      <c r="AC30">
        <f>IF(OR($Q$11=0,AB30&gt;$Q$11),0,INT($Q$10/$Q$11)+IF(AB30&lt;=MOD($Q$10,$Q$11),1,0))</f>
        <v/>
      </c>
      <c r="AD30">
        <f>$Q$4-AH29</f>
        <v/>
      </c>
      <c r="AE30">
        <f>$Q$5-AI29</f>
        <v/>
      </c>
      <c r="AF30">
        <f>IF(AC30=0,0,MIN(AD30,MAX(IF(MOD(AC30,2)=0,AC30/2,IF(AD30&gt;=AE30,(AC30+1)/2,(AC30-1)/2)),AC30-AE30)))</f>
        <v/>
      </c>
      <c r="AG30">
        <f>AC30-AF30</f>
        <v/>
      </c>
      <c r="AH30">
        <f>AH29+AF30</f>
        <v/>
      </c>
      <c r="AI30">
        <f>AI29+AG30</f>
        <v/>
      </c>
      <c r="AK30">
        <f>IF(J30="","",IF(J30="男赤",COUNTIF($Y$2:$Y$51,"&lt;"&amp;K30),IF(J30="男白",COUNTIF($Z$2:$Z$51,"&lt;"&amp;K30),IF(J30="女赤",COUNTIF($AH$2:$AH$51,"&lt;"&amp;K30),COUNTIF($AI$2:$AI$51,"&lt;"&amp;K30))))+1)</f>
        <v/>
      </c>
      <c r="AL30">
        <f>IF(AK30="","",IF(AK30=1,0,IF(J30="男赤",INDEX($Y$2:$Y$51,AK30-1),IF(J30="男白",INDEX($Z$2:$Z$51,AK30-1),IF(J30="女赤",INDEX($AH$2:$AH$51,AK30-1),INDEX($AI$2:$AI$51,AK30-1))))))</f>
        <v/>
      </c>
      <c r="AM30">
        <f>IF(AK30="","",IF(RIGHT(J30,1)="赤",K30-AL30,IF(LEFT(J30,1)="男",INDEX($W$2:$W$51,AK30),INDEX($AF$2:$AF$51,AK30))+K30-AL30))</f>
        <v/>
      </c>
      <c r="AN30">
        <f>IF(AK30="","",F30&amp;AK30&amp;"-"&amp;AM30)</f>
        <v/>
      </c>
      <c r="AO30">
        <f>IF(J30="","",F30&amp;D30)</f>
        <v/>
      </c>
      <c r="AP30">
        <f>IF(J30="","",IF(F30="男",COUNTIF(手直し!$B$6:$E$55,D30),COUNTIF(手直し!$F$6:$I$55,D30)))</f>
        <v/>
      </c>
      <c r="AQ30">
        <f>IF(AND(J30&lt;&gt;"",AP30=0),1,0)</f>
        <v/>
      </c>
      <c r="AR30">
        <f>IF(AND(AQ30=1,F30="男"),COUNTIFS($AQ$2:AQ30,1,$F$2:F30,"男"),"")</f>
        <v/>
      </c>
      <c r="AS30">
        <f>IF(AND(AQ30=1,F30="女"),COUNTIFS($AQ$2:AQ30,1,$F$2:F30,"女"),"")</f>
        <v/>
      </c>
    </row>
    <row r="31">
      <c r="A31" s="21">
        <f>ROW()-1</f>
        <v/>
      </c>
      <c r="B31" s="21">
        <f>INT((A31-1)/37)+1</f>
        <v/>
      </c>
      <c r="C31" s="21">
        <f>MOD(A31-1,37)+1</f>
        <v/>
      </c>
      <c r="D31" s="21">
        <f>INDEX(①データ入力!$B$3:$Y$39,C31,(B31-1)*5+1)&amp;""</f>
        <v/>
      </c>
      <c r="E31" s="21">
        <f>INDEX(①データ入力!$B$3:$Y$39,C31,(B31-1)*5+2)&amp;""</f>
        <v/>
      </c>
      <c r="F31" s="21">
        <f>IF(OR(E31="1",E31="１",E31="男"),"男",IF(OR(E31="2",E31="２",E31="女"),"女",""))</f>
        <v/>
      </c>
      <c r="G31" s="21">
        <f>INDEX(①データ入力!$B$3:$Y$39,C31,(B31-1)*5+3)</f>
        <v/>
      </c>
      <c r="H31" s="21">
        <f>INDEX(①データ入力!$B$3:$Y$39,C31,(B31-1)*5+4)&amp;""</f>
        <v/>
      </c>
      <c r="I31" s="21">
        <f>IF(LEFT(TRIM(H31),1)="赤","赤",IF(LEFT(TRIM(H31),1)="白","白",""))</f>
        <v/>
      </c>
      <c r="J31" s="21">
        <f>IF(AND(D31&lt;&gt;"",F31&lt;&gt;"",I31&lt;&gt;"",ISNUMBER(G31)),F31&amp;I31,"")</f>
        <v/>
      </c>
      <c r="K31" s="21">
        <f>IF(J31="","",COUNTIFS($J$2:$J$186,J31,$G$2:$G$186,"&lt;"&amp;G31)+COUNTIFS($J$2:$J$186,J31,$G$2:$G$186,G31,$A$2:$A$186,"&lt;"&amp;A31)+1)</f>
        <v/>
      </c>
      <c r="L31" s="21">
        <f>IF(J31="","",J31&amp;K31)</f>
        <v/>
      </c>
      <c r="M31" s="21">
        <f>B31&amp;"組"</f>
        <v/>
      </c>
      <c r="N31" s="21">
        <f>IF(AND(D31&lt;&gt;"",J31=""),1,0)</f>
        <v/>
      </c>
      <c r="S31" t="n">
        <v>30</v>
      </c>
      <c r="T31">
        <f>IF(OR($Q$9=0,S31&gt;$Q$9),0,INT($Q$8/$Q$9)+IF(S31&lt;=MOD($Q$8,$Q$9),1,0))</f>
        <v/>
      </c>
      <c r="U31">
        <f>$Q$2-Y30</f>
        <v/>
      </c>
      <c r="V31">
        <f>$Q$3-Z30</f>
        <v/>
      </c>
      <c r="W31">
        <f>IF(T31=0,0,MIN(U31,MAX(IF(MOD(T31,2)=0,T31/2,IF(U31&gt;=V31,(T31+1)/2,(T31-1)/2)),T31-V31)))</f>
        <v/>
      </c>
      <c r="X31">
        <f>T31-W31</f>
        <v/>
      </c>
      <c r="Y31">
        <f>Y30+W31</f>
        <v/>
      </c>
      <c r="Z31">
        <f>Z30+X31</f>
        <v/>
      </c>
      <c r="AB31" t="n">
        <v>30</v>
      </c>
      <c r="AC31">
        <f>IF(OR($Q$11=0,AB31&gt;$Q$11),0,INT($Q$10/$Q$11)+IF(AB31&lt;=MOD($Q$10,$Q$11),1,0))</f>
        <v/>
      </c>
      <c r="AD31">
        <f>$Q$4-AH30</f>
        <v/>
      </c>
      <c r="AE31">
        <f>$Q$5-AI30</f>
        <v/>
      </c>
      <c r="AF31">
        <f>IF(AC31=0,0,MIN(AD31,MAX(IF(MOD(AC31,2)=0,AC31/2,IF(AD31&gt;=AE31,(AC31+1)/2,(AC31-1)/2)),AC31-AE31)))</f>
        <v/>
      </c>
      <c r="AG31">
        <f>AC31-AF31</f>
        <v/>
      </c>
      <c r="AH31">
        <f>AH30+AF31</f>
        <v/>
      </c>
      <c r="AI31">
        <f>AI30+AG31</f>
        <v/>
      </c>
      <c r="AK31">
        <f>IF(J31="","",IF(J31="男赤",COUNTIF($Y$2:$Y$51,"&lt;"&amp;K31),IF(J31="男白",COUNTIF($Z$2:$Z$51,"&lt;"&amp;K31),IF(J31="女赤",COUNTIF($AH$2:$AH$51,"&lt;"&amp;K31),COUNTIF($AI$2:$AI$51,"&lt;"&amp;K31))))+1)</f>
        <v/>
      </c>
      <c r="AL31">
        <f>IF(AK31="","",IF(AK31=1,0,IF(J31="男赤",INDEX($Y$2:$Y$51,AK31-1),IF(J31="男白",INDEX($Z$2:$Z$51,AK31-1),IF(J31="女赤",INDEX($AH$2:$AH$51,AK31-1),INDEX($AI$2:$AI$51,AK31-1))))))</f>
        <v/>
      </c>
      <c r="AM31">
        <f>IF(AK31="","",IF(RIGHT(J31,1)="赤",K31-AL31,IF(LEFT(J31,1)="男",INDEX($W$2:$W$51,AK31),INDEX($AF$2:$AF$51,AK31))+K31-AL31))</f>
        <v/>
      </c>
      <c r="AN31">
        <f>IF(AK31="","",F31&amp;AK31&amp;"-"&amp;AM31)</f>
        <v/>
      </c>
      <c r="AO31">
        <f>IF(J31="","",F31&amp;D31)</f>
        <v/>
      </c>
      <c r="AP31">
        <f>IF(J31="","",IF(F31="男",COUNTIF(手直し!$B$6:$E$55,D31),COUNTIF(手直し!$F$6:$I$55,D31)))</f>
        <v/>
      </c>
      <c r="AQ31">
        <f>IF(AND(J31&lt;&gt;"",AP31=0),1,0)</f>
        <v/>
      </c>
      <c r="AR31">
        <f>IF(AND(AQ31=1,F31="男"),COUNTIFS($AQ$2:AQ31,1,$F$2:F31,"男"),"")</f>
        <v/>
      </c>
      <c r="AS31">
        <f>IF(AND(AQ31=1,F31="女"),COUNTIFS($AQ$2:AQ31,1,$F$2:F31,"女"),"")</f>
        <v/>
      </c>
    </row>
    <row r="32">
      <c r="A32" s="21">
        <f>ROW()-1</f>
        <v/>
      </c>
      <c r="B32" s="21">
        <f>INT((A32-1)/37)+1</f>
        <v/>
      </c>
      <c r="C32" s="21">
        <f>MOD(A32-1,37)+1</f>
        <v/>
      </c>
      <c r="D32" s="21">
        <f>INDEX(①データ入力!$B$3:$Y$39,C32,(B32-1)*5+1)&amp;""</f>
        <v/>
      </c>
      <c r="E32" s="21">
        <f>INDEX(①データ入力!$B$3:$Y$39,C32,(B32-1)*5+2)&amp;""</f>
        <v/>
      </c>
      <c r="F32" s="21">
        <f>IF(OR(E32="1",E32="１",E32="男"),"男",IF(OR(E32="2",E32="２",E32="女"),"女",""))</f>
        <v/>
      </c>
      <c r="G32" s="21">
        <f>INDEX(①データ入力!$B$3:$Y$39,C32,(B32-1)*5+3)</f>
        <v/>
      </c>
      <c r="H32" s="21">
        <f>INDEX(①データ入力!$B$3:$Y$39,C32,(B32-1)*5+4)&amp;""</f>
        <v/>
      </c>
      <c r="I32" s="21">
        <f>IF(LEFT(TRIM(H32),1)="赤","赤",IF(LEFT(TRIM(H32),1)="白","白",""))</f>
        <v/>
      </c>
      <c r="J32" s="21">
        <f>IF(AND(D32&lt;&gt;"",F32&lt;&gt;"",I32&lt;&gt;"",ISNUMBER(G32)),F32&amp;I32,"")</f>
        <v/>
      </c>
      <c r="K32" s="21">
        <f>IF(J32="","",COUNTIFS($J$2:$J$186,J32,$G$2:$G$186,"&lt;"&amp;G32)+COUNTIFS($J$2:$J$186,J32,$G$2:$G$186,G32,$A$2:$A$186,"&lt;"&amp;A32)+1)</f>
        <v/>
      </c>
      <c r="L32" s="21">
        <f>IF(J32="","",J32&amp;K32)</f>
        <v/>
      </c>
      <c r="M32" s="21">
        <f>B32&amp;"組"</f>
        <v/>
      </c>
      <c r="N32" s="21">
        <f>IF(AND(D32&lt;&gt;"",J32=""),1,0)</f>
        <v/>
      </c>
      <c r="S32" t="n">
        <v>31</v>
      </c>
      <c r="T32">
        <f>IF(OR($Q$9=0,S32&gt;$Q$9),0,INT($Q$8/$Q$9)+IF(S32&lt;=MOD($Q$8,$Q$9),1,0))</f>
        <v/>
      </c>
      <c r="U32">
        <f>$Q$2-Y31</f>
        <v/>
      </c>
      <c r="V32">
        <f>$Q$3-Z31</f>
        <v/>
      </c>
      <c r="W32">
        <f>IF(T32=0,0,MIN(U32,MAX(IF(MOD(T32,2)=0,T32/2,IF(U32&gt;=V32,(T32+1)/2,(T32-1)/2)),T32-V32)))</f>
        <v/>
      </c>
      <c r="X32">
        <f>T32-W32</f>
        <v/>
      </c>
      <c r="Y32">
        <f>Y31+W32</f>
        <v/>
      </c>
      <c r="Z32">
        <f>Z31+X32</f>
        <v/>
      </c>
      <c r="AB32" t="n">
        <v>31</v>
      </c>
      <c r="AC32">
        <f>IF(OR($Q$11=0,AB32&gt;$Q$11),0,INT($Q$10/$Q$11)+IF(AB32&lt;=MOD($Q$10,$Q$11),1,0))</f>
        <v/>
      </c>
      <c r="AD32">
        <f>$Q$4-AH31</f>
        <v/>
      </c>
      <c r="AE32">
        <f>$Q$5-AI31</f>
        <v/>
      </c>
      <c r="AF32">
        <f>IF(AC32=0,0,MIN(AD32,MAX(IF(MOD(AC32,2)=0,AC32/2,IF(AD32&gt;=AE32,(AC32+1)/2,(AC32-1)/2)),AC32-AE32)))</f>
        <v/>
      </c>
      <c r="AG32">
        <f>AC32-AF32</f>
        <v/>
      </c>
      <c r="AH32">
        <f>AH31+AF32</f>
        <v/>
      </c>
      <c r="AI32">
        <f>AI31+AG32</f>
        <v/>
      </c>
      <c r="AK32">
        <f>IF(J32="","",IF(J32="男赤",COUNTIF($Y$2:$Y$51,"&lt;"&amp;K32),IF(J32="男白",COUNTIF($Z$2:$Z$51,"&lt;"&amp;K32),IF(J32="女赤",COUNTIF($AH$2:$AH$51,"&lt;"&amp;K32),COUNTIF($AI$2:$AI$51,"&lt;"&amp;K32))))+1)</f>
        <v/>
      </c>
      <c r="AL32">
        <f>IF(AK32="","",IF(AK32=1,0,IF(J32="男赤",INDEX($Y$2:$Y$51,AK32-1),IF(J32="男白",INDEX($Z$2:$Z$51,AK32-1),IF(J32="女赤",INDEX($AH$2:$AH$51,AK32-1),INDEX($AI$2:$AI$51,AK32-1))))))</f>
        <v/>
      </c>
      <c r="AM32">
        <f>IF(AK32="","",IF(RIGHT(J32,1)="赤",K32-AL32,IF(LEFT(J32,1)="男",INDEX($W$2:$W$51,AK32),INDEX($AF$2:$AF$51,AK32))+K32-AL32))</f>
        <v/>
      </c>
      <c r="AN32">
        <f>IF(AK32="","",F32&amp;AK32&amp;"-"&amp;AM32)</f>
        <v/>
      </c>
      <c r="AO32">
        <f>IF(J32="","",F32&amp;D32)</f>
        <v/>
      </c>
      <c r="AP32">
        <f>IF(J32="","",IF(F32="男",COUNTIF(手直し!$B$6:$E$55,D32),COUNTIF(手直し!$F$6:$I$55,D32)))</f>
        <v/>
      </c>
      <c r="AQ32">
        <f>IF(AND(J32&lt;&gt;"",AP32=0),1,0)</f>
        <v/>
      </c>
      <c r="AR32">
        <f>IF(AND(AQ32=1,F32="男"),COUNTIFS($AQ$2:AQ32,1,$F$2:F32,"男"),"")</f>
        <v/>
      </c>
      <c r="AS32">
        <f>IF(AND(AQ32=1,F32="女"),COUNTIFS($AQ$2:AQ32,1,$F$2:F32,"女"),"")</f>
        <v/>
      </c>
    </row>
    <row r="33">
      <c r="A33" s="21">
        <f>ROW()-1</f>
        <v/>
      </c>
      <c r="B33" s="21">
        <f>INT((A33-1)/37)+1</f>
        <v/>
      </c>
      <c r="C33" s="21">
        <f>MOD(A33-1,37)+1</f>
        <v/>
      </c>
      <c r="D33" s="21">
        <f>INDEX(①データ入力!$B$3:$Y$39,C33,(B33-1)*5+1)&amp;""</f>
        <v/>
      </c>
      <c r="E33" s="21">
        <f>INDEX(①データ入力!$B$3:$Y$39,C33,(B33-1)*5+2)&amp;""</f>
        <v/>
      </c>
      <c r="F33" s="21">
        <f>IF(OR(E33="1",E33="１",E33="男"),"男",IF(OR(E33="2",E33="２",E33="女"),"女",""))</f>
        <v/>
      </c>
      <c r="G33" s="21">
        <f>INDEX(①データ入力!$B$3:$Y$39,C33,(B33-1)*5+3)</f>
        <v/>
      </c>
      <c r="H33" s="21">
        <f>INDEX(①データ入力!$B$3:$Y$39,C33,(B33-1)*5+4)&amp;""</f>
        <v/>
      </c>
      <c r="I33" s="21">
        <f>IF(LEFT(TRIM(H33),1)="赤","赤",IF(LEFT(TRIM(H33),1)="白","白",""))</f>
        <v/>
      </c>
      <c r="J33" s="21">
        <f>IF(AND(D33&lt;&gt;"",F33&lt;&gt;"",I33&lt;&gt;"",ISNUMBER(G33)),F33&amp;I33,"")</f>
        <v/>
      </c>
      <c r="K33" s="21">
        <f>IF(J33="","",COUNTIFS($J$2:$J$186,J33,$G$2:$G$186,"&lt;"&amp;G33)+COUNTIFS($J$2:$J$186,J33,$G$2:$G$186,G33,$A$2:$A$186,"&lt;"&amp;A33)+1)</f>
        <v/>
      </c>
      <c r="L33" s="21">
        <f>IF(J33="","",J33&amp;K33)</f>
        <v/>
      </c>
      <c r="M33" s="21">
        <f>B33&amp;"組"</f>
        <v/>
      </c>
      <c r="N33" s="21">
        <f>IF(AND(D33&lt;&gt;"",J33=""),1,0)</f>
        <v/>
      </c>
      <c r="S33" t="n">
        <v>32</v>
      </c>
      <c r="T33">
        <f>IF(OR($Q$9=0,S33&gt;$Q$9),0,INT($Q$8/$Q$9)+IF(S33&lt;=MOD($Q$8,$Q$9),1,0))</f>
        <v/>
      </c>
      <c r="U33">
        <f>$Q$2-Y32</f>
        <v/>
      </c>
      <c r="V33">
        <f>$Q$3-Z32</f>
        <v/>
      </c>
      <c r="W33">
        <f>IF(T33=0,0,MIN(U33,MAX(IF(MOD(T33,2)=0,T33/2,IF(U33&gt;=V33,(T33+1)/2,(T33-1)/2)),T33-V33)))</f>
        <v/>
      </c>
      <c r="X33">
        <f>T33-W33</f>
        <v/>
      </c>
      <c r="Y33">
        <f>Y32+W33</f>
        <v/>
      </c>
      <c r="Z33">
        <f>Z32+X33</f>
        <v/>
      </c>
      <c r="AB33" t="n">
        <v>32</v>
      </c>
      <c r="AC33">
        <f>IF(OR($Q$11=0,AB33&gt;$Q$11),0,INT($Q$10/$Q$11)+IF(AB33&lt;=MOD($Q$10,$Q$11),1,0))</f>
        <v/>
      </c>
      <c r="AD33">
        <f>$Q$4-AH32</f>
        <v/>
      </c>
      <c r="AE33">
        <f>$Q$5-AI32</f>
        <v/>
      </c>
      <c r="AF33">
        <f>IF(AC33=0,0,MIN(AD33,MAX(IF(MOD(AC33,2)=0,AC33/2,IF(AD33&gt;=AE33,(AC33+1)/2,(AC33-1)/2)),AC33-AE33)))</f>
        <v/>
      </c>
      <c r="AG33">
        <f>AC33-AF33</f>
        <v/>
      </c>
      <c r="AH33">
        <f>AH32+AF33</f>
        <v/>
      </c>
      <c r="AI33">
        <f>AI32+AG33</f>
        <v/>
      </c>
      <c r="AK33">
        <f>IF(J33="","",IF(J33="男赤",COUNTIF($Y$2:$Y$51,"&lt;"&amp;K33),IF(J33="男白",COUNTIF($Z$2:$Z$51,"&lt;"&amp;K33),IF(J33="女赤",COUNTIF($AH$2:$AH$51,"&lt;"&amp;K33),COUNTIF($AI$2:$AI$51,"&lt;"&amp;K33))))+1)</f>
        <v/>
      </c>
      <c r="AL33">
        <f>IF(AK33="","",IF(AK33=1,0,IF(J33="男赤",INDEX($Y$2:$Y$51,AK33-1),IF(J33="男白",INDEX($Z$2:$Z$51,AK33-1),IF(J33="女赤",INDEX($AH$2:$AH$51,AK33-1),INDEX($AI$2:$AI$51,AK33-1))))))</f>
        <v/>
      </c>
      <c r="AM33">
        <f>IF(AK33="","",IF(RIGHT(J33,1)="赤",K33-AL33,IF(LEFT(J33,1)="男",INDEX($W$2:$W$51,AK33),INDEX($AF$2:$AF$51,AK33))+K33-AL33))</f>
        <v/>
      </c>
      <c r="AN33">
        <f>IF(AK33="","",F33&amp;AK33&amp;"-"&amp;AM33)</f>
        <v/>
      </c>
      <c r="AO33">
        <f>IF(J33="","",F33&amp;D33)</f>
        <v/>
      </c>
      <c r="AP33">
        <f>IF(J33="","",IF(F33="男",COUNTIF(手直し!$B$6:$E$55,D33),COUNTIF(手直し!$F$6:$I$55,D33)))</f>
        <v/>
      </c>
      <c r="AQ33">
        <f>IF(AND(J33&lt;&gt;"",AP33=0),1,0)</f>
        <v/>
      </c>
      <c r="AR33">
        <f>IF(AND(AQ33=1,F33="男"),COUNTIFS($AQ$2:AQ33,1,$F$2:F33,"男"),"")</f>
        <v/>
      </c>
      <c r="AS33">
        <f>IF(AND(AQ33=1,F33="女"),COUNTIFS($AQ$2:AQ33,1,$F$2:F33,"女"),"")</f>
        <v/>
      </c>
    </row>
    <row r="34">
      <c r="A34" s="21">
        <f>ROW()-1</f>
        <v/>
      </c>
      <c r="B34" s="21">
        <f>INT((A34-1)/37)+1</f>
        <v/>
      </c>
      <c r="C34" s="21">
        <f>MOD(A34-1,37)+1</f>
        <v/>
      </c>
      <c r="D34" s="21">
        <f>INDEX(①データ入力!$B$3:$Y$39,C34,(B34-1)*5+1)&amp;""</f>
        <v/>
      </c>
      <c r="E34" s="21">
        <f>INDEX(①データ入力!$B$3:$Y$39,C34,(B34-1)*5+2)&amp;""</f>
        <v/>
      </c>
      <c r="F34" s="21">
        <f>IF(OR(E34="1",E34="１",E34="男"),"男",IF(OR(E34="2",E34="２",E34="女"),"女",""))</f>
        <v/>
      </c>
      <c r="G34" s="21">
        <f>INDEX(①データ入力!$B$3:$Y$39,C34,(B34-1)*5+3)</f>
        <v/>
      </c>
      <c r="H34" s="21">
        <f>INDEX(①データ入力!$B$3:$Y$39,C34,(B34-1)*5+4)&amp;""</f>
        <v/>
      </c>
      <c r="I34" s="21">
        <f>IF(LEFT(TRIM(H34),1)="赤","赤",IF(LEFT(TRIM(H34),1)="白","白",""))</f>
        <v/>
      </c>
      <c r="J34" s="21">
        <f>IF(AND(D34&lt;&gt;"",F34&lt;&gt;"",I34&lt;&gt;"",ISNUMBER(G34)),F34&amp;I34,"")</f>
        <v/>
      </c>
      <c r="K34" s="21">
        <f>IF(J34="","",COUNTIFS($J$2:$J$186,J34,$G$2:$G$186,"&lt;"&amp;G34)+COUNTIFS($J$2:$J$186,J34,$G$2:$G$186,G34,$A$2:$A$186,"&lt;"&amp;A34)+1)</f>
        <v/>
      </c>
      <c r="L34" s="21">
        <f>IF(J34="","",J34&amp;K34)</f>
        <v/>
      </c>
      <c r="M34" s="21">
        <f>B34&amp;"組"</f>
        <v/>
      </c>
      <c r="N34" s="21">
        <f>IF(AND(D34&lt;&gt;"",J34=""),1,0)</f>
        <v/>
      </c>
      <c r="S34" t="n">
        <v>33</v>
      </c>
      <c r="T34">
        <f>IF(OR($Q$9=0,S34&gt;$Q$9),0,INT($Q$8/$Q$9)+IF(S34&lt;=MOD($Q$8,$Q$9),1,0))</f>
        <v/>
      </c>
      <c r="U34">
        <f>$Q$2-Y33</f>
        <v/>
      </c>
      <c r="V34">
        <f>$Q$3-Z33</f>
        <v/>
      </c>
      <c r="W34">
        <f>IF(T34=0,0,MIN(U34,MAX(IF(MOD(T34,2)=0,T34/2,IF(U34&gt;=V34,(T34+1)/2,(T34-1)/2)),T34-V34)))</f>
        <v/>
      </c>
      <c r="X34">
        <f>T34-W34</f>
        <v/>
      </c>
      <c r="Y34">
        <f>Y33+W34</f>
        <v/>
      </c>
      <c r="Z34">
        <f>Z33+X34</f>
        <v/>
      </c>
      <c r="AB34" t="n">
        <v>33</v>
      </c>
      <c r="AC34">
        <f>IF(OR($Q$11=0,AB34&gt;$Q$11),0,INT($Q$10/$Q$11)+IF(AB34&lt;=MOD($Q$10,$Q$11),1,0))</f>
        <v/>
      </c>
      <c r="AD34">
        <f>$Q$4-AH33</f>
        <v/>
      </c>
      <c r="AE34">
        <f>$Q$5-AI33</f>
        <v/>
      </c>
      <c r="AF34">
        <f>IF(AC34=0,0,MIN(AD34,MAX(IF(MOD(AC34,2)=0,AC34/2,IF(AD34&gt;=AE34,(AC34+1)/2,(AC34-1)/2)),AC34-AE34)))</f>
        <v/>
      </c>
      <c r="AG34">
        <f>AC34-AF34</f>
        <v/>
      </c>
      <c r="AH34">
        <f>AH33+AF34</f>
        <v/>
      </c>
      <c r="AI34">
        <f>AI33+AG34</f>
        <v/>
      </c>
      <c r="AK34">
        <f>IF(J34="","",IF(J34="男赤",COUNTIF($Y$2:$Y$51,"&lt;"&amp;K34),IF(J34="男白",COUNTIF($Z$2:$Z$51,"&lt;"&amp;K34),IF(J34="女赤",COUNTIF($AH$2:$AH$51,"&lt;"&amp;K34),COUNTIF($AI$2:$AI$51,"&lt;"&amp;K34))))+1)</f>
        <v/>
      </c>
      <c r="AL34">
        <f>IF(AK34="","",IF(AK34=1,0,IF(J34="男赤",INDEX($Y$2:$Y$51,AK34-1),IF(J34="男白",INDEX($Z$2:$Z$51,AK34-1),IF(J34="女赤",INDEX($AH$2:$AH$51,AK34-1),INDEX($AI$2:$AI$51,AK34-1))))))</f>
        <v/>
      </c>
      <c r="AM34">
        <f>IF(AK34="","",IF(RIGHT(J34,1)="赤",K34-AL34,IF(LEFT(J34,1)="男",INDEX($W$2:$W$51,AK34),INDEX($AF$2:$AF$51,AK34))+K34-AL34))</f>
        <v/>
      </c>
      <c r="AN34">
        <f>IF(AK34="","",F34&amp;AK34&amp;"-"&amp;AM34)</f>
        <v/>
      </c>
      <c r="AO34">
        <f>IF(J34="","",F34&amp;D34)</f>
        <v/>
      </c>
      <c r="AP34">
        <f>IF(J34="","",IF(F34="男",COUNTIF(手直し!$B$6:$E$55,D34),COUNTIF(手直し!$F$6:$I$55,D34)))</f>
        <v/>
      </c>
      <c r="AQ34">
        <f>IF(AND(J34&lt;&gt;"",AP34=0),1,0)</f>
        <v/>
      </c>
      <c r="AR34">
        <f>IF(AND(AQ34=1,F34="男"),COUNTIFS($AQ$2:AQ34,1,$F$2:F34,"男"),"")</f>
        <v/>
      </c>
      <c r="AS34">
        <f>IF(AND(AQ34=1,F34="女"),COUNTIFS($AQ$2:AQ34,1,$F$2:F34,"女"),"")</f>
        <v/>
      </c>
    </row>
    <row r="35">
      <c r="A35" s="21">
        <f>ROW()-1</f>
        <v/>
      </c>
      <c r="B35" s="21">
        <f>INT((A35-1)/37)+1</f>
        <v/>
      </c>
      <c r="C35" s="21">
        <f>MOD(A35-1,37)+1</f>
        <v/>
      </c>
      <c r="D35" s="21">
        <f>INDEX(①データ入力!$B$3:$Y$39,C35,(B35-1)*5+1)&amp;""</f>
        <v/>
      </c>
      <c r="E35" s="21">
        <f>INDEX(①データ入力!$B$3:$Y$39,C35,(B35-1)*5+2)&amp;""</f>
        <v/>
      </c>
      <c r="F35" s="21">
        <f>IF(OR(E35="1",E35="１",E35="男"),"男",IF(OR(E35="2",E35="２",E35="女"),"女",""))</f>
        <v/>
      </c>
      <c r="G35" s="21">
        <f>INDEX(①データ入力!$B$3:$Y$39,C35,(B35-1)*5+3)</f>
        <v/>
      </c>
      <c r="H35" s="21">
        <f>INDEX(①データ入力!$B$3:$Y$39,C35,(B35-1)*5+4)&amp;""</f>
        <v/>
      </c>
      <c r="I35" s="21">
        <f>IF(LEFT(TRIM(H35),1)="赤","赤",IF(LEFT(TRIM(H35),1)="白","白",""))</f>
        <v/>
      </c>
      <c r="J35" s="21">
        <f>IF(AND(D35&lt;&gt;"",F35&lt;&gt;"",I35&lt;&gt;"",ISNUMBER(G35)),F35&amp;I35,"")</f>
        <v/>
      </c>
      <c r="K35" s="21">
        <f>IF(J35="","",COUNTIFS($J$2:$J$186,J35,$G$2:$G$186,"&lt;"&amp;G35)+COUNTIFS($J$2:$J$186,J35,$G$2:$G$186,G35,$A$2:$A$186,"&lt;"&amp;A35)+1)</f>
        <v/>
      </c>
      <c r="L35" s="21">
        <f>IF(J35="","",J35&amp;K35)</f>
        <v/>
      </c>
      <c r="M35" s="21">
        <f>B35&amp;"組"</f>
        <v/>
      </c>
      <c r="N35" s="21">
        <f>IF(AND(D35&lt;&gt;"",J35=""),1,0)</f>
        <v/>
      </c>
      <c r="S35" t="n">
        <v>34</v>
      </c>
      <c r="T35">
        <f>IF(OR($Q$9=0,S35&gt;$Q$9),0,INT($Q$8/$Q$9)+IF(S35&lt;=MOD($Q$8,$Q$9),1,0))</f>
        <v/>
      </c>
      <c r="U35">
        <f>$Q$2-Y34</f>
        <v/>
      </c>
      <c r="V35">
        <f>$Q$3-Z34</f>
        <v/>
      </c>
      <c r="W35">
        <f>IF(T35=0,0,MIN(U35,MAX(IF(MOD(T35,2)=0,T35/2,IF(U35&gt;=V35,(T35+1)/2,(T35-1)/2)),T35-V35)))</f>
        <v/>
      </c>
      <c r="X35">
        <f>T35-W35</f>
        <v/>
      </c>
      <c r="Y35">
        <f>Y34+W35</f>
        <v/>
      </c>
      <c r="Z35">
        <f>Z34+X35</f>
        <v/>
      </c>
      <c r="AB35" t="n">
        <v>34</v>
      </c>
      <c r="AC35">
        <f>IF(OR($Q$11=0,AB35&gt;$Q$11),0,INT($Q$10/$Q$11)+IF(AB35&lt;=MOD($Q$10,$Q$11),1,0))</f>
        <v/>
      </c>
      <c r="AD35">
        <f>$Q$4-AH34</f>
        <v/>
      </c>
      <c r="AE35">
        <f>$Q$5-AI34</f>
        <v/>
      </c>
      <c r="AF35">
        <f>IF(AC35=0,0,MIN(AD35,MAX(IF(MOD(AC35,2)=0,AC35/2,IF(AD35&gt;=AE35,(AC35+1)/2,(AC35-1)/2)),AC35-AE35)))</f>
        <v/>
      </c>
      <c r="AG35">
        <f>AC35-AF35</f>
        <v/>
      </c>
      <c r="AH35">
        <f>AH34+AF35</f>
        <v/>
      </c>
      <c r="AI35">
        <f>AI34+AG35</f>
        <v/>
      </c>
      <c r="AK35">
        <f>IF(J35="","",IF(J35="男赤",COUNTIF($Y$2:$Y$51,"&lt;"&amp;K35),IF(J35="男白",COUNTIF($Z$2:$Z$51,"&lt;"&amp;K35),IF(J35="女赤",COUNTIF($AH$2:$AH$51,"&lt;"&amp;K35),COUNTIF($AI$2:$AI$51,"&lt;"&amp;K35))))+1)</f>
        <v/>
      </c>
      <c r="AL35">
        <f>IF(AK35="","",IF(AK35=1,0,IF(J35="男赤",INDEX($Y$2:$Y$51,AK35-1),IF(J35="男白",INDEX($Z$2:$Z$51,AK35-1),IF(J35="女赤",INDEX($AH$2:$AH$51,AK35-1),INDEX($AI$2:$AI$51,AK35-1))))))</f>
        <v/>
      </c>
      <c r="AM35">
        <f>IF(AK35="","",IF(RIGHT(J35,1)="赤",K35-AL35,IF(LEFT(J35,1)="男",INDEX($W$2:$W$51,AK35),INDEX($AF$2:$AF$51,AK35))+K35-AL35))</f>
        <v/>
      </c>
      <c r="AN35">
        <f>IF(AK35="","",F35&amp;AK35&amp;"-"&amp;AM35)</f>
        <v/>
      </c>
      <c r="AO35">
        <f>IF(J35="","",F35&amp;D35)</f>
        <v/>
      </c>
      <c r="AP35">
        <f>IF(J35="","",IF(F35="男",COUNTIF(手直し!$B$6:$E$55,D35),COUNTIF(手直し!$F$6:$I$55,D35)))</f>
        <v/>
      </c>
      <c r="AQ35">
        <f>IF(AND(J35&lt;&gt;"",AP35=0),1,0)</f>
        <v/>
      </c>
      <c r="AR35">
        <f>IF(AND(AQ35=1,F35="男"),COUNTIFS($AQ$2:AQ35,1,$F$2:F35,"男"),"")</f>
        <v/>
      </c>
      <c r="AS35">
        <f>IF(AND(AQ35=1,F35="女"),COUNTIFS($AQ$2:AQ35,1,$F$2:F35,"女"),"")</f>
        <v/>
      </c>
    </row>
    <row r="36">
      <c r="A36" s="21">
        <f>ROW()-1</f>
        <v/>
      </c>
      <c r="B36" s="21">
        <f>INT((A36-1)/37)+1</f>
        <v/>
      </c>
      <c r="C36" s="21">
        <f>MOD(A36-1,37)+1</f>
        <v/>
      </c>
      <c r="D36" s="21">
        <f>INDEX(①データ入力!$B$3:$Y$39,C36,(B36-1)*5+1)&amp;""</f>
        <v/>
      </c>
      <c r="E36" s="21">
        <f>INDEX(①データ入力!$B$3:$Y$39,C36,(B36-1)*5+2)&amp;""</f>
        <v/>
      </c>
      <c r="F36" s="21">
        <f>IF(OR(E36="1",E36="１",E36="男"),"男",IF(OR(E36="2",E36="２",E36="女"),"女",""))</f>
        <v/>
      </c>
      <c r="G36" s="21">
        <f>INDEX(①データ入力!$B$3:$Y$39,C36,(B36-1)*5+3)</f>
        <v/>
      </c>
      <c r="H36" s="21">
        <f>INDEX(①データ入力!$B$3:$Y$39,C36,(B36-1)*5+4)&amp;""</f>
        <v/>
      </c>
      <c r="I36" s="21">
        <f>IF(LEFT(TRIM(H36),1)="赤","赤",IF(LEFT(TRIM(H36),1)="白","白",""))</f>
        <v/>
      </c>
      <c r="J36" s="21">
        <f>IF(AND(D36&lt;&gt;"",F36&lt;&gt;"",I36&lt;&gt;"",ISNUMBER(G36)),F36&amp;I36,"")</f>
        <v/>
      </c>
      <c r="K36" s="21">
        <f>IF(J36="","",COUNTIFS($J$2:$J$186,J36,$G$2:$G$186,"&lt;"&amp;G36)+COUNTIFS($J$2:$J$186,J36,$G$2:$G$186,G36,$A$2:$A$186,"&lt;"&amp;A36)+1)</f>
        <v/>
      </c>
      <c r="L36" s="21">
        <f>IF(J36="","",J36&amp;K36)</f>
        <v/>
      </c>
      <c r="M36" s="21">
        <f>B36&amp;"組"</f>
        <v/>
      </c>
      <c r="N36" s="21">
        <f>IF(AND(D36&lt;&gt;"",J36=""),1,0)</f>
        <v/>
      </c>
      <c r="S36" t="n">
        <v>35</v>
      </c>
      <c r="T36">
        <f>IF(OR($Q$9=0,S36&gt;$Q$9),0,INT($Q$8/$Q$9)+IF(S36&lt;=MOD($Q$8,$Q$9),1,0))</f>
        <v/>
      </c>
      <c r="U36">
        <f>$Q$2-Y35</f>
        <v/>
      </c>
      <c r="V36">
        <f>$Q$3-Z35</f>
        <v/>
      </c>
      <c r="W36">
        <f>IF(T36=0,0,MIN(U36,MAX(IF(MOD(T36,2)=0,T36/2,IF(U36&gt;=V36,(T36+1)/2,(T36-1)/2)),T36-V36)))</f>
        <v/>
      </c>
      <c r="X36">
        <f>T36-W36</f>
        <v/>
      </c>
      <c r="Y36">
        <f>Y35+W36</f>
        <v/>
      </c>
      <c r="Z36">
        <f>Z35+X36</f>
        <v/>
      </c>
      <c r="AB36" t="n">
        <v>35</v>
      </c>
      <c r="AC36">
        <f>IF(OR($Q$11=0,AB36&gt;$Q$11),0,INT($Q$10/$Q$11)+IF(AB36&lt;=MOD($Q$10,$Q$11),1,0))</f>
        <v/>
      </c>
      <c r="AD36">
        <f>$Q$4-AH35</f>
        <v/>
      </c>
      <c r="AE36">
        <f>$Q$5-AI35</f>
        <v/>
      </c>
      <c r="AF36">
        <f>IF(AC36=0,0,MIN(AD36,MAX(IF(MOD(AC36,2)=0,AC36/2,IF(AD36&gt;=AE36,(AC36+1)/2,(AC36-1)/2)),AC36-AE36)))</f>
        <v/>
      </c>
      <c r="AG36">
        <f>AC36-AF36</f>
        <v/>
      </c>
      <c r="AH36">
        <f>AH35+AF36</f>
        <v/>
      </c>
      <c r="AI36">
        <f>AI35+AG36</f>
        <v/>
      </c>
      <c r="AK36">
        <f>IF(J36="","",IF(J36="男赤",COUNTIF($Y$2:$Y$51,"&lt;"&amp;K36),IF(J36="男白",COUNTIF($Z$2:$Z$51,"&lt;"&amp;K36),IF(J36="女赤",COUNTIF($AH$2:$AH$51,"&lt;"&amp;K36),COUNTIF($AI$2:$AI$51,"&lt;"&amp;K36))))+1)</f>
        <v/>
      </c>
      <c r="AL36">
        <f>IF(AK36="","",IF(AK36=1,0,IF(J36="男赤",INDEX($Y$2:$Y$51,AK36-1),IF(J36="男白",INDEX($Z$2:$Z$51,AK36-1),IF(J36="女赤",INDEX($AH$2:$AH$51,AK36-1),INDEX($AI$2:$AI$51,AK36-1))))))</f>
        <v/>
      </c>
      <c r="AM36">
        <f>IF(AK36="","",IF(RIGHT(J36,1)="赤",K36-AL36,IF(LEFT(J36,1)="男",INDEX($W$2:$W$51,AK36),INDEX($AF$2:$AF$51,AK36))+K36-AL36))</f>
        <v/>
      </c>
      <c r="AN36">
        <f>IF(AK36="","",F36&amp;AK36&amp;"-"&amp;AM36)</f>
        <v/>
      </c>
      <c r="AO36">
        <f>IF(J36="","",F36&amp;D36)</f>
        <v/>
      </c>
      <c r="AP36">
        <f>IF(J36="","",IF(F36="男",COUNTIF(手直し!$B$6:$E$55,D36),COUNTIF(手直し!$F$6:$I$55,D36)))</f>
        <v/>
      </c>
      <c r="AQ36">
        <f>IF(AND(J36&lt;&gt;"",AP36=0),1,0)</f>
        <v/>
      </c>
      <c r="AR36">
        <f>IF(AND(AQ36=1,F36="男"),COUNTIFS($AQ$2:AQ36,1,$F$2:F36,"男"),"")</f>
        <v/>
      </c>
      <c r="AS36">
        <f>IF(AND(AQ36=1,F36="女"),COUNTIFS($AQ$2:AQ36,1,$F$2:F36,"女"),"")</f>
        <v/>
      </c>
    </row>
    <row r="37">
      <c r="A37" s="21">
        <f>ROW()-1</f>
        <v/>
      </c>
      <c r="B37" s="21">
        <f>INT((A37-1)/37)+1</f>
        <v/>
      </c>
      <c r="C37" s="21">
        <f>MOD(A37-1,37)+1</f>
        <v/>
      </c>
      <c r="D37" s="21">
        <f>INDEX(①データ入力!$B$3:$Y$39,C37,(B37-1)*5+1)&amp;""</f>
        <v/>
      </c>
      <c r="E37" s="21">
        <f>INDEX(①データ入力!$B$3:$Y$39,C37,(B37-1)*5+2)&amp;""</f>
        <v/>
      </c>
      <c r="F37" s="21">
        <f>IF(OR(E37="1",E37="１",E37="男"),"男",IF(OR(E37="2",E37="２",E37="女"),"女",""))</f>
        <v/>
      </c>
      <c r="G37" s="21">
        <f>INDEX(①データ入力!$B$3:$Y$39,C37,(B37-1)*5+3)</f>
        <v/>
      </c>
      <c r="H37" s="21">
        <f>INDEX(①データ入力!$B$3:$Y$39,C37,(B37-1)*5+4)&amp;""</f>
        <v/>
      </c>
      <c r="I37" s="21">
        <f>IF(LEFT(TRIM(H37),1)="赤","赤",IF(LEFT(TRIM(H37),1)="白","白",""))</f>
        <v/>
      </c>
      <c r="J37" s="21">
        <f>IF(AND(D37&lt;&gt;"",F37&lt;&gt;"",I37&lt;&gt;"",ISNUMBER(G37)),F37&amp;I37,"")</f>
        <v/>
      </c>
      <c r="K37" s="21">
        <f>IF(J37="","",COUNTIFS($J$2:$J$186,J37,$G$2:$G$186,"&lt;"&amp;G37)+COUNTIFS($J$2:$J$186,J37,$G$2:$G$186,G37,$A$2:$A$186,"&lt;"&amp;A37)+1)</f>
        <v/>
      </c>
      <c r="L37" s="21">
        <f>IF(J37="","",J37&amp;K37)</f>
        <v/>
      </c>
      <c r="M37" s="21">
        <f>B37&amp;"組"</f>
        <v/>
      </c>
      <c r="N37" s="21">
        <f>IF(AND(D37&lt;&gt;"",J37=""),1,0)</f>
        <v/>
      </c>
      <c r="S37" t="n">
        <v>36</v>
      </c>
      <c r="T37">
        <f>IF(OR($Q$9=0,S37&gt;$Q$9),0,INT($Q$8/$Q$9)+IF(S37&lt;=MOD($Q$8,$Q$9),1,0))</f>
        <v/>
      </c>
      <c r="U37">
        <f>$Q$2-Y36</f>
        <v/>
      </c>
      <c r="V37">
        <f>$Q$3-Z36</f>
        <v/>
      </c>
      <c r="W37">
        <f>IF(T37=0,0,MIN(U37,MAX(IF(MOD(T37,2)=0,T37/2,IF(U37&gt;=V37,(T37+1)/2,(T37-1)/2)),T37-V37)))</f>
        <v/>
      </c>
      <c r="X37">
        <f>T37-W37</f>
        <v/>
      </c>
      <c r="Y37">
        <f>Y36+W37</f>
        <v/>
      </c>
      <c r="Z37">
        <f>Z36+X37</f>
        <v/>
      </c>
      <c r="AB37" t="n">
        <v>36</v>
      </c>
      <c r="AC37">
        <f>IF(OR($Q$11=0,AB37&gt;$Q$11),0,INT($Q$10/$Q$11)+IF(AB37&lt;=MOD($Q$10,$Q$11),1,0))</f>
        <v/>
      </c>
      <c r="AD37">
        <f>$Q$4-AH36</f>
        <v/>
      </c>
      <c r="AE37">
        <f>$Q$5-AI36</f>
        <v/>
      </c>
      <c r="AF37">
        <f>IF(AC37=0,0,MIN(AD37,MAX(IF(MOD(AC37,2)=0,AC37/2,IF(AD37&gt;=AE37,(AC37+1)/2,(AC37-1)/2)),AC37-AE37)))</f>
        <v/>
      </c>
      <c r="AG37">
        <f>AC37-AF37</f>
        <v/>
      </c>
      <c r="AH37">
        <f>AH36+AF37</f>
        <v/>
      </c>
      <c r="AI37">
        <f>AI36+AG37</f>
        <v/>
      </c>
      <c r="AK37">
        <f>IF(J37="","",IF(J37="男赤",COUNTIF($Y$2:$Y$51,"&lt;"&amp;K37),IF(J37="男白",COUNTIF($Z$2:$Z$51,"&lt;"&amp;K37),IF(J37="女赤",COUNTIF($AH$2:$AH$51,"&lt;"&amp;K37),COUNTIF($AI$2:$AI$51,"&lt;"&amp;K37))))+1)</f>
        <v/>
      </c>
      <c r="AL37">
        <f>IF(AK37="","",IF(AK37=1,0,IF(J37="男赤",INDEX($Y$2:$Y$51,AK37-1),IF(J37="男白",INDEX($Z$2:$Z$51,AK37-1),IF(J37="女赤",INDEX($AH$2:$AH$51,AK37-1),INDEX($AI$2:$AI$51,AK37-1))))))</f>
        <v/>
      </c>
      <c r="AM37">
        <f>IF(AK37="","",IF(RIGHT(J37,1)="赤",K37-AL37,IF(LEFT(J37,1)="男",INDEX($W$2:$W$51,AK37),INDEX($AF$2:$AF$51,AK37))+K37-AL37))</f>
        <v/>
      </c>
      <c r="AN37">
        <f>IF(AK37="","",F37&amp;AK37&amp;"-"&amp;AM37)</f>
        <v/>
      </c>
      <c r="AO37">
        <f>IF(J37="","",F37&amp;D37)</f>
        <v/>
      </c>
      <c r="AP37">
        <f>IF(J37="","",IF(F37="男",COUNTIF(手直し!$B$6:$E$55,D37),COUNTIF(手直し!$F$6:$I$55,D37)))</f>
        <v/>
      </c>
      <c r="AQ37">
        <f>IF(AND(J37&lt;&gt;"",AP37=0),1,0)</f>
        <v/>
      </c>
      <c r="AR37">
        <f>IF(AND(AQ37=1,F37="男"),COUNTIFS($AQ$2:AQ37,1,$F$2:F37,"男"),"")</f>
        <v/>
      </c>
      <c r="AS37">
        <f>IF(AND(AQ37=1,F37="女"),COUNTIFS($AQ$2:AQ37,1,$F$2:F37,"女"),"")</f>
        <v/>
      </c>
    </row>
    <row r="38">
      <c r="A38" s="21">
        <f>ROW()-1</f>
        <v/>
      </c>
      <c r="B38" s="21">
        <f>INT((A38-1)/37)+1</f>
        <v/>
      </c>
      <c r="C38" s="21">
        <f>MOD(A38-1,37)+1</f>
        <v/>
      </c>
      <c r="D38" s="21">
        <f>INDEX(①データ入力!$B$3:$Y$39,C38,(B38-1)*5+1)&amp;""</f>
        <v/>
      </c>
      <c r="E38" s="21">
        <f>INDEX(①データ入力!$B$3:$Y$39,C38,(B38-1)*5+2)&amp;""</f>
        <v/>
      </c>
      <c r="F38" s="21">
        <f>IF(OR(E38="1",E38="１",E38="男"),"男",IF(OR(E38="2",E38="２",E38="女"),"女",""))</f>
        <v/>
      </c>
      <c r="G38" s="21">
        <f>INDEX(①データ入力!$B$3:$Y$39,C38,(B38-1)*5+3)</f>
        <v/>
      </c>
      <c r="H38" s="21">
        <f>INDEX(①データ入力!$B$3:$Y$39,C38,(B38-1)*5+4)&amp;""</f>
        <v/>
      </c>
      <c r="I38" s="21">
        <f>IF(LEFT(TRIM(H38),1)="赤","赤",IF(LEFT(TRIM(H38),1)="白","白",""))</f>
        <v/>
      </c>
      <c r="J38" s="21">
        <f>IF(AND(D38&lt;&gt;"",F38&lt;&gt;"",I38&lt;&gt;"",ISNUMBER(G38)),F38&amp;I38,"")</f>
        <v/>
      </c>
      <c r="K38" s="21">
        <f>IF(J38="","",COUNTIFS($J$2:$J$186,J38,$G$2:$G$186,"&lt;"&amp;G38)+COUNTIFS($J$2:$J$186,J38,$G$2:$G$186,G38,$A$2:$A$186,"&lt;"&amp;A38)+1)</f>
        <v/>
      </c>
      <c r="L38" s="21">
        <f>IF(J38="","",J38&amp;K38)</f>
        <v/>
      </c>
      <c r="M38" s="21">
        <f>B38&amp;"組"</f>
        <v/>
      </c>
      <c r="N38" s="21">
        <f>IF(AND(D38&lt;&gt;"",J38=""),1,0)</f>
        <v/>
      </c>
      <c r="S38" t="n">
        <v>37</v>
      </c>
      <c r="T38">
        <f>IF(OR($Q$9=0,S38&gt;$Q$9),0,INT($Q$8/$Q$9)+IF(S38&lt;=MOD($Q$8,$Q$9),1,0))</f>
        <v/>
      </c>
      <c r="U38">
        <f>$Q$2-Y37</f>
        <v/>
      </c>
      <c r="V38">
        <f>$Q$3-Z37</f>
        <v/>
      </c>
      <c r="W38">
        <f>IF(T38=0,0,MIN(U38,MAX(IF(MOD(T38,2)=0,T38/2,IF(U38&gt;=V38,(T38+1)/2,(T38-1)/2)),T38-V38)))</f>
        <v/>
      </c>
      <c r="X38">
        <f>T38-W38</f>
        <v/>
      </c>
      <c r="Y38">
        <f>Y37+W38</f>
        <v/>
      </c>
      <c r="Z38">
        <f>Z37+X38</f>
        <v/>
      </c>
      <c r="AB38" t="n">
        <v>37</v>
      </c>
      <c r="AC38">
        <f>IF(OR($Q$11=0,AB38&gt;$Q$11),0,INT($Q$10/$Q$11)+IF(AB38&lt;=MOD($Q$10,$Q$11),1,0))</f>
        <v/>
      </c>
      <c r="AD38">
        <f>$Q$4-AH37</f>
        <v/>
      </c>
      <c r="AE38">
        <f>$Q$5-AI37</f>
        <v/>
      </c>
      <c r="AF38">
        <f>IF(AC38=0,0,MIN(AD38,MAX(IF(MOD(AC38,2)=0,AC38/2,IF(AD38&gt;=AE38,(AC38+1)/2,(AC38-1)/2)),AC38-AE38)))</f>
        <v/>
      </c>
      <c r="AG38">
        <f>AC38-AF38</f>
        <v/>
      </c>
      <c r="AH38">
        <f>AH37+AF38</f>
        <v/>
      </c>
      <c r="AI38">
        <f>AI37+AG38</f>
        <v/>
      </c>
      <c r="AK38">
        <f>IF(J38="","",IF(J38="男赤",COUNTIF($Y$2:$Y$51,"&lt;"&amp;K38),IF(J38="男白",COUNTIF($Z$2:$Z$51,"&lt;"&amp;K38),IF(J38="女赤",COUNTIF($AH$2:$AH$51,"&lt;"&amp;K38),COUNTIF($AI$2:$AI$51,"&lt;"&amp;K38))))+1)</f>
        <v/>
      </c>
      <c r="AL38">
        <f>IF(AK38="","",IF(AK38=1,0,IF(J38="男赤",INDEX($Y$2:$Y$51,AK38-1),IF(J38="男白",INDEX($Z$2:$Z$51,AK38-1),IF(J38="女赤",INDEX($AH$2:$AH$51,AK38-1),INDEX($AI$2:$AI$51,AK38-1))))))</f>
        <v/>
      </c>
      <c r="AM38">
        <f>IF(AK38="","",IF(RIGHT(J38,1)="赤",K38-AL38,IF(LEFT(J38,1)="男",INDEX($W$2:$W$51,AK38),INDEX($AF$2:$AF$51,AK38))+K38-AL38))</f>
        <v/>
      </c>
      <c r="AN38">
        <f>IF(AK38="","",F38&amp;AK38&amp;"-"&amp;AM38)</f>
        <v/>
      </c>
      <c r="AO38">
        <f>IF(J38="","",F38&amp;D38)</f>
        <v/>
      </c>
      <c r="AP38">
        <f>IF(J38="","",IF(F38="男",COUNTIF(手直し!$B$6:$E$55,D38),COUNTIF(手直し!$F$6:$I$55,D38)))</f>
        <v/>
      </c>
      <c r="AQ38">
        <f>IF(AND(J38&lt;&gt;"",AP38=0),1,0)</f>
        <v/>
      </c>
      <c r="AR38">
        <f>IF(AND(AQ38=1,F38="男"),COUNTIFS($AQ$2:AQ38,1,$F$2:F38,"男"),"")</f>
        <v/>
      </c>
      <c r="AS38">
        <f>IF(AND(AQ38=1,F38="女"),COUNTIFS($AQ$2:AQ38,1,$F$2:F38,"女"),"")</f>
        <v/>
      </c>
    </row>
    <row r="39">
      <c r="A39" s="21">
        <f>ROW()-1</f>
        <v/>
      </c>
      <c r="B39" s="21">
        <f>INT((A39-1)/37)+1</f>
        <v/>
      </c>
      <c r="C39" s="21">
        <f>MOD(A39-1,37)+1</f>
        <v/>
      </c>
      <c r="D39" s="21">
        <f>INDEX(①データ入力!$B$3:$Y$39,C39,(B39-1)*5+1)&amp;""</f>
        <v/>
      </c>
      <c r="E39" s="21">
        <f>INDEX(①データ入力!$B$3:$Y$39,C39,(B39-1)*5+2)&amp;""</f>
        <v/>
      </c>
      <c r="F39" s="21">
        <f>IF(OR(E39="1",E39="１",E39="男"),"男",IF(OR(E39="2",E39="２",E39="女"),"女",""))</f>
        <v/>
      </c>
      <c r="G39" s="21">
        <f>INDEX(①データ入力!$B$3:$Y$39,C39,(B39-1)*5+3)</f>
        <v/>
      </c>
      <c r="H39" s="21">
        <f>INDEX(①データ入力!$B$3:$Y$39,C39,(B39-1)*5+4)&amp;""</f>
        <v/>
      </c>
      <c r="I39" s="21">
        <f>IF(LEFT(TRIM(H39),1)="赤","赤",IF(LEFT(TRIM(H39),1)="白","白",""))</f>
        <v/>
      </c>
      <c r="J39" s="21">
        <f>IF(AND(D39&lt;&gt;"",F39&lt;&gt;"",I39&lt;&gt;"",ISNUMBER(G39)),F39&amp;I39,"")</f>
        <v/>
      </c>
      <c r="K39" s="21">
        <f>IF(J39="","",COUNTIFS($J$2:$J$186,J39,$G$2:$G$186,"&lt;"&amp;G39)+COUNTIFS($J$2:$J$186,J39,$G$2:$G$186,G39,$A$2:$A$186,"&lt;"&amp;A39)+1)</f>
        <v/>
      </c>
      <c r="L39" s="21">
        <f>IF(J39="","",J39&amp;K39)</f>
        <v/>
      </c>
      <c r="M39" s="21">
        <f>B39&amp;"組"</f>
        <v/>
      </c>
      <c r="N39" s="21">
        <f>IF(AND(D39&lt;&gt;"",J39=""),1,0)</f>
        <v/>
      </c>
      <c r="S39" t="n">
        <v>38</v>
      </c>
      <c r="T39">
        <f>IF(OR($Q$9=0,S39&gt;$Q$9),0,INT($Q$8/$Q$9)+IF(S39&lt;=MOD($Q$8,$Q$9),1,0))</f>
        <v/>
      </c>
      <c r="U39">
        <f>$Q$2-Y38</f>
        <v/>
      </c>
      <c r="V39">
        <f>$Q$3-Z38</f>
        <v/>
      </c>
      <c r="W39">
        <f>IF(T39=0,0,MIN(U39,MAX(IF(MOD(T39,2)=0,T39/2,IF(U39&gt;=V39,(T39+1)/2,(T39-1)/2)),T39-V39)))</f>
        <v/>
      </c>
      <c r="X39">
        <f>T39-W39</f>
        <v/>
      </c>
      <c r="Y39">
        <f>Y38+W39</f>
        <v/>
      </c>
      <c r="Z39">
        <f>Z38+X39</f>
        <v/>
      </c>
      <c r="AB39" t="n">
        <v>38</v>
      </c>
      <c r="AC39">
        <f>IF(OR($Q$11=0,AB39&gt;$Q$11),0,INT($Q$10/$Q$11)+IF(AB39&lt;=MOD($Q$10,$Q$11),1,0))</f>
        <v/>
      </c>
      <c r="AD39">
        <f>$Q$4-AH38</f>
        <v/>
      </c>
      <c r="AE39">
        <f>$Q$5-AI38</f>
        <v/>
      </c>
      <c r="AF39">
        <f>IF(AC39=0,0,MIN(AD39,MAX(IF(MOD(AC39,2)=0,AC39/2,IF(AD39&gt;=AE39,(AC39+1)/2,(AC39-1)/2)),AC39-AE39)))</f>
        <v/>
      </c>
      <c r="AG39">
        <f>AC39-AF39</f>
        <v/>
      </c>
      <c r="AH39">
        <f>AH38+AF39</f>
        <v/>
      </c>
      <c r="AI39">
        <f>AI38+AG39</f>
        <v/>
      </c>
      <c r="AK39">
        <f>IF(J39="","",IF(J39="男赤",COUNTIF($Y$2:$Y$51,"&lt;"&amp;K39),IF(J39="男白",COUNTIF($Z$2:$Z$51,"&lt;"&amp;K39),IF(J39="女赤",COUNTIF($AH$2:$AH$51,"&lt;"&amp;K39),COUNTIF($AI$2:$AI$51,"&lt;"&amp;K39))))+1)</f>
        <v/>
      </c>
      <c r="AL39">
        <f>IF(AK39="","",IF(AK39=1,0,IF(J39="男赤",INDEX($Y$2:$Y$51,AK39-1),IF(J39="男白",INDEX($Z$2:$Z$51,AK39-1),IF(J39="女赤",INDEX($AH$2:$AH$51,AK39-1),INDEX($AI$2:$AI$51,AK39-1))))))</f>
        <v/>
      </c>
      <c r="AM39">
        <f>IF(AK39="","",IF(RIGHT(J39,1)="赤",K39-AL39,IF(LEFT(J39,1)="男",INDEX($W$2:$W$51,AK39),INDEX($AF$2:$AF$51,AK39))+K39-AL39))</f>
        <v/>
      </c>
      <c r="AN39">
        <f>IF(AK39="","",F39&amp;AK39&amp;"-"&amp;AM39)</f>
        <v/>
      </c>
      <c r="AO39">
        <f>IF(J39="","",F39&amp;D39)</f>
        <v/>
      </c>
      <c r="AP39">
        <f>IF(J39="","",IF(F39="男",COUNTIF(手直し!$B$6:$E$55,D39),COUNTIF(手直し!$F$6:$I$55,D39)))</f>
        <v/>
      </c>
      <c r="AQ39">
        <f>IF(AND(J39&lt;&gt;"",AP39=0),1,0)</f>
        <v/>
      </c>
      <c r="AR39">
        <f>IF(AND(AQ39=1,F39="男"),COUNTIFS($AQ$2:AQ39,1,$F$2:F39,"男"),"")</f>
        <v/>
      </c>
      <c r="AS39">
        <f>IF(AND(AQ39=1,F39="女"),COUNTIFS($AQ$2:AQ39,1,$F$2:F39,"女"),"")</f>
        <v/>
      </c>
    </row>
    <row r="40">
      <c r="A40" s="21">
        <f>ROW()-1</f>
        <v/>
      </c>
      <c r="B40" s="21">
        <f>INT((A40-1)/37)+1</f>
        <v/>
      </c>
      <c r="C40" s="21">
        <f>MOD(A40-1,37)+1</f>
        <v/>
      </c>
      <c r="D40" s="21">
        <f>INDEX(①データ入力!$B$3:$Y$39,C40,(B40-1)*5+1)&amp;""</f>
        <v/>
      </c>
      <c r="E40" s="21">
        <f>INDEX(①データ入力!$B$3:$Y$39,C40,(B40-1)*5+2)&amp;""</f>
        <v/>
      </c>
      <c r="F40" s="21">
        <f>IF(OR(E40="1",E40="１",E40="男"),"男",IF(OR(E40="2",E40="２",E40="女"),"女",""))</f>
        <v/>
      </c>
      <c r="G40" s="21">
        <f>INDEX(①データ入力!$B$3:$Y$39,C40,(B40-1)*5+3)</f>
        <v/>
      </c>
      <c r="H40" s="21">
        <f>INDEX(①データ入力!$B$3:$Y$39,C40,(B40-1)*5+4)&amp;""</f>
        <v/>
      </c>
      <c r="I40" s="21">
        <f>IF(LEFT(TRIM(H40),1)="赤","赤",IF(LEFT(TRIM(H40),1)="白","白",""))</f>
        <v/>
      </c>
      <c r="J40" s="21">
        <f>IF(AND(D40&lt;&gt;"",F40&lt;&gt;"",I40&lt;&gt;"",ISNUMBER(G40)),F40&amp;I40,"")</f>
        <v/>
      </c>
      <c r="K40" s="21">
        <f>IF(J40="","",COUNTIFS($J$2:$J$186,J40,$G$2:$G$186,"&lt;"&amp;G40)+COUNTIFS($J$2:$J$186,J40,$G$2:$G$186,G40,$A$2:$A$186,"&lt;"&amp;A40)+1)</f>
        <v/>
      </c>
      <c r="L40" s="21">
        <f>IF(J40="","",J40&amp;K40)</f>
        <v/>
      </c>
      <c r="M40" s="21">
        <f>B40&amp;"組"</f>
        <v/>
      </c>
      <c r="N40" s="21">
        <f>IF(AND(D40&lt;&gt;"",J40=""),1,0)</f>
        <v/>
      </c>
      <c r="S40" t="n">
        <v>39</v>
      </c>
      <c r="T40">
        <f>IF(OR($Q$9=0,S40&gt;$Q$9),0,INT($Q$8/$Q$9)+IF(S40&lt;=MOD($Q$8,$Q$9),1,0))</f>
        <v/>
      </c>
      <c r="U40">
        <f>$Q$2-Y39</f>
        <v/>
      </c>
      <c r="V40">
        <f>$Q$3-Z39</f>
        <v/>
      </c>
      <c r="W40">
        <f>IF(T40=0,0,MIN(U40,MAX(IF(MOD(T40,2)=0,T40/2,IF(U40&gt;=V40,(T40+1)/2,(T40-1)/2)),T40-V40)))</f>
        <v/>
      </c>
      <c r="X40">
        <f>T40-W40</f>
        <v/>
      </c>
      <c r="Y40">
        <f>Y39+W40</f>
        <v/>
      </c>
      <c r="Z40">
        <f>Z39+X40</f>
        <v/>
      </c>
      <c r="AB40" t="n">
        <v>39</v>
      </c>
      <c r="AC40">
        <f>IF(OR($Q$11=0,AB40&gt;$Q$11),0,INT($Q$10/$Q$11)+IF(AB40&lt;=MOD($Q$10,$Q$11),1,0))</f>
        <v/>
      </c>
      <c r="AD40">
        <f>$Q$4-AH39</f>
        <v/>
      </c>
      <c r="AE40">
        <f>$Q$5-AI39</f>
        <v/>
      </c>
      <c r="AF40">
        <f>IF(AC40=0,0,MIN(AD40,MAX(IF(MOD(AC40,2)=0,AC40/2,IF(AD40&gt;=AE40,(AC40+1)/2,(AC40-1)/2)),AC40-AE40)))</f>
        <v/>
      </c>
      <c r="AG40">
        <f>AC40-AF40</f>
        <v/>
      </c>
      <c r="AH40">
        <f>AH39+AF40</f>
        <v/>
      </c>
      <c r="AI40">
        <f>AI39+AG40</f>
        <v/>
      </c>
      <c r="AK40">
        <f>IF(J40="","",IF(J40="男赤",COUNTIF($Y$2:$Y$51,"&lt;"&amp;K40),IF(J40="男白",COUNTIF($Z$2:$Z$51,"&lt;"&amp;K40),IF(J40="女赤",COUNTIF($AH$2:$AH$51,"&lt;"&amp;K40),COUNTIF($AI$2:$AI$51,"&lt;"&amp;K40))))+1)</f>
        <v/>
      </c>
      <c r="AL40">
        <f>IF(AK40="","",IF(AK40=1,0,IF(J40="男赤",INDEX($Y$2:$Y$51,AK40-1),IF(J40="男白",INDEX($Z$2:$Z$51,AK40-1),IF(J40="女赤",INDEX($AH$2:$AH$51,AK40-1),INDEX($AI$2:$AI$51,AK40-1))))))</f>
        <v/>
      </c>
      <c r="AM40">
        <f>IF(AK40="","",IF(RIGHT(J40,1)="赤",K40-AL40,IF(LEFT(J40,1)="男",INDEX($W$2:$W$51,AK40),INDEX($AF$2:$AF$51,AK40))+K40-AL40))</f>
        <v/>
      </c>
      <c r="AN40">
        <f>IF(AK40="","",F40&amp;AK40&amp;"-"&amp;AM40)</f>
        <v/>
      </c>
      <c r="AO40">
        <f>IF(J40="","",F40&amp;D40)</f>
        <v/>
      </c>
      <c r="AP40">
        <f>IF(J40="","",IF(F40="男",COUNTIF(手直し!$B$6:$E$55,D40),COUNTIF(手直し!$F$6:$I$55,D40)))</f>
        <v/>
      </c>
      <c r="AQ40">
        <f>IF(AND(J40&lt;&gt;"",AP40=0),1,0)</f>
        <v/>
      </c>
      <c r="AR40">
        <f>IF(AND(AQ40=1,F40="男"),COUNTIFS($AQ$2:AQ40,1,$F$2:F40,"男"),"")</f>
        <v/>
      </c>
      <c r="AS40">
        <f>IF(AND(AQ40=1,F40="女"),COUNTIFS($AQ$2:AQ40,1,$F$2:F40,"女"),"")</f>
        <v/>
      </c>
    </row>
    <row r="41">
      <c r="A41" s="21">
        <f>ROW()-1</f>
        <v/>
      </c>
      <c r="B41" s="21">
        <f>INT((A41-1)/37)+1</f>
        <v/>
      </c>
      <c r="C41" s="21">
        <f>MOD(A41-1,37)+1</f>
        <v/>
      </c>
      <c r="D41" s="21">
        <f>INDEX(①データ入力!$B$3:$Y$39,C41,(B41-1)*5+1)&amp;""</f>
        <v/>
      </c>
      <c r="E41" s="21">
        <f>INDEX(①データ入力!$B$3:$Y$39,C41,(B41-1)*5+2)&amp;""</f>
        <v/>
      </c>
      <c r="F41" s="21">
        <f>IF(OR(E41="1",E41="１",E41="男"),"男",IF(OR(E41="2",E41="２",E41="女"),"女",""))</f>
        <v/>
      </c>
      <c r="G41" s="21">
        <f>INDEX(①データ入力!$B$3:$Y$39,C41,(B41-1)*5+3)</f>
        <v/>
      </c>
      <c r="H41" s="21">
        <f>INDEX(①データ入力!$B$3:$Y$39,C41,(B41-1)*5+4)&amp;""</f>
        <v/>
      </c>
      <c r="I41" s="21">
        <f>IF(LEFT(TRIM(H41),1)="赤","赤",IF(LEFT(TRIM(H41),1)="白","白",""))</f>
        <v/>
      </c>
      <c r="J41" s="21">
        <f>IF(AND(D41&lt;&gt;"",F41&lt;&gt;"",I41&lt;&gt;"",ISNUMBER(G41)),F41&amp;I41,"")</f>
        <v/>
      </c>
      <c r="K41" s="21">
        <f>IF(J41="","",COUNTIFS($J$2:$J$186,J41,$G$2:$G$186,"&lt;"&amp;G41)+COUNTIFS($J$2:$J$186,J41,$G$2:$G$186,G41,$A$2:$A$186,"&lt;"&amp;A41)+1)</f>
        <v/>
      </c>
      <c r="L41" s="21">
        <f>IF(J41="","",J41&amp;K41)</f>
        <v/>
      </c>
      <c r="M41" s="21">
        <f>B41&amp;"組"</f>
        <v/>
      </c>
      <c r="N41" s="21">
        <f>IF(AND(D41&lt;&gt;"",J41=""),1,0)</f>
        <v/>
      </c>
      <c r="S41" t="n">
        <v>40</v>
      </c>
      <c r="T41">
        <f>IF(OR($Q$9=0,S41&gt;$Q$9),0,INT($Q$8/$Q$9)+IF(S41&lt;=MOD($Q$8,$Q$9),1,0))</f>
        <v/>
      </c>
      <c r="U41">
        <f>$Q$2-Y40</f>
        <v/>
      </c>
      <c r="V41">
        <f>$Q$3-Z40</f>
        <v/>
      </c>
      <c r="W41">
        <f>IF(T41=0,0,MIN(U41,MAX(IF(MOD(T41,2)=0,T41/2,IF(U41&gt;=V41,(T41+1)/2,(T41-1)/2)),T41-V41)))</f>
        <v/>
      </c>
      <c r="X41">
        <f>T41-W41</f>
        <v/>
      </c>
      <c r="Y41">
        <f>Y40+W41</f>
        <v/>
      </c>
      <c r="Z41">
        <f>Z40+X41</f>
        <v/>
      </c>
      <c r="AB41" t="n">
        <v>40</v>
      </c>
      <c r="AC41">
        <f>IF(OR($Q$11=0,AB41&gt;$Q$11),0,INT($Q$10/$Q$11)+IF(AB41&lt;=MOD($Q$10,$Q$11),1,0))</f>
        <v/>
      </c>
      <c r="AD41">
        <f>$Q$4-AH40</f>
        <v/>
      </c>
      <c r="AE41">
        <f>$Q$5-AI40</f>
        <v/>
      </c>
      <c r="AF41">
        <f>IF(AC41=0,0,MIN(AD41,MAX(IF(MOD(AC41,2)=0,AC41/2,IF(AD41&gt;=AE41,(AC41+1)/2,(AC41-1)/2)),AC41-AE41)))</f>
        <v/>
      </c>
      <c r="AG41">
        <f>AC41-AF41</f>
        <v/>
      </c>
      <c r="AH41">
        <f>AH40+AF41</f>
        <v/>
      </c>
      <c r="AI41">
        <f>AI40+AG41</f>
        <v/>
      </c>
      <c r="AK41">
        <f>IF(J41="","",IF(J41="男赤",COUNTIF($Y$2:$Y$51,"&lt;"&amp;K41),IF(J41="男白",COUNTIF($Z$2:$Z$51,"&lt;"&amp;K41),IF(J41="女赤",COUNTIF($AH$2:$AH$51,"&lt;"&amp;K41),COUNTIF($AI$2:$AI$51,"&lt;"&amp;K41))))+1)</f>
        <v/>
      </c>
      <c r="AL41">
        <f>IF(AK41="","",IF(AK41=1,0,IF(J41="男赤",INDEX($Y$2:$Y$51,AK41-1),IF(J41="男白",INDEX($Z$2:$Z$51,AK41-1),IF(J41="女赤",INDEX($AH$2:$AH$51,AK41-1),INDEX($AI$2:$AI$51,AK41-1))))))</f>
        <v/>
      </c>
      <c r="AM41">
        <f>IF(AK41="","",IF(RIGHT(J41,1)="赤",K41-AL41,IF(LEFT(J41,1)="男",INDEX($W$2:$W$51,AK41),INDEX($AF$2:$AF$51,AK41))+K41-AL41))</f>
        <v/>
      </c>
      <c r="AN41">
        <f>IF(AK41="","",F41&amp;AK41&amp;"-"&amp;AM41)</f>
        <v/>
      </c>
      <c r="AO41">
        <f>IF(J41="","",F41&amp;D41)</f>
        <v/>
      </c>
      <c r="AP41">
        <f>IF(J41="","",IF(F41="男",COUNTIF(手直し!$B$6:$E$55,D41),COUNTIF(手直し!$F$6:$I$55,D41)))</f>
        <v/>
      </c>
      <c r="AQ41">
        <f>IF(AND(J41&lt;&gt;"",AP41=0),1,0)</f>
        <v/>
      </c>
      <c r="AR41">
        <f>IF(AND(AQ41=1,F41="男"),COUNTIFS($AQ$2:AQ41,1,$F$2:F41,"男"),"")</f>
        <v/>
      </c>
      <c r="AS41">
        <f>IF(AND(AQ41=1,F41="女"),COUNTIFS($AQ$2:AQ41,1,$F$2:F41,"女"),"")</f>
        <v/>
      </c>
    </row>
    <row r="42">
      <c r="A42" s="21">
        <f>ROW()-1</f>
        <v/>
      </c>
      <c r="B42" s="21">
        <f>INT((A42-1)/37)+1</f>
        <v/>
      </c>
      <c r="C42" s="21">
        <f>MOD(A42-1,37)+1</f>
        <v/>
      </c>
      <c r="D42" s="21">
        <f>INDEX(①データ入力!$B$3:$Y$39,C42,(B42-1)*5+1)&amp;""</f>
        <v/>
      </c>
      <c r="E42" s="21">
        <f>INDEX(①データ入力!$B$3:$Y$39,C42,(B42-1)*5+2)&amp;""</f>
        <v/>
      </c>
      <c r="F42" s="21">
        <f>IF(OR(E42="1",E42="１",E42="男"),"男",IF(OR(E42="2",E42="２",E42="女"),"女",""))</f>
        <v/>
      </c>
      <c r="G42" s="21">
        <f>INDEX(①データ入力!$B$3:$Y$39,C42,(B42-1)*5+3)</f>
        <v/>
      </c>
      <c r="H42" s="21">
        <f>INDEX(①データ入力!$B$3:$Y$39,C42,(B42-1)*5+4)&amp;""</f>
        <v/>
      </c>
      <c r="I42" s="21">
        <f>IF(LEFT(TRIM(H42),1)="赤","赤",IF(LEFT(TRIM(H42),1)="白","白",""))</f>
        <v/>
      </c>
      <c r="J42" s="21">
        <f>IF(AND(D42&lt;&gt;"",F42&lt;&gt;"",I42&lt;&gt;"",ISNUMBER(G42)),F42&amp;I42,"")</f>
        <v/>
      </c>
      <c r="K42" s="21">
        <f>IF(J42="","",COUNTIFS($J$2:$J$186,J42,$G$2:$G$186,"&lt;"&amp;G42)+COUNTIFS($J$2:$J$186,J42,$G$2:$G$186,G42,$A$2:$A$186,"&lt;"&amp;A42)+1)</f>
        <v/>
      </c>
      <c r="L42" s="21">
        <f>IF(J42="","",J42&amp;K42)</f>
        <v/>
      </c>
      <c r="M42" s="21">
        <f>B42&amp;"組"</f>
        <v/>
      </c>
      <c r="N42" s="21">
        <f>IF(AND(D42&lt;&gt;"",J42=""),1,0)</f>
        <v/>
      </c>
      <c r="S42" t="n">
        <v>41</v>
      </c>
      <c r="T42">
        <f>IF(OR($Q$9=0,S42&gt;$Q$9),0,INT($Q$8/$Q$9)+IF(S42&lt;=MOD($Q$8,$Q$9),1,0))</f>
        <v/>
      </c>
      <c r="U42">
        <f>$Q$2-Y41</f>
        <v/>
      </c>
      <c r="V42">
        <f>$Q$3-Z41</f>
        <v/>
      </c>
      <c r="W42">
        <f>IF(T42=0,0,MIN(U42,MAX(IF(MOD(T42,2)=0,T42/2,IF(U42&gt;=V42,(T42+1)/2,(T42-1)/2)),T42-V42)))</f>
        <v/>
      </c>
      <c r="X42">
        <f>T42-W42</f>
        <v/>
      </c>
      <c r="Y42">
        <f>Y41+W42</f>
        <v/>
      </c>
      <c r="Z42">
        <f>Z41+X42</f>
        <v/>
      </c>
      <c r="AB42" t="n">
        <v>41</v>
      </c>
      <c r="AC42">
        <f>IF(OR($Q$11=0,AB42&gt;$Q$11),0,INT($Q$10/$Q$11)+IF(AB42&lt;=MOD($Q$10,$Q$11),1,0))</f>
        <v/>
      </c>
      <c r="AD42">
        <f>$Q$4-AH41</f>
        <v/>
      </c>
      <c r="AE42">
        <f>$Q$5-AI41</f>
        <v/>
      </c>
      <c r="AF42">
        <f>IF(AC42=0,0,MIN(AD42,MAX(IF(MOD(AC42,2)=0,AC42/2,IF(AD42&gt;=AE42,(AC42+1)/2,(AC42-1)/2)),AC42-AE42)))</f>
        <v/>
      </c>
      <c r="AG42">
        <f>AC42-AF42</f>
        <v/>
      </c>
      <c r="AH42">
        <f>AH41+AF42</f>
        <v/>
      </c>
      <c r="AI42">
        <f>AI41+AG42</f>
        <v/>
      </c>
      <c r="AK42">
        <f>IF(J42="","",IF(J42="男赤",COUNTIF($Y$2:$Y$51,"&lt;"&amp;K42),IF(J42="男白",COUNTIF($Z$2:$Z$51,"&lt;"&amp;K42),IF(J42="女赤",COUNTIF($AH$2:$AH$51,"&lt;"&amp;K42),COUNTIF($AI$2:$AI$51,"&lt;"&amp;K42))))+1)</f>
        <v/>
      </c>
      <c r="AL42">
        <f>IF(AK42="","",IF(AK42=1,0,IF(J42="男赤",INDEX($Y$2:$Y$51,AK42-1),IF(J42="男白",INDEX($Z$2:$Z$51,AK42-1),IF(J42="女赤",INDEX($AH$2:$AH$51,AK42-1),INDEX($AI$2:$AI$51,AK42-1))))))</f>
        <v/>
      </c>
      <c r="AM42">
        <f>IF(AK42="","",IF(RIGHT(J42,1)="赤",K42-AL42,IF(LEFT(J42,1)="男",INDEX($W$2:$W$51,AK42),INDEX($AF$2:$AF$51,AK42))+K42-AL42))</f>
        <v/>
      </c>
      <c r="AN42">
        <f>IF(AK42="","",F42&amp;AK42&amp;"-"&amp;AM42)</f>
        <v/>
      </c>
      <c r="AO42">
        <f>IF(J42="","",F42&amp;D42)</f>
        <v/>
      </c>
      <c r="AP42">
        <f>IF(J42="","",IF(F42="男",COUNTIF(手直し!$B$6:$E$55,D42),COUNTIF(手直し!$F$6:$I$55,D42)))</f>
        <v/>
      </c>
      <c r="AQ42">
        <f>IF(AND(J42&lt;&gt;"",AP42=0),1,0)</f>
        <v/>
      </c>
      <c r="AR42">
        <f>IF(AND(AQ42=1,F42="男"),COUNTIFS($AQ$2:AQ42,1,$F$2:F42,"男"),"")</f>
        <v/>
      </c>
      <c r="AS42">
        <f>IF(AND(AQ42=1,F42="女"),COUNTIFS($AQ$2:AQ42,1,$F$2:F42,"女"),"")</f>
        <v/>
      </c>
    </row>
    <row r="43">
      <c r="A43" s="21">
        <f>ROW()-1</f>
        <v/>
      </c>
      <c r="B43" s="21">
        <f>INT((A43-1)/37)+1</f>
        <v/>
      </c>
      <c r="C43" s="21">
        <f>MOD(A43-1,37)+1</f>
        <v/>
      </c>
      <c r="D43" s="21">
        <f>INDEX(①データ入力!$B$3:$Y$39,C43,(B43-1)*5+1)&amp;""</f>
        <v/>
      </c>
      <c r="E43" s="21">
        <f>INDEX(①データ入力!$B$3:$Y$39,C43,(B43-1)*5+2)&amp;""</f>
        <v/>
      </c>
      <c r="F43" s="21">
        <f>IF(OR(E43="1",E43="１",E43="男"),"男",IF(OR(E43="2",E43="２",E43="女"),"女",""))</f>
        <v/>
      </c>
      <c r="G43" s="21">
        <f>INDEX(①データ入力!$B$3:$Y$39,C43,(B43-1)*5+3)</f>
        <v/>
      </c>
      <c r="H43" s="21">
        <f>INDEX(①データ入力!$B$3:$Y$39,C43,(B43-1)*5+4)&amp;""</f>
        <v/>
      </c>
      <c r="I43" s="21">
        <f>IF(LEFT(TRIM(H43),1)="赤","赤",IF(LEFT(TRIM(H43),1)="白","白",""))</f>
        <v/>
      </c>
      <c r="J43" s="21">
        <f>IF(AND(D43&lt;&gt;"",F43&lt;&gt;"",I43&lt;&gt;"",ISNUMBER(G43)),F43&amp;I43,"")</f>
        <v/>
      </c>
      <c r="K43" s="21">
        <f>IF(J43="","",COUNTIFS($J$2:$J$186,J43,$G$2:$G$186,"&lt;"&amp;G43)+COUNTIFS($J$2:$J$186,J43,$G$2:$G$186,G43,$A$2:$A$186,"&lt;"&amp;A43)+1)</f>
        <v/>
      </c>
      <c r="L43" s="21">
        <f>IF(J43="","",J43&amp;K43)</f>
        <v/>
      </c>
      <c r="M43" s="21">
        <f>B43&amp;"組"</f>
        <v/>
      </c>
      <c r="N43" s="21">
        <f>IF(AND(D43&lt;&gt;"",J43=""),1,0)</f>
        <v/>
      </c>
      <c r="S43" t="n">
        <v>42</v>
      </c>
      <c r="T43">
        <f>IF(OR($Q$9=0,S43&gt;$Q$9),0,INT($Q$8/$Q$9)+IF(S43&lt;=MOD($Q$8,$Q$9),1,0))</f>
        <v/>
      </c>
      <c r="U43">
        <f>$Q$2-Y42</f>
        <v/>
      </c>
      <c r="V43">
        <f>$Q$3-Z42</f>
        <v/>
      </c>
      <c r="W43">
        <f>IF(T43=0,0,MIN(U43,MAX(IF(MOD(T43,2)=0,T43/2,IF(U43&gt;=V43,(T43+1)/2,(T43-1)/2)),T43-V43)))</f>
        <v/>
      </c>
      <c r="X43">
        <f>T43-W43</f>
        <v/>
      </c>
      <c r="Y43">
        <f>Y42+W43</f>
        <v/>
      </c>
      <c r="Z43">
        <f>Z42+X43</f>
        <v/>
      </c>
      <c r="AB43" t="n">
        <v>42</v>
      </c>
      <c r="AC43">
        <f>IF(OR($Q$11=0,AB43&gt;$Q$11),0,INT($Q$10/$Q$11)+IF(AB43&lt;=MOD($Q$10,$Q$11),1,0))</f>
        <v/>
      </c>
      <c r="AD43">
        <f>$Q$4-AH42</f>
        <v/>
      </c>
      <c r="AE43">
        <f>$Q$5-AI42</f>
        <v/>
      </c>
      <c r="AF43">
        <f>IF(AC43=0,0,MIN(AD43,MAX(IF(MOD(AC43,2)=0,AC43/2,IF(AD43&gt;=AE43,(AC43+1)/2,(AC43-1)/2)),AC43-AE43)))</f>
        <v/>
      </c>
      <c r="AG43">
        <f>AC43-AF43</f>
        <v/>
      </c>
      <c r="AH43">
        <f>AH42+AF43</f>
        <v/>
      </c>
      <c r="AI43">
        <f>AI42+AG43</f>
        <v/>
      </c>
      <c r="AK43">
        <f>IF(J43="","",IF(J43="男赤",COUNTIF($Y$2:$Y$51,"&lt;"&amp;K43),IF(J43="男白",COUNTIF($Z$2:$Z$51,"&lt;"&amp;K43),IF(J43="女赤",COUNTIF($AH$2:$AH$51,"&lt;"&amp;K43),COUNTIF($AI$2:$AI$51,"&lt;"&amp;K43))))+1)</f>
        <v/>
      </c>
      <c r="AL43">
        <f>IF(AK43="","",IF(AK43=1,0,IF(J43="男赤",INDEX($Y$2:$Y$51,AK43-1),IF(J43="男白",INDEX($Z$2:$Z$51,AK43-1),IF(J43="女赤",INDEX($AH$2:$AH$51,AK43-1),INDEX($AI$2:$AI$51,AK43-1))))))</f>
        <v/>
      </c>
      <c r="AM43">
        <f>IF(AK43="","",IF(RIGHT(J43,1)="赤",K43-AL43,IF(LEFT(J43,1)="男",INDEX($W$2:$W$51,AK43),INDEX($AF$2:$AF$51,AK43))+K43-AL43))</f>
        <v/>
      </c>
      <c r="AN43">
        <f>IF(AK43="","",F43&amp;AK43&amp;"-"&amp;AM43)</f>
        <v/>
      </c>
      <c r="AO43">
        <f>IF(J43="","",F43&amp;D43)</f>
        <v/>
      </c>
      <c r="AP43">
        <f>IF(J43="","",IF(F43="男",COUNTIF(手直し!$B$6:$E$55,D43),COUNTIF(手直し!$F$6:$I$55,D43)))</f>
        <v/>
      </c>
      <c r="AQ43">
        <f>IF(AND(J43&lt;&gt;"",AP43=0),1,0)</f>
        <v/>
      </c>
      <c r="AR43">
        <f>IF(AND(AQ43=1,F43="男"),COUNTIFS($AQ$2:AQ43,1,$F$2:F43,"男"),"")</f>
        <v/>
      </c>
      <c r="AS43">
        <f>IF(AND(AQ43=1,F43="女"),COUNTIFS($AQ$2:AQ43,1,$F$2:F43,"女"),"")</f>
        <v/>
      </c>
    </row>
    <row r="44">
      <c r="A44" s="21">
        <f>ROW()-1</f>
        <v/>
      </c>
      <c r="B44" s="21">
        <f>INT((A44-1)/37)+1</f>
        <v/>
      </c>
      <c r="C44" s="21">
        <f>MOD(A44-1,37)+1</f>
        <v/>
      </c>
      <c r="D44" s="21">
        <f>INDEX(①データ入力!$B$3:$Y$39,C44,(B44-1)*5+1)&amp;""</f>
        <v/>
      </c>
      <c r="E44" s="21">
        <f>INDEX(①データ入力!$B$3:$Y$39,C44,(B44-1)*5+2)&amp;""</f>
        <v/>
      </c>
      <c r="F44" s="21">
        <f>IF(OR(E44="1",E44="１",E44="男"),"男",IF(OR(E44="2",E44="２",E44="女"),"女",""))</f>
        <v/>
      </c>
      <c r="G44" s="21">
        <f>INDEX(①データ入力!$B$3:$Y$39,C44,(B44-1)*5+3)</f>
        <v/>
      </c>
      <c r="H44" s="21">
        <f>INDEX(①データ入力!$B$3:$Y$39,C44,(B44-1)*5+4)&amp;""</f>
        <v/>
      </c>
      <c r="I44" s="21">
        <f>IF(LEFT(TRIM(H44),1)="赤","赤",IF(LEFT(TRIM(H44),1)="白","白",""))</f>
        <v/>
      </c>
      <c r="J44" s="21">
        <f>IF(AND(D44&lt;&gt;"",F44&lt;&gt;"",I44&lt;&gt;"",ISNUMBER(G44)),F44&amp;I44,"")</f>
        <v/>
      </c>
      <c r="K44" s="21">
        <f>IF(J44="","",COUNTIFS($J$2:$J$186,J44,$G$2:$G$186,"&lt;"&amp;G44)+COUNTIFS($J$2:$J$186,J44,$G$2:$G$186,G44,$A$2:$A$186,"&lt;"&amp;A44)+1)</f>
        <v/>
      </c>
      <c r="L44" s="21">
        <f>IF(J44="","",J44&amp;K44)</f>
        <v/>
      </c>
      <c r="M44" s="21">
        <f>B44&amp;"組"</f>
        <v/>
      </c>
      <c r="N44" s="21">
        <f>IF(AND(D44&lt;&gt;"",J44=""),1,0)</f>
        <v/>
      </c>
      <c r="S44" t="n">
        <v>43</v>
      </c>
      <c r="T44">
        <f>IF(OR($Q$9=0,S44&gt;$Q$9),0,INT($Q$8/$Q$9)+IF(S44&lt;=MOD($Q$8,$Q$9),1,0))</f>
        <v/>
      </c>
      <c r="U44">
        <f>$Q$2-Y43</f>
        <v/>
      </c>
      <c r="V44">
        <f>$Q$3-Z43</f>
        <v/>
      </c>
      <c r="W44">
        <f>IF(T44=0,0,MIN(U44,MAX(IF(MOD(T44,2)=0,T44/2,IF(U44&gt;=V44,(T44+1)/2,(T44-1)/2)),T44-V44)))</f>
        <v/>
      </c>
      <c r="X44">
        <f>T44-W44</f>
        <v/>
      </c>
      <c r="Y44">
        <f>Y43+W44</f>
        <v/>
      </c>
      <c r="Z44">
        <f>Z43+X44</f>
        <v/>
      </c>
      <c r="AB44" t="n">
        <v>43</v>
      </c>
      <c r="AC44">
        <f>IF(OR($Q$11=0,AB44&gt;$Q$11),0,INT($Q$10/$Q$11)+IF(AB44&lt;=MOD($Q$10,$Q$11),1,0))</f>
        <v/>
      </c>
      <c r="AD44">
        <f>$Q$4-AH43</f>
        <v/>
      </c>
      <c r="AE44">
        <f>$Q$5-AI43</f>
        <v/>
      </c>
      <c r="AF44">
        <f>IF(AC44=0,0,MIN(AD44,MAX(IF(MOD(AC44,2)=0,AC44/2,IF(AD44&gt;=AE44,(AC44+1)/2,(AC44-1)/2)),AC44-AE44)))</f>
        <v/>
      </c>
      <c r="AG44">
        <f>AC44-AF44</f>
        <v/>
      </c>
      <c r="AH44">
        <f>AH43+AF44</f>
        <v/>
      </c>
      <c r="AI44">
        <f>AI43+AG44</f>
        <v/>
      </c>
      <c r="AK44">
        <f>IF(J44="","",IF(J44="男赤",COUNTIF($Y$2:$Y$51,"&lt;"&amp;K44),IF(J44="男白",COUNTIF($Z$2:$Z$51,"&lt;"&amp;K44),IF(J44="女赤",COUNTIF($AH$2:$AH$51,"&lt;"&amp;K44),COUNTIF($AI$2:$AI$51,"&lt;"&amp;K44))))+1)</f>
        <v/>
      </c>
      <c r="AL44">
        <f>IF(AK44="","",IF(AK44=1,0,IF(J44="男赤",INDEX($Y$2:$Y$51,AK44-1),IF(J44="男白",INDEX($Z$2:$Z$51,AK44-1),IF(J44="女赤",INDEX($AH$2:$AH$51,AK44-1),INDEX($AI$2:$AI$51,AK44-1))))))</f>
        <v/>
      </c>
      <c r="AM44">
        <f>IF(AK44="","",IF(RIGHT(J44,1)="赤",K44-AL44,IF(LEFT(J44,1)="男",INDEX($W$2:$W$51,AK44),INDEX($AF$2:$AF$51,AK44))+K44-AL44))</f>
        <v/>
      </c>
      <c r="AN44">
        <f>IF(AK44="","",F44&amp;AK44&amp;"-"&amp;AM44)</f>
        <v/>
      </c>
      <c r="AO44">
        <f>IF(J44="","",F44&amp;D44)</f>
        <v/>
      </c>
      <c r="AP44">
        <f>IF(J44="","",IF(F44="男",COUNTIF(手直し!$B$6:$E$55,D44),COUNTIF(手直し!$F$6:$I$55,D44)))</f>
        <v/>
      </c>
      <c r="AQ44">
        <f>IF(AND(J44&lt;&gt;"",AP44=0),1,0)</f>
        <v/>
      </c>
      <c r="AR44">
        <f>IF(AND(AQ44=1,F44="男"),COUNTIFS($AQ$2:AQ44,1,$F$2:F44,"男"),"")</f>
        <v/>
      </c>
      <c r="AS44">
        <f>IF(AND(AQ44=1,F44="女"),COUNTIFS($AQ$2:AQ44,1,$F$2:F44,"女"),"")</f>
        <v/>
      </c>
    </row>
    <row r="45">
      <c r="A45" s="21">
        <f>ROW()-1</f>
        <v/>
      </c>
      <c r="B45" s="21">
        <f>INT((A45-1)/37)+1</f>
        <v/>
      </c>
      <c r="C45" s="21">
        <f>MOD(A45-1,37)+1</f>
        <v/>
      </c>
      <c r="D45" s="21">
        <f>INDEX(①データ入力!$B$3:$Y$39,C45,(B45-1)*5+1)&amp;""</f>
        <v/>
      </c>
      <c r="E45" s="21">
        <f>INDEX(①データ入力!$B$3:$Y$39,C45,(B45-1)*5+2)&amp;""</f>
        <v/>
      </c>
      <c r="F45" s="21">
        <f>IF(OR(E45="1",E45="１",E45="男"),"男",IF(OR(E45="2",E45="２",E45="女"),"女",""))</f>
        <v/>
      </c>
      <c r="G45" s="21">
        <f>INDEX(①データ入力!$B$3:$Y$39,C45,(B45-1)*5+3)</f>
        <v/>
      </c>
      <c r="H45" s="21">
        <f>INDEX(①データ入力!$B$3:$Y$39,C45,(B45-1)*5+4)&amp;""</f>
        <v/>
      </c>
      <c r="I45" s="21">
        <f>IF(LEFT(TRIM(H45),1)="赤","赤",IF(LEFT(TRIM(H45),1)="白","白",""))</f>
        <v/>
      </c>
      <c r="J45" s="21">
        <f>IF(AND(D45&lt;&gt;"",F45&lt;&gt;"",I45&lt;&gt;"",ISNUMBER(G45)),F45&amp;I45,"")</f>
        <v/>
      </c>
      <c r="K45" s="21">
        <f>IF(J45="","",COUNTIFS($J$2:$J$186,J45,$G$2:$G$186,"&lt;"&amp;G45)+COUNTIFS($J$2:$J$186,J45,$G$2:$G$186,G45,$A$2:$A$186,"&lt;"&amp;A45)+1)</f>
        <v/>
      </c>
      <c r="L45" s="21">
        <f>IF(J45="","",J45&amp;K45)</f>
        <v/>
      </c>
      <c r="M45" s="21">
        <f>B45&amp;"組"</f>
        <v/>
      </c>
      <c r="N45" s="21">
        <f>IF(AND(D45&lt;&gt;"",J45=""),1,0)</f>
        <v/>
      </c>
      <c r="S45" t="n">
        <v>44</v>
      </c>
      <c r="T45">
        <f>IF(OR($Q$9=0,S45&gt;$Q$9),0,INT($Q$8/$Q$9)+IF(S45&lt;=MOD($Q$8,$Q$9),1,0))</f>
        <v/>
      </c>
      <c r="U45">
        <f>$Q$2-Y44</f>
        <v/>
      </c>
      <c r="V45">
        <f>$Q$3-Z44</f>
        <v/>
      </c>
      <c r="W45">
        <f>IF(T45=0,0,MIN(U45,MAX(IF(MOD(T45,2)=0,T45/2,IF(U45&gt;=V45,(T45+1)/2,(T45-1)/2)),T45-V45)))</f>
        <v/>
      </c>
      <c r="X45">
        <f>T45-W45</f>
        <v/>
      </c>
      <c r="Y45">
        <f>Y44+W45</f>
        <v/>
      </c>
      <c r="Z45">
        <f>Z44+X45</f>
        <v/>
      </c>
      <c r="AB45" t="n">
        <v>44</v>
      </c>
      <c r="AC45">
        <f>IF(OR($Q$11=0,AB45&gt;$Q$11),0,INT($Q$10/$Q$11)+IF(AB45&lt;=MOD($Q$10,$Q$11),1,0))</f>
        <v/>
      </c>
      <c r="AD45">
        <f>$Q$4-AH44</f>
        <v/>
      </c>
      <c r="AE45">
        <f>$Q$5-AI44</f>
        <v/>
      </c>
      <c r="AF45">
        <f>IF(AC45=0,0,MIN(AD45,MAX(IF(MOD(AC45,2)=0,AC45/2,IF(AD45&gt;=AE45,(AC45+1)/2,(AC45-1)/2)),AC45-AE45)))</f>
        <v/>
      </c>
      <c r="AG45">
        <f>AC45-AF45</f>
        <v/>
      </c>
      <c r="AH45">
        <f>AH44+AF45</f>
        <v/>
      </c>
      <c r="AI45">
        <f>AI44+AG45</f>
        <v/>
      </c>
      <c r="AK45">
        <f>IF(J45="","",IF(J45="男赤",COUNTIF($Y$2:$Y$51,"&lt;"&amp;K45),IF(J45="男白",COUNTIF($Z$2:$Z$51,"&lt;"&amp;K45),IF(J45="女赤",COUNTIF($AH$2:$AH$51,"&lt;"&amp;K45),COUNTIF($AI$2:$AI$51,"&lt;"&amp;K45))))+1)</f>
        <v/>
      </c>
      <c r="AL45">
        <f>IF(AK45="","",IF(AK45=1,0,IF(J45="男赤",INDEX($Y$2:$Y$51,AK45-1),IF(J45="男白",INDEX($Z$2:$Z$51,AK45-1),IF(J45="女赤",INDEX($AH$2:$AH$51,AK45-1),INDEX($AI$2:$AI$51,AK45-1))))))</f>
        <v/>
      </c>
      <c r="AM45">
        <f>IF(AK45="","",IF(RIGHT(J45,1)="赤",K45-AL45,IF(LEFT(J45,1)="男",INDEX($W$2:$W$51,AK45),INDEX($AF$2:$AF$51,AK45))+K45-AL45))</f>
        <v/>
      </c>
      <c r="AN45">
        <f>IF(AK45="","",F45&amp;AK45&amp;"-"&amp;AM45)</f>
        <v/>
      </c>
      <c r="AO45">
        <f>IF(J45="","",F45&amp;D45)</f>
        <v/>
      </c>
      <c r="AP45">
        <f>IF(J45="","",IF(F45="男",COUNTIF(手直し!$B$6:$E$55,D45),COUNTIF(手直し!$F$6:$I$55,D45)))</f>
        <v/>
      </c>
      <c r="AQ45">
        <f>IF(AND(J45&lt;&gt;"",AP45=0),1,0)</f>
        <v/>
      </c>
      <c r="AR45">
        <f>IF(AND(AQ45=1,F45="男"),COUNTIFS($AQ$2:AQ45,1,$F$2:F45,"男"),"")</f>
        <v/>
      </c>
      <c r="AS45">
        <f>IF(AND(AQ45=1,F45="女"),COUNTIFS($AQ$2:AQ45,1,$F$2:F45,"女"),"")</f>
        <v/>
      </c>
    </row>
    <row r="46">
      <c r="A46" s="21">
        <f>ROW()-1</f>
        <v/>
      </c>
      <c r="B46" s="21">
        <f>INT((A46-1)/37)+1</f>
        <v/>
      </c>
      <c r="C46" s="21">
        <f>MOD(A46-1,37)+1</f>
        <v/>
      </c>
      <c r="D46" s="21">
        <f>INDEX(①データ入力!$B$3:$Y$39,C46,(B46-1)*5+1)&amp;""</f>
        <v/>
      </c>
      <c r="E46" s="21">
        <f>INDEX(①データ入力!$B$3:$Y$39,C46,(B46-1)*5+2)&amp;""</f>
        <v/>
      </c>
      <c r="F46" s="21">
        <f>IF(OR(E46="1",E46="１",E46="男"),"男",IF(OR(E46="2",E46="２",E46="女"),"女",""))</f>
        <v/>
      </c>
      <c r="G46" s="21">
        <f>INDEX(①データ入力!$B$3:$Y$39,C46,(B46-1)*5+3)</f>
        <v/>
      </c>
      <c r="H46" s="21">
        <f>INDEX(①データ入力!$B$3:$Y$39,C46,(B46-1)*5+4)&amp;""</f>
        <v/>
      </c>
      <c r="I46" s="21">
        <f>IF(LEFT(TRIM(H46),1)="赤","赤",IF(LEFT(TRIM(H46),1)="白","白",""))</f>
        <v/>
      </c>
      <c r="J46" s="21">
        <f>IF(AND(D46&lt;&gt;"",F46&lt;&gt;"",I46&lt;&gt;"",ISNUMBER(G46)),F46&amp;I46,"")</f>
        <v/>
      </c>
      <c r="K46" s="21">
        <f>IF(J46="","",COUNTIFS($J$2:$J$186,J46,$G$2:$G$186,"&lt;"&amp;G46)+COUNTIFS($J$2:$J$186,J46,$G$2:$G$186,G46,$A$2:$A$186,"&lt;"&amp;A46)+1)</f>
        <v/>
      </c>
      <c r="L46" s="21">
        <f>IF(J46="","",J46&amp;K46)</f>
        <v/>
      </c>
      <c r="M46" s="21">
        <f>B46&amp;"組"</f>
        <v/>
      </c>
      <c r="N46" s="21">
        <f>IF(AND(D46&lt;&gt;"",J46=""),1,0)</f>
        <v/>
      </c>
      <c r="S46" t="n">
        <v>45</v>
      </c>
      <c r="T46">
        <f>IF(OR($Q$9=0,S46&gt;$Q$9),0,INT($Q$8/$Q$9)+IF(S46&lt;=MOD($Q$8,$Q$9),1,0))</f>
        <v/>
      </c>
      <c r="U46">
        <f>$Q$2-Y45</f>
        <v/>
      </c>
      <c r="V46">
        <f>$Q$3-Z45</f>
        <v/>
      </c>
      <c r="W46">
        <f>IF(T46=0,0,MIN(U46,MAX(IF(MOD(T46,2)=0,T46/2,IF(U46&gt;=V46,(T46+1)/2,(T46-1)/2)),T46-V46)))</f>
        <v/>
      </c>
      <c r="X46">
        <f>T46-W46</f>
        <v/>
      </c>
      <c r="Y46">
        <f>Y45+W46</f>
        <v/>
      </c>
      <c r="Z46">
        <f>Z45+X46</f>
        <v/>
      </c>
      <c r="AB46" t="n">
        <v>45</v>
      </c>
      <c r="AC46">
        <f>IF(OR($Q$11=0,AB46&gt;$Q$11),0,INT($Q$10/$Q$11)+IF(AB46&lt;=MOD($Q$10,$Q$11),1,0))</f>
        <v/>
      </c>
      <c r="AD46">
        <f>$Q$4-AH45</f>
        <v/>
      </c>
      <c r="AE46">
        <f>$Q$5-AI45</f>
        <v/>
      </c>
      <c r="AF46">
        <f>IF(AC46=0,0,MIN(AD46,MAX(IF(MOD(AC46,2)=0,AC46/2,IF(AD46&gt;=AE46,(AC46+1)/2,(AC46-1)/2)),AC46-AE46)))</f>
        <v/>
      </c>
      <c r="AG46">
        <f>AC46-AF46</f>
        <v/>
      </c>
      <c r="AH46">
        <f>AH45+AF46</f>
        <v/>
      </c>
      <c r="AI46">
        <f>AI45+AG46</f>
        <v/>
      </c>
      <c r="AK46">
        <f>IF(J46="","",IF(J46="男赤",COUNTIF($Y$2:$Y$51,"&lt;"&amp;K46),IF(J46="男白",COUNTIF($Z$2:$Z$51,"&lt;"&amp;K46),IF(J46="女赤",COUNTIF($AH$2:$AH$51,"&lt;"&amp;K46),COUNTIF($AI$2:$AI$51,"&lt;"&amp;K46))))+1)</f>
        <v/>
      </c>
      <c r="AL46">
        <f>IF(AK46="","",IF(AK46=1,0,IF(J46="男赤",INDEX($Y$2:$Y$51,AK46-1),IF(J46="男白",INDEX($Z$2:$Z$51,AK46-1),IF(J46="女赤",INDEX($AH$2:$AH$51,AK46-1),INDEX($AI$2:$AI$51,AK46-1))))))</f>
        <v/>
      </c>
      <c r="AM46">
        <f>IF(AK46="","",IF(RIGHT(J46,1)="赤",K46-AL46,IF(LEFT(J46,1)="男",INDEX($W$2:$W$51,AK46),INDEX($AF$2:$AF$51,AK46))+K46-AL46))</f>
        <v/>
      </c>
      <c r="AN46">
        <f>IF(AK46="","",F46&amp;AK46&amp;"-"&amp;AM46)</f>
        <v/>
      </c>
      <c r="AO46">
        <f>IF(J46="","",F46&amp;D46)</f>
        <v/>
      </c>
      <c r="AP46">
        <f>IF(J46="","",IF(F46="男",COUNTIF(手直し!$B$6:$E$55,D46),COUNTIF(手直し!$F$6:$I$55,D46)))</f>
        <v/>
      </c>
      <c r="AQ46">
        <f>IF(AND(J46&lt;&gt;"",AP46=0),1,0)</f>
        <v/>
      </c>
      <c r="AR46">
        <f>IF(AND(AQ46=1,F46="男"),COUNTIFS($AQ$2:AQ46,1,$F$2:F46,"男"),"")</f>
        <v/>
      </c>
      <c r="AS46">
        <f>IF(AND(AQ46=1,F46="女"),COUNTIFS($AQ$2:AQ46,1,$F$2:F46,"女"),"")</f>
        <v/>
      </c>
    </row>
    <row r="47">
      <c r="A47" s="21">
        <f>ROW()-1</f>
        <v/>
      </c>
      <c r="B47" s="21">
        <f>INT((A47-1)/37)+1</f>
        <v/>
      </c>
      <c r="C47" s="21">
        <f>MOD(A47-1,37)+1</f>
        <v/>
      </c>
      <c r="D47" s="21">
        <f>INDEX(①データ入力!$B$3:$Y$39,C47,(B47-1)*5+1)&amp;""</f>
        <v/>
      </c>
      <c r="E47" s="21">
        <f>INDEX(①データ入力!$B$3:$Y$39,C47,(B47-1)*5+2)&amp;""</f>
        <v/>
      </c>
      <c r="F47" s="21">
        <f>IF(OR(E47="1",E47="１",E47="男"),"男",IF(OR(E47="2",E47="２",E47="女"),"女",""))</f>
        <v/>
      </c>
      <c r="G47" s="21">
        <f>INDEX(①データ入力!$B$3:$Y$39,C47,(B47-1)*5+3)</f>
        <v/>
      </c>
      <c r="H47" s="21">
        <f>INDEX(①データ入力!$B$3:$Y$39,C47,(B47-1)*5+4)&amp;""</f>
        <v/>
      </c>
      <c r="I47" s="21">
        <f>IF(LEFT(TRIM(H47),1)="赤","赤",IF(LEFT(TRIM(H47),1)="白","白",""))</f>
        <v/>
      </c>
      <c r="J47" s="21">
        <f>IF(AND(D47&lt;&gt;"",F47&lt;&gt;"",I47&lt;&gt;"",ISNUMBER(G47)),F47&amp;I47,"")</f>
        <v/>
      </c>
      <c r="K47" s="21">
        <f>IF(J47="","",COUNTIFS($J$2:$J$186,J47,$G$2:$G$186,"&lt;"&amp;G47)+COUNTIFS($J$2:$J$186,J47,$G$2:$G$186,G47,$A$2:$A$186,"&lt;"&amp;A47)+1)</f>
        <v/>
      </c>
      <c r="L47" s="21">
        <f>IF(J47="","",J47&amp;K47)</f>
        <v/>
      </c>
      <c r="M47" s="21">
        <f>B47&amp;"組"</f>
        <v/>
      </c>
      <c r="N47" s="21">
        <f>IF(AND(D47&lt;&gt;"",J47=""),1,0)</f>
        <v/>
      </c>
      <c r="S47" t="n">
        <v>46</v>
      </c>
      <c r="T47">
        <f>IF(OR($Q$9=0,S47&gt;$Q$9),0,INT($Q$8/$Q$9)+IF(S47&lt;=MOD($Q$8,$Q$9),1,0))</f>
        <v/>
      </c>
      <c r="U47">
        <f>$Q$2-Y46</f>
        <v/>
      </c>
      <c r="V47">
        <f>$Q$3-Z46</f>
        <v/>
      </c>
      <c r="W47">
        <f>IF(T47=0,0,MIN(U47,MAX(IF(MOD(T47,2)=0,T47/2,IF(U47&gt;=V47,(T47+1)/2,(T47-1)/2)),T47-V47)))</f>
        <v/>
      </c>
      <c r="X47">
        <f>T47-W47</f>
        <v/>
      </c>
      <c r="Y47">
        <f>Y46+W47</f>
        <v/>
      </c>
      <c r="Z47">
        <f>Z46+X47</f>
        <v/>
      </c>
      <c r="AB47" t="n">
        <v>46</v>
      </c>
      <c r="AC47">
        <f>IF(OR($Q$11=0,AB47&gt;$Q$11),0,INT($Q$10/$Q$11)+IF(AB47&lt;=MOD($Q$10,$Q$11),1,0))</f>
        <v/>
      </c>
      <c r="AD47">
        <f>$Q$4-AH46</f>
        <v/>
      </c>
      <c r="AE47">
        <f>$Q$5-AI46</f>
        <v/>
      </c>
      <c r="AF47">
        <f>IF(AC47=0,0,MIN(AD47,MAX(IF(MOD(AC47,2)=0,AC47/2,IF(AD47&gt;=AE47,(AC47+1)/2,(AC47-1)/2)),AC47-AE47)))</f>
        <v/>
      </c>
      <c r="AG47">
        <f>AC47-AF47</f>
        <v/>
      </c>
      <c r="AH47">
        <f>AH46+AF47</f>
        <v/>
      </c>
      <c r="AI47">
        <f>AI46+AG47</f>
        <v/>
      </c>
      <c r="AK47">
        <f>IF(J47="","",IF(J47="男赤",COUNTIF($Y$2:$Y$51,"&lt;"&amp;K47),IF(J47="男白",COUNTIF($Z$2:$Z$51,"&lt;"&amp;K47),IF(J47="女赤",COUNTIF($AH$2:$AH$51,"&lt;"&amp;K47),COUNTIF($AI$2:$AI$51,"&lt;"&amp;K47))))+1)</f>
        <v/>
      </c>
      <c r="AL47">
        <f>IF(AK47="","",IF(AK47=1,0,IF(J47="男赤",INDEX($Y$2:$Y$51,AK47-1),IF(J47="男白",INDEX($Z$2:$Z$51,AK47-1),IF(J47="女赤",INDEX($AH$2:$AH$51,AK47-1),INDEX($AI$2:$AI$51,AK47-1))))))</f>
        <v/>
      </c>
      <c r="AM47">
        <f>IF(AK47="","",IF(RIGHT(J47,1)="赤",K47-AL47,IF(LEFT(J47,1)="男",INDEX($W$2:$W$51,AK47),INDEX($AF$2:$AF$51,AK47))+K47-AL47))</f>
        <v/>
      </c>
      <c r="AN47">
        <f>IF(AK47="","",F47&amp;AK47&amp;"-"&amp;AM47)</f>
        <v/>
      </c>
      <c r="AO47">
        <f>IF(J47="","",F47&amp;D47)</f>
        <v/>
      </c>
      <c r="AP47">
        <f>IF(J47="","",IF(F47="男",COUNTIF(手直し!$B$6:$E$55,D47),COUNTIF(手直し!$F$6:$I$55,D47)))</f>
        <v/>
      </c>
      <c r="AQ47">
        <f>IF(AND(J47&lt;&gt;"",AP47=0),1,0)</f>
        <v/>
      </c>
      <c r="AR47">
        <f>IF(AND(AQ47=1,F47="男"),COUNTIFS($AQ$2:AQ47,1,$F$2:F47,"男"),"")</f>
        <v/>
      </c>
      <c r="AS47">
        <f>IF(AND(AQ47=1,F47="女"),COUNTIFS($AQ$2:AQ47,1,$F$2:F47,"女"),"")</f>
        <v/>
      </c>
    </row>
    <row r="48">
      <c r="A48" s="21">
        <f>ROW()-1</f>
        <v/>
      </c>
      <c r="B48" s="21">
        <f>INT((A48-1)/37)+1</f>
        <v/>
      </c>
      <c r="C48" s="21">
        <f>MOD(A48-1,37)+1</f>
        <v/>
      </c>
      <c r="D48" s="21">
        <f>INDEX(①データ入力!$B$3:$Y$39,C48,(B48-1)*5+1)&amp;""</f>
        <v/>
      </c>
      <c r="E48" s="21">
        <f>INDEX(①データ入力!$B$3:$Y$39,C48,(B48-1)*5+2)&amp;""</f>
        <v/>
      </c>
      <c r="F48" s="21">
        <f>IF(OR(E48="1",E48="１",E48="男"),"男",IF(OR(E48="2",E48="２",E48="女"),"女",""))</f>
        <v/>
      </c>
      <c r="G48" s="21">
        <f>INDEX(①データ入力!$B$3:$Y$39,C48,(B48-1)*5+3)</f>
        <v/>
      </c>
      <c r="H48" s="21">
        <f>INDEX(①データ入力!$B$3:$Y$39,C48,(B48-1)*5+4)&amp;""</f>
        <v/>
      </c>
      <c r="I48" s="21">
        <f>IF(LEFT(TRIM(H48),1)="赤","赤",IF(LEFT(TRIM(H48),1)="白","白",""))</f>
        <v/>
      </c>
      <c r="J48" s="21">
        <f>IF(AND(D48&lt;&gt;"",F48&lt;&gt;"",I48&lt;&gt;"",ISNUMBER(G48)),F48&amp;I48,"")</f>
        <v/>
      </c>
      <c r="K48" s="21">
        <f>IF(J48="","",COUNTIFS($J$2:$J$186,J48,$G$2:$G$186,"&lt;"&amp;G48)+COUNTIFS($J$2:$J$186,J48,$G$2:$G$186,G48,$A$2:$A$186,"&lt;"&amp;A48)+1)</f>
        <v/>
      </c>
      <c r="L48" s="21">
        <f>IF(J48="","",J48&amp;K48)</f>
        <v/>
      </c>
      <c r="M48" s="21">
        <f>B48&amp;"組"</f>
        <v/>
      </c>
      <c r="N48" s="21">
        <f>IF(AND(D48&lt;&gt;"",J48=""),1,0)</f>
        <v/>
      </c>
      <c r="S48" t="n">
        <v>47</v>
      </c>
      <c r="T48">
        <f>IF(OR($Q$9=0,S48&gt;$Q$9),0,INT($Q$8/$Q$9)+IF(S48&lt;=MOD($Q$8,$Q$9),1,0))</f>
        <v/>
      </c>
      <c r="U48">
        <f>$Q$2-Y47</f>
        <v/>
      </c>
      <c r="V48">
        <f>$Q$3-Z47</f>
        <v/>
      </c>
      <c r="W48">
        <f>IF(T48=0,0,MIN(U48,MAX(IF(MOD(T48,2)=0,T48/2,IF(U48&gt;=V48,(T48+1)/2,(T48-1)/2)),T48-V48)))</f>
        <v/>
      </c>
      <c r="X48">
        <f>T48-W48</f>
        <v/>
      </c>
      <c r="Y48">
        <f>Y47+W48</f>
        <v/>
      </c>
      <c r="Z48">
        <f>Z47+X48</f>
        <v/>
      </c>
      <c r="AB48" t="n">
        <v>47</v>
      </c>
      <c r="AC48">
        <f>IF(OR($Q$11=0,AB48&gt;$Q$11),0,INT($Q$10/$Q$11)+IF(AB48&lt;=MOD($Q$10,$Q$11),1,0))</f>
        <v/>
      </c>
      <c r="AD48">
        <f>$Q$4-AH47</f>
        <v/>
      </c>
      <c r="AE48">
        <f>$Q$5-AI47</f>
        <v/>
      </c>
      <c r="AF48">
        <f>IF(AC48=0,0,MIN(AD48,MAX(IF(MOD(AC48,2)=0,AC48/2,IF(AD48&gt;=AE48,(AC48+1)/2,(AC48-1)/2)),AC48-AE48)))</f>
        <v/>
      </c>
      <c r="AG48">
        <f>AC48-AF48</f>
        <v/>
      </c>
      <c r="AH48">
        <f>AH47+AF48</f>
        <v/>
      </c>
      <c r="AI48">
        <f>AI47+AG48</f>
        <v/>
      </c>
      <c r="AK48">
        <f>IF(J48="","",IF(J48="男赤",COUNTIF($Y$2:$Y$51,"&lt;"&amp;K48),IF(J48="男白",COUNTIF($Z$2:$Z$51,"&lt;"&amp;K48),IF(J48="女赤",COUNTIF($AH$2:$AH$51,"&lt;"&amp;K48),COUNTIF($AI$2:$AI$51,"&lt;"&amp;K48))))+1)</f>
        <v/>
      </c>
      <c r="AL48">
        <f>IF(AK48="","",IF(AK48=1,0,IF(J48="男赤",INDEX($Y$2:$Y$51,AK48-1),IF(J48="男白",INDEX($Z$2:$Z$51,AK48-1),IF(J48="女赤",INDEX($AH$2:$AH$51,AK48-1),INDEX($AI$2:$AI$51,AK48-1))))))</f>
        <v/>
      </c>
      <c r="AM48">
        <f>IF(AK48="","",IF(RIGHT(J48,1)="赤",K48-AL48,IF(LEFT(J48,1)="男",INDEX($W$2:$W$51,AK48),INDEX($AF$2:$AF$51,AK48))+K48-AL48))</f>
        <v/>
      </c>
      <c r="AN48">
        <f>IF(AK48="","",F48&amp;AK48&amp;"-"&amp;AM48)</f>
        <v/>
      </c>
      <c r="AO48">
        <f>IF(J48="","",F48&amp;D48)</f>
        <v/>
      </c>
      <c r="AP48">
        <f>IF(J48="","",IF(F48="男",COUNTIF(手直し!$B$6:$E$55,D48),COUNTIF(手直し!$F$6:$I$55,D48)))</f>
        <v/>
      </c>
      <c r="AQ48">
        <f>IF(AND(J48&lt;&gt;"",AP48=0),1,0)</f>
        <v/>
      </c>
      <c r="AR48">
        <f>IF(AND(AQ48=1,F48="男"),COUNTIFS($AQ$2:AQ48,1,$F$2:F48,"男"),"")</f>
        <v/>
      </c>
      <c r="AS48">
        <f>IF(AND(AQ48=1,F48="女"),COUNTIFS($AQ$2:AQ48,1,$F$2:F48,"女"),"")</f>
        <v/>
      </c>
    </row>
    <row r="49">
      <c r="A49" s="21">
        <f>ROW()-1</f>
        <v/>
      </c>
      <c r="B49" s="21">
        <f>INT((A49-1)/37)+1</f>
        <v/>
      </c>
      <c r="C49" s="21">
        <f>MOD(A49-1,37)+1</f>
        <v/>
      </c>
      <c r="D49" s="21">
        <f>INDEX(①データ入力!$B$3:$Y$39,C49,(B49-1)*5+1)&amp;""</f>
        <v/>
      </c>
      <c r="E49" s="21">
        <f>INDEX(①データ入力!$B$3:$Y$39,C49,(B49-1)*5+2)&amp;""</f>
        <v/>
      </c>
      <c r="F49" s="21">
        <f>IF(OR(E49="1",E49="１",E49="男"),"男",IF(OR(E49="2",E49="２",E49="女"),"女",""))</f>
        <v/>
      </c>
      <c r="G49" s="21">
        <f>INDEX(①データ入力!$B$3:$Y$39,C49,(B49-1)*5+3)</f>
        <v/>
      </c>
      <c r="H49" s="21">
        <f>INDEX(①データ入力!$B$3:$Y$39,C49,(B49-1)*5+4)&amp;""</f>
        <v/>
      </c>
      <c r="I49" s="21">
        <f>IF(LEFT(TRIM(H49),1)="赤","赤",IF(LEFT(TRIM(H49),1)="白","白",""))</f>
        <v/>
      </c>
      <c r="J49" s="21">
        <f>IF(AND(D49&lt;&gt;"",F49&lt;&gt;"",I49&lt;&gt;"",ISNUMBER(G49)),F49&amp;I49,"")</f>
        <v/>
      </c>
      <c r="K49" s="21">
        <f>IF(J49="","",COUNTIFS($J$2:$J$186,J49,$G$2:$G$186,"&lt;"&amp;G49)+COUNTIFS($J$2:$J$186,J49,$G$2:$G$186,G49,$A$2:$A$186,"&lt;"&amp;A49)+1)</f>
        <v/>
      </c>
      <c r="L49" s="21">
        <f>IF(J49="","",J49&amp;K49)</f>
        <v/>
      </c>
      <c r="M49" s="21">
        <f>B49&amp;"組"</f>
        <v/>
      </c>
      <c r="N49" s="21">
        <f>IF(AND(D49&lt;&gt;"",J49=""),1,0)</f>
        <v/>
      </c>
      <c r="S49" t="n">
        <v>48</v>
      </c>
      <c r="T49">
        <f>IF(OR($Q$9=0,S49&gt;$Q$9),0,INT($Q$8/$Q$9)+IF(S49&lt;=MOD($Q$8,$Q$9),1,0))</f>
        <v/>
      </c>
      <c r="U49">
        <f>$Q$2-Y48</f>
        <v/>
      </c>
      <c r="V49">
        <f>$Q$3-Z48</f>
        <v/>
      </c>
      <c r="W49">
        <f>IF(T49=0,0,MIN(U49,MAX(IF(MOD(T49,2)=0,T49/2,IF(U49&gt;=V49,(T49+1)/2,(T49-1)/2)),T49-V49)))</f>
        <v/>
      </c>
      <c r="X49">
        <f>T49-W49</f>
        <v/>
      </c>
      <c r="Y49">
        <f>Y48+W49</f>
        <v/>
      </c>
      <c r="Z49">
        <f>Z48+X49</f>
        <v/>
      </c>
      <c r="AB49" t="n">
        <v>48</v>
      </c>
      <c r="AC49">
        <f>IF(OR($Q$11=0,AB49&gt;$Q$11),0,INT($Q$10/$Q$11)+IF(AB49&lt;=MOD($Q$10,$Q$11),1,0))</f>
        <v/>
      </c>
      <c r="AD49">
        <f>$Q$4-AH48</f>
        <v/>
      </c>
      <c r="AE49">
        <f>$Q$5-AI48</f>
        <v/>
      </c>
      <c r="AF49">
        <f>IF(AC49=0,0,MIN(AD49,MAX(IF(MOD(AC49,2)=0,AC49/2,IF(AD49&gt;=AE49,(AC49+1)/2,(AC49-1)/2)),AC49-AE49)))</f>
        <v/>
      </c>
      <c r="AG49">
        <f>AC49-AF49</f>
        <v/>
      </c>
      <c r="AH49">
        <f>AH48+AF49</f>
        <v/>
      </c>
      <c r="AI49">
        <f>AI48+AG49</f>
        <v/>
      </c>
      <c r="AK49">
        <f>IF(J49="","",IF(J49="男赤",COUNTIF($Y$2:$Y$51,"&lt;"&amp;K49),IF(J49="男白",COUNTIF($Z$2:$Z$51,"&lt;"&amp;K49),IF(J49="女赤",COUNTIF($AH$2:$AH$51,"&lt;"&amp;K49),COUNTIF($AI$2:$AI$51,"&lt;"&amp;K49))))+1)</f>
        <v/>
      </c>
      <c r="AL49">
        <f>IF(AK49="","",IF(AK49=1,0,IF(J49="男赤",INDEX($Y$2:$Y$51,AK49-1),IF(J49="男白",INDEX($Z$2:$Z$51,AK49-1),IF(J49="女赤",INDEX($AH$2:$AH$51,AK49-1),INDEX($AI$2:$AI$51,AK49-1))))))</f>
        <v/>
      </c>
      <c r="AM49">
        <f>IF(AK49="","",IF(RIGHT(J49,1)="赤",K49-AL49,IF(LEFT(J49,1)="男",INDEX($W$2:$W$51,AK49),INDEX($AF$2:$AF$51,AK49))+K49-AL49))</f>
        <v/>
      </c>
      <c r="AN49">
        <f>IF(AK49="","",F49&amp;AK49&amp;"-"&amp;AM49)</f>
        <v/>
      </c>
      <c r="AO49">
        <f>IF(J49="","",F49&amp;D49)</f>
        <v/>
      </c>
      <c r="AP49">
        <f>IF(J49="","",IF(F49="男",COUNTIF(手直し!$B$6:$E$55,D49),COUNTIF(手直し!$F$6:$I$55,D49)))</f>
        <v/>
      </c>
      <c r="AQ49">
        <f>IF(AND(J49&lt;&gt;"",AP49=0),1,0)</f>
        <v/>
      </c>
      <c r="AR49">
        <f>IF(AND(AQ49=1,F49="男"),COUNTIFS($AQ$2:AQ49,1,$F$2:F49,"男"),"")</f>
        <v/>
      </c>
      <c r="AS49">
        <f>IF(AND(AQ49=1,F49="女"),COUNTIFS($AQ$2:AQ49,1,$F$2:F49,"女"),"")</f>
        <v/>
      </c>
    </row>
    <row r="50">
      <c r="A50" s="21">
        <f>ROW()-1</f>
        <v/>
      </c>
      <c r="B50" s="21">
        <f>INT((A50-1)/37)+1</f>
        <v/>
      </c>
      <c r="C50" s="21">
        <f>MOD(A50-1,37)+1</f>
        <v/>
      </c>
      <c r="D50" s="21">
        <f>INDEX(①データ入力!$B$3:$Y$39,C50,(B50-1)*5+1)&amp;""</f>
        <v/>
      </c>
      <c r="E50" s="21">
        <f>INDEX(①データ入力!$B$3:$Y$39,C50,(B50-1)*5+2)&amp;""</f>
        <v/>
      </c>
      <c r="F50" s="21">
        <f>IF(OR(E50="1",E50="１",E50="男"),"男",IF(OR(E50="2",E50="２",E50="女"),"女",""))</f>
        <v/>
      </c>
      <c r="G50" s="21">
        <f>INDEX(①データ入力!$B$3:$Y$39,C50,(B50-1)*5+3)</f>
        <v/>
      </c>
      <c r="H50" s="21">
        <f>INDEX(①データ入力!$B$3:$Y$39,C50,(B50-1)*5+4)&amp;""</f>
        <v/>
      </c>
      <c r="I50" s="21">
        <f>IF(LEFT(TRIM(H50),1)="赤","赤",IF(LEFT(TRIM(H50),1)="白","白",""))</f>
        <v/>
      </c>
      <c r="J50" s="21">
        <f>IF(AND(D50&lt;&gt;"",F50&lt;&gt;"",I50&lt;&gt;"",ISNUMBER(G50)),F50&amp;I50,"")</f>
        <v/>
      </c>
      <c r="K50" s="21">
        <f>IF(J50="","",COUNTIFS($J$2:$J$186,J50,$G$2:$G$186,"&lt;"&amp;G50)+COUNTIFS($J$2:$J$186,J50,$G$2:$G$186,G50,$A$2:$A$186,"&lt;"&amp;A50)+1)</f>
        <v/>
      </c>
      <c r="L50" s="21">
        <f>IF(J50="","",J50&amp;K50)</f>
        <v/>
      </c>
      <c r="M50" s="21">
        <f>B50&amp;"組"</f>
        <v/>
      </c>
      <c r="N50" s="21">
        <f>IF(AND(D50&lt;&gt;"",J50=""),1,0)</f>
        <v/>
      </c>
      <c r="S50" t="n">
        <v>49</v>
      </c>
      <c r="T50">
        <f>IF(OR($Q$9=0,S50&gt;$Q$9),0,INT($Q$8/$Q$9)+IF(S50&lt;=MOD($Q$8,$Q$9),1,0))</f>
        <v/>
      </c>
      <c r="U50">
        <f>$Q$2-Y49</f>
        <v/>
      </c>
      <c r="V50">
        <f>$Q$3-Z49</f>
        <v/>
      </c>
      <c r="W50">
        <f>IF(T50=0,0,MIN(U50,MAX(IF(MOD(T50,2)=0,T50/2,IF(U50&gt;=V50,(T50+1)/2,(T50-1)/2)),T50-V50)))</f>
        <v/>
      </c>
      <c r="X50">
        <f>T50-W50</f>
        <v/>
      </c>
      <c r="Y50">
        <f>Y49+W50</f>
        <v/>
      </c>
      <c r="Z50">
        <f>Z49+X50</f>
        <v/>
      </c>
      <c r="AB50" t="n">
        <v>49</v>
      </c>
      <c r="AC50">
        <f>IF(OR($Q$11=0,AB50&gt;$Q$11),0,INT($Q$10/$Q$11)+IF(AB50&lt;=MOD($Q$10,$Q$11),1,0))</f>
        <v/>
      </c>
      <c r="AD50">
        <f>$Q$4-AH49</f>
        <v/>
      </c>
      <c r="AE50">
        <f>$Q$5-AI49</f>
        <v/>
      </c>
      <c r="AF50">
        <f>IF(AC50=0,0,MIN(AD50,MAX(IF(MOD(AC50,2)=0,AC50/2,IF(AD50&gt;=AE50,(AC50+1)/2,(AC50-1)/2)),AC50-AE50)))</f>
        <v/>
      </c>
      <c r="AG50">
        <f>AC50-AF50</f>
        <v/>
      </c>
      <c r="AH50">
        <f>AH49+AF50</f>
        <v/>
      </c>
      <c r="AI50">
        <f>AI49+AG50</f>
        <v/>
      </c>
      <c r="AK50">
        <f>IF(J50="","",IF(J50="男赤",COUNTIF($Y$2:$Y$51,"&lt;"&amp;K50),IF(J50="男白",COUNTIF($Z$2:$Z$51,"&lt;"&amp;K50),IF(J50="女赤",COUNTIF($AH$2:$AH$51,"&lt;"&amp;K50),COUNTIF($AI$2:$AI$51,"&lt;"&amp;K50))))+1)</f>
        <v/>
      </c>
      <c r="AL50">
        <f>IF(AK50="","",IF(AK50=1,0,IF(J50="男赤",INDEX($Y$2:$Y$51,AK50-1),IF(J50="男白",INDEX($Z$2:$Z$51,AK50-1),IF(J50="女赤",INDEX($AH$2:$AH$51,AK50-1),INDEX($AI$2:$AI$51,AK50-1))))))</f>
        <v/>
      </c>
      <c r="AM50">
        <f>IF(AK50="","",IF(RIGHT(J50,1)="赤",K50-AL50,IF(LEFT(J50,1)="男",INDEX($W$2:$W$51,AK50),INDEX($AF$2:$AF$51,AK50))+K50-AL50))</f>
        <v/>
      </c>
      <c r="AN50">
        <f>IF(AK50="","",F50&amp;AK50&amp;"-"&amp;AM50)</f>
        <v/>
      </c>
      <c r="AO50">
        <f>IF(J50="","",F50&amp;D50)</f>
        <v/>
      </c>
      <c r="AP50">
        <f>IF(J50="","",IF(F50="男",COUNTIF(手直し!$B$6:$E$55,D50),COUNTIF(手直し!$F$6:$I$55,D50)))</f>
        <v/>
      </c>
      <c r="AQ50">
        <f>IF(AND(J50&lt;&gt;"",AP50=0),1,0)</f>
        <v/>
      </c>
      <c r="AR50">
        <f>IF(AND(AQ50=1,F50="男"),COUNTIFS($AQ$2:AQ50,1,$F$2:F50,"男"),"")</f>
        <v/>
      </c>
      <c r="AS50">
        <f>IF(AND(AQ50=1,F50="女"),COUNTIFS($AQ$2:AQ50,1,$F$2:F50,"女"),"")</f>
        <v/>
      </c>
    </row>
    <row r="51">
      <c r="A51" s="21">
        <f>ROW()-1</f>
        <v/>
      </c>
      <c r="B51" s="21">
        <f>INT((A51-1)/37)+1</f>
        <v/>
      </c>
      <c r="C51" s="21">
        <f>MOD(A51-1,37)+1</f>
        <v/>
      </c>
      <c r="D51" s="21">
        <f>INDEX(①データ入力!$B$3:$Y$39,C51,(B51-1)*5+1)&amp;""</f>
        <v/>
      </c>
      <c r="E51" s="21">
        <f>INDEX(①データ入力!$B$3:$Y$39,C51,(B51-1)*5+2)&amp;""</f>
        <v/>
      </c>
      <c r="F51" s="21">
        <f>IF(OR(E51="1",E51="１",E51="男"),"男",IF(OR(E51="2",E51="２",E51="女"),"女",""))</f>
        <v/>
      </c>
      <c r="G51" s="21">
        <f>INDEX(①データ入力!$B$3:$Y$39,C51,(B51-1)*5+3)</f>
        <v/>
      </c>
      <c r="H51" s="21">
        <f>INDEX(①データ入力!$B$3:$Y$39,C51,(B51-1)*5+4)&amp;""</f>
        <v/>
      </c>
      <c r="I51" s="21">
        <f>IF(LEFT(TRIM(H51),1)="赤","赤",IF(LEFT(TRIM(H51),1)="白","白",""))</f>
        <v/>
      </c>
      <c r="J51" s="21">
        <f>IF(AND(D51&lt;&gt;"",F51&lt;&gt;"",I51&lt;&gt;"",ISNUMBER(G51)),F51&amp;I51,"")</f>
        <v/>
      </c>
      <c r="K51" s="21">
        <f>IF(J51="","",COUNTIFS($J$2:$J$186,J51,$G$2:$G$186,"&lt;"&amp;G51)+COUNTIFS($J$2:$J$186,J51,$G$2:$G$186,G51,$A$2:$A$186,"&lt;"&amp;A51)+1)</f>
        <v/>
      </c>
      <c r="L51" s="21">
        <f>IF(J51="","",J51&amp;K51)</f>
        <v/>
      </c>
      <c r="M51" s="21">
        <f>B51&amp;"組"</f>
        <v/>
      </c>
      <c r="N51" s="21">
        <f>IF(AND(D51&lt;&gt;"",J51=""),1,0)</f>
        <v/>
      </c>
      <c r="S51" t="n">
        <v>50</v>
      </c>
      <c r="T51">
        <f>IF(OR($Q$9=0,S51&gt;$Q$9),0,INT($Q$8/$Q$9)+IF(S51&lt;=MOD($Q$8,$Q$9),1,0))</f>
        <v/>
      </c>
      <c r="U51">
        <f>$Q$2-Y50</f>
        <v/>
      </c>
      <c r="V51">
        <f>$Q$3-Z50</f>
        <v/>
      </c>
      <c r="W51">
        <f>IF(T51=0,0,MIN(U51,MAX(IF(MOD(T51,2)=0,T51/2,IF(U51&gt;=V51,(T51+1)/2,(T51-1)/2)),T51-V51)))</f>
        <v/>
      </c>
      <c r="X51">
        <f>T51-W51</f>
        <v/>
      </c>
      <c r="Y51">
        <f>Y50+W51</f>
        <v/>
      </c>
      <c r="Z51">
        <f>Z50+X51</f>
        <v/>
      </c>
      <c r="AB51" t="n">
        <v>50</v>
      </c>
      <c r="AC51">
        <f>IF(OR($Q$11=0,AB51&gt;$Q$11),0,INT($Q$10/$Q$11)+IF(AB51&lt;=MOD($Q$10,$Q$11),1,0))</f>
        <v/>
      </c>
      <c r="AD51">
        <f>$Q$4-AH50</f>
        <v/>
      </c>
      <c r="AE51">
        <f>$Q$5-AI50</f>
        <v/>
      </c>
      <c r="AF51">
        <f>IF(AC51=0,0,MIN(AD51,MAX(IF(MOD(AC51,2)=0,AC51/2,IF(AD51&gt;=AE51,(AC51+1)/2,(AC51-1)/2)),AC51-AE51)))</f>
        <v/>
      </c>
      <c r="AG51">
        <f>AC51-AF51</f>
        <v/>
      </c>
      <c r="AH51">
        <f>AH50+AF51</f>
        <v/>
      </c>
      <c r="AI51">
        <f>AI50+AG51</f>
        <v/>
      </c>
      <c r="AK51">
        <f>IF(J51="","",IF(J51="男赤",COUNTIF($Y$2:$Y$51,"&lt;"&amp;K51),IF(J51="男白",COUNTIF($Z$2:$Z$51,"&lt;"&amp;K51),IF(J51="女赤",COUNTIF($AH$2:$AH$51,"&lt;"&amp;K51),COUNTIF($AI$2:$AI$51,"&lt;"&amp;K51))))+1)</f>
        <v/>
      </c>
      <c r="AL51">
        <f>IF(AK51="","",IF(AK51=1,0,IF(J51="男赤",INDEX($Y$2:$Y$51,AK51-1),IF(J51="男白",INDEX($Z$2:$Z$51,AK51-1),IF(J51="女赤",INDEX($AH$2:$AH$51,AK51-1),INDEX($AI$2:$AI$51,AK51-1))))))</f>
        <v/>
      </c>
      <c r="AM51">
        <f>IF(AK51="","",IF(RIGHT(J51,1)="赤",K51-AL51,IF(LEFT(J51,1)="男",INDEX($W$2:$W$51,AK51),INDEX($AF$2:$AF$51,AK51))+K51-AL51))</f>
        <v/>
      </c>
      <c r="AN51">
        <f>IF(AK51="","",F51&amp;AK51&amp;"-"&amp;AM51)</f>
        <v/>
      </c>
      <c r="AO51">
        <f>IF(J51="","",F51&amp;D51)</f>
        <v/>
      </c>
      <c r="AP51">
        <f>IF(J51="","",IF(F51="男",COUNTIF(手直し!$B$6:$E$55,D51),COUNTIF(手直し!$F$6:$I$55,D51)))</f>
        <v/>
      </c>
      <c r="AQ51">
        <f>IF(AND(J51&lt;&gt;"",AP51=0),1,0)</f>
        <v/>
      </c>
      <c r="AR51">
        <f>IF(AND(AQ51=1,F51="男"),COUNTIFS($AQ$2:AQ51,1,$F$2:F51,"男"),"")</f>
        <v/>
      </c>
      <c r="AS51">
        <f>IF(AND(AQ51=1,F51="女"),COUNTIFS($AQ$2:AQ51,1,$F$2:F51,"女"),"")</f>
        <v/>
      </c>
    </row>
    <row r="52">
      <c r="A52" s="21">
        <f>ROW()-1</f>
        <v/>
      </c>
      <c r="B52" s="21">
        <f>INT((A52-1)/37)+1</f>
        <v/>
      </c>
      <c r="C52" s="21">
        <f>MOD(A52-1,37)+1</f>
        <v/>
      </c>
      <c r="D52" s="21">
        <f>INDEX(①データ入力!$B$3:$Y$39,C52,(B52-1)*5+1)&amp;""</f>
        <v/>
      </c>
      <c r="E52" s="21">
        <f>INDEX(①データ入力!$B$3:$Y$39,C52,(B52-1)*5+2)&amp;""</f>
        <v/>
      </c>
      <c r="F52" s="21">
        <f>IF(OR(E52="1",E52="１",E52="男"),"男",IF(OR(E52="2",E52="２",E52="女"),"女",""))</f>
        <v/>
      </c>
      <c r="G52" s="21">
        <f>INDEX(①データ入力!$B$3:$Y$39,C52,(B52-1)*5+3)</f>
        <v/>
      </c>
      <c r="H52" s="21">
        <f>INDEX(①データ入力!$B$3:$Y$39,C52,(B52-1)*5+4)&amp;""</f>
        <v/>
      </c>
      <c r="I52" s="21">
        <f>IF(LEFT(TRIM(H52),1)="赤","赤",IF(LEFT(TRIM(H52),1)="白","白",""))</f>
        <v/>
      </c>
      <c r="J52" s="21">
        <f>IF(AND(D52&lt;&gt;"",F52&lt;&gt;"",I52&lt;&gt;"",ISNUMBER(G52)),F52&amp;I52,"")</f>
        <v/>
      </c>
      <c r="K52" s="21">
        <f>IF(J52="","",COUNTIFS($J$2:$J$186,J52,$G$2:$G$186,"&lt;"&amp;G52)+COUNTIFS($J$2:$J$186,J52,$G$2:$G$186,G52,$A$2:$A$186,"&lt;"&amp;A52)+1)</f>
        <v/>
      </c>
      <c r="L52" s="21">
        <f>IF(J52="","",J52&amp;K52)</f>
        <v/>
      </c>
      <c r="M52" s="21">
        <f>B52&amp;"組"</f>
        <v/>
      </c>
      <c r="N52" s="21">
        <f>IF(AND(D52&lt;&gt;"",J52=""),1,0)</f>
        <v/>
      </c>
      <c r="AK52">
        <f>IF(J52="","",IF(J52="男赤",COUNTIF($Y$2:$Y$51,"&lt;"&amp;K52),IF(J52="男白",COUNTIF($Z$2:$Z$51,"&lt;"&amp;K52),IF(J52="女赤",COUNTIF($AH$2:$AH$51,"&lt;"&amp;K52),COUNTIF($AI$2:$AI$51,"&lt;"&amp;K52))))+1)</f>
        <v/>
      </c>
      <c r="AL52">
        <f>IF(AK52="","",IF(AK52=1,0,IF(J52="男赤",INDEX($Y$2:$Y$51,AK52-1),IF(J52="男白",INDEX($Z$2:$Z$51,AK52-1),IF(J52="女赤",INDEX($AH$2:$AH$51,AK52-1),INDEX($AI$2:$AI$51,AK52-1))))))</f>
        <v/>
      </c>
      <c r="AM52">
        <f>IF(AK52="","",IF(RIGHT(J52,1)="赤",K52-AL52,IF(LEFT(J52,1)="男",INDEX($W$2:$W$51,AK52),INDEX($AF$2:$AF$51,AK52))+K52-AL52))</f>
        <v/>
      </c>
      <c r="AN52">
        <f>IF(AK52="","",F52&amp;AK52&amp;"-"&amp;AM52)</f>
        <v/>
      </c>
      <c r="AO52">
        <f>IF(J52="","",F52&amp;D52)</f>
        <v/>
      </c>
      <c r="AP52">
        <f>IF(J52="","",IF(F52="男",COUNTIF(手直し!$B$6:$E$55,D52),COUNTIF(手直し!$F$6:$I$55,D52)))</f>
        <v/>
      </c>
      <c r="AQ52">
        <f>IF(AND(J52&lt;&gt;"",AP52=0),1,0)</f>
        <v/>
      </c>
      <c r="AR52">
        <f>IF(AND(AQ52=1,F52="男"),COUNTIFS($AQ$2:AQ52,1,$F$2:F52,"男"),"")</f>
        <v/>
      </c>
      <c r="AS52">
        <f>IF(AND(AQ52=1,F52="女"),COUNTIFS($AQ$2:AQ52,1,$F$2:F52,"女"),"")</f>
        <v/>
      </c>
    </row>
    <row r="53">
      <c r="A53" s="21">
        <f>ROW()-1</f>
        <v/>
      </c>
      <c r="B53" s="21">
        <f>INT((A53-1)/37)+1</f>
        <v/>
      </c>
      <c r="C53" s="21">
        <f>MOD(A53-1,37)+1</f>
        <v/>
      </c>
      <c r="D53" s="21">
        <f>INDEX(①データ入力!$B$3:$Y$39,C53,(B53-1)*5+1)&amp;""</f>
        <v/>
      </c>
      <c r="E53" s="21">
        <f>INDEX(①データ入力!$B$3:$Y$39,C53,(B53-1)*5+2)&amp;""</f>
        <v/>
      </c>
      <c r="F53" s="21">
        <f>IF(OR(E53="1",E53="１",E53="男"),"男",IF(OR(E53="2",E53="２",E53="女"),"女",""))</f>
        <v/>
      </c>
      <c r="G53" s="21">
        <f>INDEX(①データ入力!$B$3:$Y$39,C53,(B53-1)*5+3)</f>
        <v/>
      </c>
      <c r="H53" s="21">
        <f>INDEX(①データ入力!$B$3:$Y$39,C53,(B53-1)*5+4)&amp;""</f>
        <v/>
      </c>
      <c r="I53" s="21">
        <f>IF(LEFT(TRIM(H53),1)="赤","赤",IF(LEFT(TRIM(H53),1)="白","白",""))</f>
        <v/>
      </c>
      <c r="J53" s="21">
        <f>IF(AND(D53&lt;&gt;"",F53&lt;&gt;"",I53&lt;&gt;"",ISNUMBER(G53)),F53&amp;I53,"")</f>
        <v/>
      </c>
      <c r="K53" s="21">
        <f>IF(J53="","",COUNTIFS($J$2:$J$186,J53,$G$2:$G$186,"&lt;"&amp;G53)+COUNTIFS($J$2:$J$186,J53,$G$2:$G$186,G53,$A$2:$A$186,"&lt;"&amp;A53)+1)</f>
        <v/>
      </c>
      <c r="L53" s="21">
        <f>IF(J53="","",J53&amp;K53)</f>
        <v/>
      </c>
      <c r="M53" s="21">
        <f>B53&amp;"組"</f>
        <v/>
      </c>
      <c r="N53" s="21">
        <f>IF(AND(D53&lt;&gt;"",J53=""),1,0)</f>
        <v/>
      </c>
      <c r="AK53">
        <f>IF(J53="","",IF(J53="男赤",COUNTIF($Y$2:$Y$51,"&lt;"&amp;K53),IF(J53="男白",COUNTIF($Z$2:$Z$51,"&lt;"&amp;K53),IF(J53="女赤",COUNTIF($AH$2:$AH$51,"&lt;"&amp;K53),COUNTIF($AI$2:$AI$51,"&lt;"&amp;K53))))+1)</f>
        <v/>
      </c>
      <c r="AL53">
        <f>IF(AK53="","",IF(AK53=1,0,IF(J53="男赤",INDEX($Y$2:$Y$51,AK53-1),IF(J53="男白",INDEX($Z$2:$Z$51,AK53-1),IF(J53="女赤",INDEX($AH$2:$AH$51,AK53-1),INDEX($AI$2:$AI$51,AK53-1))))))</f>
        <v/>
      </c>
      <c r="AM53">
        <f>IF(AK53="","",IF(RIGHT(J53,1)="赤",K53-AL53,IF(LEFT(J53,1)="男",INDEX($W$2:$W$51,AK53),INDEX($AF$2:$AF$51,AK53))+K53-AL53))</f>
        <v/>
      </c>
      <c r="AN53">
        <f>IF(AK53="","",F53&amp;AK53&amp;"-"&amp;AM53)</f>
        <v/>
      </c>
      <c r="AO53">
        <f>IF(J53="","",F53&amp;D53)</f>
        <v/>
      </c>
      <c r="AP53">
        <f>IF(J53="","",IF(F53="男",COUNTIF(手直し!$B$6:$E$55,D53),COUNTIF(手直し!$F$6:$I$55,D53)))</f>
        <v/>
      </c>
      <c r="AQ53">
        <f>IF(AND(J53&lt;&gt;"",AP53=0),1,0)</f>
        <v/>
      </c>
      <c r="AR53">
        <f>IF(AND(AQ53=1,F53="男"),COUNTIFS($AQ$2:AQ53,1,$F$2:F53,"男"),"")</f>
        <v/>
      </c>
      <c r="AS53">
        <f>IF(AND(AQ53=1,F53="女"),COUNTIFS($AQ$2:AQ53,1,$F$2:F53,"女"),"")</f>
        <v/>
      </c>
    </row>
    <row r="54">
      <c r="A54" s="21">
        <f>ROW()-1</f>
        <v/>
      </c>
      <c r="B54" s="21">
        <f>INT((A54-1)/37)+1</f>
        <v/>
      </c>
      <c r="C54" s="21">
        <f>MOD(A54-1,37)+1</f>
        <v/>
      </c>
      <c r="D54" s="21">
        <f>INDEX(①データ入力!$B$3:$Y$39,C54,(B54-1)*5+1)&amp;""</f>
        <v/>
      </c>
      <c r="E54" s="21">
        <f>INDEX(①データ入力!$B$3:$Y$39,C54,(B54-1)*5+2)&amp;""</f>
        <v/>
      </c>
      <c r="F54" s="21">
        <f>IF(OR(E54="1",E54="１",E54="男"),"男",IF(OR(E54="2",E54="２",E54="女"),"女",""))</f>
        <v/>
      </c>
      <c r="G54" s="21">
        <f>INDEX(①データ入力!$B$3:$Y$39,C54,(B54-1)*5+3)</f>
        <v/>
      </c>
      <c r="H54" s="21">
        <f>INDEX(①データ入力!$B$3:$Y$39,C54,(B54-1)*5+4)&amp;""</f>
        <v/>
      </c>
      <c r="I54" s="21">
        <f>IF(LEFT(TRIM(H54),1)="赤","赤",IF(LEFT(TRIM(H54),1)="白","白",""))</f>
        <v/>
      </c>
      <c r="J54" s="21">
        <f>IF(AND(D54&lt;&gt;"",F54&lt;&gt;"",I54&lt;&gt;"",ISNUMBER(G54)),F54&amp;I54,"")</f>
        <v/>
      </c>
      <c r="K54" s="21">
        <f>IF(J54="","",COUNTIFS($J$2:$J$186,J54,$G$2:$G$186,"&lt;"&amp;G54)+COUNTIFS($J$2:$J$186,J54,$G$2:$G$186,G54,$A$2:$A$186,"&lt;"&amp;A54)+1)</f>
        <v/>
      </c>
      <c r="L54" s="21">
        <f>IF(J54="","",J54&amp;K54)</f>
        <v/>
      </c>
      <c r="M54" s="21">
        <f>B54&amp;"組"</f>
        <v/>
      </c>
      <c r="N54" s="21">
        <f>IF(AND(D54&lt;&gt;"",J54=""),1,0)</f>
        <v/>
      </c>
      <c r="AK54">
        <f>IF(J54="","",IF(J54="男赤",COUNTIF($Y$2:$Y$51,"&lt;"&amp;K54),IF(J54="男白",COUNTIF($Z$2:$Z$51,"&lt;"&amp;K54),IF(J54="女赤",COUNTIF($AH$2:$AH$51,"&lt;"&amp;K54),COUNTIF($AI$2:$AI$51,"&lt;"&amp;K54))))+1)</f>
        <v/>
      </c>
      <c r="AL54">
        <f>IF(AK54="","",IF(AK54=1,0,IF(J54="男赤",INDEX($Y$2:$Y$51,AK54-1),IF(J54="男白",INDEX($Z$2:$Z$51,AK54-1),IF(J54="女赤",INDEX($AH$2:$AH$51,AK54-1),INDEX($AI$2:$AI$51,AK54-1))))))</f>
        <v/>
      </c>
      <c r="AM54">
        <f>IF(AK54="","",IF(RIGHT(J54,1)="赤",K54-AL54,IF(LEFT(J54,1)="男",INDEX($W$2:$W$51,AK54),INDEX($AF$2:$AF$51,AK54))+K54-AL54))</f>
        <v/>
      </c>
      <c r="AN54">
        <f>IF(AK54="","",F54&amp;AK54&amp;"-"&amp;AM54)</f>
        <v/>
      </c>
      <c r="AO54">
        <f>IF(J54="","",F54&amp;D54)</f>
        <v/>
      </c>
      <c r="AP54">
        <f>IF(J54="","",IF(F54="男",COUNTIF(手直し!$B$6:$E$55,D54),COUNTIF(手直し!$F$6:$I$55,D54)))</f>
        <v/>
      </c>
      <c r="AQ54">
        <f>IF(AND(J54&lt;&gt;"",AP54=0),1,0)</f>
        <v/>
      </c>
      <c r="AR54">
        <f>IF(AND(AQ54=1,F54="男"),COUNTIFS($AQ$2:AQ54,1,$F$2:F54,"男"),"")</f>
        <v/>
      </c>
      <c r="AS54">
        <f>IF(AND(AQ54=1,F54="女"),COUNTIFS($AQ$2:AQ54,1,$F$2:F54,"女"),"")</f>
        <v/>
      </c>
    </row>
    <row r="55">
      <c r="A55" s="21">
        <f>ROW()-1</f>
        <v/>
      </c>
      <c r="B55" s="21">
        <f>INT((A55-1)/37)+1</f>
        <v/>
      </c>
      <c r="C55" s="21">
        <f>MOD(A55-1,37)+1</f>
        <v/>
      </c>
      <c r="D55" s="21">
        <f>INDEX(①データ入力!$B$3:$Y$39,C55,(B55-1)*5+1)&amp;""</f>
        <v/>
      </c>
      <c r="E55" s="21">
        <f>INDEX(①データ入力!$B$3:$Y$39,C55,(B55-1)*5+2)&amp;""</f>
        <v/>
      </c>
      <c r="F55" s="21">
        <f>IF(OR(E55="1",E55="１",E55="男"),"男",IF(OR(E55="2",E55="２",E55="女"),"女",""))</f>
        <v/>
      </c>
      <c r="G55" s="21">
        <f>INDEX(①データ入力!$B$3:$Y$39,C55,(B55-1)*5+3)</f>
        <v/>
      </c>
      <c r="H55" s="21">
        <f>INDEX(①データ入力!$B$3:$Y$39,C55,(B55-1)*5+4)&amp;""</f>
        <v/>
      </c>
      <c r="I55" s="21">
        <f>IF(LEFT(TRIM(H55),1)="赤","赤",IF(LEFT(TRIM(H55),1)="白","白",""))</f>
        <v/>
      </c>
      <c r="J55" s="21">
        <f>IF(AND(D55&lt;&gt;"",F55&lt;&gt;"",I55&lt;&gt;"",ISNUMBER(G55)),F55&amp;I55,"")</f>
        <v/>
      </c>
      <c r="K55" s="21">
        <f>IF(J55="","",COUNTIFS($J$2:$J$186,J55,$G$2:$G$186,"&lt;"&amp;G55)+COUNTIFS($J$2:$J$186,J55,$G$2:$G$186,G55,$A$2:$A$186,"&lt;"&amp;A55)+1)</f>
        <v/>
      </c>
      <c r="L55" s="21">
        <f>IF(J55="","",J55&amp;K55)</f>
        <v/>
      </c>
      <c r="M55" s="21">
        <f>B55&amp;"組"</f>
        <v/>
      </c>
      <c r="N55" s="21">
        <f>IF(AND(D55&lt;&gt;"",J55=""),1,0)</f>
        <v/>
      </c>
      <c r="AK55">
        <f>IF(J55="","",IF(J55="男赤",COUNTIF($Y$2:$Y$51,"&lt;"&amp;K55),IF(J55="男白",COUNTIF($Z$2:$Z$51,"&lt;"&amp;K55),IF(J55="女赤",COUNTIF($AH$2:$AH$51,"&lt;"&amp;K55),COUNTIF($AI$2:$AI$51,"&lt;"&amp;K55))))+1)</f>
        <v/>
      </c>
      <c r="AL55">
        <f>IF(AK55="","",IF(AK55=1,0,IF(J55="男赤",INDEX($Y$2:$Y$51,AK55-1),IF(J55="男白",INDEX($Z$2:$Z$51,AK55-1),IF(J55="女赤",INDEX($AH$2:$AH$51,AK55-1),INDEX($AI$2:$AI$51,AK55-1))))))</f>
        <v/>
      </c>
      <c r="AM55">
        <f>IF(AK55="","",IF(RIGHT(J55,1)="赤",K55-AL55,IF(LEFT(J55,1)="男",INDEX($W$2:$W$51,AK55),INDEX($AF$2:$AF$51,AK55))+K55-AL55))</f>
        <v/>
      </c>
      <c r="AN55">
        <f>IF(AK55="","",F55&amp;AK55&amp;"-"&amp;AM55)</f>
        <v/>
      </c>
      <c r="AO55">
        <f>IF(J55="","",F55&amp;D55)</f>
        <v/>
      </c>
      <c r="AP55">
        <f>IF(J55="","",IF(F55="男",COUNTIF(手直し!$B$6:$E$55,D55),COUNTIF(手直し!$F$6:$I$55,D55)))</f>
        <v/>
      </c>
      <c r="AQ55">
        <f>IF(AND(J55&lt;&gt;"",AP55=0),1,0)</f>
        <v/>
      </c>
      <c r="AR55">
        <f>IF(AND(AQ55=1,F55="男"),COUNTIFS($AQ$2:AQ55,1,$F$2:F55,"男"),"")</f>
        <v/>
      </c>
      <c r="AS55">
        <f>IF(AND(AQ55=1,F55="女"),COUNTIFS($AQ$2:AQ55,1,$F$2:F55,"女"),"")</f>
        <v/>
      </c>
    </row>
    <row r="56">
      <c r="A56" s="21">
        <f>ROW()-1</f>
        <v/>
      </c>
      <c r="B56" s="21">
        <f>INT((A56-1)/37)+1</f>
        <v/>
      </c>
      <c r="C56" s="21">
        <f>MOD(A56-1,37)+1</f>
        <v/>
      </c>
      <c r="D56" s="21">
        <f>INDEX(①データ入力!$B$3:$Y$39,C56,(B56-1)*5+1)&amp;""</f>
        <v/>
      </c>
      <c r="E56" s="21">
        <f>INDEX(①データ入力!$B$3:$Y$39,C56,(B56-1)*5+2)&amp;""</f>
        <v/>
      </c>
      <c r="F56" s="21">
        <f>IF(OR(E56="1",E56="１",E56="男"),"男",IF(OR(E56="2",E56="２",E56="女"),"女",""))</f>
        <v/>
      </c>
      <c r="G56" s="21">
        <f>INDEX(①データ入力!$B$3:$Y$39,C56,(B56-1)*5+3)</f>
        <v/>
      </c>
      <c r="H56" s="21">
        <f>INDEX(①データ入力!$B$3:$Y$39,C56,(B56-1)*5+4)&amp;""</f>
        <v/>
      </c>
      <c r="I56" s="21">
        <f>IF(LEFT(TRIM(H56),1)="赤","赤",IF(LEFT(TRIM(H56),1)="白","白",""))</f>
        <v/>
      </c>
      <c r="J56" s="21">
        <f>IF(AND(D56&lt;&gt;"",F56&lt;&gt;"",I56&lt;&gt;"",ISNUMBER(G56)),F56&amp;I56,"")</f>
        <v/>
      </c>
      <c r="K56" s="21">
        <f>IF(J56="","",COUNTIFS($J$2:$J$186,J56,$G$2:$G$186,"&lt;"&amp;G56)+COUNTIFS($J$2:$J$186,J56,$G$2:$G$186,G56,$A$2:$A$186,"&lt;"&amp;A56)+1)</f>
        <v/>
      </c>
      <c r="L56" s="21">
        <f>IF(J56="","",J56&amp;K56)</f>
        <v/>
      </c>
      <c r="M56" s="21">
        <f>B56&amp;"組"</f>
        <v/>
      </c>
      <c r="N56" s="21">
        <f>IF(AND(D56&lt;&gt;"",J56=""),1,0)</f>
        <v/>
      </c>
      <c r="AK56">
        <f>IF(J56="","",IF(J56="男赤",COUNTIF($Y$2:$Y$51,"&lt;"&amp;K56),IF(J56="男白",COUNTIF($Z$2:$Z$51,"&lt;"&amp;K56),IF(J56="女赤",COUNTIF($AH$2:$AH$51,"&lt;"&amp;K56),COUNTIF($AI$2:$AI$51,"&lt;"&amp;K56))))+1)</f>
        <v/>
      </c>
      <c r="AL56">
        <f>IF(AK56="","",IF(AK56=1,0,IF(J56="男赤",INDEX($Y$2:$Y$51,AK56-1),IF(J56="男白",INDEX($Z$2:$Z$51,AK56-1),IF(J56="女赤",INDEX($AH$2:$AH$51,AK56-1),INDEX($AI$2:$AI$51,AK56-1))))))</f>
        <v/>
      </c>
      <c r="AM56">
        <f>IF(AK56="","",IF(RIGHT(J56,1)="赤",K56-AL56,IF(LEFT(J56,1)="男",INDEX($W$2:$W$51,AK56),INDEX($AF$2:$AF$51,AK56))+K56-AL56))</f>
        <v/>
      </c>
      <c r="AN56">
        <f>IF(AK56="","",F56&amp;AK56&amp;"-"&amp;AM56)</f>
        <v/>
      </c>
      <c r="AO56">
        <f>IF(J56="","",F56&amp;D56)</f>
        <v/>
      </c>
      <c r="AP56">
        <f>IF(J56="","",IF(F56="男",COUNTIF(手直し!$B$6:$E$55,D56),COUNTIF(手直し!$F$6:$I$55,D56)))</f>
        <v/>
      </c>
      <c r="AQ56">
        <f>IF(AND(J56&lt;&gt;"",AP56=0),1,0)</f>
        <v/>
      </c>
      <c r="AR56">
        <f>IF(AND(AQ56=1,F56="男"),COUNTIFS($AQ$2:AQ56,1,$F$2:F56,"男"),"")</f>
        <v/>
      </c>
      <c r="AS56">
        <f>IF(AND(AQ56=1,F56="女"),COUNTIFS($AQ$2:AQ56,1,$F$2:F56,"女"),"")</f>
        <v/>
      </c>
    </row>
    <row r="57">
      <c r="A57" s="21">
        <f>ROW()-1</f>
        <v/>
      </c>
      <c r="B57" s="21">
        <f>INT((A57-1)/37)+1</f>
        <v/>
      </c>
      <c r="C57" s="21">
        <f>MOD(A57-1,37)+1</f>
        <v/>
      </c>
      <c r="D57" s="21">
        <f>INDEX(①データ入力!$B$3:$Y$39,C57,(B57-1)*5+1)&amp;""</f>
        <v/>
      </c>
      <c r="E57" s="21">
        <f>INDEX(①データ入力!$B$3:$Y$39,C57,(B57-1)*5+2)&amp;""</f>
        <v/>
      </c>
      <c r="F57" s="21">
        <f>IF(OR(E57="1",E57="１",E57="男"),"男",IF(OR(E57="2",E57="２",E57="女"),"女",""))</f>
        <v/>
      </c>
      <c r="G57" s="21">
        <f>INDEX(①データ入力!$B$3:$Y$39,C57,(B57-1)*5+3)</f>
        <v/>
      </c>
      <c r="H57" s="21">
        <f>INDEX(①データ入力!$B$3:$Y$39,C57,(B57-1)*5+4)&amp;""</f>
        <v/>
      </c>
      <c r="I57" s="21">
        <f>IF(LEFT(TRIM(H57),1)="赤","赤",IF(LEFT(TRIM(H57),1)="白","白",""))</f>
        <v/>
      </c>
      <c r="J57" s="21">
        <f>IF(AND(D57&lt;&gt;"",F57&lt;&gt;"",I57&lt;&gt;"",ISNUMBER(G57)),F57&amp;I57,"")</f>
        <v/>
      </c>
      <c r="K57" s="21">
        <f>IF(J57="","",COUNTIFS($J$2:$J$186,J57,$G$2:$G$186,"&lt;"&amp;G57)+COUNTIFS($J$2:$J$186,J57,$G$2:$G$186,G57,$A$2:$A$186,"&lt;"&amp;A57)+1)</f>
        <v/>
      </c>
      <c r="L57" s="21">
        <f>IF(J57="","",J57&amp;K57)</f>
        <v/>
      </c>
      <c r="M57" s="21">
        <f>B57&amp;"組"</f>
        <v/>
      </c>
      <c r="N57" s="21">
        <f>IF(AND(D57&lt;&gt;"",J57=""),1,0)</f>
        <v/>
      </c>
      <c r="AK57">
        <f>IF(J57="","",IF(J57="男赤",COUNTIF($Y$2:$Y$51,"&lt;"&amp;K57),IF(J57="男白",COUNTIF($Z$2:$Z$51,"&lt;"&amp;K57),IF(J57="女赤",COUNTIF($AH$2:$AH$51,"&lt;"&amp;K57),COUNTIF($AI$2:$AI$51,"&lt;"&amp;K57))))+1)</f>
        <v/>
      </c>
      <c r="AL57">
        <f>IF(AK57="","",IF(AK57=1,0,IF(J57="男赤",INDEX($Y$2:$Y$51,AK57-1),IF(J57="男白",INDEX($Z$2:$Z$51,AK57-1),IF(J57="女赤",INDEX($AH$2:$AH$51,AK57-1),INDEX($AI$2:$AI$51,AK57-1))))))</f>
        <v/>
      </c>
      <c r="AM57">
        <f>IF(AK57="","",IF(RIGHT(J57,1)="赤",K57-AL57,IF(LEFT(J57,1)="男",INDEX($W$2:$W$51,AK57),INDEX($AF$2:$AF$51,AK57))+K57-AL57))</f>
        <v/>
      </c>
      <c r="AN57">
        <f>IF(AK57="","",F57&amp;AK57&amp;"-"&amp;AM57)</f>
        <v/>
      </c>
      <c r="AO57">
        <f>IF(J57="","",F57&amp;D57)</f>
        <v/>
      </c>
      <c r="AP57">
        <f>IF(J57="","",IF(F57="男",COUNTIF(手直し!$B$6:$E$55,D57),COUNTIF(手直し!$F$6:$I$55,D57)))</f>
        <v/>
      </c>
      <c r="AQ57">
        <f>IF(AND(J57&lt;&gt;"",AP57=0),1,0)</f>
        <v/>
      </c>
      <c r="AR57">
        <f>IF(AND(AQ57=1,F57="男"),COUNTIFS($AQ$2:AQ57,1,$F$2:F57,"男"),"")</f>
        <v/>
      </c>
      <c r="AS57">
        <f>IF(AND(AQ57=1,F57="女"),COUNTIFS($AQ$2:AQ57,1,$F$2:F57,"女"),"")</f>
        <v/>
      </c>
    </row>
    <row r="58">
      <c r="A58" s="21">
        <f>ROW()-1</f>
        <v/>
      </c>
      <c r="B58" s="21">
        <f>INT((A58-1)/37)+1</f>
        <v/>
      </c>
      <c r="C58" s="21">
        <f>MOD(A58-1,37)+1</f>
        <v/>
      </c>
      <c r="D58" s="21">
        <f>INDEX(①データ入力!$B$3:$Y$39,C58,(B58-1)*5+1)&amp;""</f>
        <v/>
      </c>
      <c r="E58" s="21">
        <f>INDEX(①データ入力!$B$3:$Y$39,C58,(B58-1)*5+2)&amp;""</f>
        <v/>
      </c>
      <c r="F58" s="21">
        <f>IF(OR(E58="1",E58="１",E58="男"),"男",IF(OR(E58="2",E58="２",E58="女"),"女",""))</f>
        <v/>
      </c>
      <c r="G58" s="21">
        <f>INDEX(①データ入力!$B$3:$Y$39,C58,(B58-1)*5+3)</f>
        <v/>
      </c>
      <c r="H58" s="21">
        <f>INDEX(①データ入力!$B$3:$Y$39,C58,(B58-1)*5+4)&amp;""</f>
        <v/>
      </c>
      <c r="I58" s="21">
        <f>IF(LEFT(TRIM(H58),1)="赤","赤",IF(LEFT(TRIM(H58),1)="白","白",""))</f>
        <v/>
      </c>
      <c r="J58" s="21">
        <f>IF(AND(D58&lt;&gt;"",F58&lt;&gt;"",I58&lt;&gt;"",ISNUMBER(G58)),F58&amp;I58,"")</f>
        <v/>
      </c>
      <c r="K58" s="21">
        <f>IF(J58="","",COUNTIFS($J$2:$J$186,J58,$G$2:$G$186,"&lt;"&amp;G58)+COUNTIFS($J$2:$J$186,J58,$G$2:$G$186,G58,$A$2:$A$186,"&lt;"&amp;A58)+1)</f>
        <v/>
      </c>
      <c r="L58" s="21">
        <f>IF(J58="","",J58&amp;K58)</f>
        <v/>
      </c>
      <c r="M58" s="21">
        <f>B58&amp;"組"</f>
        <v/>
      </c>
      <c r="N58" s="21">
        <f>IF(AND(D58&lt;&gt;"",J58=""),1,0)</f>
        <v/>
      </c>
      <c r="AK58">
        <f>IF(J58="","",IF(J58="男赤",COUNTIF($Y$2:$Y$51,"&lt;"&amp;K58),IF(J58="男白",COUNTIF($Z$2:$Z$51,"&lt;"&amp;K58),IF(J58="女赤",COUNTIF($AH$2:$AH$51,"&lt;"&amp;K58),COUNTIF($AI$2:$AI$51,"&lt;"&amp;K58))))+1)</f>
        <v/>
      </c>
      <c r="AL58">
        <f>IF(AK58="","",IF(AK58=1,0,IF(J58="男赤",INDEX($Y$2:$Y$51,AK58-1),IF(J58="男白",INDEX($Z$2:$Z$51,AK58-1),IF(J58="女赤",INDEX($AH$2:$AH$51,AK58-1),INDEX($AI$2:$AI$51,AK58-1))))))</f>
        <v/>
      </c>
      <c r="AM58">
        <f>IF(AK58="","",IF(RIGHT(J58,1)="赤",K58-AL58,IF(LEFT(J58,1)="男",INDEX($W$2:$W$51,AK58),INDEX($AF$2:$AF$51,AK58))+K58-AL58))</f>
        <v/>
      </c>
      <c r="AN58">
        <f>IF(AK58="","",F58&amp;AK58&amp;"-"&amp;AM58)</f>
        <v/>
      </c>
      <c r="AO58">
        <f>IF(J58="","",F58&amp;D58)</f>
        <v/>
      </c>
      <c r="AP58">
        <f>IF(J58="","",IF(F58="男",COUNTIF(手直し!$B$6:$E$55,D58),COUNTIF(手直し!$F$6:$I$55,D58)))</f>
        <v/>
      </c>
      <c r="AQ58">
        <f>IF(AND(J58&lt;&gt;"",AP58=0),1,0)</f>
        <v/>
      </c>
      <c r="AR58">
        <f>IF(AND(AQ58=1,F58="男"),COUNTIFS($AQ$2:AQ58,1,$F$2:F58,"男"),"")</f>
        <v/>
      </c>
      <c r="AS58">
        <f>IF(AND(AQ58=1,F58="女"),COUNTIFS($AQ$2:AQ58,1,$F$2:F58,"女"),"")</f>
        <v/>
      </c>
    </row>
    <row r="59">
      <c r="A59" s="21">
        <f>ROW()-1</f>
        <v/>
      </c>
      <c r="B59" s="21">
        <f>INT((A59-1)/37)+1</f>
        <v/>
      </c>
      <c r="C59" s="21">
        <f>MOD(A59-1,37)+1</f>
        <v/>
      </c>
      <c r="D59" s="21">
        <f>INDEX(①データ入力!$B$3:$Y$39,C59,(B59-1)*5+1)&amp;""</f>
        <v/>
      </c>
      <c r="E59" s="21">
        <f>INDEX(①データ入力!$B$3:$Y$39,C59,(B59-1)*5+2)&amp;""</f>
        <v/>
      </c>
      <c r="F59" s="21">
        <f>IF(OR(E59="1",E59="１",E59="男"),"男",IF(OR(E59="2",E59="２",E59="女"),"女",""))</f>
        <v/>
      </c>
      <c r="G59" s="21">
        <f>INDEX(①データ入力!$B$3:$Y$39,C59,(B59-1)*5+3)</f>
        <v/>
      </c>
      <c r="H59" s="21">
        <f>INDEX(①データ入力!$B$3:$Y$39,C59,(B59-1)*5+4)&amp;""</f>
        <v/>
      </c>
      <c r="I59" s="21">
        <f>IF(LEFT(TRIM(H59),1)="赤","赤",IF(LEFT(TRIM(H59),1)="白","白",""))</f>
        <v/>
      </c>
      <c r="J59" s="21">
        <f>IF(AND(D59&lt;&gt;"",F59&lt;&gt;"",I59&lt;&gt;"",ISNUMBER(G59)),F59&amp;I59,"")</f>
        <v/>
      </c>
      <c r="K59" s="21">
        <f>IF(J59="","",COUNTIFS($J$2:$J$186,J59,$G$2:$G$186,"&lt;"&amp;G59)+COUNTIFS($J$2:$J$186,J59,$G$2:$G$186,G59,$A$2:$A$186,"&lt;"&amp;A59)+1)</f>
        <v/>
      </c>
      <c r="L59" s="21">
        <f>IF(J59="","",J59&amp;K59)</f>
        <v/>
      </c>
      <c r="M59" s="21">
        <f>B59&amp;"組"</f>
        <v/>
      </c>
      <c r="N59" s="21">
        <f>IF(AND(D59&lt;&gt;"",J59=""),1,0)</f>
        <v/>
      </c>
      <c r="AK59">
        <f>IF(J59="","",IF(J59="男赤",COUNTIF($Y$2:$Y$51,"&lt;"&amp;K59),IF(J59="男白",COUNTIF($Z$2:$Z$51,"&lt;"&amp;K59),IF(J59="女赤",COUNTIF($AH$2:$AH$51,"&lt;"&amp;K59),COUNTIF($AI$2:$AI$51,"&lt;"&amp;K59))))+1)</f>
        <v/>
      </c>
      <c r="AL59">
        <f>IF(AK59="","",IF(AK59=1,0,IF(J59="男赤",INDEX($Y$2:$Y$51,AK59-1),IF(J59="男白",INDEX($Z$2:$Z$51,AK59-1),IF(J59="女赤",INDEX($AH$2:$AH$51,AK59-1),INDEX($AI$2:$AI$51,AK59-1))))))</f>
        <v/>
      </c>
      <c r="AM59">
        <f>IF(AK59="","",IF(RIGHT(J59,1)="赤",K59-AL59,IF(LEFT(J59,1)="男",INDEX($W$2:$W$51,AK59),INDEX($AF$2:$AF$51,AK59))+K59-AL59))</f>
        <v/>
      </c>
      <c r="AN59">
        <f>IF(AK59="","",F59&amp;AK59&amp;"-"&amp;AM59)</f>
        <v/>
      </c>
      <c r="AO59">
        <f>IF(J59="","",F59&amp;D59)</f>
        <v/>
      </c>
      <c r="AP59">
        <f>IF(J59="","",IF(F59="男",COUNTIF(手直し!$B$6:$E$55,D59),COUNTIF(手直し!$F$6:$I$55,D59)))</f>
        <v/>
      </c>
      <c r="AQ59">
        <f>IF(AND(J59&lt;&gt;"",AP59=0),1,0)</f>
        <v/>
      </c>
      <c r="AR59">
        <f>IF(AND(AQ59=1,F59="男"),COUNTIFS($AQ$2:AQ59,1,$F$2:F59,"男"),"")</f>
        <v/>
      </c>
      <c r="AS59">
        <f>IF(AND(AQ59=1,F59="女"),COUNTIFS($AQ$2:AQ59,1,$F$2:F59,"女"),"")</f>
        <v/>
      </c>
    </row>
    <row r="60">
      <c r="A60" s="21">
        <f>ROW()-1</f>
        <v/>
      </c>
      <c r="B60" s="21">
        <f>INT((A60-1)/37)+1</f>
        <v/>
      </c>
      <c r="C60" s="21">
        <f>MOD(A60-1,37)+1</f>
        <v/>
      </c>
      <c r="D60" s="21">
        <f>INDEX(①データ入力!$B$3:$Y$39,C60,(B60-1)*5+1)&amp;""</f>
        <v/>
      </c>
      <c r="E60" s="21">
        <f>INDEX(①データ入力!$B$3:$Y$39,C60,(B60-1)*5+2)&amp;""</f>
        <v/>
      </c>
      <c r="F60" s="21">
        <f>IF(OR(E60="1",E60="１",E60="男"),"男",IF(OR(E60="2",E60="２",E60="女"),"女",""))</f>
        <v/>
      </c>
      <c r="G60" s="21">
        <f>INDEX(①データ入力!$B$3:$Y$39,C60,(B60-1)*5+3)</f>
        <v/>
      </c>
      <c r="H60" s="21">
        <f>INDEX(①データ入力!$B$3:$Y$39,C60,(B60-1)*5+4)&amp;""</f>
        <v/>
      </c>
      <c r="I60" s="21">
        <f>IF(LEFT(TRIM(H60),1)="赤","赤",IF(LEFT(TRIM(H60),1)="白","白",""))</f>
        <v/>
      </c>
      <c r="J60" s="21">
        <f>IF(AND(D60&lt;&gt;"",F60&lt;&gt;"",I60&lt;&gt;"",ISNUMBER(G60)),F60&amp;I60,"")</f>
        <v/>
      </c>
      <c r="K60" s="21">
        <f>IF(J60="","",COUNTIFS($J$2:$J$186,J60,$G$2:$G$186,"&lt;"&amp;G60)+COUNTIFS($J$2:$J$186,J60,$G$2:$G$186,G60,$A$2:$A$186,"&lt;"&amp;A60)+1)</f>
        <v/>
      </c>
      <c r="L60" s="21">
        <f>IF(J60="","",J60&amp;K60)</f>
        <v/>
      </c>
      <c r="M60" s="21">
        <f>B60&amp;"組"</f>
        <v/>
      </c>
      <c r="N60" s="21">
        <f>IF(AND(D60&lt;&gt;"",J60=""),1,0)</f>
        <v/>
      </c>
      <c r="AK60">
        <f>IF(J60="","",IF(J60="男赤",COUNTIF($Y$2:$Y$51,"&lt;"&amp;K60),IF(J60="男白",COUNTIF($Z$2:$Z$51,"&lt;"&amp;K60),IF(J60="女赤",COUNTIF($AH$2:$AH$51,"&lt;"&amp;K60),COUNTIF($AI$2:$AI$51,"&lt;"&amp;K60))))+1)</f>
        <v/>
      </c>
      <c r="AL60">
        <f>IF(AK60="","",IF(AK60=1,0,IF(J60="男赤",INDEX($Y$2:$Y$51,AK60-1),IF(J60="男白",INDEX($Z$2:$Z$51,AK60-1),IF(J60="女赤",INDEX($AH$2:$AH$51,AK60-1),INDEX($AI$2:$AI$51,AK60-1))))))</f>
        <v/>
      </c>
      <c r="AM60">
        <f>IF(AK60="","",IF(RIGHT(J60,1)="赤",K60-AL60,IF(LEFT(J60,1)="男",INDEX($W$2:$W$51,AK60),INDEX($AF$2:$AF$51,AK60))+K60-AL60))</f>
        <v/>
      </c>
      <c r="AN60">
        <f>IF(AK60="","",F60&amp;AK60&amp;"-"&amp;AM60)</f>
        <v/>
      </c>
      <c r="AO60">
        <f>IF(J60="","",F60&amp;D60)</f>
        <v/>
      </c>
      <c r="AP60">
        <f>IF(J60="","",IF(F60="男",COUNTIF(手直し!$B$6:$E$55,D60),COUNTIF(手直し!$F$6:$I$55,D60)))</f>
        <v/>
      </c>
      <c r="AQ60">
        <f>IF(AND(J60&lt;&gt;"",AP60=0),1,0)</f>
        <v/>
      </c>
      <c r="AR60">
        <f>IF(AND(AQ60=1,F60="男"),COUNTIFS($AQ$2:AQ60,1,$F$2:F60,"男"),"")</f>
        <v/>
      </c>
      <c r="AS60">
        <f>IF(AND(AQ60=1,F60="女"),COUNTIFS($AQ$2:AQ60,1,$F$2:F60,"女"),"")</f>
        <v/>
      </c>
    </row>
    <row r="61">
      <c r="A61" s="21">
        <f>ROW()-1</f>
        <v/>
      </c>
      <c r="B61" s="21">
        <f>INT((A61-1)/37)+1</f>
        <v/>
      </c>
      <c r="C61" s="21">
        <f>MOD(A61-1,37)+1</f>
        <v/>
      </c>
      <c r="D61" s="21">
        <f>INDEX(①データ入力!$B$3:$Y$39,C61,(B61-1)*5+1)&amp;""</f>
        <v/>
      </c>
      <c r="E61" s="21">
        <f>INDEX(①データ入力!$B$3:$Y$39,C61,(B61-1)*5+2)&amp;""</f>
        <v/>
      </c>
      <c r="F61" s="21">
        <f>IF(OR(E61="1",E61="１",E61="男"),"男",IF(OR(E61="2",E61="２",E61="女"),"女",""))</f>
        <v/>
      </c>
      <c r="G61" s="21">
        <f>INDEX(①データ入力!$B$3:$Y$39,C61,(B61-1)*5+3)</f>
        <v/>
      </c>
      <c r="H61" s="21">
        <f>INDEX(①データ入力!$B$3:$Y$39,C61,(B61-1)*5+4)&amp;""</f>
        <v/>
      </c>
      <c r="I61" s="21">
        <f>IF(LEFT(TRIM(H61),1)="赤","赤",IF(LEFT(TRIM(H61),1)="白","白",""))</f>
        <v/>
      </c>
      <c r="J61" s="21">
        <f>IF(AND(D61&lt;&gt;"",F61&lt;&gt;"",I61&lt;&gt;"",ISNUMBER(G61)),F61&amp;I61,"")</f>
        <v/>
      </c>
      <c r="K61" s="21">
        <f>IF(J61="","",COUNTIFS($J$2:$J$186,J61,$G$2:$G$186,"&lt;"&amp;G61)+COUNTIFS($J$2:$J$186,J61,$G$2:$G$186,G61,$A$2:$A$186,"&lt;"&amp;A61)+1)</f>
        <v/>
      </c>
      <c r="L61" s="21">
        <f>IF(J61="","",J61&amp;K61)</f>
        <v/>
      </c>
      <c r="M61" s="21">
        <f>B61&amp;"組"</f>
        <v/>
      </c>
      <c r="N61" s="21">
        <f>IF(AND(D61&lt;&gt;"",J61=""),1,0)</f>
        <v/>
      </c>
      <c r="AK61">
        <f>IF(J61="","",IF(J61="男赤",COUNTIF($Y$2:$Y$51,"&lt;"&amp;K61),IF(J61="男白",COUNTIF($Z$2:$Z$51,"&lt;"&amp;K61),IF(J61="女赤",COUNTIF($AH$2:$AH$51,"&lt;"&amp;K61),COUNTIF($AI$2:$AI$51,"&lt;"&amp;K61))))+1)</f>
        <v/>
      </c>
      <c r="AL61">
        <f>IF(AK61="","",IF(AK61=1,0,IF(J61="男赤",INDEX($Y$2:$Y$51,AK61-1),IF(J61="男白",INDEX($Z$2:$Z$51,AK61-1),IF(J61="女赤",INDEX($AH$2:$AH$51,AK61-1),INDEX($AI$2:$AI$51,AK61-1))))))</f>
        <v/>
      </c>
      <c r="AM61">
        <f>IF(AK61="","",IF(RIGHT(J61,1)="赤",K61-AL61,IF(LEFT(J61,1)="男",INDEX($W$2:$W$51,AK61),INDEX($AF$2:$AF$51,AK61))+K61-AL61))</f>
        <v/>
      </c>
      <c r="AN61">
        <f>IF(AK61="","",F61&amp;AK61&amp;"-"&amp;AM61)</f>
        <v/>
      </c>
      <c r="AO61">
        <f>IF(J61="","",F61&amp;D61)</f>
        <v/>
      </c>
      <c r="AP61">
        <f>IF(J61="","",IF(F61="男",COUNTIF(手直し!$B$6:$E$55,D61),COUNTIF(手直し!$F$6:$I$55,D61)))</f>
        <v/>
      </c>
      <c r="AQ61">
        <f>IF(AND(J61&lt;&gt;"",AP61=0),1,0)</f>
        <v/>
      </c>
      <c r="AR61">
        <f>IF(AND(AQ61=1,F61="男"),COUNTIFS($AQ$2:AQ61,1,$F$2:F61,"男"),"")</f>
        <v/>
      </c>
      <c r="AS61">
        <f>IF(AND(AQ61=1,F61="女"),COUNTIFS($AQ$2:AQ61,1,$F$2:F61,"女"),"")</f>
        <v/>
      </c>
    </row>
    <row r="62">
      <c r="A62" s="21">
        <f>ROW()-1</f>
        <v/>
      </c>
      <c r="B62" s="21">
        <f>INT((A62-1)/37)+1</f>
        <v/>
      </c>
      <c r="C62" s="21">
        <f>MOD(A62-1,37)+1</f>
        <v/>
      </c>
      <c r="D62" s="21">
        <f>INDEX(①データ入力!$B$3:$Y$39,C62,(B62-1)*5+1)&amp;""</f>
        <v/>
      </c>
      <c r="E62" s="21">
        <f>INDEX(①データ入力!$B$3:$Y$39,C62,(B62-1)*5+2)&amp;""</f>
        <v/>
      </c>
      <c r="F62" s="21">
        <f>IF(OR(E62="1",E62="１",E62="男"),"男",IF(OR(E62="2",E62="２",E62="女"),"女",""))</f>
        <v/>
      </c>
      <c r="G62" s="21">
        <f>INDEX(①データ入力!$B$3:$Y$39,C62,(B62-1)*5+3)</f>
        <v/>
      </c>
      <c r="H62" s="21">
        <f>INDEX(①データ入力!$B$3:$Y$39,C62,(B62-1)*5+4)&amp;""</f>
        <v/>
      </c>
      <c r="I62" s="21">
        <f>IF(LEFT(TRIM(H62),1)="赤","赤",IF(LEFT(TRIM(H62),1)="白","白",""))</f>
        <v/>
      </c>
      <c r="J62" s="21">
        <f>IF(AND(D62&lt;&gt;"",F62&lt;&gt;"",I62&lt;&gt;"",ISNUMBER(G62)),F62&amp;I62,"")</f>
        <v/>
      </c>
      <c r="K62" s="21">
        <f>IF(J62="","",COUNTIFS($J$2:$J$186,J62,$G$2:$G$186,"&lt;"&amp;G62)+COUNTIFS($J$2:$J$186,J62,$G$2:$G$186,G62,$A$2:$A$186,"&lt;"&amp;A62)+1)</f>
        <v/>
      </c>
      <c r="L62" s="21">
        <f>IF(J62="","",J62&amp;K62)</f>
        <v/>
      </c>
      <c r="M62" s="21">
        <f>B62&amp;"組"</f>
        <v/>
      </c>
      <c r="N62" s="21">
        <f>IF(AND(D62&lt;&gt;"",J62=""),1,0)</f>
        <v/>
      </c>
      <c r="AK62">
        <f>IF(J62="","",IF(J62="男赤",COUNTIF($Y$2:$Y$51,"&lt;"&amp;K62),IF(J62="男白",COUNTIF($Z$2:$Z$51,"&lt;"&amp;K62),IF(J62="女赤",COUNTIF($AH$2:$AH$51,"&lt;"&amp;K62),COUNTIF($AI$2:$AI$51,"&lt;"&amp;K62))))+1)</f>
        <v/>
      </c>
      <c r="AL62">
        <f>IF(AK62="","",IF(AK62=1,0,IF(J62="男赤",INDEX($Y$2:$Y$51,AK62-1),IF(J62="男白",INDEX($Z$2:$Z$51,AK62-1),IF(J62="女赤",INDEX($AH$2:$AH$51,AK62-1),INDEX($AI$2:$AI$51,AK62-1))))))</f>
        <v/>
      </c>
      <c r="AM62">
        <f>IF(AK62="","",IF(RIGHT(J62,1)="赤",K62-AL62,IF(LEFT(J62,1)="男",INDEX($W$2:$W$51,AK62),INDEX($AF$2:$AF$51,AK62))+K62-AL62))</f>
        <v/>
      </c>
      <c r="AN62">
        <f>IF(AK62="","",F62&amp;AK62&amp;"-"&amp;AM62)</f>
        <v/>
      </c>
      <c r="AO62">
        <f>IF(J62="","",F62&amp;D62)</f>
        <v/>
      </c>
      <c r="AP62">
        <f>IF(J62="","",IF(F62="男",COUNTIF(手直し!$B$6:$E$55,D62),COUNTIF(手直し!$F$6:$I$55,D62)))</f>
        <v/>
      </c>
      <c r="AQ62">
        <f>IF(AND(J62&lt;&gt;"",AP62=0),1,0)</f>
        <v/>
      </c>
      <c r="AR62">
        <f>IF(AND(AQ62=1,F62="男"),COUNTIFS($AQ$2:AQ62,1,$F$2:F62,"男"),"")</f>
        <v/>
      </c>
      <c r="AS62">
        <f>IF(AND(AQ62=1,F62="女"),COUNTIFS($AQ$2:AQ62,1,$F$2:F62,"女"),"")</f>
        <v/>
      </c>
    </row>
    <row r="63">
      <c r="A63" s="21">
        <f>ROW()-1</f>
        <v/>
      </c>
      <c r="B63" s="21">
        <f>INT((A63-1)/37)+1</f>
        <v/>
      </c>
      <c r="C63" s="21">
        <f>MOD(A63-1,37)+1</f>
        <v/>
      </c>
      <c r="D63" s="21">
        <f>INDEX(①データ入力!$B$3:$Y$39,C63,(B63-1)*5+1)&amp;""</f>
        <v/>
      </c>
      <c r="E63" s="21">
        <f>INDEX(①データ入力!$B$3:$Y$39,C63,(B63-1)*5+2)&amp;""</f>
        <v/>
      </c>
      <c r="F63" s="21">
        <f>IF(OR(E63="1",E63="１",E63="男"),"男",IF(OR(E63="2",E63="２",E63="女"),"女",""))</f>
        <v/>
      </c>
      <c r="G63" s="21">
        <f>INDEX(①データ入力!$B$3:$Y$39,C63,(B63-1)*5+3)</f>
        <v/>
      </c>
      <c r="H63" s="21">
        <f>INDEX(①データ入力!$B$3:$Y$39,C63,(B63-1)*5+4)&amp;""</f>
        <v/>
      </c>
      <c r="I63" s="21">
        <f>IF(LEFT(TRIM(H63),1)="赤","赤",IF(LEFT(TRIM(H63),1)="白","白",""))</f>
        <v/>
      </c>
      <c r="J63" s="21">
        <f>IF(AND(D63&lt;&gt;"",F63&lt;&gt;"",I63&lt;&gt;"",ISNUMBER(G63)),F63&amp;I63,"")</f>
        <v/>
      </c>
      <c r="K63" s="21">
        <f>IF(J63="","",COUNTIFS($J$2:$J$186,J63,$G$2:$G$186,"&lt;"&amp;G63)+COUNTIFS($J$2:$J$186,J63,$G$2:$G$186,G63,$A$2:$A$186,"&lt;"&amp;A63)+1)</f>
        <v/>
      </c>
      <c r="L63" s="21">
        <f>IF(J63="","",J63&amp;K63)</f>
        <v/>
      </c>
      <c r="M63" s="21">
        <f>B63&amp;"組"</f>
        <v/>
      </c>
      <c r="N63" s="21">
        <f>IF(AND(D63&lt;&gt;"",J63=""),1,0)</f>
        <v/>
      </c>
      <c r="AK63">
        <f>IF(J63="","",IF(J63="男赤",COUNTIF($Y$2:$Y$51,"&lt;"&amp;K63),IF(J63="男白",COUNTIF($Z$2:$Z$51,"&lt;"&amp;K63),IF(J63="女赤",COUNTIF($AH$2:$AH$51,"&lt;"&amp;K63),COUNTIF($AI$2:$AI$51,"&lt;"&amp;K63))))+1)</f>
        <v/>
      </c>
      <c r="AL63">
        <f>IF(AK63="","",IF(AK63=1,0,IF(J63="男赤",INDEX($Y$2:$Y$51,AK63-1),IF(J63="男白",INDEX($Z$2:$Z$51,AK63-1),IF(J63="女赤",INDEX($AH$2:$AH$51,AK63-1),INDEX($AI$2:$AI$51,AK63-1))))))</f>
        <v/>
      </c>
      <c r="AM63">
        <f>IF(AK63="","",IF(RIGHT(J63,1)="赤",K63-AL63,IF(LEFT(J63,1)="男",INDEX($W$2:$W$51,AK63),INDEX($AF$2:$AF$51,AK63))+K63-AL63))</f>
        <v/>
      </c>
      <c r="AN63">
        <f>IF(AK63="","",F63&amp;AK63&amp;"-"&amp;AM63)</f>
        <v/>
      </c>
      <c r="AO63">
        <f>IF(J63="","",F63&amp;D63)</f>
        <v/>
      </c>
      <c r="AP63">
        <f>IF(J63="","",IF(F63="男",COUNTIF(手直し!$B$6:$E$55,D63),COUNTIF(手直し!$F$6:$I$55,D63)))</f>
        <v/>
      </c>
      <c r="AQ63">
        <f>IF(AND(J63&lt;&gt;"",AP63=0),1,0)</f>
        <v/>
      </c>
      <c r="AR63">
        <f>IF(AND(AQ63=1,F63="男"),COUNTIFS($AQ$2:AQ63,1,$F$2:F63,"男"),"")</f>
        <v/>
      </c>
      <c r="AS63">
        <f>IF(AND(AQ63=1,F63="女"),COUNTIFS($AQ$2:AQ63,1,$F$2:F63,"女"),"")</f>
        <v/>
      </c>
    </row>
    <row r="64">
      <c r="A64" s="21">
        <f>ROW()-1</f>
        <v/>
      </c>
      <c r="B64" s="21">
        <f>INT((A64-1)/37)+1</f>
        <v/>
      </c>
      <c r="C64" s="21">
        <f>MOD(A64-1,37)+1</f>
        <v/>
      </c>
      <c r="D64" s="21">
        <f>INDEX(①データ入力!$B$3:$Y$39,C64,(B64-1)*5+1)&amp;""</f>
        <v/>
      </c>
      <c r="E64" s="21">
        <f>INDEX(①データ入力!$B$3:$Y$39,C64,(B64-1)*5+2)&amp;""</f>
        <v/>
      </c>
      <c r="F64" s="21">
        <f>IF(OR(E64="1",E64="１",E64="男"),"男",IF(OR(E64="2",E64="２",E64="女"),"女",""))</f>
        <v/>
      </c>
      <c r="G64" s="21">
        <f>INDEX(①データ入力!$B$3:$Y$39,C64,(B64-1)*5+3)</f>
        <v/>
      </c>
      <c r="H64" s="21">
        <f>INDEX(①データ入力!$B$3:$Y$39,C64,(B64-1)*5+4)&amp;""</f>
        <v/>
      </c>
      <c r="I64" s="21">
        <f>IF(LEFT(TRIM(H64),1)="赤","赤",IF(LEFT(TRIM(H64),1)="白","白",""))</f>
        <v/>
      </c>
      <c r="J64" s="21">
        <f>IF(AND(D64&lt;&gt;"",F64&lt;&gt;"",I64&lt;&gt;"",ISNUMBER(G64)),F64&amp;I64,"")</f>
        <v/>
      </c>
      <c r="K64" s="21">
        <f>IF(J64="","",COUNTIFS($J$2:$J$186,J64,$G$2:$G$186,"&lt;"&amp;G64)+COUNTIFS($J$2:$J$186,J64,$G$2:$G$186,G64,$A$2:$A$186,"&lt;"&amp;A64)+1)</f>
        <v/>
      </c>
      <c r="L64" s="21">
        <f>IF(J64="","",J64&amp;K64)</f>
        <v/>
      </c>
      <c r="M64" s="21">
        <f>B64&amp;"組"</f>
        <v/>
      </c>
      <c r="N64" s="21">
        <f>IF(AND(D64&lt;&gt;"",J64=""),1,0)</f>
        <v/>
      </c>
      <c r="AK64">
        <f>IF(J64="","",IF(J64="男赤",COUNTIF($Y$2:$Y$51,"&lt;"&amp;K64),IF(J64="男白",COUNTIF($Z$2:$Z$51,"&lt;"&amp;K64),IF(J64="女赤",COUNTIF($AH$2:$AH$51,"&lt;"&amp;K64),COUNTIF($AI$2:$AI$51,"&lt;"&amp;K64))))+1)</f>
        <v/>
      </c>
      <c r="AL64">
        <f>IF(AK64="","",IF(AK64=1,0,IF(J64="男赤",INDEX($Y$2:$Y$51,AK64-1),IF(J64="男白",INDEX($Z$2:$Z$51,AK64-1),IF(J64="女赤",INDEX($AH$2:$AH$51,AK64-1),INDEX($AI$2:$AI$51,AK64-1))))))</f>
        <v/>
      </c>
      <c r="AM64">
        <f>IF(AK64="","",IF(RIGHT(J64,1)="赤",K64-AL64,IF(LEFT(J64,1)="男",INDEX($W$2:$W$51,AK64),INDEX($AF$2:$AF$51,AK64))+K64-AL64))</f>
        <v/>
      </c>
      <c r="AN64">
        <f>IF(AK64="","",F64&amp;AK64&amp;"-"&amp;AM64)</f>
        <v/>
      </c>
      <c r="AO64">
        <f>IF(J64="","",F64&amp;D64)</f>
        <v/>
      </c>
      <c r="AP64">
        <f>IF(J64="","",IF(F64="男",COUNTIF(手直し!$B$6:$E$55,D64),COUNTIF(手直し!$F$6:$I$55,D64)))</f>
        <v/>
      </c>
      <c r="AQ64">
        <f>IF(AND(J64&lt;&gt;"",AP64=0),1,0)</f>
        <v/>
      </c>
      <c r="AR64">
        <f>IF(AND(AQ64=1,F64="男"),COUNTIFS($AQ$2:AQ64,1,$F$2:F64,"男"),"")</f>
        <v/>
      </c>
      <c r="AS64">
        <f>IF(AND(AQ64=1,F64="女"),COUNTIFS($AQ$2:AQ64,1,$F$2:F64,"女"),"")</f>
        <v/>
      </c>
    </row>
    <row r="65">
      <c r="A65" s="21">
        <f>ROW()-1</f>
        <v/>
      </c>
      <c r="B65" s="21">
        <f>INT((A65-1)/37)+1</f>
        <v/>
      </c>
      <c r="C65" s="21">
        <f>MOD(A65-1,37)+1</f>
        <v/>
      </c>
      <c r="D65" s="21">
        <f>INDEX(①データ入力!$B$3:$Y$39,C65,(B65-1)*5+1)&amp;""</f>
        <v/>
      </c>
      <c r="E65" s="21">
        <f>INDEX(①データ入力!$B$3:$Y$39,C65,(B65-1)*5+2)&amp;""</f>
        <v/>
      </c>
      <c r="F65" s="21">
        <f>IF(OR(E65="1",E65="１",E65="男"),"男",IF(OR(E65="2",E65="２",E65="女"),"女",""))</f>
        <v/>
      </c>
      <c r="G65" s="21">
        <f>INDEX(①データ入力!$B$3:$Y$39,C65,(B65-1)*5+3)</f>
        <v/>
      </c>
      <c r="H65" s="21">
        <f>INDEX(①データ入力!$B$3:$Y$39,C65,(B65-1)*5+4)&amp;""</f>
        <v/>
      </c>
      <c r="I65" s="21">
        <f>IF(LEFT(TRIM(H65),1)="赤","赤",IF(LEFT(TRIM(H65),1)="白","白",""))</f>
        <v/>
      </c>
      <c r="J65" s="21">
        <f>IF(AND(D65&lt;&gt;"",F65&lt;&gt;"",I65&lt;&gt;"",ISNUMBER(G65)),F65&amp;I65,"")</f>
        <v/>
      </c>
      <c r="K65" s="21">
        <f>IF(J65="","",COUNTIFS($J$2:$J$186,J65,$G$2:$G$186,"&lt;"&amp;G65)+COUNTIFS($J$2:$J$186,J65,$G$2:$G$186,G65,$A$2:$A$186,"&lt;"&amp;A65)+1)</f>
        <v/>
      </c>
      <c r="L65" s="21">
        <f>IF(J65="","",J65&amp;K65)</f>
        <v/>
      </c>
      <c r="M65" s="21">
        <f>B65&amp;"組"</f>
        <v/>
      </c>
      <c r="N65" s="21">
        <f>IF(AND(D65&lt;&gt;"",J65=""),1,0)</f>
        <v/>
      </c>
      <c r="AK65">
        <f>IF(J65="","",IF(J65="男赤",COUNTIF($Y$2:$Y$51,"&lt;"&amp;K65),IF(J65="男白",COUNTIF($Z$2:$Z$51,"&lt;"&amp;K65),IF(J65="女赤",COUNTIF($AH$2:$AH$51,"&lt;"&amp;K65),COUNTIF($AI$2:$AI$51,"&lt;"&amp;K65))))+1)</f>
        <v/>
      </c>
      <c r="AL65">
        <f>IF(AK65="","",IF(AK65=1,0,IF(J65="男赤",INDEX($Y$2:$Y$51,AK65-1),IF(J65="男白",INDEX($Z$2:$Z$51,AK65-1),IF(J65="女赤",INDEX($AH$2:$AH$51,AK65-1),INDEX($AI$2:$AI$51,AK65-1))))))</f>
        <v/>
      </c>
      <c r="AM65">
        <f>IF(AK65="","",IF(RIGHT(J65,1)="赤",K65-AL65,IF(LEFT(J65,1)="男",INDEX($W$2:$W$51,AK65),INDEX($AF$2:$AF$51,AK65))+K65-AL65))</f>
        <v/>
      </c>
      <c r="AN65">
        <f>IF(AK65="","",F65&amp;AK65&amp;"-"&amp;AM65)</f>
        <v/>
      </c>
      <c r="AO65">
        <f>IF(J65="","",F65&amp;D65)</f>
        <v/>
      </c>
      <c r="AP65">
        <f>IF(J65="","",IF(F65="男",COUNTIF(手直し!$B$6:$E$55,D65),COUNTIF(手直し!$F$6:$I$55,D65)))</f>
        <v/>
      </c>
      <c r="AQ65">
        <f>IF(AND(J65&lt;&gt;"",AP65=0),1,0)</f>
        <v/>
      </c>
      <c r="AR65">
        <f>IF(AND(AQ65=1,F65="男"),COUNTIFS($AQ$2:AQ65,1,$F$2:F65,"男"),"")</f>
        <v/>
      </c>
      <c r="AS65">
        <f>IF(AND(AQ65=1,F65="女"),COUNTIFS($AQ$2:AQ65,1,$F$2:F65,"女"),"")</f>
        <v/>
      </c>
    </row>
    <row r="66">
      <c r="A66" s="21">
        <f>ROW()-1</f>
        <v/>
      </c>
      <c r="B66" s="21">
        <f>INT((A66-1)/37)+1</f>
        <v/>
      </c>
      <c r="C66" s="21">
        <f>MOD(A66-1,37)+1</f>
        <v/>
      </c>
      <c r="D66" s="21">
        <f>INDEX(①データ入力!$B$3:$Y$39,C66,(B66-1)*5+1)&amp;""</f>
        <v/>
      </c>
      <c r="E66" s="21">
        <f>INDEX(①データ入力!$B$3:$Y$39,C66,(B66-1)*5+2)&amp;""</f>
        <v/>
      </c>
      <c r="F66" s="21">
        <f>IF(OR(E66="1",E66="１",E66="男"),"男",IF(OR(E66="2",E66="２",E66="女"),"女",""))</f>
        <v/>
      </c>
      <c r="G66" s="21">
        <f>INDEX(①データ入力!$B$3:$Y$39,C66,(B66-1)*5+3)</f>
        <v/>
      </c>
      <c r="H66" s="21">
        <f>INDEX(①データ入力!$B$3:$Y$39,C66,(B66-1)*5+4)&amp;""</f>
        <v/>
      </c>
      <c r="I66" s="21">
        <f>IF(LEFT(TRIM(H66),1)="赤","赤",IF(LEFT(TRIM(H66),1)="白","白",""))</f>
        <v/>
      </c>
      <c r="J66" s="21">
        <f>IF(AND(D66&lt;&gt;"",F66&lt;&gt;"",I66&lt;&gt;"",ISNUMBER(G66)),F66&amp;I66,"")</f>
        <v/>
      </c>
      <c r="K66" s="21">
        <f>IF(J66="","",COUNTIFS($J$2:$J$186,J66,$G$2:$G$186,"&lt;"&amp;G66)+COUNTIFS($J$2:$J$186,J66,$G$2:$G$186,G66,$A$2:$A$186,"&lt;"&amp;A66)+1)</f>
        <v/>
      </c>
      <c r="L66" s="21">
        <f>IF(J66="","",J66&amp;K66)</f>
        <v/>
      </c>
      <c r="M66" s="21">
        <f>B66&amp;"組"</f>
        <v/>
      </c>
      <c r="N66" s="21">
        <f>IF(AND(D66&lt;&gt;"",J66=""),1,0)</f>
        <v/>
      </c>
      <c r="AK66">
        <f>IF(J66="","",IF(J66="男赤",COUNTIF($Y$2:$Y$51,"&lt;"&amp;K66),IF(J66="男白",COUNTIF($Z$2:$Z$51,"&lt;"&amp;K66),IF(J66="女赤",COUNTIF($AH$2:$AH$51,"&lt;"&amp;K66),COUNTIF($AI$2:$AI$51,"&lt;"&amp;K66))))+1)</f>
        <v/>
      </c>
      <c r="AL66">
        <f>IF(AK66="","",IF(AK66=1,0,IF(J66="男赤",INDEX($Y$2:$Y$51,AK66-1),IF(J66="男白",INDEX($Z$2:$Z$51,AK66-1),IF(J66="女赤",INDEX($AH$2:$AH$51,AK66-1),INDEX($AI$2:$AI$51,AK66-1))))))</f>
        <v/>
      </c>
      <c r="AM66">
        <f>IF(AK66="","",IF(RIGHT(J66,1)="赤",K66-AL66,IF(LEFT(J66,1)="男",INDEX($W$2:$W$51,AK66),INDEX($AF$2:$AF$51,AK66))+K66-AL66))</f>
        <v/>
      </c>
      <c r="AN66">
        <f>IF(AK66="","",F66&amp;AK66&amp;"-"&amp;AM66)</f>
        <v/>
      </c>
      <c r="AO66">
        <f>IF(J66="","",F66&amp;D66)</f>
        <v/>
      </c>
      <c r="AP66">
        <f>IF(J66="","",IF(F66="男",COUNTIF(手直し!$B$6:$E$55,D66),COUNTIF(手直し!$F$6:$I$55,D66)))</f>
        <v/>
      </c>
      <c r="AQ66">
        <f>IF(AND(J66&lt;&gt;"",AP66=0),1,0)</f>
        <v/>
      </c>
      <c r="AR66">
        <f>IF(AND(AQ66=1,F66="男"),COUNTIFS($AQ$2:AQ66,1,$F$2:F66,"男"),"")</f>
        <v/>
      </c>
      <c r="AS66">
        <f>IF(AND(AQ66=1,F66="女"),COUNTIFS($AQ$2:AQ66,1,$F$2:F66,"女"),"")</f>
        <v/>
      </c>
    </row>
    <row r="67">
      <c r="A67" s="21">
        <f>ROW()-1</f>
        <v/>
      </c>
      <c r="B67" s="21">
        <f>INT((A67-1)/37)+1</f>
        <v/>
      </c>
      <c r="C67" s="21">
        <f>MOD(A67-1,37)+1</f>
        <v/>
      </c>
      <c r="D67" s="21">
        <f>INDEX(①データ入力!$B$3:$Y$39,C67,(B67-1)*5+1)&amp;""</f>
        <v/>
      </c>
      <c r="E67" s="21">
        <f>INDEX(①データ入力!$B$3:$Y$39,C67,(B67-1)*5+2)&amp;""</f>
        <v/>
      </c>
      <c r="F67" s="21">
        <f>IF(OR(E67="1",E67="１",E67="男"),"男",IF(OR(E67="2",E67="２",E67="女"),"女",""))</f>
        <v/>
      </c>
      <c r="G67" s="21">
        <f>INDEX(①データ入力!$B$3:$Y$39,C67,(B67-1)*5+3)</f>
        <v/>
      </c>
      <c r="H67" s="21">
        <f>INDEX(①データ入力!$B$3:$Y$39,C67,(B67-1)*5+4)&amp;""</f>
        <v/>
      </c>
      <c r="I67" s="21">
        <f>IF(LEFT(TRIM(H67),1)="赤","赤",IF(LEFT(TRIM(H67),1)="白","白",""))</f>
        <v/>
      </c>
      <c r="J67" s="21">
        <f>IF(AND(D67&lt;&gt;"",F67&lt;&gt;"",I67&lt;&gt;"",ISNUMBER(G67)),F67&amp;I67,"")</f>
        <v/>
      </c>
      <c r="K67" s="21">
        <f>IF(J67="","",COUNTIFS($J$2:$J$186,J67,$G$2:$G$186,"&lt;"&amp;G67)+COUNTIFS($J$2:$J$186,J67,$G$2:$G$186,G67,$A$2:$A$186,"&lt;"&amp;A67)+1)</f>
        <v/>
      </c>
      <c r="L67" s="21">
        <f>IF(J67="","",J67&amp;K67)</f>
        <v/>
      </c>
      <c r="M67" s="21">
        <f>B67&amp;"組"</f>
        <v/>
      </c>
      <c r="N67" s="21">
        <f>IF(AND(D67&lt;&gt;"",J67=""),1,0)</f>
        <v/>
      </c>
      <c r="AK67">
        <f>IF(J67="","",IF(J67="男赤",COUNTIF($Y$2:$Y$51,"&lt;"&amp;K67),IF(J67="男白",COUNTIF($Z$2:$Z$51,"&lt;"&amp;K67),IF(J67="女赤",COUNTIF($AH$2:$AH$51,"&lt;"&amp;K67),COUNTIF($AI$2:$AI$51,"&lt;"&amp;K67))))+1)</f>
        <v/>
      </c>
      <c r="AL67">
        <f>IF(AK67="","",IF(AK67=1,0,IF(J67="男赤",INDEX($Y$2:$Y$51,AK67-1),IF(J67="男白",INDEX($Z$2:$Z$51,AK67-1),IF(J67="女赤",INDEX($AH$2:$AH$51,AK67-1),INDEX($AI$2:$AI$51,AK67-1))))))</f>
        <v/>
      </c>
      <c r="AM67">
        <f>IF(AK67="","",IF(RIGHT(J67,1)="赤",K67-AL67,IF(LEFT(J67,1)="男",INDEX($W$2:$W$51,AK67),INDEX($AF$2:$AF$51,AK67))+K67-AL67))</f>
        <v/>
      </c>
      <c r="AN67">
        <f>IF(AK67="","",F67&amp;AK67&amp;"-"&amp;AM67)</f>
        <v/>
      </c>
      <c r="AO67">
        <f>IF(J67="","",F67&amp;D67)</f>
        <v/>
      </c>
      <c r="AP67">
        <f>IF(J67="","",IF(F67="男",COUNTIF(手直し!$B$6:$E$55,D67),COUNTIF(手直し!$F$6:$I$55,D67)))</f>
        <v/>
      </c>
      <c r="AQ67">
        <f>IF(AND(J67&lt;&gt;"",AP67=0),1,0)</f>
        <v/>
      </c>
      <c r="AR67">
        <f>IF(AND(AQ67=1,F67="男"),COUNTIFS($AQ$2:AQ67,1,$F$2:F67,"男"),"")</f>
        <v/>
      </c>
      <c r="AS67">
        <f>IF(AND(AQ67=1,F67="女"),COUNTIFS($AQ$2:AQ67,1,$F$2:F67,"女"),"")</f>
        <v/>
      </c>
    </row>
    <row r="68">
      <c r="A68" s="21">
        <f>ROW()-1</f>
        <v/>
      </c>
      <c r="B68" s="21">
        <f>INT((A68-1)/37)+1</f>
        <v/>
      </c>
      <c r="C68" s="21">
        <f>MOD(A68-1,37)+1</f>
        <v/>
      </c>
      <c r="D68" s="21">
        <f>INDEX(①データ入力!$B$3:$Y$39,C68,(B68-1)*5+1)&amp;""</f>
        <v/>
      </c>
      <c r="E68" s="21">
        <f>INDEX(①データ入力!$B$3:$Y$39,C68,(B68-1)*5+2)&amp;""</f>
        <v/>
      </c>
      <c r="F68" s="21">
        <f>IF(OR(E68="1",E68="１",E68="男"),"男",IF(OR(E68="2",E68="２",E68="女"),"女",""))</f>
        <v/>
      </c>
      <c r="G68" s="21">
        <f>INDEX(①データ入力!$B$3:$Y$39,C68,(B68-1)*5+3)</f>
        <v/>
      </c>
      <c r="H68" s="21">
        <f>INDEX(①データ入力!$B$3:$Y$39,C68,(B68-1)*5+4)&amp;""</f>
        <v/>
      </c>
      <c r="I68" s="21">
        <f>IF(LEFT(TRIM(H68),1)="赤","赤",IF(LEFT(TRIM(H68),1)="白","白",""))</f>
        <v/>
      </c>
      <c r="J68" s="21">
        <f>IF(AND(D68&lt;&gt;"",F68&lt;&gt;"",I68&lt;&gt;"",ISNUMBER(G68)),F68&amp;I68,"")</f>
        <v/>
      </c>
      <c r="K68" s="21">
        <f>IF(J68="","",COUNTIFS($J$2:$J$186,J68,$G$2:$G$186,"&lt;"&amp;G68)+COUNTIFS($J$2:$J$186,J68,$G$2:$G$186,G68,$A$2:$A$186,"&lt;"&amp;A68)+1)</f>
        <v/>
      </c>
      <c r="L68" s="21">
        <f>IF(J68="","",J68&amp;K68)</f>
        <v/>
      </c>
      <c r="M68" s="21">
        <f>B68&amp;"組"</f>
        <v/>
      </c>
      <c r="N68" s="21">
        <f>IF(AND(D68&lt;&gt;"",J68=""),1,0)</f>
        <v/>
      </c>
      <c r="AK68">
        <f>IF(J68="","",IF(J68="男赤",COUNTIF($Y$2:$Y$51,"&lt;"&amp;K68),IF(J68="男白",COUNTIF($Z$2:$Z$51,"&lt;"&amp;K68),IF(J68="女赤",COUNTIF($AH$2:$AH$51,"&lt;"&amp;K68),COUNTIF($AI$2:$AI$51,"&lt;"&amp;K68))))+1)</f>
        <v/>
      </c>
      <c r="AL68">
        <f>IF(AK68="","",IF(AK68=1,0,IF(J68="男赤",INDEX($Y$2:$Y$51,AK68-1),IF(J68="男白",INDEX($Z$2:$Z$51,AK68-1),IF(J68="女赤",INDEX($AH$2:$AH$51,AK68-1),INDEX($AI$2:$AI$51,AK68-1))))))</f>
        <v/>
      </c>
      <c r="AM68">
        <f>IF(AK68="","",IF(RIGHT(J68,1)="赤",K68-AL68,IF(LEFT(J68,1)="男",INDEX($W$2:$W$51,AK68),INDEX($AF$2:$AF$51,AK68))+K68-AL68))</f>
        <v/>
      </c>
      <c r="AN68">
        <f>IF(AK68="","",F68&amp;AK68&amp;"-"&amp;AM68)</f>
        <v/>
      </c>
      <c r="AO68">
        <f>IF(J68="","",F68&amp;D68)</f>
        <v/>
      </c>
      <c r="AP68">
        <f>IF(J68="","",IF(F68="男",COUNTIF(手直し!$B$6:$E$55,D68),COUNTIF(手直し!$F$6:$I$55,D68)))</f>
        <v/>
      </c>
      <c r="AQ68">
        <f>IF(AND(J68&lt;&gt;"",AP68=0),1,0)</f>
        <v/>
      </c>
      <c r="AR68">
        <f>IF(AND(AQ68=1,F68="男"),COUNTIFS($AQ$2:AQ68,1,$F$2:F68,"男"),"")</f>
        <v/>
      </c>
      <c r="AS68">
        <f>IF(AND(AQ68=1,F68="女"),COUNTIFS($AQ$2:AQ68,1,$F$2:F68,"女"),"")</f>
        <v/>
      </c>
    </row>
    <row r="69">
      <c r="A69" s="21">
        <f>ROW()-1</f>
        <v/>
      </c>
      <c r="B69" s="21">
        <f>INT((A69-1)/37)+1</f>
        <v/>
      </c>
      <c r="C69" s="21">
        <f>MOD(A69-1,37)+1</f>
        <v/>
      </c>
      <c r="D69" s="21">
        <f>INDEX(①データ入力!$B$3:$Y$39,C69,(B69-1)*5+1)&amp;""</f>
        <v/>
      </c>
      <c r="E69" s="21">
        <f>INDEX(①データ入力!$B$3:$Y$39,C69,(B69-1)*5+2)&amp;""</f>
        <v/>
      </c>
      <c r="F69" s="21">
        <f>IF(OR(E69="1",E69="１",E69="男"),"男",IF(OR(E69="2",E69="２",E69="女"),"女",""))</f>
        <v/>
      </c>
      <c r="G69" s="21">
        <f>INDEX(①データ入力!$B$3:$Y$39,C69,(B69-1)*5+3)</f>
        <v/>
      </c>
      <c r="H69" s="21">
        <f>INDEX(①データ入力!$B$3:$Y$39,C69,(B69-1)*5+4)&amp;""</f>
        <v/>
      </c>
      <c r="I69" s="21">
        <f>IF(LEFT(TRIM(H69),1)="赤","赤",IF(LEFT(TRIM(H69),1)="白","白",""))</f>
        <v/>
      </c>
      <c r="J69" s="21">
        <f>IF(AND(D69&lt;&gt;"",F69&lt;&gt;"",I69&lt;&gt;"",ISNUMBER(G69)),F69&amp;I69,"")</f>
        <v/>
      </c>
      <c r="K69" s="21">
        <f>IF(J69="","",COUNTIFS($J$2:$J$186,J69,$G$2:$G$186,"&lt;"&amp;G69)+COUNTIFS($J$2:$J$186,J69,$G$2:$G$186,G69,$A$2:$A$186,"&lt;"&amp;A69)+1)</f>
        <v/>
      </c>
      <c r="L69" s="21">
        <f>IF(J69="","",J69&amp;K69)</f>
        <v/>
      </c>
      <c r="M69" s="21">
        <f>B69&amp;"組"</f>
        <v/>
      </c>
      <c r="N69" s="21">
        <f>IF(AND(D69&lt;&gt;"",J69=""),1,0)</f>
        <v/>
      </c>
      <c r="AK69">
        <f>IF(J69="","",IF(J69="男赤",COUNTIF($Y$2:$Y$51,"&lt;"&amp;K69),IF(J69="男白",COUNTIF($Z$2:$Z$51,"&lt;"&amp;K69),IF(J69="女赤",COUNTIF($AH$2:$AH$51,"&lt;"&amp;K69),COUNTIF($AI$2:$AI$51,"&lt;"&amp;K69))))+1)</f>
        <v/>
      </c>
      <c r="AL69">
        <f>IF(AK69="","",IF(AK69=1,0,IF(J69="男赤",INDEX($Y$2:$Y$51,AK69-1),IF(J69="男白",INDEX($Z$2:$Z$51,AK69-1),IF(J69="女赤",INDEX($AH$2:$AH$51,AK69-1),INDEX($AI$2:$AI$51,AK69-1))))))</f>
        <v/>
      </c>
      <c r="AM69">
        <f>IF(AK69="","",IF(RIGHT(J69,1)="赤",K69-AL69,IF(LEFT(J69,1)="男",INDEX($W$2:$W$51,AK69),INDEX($AF$2:$AF$51,AK69))+K69-AL69))</f>
        <v/>
      </c>
      <c r="AN69">
        <f>IF(AK69="","",F69&amp;AK69&amp;"-"&amp;AM69)</f>
        <v/>
      </c>
      <c r="AO69">
        <f>IF(J69="","",F69&amp;D69)</f>
        <v/>
      </c>
      <c r="AP69">
        <f>IF(J69="","",IF(F69="男",COUNTIF(手直し!$B$6:$E$55,D69),COUNTIF(手直し!$F$6:$I$55,D69)))</f>
        <v/>
      </c>
      <c r="AQ69">
        <f>IF(AND(J69&lt;&gt;"",AP69=0),1,0)</f>
        <v/>
      </c>
      <c r="AR69">
        <f>IF(AND(AQ69=1,F69="男"),COUNTIFS($AQ$2:AQ69,1,$F$2:F69,"男"),"")</f>
        <v/>
      </c>
      <c r="AS69">
        <f>IF(AND(AQ69=1,F69="女"),COUNTIFS($AQ$2:AQ69,1,$F$2:F69,"女"),"")</f>
        <v/>
      </c>
    </row>
    <row r="70">
      <c r="A70" s="21">
        <f>ROW()-1</f>
        <v/>
      </c>
      <c r="B70" s="21">
        <f>INT((A70-1)/37)+1</f>
        <v/>
      </c>
      <c r="C70" s="21">
        <f>MOD(A70-1,37)+1</f>
        <v/>
      </c>
      <c r="D70" s="21">
        <f>INDEX(①データ入力!$B$3:$Y$39,C70,(B70-1)*5+1)&amp;""</f>
        <v/>
      </c>
      <c r="E70" s="21">
        <f>INDEX(①データ入力!$B$3:$Y$39,C70,(B70-1)*5+2)&amp;""</f>
        <v/>
      </c>
      <c r="F70" s="21">
        <f>IF(OR(E70="1",E70="１",E70="男"),"男",IF(OR(E70="2",E70="２",E70="女"),"女",""))</f>
        <v/>
      </c>
      <c r="G70" s="21">
        <f>INDEX(①データ入力!$B$3:$Y$39,C70,(B70-1)*5+3)</f>
        <v/>
      </c>
      <c r="H70" s="21">
        <f>INDEX(①データ入力!$B$3:$Y$39,C70,(B70-1)*5+4)&amp;""</f>
        <v/>
      </c>
      <c r="I70" s="21">
        <f>IF(LEFT(TRIM(H70),1)="赤","赤",IF(LEFT(TRIM(H70),1)="白","白",""))</f>
        <v/>
      </c>
      <c r="J70" s="21">
        <f>IF(AND(D70&lt;&gt;"",F70&lt;&gt;"",I70&lt;&gt;"",ISNUMBER(G70)),F70&amp;I70,"")</f>
        <v/>
      </c>
      <c r="K70" s="21">
        <f>IF(J70="","",COUNTIFS($J$2:$J$186,J70,$G$2:$G$186,"&lt;"&amp;G70)+COUNTIFS($J$2:$J$186,J70,$G$2:$G$186,G70,$A$2:$A$186,"&lt;"&amp;A70)+1)</f>
        <v/>
      </c>
      <c r="L70" s="21">
        <f>IF(J70="","",J70&amp;K70)</f>
        <v/>
      </c>
      <c r="M70" s="21">
        <f>B70&amp;"組"</f>
        <v/>
      </c>
      <c r="N70" s="21">
        <f>IF(AND(D70&lt;&gt;"",J70=""),1,0)</f>
        <v/>
      </c>
      <c r="AK70">
        <f>IF(J70="","",IF(J70="男赤",COUNTIF($Y$2:$Y$51,"&lt;"&amp;K70),IF(J70="男白",COUNTIF($Z$2:$Z$51,"&lt;"&amp;K70),IF(J70="女赤",COUNTIF($AH$2:$AH$51,"&lt;"&amp;K70),COUNTIF($AI$2:$AI$51,"&lt;"&amp;K70))))+1)</f>
        <v/>
      </c>
      <c r="AL70">
        <f>IF(AK70="","",IF(AK70=1,0,IF(J70="男赤",INDEX($Y$2:$Y$51,AK70-1),IF(J70="男白",INDEX($Z$2:$Z$51,AK70-1),IF(J70="女赤",INDEX($AH$2:$AH$51,AK70-1),INDEX($AI$2:$AI$51,AK70-1))))))</f>
        <v/>
      </c>
      <c r="AM70">
        <f>IF(AK70="","",IF(RIGHT(J70,1)="赤",K70-AL70,IF(LEFT(J70,1)="男",INDEX($W$2:$W$51,AK70),INDEX($AF$2:$AF$51,AK70))+K70-AL70))</f>
        <v/>
      </c>
      <c r="AN70">
        <f>IF(AK70="","",F70&amp;AK70&amp;"-"&amp;AM70)</f>
        <v/>
      </c>
      <c r="AO70">
        <f>IF(J70="","",F70&amp;D70)</f>
        <v/>
      </c>
      <c r="AP70">
        <f>IF(J70="","",IF(F70="男",COUNTIF(手直し!$B$6:$E$55,D70),COUNTIF(手直し!$F$6:$I$55,D70)))</f>
        <v/>
      </c>
      <c r="AQ70">
        <f>IF(AND(J70&lt;&gt;"",AP70=0),1,0)</f>
        <v/>
      </c>
      <c r="AR70">
        <f>IF(AND(AQ70=1,F70="男"),COUNTIFS($AQ$2:AQ70,1,$F$2:F70,"男"),"")</f>
        <v/>
      </c>
      <c r="AS70">
        <f>IF(AND(AQ70=1,F70="女"),COUNTIFS($AQ$2:AQ70,1,$F$2:F70,"女"),"")</f>
        <v/>
      </c>
    </row>
    <row r="71">
      <c r="A71" s="21">
        <f>ROW()-1</f>
        <v/>
      </c>
      <c r="B71" s="21">
        <f>INT((A71-1)/37)+1</f>
        <v/>
      </c>
      <c r="C71" s="21">
        <f>MOD(A71-1,37)+1</f>
        <v/>
      </c>
      <c r="D71" s="21">
        <f>INDEX(①データ入力!$B$3:$Y$39,C71,(B71-1)*5+1)&amp;""</f>
        <v/>
      </c>
      <c r="E71" s="21">
        <f>INDEX(①データ入力!$B$3:$Y$39,C71,(B71-1)*5+2)&amp;""</f>
        <v/>
      </c>
      <c r="F71" s="21">
        <f>IF(OR(E71="1",E71="１",E71="男"),"男",IF(OR(E71="2",E71="２",E71="女"),"女",""))</f>
        <v/>
      </c>
      <c r="G71" s="21">
        <f>INDEX(①データ入力!$B$3:$Y$39,C71,(B71-1)*5+3)</f>
        <v/>
      </c>
      <c r="H71" s="21">
        <f>INDEX(①データ入力!$B$3:$Y$39,C71,(B71-1)*5+4)&amp;""</f>
        <v/>
      </c>
      <c r="I71" s="21">
        <f>IF(LEFT(TRIM(H71),1)="赤","赤",IF(LEFT(TRIM(H71),1)="白","白",""))</f>
        <v/>
      </c>
      <c r="J71" s="21">
        <f>IF(AND(D71&lt;&gt;"",F71&lt;&gt;"",I71&lt;&gt;"",ISNUMBER(G71)),F71&amp;I71,"")</f>
        <v/>
      </c>
      <c r="K71" s="21">
        <f>IF(J71="","",COUNTIFS($J$2:$J$186,J71,$G$2:$G$186,"&lt;"&amp;G71)+COUNTIFS($J$2:$J$186,J71,$G$2:$G$186,G71,$A$2:$A$186,"&lt;"&amp;A71)+1)</f>
        <v/>
      </c>
      <c r="L71" s="21">
        <f>IF(J71="","",J71&amp;K71)</f>
        <v/>
      </c>
      <c r="M71" s="21">
        <f>B71&amp;"組"</f>
        <v/>
      </c>
      <c r="N71" s="21">
        <f>IF(AND(D71&lt;&gt;"",J71=""),1,0)</f>
        <v/>
      </c>
      <c r="AK71">
        <f>IF(J71="","",IF(J71="男赤",COUNTIF($Y$2:$Y$51,"&lt;"&amp;K71),IF(J71="男白",COUNTIF($Z$2:$Z$51,"&lt;"&amp;K71),IF(J71="女赤",COUNTIF($AH$2:$AH$51,"&lt;"&amp;K71),COUNTIF($AI$2:$AI$51,"&lt;"&amp;K71))))+1)</f>
        <v/>
      </c>
      <c r="AL71">
        <f>IF(AK71="","",IF(AK71=1,0,IF(J71="男赤",INDEX($Y$2:$Y$51,AK71-1),IF(J71="男白",INDEX($Z$2:$Z$51,AK71-1),IF(J71="女赤",INDEX($AH$2:$AH$51,AK71-1),INDEX($AI$2:$AI$51,AK71-1))))))</f>
        <v/>
      </c>
      <c r="AM71">
        <f>IF(AK71="","",IF(RIGHT(J71,1)="赤",K71-AL71,IF(LEFT(J71,1)="男",INDEX($W$2:$W$51,AK71),INDEX($AF$2:$AF$51,AK71))+K71-AL71))</f>
        <v/>
      </c>
      <c r="AN71">
        <f>IF(AK71="","",F71&amp;AK71&amp;"-"&amp;AM71)</f>
        <v/>
      </c>
      <c r="AO71">
        <f>IF(J71="","",F71&amp;D71)</f>
        <v/>
      </c>
      <c r="AP71">
        <f>IF(J71="","",IF(F71="男",COUNTIF(手直し!$B$6:$E$55,D71),COUNTIF(手直し!$F$6:$I$55,D71)))</f>
        <v/>
      </c>
      <c r="AQ71">
        <f>IF(AND(J71&lt;&gt;"",AP71=0),1,0)</f>
        <v/>
      </c>
      <c r="AR71">
        <f>IF(AND(AQ71=1,F71="男"),COUNTIFS($AQ$2:AQ71,1,$F$2:F71,"男"),"")</f>
        <v/>
      </c>
      <c r="AS71">
        <f>IF(AND(AQ71=1,F71="女"),COUNTIFS($AQ$2:AQ71,1,$F$2:F71,"女"),"")</f>
        <v/>
      </c>
    </row>
    <row r="72">
      <c r="A72" s="21">
        <f>ROW()-1</f>
        <v/>
      </c>
      <c r="B72" s="21">
        <f>INT((A72-1)/37)+1</f>
        <v/>
      </c>
      <c r="C72" s="21">
        <f>MOD(A72-1,37)+1</f>
        <v/>
      </c>
      <c r="D72" s="21">
        <f>INDEX(①データ入力!$B$3:$Y$39,C72,(B72-1)*5+1)&amp;""</f>
        <v/>
      </c>
      <c r="E72" s="21">
        <f>INDEX(①データ入力!$B$3:$Y$39,C72,(B72-1)*5+2)&amp;""</f>
        <v/>
      </c>
      <c r="F72" s="21">
        <f>IF(OR(E72="1",E72="１",E72="男"),"男",IF(OR(E72="2",E72="２",E72="女"),"女",""))</f>
        <v/>
      </c>
      <c r="G72" s="21">
        <f>INDEX(①データ入力!$B$3:$Y$39,C72,(B72-1)*5+3)</f>
        <v/>
      </c>
      <c r="H72" s="21">
        <f>INDEX(①データ入力!$B$3:$Y$39,C72,(B72-1)*5+4)&amp;""</f>
        <v/>
      </c>
      <c r="I72" s="21">
        <f>IF(LEFT(TRIM(H72),1)="赤","赤",IF(LEFT(TRIM(H72),1)="白","白",""))</f>
        <v/>
      </c>
      <c r="J72" s="21">
        <f>IF(AND(D72&lt;&gt;"",F72&lt;&gt;"",I72&lt;&gt;"",ISNUMBER(G72)),F72&amp;I72,"")</f>
        <v/>
      </c>
      <c r="K72" s="21">
        <f>IF(J72="","",COUNTIFS($J$2:$J$186,J72,$G$2:$G$186,"&lt;"&amp;G72)+COUNTIFS($J$2:$J$186,J72,$G$2:$G$186,G72,$A$2:$A$186,"&lt;"&amp;A72)+1)</f>
        <v/>
      </c>
      <c r="L72" s="21">
        <f>IF(J72="","",J72&amp;K72)</f>
        <v/>
      </c>
      <c r="M72" s="21">
        <f>B72&amp;"組"</f>
        <v/>
      </c>
      <c r="N72" s="21">
        <f>IF(AND(D72&lt;&gt;"",J72=""),1,0)</f>
        <v/>
      </c>
      <c r="AK72">
        <f>IF(J72="","",IF(J72="男赤",COUNTIF($Y$2:$Y$51,"&lt;"&amp;K72),IF(J72="男白",COUNTIF($Z$2:$Z$51,"&lt;"&amp;K72),IF(J72="女赤",COUNTIF($AH$2:$AH$51,"&lt;"&amp;K72),COUNTIF($AI$2:$AI$51,"&lt;"&amp;K72))))+1)</f>
        <v/>
      </c>
      <c r="AL72">
        <f>IF(AK72="","",IF(AK72=1,0,IF(J72="男赤",INDEX($Y$2:$Y$51,AK72-1),IF(J72="男白",INDEX($Z$2:$Z$51,AK72-1),IF(J72="女赤",INDEX($AH$2:$AH$51,AK72-1),INDEX($AI$2:$AI$51,AK72-1))))))</f>
        <v/>
      </c>
      <c r="AM72">
        <f>IF(AK72="","",IF(RIGHT(J72,1)="赤",K72-AL72,IF(LEFT(J72,1)="男",INDEX($W$2:$W$51,AK72),INDEX($AF$2:$AF$51,AK72))+K72-AL72))</f>
        <v/>
      </c>
      <c r="AN72">
        <f>IF(AK72="","",F72&amp;AK72&amp;"-"&amp;AM72)</f>
        <v/>
      </c>
      <c r="AO72">
        <f>IF(J72="","",F72&amp;D72)</f>
        <v/>
      </c>
      <c r="AP72">
        <f>IF(J72="","",IF(F72="男",COUNTIF(手直し!$B$6:$E$55,D72),COUNTIF(手直し!$F$6:$I$55,D72)))</f>
        <v/>
      </c>
      <c r="AQ72">
        <f>IF(AND(J72&lt;&gt;"",AP72=0),1,0)</f>
        <v/>
      </c>
      <c r="AR72">
        <f>IF(AND(AQ72=1,F72="男"),COUNTIFS($AQ$2:AQ72,1,$F$2:F72,"男"),"")</f>
        <v/>
      </c>
      <c r="AS72">
        <f>IF(AND(AQ72=1,F72="女"),COUNTIFS($AQ$2:AQ72,1,$F$2:F72,"女"),"")</f>
        <v/>
      </c>
    </row>
    <row r="73">
      <c r="A73" s="21">
        <f>ROW()-1</f>
        <v/>
      </c>
      <c r="B73" s="21">
        <f>INT((A73-1)/37)+1</f>
        <v/>
      </c>
      <c r="C73" s="21">
        <f>MOD(A73-1,37)+1</f>
        <v/>
      </c>
      <c r="D73" s="21">
        <f>INDEX(①データ入力!$B$3:$Y$39,C73,(B73-1)*5+1)&amp;""</f>
        <v/>
      </c>
      <c r="E73" s="21">
        <f>INDEX(①データ入力!$B$3:$Y$39,C73,(B73-1)*5+2)&amp;""</f>
        <v/>
      </c>
      <c r="F73" s="21">
        <f>IF(OR(E73="1",E73="１",E73="男"),"男",IF(OR(E73="2",E73="２",E73="女"),"女",""))</f>
        <v/>
      </c>
      <c r="G73" s="21">
        <f>INDEX(①データ入力!$B$3:$Y$39,C73,(B73-1)*5+3)</f>
        <v/>
      </c>
      <c r="H73" s="21">
        <f>INDEX(①データ入力!$B$3:$Y$39,C73,(B73-1)*5+4)&amp;""</f>
        <v/>
      </c>
      <c r="I73" s="21">
        <f>IF(LEFT(TRIM(H73),1)="赤","赤",IF(LEFT(TRIM(H73),1)="白","白",""))</f>
        <v/>
      </c>
      <c r="J73" s="21">
        <f>IF(AND(D73&lt;&gt;"",F73&lt;&gt;"",I73&lt;&gt;"",ISNUMBER(G73)),F73&amp;I73,"")</f>
        <v/>
      </c>
      <c r="K73" s="21">
        <f>IF(J73="","",COUNTIFS($J$2:$J$186,J73,$G$2:$G$186,"&lt;"&amp;G73)+COUNTIFS($J$2:$J$186,J73,$G$2:$G$186,G73,$A$2:$A$186,"&lt;"&amp;A73)+1)</f>
        <v/>
      </c>
      <c r="L73" s="21">
        <f>IF(J73="","",J73&amp;K73)</f>
        <v/>
      </c>
      <c r="M73" s="21">
        <f>B73&amp;"組"</f>
        <v/>
      </c>
      <c r="N73" s="21">
        <f>IF(AND(D73&lt;&gt;"",J73=""),1,0)</f>
        <v/>
      </c>
      <c r="AK73">
        <f>IF(J73="","",IF(J73="男赤",COUNTIF($Y$2:$Y$51,"&lt;"&amp;K73),IF(J73="男白",COUNTIF($Z$2:$Z$51,"&lt;"&amp;K73),IF(J73="女赤",COUNTIF($AH$2:$AH$51,"&lt;"&amp;K73),COUNTIF($AI$2:$AI$51,"&lt;"&amp;K73))))+1)</f>
        <v/>
      </c>
      <c r="AL73">
        <f>IF(AK73="","",IF(AK73=1,0,IF(J73="男赤",INDEX($Y$2:$Y$51,AK73-1),IF(J73="男白",INDEX($Z$2:$Z$51,AK73-1),IF(J73="女赤",INDEX($AH$2:$AH$51,AK73-1),INDEX($AI$2:$AI$51,AK73-1))))))</f>
        <v/>
      </c>
      <c r="AM73">
        <f>IF(AK73="","",IF(RIGHT(J73,1)="赤",K73-AL73,IF(LEFT(J73,1)="男",INDEX($W$2:$W$51,AK73),INDEX($AF$2:$AF$51,AK73))+K73-AL73))</f>
        <v/>
      </c>
      <c r="AN73">
        <f>IF(AK73="","",F73&amp;AK73&amp;"-"&amp;AM73)</f>
        <v/>
      </c>
      <c r="AO73">
        <f>IF(J73="","",F73&amp;D73)</f>
        <v/>
      </c>
      <c r="AP73">
        <f>IF(J73="","",IF(F73="男",COUNTIF(手直し!$B$6:$E$55,D73),COUNTIF(手直し!$F$6:$I$55,D73)))</f>
        <v/>
      </c>
      <c r="AQ73">
        <f>IF(AND(J73&lt;&gt;"",AP73=0),1,0)</f>
        <v/>
      </c>
      <c r="AR73">
        <f>IF(AND(AQ73=1,F73="男"),COUNTIFS($AQ$2:AQ73,1,$F$2:F73,"男"),"")</f>
        <v/>
      </c>
      <c r="AS73">
        <f>IF(AND(AQ73=1,F73="女"),COUNTIFS($AQ$2:AQ73,1,$F$2:F73,"女"),"")</f>
        <v/>
      </c>
    </row>
    <row r="74">
      <c r="A74" s="21">
        <f>ROW()-1</f>
        <v/>
      </c>
      <c r="B74" s="21">
        <f>INT((A74-1)/37)+1</f>
        <v/>
      </c>
      <c r="C74" s="21">
        <f>MOD(A74-1,37)+1</f>
        <v/>
      </c>
      <c r="D74" s="21">
        <f>INDEX(①データ入力!$B$3:$Y$39,C74,(B74-1)*5+1)&amp;""</f>
        <v/>
      </c>
      <c r="E74" s="21">
        <f>INDEX(①データ入力!$B$3:$Y$39,C74,(B74-1)*5+2)&amp;""</f>
        <v/>
      </c>
      <c r="F74" s="21">
        <f>IF(OR(E74="1",E74="１",E74="男"),"男",IF(OR(E74="2",E74="２",E74="女"),"女",""))</f>
        <v/>
      </c>
      <c r="G74" s="21">
        <f>INDEX(①データ入力!$B$3:$Y$39,C74,(B74-1)*5+3)</f>
        <v/>
      </c>
      <c r="H74" s="21">
        <f>INDEX(①データ入力!$B$3:$Y$39,C74,(B74-1)*5+4)&amp;""</f>
        <v/>
      </c>
      <c r="I74" s="21">
        <f>IF(LEFT(TRIM(H74),1)="赤","赤",IF(LEFT(TRIM(H74),1)="白","白",""))</f>
        <v/>
      </c>
      <c r="J74" s="21">
        <f>IF(AND(D74&lt;&gt;"",F74&lt;&gt;"",I74&lt;&gt;"",ISNUMBER(G74)),F74&amp;I74,"")</f>
        <v/>
      </c>
      <c r="K74" s="21">
        <f>IF(J74="","",COUNTIFS($J$2:$J$186,J74,$G$2:$G$186,"&lt;"&amp;G74)+COUNTIFS($J$2:$J$186,J74,$G$2:$G$186,G74,$A$2:$A$186,"&lt;"&amp;A74)+1)</f>
        <v/>
      </c>
      <c r="L74" s="21">
        <f>IF(J74="","",J74&amp;K74)</f>
        <v/>
      </c>
      <c r="M74" s="21">
        <f>B74&amp;"組"</f>
        <v/>
      </c>
      <c r="N74" s="21">
        <f>IF(AND(D74&lt;&gt;"",J74=""),1,0)</f>
        <v/>
      </c>
      <c r="AK74">
        <f>IF(J74="","",IF(J74="男赤",COUNTIF($Y$2:$Y$51,"&lt;"&amp;K74),IF(J74="男白",COUNTIF($Z$2:$Z$51,"&lt;"&amp;K74),IF(J74="女赤",COUNTIF($AH$2:$AH$51,"&lt;"&amp;K74),COUNTIF($AI$2:$AI$51,"&lt;"&amp;K74))))+1)</f>
        <v/>
      </c>
      <c r="AL74">
        <f>IF(AK74="","",IF(AK74=1,0,IF(J74="男赤",INDEX($Y$2:$Y$51,AK74-1),IF(J74="男白",INDEX($Z$2:$Z$51,AK74-1),IF(J74="女赤",INDEX($AH$2:$AH$51,AK74-1),INDEX($AI$2:$AI$51,AK74-1))))))</f>
        <v/>
      </c>
      <c r="AM74">
        <f>IF(AK74="","",IF(RIGHT(J74,1)="赤",K74-AL74,IF(LEFT(J74,1)="男",INDEX($W$2:$W$51,AK74),INDEX($AF$2:$AF$51,AK74))+K74-AL74))</f>
        <v/>
      </c>
      <c r="AN74">
        <f>IF(AK74="","",F74&amp;AK74&amp;"-"&amp;AM74)</f>
        <v/>
      </c>
      <c r="AO74">
        <f>IF(J74="","",F74&amp;D74)</f>
        <v/>
      </c>
      <c r="AP74">
        <f>IF(J74="","",IF(F74="男",COUNTIF(手直し!$B$6:$E$55,D74),COUNTIF(手直し!$F$6:$I$55,D74)))</f>
        <v/>
      </c>
      <c r="AQ74">
        <f>IF(AND(J74&lt;&gt;"",AP74=0),1,0)</f>
        <v/>
      </c>
      <c r="AR74">
        <f>IF(AND(AQ74=1,F74="男"),COUNTIFS($AQ$2:AQ74,1,$F$2:F74,"男"),"")</f>
        <v/>
      </c>
      <c r="AS74">
        <f>IF(AND(AQ74=1,F74="女"),COUNTIFS($AQ$2:AQ74,1,$F$2:F74,"女"),"")</f>
        <v/>
      </c>
    </row>
    <row r="75">
      <c r="A75" s="21">
        <f>ROW()-1</f>
        <v/>
      </c>
      <c r="B75" s="21">
        <f>INT((A75-1)/37)+1</f>
        <v/>
      </c>
      <c r="C75" s="21">
        <f>MOD(A75-1,37)+1</f>
        <v/>
      </c>
      <c r="D75" s="21">
        <f>INDEX(①データ入力!$B$3:$Y$39,C75,(B75-1)*5+1)&amp;""</f>
        <v/>
      </c>
      <c r="E75" s="21">
        <f>INDEX(①データ入力!$B$3:$Y$39,C75,(B75-1)*5+2)&amp;""</f>
        <v/>
      </c>
      <c r="F75" s="21">
        <f>IF(OR(E75="1",E75="１",E75="男"),"男",IF(OR(E75="2",E75="２",E75="女"),"女",""))</f>
        <v/>
      </c>
      <c r="G75" s="21">
        <f>INDEX(①データ入力!$B$3:$Y$39,C75,(B75-1)*5+3)</f>
        <v/>
      </c>
      <c r="H75" s="21">
        <f>INDEX(①データ入力!$B$3:$Y$39,C75,(B75-1)*5+4)&amp;""</f>
        <v/>
      </c>
      <c r="I75" s="21">
        <f>IF(LEFT(TRIM(H75),1)="赤","赤",IF(LEFT(TRIM(H75),1)="白","白",""))</f>
        <v/>
      </c>
      <c r="J75" s="21">
        <f>IF(AND(D75&lt;&gt;"",F75&lt;&gt;"",I75&lt;&gt;"",ISNUMBER(G75)),F75&amp;I75,"")</f>
        <v/>
      </c>
      <c r="K75" s="21">
        <f>IF(J75="","",COUNTIFS($J$2:$J$186,J75,$G$2:$G$186,"&lt;"&amp;G75)+COUNTIFS($J$2:$J$186,J75,$G$2:$G$186,G75,$A$2:$A$186,"&lt;"&amp;A75)+1)</f>
        <v/>
      </c>
      <c r="L75" s="21">
        <f>IF(J75="","",J75&amp;K75)</f>
        <v/>
      </c>
      <c r="M75" s="21">
        <f>B75&amp;"組"</f>
        <v/>
      </c>
      <c r="N75" s="21">
        <f>IF(AND(D75&lt;&gt;"",J75=""),1,0)</f>
        <v/>
      </c>
      <c r="AK75">
        <f>IF(J75="","",IF(J75="男赤",COUNTIF($Y$2:$Y$51,"&lt;"&amp;K75),IF(J75="男白",COUNTIF($Z$2:$Z$51,"&lt;"&amp;K75),IF(J75="女赤",COUNTIF($AH$2:$AH$51,"&lt;"&amp;K75),COUNTIF($AI$2:$AI$51,"&lt;"&amp;K75))))+1)</f>
        <v/>
      </c>
      <c r="AL75">
        <f>IF(AK75="","",IF(AK75=1,0,IF(J75="男赤",INDEX($Y$2:$Y$51,AK75-1),IF(J75="男白",INDEX($Z$2:$Z$51,AK75-1),IF(J75="女赤",INDEX($AH$2:$AH$51,AK75-1),INDEX($AI$2:$AI$51,AK75-1))))))</f>
        <v/>
      </c>
      <c r="AM75">
        <f>IF(AK75="","",IF(RIGHT(J75,1)="赤",K75-AL75,IF(LEFT(J75,1)="男",INDEX($W$2:$W$51,AK75),INDEX($AF$2:$AF$51,AK75))+K75-AL75))</f>
        <v/>
      </c>
      <c r="AN75">
        <f>IF(AK75="","",F75&amp;AK75&amp;"-"&amp;AM75)</f>
        <v/>
      </c>
      <c r="AO75">
        <f>IF(J75="","",F75&amp;D75)</f>
        <v/>
      </c>
      <c r="AP75">
        <f>IF(J75="","",IF(F75="男",COUNTIF(手直し!$B$6:$E$55,D75),COUNTIF(手直し!$F$6:$I$55,D75)))</f>
        <v/>
      </c>
      <c r="AQ75">
        <f>IF(AND(J75&lt;&gt;"",AP75=0),1,0)</f>
        <v/>
      </c>
      <c r="AR75">
        <f>IF(AND(AQ75=1,F75="男"),COUNTIFS($AQ$2:AQ75,1,$F$2:F75,"男"),"")</f>
        <v/>
      </c>
      <c r="AS75">
        <f>IF(AND(AQ75=1,F75="女"),COUNTIFS($AQ$2:AQ75,1,$F$2:F75,"女"),"")</f>
        <v/>
      </c>
    </row>
    <row r="76">
      <c r="A76" s="21">
        <f>ROW()-1</f>
        <v/>
      </c>
      <c r="B76" s="21">
        <f>INT((A76-1)/37)+1</f>
        <v/>
      </c>
      <c r="C76" s="21">
        <f>MOD(A76-1,37)+1</f>
        <v/>
      </c>
      <c r="D76" s="21">
        <f>INDEX(①データ入力!$B$3:$Y$39,C76,(B76-1)*5+1)&amp;""</f>
        <v/>
      </c>
      <c r="E76" s="21">
        <f>INDEX(①データ入力!$B$3:$Y$39,C76,(B76-1)*5+2)&amp;""</f>
        <v/>
      </c>
      <c r="F76" s="21">
        <f>IF(OR(E76="1",E76="１",E76="男"),"男",IF(OR(E76="2",E76="２",E76="女"),"女",""))</f>
        <v/>
      </c>
      <c r="G76" s="21">
        <f>INDEX(①データ入力!$B$3:$Y$39,C76,(B76-1)*5+3)</f>
        <v/>
      </c>
      <c r="H76" s="21">
        <f>INDEX(①データ入力!$B$3:$Y$39,C76,(B76-1)*5+4)&amp;""</f>
        <v/>
      </c>
      <c r="I76" s="21">
        <f>IF(LEFT(TRIM(H76),1)="赤","赤",IF(LEFT(TRIM(H76),1)="白","白",""))</f>
        <v/>
      </c>
      <c r="J76" s="21">
        <f>IF(AND(D76&lt;&gt;"",F76&lt;&gt;"",I76&lt;&gt;"",ISNUMBER(G76)),F76&amp;I76,"")</f>
        <v/>
      </c>
      <c r="K76" s="21">
        <f>IF(J76="","",COUNTIFS($J$2:$J$186,J76,$G$2:$G$186,"&lt;"&amp;G76)+COUNTIFS($J$2:$J$186,J76,$G$2:$G$186,G76,$A$2:$A$186,"&lt;"&amp;A76)+1)</f>
        <v/>
      </c>
      <c r="L76" s="21">
        <f>IF(J76="","",J76&amp;K76)</f>
        <v/>
      </c>
      <c r="M76" s="21">
        <f>B76&amp;"組"</f>
        <v/>
      </c>
      <c r="N76" s="21">
        <f>IF(AND(D76&lt;&gt;"",J76=""),1,0)</f>
        <v/>
      </c>
      <c r="AK76">
        <f>IF(J76="","",IF(J76="男赤",COUNTIF($Y$2:$Y$51,"&lt;"&amp;K76),IF(J76="男白",COUNTIF($Z$2:$Z$51,"&lt;"&amp;K76),IF(J76="女赤",COUNTIF($AH$2:$AH$51,"&lt;"&amp;K76),COUNTIF($AI$2:$AI$51,"&lt;"&amp;K76))))+1)</f>
        <v/>
      </c>
      <c r="AL76">
        <f>IF(AK76="","",IF(AK76=1,0,IF(J76="男赤",INDEX($Y$2:$Y$51,AK76-1),IF(J76="男白",INDEX($Z$2:$Z$51,AK76-1),IF(J76="女赤",INDEX($AH$2:$AH$51,AK76-1),INDEX($AI$2:$AI$51,AK76-1))))))</f>
        <v/>
      </c>
      <c r="AM76">
        <f>IF(AK76="","",IF(RIGHT(J76,1)="赤",K76-AL76,IF(LEFT(J76,1)="男",INDEX($W$2:$W$51,AK76),INDEX($AF$2:$AF$51,AK76))+K76-AL76))</f>
        <v/>
      </c>
      <c r="AN76">
        <f>IF(AK76="","",F76&amp;AK76&amp;"-"&amp;AM76)</f>
        <v/>
      </c>
      <c r="AO76">
        <f>IF(J76="","",F76&amp;D76)</f>
        <v/>
      </c>
      <c r="AP76">
        <f>IF(J76="","",IF(F76="男",COUNTIF(手直し!$B$6:$E$55,D76),COUNTIF(手直し!$F$6:$I$55,D76)))</f>
        <v/>
      </c>
      <c r="AQ76">
        <f>IF(AND(J76&lt;&gt;"",AP76=0),1,0)</f>
        <v/>
      </c>
      <c r="AR76">
        <f>IF(AND(AQ76=1,F76="男"),COUNTIFS($AQ$2:AQ76,1,$F$2:F76,"男"),"")</f>
        <v/>
      </c>
      <c r="AS76">
        <f>IF(AND(AQ76=1,F76="女"),COUNTIFS($AQ$2:AQ76,1,$F$2:F76,"女"),"")</f>
        <v/>
      </c>
    </row>
    <row r="77">
      <c r="A77" s="21">
        <f>ROW()-1</f>
        <v/>
      </c>
      <c r="B77" s="21">
        <f>INT((A77-1)/37)+1</f>
        <v/>
      </c>
      <c r="C77" s="21">
        <f>MOD(A77-1,37)+1</f>
        <v/>
      </c>
      <c r="D77" s="21">
        <f>INDEX(①データ入力!$B$3:$Y$39,C77,(B77-1)*5+1)&amp;""</f>
        <v/>
      </c>
      <c r="E77" s="21">
        <f>INDEX(①データ入力!$B$3:$Y$39,C77,(B77-1)*5+2)&amp;""</f>
        <v/>
      </c>
      <c r="F77" s="21">
        <f>IF(OR(E77="1",E77="１",E77="男"),"男",IF(OR(E77="2",E77="２",E77="女"),"女",""))</f>
        <v/>
      </c>
      <c r="G77" s="21">
        <f>INDEX(①データ入力!$B$3:$Y$39,C77,(B77-1)*5+3)</f>
        <v/>
      </c>
      <c r="H77" s="21">
        <f>INDEX(①データ入力!$B$3:$Y$39,C77,(B77-1)*5+4)&amp;""</f>
        <v/>
      </c>
      <c r="I77" s="21">
        <f>IF(LEFT(TRIM(H77),1)="赤","赤",IF(LEFT(TRIM(H77),1)="白","白",""))</f>
        <v/>
      </c>
      <c r="J77" s="21">
        <f>IF(AND(D77&lt;&gt;"",F77&lt;&gt;"",I77&lt;&gt;"",ISNUMBER(G77)),F77&amp;I77,"")</f>
        <v/>
      </c>
      <c r="K77" s="21">
        <f>IF(J77="","",COUNTIFS($J$2:$J$186,J77,$G$2:$G$186,"&lt;"&amp;G77)+COUNTIFS($J$2:$J$186,J77,$G$2:$G$186,G77,$A$2:$A$186,"&lt;"&amp;A77)+1)</f>
        <v/>
      </c>
      <c r="L77" s="21">
        <f>IF(J77="","",J77&amp;K77)</f>
        <v/>
      </c>
      <c r="M77" s="21">
        <f>B77&amp;"組"</f>
        <v/>
      </c>
      <c r="N77" s="21">
        <f>IF(AND(D77&lt;&gt;"",J77=""),1,0)</f>
        <v/>
      </c>
      <c r="AK77">
        <f>IF(J77="","",IF(J77="男赤",COUNTIF($Y$2:$Y$51,"&lt;"&amp;K77),IF(J77="男白",COUNTIF($Z$2:$Z$51,"&lt;"&amp;K77),IF(J77="女赤",COUNTIF($AH$2:$AH$51,"&lt;"&amp;K77),COUNTIF($AI$2:$AI$51,"&lt;"&amp;K77))))+1)</f>
        <v/>
      </c>
      <c r="AL77">
        <f>IF(AK77="","",IF(AK77=1,0,IF(J77="男赤",INDEX($Y$2:$Y$51,AK77-1),IF(J77="男白",INDEX($Z$2:$Z$51,AK77-1),IF(J77="女赤",INDEX($AH$2:$AH$51,AK77-1),INDEX($AI$2:$AI$51,AK77-1))))))</f>
        <v/>
      </c>
      <c r="AM77">
        <f>IF(AK77="","",IF(RIGHT(J77,1)="赤",K77-AL77,IF(LEFT(J77,1)="男",INDEX($W$2:$W$51,AK77),INDEX($AF$2:$AF$51,AK77))+K77-AL77))</f>
        <v/>
      </c>
      <c r="AN77">
        <f>IF(AK77="","",F77&amp;AK77&amp;"-"&amp;AM77)</f>
        <v/>
      </c>
      <c r="AO77">
        <f>IF(J77="","",F77&amp;D77)</f>
        <v/>
      </c>
      <c r="AP77">
        <f>IF(J77="","",IF(F77="男",COUNTIF(手直し!$B$6:$E$55,D77),COUNTIF(手直し!$F$6:$I$55,D77)))</f>
        <v/>
      </c>
      <c r="AQ77">
        <f>IF(AND(J77&lt;&gt;"",AP77=0),1,0)</f>
        <v/>
      </c>
      <c r="AR77">
        <f>IF(AND(AQ77=1,F77="男"),COUNTIFS($AQ$2:AQ77,1,$F$2:F77,"男"),"")</f>
        <v/>
      </c>
      <c r="AS77">
        <f>IF(AND(AQ77=1,F77="女"),COUNTIFS($AQ$2:AQ77,1,$F$2:F77,"女"),"")</f>
        <v/>
      </c>
    </row>
    <row r="78">
      <c r="A78" s="21">
        <f>ROW()-1</f>
        <v/>
      </c>
      <c r="B78" s="21">
        <f>INT((A78-1)/37)+1</f>
        <v/>
      </c>
      <c r="C78" s="21">
        <f>MOD(A78-1,37)+1</f>
        <v/>
      </c>
      <c r="D78" s="21">
        <f>INDEX(①データ入力!$B$3:$Y$39,C78,(B78-1)*5+1)&amp;""</f>
        <v/>
      </c>
      <c r="E78" s="21">
        <f>INDEX(①データ入力!$B$3:$Y$39,C78,(B78-1)*5+2)&amp;""</f>
        <v/>
      </c>
      <c r="F78" s="21">
        <f>IF(OR(E78="1",E78="１",E78="男"),"男",IF(OR(E78="2",E78="２",E78="女"),"女",""))</f>
        <v/>
      </c>
      <c r="G78" s="21">
        <f>INDEX(①データ入力!$B$3:$Y$39,C78,(B78-1)*5+3)</f>
        <v/>
      </c>
      <c r="H78" s="21">
        <f>INDEX(①データ入力!$B$3:$Y$39,C78,(B78-1)*5+4)&amp;""</f>
        <v/>
      </c>
      <c r="I78" s="21">
        <f>IF(LEFT(TRIM(H78),1)="赤","赤",IF(LEFT(TRIM(H78),1)="白","白",""))</f>
        <v/>
      </c>
      <c r="J78" s="21">
        <f>IF(AND(D78&lt;&gt;"",F78&lt;&gt;"",I78&lt;&gt;"",ISNUMBER(G78)),F78&amp;I78,"")</f>
        <v/>
      </c>
      <c r="K78" s="21">
        <f>IF(J78="","",COUNTIFS($J$2:$J$186,J78,$G$2:$G$186,"&lt;"&amp;G78)+COUNTIFS($J$2:$J$186,J78,$G$2:$G$186,G78,$A$2:$A$186,"&lt;"&amp;A78)+1)</f>
        <v/>
      </c>
      <c r="L78" s="21">
        <f>IF(J78="","",J78&amp;K78)</f>
        <v/>
      </c>
      <c r="M78" s="21">
        <f>B78&amp;"組"</f>
        <v/>
      </c>
      <c r="N78" s="21">
        <f>IF(AND(D78&lt;&gt;"",J78=""),1,0)</f>
        <v/>
      </c>
      <c r="AK78">
        <f>IF(J78="","",IF(J78="男赤",COUNTIF($Y$2:$Y$51,"&lt;"&amp;K78),IF(J78="男白",COUNTIF($Z$2:$Z$51,"&lt;"&amp;K78),IF(J78="女赤",COUNTIF($AH$2:$AH$51,"&lt;"&amp;K78),COUNTIF($AI$2:$AI$51,"&lt;"&amp;K78))))+1)</f>
        <v/>
      </c>
      <c r="AL78">
        <f>IF(AK78="","",IF(AK78=1,0,IF(J78="男赤",INDEX($Y$2:$Y$51,AK78-1),IF(J78="男白",INDEX($Z$2:$Z$51,AK78-1),IF(J78="女赤",INDEX($AH$2:$AH$51,AK78-1),INDEX($AI$2:$AI$51,AK78-1))))))</f>
        <v/>
      </c>
      <c r="AM78">
        <f>IF(AK78="","",IF(RIGHT(J78,1)="赤",K78-AL78,IF(LEFT(J78,1)="男",INDEX($W$2:$W$51,AK78),INDEX($AF$2:$AF$51,AK78))+K78-AL78))</f>
        <v/>
      </c>
      <c r="AN78">
        <f>IF(AK78="","",F78&amp;AK78&amp;"-"&amp;AM78)</f>
        <v/>
      </c>
      <c r="AO78">
        <f>IF(J78="","",F78&amp;D78)</f>
        <v/>
      </c>
      <c r="AP78">
        <f>IF(J78="","",IF(F78="男",COUNTIF(手直し!$B$6:$E$55,D78),COUNTIF(手直し!$F$6:$I$55,D78)))</f>
        <v/>
      </c>
      <c r="AQ78">
        <f>IF(AND(J78&lt;&gt;"",AP78=0),1,0)</f>
        <v/>
      </c>
      <c r="AR78">
        <f>IF(AND(AQ78=1,F78="男"),COUNTIFS($AQ$2:AQ78,1,$F$2:F78,"男"),"")</f>
        <v/>
      </c>
      <c r="AS78">
        <f>IF(AND(AQ78=1,F78="女"),COUNTIFS($AQ$2:AQ78,1,$F$2:F78,"女"),"")</f>
        <v/>
      </c>
    </row>
    <row r="79">
      <c r="A79" s="21">
        <f>ROW()-1</f>
        <v/>
      </c>
      <c r="B79" s="21">
        <f>INT((A79-1)/37)+1</f>
        <v/>
      </c>
      <c r="C79" s="21">
        <f>MOD(A79-1,37)+1</f>
        <v/>
      </c>
      <c r="D79" s="21">
        <f>INDEX(①データ入力!$B$3:$Y$39,C79,(B79-1)*5+1)&amp;""</f>
        <v/>
      </c>
      <c r="E79" s="21">
        <f>INDEX(①データ入力!$B$3:$Y$39,C79,(B79-1)*5+2)&amp;""</f>
        <v/>
      </c>
      <c r="F79" s="21">
        <f>IF(OR(E79="1",E79="１",E79="男"),"男",IF(OR(E79="2",E79="２",E79="女"),"女",""))</f>
        <v/>
      </c>
      <c r="G79" s="21">
        <f>INDEX(①データ入力!$B$3:$Y$39,C79,(B79-1)*5+3)</f>
        <v/>
      </c>
      <c r="H79" s="21">
        <f>INDEX(①データ入力!$B$3:$Y$39,C79,(B79-1)*5+4)&amp;""</f>
        <v/>
      </c>
      <c r="I79" s="21">
        <f>IF(LEFT(TRIM(H79),1)="赤","赤",IF(LEFT(TRIM(H79),1)="白","白",""))</f>
        <v/>
      </c>
      <c r="J79" s="21">
        <f>IF(AND(D79&lt;&gt;"",F79&lt;&gt;"",I79&lt;&gt;"",ISNUMBER(G79)),F79&amp;I79,"")</f>
        <v/>
      </c>
      <c r="K79" s="21">
        <f>IF(J79="","",COUNTIFS($J$2:$J$186,J79,$G$2:$G$186,"&lt;"&amp;G79)+COUNTIFS($J$2:$J$186,J79,$G$2:$G$186,G79,$A$2:$A$186,"&lt;"&amp;A79)+1)</f>
        <v/>
      </c>
      <c r="L79" s="21">
        <f>IF(J79="","",J79&amp;K79)</f>
        <v/>
      </c>
      <c r="M79" s="21">
        <f>B79&amp;"組"</f>
        <v/>
      </c>
      <c r="N79" s="21">
        <f>IF(AND(D79&lt;&gt;"",J79=""),1,0)</f>
        <v/>
      </c>
      <c r="AK79">
        <f>IF(J79="","",IF(J79="男赤",COUNTIF($Y$2:$Y$51,"&lt;"&amp;K79),IF(J79="男白",COUNTIF($Z$2:$Z$51,"&lt;"&amp;K79),IF(J79="女赤",COUNTIF($AH$2:$AH$51,"&lt;"&amp;K79),COUNTIF($AI$2:$AI$51,"&lt;"&amp;K79))))+1)</f>
        <v/>
      </c>
      <c r="AL79">
        <f>IF(AK79="","",IF(AK79=1,0,IF(J79="男赤",INDEX($Y$2:$Y$51,AK79-1),IF(J79="男白",INDEX($Z$2:$Z$51,AK79-1),IF(J79="女赤",INDEX($AH$2:$AH$51,AK79-1),INDEX($AI$2:$AI$51,AK79-1))))))</f>
        <v/>
      </c>
      <c r="AM79">
        <f>IF(AK79="","",IF(RIGHT(J79,1)="赤",K79-AL79,IF(LEFT(J79,1)="男",INDEX($W$2:$W$51,AK79),INDEX($AF$2:$AF$51,AK79))+K79-AL79))</f>
        <v/>
      </c>
      <c r="AN79">
        <f>IF(AK79="","",F79&amp;AK79&amp;"-"&amp;AM79)</f>
        <v/>
      </c>
      <c r="AO79">
        <f>IF(J79="","",F79&amp;D79)</f>
        <v/>
      </c>
      <c r="AP79">
        <f>IF(J79="","",IF(F79="男",COUNTIF(手直し!$B$6:$E$55,D79),COUNTIF(手直し!$F$6:$I$55,D79)))</f>
        <v/>
      </c>
      <c r="AQ79">
        <f>IF(AND(J79&lt;&gt;"",AP79=0),1,0)</f>
        <v/>
      </c>
      <c r="AR79">
        <f>IF(AND(AQ79=1,F79="男"),COUNTIFS($AQ$2:AQ79,1,$F$2:F79,"男"),"")</f>
        <v/>
      </c>
      <c r="AS79">
        <f>IF(AND(AQ79=1,F79="女"),COUNTIFS($AQ$2:AQ79,1,$F$2:F79,"女"),"")</f>
        <v/>
      </c>
    </row>
    <row r="80">
      <c r="A80" s="21">
        <f>ROW()-1</f>
        <v/>
      </c>
      <c r="B80" s="21">
        <f>INT((A80-1)/37)+1</f>
        <v/>
      </c>
      <c r="C80" s="21">
        <f>MOD(A80-1,37)+1</f>
        <v/>
      </c>
      <c r="D80" s="21">
        <f>INDEX(①データ入力!$B$3:$Y$39,C80,(B80-1)*5+1)&amp;""</f>
        <v/>
      </c>
      <c r="E80" s="21">
        <f>INDEX(①データ入力!$B$3:$Y$39,C80,(B80-1)*5+2)&amp;""</f>
        <v/>
      </c>
      <c r="F80" s="21">
        <f>IF(OR(E80="1",E80="１",E80="男"),"男",IF(OR(E80="2",E80="２",E80="女"),"女",""))</f>
        <v/>
      </c>
      <c r="G80" s="21">
        <f>INDEX(①データ入力!$B$3:$Y$39,C80,(B80-1)*5+3)</f>
        <v/>
      </c>
      <c r="H80" s="21">
        <f>INDEX(①データ入力!$B$3:$Y$39,C80,(B80-1)*5+4)&amp;""</f>
        <v/>
      </c>
      <c r="I80" s="21">
        <f>IF(LEFT(TRIM(H80),1)="赤","赤",IF(LEFT(TRIM(H80),1)="白","白",""))</f>
        <v/>
      </c>
      <c r="J80" s="21">
        <f>IF(AND(D80&lt;&gt;"",F80&lt;&gt;"",I80&lt;&gt;"",ISNUMBER(G80)),F80&amp;I80,"")</f>
        <v/>
      </c>
      <c r="K80" s="21">
        <f>IF(J80="","",COUNTIFS($J$2:$J$186,J80,$G$2:$G$186,"&lt;"&amp;G80)+COUNTIFS($J$2:$J$186,J80,$G$2:$G$186,G80,$A$2:$A$186,"&lt;"&amp;A80)+1)</f>
        <v/>
      </c>
      <c r="L80" s="21">
        <f>IF(J80="","",J80&amp;K80)</f>
        <v/>
      </c>
      <c r="M80" s="21">
        <f>B80&amp;"組"</f>
        <v/>
      </c>
      <c r="N80" s="21">
        <f>IF(AND(D80&lt;&gt;"",J80=""),1,0)</f>
        <v/>
      </c>
      <c r="AK80">
        <f>IF(J80="","",IF(J80="男赤",COUNTIF($Y$2:$Y$51,"&lt;"&amp;K80),IF(J80="男白",COUNTIF($Z$2:$Z$51,"&lt;"&amp;K80),IF(J80="女赤",COUNTIF($AH$2:$AH$51,"&lt;"&amp;K80),COUNTIF($AI$2:$AI$51,"&lt;"&amp;K80))))+1)</f>
        <v/>
      </c>
      <c r="AL80">
        <f>IF(AK80="","",IF(AK80=1,0,IF(J80="男赤",INDEX($Y$2:$Y$51,AK80-1),IF(J80="男白",INDEX($Z$2:$Z$51,AK80-1),IF(J80="女赤",INDEX($AH$2:$AH$51,AK80-1),INDEX($AI$2:$AI$51,AK80-1))))))</f>
        <v/>
      </c>
      <c r="AM80">
        <f>IF(AK80="","",IF(RIGHT(J80,1)="赤",K80-AL80,IF(LEFT(J80,1)="男",INDEX($W$2:$W$51,AK80),INDEX($AF$2:$AF$51,AK80))+K80-AL80))</f>
        <v/>
      </c>
      <c r="AN80">
        <f>IF(AK80="","",F80&amp;AK80&amp;"-"&amp;AM80)</f>
        <v/>
      </c>
      <c r="AO80">
        <f>IF(J80="","",F80&amp;D80)</f>
        <v/>
      </c>
      <c r="AP80">
        <f>IF(J80="","",IF(F80="男",COUNTIF(手直し!$B$6:$E$55,D80),COUNTIF(手直し!$F$6:$I$55,D80)))</f>
        <v/>
      </c>
      <c r="AQ80">
        <f>IF(AND(J80&lt;&gt;"",AP80=0),1,0)</f>
        <v/>
      </c>
      <c r="AR80">
        <f>IF(AND(AQ80=1,F80="男"),COUNTIFS($AQ$2:AQ80,1,$F$2:F80,"男"),"")</f>
        <v/>
      </c>
      <c r="AS80">
        <f>IF(AND(AQ80=1,F80="女"),COUNTIFS($AQ$2:AQ80,1,$F$2:F80,"女"),"")</f>
        <v/>
      </c>
    </row>
    <row r="81">
      <c r="A81" s="21">
        <f>ROW()-1</f>
        <v/>
      </c>
      <c r="B81" s="21">
        <f>INT((A81-1)/37)+1</f>
        <v/>
      </c>
      <c r="C81" s="21">
        <f>MOD(A81-1,37)+1</f>
        <v/>
      </c>
      <c r="D81" s="21">
        <f>INDEX(①データ入力!$B$3:$Y$39,C81,(B81-1)*5+1)&amp;""</f>
        <v/>
      </c>
      <c r="E81" s="21">
        <f>INDEX(①データ入力!$B$3:$Y$39,C81,(B81-1)*5+2)&amp;""</f>
        <v/>
      </c>
      <c r="F81" s="21">
        <f>IF(OR(E81="1",E81="１",E81="男"),"男",IF(OR(E81="2",E81="２",E81="女"),"女",""))</f>
        <v/>
      </c>
      <c r="G81" s="21">
        <f>INDEX(①データ入力!$B$3:$Y$39,C81,(B81-1)*5+3)</f>
        <v/>
      </c>
      <c r="H81" s="21">
        <f>INDEX(①データ入力!$B$3:$Y$39,C81,(B81-1)*5+4)&amp;""</f>
        <v/>
      </c>
      <c r="I81" s="21">
        <f>IF(LEFT(TRIM(H81),1)="赤","赤",IF(LEFT(TRIM(H81),1)="白","白",""))</f>
        <v/>
      </c>
      <c r="J81" s="21">
        <f>IF(AND(D81&lt;&gt;"",F81&lt;&gt;"",I81&lt;&gt;"",ISNUMBER(G81)),F81&amp;I81,"")</f>
        <v/>
      </c>
      <c r="K81" s="21">
        <f>IF(J81="","",COUNTIFS($J$2:$J$186,J81,$G$2:$G$186,"&lt;"&amp;G81)+COUNTIFS($J$2:$J$186,J81,$G$2:$G$186,G81,$A$2:$A$186,"&lt;"&amp;A81)+1)</f>
        <v/>
      </c>
      <c r="L81" s="21">
        <f>IF(J81="","",J81&amp;K81)</f>
        <v/>
      </c>
      <c r="M81" s="21">
        <f>B81&amp;"組"</f>
        <v/>
      </c>
      <c r="N81" s="21">
        <f>IF(AND(D81&lt;&gt;"",J81=""),1,0)</f>
        <v/>
      </c>
      <c r="AK81">
        <f>IF(J81="","",IF(J81="男赤",COUNTIF($Y$2:$Y$51,"&lt;"&amp;K81),IF(J81="男白",COUNTIF($Z$2:$Z$51,"&lt;"&amp;K81),IF(J81="女赤",COUNTIF($AH$2:$AH$51,"&lt;"&amp;K81),COUNTIF($AI$2:$AI$51,"&lt;"&amp;K81))))+1)</f>
        <v/>
      </c>
      <c r="AL81">
        <f>IF(AK81="","",IF(AK81=1,0,IF(J81="男赤",INDEX($Y$2:$Y$51,AK81-1),IF(J81="男白",INDEX($Z$2:$Z$51,AK81-1),IF(J81="女赤",INDEX($AH$2:$AH$51,AK81-1),INDEX($AI$2:$AI$51,AK81-1))))))</f>
        <v/>
      </c>
      <c r="AM81">
        <f>IF(AK81="","",IF(RIGHT(J81,1)="赤",K81-AL81,IF(LEFT(J81,1)="男",INDEX($W$2:$W$51,AK81),INDEX($AF$2:$AF$51,AK81))+K81-AL81))</f>
        <v/>
      </c>
      <c r="AN81">
        <f>IF(AK81="","",F81&amp;AK81&amp;"-"&amp;AM81)</f>
        <v/>
      </c>
      <c r="AO81">
        <f>IF(J81="","",F81&amp;D81)</f>
        <v/>
      </c>
      <c r="AP81">
        <f>IF(J81="","",IF(F81="男",COUNTIF(手直し!$B$6:$E$55,D81),COUNTIF(手直し!$F$6:$I$55,D81)))</f>
        <v/>
      </c>
      <c r="AQ81">
        <f>IF(AND(J81&lt;&gt;"",AP81=0),1,0)</f>
        <v/>
      </c>
      <c r="AR81">
        <f>IF(AND(AQ81=1,F81="男"),COUNTIFS($AQ$2:AQ81,1,$F$2:F81,"男"),"")</f>
        <v/>
      </c>
      <c r="AS81">
        <f>IF(AND(AQ81=1,F81="女"),COUNTIFS($AQ$2:AQ81,1,$F$2:F81,"女"),"")</f>
        <v/>
      </c>
    </row>
    <row r="82">
      <c r="A82" s="21">
        <f>ROW()-1</f>
        <v/>
      </c>
      <c r="B82" s="21">
        <f>INT((A82-1)/37)+1</f>
        <v/>
      </c>
      <c r="C82" s="21">
        <f>MOD(A82-1,37)+1</f>
        <v/>
      </c>
      <c r="D82" s="21">
        <f>INDEX(①データ入力!$B$3:$Y$39,C82,(B82-1)*5+1)&amp;""</f>
        <v/>
      </c>
      <c r="E82" s="21">
        <f>INDEX(①データ入力!$B$3:$Y$39,C82,(B82-1)*5+2)&amp;""</f>
        <v/>
      </c>
      <c r="F82" s="21">
        <f>IF(OR(E82="1",E82="１",E82="男"),"男",IF(OR(E82="2",E82="２",E82="女"),"女",""))</f>
        <v/>
      </c>
      <c r="G82" s="21">
        <f>INDEX(①データ入力!$B$3:$Y$39,C82,(B82-1)*5+3)</f>
        <v/>
      </c>
      <c r="H82" s="21">
        <f>INDEX(①データ入力!$B$3:$Y$39,C82,(B82-1)*5+4)&amp;""</f>
        <v/>
      </c>
      <c r="I82" s="21">
        <f>IF(LEFT(TRIM(H82),1)="赤","赤",IF(LEFT(TRIM(H82),1)="白","白",""))</f>
        <v/>
      </c>
      <c r="J82" s="21">
        <f>IF(AND(D82&lt;&gt;"",F82&lt;&gt;"",I82&lt;&gt;"",ISNUMBER(G82)),F82&amp;I82,"")</f>
        <v/>
      </c>
      <c r="K82" s="21">
        <f>IF(J82="","",COUNTIFS($J$2:$J$186,J82,$G$2:$G$186,"&lt;"&amp;G82)+COUNTIFS($J$2:$J$186,J82,$G$2:$G$186,G82,$A$2:$A$186,"&lt;"&amp;A82)+1)</f>
        <v/>
      </c>
      <c r="L82" s="21">
        <f>IF(J82="","",J82&amp;K82)</f>
        <v/>
      </c>
      <c r="M82" s="21">
        <f>B82&amp;"組"</f>
        <v/>
      </c>
      <c r="N82" s="21">
        <f>IF(AND(D82&lt;&gt;"",J82=""),1,0)</f>
        <v/>
      </c>
      <c r="AK82">
        <f>IF(J82="","",IF(J82="男赤",COUNTIF($Y$2:$Y$51,"&lt;"&amp;K82),IF(J82="男白",COUNTIF($Z$2:$Z$51,"&lt;"&amp;K82),IF(J82="女赤",COUNTIF($AH$2:$AH$51,"&lt;"&amp;K82),COUNTIF($AI$2:$AI$51,"&lt;"&amp;K82))))+1)</f>
        <v/>
      </c>
      <c r="AL82">
        <f>IF(AK82="","",IF(AK82=1,0,IF(J82="男赤",INDEX($Y$2:$Y$51,AK82-1),IF(J82="男白",INDEX($Z$2:$Z$51,AK82-1),IF(J82="女赤",INDEX($AH$2:$AH$51,AK82-1),INDEX($AI$2:$AI$51,AK82-1))))))</f>
        <v/>
      </c>
      <c r="AM82">
        <f>IF(AK82="","",IF(RIGHT(J82,1)="赤",K82-AL82,IF(LEFT(J82,1)="男",INDEX($W$2:$W$51,AK82),INDEX($AF$2:$AF$51,AK82))+K82-AL82))</f>
        <v/>
      </c>
      <c r="AN82">
        <f>IF(AK82="","",F82&amp;AK82&amp;"-"&amp;AM82)</f>
        <v/>
      </c>
      <c r="AO82">
        <f>IF(J82="","",F82&amp;D82)</f>
        <v/>
      </c>
      <c r="AP82">
        <f>IF(J82="","",IF(F82="男",COUNTIF(手直し!$B$6:$E$55,D82),COUNTIF(手直し!$F$6:$I$55,D82)))</f>
        <v/>
      </c>
      <c r="AQ82">
        <f>IF(AND(J82&lt;&gt;"",AP82=0),1,0)</f>
        <v/>
      </c>
      <c r="AR82">
        <f>IF(AND(AQ82=1,F82="男"),COUNTIFS($AQ$2:AQ82,1,$F$2:F82,"男"),"")</f>
        <v/>
      </c>
      <c r="AS82">
        <f>IF(AND(AQ82=1,F82="女"),COUNTIFS($AQ$2:AQ82,1,$F$2:F82,"女"),"")</f>
        <v/>
      </c>
    </row>
    <row r="83">
      <c r="A83" s="21">
        <f>ROW()-1</f>
        <v/>
      </c>
      <c r="B83" s="21">
        <f>INT((A83-1)/37)+1</f>
        <v/>
      </c>
      <c r="C83" s="21">
        <f>MOD(A83-1,37)+1</f>
        <v/>
      </c>
      <c r="D83" s="21">
        <f>INDEX(①データ入力!$B$3:$Y$39,C83,(B83-1)*5+1)&amp;""</f>
        <v/>
      </c>
      <c r="E83" s="21">
        <f>INDEX(①データ入力!$B$3:$Y$39,C83,(B83-1)*5+2)&amp;""</f>
        <v/>
      </c>
      <c r="F83" s="21">
        <f>IF(OR(E83="1",E83="１",E83="男"),"男",IF(OR(E83="2",E83="２",E83="女"),"女",""))</f>
        <v/>
      </c>
      <c r="G83" s="21">
        <f>INDEX(①データ入力!$B$3:$Y$39,C83,(B83-1)*5+3)</f>
        <v/>
      </c>
      <c r="H83" s="21">
        <f>INDEX(①データ入力!$B$3:$Y$39,C83,(B83-1)*5+4)&amp;""</f>
        <v/>
      </c>
      <c r="I83" s="21">
        <f>IF(LEFT(TRIM(H83),1)="赤","赤",IF(LEFT(TRIM(H83),1)="白","白",""))</f>
        <v/>
      </c>
      <c r="J83" s="21">
        <f>IF(AND(D83&lt;&gt;"",F83&lt;&gt;"",I83&lt;&gt;"",ISNUMBER(G83)),F83&amp;I83,"")</f>
        <v/>
      </c>
      <c r="K83" s="21">
        <f>IF(J83="","",COUNTIFS($J$2:$J$186,J83,$G$2:$G$186,"&lt;"&amp;G83)+COUNTIFS($J$2:$J$186,J83,$G$2:$G$186,G83,$A$2:$A$186,"&lt;"&amp;A83)+1)</f>
        <v/>
      </c>
      <c r="L83" s="21">
        <f>IF(J83="","",J83&amp;K83)</f>
        <v/>
      </c>
      <c r="M83" s="21">
        <f>B83&amp;"組"</f>
        <v/>
      </c>
      <c r="N83" s="21">
        <f>IF(AND(D83&lt;&gt;"",J83=""),1,0)</f>
        <v/>
      </c>
      <c r="AK83">
        <f>IF(J83="","",IF(J83="男赤",COUNTIF($Y$2:$Y$51,"&lt;"&amp;K83),IF(J83="男白",COUNTIF($Z$2:$Z$51,"&lt;"&amp;K83),IF(J83="女赤",COUNTIF($AH$2:$AH$51,"&lt;"&amp;K83),COUNTIF($AI$2:$AI$51,"&lt;"&amp;K83))))+1)</f>
        <v/>
      </c>
      <c r="AL83">
        <f>IF(AK83="","",IF(AK83=1,0,IF(J83="男赤",INDEX($Y$2:$Y$51,AK83-1),IF(J83="男白",INDEX($Z$2:$Z$51,AK83-1),IF(J83="女赤",INDEX($AH$2:$AH$51,AK83-1),INDEX($AI$2:$AI$51,AK83-1))))))</f>
        <v/>
      </c>
      <c r="AM83">
        <f>IF(AK83="","",IF(RIGHT(J83,1)="赤",K83-AL83,IF(LEFT(J83,1)="男",INDEX($W$2:$W$51,AK83),INDEX($AF$2:$AF$51,AK83))+K83-AL83))</f>
        <v/>
      </c>
      <c r="AN83">
        <f>IF(AK83="","",F83&amp;AK83&amp;"-"&amp;AM83)</f>
        <v/>
      </c>
      <c r="AO83">
        <f>IF(J83="","",F83&amp;D83)</f>
        <v/>
      </c>
      <c r="AP83">
        <f>IF(J83="","",IF(F83="男",COUNTIF(手直し!$B$6:$E$55,D83),COUNTIF(手直し!$F$6:$I$55,D83)))</f>
        <v/>
      </c>
      <c r="AQ83">
        <f>IF(AND(J83&lt;&gt;"",AP83=0),1,0)</f>
        <v/>
      </c>
      <c r="AR83">
        <f>IF(AND(AQ83=1,F83="男"),COUNTIFS($AQ$2:AQ83,1,$F$2:F83,"男"),"")</f>
        <v/>
      </c>
      <c r="AS83">
        <f>IF(AND(AQ83=1,F83="女"),COUNTIFS($AQ$2:AQ83,1,$F$2:F83,"女"),"")</f>
        <v/>
      </c>
    </row>
    <row r="84">
      <c r="A84" s="21">
        <f>ROW()-1</f>
        <v/>
      </c>
      <c r="B84" s="21">
        <f>INT((A84-1)/37)+1</f>
        <v/>
      </c>
      <c r="C84" s="21">
        <f>MOD(A84-1,37)+1</f>
        <v/>
      </c>
      <c r="D84" s="21">
        <f>INDEX(①データ入力!$B$3:$Y$39,C84,(B84-1)*5+1)&amp;""</f>
        <v/>
      </c>
      <c r="E84" s="21">
        <f>INDEX(①データ入力!$B$3:$Y$39,C84,(B84-1)*5+2)&amp;""</f>
        <v/>
      </c>
      <c r="F84" s="21">
        <f>IF(OR(E84="1",E84="１",E84="男"),"男",IF(OR(E84="2",E84="２",E84="女"),"女",""))</f>
        <v/>
      </c>
      <c r="G84" s="21">
        <f>INDEX(①データ入力!$B$3:$Y$39,C84,(B84-1)*5+3)</f>
        <v/>
      </c>
      <c r="H84" s="21">
        <f>INDEX(①データ入力!$B$3:$Y$39,C84,(B84-1)*5+4)&amp;""</f>
        <v/>
      </c>
      <c r="I84" s="21">
        <f>IF(LEFT(TRIM(H84),1)="赤","赤",IF(LEFT(TRIM(H84),1)="白","白",""))</f>
        <v/>
      </c>
      <c r="J84" s="21">
        <f>IF(AND(D84&lt;&gt;"",F84&lt;&gt;"",I84&lt;&gt;"",ISNUMBER(G84)),F84&amp;I84,"")</f>
        <v/>
      </c>
      <c r="K84" s="21">
        <f>IF(J84="","",COUNTIFS($J$2:$J$186,J84,$G$2:$G$186,"&lt;"&amp;G84)+COUNTIFS($J$2:$J$186,J84,$G$2:$G$186,G84,$A$2:$A$186,"&lt;"&amp;A84)+1)</f>
        <v/>
      </c>
      <c r="L84" s="21">
        <f>IF(J84="","",J84&amp;K84)</f>
        <v/>
      </c>
      <c r="M84" s="21">
        <f>B84&amp;"組"</f>
        <v/>
      </c>
      <c r="N84" s="21">
        <f>IF(AND(D84&lt;&gt;"",J84=""),1,0)</f>
        <v/>
      </c>
      <c r="AK84">
        <f>IF(J84="","",IF(J84="男赤",COUNTIF($Y$2:$Y$51,"&lt;"&amp;K84),IF(J84="男白",COUNTIF($Z$2:$Z$51,"&lt;"&amp;K84),IF(J84="女赤",COUNTIF($AH$2:$AH$51,"&lt;"&amp;K84),COUNTIF($AI$2:$AI$51,"&lt;"&amp;K84))))+1)</f>
        <v/>
      </c>
      <c r="AL84">
        <f>IF(AK84="","",IF(AK84=1,0,IF(J84="男赤",INDEX($Y$2:$Y$51,AK84-1),IF(J84="男白",INDEX($Z$2:$Z$51,AK84-1),IF(J84="女赤",INDEX($AH$2:$AH$51,AK84-1),INDEX($AI$2:$AI$51,AK84-1))))))</f>
        <v/>
      </c>
      <c r="AM84">
        <f>IF(AK84="","",IF(RIGHT(J84,1)="赤",K84-AL84,IF(LEFT(J84,1)="男",INDEX($W$2:$W$51,AK84),INDEX($AF$2:$AF$51,AK84))+K84-AL84))</f>
        <v/>
      </c>
      <c r="AN84">
        <f>IF(AK84="","",F84&amp;AK84&amp;"-"&amp;AM84)</f>
        <v/>
      </c>
      <c r="AO84">
        <f>IF(J84="","",F84&amp;D84)</f>
        <v/>
      </c>
      <c r="AP84">
        <f>IF(J84="","",IF(F84="男",COUNTIF(手直し!$B$6:$E$55,D84),COUNTIF(手直し!$F$6:$I$55,D84)))</f>
        <v/>
      </c>
      <c r="AQ84">
        <f>IF(AND(J84&lt;&gt;"",AP84=0),1,0)</f>
        <v/>
      </c>
      <c r="AR84">
        <f>IF(AND(AQ84=1,F84="男"),COUNTIFS($AQ$2:AQ84,1,$F$2:F84,"男"),"")</f>
        <v/>
      </c>
      <c r="AS84">
        <f>IF(AND(AQ84=1,F84="女"),COUNTIFS($AQ$2:AQ84,1,$F$2:F84,"女"),"")</f>
        <v/>
      </c>
    </row>
    <row r="85">
      <c r="A85" s="21">
        <f>ROW()-1</f>
        <v/>
      </c>
      <c r="B85" s="21">
        <f>INT((A85-1)/37)+1</f>
        <v/>
      </c>
      <c r="C85" s="21">
        <f>MOD(A85-1,37)+1</f>
        <v/>
      </c>
      <c r="D85" s="21">
        <f>INDEX(①データ入力!$B$3:$Y$39,C85,(B85-1)*5+1)&amp;""</f>
        <v/>
      </c>
      <c r="E85" s="21">
        <f>INDEX(①データ入力!$B$3:$Y$39,C85,(B85-1)*5+2)&amp;""</f>
        <v/>
      </c>
      <c r="F85" s="21">
        <f>IF(OR(E85="1",E85="１",E85="男"),"男",IF(OR(E85="2",E85="２",E85="女"),"女",""))</f>
        <v/>
      </c>
      <c r="G85" s="21">
        <f>INDEX(①データ入力!$B$3:$Y$39,C85,(B85-1)*5+3)</f>
        <v/>
      </c>
      <c r="H85" s="21">
        <f>INDEX(①データ入力!$B$3:$Y$39,C85,(B85-1)*5+4)&amp;""</f>
        <v/>
      </c>
      <c r="I85" s="21">
        <f>IF(LEFT(TRIM(H85),1)="赤","赤",IF(LEFT(TRIM(H85),1)="白","白",""))</f>
        <v/>
      </c>
      <c r="J85" s="21">
        <f>IF(AND(D85&lt;&gt;"",F85&lt;&gt;"",I85&lt;&gt;"",ISNUMBER(G85)),F85&amp;I85,"")</f>
        <v/>
      </c>
      <c r="K85" s="21">
        <f>IF(J85="","",COUNTIFS($J$2:$J$186,J85,$G$2:$G$186,"&lt;"&amp;G85)+COUNTIFS($J$2:$J$186,J85,$G$2:$G$186,G85,$A$2:$A$186,"&lt;"&amp;A85)+1)</f>
        <v/>
      </c>
      <c r="L85" s="21">
        <f>IF(J85="","",J85&amp;K85)</f>
        <v/>
      </c>
      <c r="M85" s="21">
        <f>B85&amp;"組"</f>
        <v/>
      </c>
      <c r="N85" s="21">
        <f>IF(AND(D85&lt;&gt;"",J85=""),1,0)</f>
        <v/>
      </c>
      <c r="AK85">
        <f>IF(J85="","",IF(J85="男赤",COUNTIF($Y$2:$Y$51,"&lt;"&amp;K85),IF(J85="男白",COUNTIF($Z$2:$Z$51,"&lt;"&amp;K85),IF(J85="女赤",COUNTIF($AH$2:$AH$51,"&lt;"&amp;K85),COUNTIF($AI$2:$AI$51,"&lt;"&amp;K85))))+1)</f>
        <v/>
      </c>
      <c r="AL85">
        <f>IF(AK85="","",IF(AK85=1,0,IF(J85="男赤",INDEX($Y$2:$Y$51,AK85-1),IF(J85="男白",INDEX($Z$2:$Z$51,AK85-1),IF(J85="女赤",INDEX($AH$2:$AH$51,AK85-1),INDEX($AI$2:$AI$51,AK85-1))))))</f>
        <v/>
      </c>
      <c r="AM85">
        <f>IF(AK85="","",IF(RIGHT(J85,1)="赤",K85-AL85,IF(LEFT(J85,1)="男",INDEX($W$2:$W$51,AK85),INDEX($AF$2:$AF$51,AK85))+K85-AL85))</f>
        <v/>
      </c>
      <c r="AN85">
        <f>IF(AK85="","",F85&amp;AK85&amp;"-"&amp;AM85)</f>
        <v/>
      </c>
      <c r="AO85">
        <f>IF(J85="","",F85&amp;D85)</f>
        <v/>
      </c>
      <c r="AP85">
        <f>IF(J85="","",IF(F85="男",COUNTIF(手直し!$B$6:$E$55,D85),COUNTIF(手直し!$F$6:$I$55,D85)))</f>
        <v/>
      </c>
      <c r="AQ85">
        <f>IF(AND(J85&lt;&gt;"",AP85=0),1,0)</f>
        <v/>
      </c>
      <c r="AR85">
        <f>IF(AND(AQ85=1,F85="男"),COUNTIFS($AQ$2:AQ85,1,$F$2:F85,"男"),"")</f>
        <v/>
      </c>
      <c r="AS85">
        <f>IF(AND(AQ85=1,F85="女"),COUNTIFS($AQ$2:AQ85,1,$F$2:F85,"女"),"")</f>
        <v/>
      </c>
    </row>
    <row r="86">
      <c r="A86" s="21">
        <f>ROW()-1</f>
        <v/>
      </c>
      <c r="B86" s="21">
        <f>INT((A86-1)/37)+1</f>
        <v/>
      </c>
      <c r="C86" s="21">
        <f>MOD(A86-1,37)+1</f>
        <v/>
      </c>
      <c r="D86" s="21">
        <f>INDEX(①データ入力!$B$3:$Y$39,C86,(B86-1)*5+1)&amp;""</f>
        <v/>
      </c>
      <c r="E86" s="21">
        <f>INDEX(①データ入力!$B$3:$Y$39,C86,(B86-1)*5+2)&amp;""</f>
        <v/>
      </c>
      <c r="F86" s="21">
        <f>IF(OR(E86="1",E86="１",E86="男"),"男",IF(OR(E86="2",E86="２",E86="女"),"女",""))</f>
        <v/>
      </c>
      <c r="G86" s="21">
        <f>INDEX(①データ入力!$B$3:$Y$39,C86,(B86-1)*5+3)</f>
        <v/>
      </c>
      <c r="H86" s="21">
        <f>INDEX(①データ入力!$B$3:$Y$39,C86,(B86-1)*5+4)&amp;""</f>
        <v/>
      </c>
      <c r="I86" s="21">
        <f>IF(LEFT(TRIM(H86),1)="赤","赤",IF(LEFT(TRIM(H86),1)="白","白",""))</f>
        <v/>
      </c>
      <c r="J86" s="21">
        <f>IF(AND(D86&lt;&gt;"",F86&lt;&gt;"",I86&lt;&gt;"",ISNUMBER(G86)),F86&amp;I86,"")</f>
        <v/>
      </c>
      <c r="K86" s="21">
        <f>IF(J86="","",COUNTIFS($J$2:$J$186,J86,$G$2:$G$186,"&lt;"&amp;G86)+COUNTIFS($J$2:$J$186,J86,$G$2:$G$186,G86,$A$2:$A$186,"&lt;"&amp;A86)+1)</f>
        <v/>
      </c>
      <c r="L86" s="21">
        <f>IF(J86="","",J86&amp;K86)</f>
        <v/>
      </c>
      <c r="M86" s="21">
        <f>B86&amp;"組"</f>
        <v/>
      </c>
      <c r="N86" s="21">
        <f>IF(AND(D86&lt;&gt;"",J86=""),1,0)</f>
        <v/>
      </c>
      <c r="AK86">
        <f>IF(J86="","",IF(J86="男赤",COUNTIF($Y$2:$Y$51,"&lt;"&amp;K86),IF(J86="男白",COUNTIF($Z$2:$Z$51,"&lt;"&amp;K86),IF(J86="女赤",COUNTIF($AH$2:$AH$51,"&lt;"&amp;K86),COUNTIF($AI$2:$AI$51,"&lt;"&amp;K86))))+1)</f>
        <v/>
      </c>
      <c r="AL86">
        <f>IF(AK86="","",IF(AK86=1,0,IF(J86="男赤",INDEX($Y$2:$Y$51,AK86-1),IF(J86="男白",INDEX($Z$2:$Z$51,AK86-1),IF(J86="女赤",INDEX($AH$2:$AH$51,AK86-1),INDEX($AI$2:$AI$51,AK86-1))))))</f>
        <v/>
      </c>
      <c r="AM86">
        <f>IF(AK86="","",IF(RIGHT(J86,1)="赤",K86-AL86,IF(LEFT(J86,1)="男",INDEX($W$2:$W$51,AK86),INDEX($AF$2:$AF$51,AK86))+K86-AL86))</f>
        <v/>
      </c>
      <c r="AN86">
        <f>IF(AK86="","",F86&amp;AK86&amp;"-"&amp;AM86)</f>
        <v/>
      </c>
      <c r="AO86">
        <f>IF(J86="","",F86&amp;D86)</f>
        <v/>
      </c>
      <c r="AP86">
        <f>IF(J86="","",IF(F86="男",COUNTIF(手直し!$B$6:$E$55,D86),COUNTIF(手直し!$F$6:$I$55,D86)))</f>
        <v/>
      </c>
      <c r="AQ86">
        <f>IF(AND(J86&lt;&gt;"",AP86=0),1,0)</f>
        <v/>
      </c>
      <c r="AR86">
        <f>IF(AND(AQ86=1,F86="男"),COUNTIFS($AQ$2:AQ86,1,$F$2:F86,"男"),"")</f>
        <v/>
      </c>
      <c r="AS86">
        <f>IF(AND(AQ86=1,F86="女"),COUNTIFS($AQ$2:AQ86,1,$F$2:F86,"女"),"")</f>
        <v/>
      </c>
    </row>
    <row r="87">
      <c r="A87" s="21">
        <f>ROW()-1</f>
        <v/>
      </c>
      <c r="B87" s="21">
        <f>INT((A87-1)/37)+1</f>
        <v/>
      </c>
      <c r="C87" s="21">
        <f>MOD(A87-1,37)+1</f>
        <v/>
      </c>
      <c r="D87" s="21">
        <f>INDEX(①データ入力!$B$3:$Y$39,C87,(B87-1)*5+1)&amp;""</f>
        <v/>
      </c>
      <c r="E87" s="21">
        <f>INDEX(①データ入力!$B$3:$Y$39,C87,(B87-1)*5+2)&amp;""</f>
        <v/>
      </c>
      <c r="F87" s="21">
        <f>IF(OR(E87="1",E87="１",E87="男"),"男",IF(OR(E87="2",E87="２",E87="女"),"女",""))</f>
        <v/>
      </c>
      <c r="G87" s="21">
        <f>INDEX(①データ入力!$B$3:$Y$39,C87,(B87-1)*5+3)</f>
        <v/>
      </c>
      <c r="H87" s="21">
        <f>INDEX(①データ入力!$B$3:$Y$39,C87,(B87-1)*5+4)&amp;""</f>
        <v/>
      </c>
      <c r="I87" s="21">
        <f>IF(LEFT(TRIM(H87),1)="赤","赤",IF(LEFT(TRIM(H87),1)="白","白",""))</f>
        <v/>
      </c>
      <c r="J87" s="21">
        <f>IF(AND(D87&lt;&gt;"",F87&lt;&gt;"",I87&lt;&gt;"",ISNUMBER(G87)),F87&amp;I87,"")</f>
        <v/>
      </c>
      <c r="K87" s="21">
        <f>IF(J87="","",COUNTIFS($J$2:$J$186,J87,$G$2:$G$186,"&lt;"&amp;G87)+COUNTIFS($J$2:$J$186,J87,$G$2:$G$186,G87,$A$2:$A$186,"&lt;"&amp;A87)+1)</f>
        <v/>
      </c>
      <c r="L87" s="21">
        <f>IF(J87="","",J87&amp;K87)</f>
        <v/>
      </c>
      <c r="M87" s="21">
        <f>B87&amp;"組"</f>
        <v/>
      </c>
      <c r="N87" s="21">
        <f>IF(AND(D87&lt;&gt;"",J87=""),1,0)</f>
        <v/>
      </c>
      <c r="AK87">
        <f>IF(J87="","",IF(J87="男赤",COUNTIF($Y$2:$Y$51,"&lt;"&amp;K87),IF(J87="男白",COUNTIF($Z$2:$Z$51,"&lt;"&amp;K87),IF(J87="女赤",COUNTIF($AH$2:$AH$51,"&lt;"&amp;K87),COUNTIF($AI$2:$AI$51,"&lt;"&amp;K87))))+1)</f>
        <v/>
      </c>
      <c r="AL87">
        <f>IF(AK87="","",IF(AK87=1,0,IF(J87="男赤",INDEX($Y$2:$Y$51,AK87-1),IF(J87="男白",INDEX($Z$2:$Z$51,AK87-1),IF(J87="女赤",INDEX($AH$2:$AH$51,AK87-1),INDEX($AI$2:$AI$51,AK87-1))))))</f>
        <v/>
      </c>
      <c r="AM87">
        <f>IF(AK87="","",IF(RIGHT(J87,1)="赤",K87-AL87,IF(LEFT(J87,1)="男",INDEX($W$2:$W$51,AK87),INDEX($AF$2:$AF$51,AK87))+K87-AL87))</f>
        <v/>
      </c>
      <c r="AN87">
        <f>IF(AK87="","",F87&amp;AK87&amp;"-"&amp;AM87)</f>
        <v/>
      </c>
      <c r="AO87">
        <f>IF(J87="","",F87&amp;D87)</f>
        <v/>
      </c>
      <c r="AP87">
        <f>IF(J87="","",IF(F87="男",COUNTIF(手直し!$B$6:$E$55,D87),COUNTIF(手直し!$F$6:$I$55,D87)))</f>
        <v/>
      </c>
      <c r="AQ87">
        <f>IF(AND(J87&lt;&gt;"",AP87=0),1,0)</f>
        <v/>
      </c>
      <c r="AR87">
        <f>IF(AND(AQ87=1,F87="男"),COUNTIFS($AQ$2:AQ87,1,$F$2:F87,"男"),"")</f>
        <v/>
      </c>
      <c r="AS87">
        <f>IF(AND(AQ87=1,F87="女"),COUNTIFS($AQ$2:AQ87,1,$F$2:F87,"女"),"")</f>
        <v/>
      </c>
    </row>
    <row r="88">
      <c r="A88" s="21">
        <f>ROW()-1</f>
        <v/>
      </c>
      <c r="B88" s="21">
        <f>INT((A88-1)/37)+1</f>
        <v/>
      </c>
      <c r="C88" s="21">
        <f>MOD(A88-1,37)+1</f>
        <v/>
      </c>
      <c r="D88" s="21">
        <f>INDEX(①データ入力!$B$3:$Y$39,C88,(B88-1)*5+1)&amp;""</f>
        <v/>
      </c>
      <c r="E88" s="21">
        <f>INDEX(①データ入力!$B$3:$Y$39,C88,(B88-1)*5+2)&amp;""</f>
        <v/>
      </c>
      <c r="F88" s="21">
        <f>IF(OR(E88="1",E88="１",E88="男"),"男",IF(OR(E88="2",E88="２",E88="女"),"女",""))</f>
        <v/>
      </c>
      <c r="G88" s="21">
        <f>INDEX(①データ入力!$B$3:$Y$39,C88,(B88-1)*5+3)</f>
        <v/>
      </c>
      <c r="H88" s="21">
        <f>INDEX(①データ入力!$B$3:$Y$39,C88,(B88-1)*5+4)&amp;""</f>
        <v/>
      </c>
      <c r="I88" s="21">
        <f>IF(LEFT(TRIM(H88),1)="赤","赤",IF(LEFT(TRIM(H88),1)="白","白",""))</f>
        <v/>
      </c>
      <c r="J88" s="21">
        <f>IF(AND(D88&lt;&gt;"",F88&lt;&gt;"",I88&lt;&gt;"",ISNUMBER(G88)),F88&amp;I88,"")</f>
        <v/>
      </c>
      <c r="K88" s="21">
        <f>IF(J88="","",COUNTIFS($J$2:$J$186,J88,$G$2:$G$186,"&lt;"&amp;G88)+COUNTIFS($J$2:$J$186,J88,$G$2:$G$186,G88,$A$2:$A$186,"&lt;"&amp;A88)+1)</f>
        <v/>
      </c>
      <c r="L88" s="21">
        <f>IF(J88="","",J88&amp;K88)</f>
        <v/>
      </c>
      <c r="M88" s="21">
        <f>B88&amp;"組"</f>
        <v/>
      </c>
      <c r="N88" s="21">
        <f>IF(AND(D88&lt;&gt;"",J88=""),1,0)</f>
        <v/>
      </c>
      <c r="AK88">
        <f>IF(J88="","",IF(J88="男赤",COUNTIF($Y$2:$Y$51,"&lt;"&amp;K88),IF(J88="男白",COUNTIF($Z$2:$Z$51,"&lt;"&amp;K88),IF(J88="女赤",COUNTIF($AH$2:$AH$51,"&lt;"&amp;K88),COUNTIF($AI$2:$AI$51,"&lt;"&amp;K88))))+1)</f>
        <v/>
      </c>
      <c r="AL88">
        <f>IF(AK88="","",IF(AK88=1,0,IF(J88="男赤",INDEX($Y$2:$Y$51,AK88-1),IF(J88="男白",INDEX($Z$2:$Z$51,AK88-1),IF(J88="女赤",INDEX($AH$2:$AH$51,AK88-1),INDEX($AI$2:$AI$51,AK88-1))))))</f>
        <v/>
      </c>
      <c r="AM88">
        <f>IF(AK88="","",IF(RIGHT(J88,1)="赤",K88-AL88,IF(LEFT(J88,1)="男",INDEX($W$2:$W$51,AK88),INDEX($AF$2:$AF$51,AK88))+K88-AL88))</f>
        <v/>
      </c>
      <c r="AN88">
        <f>IF(AK88="","",F88&amp;AK88&amp;"-"&amp;AM88)</f>
        <v/>
      </c>
      <c r="AO88">
        <f>IF(J88="","",F88&amp;D88)</f>
        <v/>
      </c>
      <c r="AP88">
        <f>IF(J88="","",IF(F88="男",COUNTIF(手直し!$B$6:$E$55,D88),COUNTIF(手直し!$F$6:$I$55,D88)))</f>
        <v/>
      </c>
      <c r="AQ88">
        <f>IF(AND(J88&lt;&gt;"",AP88=0),1,0)</f>
        <v/>
      </c>
      <c r="AR88">
        <f>IF(AND(AQ88=1,F88="男"),COUNTIFS($AQ$2:AQ88,1,$F$2:F88,"男"),"")</f>
        <v/>
      </c>
      <c r="AS88">
        <f>IF(AND(AQ88=1,F88="女"),COUNTIFS($AQ$2:AQ88,1,$F$2:F88,"女"),"")</f>
        <v/>
      </c>
    </row>
    <row r="89">
      <c r="A89" s="21">
        <f>ROW()-1</f>
        <v/>
      </c>
      <c r="B89" s="21">
        <f>INT((A89-1)/37)+1</f>
        <v/>
      </c>
      <c r="C89" s="21">
        <f>MOD(A89-1,37)+1</f>
        <v/>
      </c>
      <c r="D89" s="21">
        <f>INDEX(①データ入力!$B$3:$Y$39,C89,(B89-1)*5+1)&amp;""</f>
        <v/>
      </c>
      <c r="E89" s="21">
        <f>INDEX(①データ入力!$B$3:$Y$39,C89,(B89-1)*5+2)&amp;""</f>
        <v/>
      </c>
      <c r="F89" s="21">
        <f>IF(OR(E89="1",E89="１",E89="男"),"男",IF(OR(E89="2",E89="２",E89="女"),"女",""))</f>
        <v/>
      </c>
      <c r="G89" s="21">
        <f>INDEX(①データ入力!$B$3:$Y$39,C89,(B89-1)*5+3)</f>
        <v/>
      </c>
      <c r="H89" s="21">
        <f>INDEX(①データ入力!$B$3:$Y$39,C89,(B89-1)*5+4)&amp;""</f>
        <v/>
      </c>
      <c r="I89" s="21">
        <f>IF(LEFT(TRIM(H89),1)="赤","赤",IF(LEFT(TRIM(H89),1)="白","白",""))</f>
        <v/>
      </c>
      <c r="J89" s="21">
        <f>IF(AND(D89&lt;&gt;"",F89&lt;&gt;"",I89&lt;&gt;"",ISNUMBER(G89)),F89&amp;I89,"")</f>
        <v/>
      </c>
      <c r="K89" s="21">
        <f>IF(J89="","",COUNTIFS($J$2:$J$186,J89,$G$2:$G$186,"&lt;"&amp;G89)+COUNTIFS($J$2:$J$186,J89,$G$2:$G$186,G89,$A$2:$A$186,"&lt;"&amp;A89)+1)</f>
        <v/>
      </c>
      <c r="L89" s="21">
        <f>IF(J89="","",J89&amp;K89)</f>
        <v/>
      </c>
      <c r="M89" s="21">
        <f>B89&amp;"組"</f>
        <v/>
      </c>
      <c r="N89" s="21">
        <f>IF(AND(D89&lt;&gt;"",J89=""),1,0)</f>
        <v/>
      </c>
      <c r="AK89">
        <f>IF(J89="","",IF(J89="男赤",COUNTIF($Y$2:$Y$51,"&lt;"&amp;K89),IF(J89="男白",COUNTIF($Z$2:$Z$51,"&lt;"&amp;K89),IF(J89="女赤",COUNTIF($AH$2:$AH$51,"&lt;"&amp;K89),COUNTIF($AI$2:$AI$51,"&lt;"&amp;K89))))+1)</f>
        <v/>
      </c>
      <c r="AL89">
        <f>IF(AK89="","",IF(AK89=1,0,IF(J89="男赤",INDEX($Y$2:$Y$51,AK89-1),IF(J89="男白",INDEX($Z$2:$Z$51,AK89-1),IF(J89="女赤",INDEX($AH$2:$AH$51,AK89-1),INDEX($AI$2:$AI$51,AK89-1))))))</f>
        <v/>
      </c>
      <c r="AM89">
        <f>IF(AK89="","",IF(RIGHT(J89,1)="赤",K89-AL89,IF(LEFT(J89,1)="男",INDEX($W$2:$W$51,AK89),INDEX($AF$2:$AF$51,AK89))+K89-AL89))</f>
        <v/>
      </c>
      <c r="AN89">
        <f>IF(AK89="","",F89&amp;AK89&amp;"-"&amp;AM89)</f>
        <v/>
      </c>
      <c r="AO89">
        <f>IF(J89="","",F89&amp;D89)</f>
        <v/>
      </c>
      <c r="AP89">
        <f>IF(J89="","",IF(F89="男",COUNTIF(手直し!$B$6:$E$55,D89),COUNTIF(手直し!$F$6:$I$55,D89)))</f>
        <v/>
      </c>
      <c r="AQ89">
        <f>IF(AND(J89&lt;&gt;"",AP89=0),1,0)</f>
        <v/>
      </c>
      <c r="AR89">
        <f>IF(AND(AQ89=1,F89="男"),COUNTIFS($AQ$2:AQ89,1,$F$2:F89,"男"),"")</f>
        <v/>
      </c>
      <c r="AS89">
        <f>IF(AND(AQ89=1,F89="女"),COUNTIFS($AQ$2:AQ89,1,$F$2:F89,"女"),"")</f>
        <v/>
      </c>
    </row>
    <row r="90">
      <c r="A90" s="21">
        <f>ROW()-1</f>
        <v/>
      </c>
      <c r="B90" s="21">
        <f>INT((A90-1)/37)+1</f>
        <v/>
      </c>
      <c r="C90" s="21">
        <f>MOD(A90-1,37)+1</f>
        <v/>
      </c>
      <c r="D90" s="21">
        <f>INDEX(①データ入力!$B$3:$Y$39,C90,(B90-1)*5+1)&amp;""</f>
        <v/>
      </c>
      <c r="E90" s="21">
        <f>INDEX(①データ入力!$B$3:$Y$39,C90,(B90-1)*5+2)&amp;""</f>
        <v/>
      </c>
      <c r="F90" s="21">
        <f>IF(OR(E90="1",E90="１",E90="男"),"男",IF(OR(E90="2",E90="２",E90="女"),"女",""))</f>
        <v/>
      </c>
      <c r="G90" s="21">
        <f>INDEX(①データ入力!$B$3:$Y$39,C90,(B90-1)*5+3)</f>
        <v/>
      </c>
      <c r="H90" s="21">
        <f>INDEX(①データ入力!$B$3:$Y$39,C90,(B90-1)*5+4)&amp;""</f>
        <v/>
      </c>
      <c r="I90" s="21">
        <f>IF(LEFT(TRIM(H90),1)="赤","赤",IF(LEFT(TRIM(H90),1)="白","白",""))</f>
        <v/>
      </c>
      <c r="J90" s="21">
        <f>IF(AND(D90&lt;&gt;"",F90&lt;&gt;"",I90&lt;&gt;"",ISNUMBER(G90)),F90&amp;I90,"")</f>
        <v/>
      </c>
      <c r="K90" s="21">
        <f>IF(J90="","",COUNTIFS($J$2:$J$186,J90,$G$2:$G$186,"&lt;"&amp;G90)+COUNTIFS($J$2:$J$186,J90,$G$2:$G$186,G90,$A$2:$A$186,"&lt;"&amp;A90)+1)</f>
        <v/>
      </c>
      <c r="L90" s="21">
        <f>IF(J90="","",J90&amp;K90)</f>
        <v/>
      </c>
      <c r="M90" s="21">
        <f>B90&amp;"組"</f>
        <v/>
      </c>
      <c r="N90" s="21">
        <f>IF(AND(D90&lt;&gt;"",J90=""),1,0)</f>
        <v/>
      </c>
      <c r="AK90">
        <f>IF(J90="","",IF(J90="男赤",COUNTIF($Y$2:$Y$51,"&lt;"&amp;K90),IF(J90="男白",COUNTIF($Z$2:$Z$51,"&lt;"&amp;K90),IF(J90="女赤",COUNTIF($AH$2:$AH$51,"&lt;"&amp;K90),COUNTIF($AI$2:$AI$51,"&lt;"&amp;K90))))+1)</f>
        <v/>
      </c>
      <c r="AL90">
        <f>IF(AK90="","",IF(AK90=1,0,IF(J90="男赤",INDEX($Y$2:$Y$51,AK90-1),IF(J90="男白",INDEX($Z$2:$Z$51,AK90-1),IF(J90="女赤",INDEX($AH$2:$AH$51,AK90-1),INDEX($AI$2:$AI$51,AK90-1))))))</f>
        <v/>
      </c>
      <c r="AM90">
        <f>IF(AK90="","",IF(RIGHT(J90,1)="赤",K90-AL90,IF(LEFT(J90,1)="男",INDEX($W$2:$W$51,AK90),INDEX($AF$2:$AF$51,AK90))+K90-AL90))</f>
        <v/>
      </c>
      <c r="AN90">
        <f>IF(AK90="","",F90&amp;AK90&amp;"-"&amp;AM90)</f>
        <v/>
      </c>
      <c r="AO90">
        <f>IF(J90="","",F90&amp;D90)</f>
        <v/>
      </c>
      <c r="AP90">
        <f>IF(J90="","",IF(F90="男",COUNTIF(手直し!$B$6:$E$55,D90),COUNTIF(手直し!$F$6:$I$55,D90)))</f>
        <v/>
      </c>
      <c r="AQ90">
        <f>IF(AND(J90&lt;&gt;"",AP90=0),1,0)</f>
        <v/>
      </c>
      <c r="AR90">
        <f>IF(AND(AQ90=1,F90="男"),COUNTIFS($AQ$2:AQ90,1,$F$2:F90,"男"),"")</f>
        <v/>
      </c>
      <c r="AS90">
        <f>IF(AND(AQ90=1,F90="女"),COUNTIFS($AQ$2:AQ90,1,$F$2:F90,"女"),"")</f>
        <v/>
      </c>
    </row>
    <row r="91">
      <c r="A91" s="21">
        <f>ROW()-1</f>
        <v/>
      </c>
      <c r="B91" s="21">
        <f>INT((A91-1)/37)+1</f>
        <v/>
      </c>
      <c r="C91" s="21">
        <f>MOD(A91-1,37)+1</f>
        <v/>
      </c>
      <c r="D91" s="21">
        <f>INDEX(①データ入力!$B$3:$Y$39,C91,(B91-1)*5+1)&amp;""</f>
        <v/>
      </c>
      <c r="E91" s="21">
        <f>INDEX(①データ入力!$B$3:$Y$39,C91,(B91-1)*5+2)&amp;""</f>
        <v/>
      </c>
      <c r="F91" s="21">
        <f>IF(OR(E91="1",E91="１",E91="男"),"男",IF(OR(E91="2",E91="２",E91="女"),"女",""))</f>
        <v/>
      </c>
      <c r="G91" s="21">
        <f>INDEX(①データ入力!$B$3:$Y$39,C91,(B91-1)*5+3)</f>
        <v/>
      </c>
      <c r="H91" s="21">
        <f>INDEX(①データ入力!$B$3:$Y$39,C91,(B91-1)*5+4)&amp;""</f>
        <v/>
      </c>
      <c r="I91" s="21">
        <f>IF(LEFT(TRIM(H91),1)="赤","赤",IF(LEFT(TRIM(H91),1)="白","白",""))</f>
        <v/>
      </c>
      <c r="J91" s="21">
        <f>IF(AND(D91&lt;&gt;"",F91&lt;&gt;"",I91&lt;&gt;"",ISNUMBER(G91)),F91&amp;I91,"")</f>
        <v/>
      </c>
      <c r="K91" s="21">
        <f>IF(J91="","",COUNTIFS($J$2:$J$186,J91,$G$2:$G$186,"&lt;"&amp;G91)+COUNTIFS($J$2:$J$186,J91,$G$2:$G$186,G91,$A$2:$A$186,"&lt;"&amp;A91)+1)</f>
        <v/>
      </c>
      <c r="L91" s="21">
        <f>IF(J91="","",J91&amp;K91)</f>
        <v/>
      </c>
      <c r="M91" s="21">
        <f>B91&amp;"組"</f>
        <v/>
      </c>
      <c r="N91" s="21">
        <f>IF(AND(D91&lt;&gt;"",J91=""),1,0)</f>
        <v/>
      </c>
      <c r="AK91">
        <f>IF(J91="","",IF(J91="男赤",COUNTIF($Y$2:$Y$51,"&lt;"&amp;K91),IF(J91="男白",COUNTIF($Z$2:$Z$51,"&lt;"&amp;K91),IF(J91="女赤",COUNTIF($AH$2:$AH$51,"&lt;"&amp;K91),COUNTIF($AI$2:$AI$51,"&lt;"&amp;K91))))+1)</f>
        <v/>
      </c>
      <c r="AL91">
        <f>IF(AK91="","",IF(AK91=1,0,IF(J91="男赤",INDEX($Y$2:$Y$51,AK91-1),IF(J91="男白",INDEX($Z$2:$Z$51,AK91-1),IF(J91="女赤",INDEX($AH$2:$AH$51,AK91-1),INDEX($AI$2:$AI$51,AK91-1))))))</f>
        <v/>
      </c>
      <c r="AM91">
        <f>IF(AK91="","",IF(RIGHT(J91,1)="赤",K91-AL91,IF(LEFT(J91,1)="男",INDEX($W$2:$W$51,AK91),INDEX($AF$2:$AF$51,AK91))+K91-AL91))</f>
        <v/>
      </c>
      <c r="AN91">
        <f>IF(AK91="","",F91&amp;AK91&amp;"-"&amp;AM91)</f>
        <v/>
      </c>
      <c r="AO91">
        <f>IF(J91="","",F91&amp;D91)</f>
        <v/>
      </c>
      <c r="AP91">
        <f>IF(J91="","",IF(F91="男",COUNTIF(手直し!$B$6:$E$55,D91),COUNTIF(手直し!$F$6:$I$55,D91)))</f>
        <v/>
      </c>
      <c r="AQ91">
        <f>IF(AND(J91&lt;&gt;"",AP91=0),1,0)</f>
        <v/>
      </c>
      <c r="AR91">
        <f>IF(AND(AQ91=1,F91="男"),COUNTIFS($AQ$2:AQ91,1,$F$2:F91,"男"),"")</f>
        <v/>
      </c>
      <c r="AS91">
        <f>IF(AND(AQ91=1,F91="女"),COUNTIFS($AQ$2:AQ91,1,$F$2:F91,"女"),"")</f>
        <v/>
      </c>
    </row>
    <row r="92">
      <c r="A92" s="21">
        <f>ROW()-1</f>
        <v/>
      </c>
      <c r="B92" s="21">
        <f>INT((A92-1)/37)+1</f>
        <v/>
      </c>
      <c r="C92" s="21">
        <f>MOD(A92-1,37)+1</f>
        <v/>
      </c>
      <c r="D92" s="21">
        <f>INDEX(①データ入力!$B$3:$Y$39,C92,(B92-1)*5+1)&amp;""</f>
        <v/>
      </c>
      <c r="E92" s="21">
        <f>INDEX(①データ入力!$B$3:$Y$39,C92,(B92-1)*5+2)&amp;""</f>
        <v/>
      </c>
      <c r="F92" s="21">
        <f>IF(OR(E92="1",E92="１",E92="男"),"男",IF(OR(E92="2",E92="２",E92="女"),"女",""))</f>
        <v/>
      </c>
      <c r="G92" s="21">
        <f>INDEX(①データ入力!$B$3:$Y$39,C92,(B92-1)*5+3)</f>
        <v/>
      </c>
      <c r="H92" s="21">
        <f>INDEX(①データ入力!$B$3:$Y$39,C92,(B92-1)*5+4)&amp;""</f>
        <v/>
      </c>
      <c r="I92" s="21">
        <f>IF(LEFT(TRIM(H92),1)="赤","赤",IF(LEFT(TRIM(H92),1)="白","白",""))</f>
        <v/>
      </c>
      <c r="J92" s="21">
        <f>IF(AND(D92&lt;&gt;"",F92&lt;&gt;"",I92&lt;&gt;"",ISNUMBER(G92)),F92&amp;I92,"")</f>
        <v/>
      </c>
      <c r="K92" s="21">
        <f>IF(J92="","",COUNTIFS($J$2:$J$186,J92,$G$2:$G$186,"&lt;"&amp;G92)+COUNTIFS($J$2:$J$186,J92,$G$2:$G$186,G92,$A$2:$A$186,"&lt;"&amp;A92)+1)</f>
        <v/>
      </c>
      <c r="L92" s="21">
        <f>IF(J92="","",J92&amp;K92)</f>
        <v/>
      </c>
      <c r="M92" s="21">
        <f>B92&amp;"組"</f>
        <v/>
      </c>
      <c r="N92" s="21">
        <f>IF(AND(D92&lt;&gt;"",J92=""),1,0)</f>
        <v/>
      </c>
      <c r="AK92">
        <f>IF(J92="","",IF(J92="男赤",COUNTIF($Y$2:$Y$51,"&lt;"&amp;K92),IF(J92="男白",COUNTIF($Z$2:$Z$51,"&lt;"&amp;K92),IF(J92="女赤",COUNTIF($AH$2:$AH$51,"&lt;"&amp;K92),COUNTIF($AI$2:$AI$51,"&lt;"&amp;K92))))+1)</f>
        <v/>
      </c>
      <c r="AL92">
        <f>IF(AK92="","",IF(AK92=1,0,IF(J92="男赤",INDEX($Y$2:$Y$51,AK92-1),IF(J92="男白",INDEX($Z$2:$Z$51,AK92-1),IF(J92="女赤",INDEX($AH$2:$AH$51,AK92-1),INDEX($AI$2:$AI$51,AK92-1))))))</f>
        <v/>
      </c>
      <c r="AM92">
        <f>IF(AK92="","",IF(RIGHT(J92,1)="赤",K92-AL92,IF(LEFT(J92,1)="男",INDEX($W$2:$W$51,AK92),INDEX($AF$2:$AF$51,AK92))+K92-AL92))</f>
        <v/>
      </c>
      <c r="AN92">
        <f>IF(AK92="","",F92&amp;AK92&amp;"-"&amp;AM92)</f>
        <v/>
      </c>
      <c r="AO92">
        <f>IF(J92="","",F92&amp;D92)</f>
        <v/>
      </c>
      <c r="AP92">
        <f>IF(J92="","",IF(F92="男",COUNTIF(手直し!$B$6:$E$55,D92),COUNTIF(手直し!$F$6:$I$55,D92)))</f>
        <v/>
      </c>
      <c r="AQ92">
        <f>IF(AND(J92&lt;&gt;"",AP92=0),1,0)</f>
        <v/>
      </c>
      <c r="AR92">
        <f>IF(AND(AQ92=1,F92="男"),COUNTIFS($AQ$2:AQ92,1,$F$2:F92,"男"),"")</f>
        <v/>
      </c>
      <c r="AS92">
        <f>IF(AND(AQ92=1,F92="女"),COUNTIFS($AQ$2:AQ92,1,$F$2:F92,"女"),"")</f>
        <v/>
      </c>
    </row>
    <row r="93">
      <c r="A93" s="21">
        <f>ROW()-1</f>
        <v/>
      </c>
      <c r="B93" s="21">
        <f>INT((A93-1)/37)+1</f>
        <v/>
      </c>
      <c r="C93" s="21">
        <f>MOD(A93-1,37)+1</f>
        <v/>
      </c>
      <c r="D93" s="21">
        <f>INDEX(①データ入力!$B$3:$Y$39,C93,(B93-1)*5+1)&amp;""</f>
        <v/>
      </c>
      <c r="E93" s="21">
        <f>INDEX(①データ入力!$B$3:$Y$39,C93,(B93-1)*5+2)&amp;""</f>
        <v/>
      </c>
      <c r="F93" s="21">
        <f>IF(OR(E93="1",E93="１",E93="男"),"男",IF(OR(E93="2",E93="２",E93="女"),"女",""))</f>
        <v/>
      </c>
      <c r="G93" s="21">
        <f>INDEX(①データ入力!$B$3:$Y$39,C93,(B93-1)*5+3)</f>
        <v/>
      </c>
      <c r="H93" s="21">
        <f>INDEX(①データ入力!$B$3:$Y$39,C93,(B93-1)*5+4)&amp;""</f>
        <v/>
      </c>
      <c r="I93" s="21">
        <f>IF(LEFT(TRIM(H93),1)="赤","赤",IF(LEFT(TRIM(H93),1)="白","白",""))</f>
        <v/>
      </c>
      <c r="J93" s="21">
        <f>IF(AND(D93&lt;&gt;"",F93&lt;&gt;"",I93&lt;&gt;"",ISNUMBER(G93)),F93&amp;I93,"")</f>
        <v/>
      </c>
      <c r="K93" s="21">
        <f>IF(J93="","",COUNTIFS($J$2:$J$186,J93,$G$2:$G$186,"&lt;"&amp;G93)+COUNTIFS($J$2:$J$186,J93,$G$2:$G$186,G93,$A$2:$A$186,"&lt;"&amp;A93)+1)</f>
        <v/>
      </c>
      <c r="L93" s="21">
        <f>IF(J93="","",J93&amp;K93)</f>
        <v/>
      </c>
      <c r="M93" s="21">
        <f>B93&amp;"組"</f>
        <v/>
      </c>
      <c r="N93" s="21">
        <f>IF(AND(D93&lt;&gt;"",J93=""),1,0)</f>
        <v/>
      </c>
      <c r="AK93">
        <f>IF(J93="","",IF(J93="男赤",COUNTIF($Y$2:$Y$51,"&lt;"&amp;K93),IF(J93="男白",COUNTIF($Z$2:$Z$51,"&lt;"&amp;K93),IF(J93="女赤",COUNTIF($AH$2:$AH$51,"&lt;"&amp;K93),COUNTIF($AI$2:$AI$51,"&lt;"&amp;K93))))+1)</f>
        <v/>
      </c>
      <c r="AL93">
        <f>IF(AK93="","",IF(AK93=1,0,IF(J93="男赤",INDEX($Y$2:$Y$51,AK93-1),IF(J93="男白",INDEX($Z$2:$Z$51,AK93-1),IF(J93="女赤",INDEX($AH$2:$AH$51,AK93-1),INDEX($AI$2:$AI$51,AK93-1))))))</f>
        <v/>
      </c>
      <c r="AM93">
        <f>IF(AK93="","",IF(RIGHT(J93,1)="赤",K93-AL93,IF(LEFT(J93,1)="男",INDEX($W$2:$W$51,AK93),INDEX($AF$2:$AF$51,AK93))+K93-AL93))</f>
        <v/>
      </c>
      <c r="AN93">
        <f>IF(AK93="","",F93&amp;AK93&amp;"-"&amp;AM93)</f>
        <v/>
      </c>
      <c r="AO93">
        <f>IF(J93="","",F93&amp;D93)</f>
        <v/>
      </c>
      <c r="AP93">
        <f>IF(J93="","",IF(F93="男",COUNTIF(手直し!$B$6:$E$55,D93),COUNTIF(手直し!$F$6:$I$55,D93)))</f>
        <v/>
      </c>
      <c r="AQ93">
        <f>IF(AND(J93&lt;&gt;"",AP93=0),1,0)</f>
        <v/>
      </c>
      <c r="AR93">
        <f>IF(AND(AQ93=1,F93="男"),COUNTIFS($AQ$2:AQ93,1,$F$2:F93,"男"),"")</f>
        <v/>
      </c>
      <c r="AS93">
        <f>IF(AND(AQ93=1,F93="女"),COUNTIFS($AQ$2:AQ93,1,$F$2:F93,"女"),"")</f>
        <v/>
      </c>
    </row>
    <row r="94">
      <c r="A94" s="21">
        <f>ROW()-1</f>
        <v/>
      </c>
      <c r="B94" s="21">
        <f>INT((A94-1)/37)+1</f>
        <v/>
      </c>
      <c r="C94" s="21">
        <f>MOD(A94-1,37)+1</f>
        <v/>
      </c>
      <c r="D94" s="21">
        <f>INDEX(①データ入力!$B$3:$Y$39,C94,(B94-1)*5+1)&amp;""</f>
        <v/>
      </c>
      <c r="E94" s="21">
        <f>INDEX(①データ入力!$B$3:$Y$39,C94,(B94-1)*5+2)&amp;""</f>
        <v/>
      </c>
      <c r="F94" s="21">
        <f>IF(OR(E94="1",E94="１",E94="男"),"男",IF(OR(E94="2",E94="２",E94="女"),"女",""))</f>
        <v/>
      </c>
      <c r="G94" s="21">
        <f>INDEX(①データ入力!$B$3:$Y$39,C94,(B94-1)*5+3)</f>
        <v/>
      </c>
      <c r="H94" s="21">
        <f>INDEX(①データ入力!$B$3:$Y$39,C94,(B94-1)*5+4)&amp;""</f>
        <v/>
      </c>
      <c r="I94" s="21">
        <f>IF(LEFT(TRIM(H94),1)="赤","赤",IF(LEFT(TRIM(H94),1)="白","白",""))</f>
        <v/>
      </c>
      <c r="J94" s="21">
        <f>IF(AND(D94&lt;&gt;"",F94&lt;&gt;"",I94&lt;&gt;"",ISNUMBER(G94)),F94&amp;I94,"")</f>
        <v/>
      </c>
      <c r="K94" s="21">
        <f>IF(J94="","",COUNTIFS($J$2:$J$186,J94,$G$2:$G$186,"&lt;"&amp;G94)+COUNTIFS($J$2:$J$186,J94,$G$2:$G$186,G94,$A$2:$A$186,"&lt;"&amp;A94)+1)</f>
        <v/>
      </c>
      <c r="L94" s="21">
        <f>IF(J94="","",J94&amp;K94)</f>
        <v/>
      </c>
      <c r="M94" s="21">
        <f>B94&amp;"組"</f>
        <v/>
      </c>
      <c r="N94" s="21">
        <f>IF(AND(D94&lt;&gt;"",J94=""),1,0)</f>
        <v/>
      </c>
      <c r="AK94">
        <f>IF(J94="","",IF(J94="男赤",COUNTIF($Y$2:$Y$51,"&lt;"&amp;K94),IF(J94="男白",COUNTIF($Z$2:$Z$51,"&lt;"&amp;K94),IF(J94="女赤",COUNTIF($AH$2:$AH$51,"&lt;"&amp;K94),COUNTIF($AI$2:$AI$51,"&lt;"&amp;K94))))+1)</f>
        <v/>
      </c>
      <c r="AL94">
        <f>IF(AK94="","",IF(AK94=1,0,IF(J94="男赤",INDEX($Y$2:$Y$51,AK94-1),IF(J94="男白",INDEX($Z$2:$Z$51,AK94-1),IF(J94="女赤",INDEX($AH$2:$AH$51,AK94-1),INDEX($AI$2:$AI$51,AK94-1))))))</f>
        <v/>
      </c>
      <c r="AM94">
        <f>IF(AK94="","",IF(RIGHT(J94,1)="赤",K94-AL94,IF(LEFT(J94,1)="男",INDEX($W$2:$W$51,AK94),INDEX($AF$2:$AF$51,AK94))+K94-AL94))</f>
        <v/>
      </c>
      <c r="AN94">
        <f>IF(AK94="","",F94&amp;AK94&amp;"-"&amp;AM94)</f>
        <v/>
      </c>
      <c r="AO94">
        <f>IF(J94="","",F94&amp;D94)</f>
        <v/>
      </c>
      <c r="AP94">
        <f>IF(J94="","",IF(F94="男",COUNTIF(手直し!$B$6:$E$55,D94),COUNTIF(手直し!$F$6:$I$55,D94)))</f>
        <v/>
      </c>
      <c r="AQ94">
        <f>IF(AND(J94&lt;&gt;"",AP94=0),1,0)</f>
        <v/>
      </c>
      <c r="AR94">
        <f>IF(AND(AQ94=1,F94="男"),COUNTIFS($AQ$2:AQ94,1,$F$2:F94,"男"),"")</f>
        <v/>
      </c>
      <c r="AS94">
        <f>IF(AND(AQ94=1,F94="女"),COUNTIFS($AQ$2:AQ94,1,$F$2:F94,"女"),"")</f>
        <v/>
      </c>
    </row>
    <row r="95">
      <c r="A95" s="21">
        <f>ROW()-1</f>
        <v/>
      </c>
      <c r="B95" s="21">
        <f>INT((A95-1)/37)+1</f>
        <v/>
      </c>
      <c r="C95" s="21">
        <f>MOD(A95-1,37)+1</f>
        <v/>
      </c>
      <c r="D95" s="21">
        <f>INDEX(①データ入力!$B$3:$Y$39,C95,(B95-1)*5+1)&amp;""</f>
        <v/>
      </c>
      <c r="E95" s="21">
        <f>INDEX(①データ入力!$B$3:$Y$39,C95,(B95-1)*5+2)&amp;""</f>
        <v/>
      </c>
      <c r="F95" s="21">
        <f>IF(OR(E95="1",E95="１",E95="男"),"男",IF(OR(E95="2",E95="２",E95="女"),"女",""))</f>
        <v/>
      </c>
      <c r="G95" s="21">
        <f>INDEX(①データ入力!$B$3:$Y$39,C95,(B95-1)*5+3)</f>
        <v/>
      </c>
      <c r="H95" s="21">
        <f>INDEX(①データ入力!$B$3:$Y$39,C95,(B95-1)*5+4)&amp;""</f>
        <v/>
      </c>
      <c r="I95" s="21">
        <f>IF(LEFT(TRIM(H95),1)="赤","赤",IF(LEFT(TRIM(H95),1)="白","白",""))</f>
        <v/>
      </c>
      <c r="J95" s="21">
        <f>IF(AND(D95&lt;&gt;"",F95&lt;&gt;"",I95&lt;&gt;"",ISNUMBER(G95)),F95&amp;I95,"")</f>
        <v/>
      </c>
      <c r="K95" s="21">
        <f>IF(J95="","",COUNTIFS($J$2:$J$186,J95,$G$2:$G$186,"&lt;"&amp;G95)+COUNTIFS($J$2:$J$186,J95,$G$2:$G$186,G95,$A$2:$A$186,"&lt;"&amp;A95)+1)</f>
        <v/>
      </c>
      <c r="L95" s="21">
        <f>IF(J95="","",J95&amp;K95)</f>
        <v/>
      </c>
      <c r="M95" s="21">
        <f>B95&amp;"組"</f>
        <v/>
      </c>
      <c r="N95" s="21">
        <f>IF(AND(D95&lt;&gt;"",J95=""),1,0)</f>
        <v/>
      </c>
      <c r="AK95">
        <f>IF(J95="","",IF(J95="男赤",COUNTIF($Y$2:$Y$51,"&lt;"&amp;K95),IF(J95="男白",COUNTIF($Z$2:$Z$51,"&lt;"&amp;K95),IF(J95="女赤",COUNTIF($AH$2:$AH$51,"&lt;"&amp;K95),COUNTIF($AI$2:$AI$51,"&lt;"&amp;K95))))+1)</f>
        <v/>
      </c>
      <c r="AL95">
        <f>IF(AK95="","",IF(AK95=1,0,IF(J95="男赤",INDEX($Y$2:$Y$51,AK95-1),IF(J95="男白",INDEX($Z$2:$Z$51,AK95-1),IF(J95="女赤",INDEX($AH$2:$AH$51,AK95-1),INDEX($AI$2:$AI$51,AK95-1))))))</f>
        <v/>
      </c>
      <c r="AM95">
        <f>IF(AK95="","",IF(RIGHT(J95,1)="赤",K95-AL95,IF(LEFT(J95,1)="男",INDEX($W$2:$W$51,AK95),INDEX($AF$2:$AF$51,AK95))+K95-AL95))</f>
        <v/>
      </c>
      <c r="AN95">
        <f>IF(AK95="","",F95&amp;AK95&amp;"-"&amp;AM95)</f>
        <v/>
      </c>
      <c r="AO95">
        <f>IF(J95="","",F95&amp;D95)</f>
        <v/>
      </c>
      <c r="AP95">
        <f>IF(J95="","",IF(F95="男",COUNTIF(手直し!$B$6:$E$55,D95),COUNTIF(手直し!$F$6:$I$55,D95)))</f>
        <v/>
      </c>
      <c r="AQ95">
        <f>IF(AND(J95&lt;&gt;"",AP95=0),1,0)</f>
        <v/>
      </c>
      <c r="AR95">
        <f>IF(AND(AQ95=1,F95="男"),COUNTIFS($AQ$2:AQ95,1,$F$2:F95,"男"),"")</f>
        <v/>
      </c>
      <c r="AS95">
        <f>IF(AND(AQ95=1,F95="女"),COUNTIFS($AQ$2:AQ95,1,$F$2:F95,"女"),"")</f>
        <v/>
      </c>
    </row>
    <row r="96">
      <c r="A96" s="21">
        <f>ROW()-1</f>
        <v/>
      </c>
      <c r="B96" s="21">
        <f>INT((A96-1)/37)+1</f>
        <v/>
      </c>
      <c r="C96" s="21">
        <f>MOD(A96-1,37)+1</f>
        <v/>
      </c>
      <c r="D96" s="21">
        <f>INDEX(①データ入力!$B$3:$Y$39,C96,(B96-1)*5+1)&amp;""</f>
        <v/>
      </c>
      <c r="E96" s="21">
        <f>INDEX(①データ入力!$B$3:$Y$39,C96,(B96-1)*5+2)&amp;""</f>
        <v/>
      </c>
      <c r="F96" s="21">
        <f>IF(OR(E96="1",E96="１",E96="男"),"男",IF(OR(E96="2",E96="２",E96="女"),"女",""))</f>
        <v/>
      </c>
      <c r="G96" s="21">
        <f>INDEX(①データ入力!$B$3:$Y$39,C96,(B96-1)*5+3)</f>
        <v/>
      </c>
      <c r="H96" s="21">
        <f>INDEX(①データ入力!$B$3:$Y$39,C96,(B96-1)*5+4)&amp;""</f>
        <v/>
      </c>
      <c r="I96" s="21">
        <f>IF(LEFT(TRIM(H96),1)="赤","赤",IF(LEFT(TRIM(H96),1)="白","白",""))</f>
        <v/>
      </c>
      <c r="J96" s="21">
        <f>IF(AND(D96&lt;&gt;"",F96&lt;&gt;"",I96&lt;&gt;"",ISNUMBER(G96)),F96&amp;I96,"")</f>
        <v/>
      </c>
      <c r="K96" s="21">
        <f>IF(J96="","",COUNTIFS($J$2:$J$186,J96,$G$2:$G$186,"&lt;"&amp;G96)+COUNTIFS($J$2:$J$186,J96,$G$2:$G$186,G96,$A$2:$A$186,"&lt;"&amp;A96)+1)</f>
        <v/>
      </c>
      <c r="L96" s="21">
        <f>IF(J96="","",J96&amp;K96)</f>
        <v/>
      </c>
      <c r="M96" s="21">
        <f>B96&amp;"組"</f>
        <v/>
      </c>
      <c r="N96" s="21">
        <f>IF(AND(D96&lt;&gt;"",J96=""),1,0)</f>
        <v/>
      </c>
      <c r="AK96">
        <f>IF(J96="","",IF(J96="男赤",COUNTIF($Y$2:$Y$51,"&lt;"&amp;K96),IF(J96="男白",COUNTIF($Z$2:$Z$51,"&lt;"&amp;K96),IF(J96="女赤",COUNTIF($AH$2:$AH$51,"&lt;"&amp;K96),COUNTIF($AI$2:$AI$51,"&lt;"&amp;K96))))+1)</f>
        <v/>
      </c>
      <c r="AL96">
        <f>IF(AK96="","",IF(AK96=1,0,IF(J96="男赤",INDEX($Y$2:$Y$51,AK96-1),IF(J96="男白",INDEX($Z$2:$Z$51,AK96-1),IF(J96="女赤",INDEX($AH$2:$AH$51,AK96-1),INDEX($AI$2:$AI$51,AK96-1))))))</f>
        <v/>
      </c>
      <c r="AM96">
        <f>IF(AK96="","",IF(RIGHT(J96,1)="赤",K96-AL96,IF(LEFT(J96,1)="男",INDEX($W$2:$W$51,AK96),INDEX($AF$2:$AF$51,AK96))+K96-AL96))</f>
        <v/>
      </c>
      <c r="AN96">
        <f>IF(AK96="","",F96&amp;AK96&amp;"-"&amp;AM96)</f>
        <v/>
      </c>
      <c r="AO96">
        <f>IF(J96="","",F96&amp;D96)</f>
        <v/>
      </c>
      <c r="AP96">
        <f>IF(J96="","",IF(F96="男",COUNTIF(手直し!$B$6:$E$55,D96),COUNTIF(手直し!$F$6:$I$55,D96)))</f>
        <v/>
      </c>
      <c r="AQ96">
        <f>IF(AND(J96&lt;&gt;"",AP96=0),1,0)</f>
        <v/>
      </c>
      <c r="AR96">
        <f>IF(AND(AQ96=1,F96="男"),COUNTIFS($AQ$2:AQ96,1,$F$2:F96,"男"),"")</f>
        <v/>
      </c>
      <c r="AS96">
        <f>IF(AND(AQ96=1,F96="女"),COUNTIFS($AQ$2:AQ96,1,$F$2:F96,"女"),"")</f>
        <v/>
      </c>
    </row>
    <row r="97">
      <c r="A97" s="21">
        <f>ROW()-1</f>
        <v/>
      </c>
      <c r="B97" s="21">
        <f>INT((A97-1)/37)+1</f>
        <v/>
      </c>
      <c r="C97" s="21">
        <f>MOD(A97-1,37)+1</f>
        <v/>
      </c>
      <c r="D97" s="21">
        <f>INDEX(①データ入力!$B$3:$Y$39,C97,(B97-1)*5+1)&amp;""</f>
        <v/>
      </c>
      <c r="E97" s="21">
        <f>INDEX(①データ入力!$B$3:$Y$39,C97,(B97-1)*5+2)&amp;""</f>
        <v/>
      </c>
      <c r="F97" s="21">
        <f>IF(OR(E97="1",E97="１",E97="男"),"男",IF(OR(E97="2",E97="２",E97="女"),"女",""))</f>
        <v/>
      </c>
      <c r="G97" s="21">
        <f>INDEX(①データ入力!$B$3:$Y$39,C97,(B97-1)*5+3)</f>
        <v/>
      </c>
      <c r="H97" s="21">
        <f>INDEX(①データ入力!$B$3:$Y$39,C97,(B97-1)*5+4)&amp;""</f>
        <v/>
      </c>
      <c r="I97" s="21">
        <f>IF(LEFT(TRIM(H97),1)="赤","赤",IF(LEFT(TRIM(H97),1)="白","白",""))</f>
        <v/>
      </c>
      <c r="J97" s="21">
        <f>IF(AND(D97&lt;&gt;"",F97&lt;&gt;"",I97&lt;&gt;"",ISNUMBER(G97)),F97&amp;I97,"")</f>
        <v/>
      </c>
      <c r="K97" s="21">
        <f>IF(J97="","",COUNTIFS($J$2:$J$186,J97,$G$2:$G$186,"&lt;"&amp;G97)+COUNTIFS($J$2:$J$186,J97,$G$2:$G$186,G97,$A$2:$A$186,"&lt;"&amp;A97)+1)</f>
        <v/>
      </c>
      <c r="L97" s="21">
        <f>IF(J97="","",J97&amp;K97)</f>
        <v/>
      </c>
      <c r="M97" s="21">
        <f>B97&amp;"組"</f>
        <v/>
      </c>
      <c r="N97" s="21">
        <f>IF(AND(D97&lt;&gt;"",J97=""),1,0)</f>
        <v/>
      </c>
      <c r="AK97">
        <f>IF(J97="","",IF(J97="男赤",COUNTIF($Y$2:$Y$51,"&lt;"&amp;K97),IF(J97="男白",COUNTIF($Z$2:$Z$51,"&lt;"&amp;K97),IF(J97="女赤",COUNTIF($AH$2:$AH$51,"&lt;"&amp;K97),COUNTIF($AI$2:$AI$51,"&lt;"&amp;K97))))+1)</f>
        <v/>
      </c>
      <c r="AL97">
        <f>IF(AK97="","",IF(AK97=1,0,IF(J97="男赤",INDEX($Y$2:$Y$51,AK97-1),IF(J97="男白",INDEX($Z$2:$Z$51,AK97-1),IF(J97="女赤",INDEX($AH$2:$AH$51,AK97-1),INDEX($AI$2:$AI$51,AK97-1))))))</f>
        <v/>
      </c>
      <c r="AM97">
        <f>IF(AK97="","",IF(RIGHT(J97,1)="赤",K97-AL97,IF(LEFT(J97,1)="男",INDEX($W$2:$W$51,AK97),INDEX($AF$2:$AF$51,AK97))+K97-AL97))</f>
        <v/>
      </c>
      <c r="AN97">
        <f>IF(AK97="","",F97&amp;AK97&amp;"-"&amp;AM97)</f>
        <v/>
      </c>
      <c r="AO97">
        <f>IF(J97="","",F97&amp;D97)</f>
        <v/>
      </c>
      <c r="AP97">
        <f>IF(J97="","",IF(F97="男",COUNTIF(手直し!$B$6:$E$55,D97),COUNTIF(手直し!$F$6:$I$55,D97)))</f>
        <v/>
      </c>
      <c r="AQ97">
        <f>IF(AND(J97&lt;&gt;"",AP97=0),1,0)</f>
        <v/>
      </c>
      <c r="AR97">
        <f>IF(AND(AQ97=1,F97="男"),COUNTIFS($AQ$2:AQ97,1,$F$2:F97,"男"),"")</f>
        <v/>
      </c>
      <c r="AS97">
        <f>IF(AND(AQ97=1,F97="女"),COUNTIFS($AQ$2:AQ97,1,$F$2:F97,"女"),"")</f>
        <v/>
      </c>
    </row>
    <row r="98">
      <c r="A98" s="21">
        <f>ROW()-1</f>
        <v/>
      </c>
      <c r="B98" s="21">
        <f>INT((A98-1)/37)+1</f>
        <v/>
      </c>
      <c r="C98" s="21">
        <f>MOD(A98-1,37)+1</f>
        <v/>
      </c>
      <c r="D98" s="21">
        <f>INDEX(①データ入力!$B$3:$Y$39,C98,(B98-1)*5+1)&amp;""</f>
        <v/>
      </c>
      <c r="E98" s="21">
        <f>INDEX(①データ入力!$B$3:$Y$39,C98,(B98-1)*5+2)&amp;""</f>
        <v/>
      </c>
      <c r="F98" s="21">
        <f>IF(OR(E98="1",E98="１",E98="男"),"男",IF(OR(E98="2",E98="２",E98="女"),"女",""))</f>
        <v/>
      </c>
      <c r="G98" s="21">
        <f>INDEX(①データ入力!$B$3:$Y$39,C98,(B98-1)*5+3)</f>
        <v/>
      </c>
      <c r="H98" s="21">
        <f>INDEX(①データ入力!$B$3:$Y$39,C98,(B98-1)*5+4)&amp;""</f>
        <v/>
      </c>
      <c r="I98" s="21">
        <f>IF(LEFT(TRIM(H98),1)="赤","赤",IF(LEFT(TRIM(H98),1)="白","白",""))</f>
        <v/>
      </c>
      <c r="J98" s="21">
        <f>IF(AND(D98&lt;&gt;"",F98&lt;&gt;"",I98&lt;&gt;"",ISNUMBER(G98)),F98&amp;I98,"")</f>
        <v/>
      </c>
      <c r="K98" s="21">
        <f>IF(J98="","",COUNTIFS($J$2:$J$186,J98,$G$2:$G$186,"&lt;"&amp;G98)+COUNTIFS($J$2:$J$186,J98,$G$2:$G$186,G98,$A$2:$A$186,"&lt;"&amp;A98)+1)</f>
        <v/>
      </c>
      <c r="L98" s="21">
        <f>IF(J98="","",J98&amp;K98)</f>
        <v/>
      </c>
      <c r="M98" s="21">
        <f>B98&amp;"組"</f>
        <v/>
      </c>
      <c r="N98" s="21">
        <f>IF(AND(D98&lt;&gt;"",J98=""),1,0)</f>
        <v/>
      </c>
      <c r="AK98">
        <f>IF(J98="","",IF(J98="男赤",COUNTIF($Y$2:$Y$51,"&lt;"&amp;K98),IF(J98="男白",COUNTIF($Z$2:$Z$51,"&lt;"&amp;K98),IF(J98="女赤",COUNTIF($AH$2:$AH$51,"&lt;"&amp;K98),COUNTIF($AI$2:$AI$51,"&lt;"&amp;K98))))+1)</f>
        <v/>
      </c>
      <c r="AL98">
        <f>IF(AK98="","",IF(AK98=1,0,IF(J98="男赤",INDEX($Y$2:$Y$51,AK98-1),IF(J98="男白",INDEX($Z$2:$Z$51,AK98-1),IF(J98="女赤",INDEX($AH$2:$AH$51,AK98-1),INDEX($AI$2:$AI$51,AK98-1))))))</f>
        <v/>
      </c>
      <c r="AM98">
        <f>IF(AK98="","",IF(RIGHT(J98,1)="赤",K98-AL98,IF(LEFT(J98,1)="男",INDEX($W$2:$W$51,AK98),INDEX($AF$2:$AF$51,AK98))+K98-AL98))</f>
        <v/>
      </c>
      <c r="AN98">
        <f>IF(AK98="","",F98&amp;AK98&amp;"-"&amp;AM98)</f>
        <v/>
      </c>
      <c r="AO98">
        <f>IF(J98="","",F98&amp;D98)</f>
        <v/>
      </c>
      <c r="AP98">
        <f>IF(J98="","",IF(F98="男",COUNTIF(手直し!$B$6:$E$55,D98),COUNTIF(手直し!$F$6:$I$55,D98)))</f>
        <v/>
      </c>
      <c r="AQ98">
        <f>IF(AND(J98&lt;&gt;"",AP98=0),1,0)</f>
        <v/>
      </c>
      <c r="AR98">
        <f>IF(AND(AQ98=1,F98="男"),COUNTIFS($AQ$2:AQ98,1,$F$2:F98,"男"),"")</f>
        <v/>
      </c>
      <c r="AS98">
        <f>IF(AND(AQ98=1,F98="女"),COUNTIFS($AQ$2:AQ98,1,$F$2:F98,"女"),"")</f>
        <v/>
      </c>
    </row>
    <row r="99">
      <c r="A99" s="21">
        <f>ROW()-1</f>
        <v/>
      </c>
      <c r="B99" s="21">
        <f>INT((A99-1)/37)+1</f>
        <v/>
      </c>
      <c r="C99" s="21">
        <f>MOD(A99-1,37)+1</f>
        <v/>
      </c>
      <c r="D99" s="21">
        <f>INDEX(①データ入力!$B$3:$Y$39,C99,(B99-1)*5+1)&amp;""</f>
        <v/>
      </c>
      <c r="E99" s="21">
        <f>INDEX(①データ入力!$B$3:$Y$39,C99,(B99-1)*5+2)&amp;""</f>
        <v/>
      </c>
      <c r="F99" s="21">
        <f>IF(OR(E99="1",E99="１",E99="男"),"男",IF(OR(E99="2",E99="２",E99="女"),"女",""))</f>
        <v/>
      </c>
      <c r="G99" s="21">
        <f>INDEX(①データ入力!$B$3:$Y$39,C99,(B99-1)*5+3)</f>
        <v/>
      </c>
      <c r="H99" s="21">
        <f>INDEX(①データ入力!$B$3:$Y$39,C99,(B99-1)*5+4)&amp;""</f>
        <v/>
      </c>
      <c r="I99" s="21">
        <f>IF(LEFT(TRIM(H99),1)="赤","赤",IF(LEFT(TRIM(H99),1)="白","白",""))</f>
        <v/>
      </c>
      <c r="J99" s="21">
        <f>IF(AND(D99&lt;&gt;"",F99&lt;&gt;"",I99&lt;&gt;"",ISNUMBER(G99)),F99&amp;I99,"")</f>
        <v/>
      </c>
      <c r="K99" s="21">
        <f>IF(J99="","",COUNTIFS($J$2:$J$186,J99,$G$2:$G$186,"&lt;"&amp;G99)+COUNTIFS($J$2:$J$186,J99,$G$2:$G$186,G99,$A$2:$A$186,"&lt;"&amp;A99)+1)</f>
        <v/>
      </c>
      <c r="L99" s="21">
        <f>IF(J99="","",J99&amp;K99)</f>
        <v/>
      </c>
      <c r="M99" s="21">
        <f>B99&amp;"組"</f>
        <v/>
      </c>
      <c r="N99" s="21">
        <f>IF(AND(D99&lt;&gt;"",J99=""),1,0)</f>
        <v/>
      </c>
      <c r="AK99">
        <f>IF(J99="","",IF(J99="男赤",COUNTIF($Y$2:$Y$51,"&lt;"&amp;K99),IF(J99="男白",COUNTIF($Z$2:$Z$51,"&lt;"&amp;K99),IF(J99="女赤",COUNTIF($AH$2:$AH$51,"&lt;"&amp;K99),COUNTIF($AI$2:$AI$51,"&lt;"&amp;K99))))+1)</f>
        <v/>
      </c>
      <c r="AL99">
        <f>IF(AK99="","",IF(AK99=1,0,IF(J99="男赤",INDEX($Y$2:$Y$51,AK99-1),IF(J99="男白",INDEX($Z$2:$Z$51,AK99-1),IF(J99="女赤",INDEX($AH$2:$AH$51,AK99-1),INDEX($AI$2:$AI$51,AK99-1))))))</f>
        <v/>
      </c>
      <c r="AM99">
        <f>IF(AK99="","",IF(RIGHT(J99,1)="赤",K99-AL99,IF(LEFT(J99,1)="男",INDEX($W$2:$W$51,AK99),INDEX($AF$2:$AF$51,AK99))+K99-AL99))</f>
        <v/>
      </c>
      <c r="AN99">
        <f>IF(AK99="","",F99&amp;AK99&amp;"-"&amp;AM99)</f>
        <v/>
      </c>
      <c r="AO99">
        <f>IF(J99="","",F99&amp;D99)</f>
        <v/>
      </c>
      <c r="AP99">
        <f>IF(J99="","",IF(F99="男",COUNTIF(手直し!$B$6:$E$55,D99),COUNTIF(手直し!$F$6:$I$55,D99)))</f>
        <v/>
      </c>
      <c r="AQ99">
        <f>IF(AND(J99&lt;&gt;"",AP99=0),1,0)</f>
        <v/>
      </c>
      <c r="AR99">
        <f>IF(AND(AQ99=1,F99="男"),COUNTIFS($AQ$2:AQ99,1,$F$2:F99,"男"),"")</f>
        <v/>
      </c>
      <c r="AS99">
        <f>IF(AND(AQ99=1,F99="女"),COUNTIFS($AQ$2:AQ99,1,$F$2:F99,"女"),"")</f>
        <v/>
      </c>
    </row>
    <row r="100">
      <c r="A100" s="21">
        <f>ROW()-1</f>
        <v/>
      </c>
      <c r="B100" s="21">
        <f>INT((A100-1)/37)+1</f>
        <v/>
      </c>
      <c r="C100" s="21">
        <f>MOD(A100-1,37)+1</f>
        <v/>
      </c>
      <c r="D100" s="21">
        <f>INDEX(①データ入力!$B$3:$Y$39,C100,(B100-1)*5+1)&amp;""</f>
        <v/>
      </c>
      <c r="E100" s="21">
        <f>INDEX(①データ入力!$B$3:$Y$39,C100,(B100-1)*5+2)&amp;""</f>
        <v/>
      </c>
      <c r="F100" s="21">
        <f>IF(OR(E100="1",E100="１",E100="男"),"男",IF(OR(E100="2",E100="２",E100="女"),"女",""))</f>
        <v/>
      </c>
      <c r="G100" s="21">
        <f>INDEX(①データ入力!$B$3:$Y$39,C100,(B100-1)*5+3)</f>
        <v/>
      </c>
      <c r="H100" s="21">
        <f>INDEX(①データ入力!$B$3:$Y$39,C100,(B100-1)*5+4)&amp;""</f>
        <v/>
      </c>
      <c r="I100" s="21">
        <f>IF(LEFT(TRIM(H100),1)="赤","赤",IF(LEFT(TRIM(H100),1)="白","白",""))</f>
        <v/>
      </c>
      <c r="J100" s="21">
        <f>IF(AND(D100&lt;&gt;"",F100&lt;&gt;"",I100&lt;&gt;"",ISNUMBER(G100)),F100&amp;I100,"")</f>
        <v/>
      </c>
      <c r="K100" s="21">
        <f>IF(J100="","",COUNTIFS($J$2:$J$186,J100,$G$2:$G$186,"&lt;"&amp;G100)+COUNTIFS($J$2:$J$186,J100,$G$2:$G$186,G100,$A$2:$A$186,"&lt;"&amp;A100)+1)</f>
        <v/>
      </c>
      <c r="L100" s="21">
        <f>IF(J100="","",J100&amp;K100)</f>
        <v/>
      </c>
      <c r="M100" s="21">
        <f>B100&amp;"組"</f>
        <v/>
      </c>
      <c r="N100" s="21">
        <f>IF(AND(D100&lt;&gt;"",J100=""),1,0)</f>
        <v/>
      </c>
      <c r="AK100">
        <f>IF(J100="","",IF(J100="男赤",COUNTIF($Y$2:$Y$51,"&lt;"&amp;K100),IF(J100="男白",COUNTIF($Z$2:$Z$51,"&lt;"&amp;K100),IF(J100="女赤",COUNTIF($AH$2:$AH$51,"&lt;"&amp;K100),COUNTIF($AI$2:$AI$51,"&lt;"&amp;K100))))+1)</f>
        <v/>
      </c>
      <c r="AL100">
        <f>IF(AK100="","",IF(AK100=1,0,IF(J100="男赤",INDEX($Y$2:$Y$51,AK100-1),IF(J100="男白",INDEX($Z$2:$Z$51,AK100-1),IF(J100="女赤",INDEX($AH$2:$AH$51,AK100-1),INDEX($AI$2:$AI$51,AK100-1))))))</f>
        <v/>
      </c>
      <c r="AM100">
        <f>IF(AK100="","",IF(RIGHT(J100,1)="赤",K100-AL100,IF(LEFT(J100,1)="男",INDEX($W$2:$W$51,AK100),INDEX($AF$2:$AF$51,AK100))+K100-AL100))</f>
        <v/>
      </c>
      <c r="AN100">
        <f>IF(AK100="","",F100&amp;AK100&amp;"-"&amp;AM100)</f>
        <v/>
      </c>
      <c r="AO100">
        <f>IF(J100="","",F100&amp;D100)</f>
        <v/>
      </c>
      <c r="AP100">
        <f>IF(J100="","",IF(F100="男",COUNTIF(手直し!$B$6:$E$55,D100),COUNTIF(手直し!$F$6:$I$55,D100)))</f>
        <v/>
      </c>
      <c r="AQ100">
        <f>IF(AND(J100&lt;&gt;"",AP100=0),1,0)</f>
        <v/>
      </c>
      <c r="AR100">
        <f>IF(AND(AQ100=1,F100="男"),COUNTIFS($AQ$2:AQ100,1,$F$2:F100,"男"),"")</f>
        <v/>
      </c>
      <c r="AS100">
        <f>IF(AND(AQ100=1,F100="女"),COUNTIFS($AQ$2:AQ100,1,$F$2:F100,"女"),"")</f>
        <v/>
      </c>
    </row>
    <row r="101">
      <c r="A101" s="21">
        <f>ROW()-1</f>
        <v/>
      </c>
      <c r="B101" s="21">
        <f>INT((A101-1)/37)+1</f>
        <v/>
      </c>
      <c r="C101" s="21">
        <f>MOD(A101-1,37)+1</f>
        <v/>
      </c>
      <c r="D101" s="21">
        <f>INDEX(①データ入力!$B$3:$Y$39,C101,(B101-1)*5+1)&amp;""</f>
        <v/>
      </c>
      <c r="E101" s="21">
        <f>INDEX(①データ入力!$B$3:$Y$39,C101,(B101-1)*5+2)&amp;""</f>
        <v/>
      </c>
      <c r="F101" s="21">
        <f>IF(OR(E101="1",E101="１",E101="男"),"男",IF(OR(E101="2",E101="２",E101="女"),"女",""))</f>
        <v/>
      </c>
      <c r="G101" s="21">
        <f>INDEX(①データ入力!$B$3:$Y$39,C101,(B101-1)*5+3)</f>
        <v/>
      </c>
      <c r="H101" s="21">
        <f>INDEX(①データ入力!$B$3:$Y$39,C101,(B101-1)*5+4)&amp;""</f>
        <v/>
      </c>
      <c r="I101" s="21">
        <f>IF(LEFT(TRIM(H101),1)="赤","赤",IF(LEFT(TRIM(H101),1)="白","白",""))</f>
        <v/>
      </c>
      <c r="J101" s="21">
        <f>IF(AND(D101&lt;&gt;"",F101&lt;&gt;"",I101&lt;&gt;"",ISNUMBER(G101)),F101&amp;I101,"")</f>
        <v/>
      </c>
      <c r="K101" s="21">
        <f>IF(J101="","",COUNTIFS($J$2:$J$186,J101,$G$2:$G$186,"&lt;"&amp;G101)+COUNTIFS($J$2:$J$186,J101,$G$2:$G$186,G101,$A$2:$A$186,"&lt;"&amp;A101)+1)</f>
        <v/>
      </c>
      <c r="L101" s="21">
        <f>IF(J101="","",J101&amp;K101)</f>
        <v/>
      </c>
      <c r="M101" s="21">
        <f>B101&amp;"組"</f>
        <v/>
      </c>
      <c r="N101" s="21">
        <f>IF(AND(D101&lt;&gt;"",J101=""),1,0)</f>
        <v/>
      </c>
      <c r="AK101">
        <f>IF(J101="","",IF(J101="男赤",COUNTIF($Y$2:$Y$51,"&lt;"&amp;K101),IF(J101="男白",COUNTIF($Z$2:$Z$51,"&lt;"&amp;K101),IF(J101="女赤",COUNTIF($AH$2:$AH$51,"&lt;"&amp;K101),COUNTIF($AI$2:$AI$51,"&lt;"&amp;K101))))+1)</f>
        <v/>
      </c>
      <c r="AL101">
        <f>IF(AK101="","",IF(AK101=1,0,IF(J101="男赤",INDEX($Y$2:$Y$51,AK101-1),IF(J101="男白",INDEX($Z$2:$Z$51,AK101-1),IF(J101="女赤",INDEX($AH$2:$AH$51,AK101-1),INDEX($AI$2:$AI$51,AK101-1))))))</f>
        <v/>
      </c>
      <c r="AM101">
        <f>IF(AK101="","",IF(RIGHT(J101,1)="赤",K101-AL101,IF(LEFT(J101,1)="男",INDEX($W$2:$W$51,AK101),INDEX($AF$2:$AF$51,AK101))+K101-AL101))</f>
        <v/>
      </c>
      <c r="AN101">
        <f>IF(AK101="","",F101&amp;AK101&amp;"-"&amp;AM101)</f>
        <v/>
      </c>
      <c r="AO101">
        <f>IF(J101="","",F101&amp;D101)</f>
        <v/>
      </c>
      <c r="AP101">
        <f>IF(J101="","",IF(F101="男",COUNTIF(手直し!$B$6:$E$55,D101),COUNTIF(手直し!$F$6:$I$55,D101)))</f>
        <v/>
      </c>
      <c r="AQ101">
        <f>IF(AND(J101&lt;&gt;"",AP101=0),1,0)</f>
        <v/>
      </c>
      <c r="AR101">
        <f>IF(AND(AQ101=1,F101="男"),COUNTIFS($AQ$2:AQ101,1,$F$2:F101,"男"),"")</f>
        <v/>
      </c>
      <c r="AS101">
        <f>IF(AND(AQ101=1,F101="女"),COUNTIFS($AQ$2:AQ101,1,$F$2:F101,"女"),"")</f>
        <v/>
      </c>
    </row>
    <row r="102">
      <c r="A102" s="21">
        <f>ROW()-1</f>
        <v/>
      </c>
      <c r="B102" s="21">
        <f>INT((A102-1)/37)+1</f>
        <v/>
      </c>
      <c r="C102" s="21">
        <f>MOD(A102-1,37)+1</f>
        <v/>
      </c>
      <c r="D102" s="21">
        <f>INDEX(①データ入力!$B$3:$Y$39,C102,(B102-1)*5+1)&amp;""</f>
        <v/>
      </c>
      <c r="E102" s="21">
        <f>INDEX(①データ入力!$B$3:$Y$39,C102,(B102-1)*5+2)&amp;""</f>
        <v/>
      </c>
      <c r="F102" s="21">
        <f>IF(OR(E102="1",E102="１",E102="男"),"男",IF(OR(E102="2",E102="２",E102="女"),"女",""))</f>
        <v/>
      </c>
      <c r="G102" s="21">
        <f>INDEX(①データ入力!$B$3:$Y$39,C102,(B102-1)*5+3)</f>
        <v/>
      </c>
      <c r="H102" s="21">
        <f>INDEX(①データ入力!$B$3:$Y$39,C102,(B102-1)*5+4)&amp;""</f>
        <v/>
      </c>
      <c r="I102" s="21">
        <f>IF(LEFT(TRIM(H102),1)="赤","赤",IF(LEFT(TRIM(H102),1)="白","白",""))</f>
        <v/>
      </c>
      <c r="J102" s="21">
        <f>IF(AND(D102&lt;&gt;"",F102&lt;&gt;"",I102&lt;&gt;"",ISNUMBER(G102)),F102&amp;I102,"")</f>
        <v/>
      </c>
      <c r="K102" s="21">
        <f>IF(J102="","",COUNTIFS($J$2:$J$186,J102,$G$2:$G$186,"&lt;"&amp;G102)+COUNTIFS($J$2:$J$186,J102,$G$2:$G$186,G102,$A$2:$A$186,"&lt;"&amp;A102)+1)</f>
        <v/>
      </c>
      <c r="L102" s="21">
        <f>IF(J102="","",J102&amp;K102)</f>
        <v/>
      </c>
      <c r="M102" s="21">
        <f>B102&amp;"組"</f>
        <v/>
      </c>
      <c r="N102" s="21">
        <f>IF(AND(D102&lt;&gt;"",J102=""),1,0)</f>
        <v/>
      </c>
      <c r="AK102">
        <f>IF(J102="","",IF(J102="男赤",COUNTIF($Y$2:$Y$51,"&lt;"&amp;K102),IF(J102="男白",COUNTIF($Z$2:$Z$51,"&lt;"&amp;K102),IF(J102="女赤",COUNTIF($AH$2:$AH$51,"&lt;"&amp;K102),COUNTIF($AI$2:$AI$51,"&lt;"&amp;K102))))+1)</f>
        <v/>
      </c>
      <c r="AL102">
        <f>IF(AK102="","",IF(AK102=1,0,IF(J102="男赤",INDEX($Y$2:$Y$51,AK102-1),IF(J102="男白",INDEX($Z$2:$Z$51,AK102-1),IF(J102="女赤",INDEX($AH$2:$AH$51,AK102-1),INDEX($AI$2:$AI$51,AK102-1))))))</f>
        <v/>
      </c>
      <c r="AM102">
        <f>IF(AK102="","",IF(RIGHT(J102,1)="赤",K102-AL102,IF(LEFT(J102,1)="男",INDEX($W$2:$W$51,AK102),INDEX($AF$2:$AF$51,AK102))+K102-AL102))</f>
        <v/>
      </c>
      <c r="AN102">
        <f>IF(AK102="","",F102&amp;AK102&amp;"-"&amp;AM102)</f>
        <v/>
      </c>
      <c r="AO102">
        <f>IF(J102="","",F102&amp;D102)</f>
        <v/>
      </c>
      <c r="AP102">
        <f>IF(J102="","",IF(F102="男",COUNTIF(手直し!$B$6:$E$55,D102),COUNTIF(手直し!$F$6:$I$55,D102)))</f>
        <v/>
      </c>
      <c r="AQ102">
        <f>IF(AND(J102&lt;&gt;"",AP102=0),1,0)</f>
        <v/>
      </c>
      <c r="AR102">
        <f>IF(AND(AQ102=1,F102="男"),COUNTIFS($AQ$2:AQ102,1,$F$2:F102,"男"),"")</f>
        <v/>
      </c>
      <c r="AS102">
        <f>IF(AND(AQ102=1,F102="女"),COUNTIFS($AQ$2:AQ102,1,$F$2:F102,"女"),"")</f>
        <v/>
      </c>
    </row>
    <row r="103">
      <c r="A103" s="21">
        <f>ROW()-1</f>
        <v/>
      </c>
      <c r="B103" s="21">
        <f>INT((A103-1)/37)+1</f>
        <v/>
      </c>
      <c r="C103" s="21">
        <f>MOD(A103-1,37)+1</f>
        <v/>
      </c>
      <c r="D103" s="21">
        <f>INDEX(①データ入力!$B$3:$Y$39,C103,(B103-1)*5+1)&amp;""</f>
        <v/>
      </c>
      <c r="E103" s="21">
        <f>INDEX(①データ入力!$B$3:$Y$39,C103,(B103-1)*5+2)&amp;""</f>
        <v/>
      </c>
      <c r="F103" s="21">
        <f>IF(OR(E103="1",E103="１",E103="男"),"男",IF(OR(E103="2",E103="２",E103="女"),"女",""))</f>
        <v/>
      </c>
      <c r="G103" s="21">
        <f>INDEX(①データ入力!$B$3:$Y$39,C103,(B103-1)*5+3)</f>
        <v/>
      </c>
      <c r="H103" s="21">
        <f>INDEX(①データ入力!$B$3:$Y$39,C103,(B103-1)*5+4)&amp;""</f>
        <v/>
      </c>
      <c r="I103" s="21">
        <f>IF(LEFT(TRIM(H103),1)="赤","赤",IF(LEFT(TRIM(H103),1)="白","白",""))</f>
        <v/>
      </c>
      <c r="J103" s="21">
        <f>IF(AND(D103&lt;&gt;"",F103&lt;&gt;"",I103&lt;&gt;"",ISNUMBER(G103)),F103&amp;I103,"")</f>
        <v/>
      </c>
      <c r="K103" s="21">
        <f>IF(J103="","",COUNTIFS($J$2:$J$186,J103,$G$2:$G$186,"&lt;"&amp;G103)+COUNTIFS($J$2:$J$186,J103,$G$2:$G$186,G103,$A$2:$A$186,"&lt;"&amp;A103)+1)</f>
        <v/>
      </c>
      <c r="L103" s="21">
        <f>IF(J103="","",J103&amp;K103)</f>
        <v/>
      </c>
      <c r="M103" s="21">
        <f>B103&amp;"組"</f>
        <v/>
      </c>
      <c r="N103" s="21">
        <f>IF(AND(D103&lt;&gt;"",J103=""),1,0)</f>
        <v/>
      </c>
      <c r="AK103">
        <f>IF(J103="","",IF(J103="男赤",COUNTIF($Y$2:$Y$51,"&lt;"&amp;K103),IF(J103="男白",COUNTIF($Z$2:$Z$51,"&lt;"&amp;K103),IF(J103="女赤",COUNTIF($AH$2:$AH$51,"&lt;"&amp;K103),COUNTIF($AI$2:$AI$51,"&lt;"&amp;K103))))+1)</f>
        <v/>
      </c>
      <c r="AL103">
        <f>IF(AK103="","",IF(AK103=1,0,IF(J103="男赤",INDEX($Y$2:$Y$51,AK103-1),IF(J103="男白",INDEX($Z$2:$Z$51,AK103-1),IF(J103="女赤",INDEX($AH$2:$AH$51,AK103-1),INDEX($AI$2:$AI$51,AK103-1))))))</f>
        <v/>
      </c>
      <c r="AM103">
        <f>IF(AK103="","",IF(RIGHT(J103,1)="赤",K103-AL103,IF(LEFT(J103,1)="男",INDEX($W$2:$W$51,AK103),INDEX($AF$2:$AF$51,AK103))+K103-AL103))</f>
        <v/>
      </c>
      <c r="AN103">
        <f>IF(AK103="","",F103&amp;AK103&amp;"-"&amp;AM103)</f>
        <v/>
      </c>
      <c r="AO103">
        <f>IF(J103="","",F103&amp;D103)</f>
        <v/>
      </c>
      <c r="AP103">
        <f>IF(J103="","",IF(F103="男",COUNTIF(手直し!$B$6:$E$55,D103),COUNTIF(手直し!$F$6:$I$55,D103)))</f>
        <v/>
      </c>
      <c r="AQ103">
        <f>IF(AND(J103&lt;&gt;"",AP103=0),1,0)</f>
        <v/>
      </c>
      <c r="AR103">
        <f>IF(AND(AQ103=1,F103="男"),COUNTIFS($AQ$2:AQ103,1,$F$2:F103,"男"),"")</f>
        <v/>
      </c>
      <c r="AS103">
        <f>IF(AND(AQ103=1,F103="女"),COUNTIFS($AQ$2:AQ103,1,$F$2:F103,"女"),"")</f>
        <v/>
      </c>
    </row>
    <row r="104">
      <c r="A104" s="21">
        <f>ROW()-1</f>
        <v/>
      </c>
      <c r="B104" s="21">
        <f>INT((A104-1)/37)+1</f>
        <v/>
      </c>
      <c r="C104" s="21">
        <f>MOD(A104-1,37)+1</f>
        <v/>
      </c>
      <c r="D104" s="21">
        <f>INDEX(①データ入力!$B$3:$Y$39,C104,(B104-1)*5+1)&amp;""</f>
        <v/>
      </c>
      <c r="E104" s="21">
        <f>INDEX(①データ入力!$B$3:$Y$39,C104,(B104-1)*5+2)&amp;""</f>
        <v/>
      </c>
      <c r="F104" s="21">
        <f>IF(OR(E104="1",E104="１",E104="男"),"男",IF(OR(E104="2",E104="２",E104="女"),"女",""))</f>
        <v/>
      </c>
      <c r="G104" s="21">
        <f>INDEX(①データ入力!$B$3:$Y$39,C104,(B104-1)*5+3)</f>
        <v/>
      </c>
      <c r="H104" s="21">
        <f>INDEX(①データ入力!$B$3:$Y$39,C104,(B104-1)*5+4)&amp;""</f>
        <v/>
      </c>
      <c r="I104" s="21">
        <f>IF(LEFT(TRIM(H104),1)="赤","赤",IF(LEFT(TRIM(H104),1)="白","白",""))</f>
        <v/>
      </c>
      <c r="J104" s="21">
        <f>IF(AND(D104&lt;&gt;"",F104&lt;&gt;"",I104&lt;&gt;"",ISNUMBER(G104)),F104&amp;I104,"")</f>
        <v/>
      </c>
      <c r="K104" s="21">
        <f>IF(J104="","",COUNTIFS($J$2:$J$186,J104,$G$2:$G$186,"&lt;"&amp;G104)+COUNTIFS($J$2:$J$186,J104,$G$2:$G$186,G104,$A$2:$A$186,"&lt;"&amp;A104)+1)</f>
        <v/>
      </c>
      <c r="L104" s="21">
        <f>IF(J104="","",J104&amp;K104)</f>
        <v/>
      </c>
      <c r="M104" s="21">
        <f>B104&amp;"組"</f>
        <v/>
      </c>
      <c r="N104" s="21">
        <f>IF(AND(D104&lt;&gt;"",J104=""),1,0)</f>
        <v/>
      </c>
      <c r="AK104">
        <f>IF(J104="","",IF(J104="男赤",COUNTIF($Y$2:$Y$51,"&lt;"&amp;K104),IF(J104="男白",COUNTIF($Z$2:$Z$51,"&lt;"&amp;K104),IF(J104="女赤",COUNTIF($AH$2:$AH$51,"&lt;"&amp;K104),COUNTIF($AI$2:$AI$51,"&lt;"&amp;K104))))+1)</f>
        <v/>
      </c>
      <c r="AL104">
        <f>IF(AK104="","",IF(AK104=1,0,IF(J104="男赤",INDEX($Y$2:$Y$51,AK104-1),IF(J104="男白",INDEX($Z$2:$Z$51,AK104-1),IF(J104="女赤",INDEX($AH$2:$AH$51,AK104-1),INDEX($AI$2:$AI$51,AK104-1))))))</f>
        <v/>
      </c>
      <c r="AM104">
        <f>IF(AK104="","",IF(RIGHT(J104,1)="赤",K104-AL104,IF(LEFT(J104,1)="男",INDEX($W$2:$W$51,AK104),INDEX($AF$2:$AF$51,AK104))+K104-AL104))</f>
        <v/>
      </c>
      <c r="AN104">
        <f>IF(AK104="","",F104&amp;AK104&amp;"-"&amp;AM104)</f>
        <v/>
      </c>
      <c r="AO104">
        <f>IF(J104="","",F104&amp;D104)</f>
        <v/>
      </c>
      <c r="AP104">
        <f>IF(J104="","",IF(F104="男",COUNTIF(手直し!$B$6:$E$55,D104),COUNTIF(手直し!$F$6:$I$55,D104)))</f>
        <v/>
      </c>
      <c r="AQ104">
        <f>IF(AND(J104&lt;&gt;"",AP104=0),1,0)</f>
        <v/>
      </c>
      <c r="AR104">
        <f>IF(AND(AQ104=1,F104="男"),COUNTIFS($AQ$2:AQ104,1,$F$2:F104,"男"),"")</f>
        <v/>
      </c>
      <c r="AS104">
        <f>IF(AND(AQ104=1,F104="女"),COUNTIFS($AQ$2:AQ104,1,$F$2:F104,"女"),"")</f>
        <v/>
      </c>
    </row>
    <row r="105">
      <c r="A105" s="21">
        <f>ROW()-1</f>
        <v/>
      </c>
      <c r="B105" s="21">
        <f>INT((A105-1)/37)+1</f>
        <v/>
      </c>
      <c r="C105" s="21">
        <f>MOD(A105-1,37)+1</f>
        <v/>
      </c>
      <c r="D105" s="21">
        <f>INDEX(①データ入力!$B$3:$Y$39,C105,(B105-1)*5+1)&amp;""</f>
        <v/>
      </c>
      <c r="E105" s="21">
        <f>INDEX(①データ入力!$B$3:$Y$39,C105,(B105-1)*5+2)&amp;""</f>
        <v/>
      </c>
      <c r="F105" s="21">
        <f>IF(OR(E105="1",E105="１",E105="男"),"男",IF(OR(E105="2",E105="２",E105="女"),"女",""))</f>
        <v/>
      </c>
      <c r="G105" s="21">
        <f>INDEX(①データ入力!$B$3:$Y$39,C105,(B105-1)*5+3)</f>
        <v/>
      </c>
      <c r="H105" s="21">
        <f>INDEX(①データ入力!$B$3:$Y$39,C105,(B105-1)*5+4)&amp;""</f>
        <v/>
      </c>
      <c r="I105" s="21">
        <f>IF(LEFT(TRIM(H105),1)="赤","赤",IF(LEFT(TRIM(H105),1)="白","白",""))</f>
        <v/>
      </c>
      <c r="J105" s="21">
        <f>IF(AND(D105&lt;&gt;"",F105&lt;&gt;"",I105&lt;&gt;"",ISNUMBER(G105)),F105&amp;I105,"")</f>
        <v/>
      </c>
      <c r="K105" s="21">
        <f>IF(J105="","",COUNTIFS($J$2:$J$186,J105,$G$2:$G$186,"&lt;"&amp;G105)+COUNTIFS($J$2:$J$186,J105,$G$2:$G$186,G105,$A$2:$A$186,"&lt;"&amp;A105)+1)</f>
        <v/>
      </c>
      <c r="L105" s="21">
        <f>IF(J105="","",J105&amp;K105)</f>
        <v/>
      </c>
      <c r="M105" s="21">
        <f>B105&amp;"組"</f>
        <v/>
      </c>
      <c r="N105" s="21">
        <f>IF(AND(D105&lt;&gt;"",J105=""),1,0)</f>
        <v/>
      </c>
      <c r="AK105">
        <f>IF(J105="","",IF(J105="男赤",COUNTIF($Y$2:$Y$51,"&lt;"&amp;K105),IF(J105="男白",COUNTIF($Z$2:$Z$51,"&lt;"&amp;K105),IF(J105="女赤",COUNTIF($AH$2:$AH$51,"&lt;"&amp;K105),COUNTIF($AI$2:$AI$51,"&lt;"&amp;K105))))+1)</f>
        <v/>
      </c>
      <c r="AL105">
        <f>IF(AK105="","",IF(AK105=1,0,IF(J105="男赤",INDEX($Y$2:$Y$51,AK105-1),IF(J105="男白",INDEX($Z$2:$Z$51,AK105-1),IF(J105="女赤",INDEX($AH$2:$AH$51,AK105-1),INDEX($AI$2:$AI$51,AK105-1))))))</f>
        <v/>
      </c>
      <c r="AM105">
        <f>IF(AK105="","",IF(RIGHT(J105,1)="赤",K105-AL105,IF(LEFT(J105,1)="男",INDEX($W$2:$W$51,AK105),INDEX($AF$2:$AF$51,AK105))+K105-AL105))</f>
        <v/>
      </c>
      <c r="AN105">
        <f>IF(AK105="","",F105&amp;AK105&amp;"-"&amp;AM105)</f>
        <v/>
      </c>
      <c r="AO105">
        <f>IF(J105="","",F105&amp;D105)</f>
        <v/>
      </c>
      <c r="AP105">
        <f>IF(J105="","",IF(F105="男",COUNTIF(手直し!$B$6:$E$55,D105),COUNTIF(手直し!$F$6:$I$55,D105)))</f>
        <v/>
      </c>
      <c r="AQ105">
        <f>IF(AND(J105&lt;&gt;"",AP105=0),1,0)</f>
        <v/>
      </c>
      <c r="AR105">
        <f>IF(AND(AQ105=1,F105="男"),COUNTIFS($AQ$2:AQ105,1,$F$2:F105,"男"),"")</f>
        <v/>
      </c>
      <c r="AS105">
        <f>IF(AND(AQ105=1,F105="女"),COUNTIFS($AQ$2:AQ105,1,$F$2:F105,"女"),"")</f>
        <v/>
      </c>
    </row>
    <row r="106">
      <c r="A106" s="21">
        <f>ROW()-1</f>
        <v/>
      </c>
      <c r="B106" s="21">
        <f>INT((A106-1)/37)+1</f>
        <v/>
      </c>
      <c r="C106" s="21">
        <f>MOD(A106-1,37)+1</f>
        <v/>
      </c>
      <c r="D106" s="21">
        <f>INDEX(①データ入力!$B$3:$Y$39,C106,(B106-1)*5+1)&amp;""</f>
        <v/>
      </c>
      <c r="E106" s="21">
        <f>INDEX(①データ入力!$B$3:$Y$39,C106,(B106-1)*5+2)&amp;""</f>
        <v/>
      </c>
      <c r="F106" s="21">
        <f>IF(OR(E106="1",E106="１",E106="男"),"男",IF(OR(E106="2",E106="２",E106="女"),"女",""))</f>
        <v/>
      </c>
      <c r="G106" s="21">
        <f>INDEX(①データ入力!$B$3:$Y$39,C106,(B106-1)*5+3)</f>
        <v/>
      </c>
      <c r="H106" s="21">
        <f>INDEX(①データ入力!$B$3:$Y$39,C106,(B106-1)*5+4)&amp;""</f>
        <v/>
      </c>
      <c r="I106" s="21">
        <f>IF(LEFT(TRIM(H106),1)="赤","赤",IF(LEFT(TRIM(H106),1)="白","白",""))</f>
        <v/>
      </c>
      <c r="J106" s="21">
        <f>IF(AND(D106&lt;&gt;"",F106&lt;&gt;"",I106&lt;&gt;"",ISNUMBER(G106)),F106&amp;I106,"")</f>
        <v/>
      </c>
      <c r="K106" s="21">
        <f>IF(J106="","",COUNTIFS($J$2:$J$186,J106,$G$2:$G$186,"&lt;"&amp;G106)+COUNTIFS($J$2:$J$186,J106,$G$2:$G$186,G106,$A$2:$A$186,"&lt;"&amp;A106)+1)</f>
        <v/>
      </c>
      <c r="L106" s="21">
        <f>IF(J106="","",J106&amp;K106)</f>
        <v/>
      </c>
      <c r="M106" s="21">
        <f>B106&amp;"組"</f>
        <v/>
      </c>
      <c r="N106" s="21">
        <f>IF(AND(D106&lt;&gt;"",J106=""),1,0)</f>
        <v/>
      </c>
      <c r="AK106">
        <f>IF(J106="","",IF(J106="男赤",COUNTIF($Y$2:$Y$51,"&lt;"&amp;K106),IF(J106="男白",COUNTIF($Z$2:$Z$51,"&lt;"&amp;K106),IF(J106="女赤",COUNTIF($AH$2:$AH$51,"&lt;"&amp;K106),COUNTIF($AI$2:$AI$51,"&lt;"&amp;K106))))+1)</f>
        <v/>
      </c>
      <c r="AL106">
        <f>IF(AK106="","",IF(AK106=1,0,IF(J106="男赤",INDEX($Y$2:$Y$51,AK106-1),IF(J106="男白",INDEX($Z$2:$Z$51,AK106-1),IF(J106="女赤",INDEX($AH$2:$AH$51,AK106-1),INDEX($AI$2:$AI$51,AK106-1))))))</f>
        <v/>
      </c>
      <c r="AM106">
        <f>IF(AK106="","",IF(RIGHT(J106,1)="赤",K106-AL106,IF(LEFT(J106,1)="男",INDEX($W$2:$W$51,AK106),INDEX($AF$2:$AF$51,AK106))+K106-AL106))</f>
        <v/>
      </c>
      <c r="AN106">
        <f>IF(AK106="","",F106&amp;AK106&amp;"-"&amp;AM106)</f>
        <v/>
      </c>
      <c r="AO106">
        <f>IF(J106="","",F106&amp;D106)</f>
        <v/>
      </c>
      <c r="AP106">
        <f>IF(J106="","",IF(F106="男",COUNTIF(手直し!$B$6:$E$55,D106),COUNTIF(手直し!$F$6:$I$55,D106)))</f>
        <v/>
      </c>
      <c r="AQ106">
        <f>IF(AND(J106&lt;&gt;"",AP106=0),1,0)</f>
        <v/>
      </c>
      <c r="AR106">
        <f>IF(AND(AQ106=1,F106="男"),COUNTIFS($AQ$2:AQ106,1,$F$2:F106,"男"),"")</f>
        <v/>
      </c>
      <c r="AS106">
        <f>IF(AND(AQ106=1,F106="女"),COUNTIFS($AQ$2:AQ106,1,$F$2:F106,"女"),"")</f>
        <v/>
      </c>
    </row>
    <row r="107">
      <c r="A107" s="21">
        <f>ROW()-1</f>
        <v/>
      </c>
      <c r="B107" s="21">
        <f>INT((A107-1)/37)+1</f>
        <v/>
      </c>
      <c r="C107" s="21">
        <f>MOD(A107-1,37)+1</f>
        <v/>
      </c>
      <c r="D107" s="21">
        <f>INDEX(①データ入力!$B$3:$Y$39,C107,(B107-1)*5+1)&amp;""</f>
        <v/>
      </c>
      <c r="E107" s="21">
        <f>INDEX(①データ入力!$B$3:$Y$39,C107,(B107-1)*5+2)&amp;""</f>
        <v/>
      </c>
      <c r="F107" s="21">
        <f>IF(OR(E107="1",E107="１",E107="男"),"男",IF(OR(E107="2",E107="２",E107="女"),"女",""))</f>
        <v/>
      </c>
      <c r="G107" s="21">
        <f>INDEX(①データ入力!$B$3:$Y$39,C107,(B107-1)*5+3)</f>
        <v/>
      </c>
      <c r="H107" s="21">
        <f>INDEX(①データ入力!$B$3:$Y$39,C107,(B107-1)*5+4)&amp;""</f>
        <v/>
      </c>
      <c r="I107" s="21">
        <f>IF(LEFT(TRIM(H107),1)="赤","赤",IF(LEFT(TRIM(H107),1)="白","白",""))</f>
        <v/>
      </c>
      <c r="J107" s="21">
        <f>IF(AND(D107&lt;&gt;"",F107&lt;&gt;"",I107&lt;&gt;"",ISNUMBER(G107)),F107&amp;I107,"")</f>
        <v/>
      </c>
      <c r="K107" s="21">
        <f>IF(J107="","",COUNTIFS($J$2:$J$186,J107,$G$2:$G$186,"&lt;"&amp;G107)+COUNTIFS($J$2:$J$186,J107,$G$2:$G$186,G107,$A$2:$A$186,"&lt;"&amp;A107)+1)</f>
        <v/>
      </c>
      <c r="L107" s="21">
        <f>IF(J107="","",J107&amp;K107)</f>
        <v/>
      </c>
      <c r="M107" s="21">
        <f>B107&amp;"組"</f>
        <v/>
      </c>
      <c r="N107" s="21">
        <f>IF(AND(D107&lt;&gt;"",J107=""),1,0)</f>
        <v/>
      </c>
      <c r="AK107">
        <f>IF(J107="","",IF(J107="男赤",COUNTIF($Y$2:$Y$51,"&lt;"&amp;K107),IF(J107="男白",COUNTIF($Z$2:$Z$51,"&lt;"&amp;K107),IF(J107="女赤",COUNTIF($AH$2:$AH$51,"&lt;"&amp;K107),COUNTIF($AI$2:$AI$51,"&lt;"&amp;K107))))+1)</f>
        <v/>
      </c>
      <c r="AL107">
        <f>IF(AK107="","",IF(AK107=1,0,IF(J107="男赤",INDEX($Y$2:$Y$51,AK107-1),IF(J107="男白",INDEX($Z$2:$Z$51,AK107-1),IF(J107="女赤",INDEX($AH$2:$AH$51,AK107-1),INDEX($AI$2:$AI$51,AK107-1))))))</f>
        <v/>
      </c>
      <c r="AM107">
        <f>IF(AK107="","",IF(RIGHT(J107,1)="赤",K107-AL107,IF(LEFT(J107,1)="男",INDEX($W$2:$W$51,AK107),INDEX($AF$2:$AF$51,AK107))+K107-AL107))</f>
        <v/>
      </c>
      <c r="AN107">
        <f>IF(AK107="","",F107&amp;AK107&amp;"-"&amp;AM107)</f>
        <v/>
      </c>
      <c r="AO107">
        <f>IF(J107="","",F107&amp;D107)</f>
        <v/>
      </c>
      <c r="AP107">
        <f>IF(J107="","",IF(F107="男",COUNTIF(手直し!$B$6:$E$55,D107),COUNTIF(手直し!$F$6:$I$55,D107)))</f>
        <v/>
      </c>
      <c r="AQ107">
        <f>IF(AND(J107&lt;&gt;"",AP107=0),1,0)</f>
        <v/>
      </c>
      <c r="AR107">
        <f>IF(AND(AQ107=1,F107="男"),COUNTIFS($AQ$2:AQ107,1,$F$2:F107,"男"),"")</f>
        <v/>
      </c>
      <c r="AS107">
        <f>IF(AND(AQ107=1,F107="女"),COUNTIFS($AQ$2:AQ107,1,$F$2:F107,"女"),"")</f>
        <v/>
      </c>
    </row>
    <row r="108">
      <c r="A108" s="21">
        <f>ROW()-1</f>
        <v/>
      </c>
      <c r="B108" s="21">
        <f>INT((A108-1)/37)+1</f>
        <v/>
      </c>
      <c r="C108" s="21">
        <f>MOD(A108-1,37)+1</f>
        <v/>
      </c>
      <c r="D108" s="21">
        <f>INDEX(①データ入力!$B$3:$Y$39,C108,(B108-1)*5+1)&amp;""</f>
        <v/>
      </c>
      <c r="E108" s="21">
        <f>INDEX(①データ入力!$B$3:$Y$39,C108,(B108-1)*5+2)&amp;""</f>
        <v/>
      </c>
      <c r="F108" s="21">
        <f>IF(OR(E108="1",E108="１",E108="男"),"男",IF(OR(E108="2",E108="２",E108="女"),"女",""))</f>
        <v/>
      </c>
      <c r="G108" s="21">
        <f>INDEX(①データ入力!$B$3:$Y$39,C108,(B108-1)*5+3)</f>
        <v/>
      </c>
      <c r="H108" s="21">
        <f>INDEX(①データ入力!$B$3:$Y$39,C108,(B108-1)*5+4)&amp;""</f>
        <v/>
      </c>
      <c r="I108" s="21">
        <f>IF(LEFT(TRIM(H108),1)="赤","赤",IF(LEFT(TRIM(H108),1)="白","白",""))</f>
        <v/>
      </c>
      <c r="J108" s="21">
        <f>IF(AND(D108&lt;&gt;"",F108&lt;&gt;"",I108&lt;&gt;"",ISNUMBER(G108)),F108&amp;I108,"")</f>
        <v/>
      </c>
      <c r="K108" s="21">
        <f>IF(J108="","",COUNTIFS($J$2:$J$186,J108,$G$2:$G$186,"&lt;"&amp;G108)+COUNTIFS($J$2:$J$186,J108,$G$2:$G$186,G108,$A$2:$A$186,"&lt;"&amp;A108)+1)</f>
        <v/>
      </c>
      <c r="L108" s="21">
        <f>IF(J108="","",J108&amp;K108)</f>
        <v/>
      </c>
      <c r="M108" s="21">
        <f>B108&amp;"組"</f>
        <v/>
      </c>
      <c r="N108" s="21">
        <f>IF(AND(D108&lt;&gt;"",J108=""),1,0)</f>
        <v/>
      </c>
      <c r="AK108">
        <f>IF(J108="","",IF(J108="男赤",COUNTIF($Y$2:$Y$51,"&lt;"&amp;K108),IF(J108="男白",COUNTIF($Z$2:$Z$51,"&lt;"&amp;K108),IF(J108="女赤",COUNTIF($AH$2:$AH$51,"&lt;"&amp;K108),COUNTIF($AI$2:$AI$51,"&lt;"&amp;K108))))+1)</f>
        <v/>
      </c>
      <c r="AL108">
        <f>IF(AK108="","",IF(AK108=1,0,IF(J108="男赤",INDEX($Y$2:$Y$51,AK108-1),IF(J108="男白",INDEX($Z$2:$Z$51,AK108-1),IF(J108="女赤",INDEX($AH$2:$AH$51,AK108-1),INDEX($AI$2:$AI$51,AK108-1))))))</f>
        <v/>
      </c>
      <c r="AM108">
        <f>IF(AK108="","",IF(RIGHT(J108,1)="赤",K108-AL108,IF(LEFT(J108,1)="男",INDEX($W$2:$W$51,AK108),INDEX($AF$2:$AF$51,AK108))+K108-AL108))</f>
        <v/>
      </c>
      <c r="AN108">
        <f>IF(AK108="","",F108&amp;AK108&amp;"-"&amp;AM108)</f>
        <v/>
      </c>
      <c r="AO108">
        <f>IF(J108="","",F108&amp;D108)</f>
        <v/>
      </c>
      <c r="AP108">
        <f>IF(J108="","",IF(F108="男",COUNTIF(手直し!$B$6:$E$55,D108),COUNTIF(手直し!$F$6:$I$55,D108)))</f>
        <v/>
      </c>
      <c r="AQ108">
        <f>IF(AND(J108&lt;&gt;"",AP108=0),1,0)</f>
        <v/>
      </c>
      <c r="AR108">
        <f>IF(AND(AQ108=1,F108="男"),COUNTIFS($AQ$2:AQ108,1,$F$2:F108,"男"),"")</f>
        <v/>
      </c>
      <c r="AS108">
        <f>IF(AND(AQ108=1,F108="女"),COUNTIFS($AQ$2:AQ108,1,$F$2:F108,"女"),"")</f>
        <v/>
      </c>
    </row>
    <row r="109">
      <c r="A109" s="21">
        <f>ROW()-1</f>
        <v/>
      </c>
      <c r="B109" s="21">
        <f>INT((A109-1)/37)+1</f>
        <v/>
      </c>
      <c r="C109" s="21">
        <f>MOD(A109-1,37)+1</f>
        <v/>
      </c>
      <c r="D109" s="21">
        <f>INDEX(①データ入力!$B$3:$Y$39,C109,(B109-1)*5+1)&amp;""</f>
        <v/>
      </c>
      <c r="E109" s="21">
        <f>INDEX(①データ入力!$B$3:$Y$39,C109,(B109-1)*5+2)&amp;""</f>
        <v/>
      </c>
      <c r="F109" s="21">
        <f>IF(OR(E109="1",E109="１",E109="男"),"男",IF(OR(E109="2",E109="２",E109="女"),"女",""))</f>
        <v/>
      </c>
      <c r="G109" s="21">
        <f>INDEX(①データ入力!$B$3:$Y$39,C109,(B109-1)*5+3)</f>
        <v/>
      </c>
      <c r="H109" s="21">
        <f>INDEX(①データ入力!$B$3:$Y$39,C109,(B109-1)*5+4)&amp;""</f>
        <v/>
      </c>
      <c r="I109" s="21">
        <f>IF(LEFT(TRIM(H109),1)="赤","赤",IF(LEFT(TRIM(H109),1)="白","白",""))</f>
        <v/>
      </c>
      <c r="J109" s="21">
        <f>IF(AND(D109&lt;&gt;"",F109&lt;&gt;"",I109&lt;&gt;"",ISNUMBER(G109)),F109&amp;I109,"")</f>
        <v/>
      </c>
      <c r="K109" s="21">
        <f>IF(J109="","",COUNTIFS($J$2:$J$186,J109,$G$2:$G$186,"&lt;"&amp;G109)+COUNTIFS($J$2:$J$186,J109,$G$2:$G$186,G109,$A$2:$A$186,"&lt;"&amp;A109)+1)</f>
        <v/>
      </c>
      <c r="L109" s="21">
        <f>IF(J109="","",J109&amp;K109)</f>
        <v/>
      </c>
      <c r="M109" s="21">
        <f>B109&amp;"組"</f>
        <v/>
      </c>
      <c r="N109" s="21">
        <f>IF(AND(D109&lt;&gt;"",J109=""),1,0)</f>
        <v/>
      </c>
      <c r="AK109">
        <f>IF(J109="","",IF(J109="男赤",COUNTIF($Y$2:$Y$51,"&lt;"&amp;K109),IF(J109="男白",COUNTIF($Z$2:$Z$51,"&lt;"&amp;K109),IF(J109="女赤",COUNTIF($AH$2:$AH$51,"&lt;"&amp;K109),COUNTIF($AI$2:$AI$51,"&lt;"&amp;K109))))+1)</f>
        <v/>
      </c>
      <c r="AL109">
        <f>IF(AK109="","",IF(AK109=1,0,IF(J109="男赤",INDEX($Y$2:$Y$51,AK109-1),IF(J109="男白",INDEX($Z$2:$Z$51,AK109-1),IF(J109="女赤",INDEX($AH$2:$AH$51,AK109-1),INDEX($AI$2:$AI$51,AK109-1))))))</f>
        <v/>
      </c>
      <c r="AM109">
        <f>IF(AK109="","",IF(RIGHT(J109,1)="赤",K109-AL109,IF(LEFT(J109,1)="男",INDEX($W$2:$W$51,AK109),INDEX($AF$2:$AF$51,AK109))+K109-AL109))</f>
        <v/>
      </c>
      <c r="AN109">
        <f>IF(AK109="","",F109&amp;AK109&amp;"-"&amp;AM109)</f>
        <v/>
      </c>
      <c r="AO109">
        <f>IF(J109="","",F109&amp;D109)</f>
        <v/>
      </c>
      <c r="AP109">
        <f>IF(J109="","",IF(F109="男",COUNTIF(手直し!$B$6:$E$55,D109),COUNTIF(手直し!$F$6:$I$55,D109)))</f>
        <v/>
      </c>
      <c r="AQ109">
        <f>IF(AND(J109&lt;&gt;"",AP109=0),1,0)</f>
        <v/>
      </c>
      <c r="AR109">
        <f>IF(AND(AQ109=1,F109="男"),COUNTIFS($AQ$2:AQ109,1,$F$2:F109,"男"),"")</f>
        <v/>
      </c>
      <c r="AS109">
        <f>IF(AND(AQ109=1,F109="女"),COUNTIFS($AQ$2:AQ109,1,$F$2:F109,"女"),"")</f>
        <v/>
      </c>
    </row>
    <row r="110">
      <c r="A110" s="21">
        <f>ROW()-1</f>
        <v/>
      </c>
      <c r="B110" s="21">
        <f>INT((A110-1)/37)+1</f>
        <v/>
      </c>
      <c r="C110" s="21">
        <f>MOD(A110-1,37)+1</f>
        <v/>
      </c>
      <c r="D110" s="21">
        <f>INDEX(①データ入力!$B$3:$Y$39,C110,(B110-1)*5+1)&amp;""</f>
        <v/>
      </c>
      <c r="E110" s="21">
        <f>INDEX(①データ入力!$B$3:$Y$39,C110,(B110-1)*5+2)&amp;""</f>
        <v/>
      </c>
      <c r="F110" s="21">
        <f>IF(OR(E110="1",E110="１",E110="男"),"男",IF(OR(E110="2",E110="２",E110="女"),"女",""))</f>
        <v/>
      </c>
      <c r="G110" s="21">
        <f>INDEX(①データ入力!$B$3:$Y$39,C110,(B110-1)*5+3)</f>
        <v/>
      </c>
      <c r="H110" s="21">
        <f>INDEX(①データ入力!$B$3:$Y$39,C110,(B110-1)*5+4)&amp;""</f>
        <v/>
      </c>
      <c r="I110" s="21">
        <f>IF(LEFT(TRIM(H110),1)="赤","赤",IF(LEFT(TRIM(H110),1)="白","白",""))</f>
        <v/>
      </c>
      <c r="J110" s="21">
        <f>IF(AND(D110&lt;&gt;"",F110&lt;&gt;"",I110&lt;&gt;"",ISNUMBER(G110)),F110&amp;I110,"")</f>
        <v/>
      </c>
      <c r="K110" s="21">
        <f>IF(J110="","",COUNTIFS($J$2:$J$186,J110,$G$2:$G$186,"&lt;"&amp;G110)+COUNTIFS($J$2:$J$186,J110,$G$2:$G$186,G110,$A$2:$A$186,"&lt;"&amp;A110)+1)</f>
        <v/>
      </c>
      <c r="L110" s="21">
        <f>IF(J110="","",J110&amp;K110)</f>
        <v/>
      </c>
      <c r="M110" s="21">
        <f>B110&amp;"組"</f>
        <v/>
      </c>
      <c r="N110" s="21">
        <f>IF(AND(D110&lt;&gt;"",J110=""),1,0)</f>
        <v/>
      </c>
      <c r="AK110">
        <f>IF(J110="","",IF(J110="男赤",COUNTIF($Y$2:$Y$51,"&lt;"&amp;K110),IF(J110="男白",COUNTIF($Z$2:$Z$51,"&lt;"&amp;K110),IF(J110="女赤",COUNTIF($AH$2:$AH$51,"&lt;"&amp;K110),COUNTIF($AI$2:$AI$51,"&lt;"&amp;K110))))+1)</f>
        <v/>
      </c>
      <c r="AL110">
        <f>IF(AK110="","",IF(AK110=1,0,IF(J110="男赤",INDEX($Y$2:$Y$51,AK110-1),IF(J110="男白",INDEX($Z$2:$Z$51,AK110-1),IF(J110="女赤",INDEX($AH$2:$AH$51,AK110-1),INDEX($AI$2:$AI$51,AK110-1))))))</f>
        <v/>
      </c>
      <c r="AM110">
        <f>IF(AK110="","",IF(RIGHT(J110,1)="赤",K110-AL110,IF(LEFT(J110,1)="男",INDEX($W$2:$W$51,AK110),INDEX($AF$2:$AF$51,AK110))+K110-AL110))</f>
        <v/>
      </c>
      <c r="AN110">
        <f>IF(AK110="","",F110&amp;AK110&amp;"-"&amp;AM110)</f>
        <v/>
      </c>
      <c r="AO110">
        <f>IF(J110="","",F110&amp;D110)</f>
        <v/>
      </c>
      <c r="AP110">
        <f>IF(J110="","",IF(F110="男",COUNTIF(手直し!$B$6:$E$55,D110),COUNTIF(手直し!$F$6:$I$55,D110)))</f>
        <v/>
      </c>
      <c r="AQ110">
        <f>IF(AND(J110&lt;&gt;"",AP110=0),1,0)</f>
        <v/>
      </c>
      <c r="AR110">
        <f>IF(AND(AQ110=1,F110="男"),COUNTIFS($AQ$2:AQ110,1,$F$2:F110,"男"),"")</f>
        <v/>
      </c>
      <c r="AS110">
        <f>IF(AND(AQ110=1,F110="女"),COUNTIFS($AQ$2:AQ110,1,$F$2:F110,"女"),"")</f>
        <v/>
      </c>
    </row>
    <row r="111">
      <c r="A111" s="21">
        <f>ROW()-1</f>
        <v/>
      </c>
      <c r="B111" s="21">
        <f>INT((A111-1)/37)+1</f>
        <v/>
      </c>
      <c r="C111" s="21">
        <f>MOD(A111-1,37)+1</f>
        <v/>
      </c>
      <c r="D111" s="21">
        <f>INDEX(①データ入力!$B$3:$Y$39,C111,(B111-1)*5+1)&amp;""</f>
        <v/>
      </c>
      <c r="E111" s="21">
        <f>INDEX(①データ入力!$B$3:$Y$39,C111,(B111-1)*5+2)&amp;""</f>
        <v/>
      </c>
      <c r="F111" s="21">
        <f>IF(OR(E111="1",E111="１",E111="男"),"男",IF(OR(E111="2",E111="２",E111="女"),"女",""))</f>
        <v/>
      </c>
      <c r="G111" s="21">
        <f>INDEX(①データ入力!$B$3:$Y$39,C111,(B111-1)*5+3)</f>
        <v/>
      </c>
      <c r="H111" s="21">
        <f>INDEX(①データ入力!$B$3:$Y$39,C111,(B111-1)*5+4)&amp;""</f>
        <v/>
      </c>
      <c r="I111" s="21">
        <f>IF(LEFT(TRIM(H111),1)="赤","赤",IF(LEFT(TRIM(H111),1)="白","白",""))</f>
        <v/>
      </c>
      <c r="J111" s="21">
        <f>IF(AND(D111&lt;&gt;"",F111&lt;&gt;"",I111&lt;&gt;"",ISNUMBER(G111)),F111&amp;I111,"")</f>
        <v/>
      </c>
      <c r="K111" s="21">
        <f>IF(J111="","",COUNTIFS($J$2:$J$186,J111,$G$2:$G$186,"&lt;"&amp;G111)+COUNTIFS($J$2:$J$186,J111,$G$2:$G$186,G111,$A$2:$A$186,"&lt;"&amp;A111)+1)</f>
        <v/>
      </c>
      <c r="L111" s="21">
        <f>IF(J111="","",J111&amp;K111)</f>
        <v/>
      </c>
      <c r="M111" s="21">
        <f>B111&amp;"組"</f>
        <v/>
      </c>
      <c r="N111" s="21">
        <f>IF(AND(D111&lt;&gt;"",J111=""),1,0)</f>
        <v/>
      </c>
      <c r="AK111">
        <f>IF(J111="","",IF(J111="男赤",COUNTIF($Y$2:$Y$51,"&lt;"&amp;K111),IF(J111="男白",COUNTIF($Z$2:$Z$51,"&lt;"&amp;K111),IF(J111="女赤",COUNTIF($AH$2:$AH$51,"&lt;"&amp;K111),COUNTIF($AI$2:$AI$51,"&lt;"&amp;K111))))+1)</f>
        <v/>
      </c>
      <c r="AL111">
        <f>IF(AK111="","",IF(AK111=1,0,IF(J111="男赤",INDEX($Y$2:$Y$51,AK111-1),IF(J111="男白",INDEX($Z$2:$Z$51,AK111-1),IF(J111="女赤",INDEX($AH$2:$AH$51,AK111-1),INDEX($AI$2:$AI$51,AK111-1))))))</f>
        <v/>
      </c>
      <c r="AM111">
        <f>IF(AK111="","",IF(RIGHT(J111,1)="赤",K111-AL111,IF(LEFT(J111,1)="男",INDEX($W$2:$W$51,AK111),INDEX($AF$2:$AF$51,AK111))+K111-AL111))</f>
        <v/>
      </c>
      <c r="AN111">
        <f>IF(AK111="","",F111&amp;AK111&amp;"-"&amp;AM111)</f>
        <v/>
      </c>
      <c r="AO111">
        <f>IF(J111="","",F111&amp;D111)</f>
        <v/>
      </c>
      <c r="AP111">
        <f>IF(J111="","",IF(F111="男",COUNTIF(手直し!$B$6:$E$55,D111),COUNTIF(手直し!$F$6:$I$55,D111)))</f>
        <v/>
      </c>
      <c r="AQ111">
        <f>IF(AND(J111&lt;&gt;"",AP111=0),1,0)</f>
        <v/>
      </c>
      <c r="AR111">
        <f>IF(AND(AQ111=1,F111="男"),COUNTIFS($AQ$2:AQ111,1,$F$2:F111,"男"),"")</f>
        <v/>
      </c>
      <c r="AS111">
        <f>IF(AND(AQ111=1,F111="女"),COUNTIFS($AQ$2:AQ111,1,$F$2:F111,"女"),"")</f>
        <v/>
      </c>
    </row>
    <row r="112">
      <c r="A112" s="21">
        <f>ROW()-1</f>
        <v/>
      </c>
      <c r="B112" s="21">
        <f>INT((A112-1)/37)+1</f>
        <v/>
      </c>
      <c r="C112" s="21">
        <f>MOD(A112-1,37)+1</f>
        <v/>
      </c>
      <c r="D112" s="21">
        <f>INDEX(①データ入力!$B$3:$Y$39,C112,(B112-1)*5+1)&amp;""</f>
        <v/>
      </c>
      <c r="E112" s="21">
        <f>INDEX(①データ入力!$B$3:$Y$39,C112,(B112-1)*5+2)&amp;""</f>
        <v/>
      </c>
      <c r="F112" s="21">
        <f>IF(OR(E112="1",E112="１",E112="男"),"男",IF(OR(E112="2",E112="２",E112="女"),"女",""))</f>
        <v/>
      </c>
      <c r="G112" s="21">
        <f>INDEX(①データ入力!$B$3:$Y$39,C112,(B112-1)*5+3)</f>
        <v/>
      </c>
      <c r="H112" s="21">
        <f>INDEX(①データ入力!$B$3:$Y$39,C112,(B112-1)*5+4)&amp;""</f>
        <v/>
      </c>
      <c r="I112" s="21">
        <f>IF(LEFT(TRIM(H112),1)="赤","赤",IF(LEFT(TRIM(H112),1)="白","白",""))</f>
        <v/>
      </c>
      <c r="J112" s="21">
        <f>IF(AND(D112&lt;&gt;"",F112&lt;&gt;"",I112&lt;&gt;"",ISNUMBER(G112)),F112&amp;I112,"")</f>
        <v/>
      </c>
      <c r="K112" s="21">
        <f>IF(J112="","",COUNTIFS($J$2:$J$186,J112,$G$2:$G$186,"&lt;"&amp;G112)+COUNTIFS($J$2:$J$186,J112,$G$2:$G$186,G112,$A$2:$A$186,"&lt;"&amp;A112)+1)</f>
        <v/>
      </c>
      <c r="L112" s="21">
        <f>IF(J112="","",J112&amp;K112)</f>
        <v/>
      </c>
      <c r="M112" s="21">
        <f>B112&amp;"組"</f>
        <v/>
      </c>
      <c r="N112" s="21">
        <f>IF(AND(D112&lt;&gt;"",J112=""),1,0)</f>
        <v/>
      </c>
      <c r="AK112">
        <f>IF(J112="","",IF(J112="男赤",COUNTIF($Y$2:$Y$51,"&lt;"&amp;K112),IF(J112="男白",COUNTIF($Z$2:$Z$51,"&lt;"&amp;K112),IF(J112="女赤",COUNTIF($AH$2:$AH$51,"&lt;"&amp;K112),COUNTIF($AI$2:$AI$51,"&lt;"&amp;K112))))+1)</f>
        <v/>
      </c>
      <c r="AL112">
        <f>IF(AK112="","",IF(AK112=1,0,IF(J112="男赤",INDEX($Y$2:$Y$51,AK112-1),IF(J112="男白",INDEX($Z$2:$Z$51,AK112-1),IF(J112="女赤",INDEX($AH$2:$AH$51,AK112-1),INDEX($AI$2:$AI$51,AK112-1))))))</f>
        <v/>
      </c>
      <c r="AM112">
        <f>IF(AK112="","",IF(RIGHT(J112,1)="赤",K112-AL112,IF(LEFT(J112,1)="男",INDEX($W$2:$W$51,AK112),INDEX($AF$2:$AF$51,AK112))+K112-AL112))</f>
        <v/>
      </c>
      <c r="AN112">
        <f>IF(AK112="","",F112&amp;AK112&amp;"-"&amp;AM112)</f>
        <v/>
      </c>
      <c r="AO112">
        <f>IF(J112="","",F112&amp;D112)</f>
        <v/>
      </c>
      <c r="AP112">
        <f>IF(J112="","",IF(F112="男",COUNTIF(手直し!$B$6:$E$55,D112),COUNTIF(手直し!$F$6:$I$55,D112)))</f>
        <v/>
      </c>
      <c r="AQ112">
        <f>IF(AND(J112&lt;&gt;"",AP112=0),1,0)</f>
        <v/>
      </c>
      <c r="AR112">
        <f>IF(AND(AQ112=1,F112="男"),COUNTIFS($AQ$2:AQ112,1,$F$2:F112,"男"),"")</f>
        <v/>
      </c>
      <c r="AS112">
        <f>IF(AND(AQ112=1,F112="女"),COUNTIFS($AQ$2:AQ112,1,$F$2:F112,"女"),"")</f>
        <v/>
      </c>
    </row>
    <row r="113">
      <c r="A113" s="21">
        <f>ROW()-1</f>
        <v/>
      </c>
      <c r="B113" s="21">
        <f>INT((A113-1)/37)+1</f>
        <v/>
      </c>
      <c r="C113" s="21">
        <f>MOD(A113-1,37)+1</f>
        <v/>
      </c>
      <c r="D113" s="21">
        <f>INDEX(①データ入力!$B$3:$Y$39,C113,(B113-1)*5+1)&amp;""</f>
        <v/>
      </c>
      <c r="E113" s="21">
        <f>INDEX(①データ入力!$B$3:$Y$39,C113,(B113-1)*5+2)&amp;""</f>
        <v/>
      </c>
      <c r="F113" s="21">
        <f>IF(OR(E113="1",E113="１",E113="男"),"男",IF(OR(E113="2",E113="２",E113="女"),"女",""))</f>
        <v/>
      </c>
      <c r="G113" s="21">
        <f>INDEX(①データ入力!$B$3:$Y$39,C113,(B113-1)*5+3)</f>
        <v/>
      </c>
      <c r="H113" s="21">
        <f>INDEX(①データ入力!$B$3:$Y$39,C113,(B113-1)*5+4)&amp;""</f>
        <v/>
      </c>
      <c r="I113" s="21">
        <f>IF(LEFT(TRIM(H113),1)="赤","赤",IF(LEFT(TRIM(H113),1)="白","白",""))</f>
        <v/>
      </c>
      <c r="J113" s="21">
        <f>IF(AND(D113&lt;&gt;"",F113&lt;&gt;"",I113&lt;&gt;"",ISNUMBER(G113)),F113&amp;I113,"")</f>
        <v/>
      </c>
      <c r="K113" s="21">
        <f>IF(J113="","",COUNTIFS($J$2:$J$186,J113,$G$2:$G$186,"&lt;"&amp;G113)+COUNTIFS($J$2:$J$186,J113,$G$2:$G$186,G113,$A$2:$A$186,"&lt;"&amp;A113)+1)</f>
        <v/>
      </c>
      <c r="L113" s="21">
        <f>IF(J113="","",J113&amp;K113)</f>
        <v/>
      </c>
      <c r="M113" s="21">
        <f>B113&amp;"組"</f>
        <v/>
      </c>
      <c r="N113" s="21">
        <f>IF(AND(D113&lt;&gt;"",J113=""),1,0)</f>
        <v/>
      </c>
      <c r="AK113">
        <f>IF(J113="","",IF(J113="男赤",COUNTIF($Y$2:$Y$51,"&lt;"&amp;K113),IF(J113="男白",COUNTIF($Z$2:$Z$51,"&lt;"&amp;K113),IF(J113="女赤",COUNTIF($AH$2:$AH$51,"&lt;"&amp;K113),COUNTIF($AI$2:$AI$51,"&lt;"&amp;K113))))+1)</f>
        <v/>
      </c>
      <c r="AL113">
        <f>IF(AK113="","",IF(AK113=1,0,IF(J113="男赤",INDEX($Y$2:$Y$51,AK113-1),IF(J113="男白",INDEX($Z$2:$Z$51,AK113-1),IF(J113="女赤",INDEX($AH$2:$AH$51,AK113-1),INDEX($AI$2:$AI$51,AK113-1))))))</f>
        <v/>
      </c>
      <c r="AM113">
        <f>IF(AK113="","",IF(RIGHT(J113,1)="赤",K113-AL113,IF(LEFT(J113,1)="男",INDEX($W$2:$W$51,AK113),INDEX($AF$2:$AF$51,AK113))+K113-AL113))</f>
        <v/>
      </c>
      <c r="AN113">
        <f>IF(AK113="","",F113&amp;AK113&amp;"-"&amp;AM113)</f>
        <v/>
      </c>
      <c r="AO113">
        <f>IF(J113="","",F113&amp;D113)</f>
        <v/>
      </c>
      <c r="AP113">
        <f>IF(J113="","",IF(F113="男",COUNTIF(手直し!$B$6:$E$55,D113),COUNTIF(手直し!$F$6:$I$55,D113)))</f>
        <v/>
      </c>
      <c r="AQ113">
        <f>IF(AND(J113&lt;&gt;"",AP113=0),1,0)</f>
        <v/>
      </c>
      <c r="AR113">
        <f>IF(AND(AQ113=1,F113="男"),COUNTIFS($AQ$2:AQ113,1,$F$2:F113,"男"),"")</f>
        <v/>
      </c>
      <c r="AS113">
        <f>IF(AND(AQ113=1,F113="女"),COUNTIFS($AQ$2:AQ113,1,$F$2:F113,"女"),"")</f>
        <v/>
      </c>
    </row>
    <row r="114">
      <c r="A114" s="21">
        <f>ROW()-1</f>
        <v/>
      </c>
      <c r="B114" s="21">
        <f>INT((A114-1)/37)+1</f>
        <v/>
      </c>
      <c r="C114" s="21">
        <f>MOD(A114-1,37)+1</f>
        <v/>
      </c>
      <c r="D114" s="21">
        <f>INDEX(①データ入力!$B$3:$Y$39,C114,(B114-1)*5+1)&amp;""</f>
        <v/>
      </c>
      <c r="E114" s="21">
        <f>INDEX(①データ入力!$B$3:$Y$39,C114,(B114-1)*5+2)&amp;""</f>
        <v/>
      </c>
      <c r="F114" s="21">
        <f>IF(OR(E114="1",E114="１",E114="男"),"男",IF(OR(E114="2",E114="２",E114="女"),"女",""))</f>
        <v/>
      </c>
      <c r="G114" s="21">
        <f>INDEX(①データ入力!$B$3:$Y$39,C114,(B114-1)*5+3)</f>
        <v/>
      </c>
      <c r="H114" s="21">
        <f>INDEX(①データ入力!$B$3:$Y$39,C114,(B114-1)*5+4)&amp;""</f>
        <v/>
      </c>
      <c r="I114" s="21">
        <f>IF(LEFT(TRIM(H114),1)="赤","赤",IF(LEFT(TRIM(H114),1)="白","白",""))</f>
        <v/>
      </c>
      <c r="J114" s="21">
        <f>IF(AND(D114&lt;&gt;"",F114&lt;&gt;"",I114&lt;&gt;"",ISNUMBER(G114)),F114&amp;I114,"")</f>
        <v/>
      </c>
      <c r="K114" s="21">
        <f>IF(J114="","",COUNTIFS($J$2:$J$186,J114,$G$2:$G$186,"&lt;"&amp;G114)+COUNTIFS($J$2:$J$186,J114,$G$2:$G$186,G114,$A$2:$A$186,"&lt;"&amp;A114)+1)</f>
        <v/>
      </c>
      <c r="L114" s="21">
        <f>IF(J114="","",J114&amp;K114)</f>
        <v/>
      </c>
      <c r="M114" s="21">
        <f>B114&amp;"組"</f>
        <v/>
      </c>
      <c r="N114" s="21">
        <f>IF(AND(D114&lt;&gt;"",J114=""),1,0)</f>
        <v/>
      </c>
      <c r="AK114">
        <f>IF(J114="","",IF(J114="男赤",COUNTIF($Y$2:$Y$51,"&lt;"&amp;K114),IF(J114="男白",COUNTIF($Z$2:$Z$51,"&lt;"&amp;K114),IF(J114="女赤",COUNTIF($AH$2:$AH$51,"&lt;"&amp;K114),COUNTIF($AI$2:$AI$51,"&lt;"&amp;K114))))+1)</f>
        <v/>
      </c>
      <c r="AL114">
        <f>IF(AK114="","",IF(AK114=1,0,IF(J114="男赤",INDEX($Y$2:$Y$51,AK114-1),IF(J114="男白",INDEX($Z$2:$Z$51,AK114-1),IF(J114="女赤",INDEX($AH$2:$AH$51,AK114-1),INDEX($AI$2:$AI$51,AK114-1))))))</f>
        <v/>
      </c>
      <c r="AM114">
        <f>IF(AK114="","",IF(RIGHT(J114,1)="赤",K114-AL114,IF(LEFT(J114,1)="男",INDEX($W$2:$W$51,AK114),INDEX($AF$2:$AF$51,AK114))+K114-AL114))</f>
        <v/>
      </c>
      <c r="AN114">
        <f>IF(AK114="","",F114&amp;AK114&amp;"-"&amp;AM114)</f>
        <v/>
      </c>
      <c r="AO114">
        <f>IF(J114="","",F114&amp;D114)</f>
        <v/>
      </c>
      <c r="AP114">
        <f>IF(J114="","",IF(F114="男",COUNTIF(手直し!$B$6:$E$55,D114),COUNTIF(手直し!$F$6:$I$55,D114)))</f>
        <v/>
      </c>
      <c r="AQ114">
        <f>IF(AND(J114&lt;&gt;"",AP114=0),1,0)</f>
        <v/>
      </c>
      <c r="AR114">
        <f>IF(AND(AQ114=1,F114="男"),COUNTIFS($AQ$2:AQ114,1,$F$2:F114,"男"),"")</f>
        <v/>
      </c>
      <c r="AS114">
        <f>IF(AND(AQ114=1,F114="女"),COUNTIFS($AQ$2:AQ114,1,$F$2:F114,"女"),"")</f>
        <v/>
      </c>
    </row>
    <row r="115">
      <c r="A115" s="21">
        <f>ROW()-1</f>
        <v/>
      </c>
      <c r="B115" s="21">
        <f>INT((A115-1)/37)+1</f>
        <v/>
      </c>
      <c r="C115" s="21">
        <f>MOD(A115-1,37)+1</f>
        <v/>
      </c>
      <c r="D115" s="21">
        <f>INDEX(①データ入力!$B$3:$Y$39,C115,(B115-1)*5+1)&amp;""</f>
        <v/>
      </c>
      <c r="E115" s="21">
        <f>INDEX(①データ入力!$B$3:$Y$39,C115,(B115-1)*5+2)&amp;""</f>
        <v/>
      </c>
      <c r="F115" s="21">
        <f>IF(OR(E115="1",E115="１",E115="男"),"男",IF(OR(E115="2",E115="２",E115="女"),"女",""))</f>
        <v/>
      </c>
      <c r="G115" s="21">
        <f>INDEX(①データ入力!$B$3:$Y$39,C115,(B115-1)*5+3)</f>
        <v/>
      </c>
      <c r="H115" s="21">
        <f>INDEX(①データ入力!$B$3:$Y$39,C115,(B115-1)*5+4)&amp;""</f>
        <v/>
      </c>
      <c r="I115" s="21">
        <f>IF(LEFT(TRIM(H115),1)="赤","赤",IF(LEFT(TRIM(H115),1)="白","白",""))</f>
        <v/>
      </c>
      <c r="J115" s="21">
        <f>IF(AND(D115&lt;&gt;"",F115&lt;&gt;"",I115&lt;&gt;"",ISNUMBER(G115)),F115&amp;I115,"")</f>
        <v/>
      </c>
      <c r="K115" s="21">
        <f>IF(J115="","",COUNTIFS($J$2:$J$186,J115,$G$2:$G$186,"&lt;"&amp;G115)+COUNTIFS($J$2:$J$186,J115,$G$2:$G$186,G115,$A$2:$A$186,"&lt;"&amp;A115)+1)</f>
        <v/>
      </c>
      <c r="L115" s="21">
        <f>IF(J115="","",J115&amp;K115)</f>
        <v/>
      </c>
      <c r="M115" s="21">
        <f>B115&amp;"組"</f>
        <v/>
      </c>
      <c r="N115" s="21">
        <f>IF(AND(D115&lt;&gt;"",J115=""),1,0)</f>
        <v/>
      </c>
      <c r="AK115">
        <f>IF(J115="","",IF(J115="男赤",COUNTIF($Y$2:$Y$51,"&lt;"&amp;K115),IF(J115="男白",COUNTIF($Z$2:$Z$51,"&lt;"&amp;K115),IF(J115="女赤",COUNTIF($AH$2:$AH$51,"&lt;"&amp;K115),COUNTIF($AI$2:$AI$51,"&lt;"&amp;K115))))+1)</f>
        <v/>
      </c>
      <c r="AL115">
        <f>IF(AK115="","",IF(AK115=1,0,IF(J115="男赤",INDEX($Y$2:$Y$51,AK115-1),IF(J115="男白",INDEX($Z$2:$Z$51,AK115-1),IF(J115="女赤",INDEX($AH$2:$AH$51,AK115-1),INDEX($AI$2:$AI$51,AK115-1))))))</f>
        <v/>
      </c>
      <c r="AM115">
        <f>IF(AK115="","",IF(RIGHT(J115,1)="赤",K115-AL115,IF(LEFT(J115,1)="男",INDEX($W$2:$W$51,AK115),INDEX($AF$2:$AF$51,AK115))+K115-AL115))</f>
        <v/>
      </c>
      <c r="AN115">
        <f>IF(AK115="","",F115&amp;AK115&amp;"-"&amp;AM115)</f>
        <v/>
      </c>
      <c r="AO115">
        <f>IF(J115="","",F115&amp;D115)</f>
        <v/>
      </c>
      <c r="AP115">
        <f>IF(J115="","",IF(F115="男",COUNTIF(手直し!$B$6:$E$55,D115),COUNTIF(手直し!$F$6:$I$55,D115)))</f>
        <v/>
      </c>
      <c r="AQ115">
        <f>IF(AND(J115&lt;&gt;"",AP115=0),1,0)</f>
        <v/>
      </c>
      <c r="AR115">
        <f>IF(AND(AQ115=1,F115="男"),COUNTIFS($AQ$2:AQ115,1,$F$2:F115,"男"),"")</f>
        <v/>
      </c>
      <c r="AS115">
        <f>IF(AND(AQ115=1,F115="女"),COUNTIFS($AQ$2:AQ115,1,$F$2:F115,"女"),"")</f>
        <v/>
      </c>
    </row>
    <row r="116">
      <c r="A116" s="21">
        <f>ROW()-1</f>
        <v/>
      </c>
      <c r="B116" s="21">
        <f>INT((A116-1)/37)+1</f>
        <v/>
      </c>
      <c r="C116" s="21">
        <f>MOD(A116-1,37)+1</f>
        <v/>
      </c>
      <c r="D116" s="21">
        <f>INDEX(①データ入力!$B$3:$Y$39,C116,(B116-1)*5+1)&amp;""</f>
        <v/>
      </c>
      <c r="E116" s="21">
        <f>INDEX(①データ入力!$B$3:$Y$39,C116,(B116-1)*5+2)&amp;""</f>
        <v/>
      </c>
      <c r="F116" s="21">
        <f>IF(OR(E116="1",E116="１",E116="男"),"男",IF(OR(E116="2",E116="２",E116="女"),"女",""))</f>
        <v/>
      </c>
      <c r="G116" s="21">
        <f>INDEX(①データ入力!$B$3:$Y$39,C116,(B116-1)*5+3)</f>
        <v/>
      </c>
      <c r="H116" s="21">
        <f>INDEX(①データ入力!$B$3:$Y$39,C116,(B116-1)*5+4)&amp;""</f>
        <v/>
      </c>
      <c r="I116" s="21">
        <f>IF(LEFT(TRIM(H116),1)="赤","赤",IF(LEFT(TRIM(H116),1)="白","白",""))</f>
        <v/>
      </c>
      <c r="J116" s="21">
        <f>IF(AND(D116&lt;&gt;"",F116&lt;&gt;"",I116&lt;&gt;"",ISNUMBER(G116)),F116&amp;I116,"")</f>
        <v/>
      </c>
      <c r="K116" s="21">
        <f>IF(J116="","",COUNTIFS($J$2:$J$186,J116,$G$2:$G$186,"&lt;"&amp;G116)+COUNTIFS($J$2:$J$186,J116,$G$2:$G$186,G116,$A$2:$A$186,"&lt;"&amp;A116)+1)</f>
        <v/>
      </c>
      <c r="L116" s="21">
        <f>IF(J116="","",J116&amp;K116)</f>
        <v/>
      </c>
      <c r="M116" s="21">
        <f>B116&amp;"組"</f>
        <v/>
      </c>
      <c r="N116" s="21">
        <f>IF(AND(D116&lt;&gt;"",J116=""),1,0)</f>
        <v/>
      </c>
      <c r="AK116">
        <f>IF(J116="","",IF(J116="男赤",COUNTIF($Y$2:$Y$51,"&lt;"&amp;K116),IF(J116="男白",COUNTIF($Z$2:$Z$51,"&lt;"&amp;K116),IF(J116="女赤",COUNTIF($AH$2:$AH$51,"&lt;"&amp;K116),COUNTIF($AI$2:$AI$51,"&lt;"&amp;K116))))+1)</f>
        <v/>
      </c>
      <c r="AL116">
        <f>IF(AK116="","",IF(AK116=1,0,IF(J116="男赤",INDEX($Y$2:$Y$51,AK116-1),IF(J116="男白",INDEX($Z$2:$Z$51,AK116-1),IF(J116="女赤",INDEX($AH$2:$AH$51,AK116-1),INDEX($AI$2:$AI$51,AK116-1))))))</f>
        <v/>
      </c>
      <c r="AM116">
        <f>IF(AK116="","",IF(RIGHT(J116,1)="赤",K116-AL116,IF(LEFT(J116,1)="男",INDEX($W$2:$W$51,AK116),INDEX($AF$2:$AF$51,AK116))+K116-AL116))</f>
        <v/>
      </c>
      <c r="AN116">
        <f>IF(AK116="","",F116&amp;AK116&amp;"-"&amp;AM116)</f>
        <v/>
      </c>
      <c r="AO116">
        <f>IF(J116="","",F116&amp;D116)</f>
        <v/>
      </c>
      <c r="AP116">
        <f>IF(J116="","",IF(F116="男",COUNTIF(手直し!$B$6:$E$55,D116),COUNTIF(手直し!$F$6:$I$55,D116)))</f>
        <v/>
      </c>
      <c r="AQ116">
        <f>IF(AND(J116&lt;&gt;"",AP116=0),1,0)</f>
        <v/>
      </c>
      <c r="AR116">
        <f>IF(AND(AQ116=1,F116="男"),COUNTIFS($AQ$2:AQ116,1,$F$2:F116,"男"),"")</f>
        <v/>
      </c>
      <c r="AS116">
        <f>IF(AND(AQ116=1,F116="女"),COUNTIFS($AQ$2:AQ116,1,$F$2:F116,"女"),"")</f>
        <v/>
      </c>
    </row>
    <row r="117">
      <c r="A117" s="21">
        <f>ROW()-1</f>
        <v/>
      </c>
      <c r="B117" s="21">
        <f>INT((A117-1)/37)+1</f>
        <v/>
      </c>
      <c r="C117" s="21">
        <f>MOD(A117-1,37)+1</f>
        <v/>
      </c>
      <c r="D117" s="21">
        <f>INDEX(①データ入力!$B$3:$Y$39,C117,(B117-1)*5+1)&amp;""</f>
        <v/>
      </c>
      <c r="E117" s="21">
        <f>INDEX(①データ入力!$B$3:$Y$39,C117,(B117-1)*5+2)&amp;""</f>
        <v/>
      </c>
      <c r="F117" s="21">
        <f>IF(OR(E117="1",E117="１",E117="男"),"男",IF(OR(E117="2",E117="２",E117="女"),"女",""))</f>
        <v/>
      </c>
      <c r="G117" s="21">
        <f>INDEX(①データ入力!$B$3:$Y$39,C117,(B117-1)*5+3)</f>
        <v/>
      </c>
      <c r="H117" s="21">
        <f>INDEX(①データ入力!$B$3:$Y$39,C117,(B117-1)*5+4)&amp;""</f>
        <v/>
      </c>
      <c r="I117" s="21">
        <f>IF(LEFT(TRIM(H117),1)="赤","赤",IF(LEFT(TRIM(H117),1)="白","白",""))</f>
        <v/>
      </c>
      <c r="J117" s="21">
        <f>IF(AND(D117&lt;&gt;"",F117&lt;&gt;"",I117&lt;&gt;"",ISNUMBER(G117)),F117&amp;I117,"")</f>
        <v/>
      </c>
      <c r="K117" s="21">
        <f>IF(J117="","",COUNTIFS($J$2:$J$186,J117,$G$2:$G$186,"&lt;"&amp;G117)+COUNTIFS($J$2:$J$186,J117,$G$2:$G$186,G117,$A$2:$A$186,"&lt;"&amp;A117)+1)</f>
        <v/>
      </c>
      <c r="L117" s="21">
        <f>IF(J117="","",J117&amp;K117)</f>
        <v/>
      </c>
      <c r="M117" s="21">
        <f>B117&amp;"組"</f>
        <v/>
      </c>
      <c r="N117" s="21">
        <f>IF(AND(D117&lt;&gt;"",J117=""),1,0)</f>
        <v/>
      </c>
      <c r="AK117">
        <f>IF(J117="","",IF(J117="男赤",COUNTIF($Y$2:$Y$51,"&lt;"&amp;K117),IF(J117="男白",COUNTIF($Z$2:$Z$51,"&lt;"&amp;K117),IF(J117="女赤",COUNTIF($AH$2:$AH$51,"&lt;"&amp;K117),COUNTIF($AI$2:$AI$51,"&lt;"&amp;K117))))+1)</f>
        <v/>
      </c>
      <c r="AL117">
        <f>IF(AK117="","",IF(AK117=1,0,IF(J117="男赤",INDEX($Y$2:$Y$51,AK117-1),IF(J117="男白",INDEX($Z$2:$Z$51,AK117-1),IF(J117="女赤",INDEX($AH$2:$AH$51,AK117-1),INDEX($AI$2:$AI$51,AK117-1))))))</f>
        <v/>
      </c>
      <c r="AM117">
        <f>IF(AK117="","",IF(RIGHT(J117,1)="赤",K117-AL117,IF(LEFT(J117,1)="男",INDEX($W$2:$W$51,AK117),INDEX($AF$2:$AF$51,AK117))+K117-AL117))</f>
        <v/>
      </c>
      <c r="AN117">
        <f>IF(AK117="","",F117&amp;AK117&amp;"-"&amp;AM117)</f>
        <v/>
      </c>
      <c r="AO117">
        <f>IF(J117="","",F117&amp;D117)</f>
        <v/>
      </c>
      <c r="AP117">
        <f>IF(J117="","",IF(F117="男",COUNTIF(手直し!$B$6:$E$55,D117),COUNTIF(手直し!$F$6:$I$55,D117)))</f>
        <v/>
      </c>
      <c r="AQ117">
        <f>IF(AND(J117&lt;&gt;"",AP117=0),1,0)</f>
        <v/>
      </c>
      <c r="AR117">
        <f>IF(AND(AQ117=1,F117="男"),COUNTIFS($AQ$2:AQ117,1,$F$2:F117,"男"),"")</f>
        <v/>
      </c>
      <c r="AS117">
        <f>IF(AND(AQ117=1,F117="女"),COUNTIFS($AQ$2:AQ117,1,$F$2:F117,"女"),"")</f>
        <v/>
      </c>
    </row>
    <row r="118">
      <c r="A118" s="21">
        <f>ROW()-1</f>
        <v/>
      </c>
      <c r="B118" s="21">
        <f>INT((A118-1)/37)+1</f>
        <v/>
      </c>
      <c r="C118" s="21">
        <f>MOD(A118-1,37)+1</f>
        <v/>
      </c>
      <c r="D118" s="21">
        <f>INDEX(①データ入力!$B$3:$Y$39,C118,(B118-1)*5+1)&amp;""</f>
        <v/>
      </c>
      <c r="E118" s="21">
        <f>INDEX(①データ入力!$B$3:$Y$39,C118,(B118-1)*5+2)&amp;""</f>
        <v/>
      </c>
      <c r="F118" s="21">
        <f>IF(OR(E118="1",E118="１",E118="男"),"男",IF(OR(E118="2",E118="２",E118="女"),"女",""))</f>
        <v/>
      </c>
      <c r="G118" s="21">
        <f>INDEX(①データ入力!$B$3:$Y$39,C118,(B118-1)*5+3)</f>
        <v/>
      </c>
      <c r="H118" s="21">
        <f>INDEX(①データ入力!$B$3:$Y$39,C118,(B118-1)*5+4)&amp;""</f>
        <v/>
      </c>
      <c r="I118" s="21">
        <f>IF(LEFT(TRIM(H118),1)="赤","赤",IF(LEFT(TRIM(H118),1)="白","白",""))</f>
        <v/>
      </c>
      <c r="J118" s="21">
        <f>IF(AND(D118&lt;&gt;"",F118&lt;&gt;"",I118&lt;&gt;"",ISNUMBER(G118)),F118&amp;I118,"")</f>
        <v/>
      </c>
      <c r="K118" s="21">
        <f>IF(J118="","",COUNTIFS($J$2:$J$186,J118,$G$2:$G$186,"&lt;"&amp;G118)+COUNTIFS($J$2:$J$186,J118,$G$2:$G$186,G118,$A$2:$A$186,"&lt;"&amp;A118)+1)</f>
        <v/>
      </c>
      <c r="L118" s="21">
        <f>IF(J118="","",J118&amp;K118)</f>
        <v/>
      </c>
      <c r="M118" s="21">
        <f>B118&amp;"組"</f>
        <v/>
      </c>
      <c r="N118" s="21">
        <f>IF(AND(D118&lt;&gt;"",J118=""),1,0)</f>
        <v/>
      </c>
      <c r="AK118">
        <f>IF(J118="","",IF(J118="男赤",COUNTIF($Y$2:$Y$51,"&lt;"&amp;K118),IF(J118="男白",COUNTIF($Z$2:$Z$51,"&lt;"&amp;K118),IF(J118="女赤",COUNTIF($AH$2:$AH$51,"&lt;"&amp;K118),COUNTIF($AI$2:$AI$51,"&lt;"&amp;K118))))+1)</f>
        <v/>
      </c>
      <c r="AL118">
        <f>IF(AK118="","",IF(AK118=1,0,IF(J118="男赤",INDEX($Y$2:$Y$51,AK118-1),IF(J118="男白",INDEX($Z$2:$Z$51,AK118-1),IF(J118="女赤",INDEX($AH$2:$AH$51,AK118-1),INDEX($AI$2:$AI$51,AK118-1))))))</f>
        <v/>
      </c>
      <c r="AM118">
        <f>IF(AK118="","",IF(RIGHT(J118,1)="赤",K118-AL118,IF(LEFT(J118,1)="男",INDEX($W$2:$W$51,AK118),INDEX($AF$2:$AF$51,AK118))+K118-AL118))</f>
        <v/>
      </c>
      <c r="AN118">
        <f>IF(AK118="","",F118&amp;AK118&amp;"-"&amp;AM118)</f>
        <v/>
      </c>
      <c r="AO118">
        <f>IF(J118="","",F118&amp;D118)</f>
        <v/>
      </c>
      <c r="AP118">
        <f>IF(J118="","",IF(F118="男",COUNTIF(手直し!$B$6:$E$55,D118),COUNTIF(手直し!$F$6:$I$55,D118)))</f>
        <v/>
      </c>
      <c r="AQ118">
        <f>IF(AND(J118&lt;&gt;"",AP118=0),1,0)</f>
        <v/>
      </c>
      <c r="AR118">
        <f>IF(AND(AQ118=1,F118="男"),COUNTIFS($AQ$2:AQ118,1,$F$2:F118,"男"),"")</f>
        <v/>
      </c>
      <c r="AS118">
        <f>IF(AND(AQ118=1,F118="女"),COUNTIFS($AQ$2:AQ118,1,$F$2:F118,"女"),"")</f>
        <v/>
      </c>
    </row>
    <row r="119">
      <c r="A119" s="21">
        <f>ROW()-1</f>
        <v/>
      </c>
      <c r="B119" s="21">
        <f>INT((A119-1)/37)+1</f>
        <v/>
      </c>
      <c r="C119" s="21">
        <f>MOD(A119-1,37)+1</f>
        <v/>
      </c>
      <c r="D119" s="21">
        <f>INDEX(①データ入力!$B$3:$Y$39,C119,(B119-1)*5+1)&amp;""</f>
        <v/>
      </c>
      <c r="E119" s="21">
        <f>INDEX(①データ入力!$B$3:$Y$39,C119,(B119-1)*5+2)&amp;""</f>
        <v/>
      </c>
      <c r="F119" s="21">
        <f>IF(OR(E119="1",E119="１",E119="男"),"男",IF(OR(E119="2",E119="２",E119="女"),"女",""))</f>
        <v/>
      </c>
      <c r="G119" s="21">
        <f>INDEX(①データ入力!$B$3:$Y$39,C119,(B119-1)*5+3)</f>
        <v/>
      </c>
      <c r="H119" s="21">
        <f>INDEX(①データ入力!$B$3:$Y$39,C119,(B119-1)*5+4)&amp;""</f>
        <v/>
      </c>
      <c r="I119" s="21">
        <f>IF(LEFT(TRIM(H119),1)="赤","赤",IF(LEFT(TRIM(H119),1)="白","白",""))</f>
        <v/>
      </c>
      <c r="J119" s="21">
        <f>IF(AND(D119&lt;&gt;"",F119&lt;&gt;"",I119&lt;&gt;"",ISNUMBER(G119)),F119&amp;I119,"")</f>
        <v/>
      </c>
      <c r="K119" s="21">
        <f>IF(J119="","",COUNTIFS($J$2:$J$186,J119,$G$2:$G$186,"&lt;"&amp;G119)+COUNTIFS($J$2:$J$186,J119,$G$2:$G$186,G119,$A$2:$A$186,"&lt;"&amp;A119)+1)</f>
        <v/>
      </c>
      <c r="L119" s="21">
        <f>IF(J119="","",J119&amp;K119)</f>
        <v/>
      </c>
      <c r="M119" s="21">
        <f>B119&amp;"組"</f>
        <v/>
      </c>
      <c r="N119" s="21">
        <f>IF(AND(D119&lt;&gt;"",J119=""),1,0)</f>
        <v/>
      </c>
      <c r="AK119">
        <f>IF(J119="","",IF(J119="男赤",COUNTIF($Y$2:$Y$51,"&lt;"&amp;K119),IF(J119="男白",COUNTIF($Z$2:$Z$51,"&lt;"&amp;K119),IF(J119="女赤",COUNTIF($AH$2:$AH$51,"&lt;"&amp;K119),COUNTIF($AI$2:$AI$51,"&lt;"&amp;K119))))+1)</f>
        <v/>
      </c>
      <c r="AL119">
        <f>IF(AK119="","",IF(AK119=1,0,IF(J119="男赤",INDEX($Y$2:$Y$51,AK119-1),IF(J119="男白",INDEX($Z$2:$Z$51,AK119-1),IF(J119="女赤",INDEX($AH$2:$AH$51,AK119-1),INDEX($AI$2:$AI$51,AK119-1))))))</f>
        <v/>
      </c>
      <c r="AM119">
        <f>IF(AK119="","",IF(RIGHT(J119,1)="赤",K119-AL119,IF(LEFT(J119,1)="男",INDEX($W$2:$W$51,AK119),INDEX($AF$2:$AF$51,AK119))+K119-AL119))</f>
        <v/>
      </c>
      <c r="AN119">
        <f>IF(AK119="","",F119&amp;AK119&amp;"-"&amp;AM119)</f>
        <v/>
      </c>
      <c r="AO119">
        <f>IF(J119="","",F119&amp;D119)</f>
        <v/>
      </c>
      <c r="AP119">
        <f>IF(J119="","",IF(F119="男",COUNTIF(手直し!$B$6:$E$55,D119),COUNTIF(手直し!$F$6:$I$55,D119)))</f>
        <v/>
      </c>
      <c r="AQ119">
        <f>IF(AND(J119&lt;&gt;"",AP119=0),1,0)</f>
        <v/>
      </c>
      <c r="AR119">
        <f>IF(AND(AQ119=1,F119="男"),COUNTIFS($AQ$2:AQ119,1,$F$2:F119,"男"),"")</f>
        <v/>
      </c>
      <c r="AS119">
        <f>IF(AND(AQ119=1,F119="女"),COUNTIFS($AQ$2:AQ119,1,$F$2:F119,"女"),"")</f>
        <v/>
      </c>
    </row>
    <row r="120">
      <c r="A120" s="21">
        <f>ROW()-1</f>
        <v/>
      </c>
      <c r="B120" s="21">
        <f>INT((A120-1)/37)+1</f>
        <v/>
      </c>
      <c r="C120" s="21">
        <f>MOD(A120-1,37)+1</f>
        <v/>
      </c>
      <c r="D120" s="21">
        <f>INDEX(①データ入力!$B$3:$Y$39,C120,(B120-1)*5+1)&amp;""</f>
        <v/>
      </c>
      <c r="E120" s="21">
        <f>INDEX(①データ入力!$B$3:$Y$39,C120,(B120-1)*5+2)&amp;""</f>
        <v/>
      </c>
      <c r="F120" s="21">
        <f>IF(OR(E120="1",E120="１",E120="男"),"男",IF(OR(E120="2",E120="２",E120="女"),"女",""))</f>
        <v/>
      </c>
      <c r="G120" s="21">
        <f>INDEX(①データ入力!$B$3:$Y$39,C120,(B120-1)*5+3)</f>
        <v/>
      </c>
      <c r="H120" s="21">
        <f>INDEX(①データ入力!$B$3:$Y$39,C120,(B120-1)*5+4)&amp;""</f>
        <v/>
      </c>
      <c r="I120" s="21">
        <f>IF(LEFT(TRIM(H120),1)="赤","赤",IF(LEFT(TRIM(H120),1)="白","白",""))</f>
        <v/>
      </c>
      <c r="J120" s="21">
        <f>IF(AND(D120&lt;&gt;"",F120&lt;&gt;"",I120&lt;&gt;"",ISNUMBER(G120)),F120&amp;I120,"")</f>
        <v/>
      </c>
      <c r="K120" s="21">
        <f>IF(J120="","",COUNTIFS($J$2:$J$186,J120,$G$2:$G$186,"&lt;"&amp;G120)+COUNTIFS($J$2:$J$186,J120,$G$2:$G$186,G120,$A$2:$A$186,"&lt;"&amp;A120)+1)</f>
        <v/>
      </c>
      <c r="L120" s="21">
        <f>IF(J120="","",J120&amp;K120)</f>
        <v/>
      </c>
      <c r="M120" s="21">
        <f>B120&amp;"組"</f>
        <v/>
      </c>
      <c r="N120" s="21">
        <f>IF(AND(D120&lt;&gt;"",J120=""),1,0)</f>
        <v/>
      </c>
      <c r="AK120">
        <f>IF(J120="","",IF(J120="男赤",COUNTIF($Y$2:$Y$51,"&lt;"&amp;K120),IF(J120="男白",COUNTIF($Z$2:$Z$51,"&lt;"&amp;K120),IF(J120="女赤",COUNTIF($AH$2:$AH$51,"&lt;"&amp;K120),COUNTIF($AI$2:$AI$51,"&lt;"&amp;K120))))+1)</f>
        <v/>
      </c>
      <c r="AL120">
        <f>IF(AK120="","",IF(AK120=1,0,IF(J120="男赤",INDEX($Y$2:$Y$51,AK120-1),IF(J120="男白",INDEX($Z$2:$Z$51,AK120-1),IF(J120="女赤",INDEX($AH$2:$AH$51,AK120-1),INDEX($AI$2:$AI$51,AK120-1))))))</f>
        <v/>
      </c>
      <c r="AM120">
        <f>IF(AK120="","",IF(RIGHT(J120,1)="赤",K120-AL120,IF(LEFT(J120,1)="男",INDEX($W$2:$W$51,AK120),INDEX($AF$2:$AF$51,AK120))+K120-AL120))</f>
        <v/>
      </c>
      <c r="AN120">
        <f>IF(AK120="","",F120&amp;AK120&amp;"-"&amp;AM120)</f>
        <v/>
      </c>
      <c r="AO120">
        <f>IF(J120="","",F120&amp;D120)</f>
        <v/>
      </c>
      <c r="AP120">
        <f>IF(J120="","",IF(F120="男",COUNTIF(手直し!$B$6:$E$55,D120),COUNTIF(手直し!$F$6:$I$55,D120)))</f>
        <v/>
      </c>
      <c r="AQ120">
        <f>IF(AND(J120&lt;&gt;"",AP120=0),1,0)</f>
        <v/>
      </c>
      <c r="AR120">
        <f>IF(AND(AQ120=1,F120="男"),COUNTIFS($AQ$2:AQ120,1,$F$2:F120,"男"),"")</f>
        <v/>
      </c>
      <c r="AS120">
        <f>IF(AND(AQ120=1,F120="女"),COUNTIFS($AQ$2:AQ120,1,$F$2:F120,"女"),"")</f>
        <v/>
      </c>
    </row>
    <row r="121">
      <c r="A121" s="21">
        <f>ROW()-1</f>
        <v/>
      </c>
      <c r="B121" s="21">
        <f>INT((A121-1)/37)+1</f>
        <v/>
      </c>
      <c r="C121" s="21">
        <f>MOD(A121-1,37)+1</f>
        <v/>
      </c>
      <c r="D121" s="21">
        <f>INDEX(①データ入力!$B$3:$Y$39,C121,(B121-1)*5+1)&amp;""</f>
        <v/>
      </c>
      <c r="E121" s="21">
        <f>INDEX(①データ入力!$B$3:$Y$39,C121,(B121-1)*5+2)&amp;""</f>
        <v/>
      </c>
      <c r="F121" s="21">
        <f>IF(OR(E121="1",E121="１",E121="男"),"男",IF(OR(E121="2",E121="２",E121="女"),"女",""))</f>
        <v/>
      </c>
      <c r="G121" s="21">
        <f>INDEX(①データ入力!$B$3:$Y$39,C121,(B121-1)*5+3)</f>
        <v/>
      </c>
      <c r="H121" s="21">
        <f>INDEX(①データ入力!$B$3:$Y$39,C121,(B121-1)*5+4)&amp;""</f>
        <v/>
      </c>
      <c r="I121" s="21">
        <f>IF(LEFT(TRIM(H121),1)="赤","赤",IF(LEFT(TRIM(H121),1)="白","白",""))</f>
        <v/>
      </c>
      <c r="J121" s="21">
        <f>IF(AND(D121&lt;&gt;"",F121&lt;&gt;"",I121&lt;&gt;"",ISNUMBER(G121)),F121&amp;I121,"")</f>
        <v/>
      </c>
      <c r="K121" s="21">
        <f>IF(J121="","",COUNTIFS($J$2:$J$186,J121,$G$2:$G$186,"&lt;"&amp;G121)+COUNTIFS($J$2:$J$186,J121,$G$2:$G$186,G121,$A$2:$A$186,"&lt;"&amp;A121)+1)</f>
        <v/>
      </c>
      <c r="L121" s="21">
        <f>IF(J121="","",J121&amp;K121)</f>
        <v/>
      </c>
      <c r="M121" s="21">
        <f>B121&amp;"組"</f>
        <v/>
      </c>
      <c r="N121" s="21">
        <f>IF(AND(D121&lt;&gt;"",J121=""),1,0)</f>
        <v/>
      </c>
      <c r="AK121">
        <f>IF(J121="","",IF(J121="男赤",COUNTIF($Y$2:$Y$51,"&lt;"&amp;K121),IF(J121="男白",COUNTIF($Z$2:$Z$51,"&lt;"&amp;K121),IF(J121="女赤",COUNTIF($AH$2:$AH$51,"&lt;"&amp;K121),COUNTIF($AI$2:$AI$51,"&lt;"&amp;K121))))+1)</f>
        <v/>
      </c>
      <c r="AL121">
        <f>IF(AK121="","",IF(AK121=1,0,IF(J121="男赤",INDEX($Y$2:$Y$51,AK121-1),IF(J121="男白",INDEX($Z$2:$Z$51,AK121-1),IF(J121="女赤",INDEX($AH$2:$AH$51,AK121-1),INDEX($AI$2:$AI$51,AK121-1))))))</f>
        <v/>
      </c>
      <c r="AM121">
        <f>IF(AK121="","",IF(RIGHT(J121,1)="赤",K121-AL121,IF(LEFT(J121,1)="男",INDEX($W$2:$W$51,AK121),INDEX($AF$2:$AF$51,AK121))+K121-AL121))</f>
        <v/>
      </c>
      <c r="AN121">
        <f>IF(AK121="","",F121&amp;AK121&amp;"-"&amp;AM121)</f>
        <v/>
      </c>
      <c r="AO121">
        <f>IF(J121="","",F121&amp;D121)</f>
        <v/>
      </c>
      <c r="AP121">
        <f>IF(J121="","",IF(F121="男",COUNTIF(手直し!$B$6:$E$55,D121),COUNTIF(手直し!$F$6:$I$55,D121)))</f>
        <v/>
      </c>
      <c r="AQ121">
        <f>IF(AND(J121&lt;&gt;"",AP121=0),1,0)</f>
        <v/>
      </c>
      <c r="AR121">
        <f>IF(AND(AQ121=1,F121="男"),COUNTIFS($AQ$2:AQ121,1,$F$2:F121,"男"),"")</f>
        <v/>
      </c>
      <c r="AS121">
        <f>IF(AND(AQ121=1,F121="女"),COUNTIFS($AQ$2:AQ121,1,$F$2:F121,"女"),"")</f>
        <v/>
      </c>
    </row>
    <row r="122">
      <c r="A122" s="21">
        <f>ROW()-1</f>
        <v/>
      </c>
      <c r="B122" s="21">
        <f>INT((A122-1)/37)+1</f>
        <v/>
      </c>
      <c r="C122" s="21">
        <f>MOD(A122-1,37)+1</f>
        <v/>
      </c>
      <c r="D122" s="21">
        <f>INDEX(①データ入力!$B$3:$Y$39,C122,(B122-1)*5+1)&amp;""</f>
        <v/>
      </c>
      <c r="E122" s="21">
        <f>INDEX(①データ入力!$B$3:$Y$39,C122,(B122-1)*5+2)&amp;""</f>
        <v/>
      </c>
      <c r="F122" s="21">
        <f>IF(OR(E122="1",E122="１",E122="男"),"男",IF(OR(E122="2",E122="２",E122="女"),"女",""))</f>
        <v/>
      </c>
      <c r="G122" s="21">
        <f>INDEX(①データ入力!$B$3:$Y$39,C122,(B122-1)*5+3)</f>
        <v/>
      </c>
      <c r="H122" s="21">
        <f>INDEX(①データ入力!$B$3:$Y$39,C122,(B122-1)*5+4)&amp;""</f>
        <v/>
      </c>
      <c r="I122" s="21">
        <f>IF(LEFT(TRIM(H122),1)="赤","赤",IF(LEFT(TRIM(H122),1)="白","白",""))</f>
        <v/>
      </c>
      <c r="J122" s="21">
        <f>IF(AND(D122&lt;&gt;"",F122&lt;&gt;"",I122&lt;&gt;"",ISNUMBER(G122)),F122&amp;I122,"")</f>
        <v/>
      </c>
      <c r="K122" s="21">
        <f>IF(J122="","",COUNTIFS($J$2:$J$186,J122,$G$2:$G$186,"&lt;"&amp;G122)+COUNTIFS($J$2:$J$186,J122,$G$2:$G$186,G122,$A$2:$A$186,"&lt;"&amp;A122)+1)</f>
        <v/>
      </c>
      <c r="L122" s="21">
        <f>IF(J122="","",J122&amp;K122)</f>
        <v/>
      </c>
      <c r="M122" s="21">
        <f>B122&amp;"組"</f>
        <v/>
      </c>
      <c r="N122" s="21">
        <f>IF(AND(D122&lt;&gt;"",J122=""),1,0)</f>
        <v/>
      </c>
      <c r="AK122">
        <f>IF(J122="","",IF(J122="男赤",COUNTIF($Y$2:$Y$51,"&lt;"&amp;K122),IF(J122="男白",COUNTIF($Z$2:$Z$51,"&lt;"&amp;K122),IF(J122="女赤",COUNTIF($AH$2:$AH$51,"&lt;"&amp;K122),COUNTIF($AI$2:$AI$51,"&lt;"&amp;K122))))+1)</f>
        <v/>
      </c>
      <c r="AL122">
        <f>IF(AK122="","",IF(AK122=1,0,IF(J122="男赤",INDEX($Y$2:$Y$51,AK122-1),IF(J122="男白",INDEX($Z$2:$Z$51,AK122-1),IF(J122="女赤",INDEX($AH$2:$AH$51,AK122-1),INDEX($AI$2:$AI$51,AK122-1))))))</f>
        <v/>
      </c>
      <c r="AM122">
        <f>IF(AK122="","",IF(RIGHT(J122,1)="赤",K122-AL122,IF(LEFT(J122,1)="男",INDEX($W$2:$W$51,AK122),INDEX($AF$2:$AF$51,AK122))+K122-AL122))</f>
        <v/>
      </c>
      <c r="AN122">
        <f>IF(AK122="","",F122&amp;AK122&amp;"-"&amp;AM122)</f>
        <v/>
      </c>
      <c r="AO122">
        <f>IF(J122="","",F122&amp;D122)</f>
        <v/>
      </c>
      <c r="AP122">
        <f>IF(J122="","",IF(F122="男",COUNTIF(手直し!$B$6:$E$55,D122),COUNTIF(手直し!$F$6:$I$55,D122)))</f>
        <v/>
      </c>
      <c r="AQ122">
        <f>IF(AND(J122&lt;&gt;"",AP122=0),1,0)</f>
        <v/>
      </c>
      <c r="AR122">
        <f>IF(AND(AQ122=1,F122="男"),COUNTIFS($AQ$2:AQ122,1,$F$2:F122,"男"),"")</f>
        <v/>
      </c>
      <c r="AS122">
        <f>IF(AND(AQ122=1,F122="女"),COUNTIFS($AQ$2:AQ122,1,$F$2:F122,"女"),"")</f>
        <v/>
      </c>
    </row>
    <row r="123">
      <c r="A123" s="21">
        <f>ROW()-1</f>
        <v/>
      </c>
      <c r="B123" s="21">
        <f>INT((A123-1)/37)+1</f>
        <v/>
      </c>
      <c r="C123" s="21">
        <f>MOD(A123-1,37)+1</f>
        <v/>
      </c>
      <c r="D123" s="21">
        <f>INDEX(①データ入力!$B$3:$Y$39,C123,(B123-1)*5+1)&amp;""</f>
        <v/>
      </c>
      <c r="E123" s="21">
        <f>INDEX(①データ入力!$B$3:$Y$39,C123,(B123-1)*5+2)&amp;""</f>
        <v/>
      </c>
      <c r="F123" s="21">
        <f>IF(OR(E123="1",E123="１",E123="男"),"男",IF(OR(E123="2",E123="２",E123="女"),"女",""))</f>
        <v/>
      </c>
      <c r="G123" s="21">
        <f>INDEX(①データ入力!$B$3:$Y$39,C123,(B123-1)*5+3)</f>
        <v/>
      </c>
      <c r="H123" s="21">
        <f>INDEX(①データ入力!$B$3:$Y$39,C123,(B123-1)*5+4)&amp;""</f>
        <v/>
      </c>
      <c r="I123" s="21">
        <f>IF(LEFT(TRIM(H123),1)="赤","赤",IF(LEFT(TRIM(H123),1)="白","白",""))</f>
        <v/>
      </c>
      <c r="J123" s="21">
        <f>IF(AND(D123&lt;&gt;"",F123&lt;&gt;"",I123&lt;&gt;"",ISNUMBER(G123)),F123&amp;I123,"")</f>
        <v/>
      </c>
      <c r="K123" s="21">
        <f>IF(J123="","",COUNTIFS($J$2:$J$186,J123,$G$2:$G$186,"&lt;"&amp;G123)+COUNTIFS($J$2:$J$186,J123,$G$2:$G$186,G123,$A$2:$A$186,"&lt;"&amp;A123)+1)</f>
        <v/>
      </c>
      <c r="L123" s="21">
        <f>IF(J123="","",J123&amp;K123)</f>
        <v/>
      </c>
      <c r="M123" s="21">
        <f>B123&amp;"組"</f>
        <v/>
      </c>
      <c r="N123" s="21">
        <f>IF(AND(D123&lt;&gt;"",J123=""),1,0)</f>
        <v/>
      </c>
      <c r="AK123">
        <f>IF(J123="","",IF(J123="男赤",COUNTIF($Y$2:$Y$51,"&lt;"&amp;K123),IF(J123="男白",COUNTIF($Z$2:$Z$51,"&lt;"&amp;K123),IF(J123="女赤",COUNTIF($AH$2:$AH$51,"&lt;"&amp;K123),COUNTIF($AI$2:$AI$51,"&lt;"&amp;K123))))+1)</f>
        <v/>
      </c>
      <c r="AL123">
        <f>IF(AK123="","",IF(AK123=1,0,IF(J123="男赤",INDEX($Y$2:$Y$51,AK123-1),IF(J123="男白",INDEX($Z$2:$Z$51,AK123-1),IF(J123="女赤",INDEX($AH$2:$AH$51,AK123-1),INDEX($AI$2:$AI$51,AK123-1))))))</f>
        <v/>
      </c>
      <c r="AM123">
        <f>IF(AK123="","",IF(RIGHT(J123,1)="赤",K123-AL123,IF(LEFT(J123,1)="男",INDEX($W$2:$W$51,AK123),INDEX($AF$2:$AF$51,AK123))+K123-AL123))</f>
        <v/>
      </c>
      <c r="AN123">
        <f>IF(AK123="","",F123&amp;AK123&amp;"-"&amp;AM123)</f>
        <v/>
      </c>
      <c r="AO123">
        <f>IF(J123="","",F123&amp;D123)</f>
        <v/>
      </c>
      <c r="AP123">
        <f>IF(J123="","",IF(F123="男",COUNTIF(手直し!$B$6:$E$55,D123),COUNTIF(手直し!$F$6:$I$55,D123)))</f>
        <v/>
      </c>
      <c r="AQ123">
        <f>IF(AND(J123&lt;&gt;"",AP123=0),1,0)</f>
        <v/>
      </c>
      <c r="AR123">
        <f>IF(AND(AQ123=1,F123="男"),COUNTIFS($AQ$2:AQ123,1,$F$2:F123,"男"),"")</f>
        <v/>
      </c>
      <c r="AS123">
        <f>IF(AND(AQ123=1,F123="女"),COUNTIFS($AQ$2:AQ123,1,$F$2:F123,"女"),"")</f>
        <v/>
      </c>
    </row>
    <row r="124">
      <c r="A124" s="21">
        <f>ROW()-1</f>
        <v/>
      </c>
      <c r="B124" s="21">
        <f>INT((A124-1)/37)+1</f>
        <v/>
      </c>
      <c r="C124" s="21">
        <f>MOD(A124-1,37)+1</f>
        <v/>
      </c>
      <c r="D124" s="21">
        <f>INDEX(①データ入力!$B$3:$Y$39,C124,(B124-1)*5+1)&amp;""</f>
        <v/>
      </c>
      <c r="E124" s="21">
        <f>INDEX(①データ入力!$B$3:$Y$39,C124,(B124-1)*5+2)&amp;""</f>
        <v/>
      </c>
      <c r="F124" s="21">
        <f>IF(OR(E124="1",E124="１",E124="男"),"男",IF(OR(E124="2",E124="２",E124="女"),"女",""))</f>
        <v/>
      </c>
      <c r="G124" s="21">
        <f>INDEX(①データ入力!$B$3:$Y$39,C124,(B124-1)*5+3)</f>
        <v/>
      </c>
      <c r="H124" s="21">
        <f>INDEX(①データ入力!$B$3:$Y$39,C124,(B124-1)*5+4)&amp;""</f>
        <v/>
      </c>
      <c r="I124" s="21">
        <f>IF(LEFT(TRIM(H124),1)="赤","赤",IF(LEFT(TRIM(H124),1)="白","白",""))</f>
        <v/>
      </c>
      <c r="J124" s="21">
        <f>IF(AND(D124&lt;&gt;"",F124&lt;&gt;"",I124&lt;&gt;"",ISNUMBER(G124)),F124&amp;I124,"")</f>
        <v/>
      </c>
      <c r="K124" s="21">
        <f>IF(J124="","",COUNTIFS($J$2:$J$186,J124,$G$2:$G$186,"&lt;"&amp;G124)+COUNTIFS($J$2:$J$186,J124,$G$2:$G$186,G124,$A$2:$A$186,"&lt;"&amp;A124)+1)</f>
        <v/>
      </c>
      <c r="L124" s="21">
        <f>IF(J124="","",J124&amp;K124)</f>
        <v/>
      </c>
      <c r="M124" s="21">
        <f>B124&amp;"組"</f>
        <v/>
      </c>
      <c r="N124" s="21">
        <f>IF(AND(D124&lt;&gt;"",J124=""),1,0)</f>
        <v/>
      </c>
      <c r="AK124">
        <f>IF(J124="","",IF(J124="男赤",COUNTIF($Y$2:$Y$51,"&lt;"&amp;K124),IF(J124="男白",COUNTIF($Z$2:$Z$51,"&lt;"&amp;K124),IF(J124="女赤",COUNTIF($AH$2:$AH$51,"&lt;"&amp;K124),COUNTIF($AI$2:$AI$51,"&lt;"&amp;K124))))+1)</f>
        <v/>
      </c>
      <c r="AL124">
        <f>IF(AK124="","",IF(AK124=1,0,IF(J124="男赤",INDEX($Y$2:$Y$51,AK124-1),IF(J124="男白",INDEX($Z$2:$Z$51,AK124-1),IF(J124="女赤",INDEX($AH$2:$AH$51,AK124-1),INDEX($AI$2:$AI$51,AK124-1))))))</f>
        <v/>
      </c>
      <c r="AM124">
        <f>IF(AK124="","",IF(RIGHT(J124,1)="赤",K124-AL124,IF(LEFT(J124,1)="男",INDEX($W$2:$W$51,AK124),INDEX($AF$2:$AF$51,AK124))+K124-AL124))</f>
        <v/>
      </c>
      <c r="AN124">
        <f>IF(AK124="","",F124&amp;AK124&amp;"-"&amp;AM124)</f>
        <v/>
      </c>
      <c r="AO124">
        <f>IF(J124="","",F124&amp;D124)</f>
        <v/>
      </c>
      <c r="AP124">
        <f>IF(J124="","",IF(F124="男",COUNTIF(手直し!$B$6:$E$55,D124),COUNTIF(手直し!$F$6:$I$55,D124)))</f>
        <v/>
      </c>
      <c r="AQ124">
        <f>IF(AND(J124&lt;&gt;"",AP124=0),1,0)</f>
        <v/>
      </c>
      <c r="AR124">
        <f>IF(AND(AQ124=1,F124="男"),COUNTIFS($AQ$2:AQ124,1,$F$2:F124,"男"),"")</f>
        <v/>
      </c>
      <c r="AS124">
        <f>IF(AND(AQ124=1,F124="女"),COUNTIFS($AQ$2:AQ124,1,$F$2:F124,"女"),"")</f>
        <v/>
      </c>
    </row>
    <row r="125">
      <c r="A125" s="21">
        <f>ROW()-1</f>
        <v/>
      </c>
      <c r="B125" s="21">
        <f>INT((A125-1)/37)+1</f>
        <v/>
      </c>
      <c r="C125" s="21">
        <f>MOD(A125-1,37)+1</f>
        <v/>
      </c>
      <c r="D125" s="21">
        <f>INDEX(①データ入力!$B$3:$Y$39,C125,(B125-1)*5+1)&amp;""</f>
        <v/>
      </c>
      <c r="E125" s="21">
        <f>INDEX(①データ入力!$B$3:$Y$39,C125,(B125-1)*5+2)&amp;""</f>
        <v/>
      </c>
      <c r="F125" s="21">
        <f>IF(OR(E125="1",E125="１",E125="男"),"男",IF(OR(E125="2",E125="２",E125="女"),"女",""))</f>
        <v/>
      </c>
      <c r="G125" s="21">
        <f>INDEX(①データ入力!$B$3:$Y$39,C125,(B125-1)*5+3)</f>
        <v/>
      </c>
      <c r="H125" s="21">
        <f>INDEX(①データ入力!$B$3:$Y$39,C125,(B125-1)*5+4)&amp;""</f>
        <v/>
      </c>
      <c r="I125" s="21">
        <f>IF(LEFT(TRIM(H125),1)="赤","赤",IF(LEFT(TRIM(H125),1)="白","白",""))</f>
        <v/>
      </c>
      <c r="J125" s="21">
        <f>IF(AND(D125&lt;&gt;"",F125&lt;&gt;"",I125&lt;&gt;"",ISNUMBER(G125)),F125&amp;I125,"")</f>
        <v/>
      </c>
      <c r="K125" s="21">
        <f>IF(J125="","",COUNTIFS($J$2:$J$186,J125,$G$2:$G$186,"&lt;"&amp;G125)+COUNTIFS($J$2:$J$186,J125,$G$2:$G$186,G125,$A$2:$A$186,"&lt;"&amp;A125)+1)</f>
        <v/>
      </c>
      <c r="L125" s="21">
        <f>IF(J125="","",J125&amp;K125)</f>
        <v/>
      </c>
      <c r="M125" s="21">
        <f>B125&amp;"組"</f>
        <v/>
      </c>
      <c r="N125" s="21">
        <f>IF(AND(D125&lt;&gt;"",J125=""),1,0)</f>
        <v/>
      </c>
      <c r="AK125">
        <f>IF(J125="","",IF(J125="男赤",COUNTIF($Y$2:$Y$51,"&lt;"&amp;K125),IF(J125="男白",COUNTIF($Z$2:$Z$51,"&lt;"&amp;K125),IF(J125="女赤",COUNTIF($AH$2:$AH$51,"&lt;"&amp;K125),COUNTIF($AI$2:$AI$51,"&lt;"&amp;K125))))+1)</f>
        <v/>
      </c>
      <c r="AL125">
        <f>IF(AK125="","",IF(AK125=1,0,IF(J125="男赤",INDEX($Y$2:$Y$51,AK125-1),IF(J125="男白",INDEX($Z$2:$Z$51,AK125-1),IF(J125="女赤",INDEX($AH$2:$AH$51,AK125-1),INDEX($AI$2:$AI$51,AK125-1))))))</f>
        <v/>
      </c>
      <c r="AM125">
        <f>IF(AK125="","",IF(RIGHT(J125,1)="赤",K125-AL125,IF(LEFT(J125,1)="男",INDEX($W$2:$W$51,AK125),INDEX($AF$2:$AF$51,AK125))+K125-AL125))</f>
        <v/>
      </c>
      <c r="AN125">
        <f>IF(AK125="","",F125&amp;AK125&amp;"-"&amp;AM125)</f>
        <v/>
      </c>
      <c r="AO125">
        <f>IF(J125="","",F125&amp;D125)</f>
        <v/>
      </c>
      <c r="AP125">
        <f>IF(J125="","",IF(F125="男",COUNTIF(手直し!$B$6:$E$55,D125),COUNTIF(手直し!$F$6:$I$55,D125)))</f>
        <v/>
      </c>
      <c r="AQ125">
        <f>IF(AND(J125&lt;&gt;"",AP125=0),1,0)</f>
        <v/>
      </c>
      <c r="AR125">
        <f>IF(AND(AQ125=1,F125="男"),COUNTIFS($AQ$2:AQ125,1,$F$2:F125,"男"),"")</f>
        <v/>
      </c>
      <c r="AS125">
        <f>IF(AND(AQ125=1,F125="女"),COUNTIFS($AQ$2:AQ125,1,$F$2:F125,"女"),"")</f>
        <v/>
      </c>
    </row>
    <row r="126">
      <c r="A126" s="21">
        <f>ROW()-1</f>
        <v/>
      </c>
      <c r="B126" s="21">
        <f>INT((A126-1)/37)+1</f>
        <v/>
      </c>
      <c r="C126" s="21">
        <f>MOD(A126-1,37)+1</f>
        <v/>
      </c>
      <c r="D126" s="21">
        <f>INDEX(①データ入力!$B$3:$Y$39,C126,(B126-1)*5+1)&amp;""</f>
        <v/>
      </c>
      <c r="E126" s="21">
        <f>INDEX(①データ入力!$B$3:$Y$39,C126,(B126-1)*5+2)&amp;""</f>
        <v/>
      </c>
      <c r="F126" s="21">
        <f>IF(OR(E126="1",E126="１",E126="男"),"男",IF(OR(E126="2",E126="２",E126="女"),"女",""))</f>
        <v/>
      </c>
      <c r="G126" s="21">
        <f>INDEX(①データ入力!$B$3:$Y$39,C126,(B126-1)*5+3)</f>
        <v/>
      </c>
      <c r="H126" s="21">
        <f>INDEX(①データ入力!$B$3:$Y$39,C126,(B126-1)*5+4)&amp;""</f>
        <v/>
      </c>
      <c r="I126" s="21">
        <f>IF(LEFT(TRIM(H126),1)="赤","赤",IF(LEFT(TRIM(H126),1)="白","白",""))</f>
        <v/>
      </c>
      <c r="J126" s="21">
        <f>IF(AND(D126&lt;&gt;"",F126&lt;&gt;"",I126&lt;&gt;"",ISNUMBER(G126)),F126&amp;I126,"")</f>
        <v/>
      </c>
      <c r="K126" s="21">
        <f>IF(J126="","",COUNTIFS($J$2:$J$186,J126,$G$2:$G$186,"&lt;"&amp;G126)+COUNTIFS($J$2:$J$186,J126,$G$2:$G$186,G126,$A$2:$A$186,"&lt;"&amp;A126)+1)</f>
        <v/>
      </c>
      <c r="L126" s="21">
        <f>IF(J126="","",J126&amp;K126)</f>
        <v/>
      </c>
      <c r="M126" s="21">
        <f>B126&amp;"組"</f>
        <v/>
      </c>
      <c r="N126" s="21">
        <f>IF(AND(D126&lt;&gt;"",J126=""),1,0)</f>
        <v/>
      </c>
      <c r="AK126">
        <f>IF(J126="","",IF(J126="男赤",COUNTIF($Y$2:$Y$51,"&lt;"&amp;K126),IF(J126="男白",COUNTIF($Z$2:$Z$51,"&lt;"&amp;K126),IF(J126="女赤",COUNTIF($AH$2:$AH$51,"&lt;"&amp;K126),COUNTIF($AI$2:$AI$51,"&lt;"&amp;K126))))+1)</f>
        <v/>
      </c>
      <c r="AL126">
        <f>IF(AK126="","",IF(AK126=1,0,IF(J126="男赤",INDEX($Y$2:$Y$51,AK126-1),IF(J126="男白",INDEX($Z$2:$Z$51,AK126-1),IF(J126="女赤",INDEX($AH$2:$AH$51,AK126-1),INDEX($AI$2:$AI$51,AK126-1))))))</f>
        <v/>
      </c>
      <c r="AM126">
        <f>IF(AK126="","",IF(RIGHT(J126,1)="赤",K126-AL126,IF(LEFT(J126,1)="男",INDEX($W$2:$W$51,AK126),INDEX($AF$2:$AF$51,AK126))+K126-AL126))</f>
        <v/>
      </c>
      <c r="AN126">
        <f>IF(AK126="","",F126&amp;AK126&amp;"-"&amp;AM126)</f>
        <v/>
      </c>
      <c r="AO126">
        <f>IF(J126="","",F126&amp;D126)</f>
        <v/>
      </c>
      <c r="AP126">
        <f>IF(J126="","",IF(F126="男",COUNTIF(手直し!$B$6:$E$55,D126),COUNTIF(手直し!$F$6:$I$55,D126)))</f>
        <v/>
      </c>
      <c r="AQ126">
        <f>IF(AND(J126&lt;&gt;"",AP126=0),1,0)</f>
        <v/>
      </c>
      <c r="AR126">
        <f>IF(AND(AQ126=1,F126="男"),COUNTIFS($AQ$2:AQ126,1,$F$2:F126,"男"),"")</f>
        <v/>
      </c>
      <c r="AS126">
        <f>IF(AND(AQ126=1,F126="女"),COUNTIFS($AQ$2:AQ126,1,$F$2:F126,"女"),"")</f>
        <v/>
      </c>
    </row>
    <row r="127">
      <c r="A127" s="21">
        <f>ROW()-1</f>
        <v/>
      </c>
      <c r="B127" s="21">
        <f>INT((A127-1)/37)+1</f>
        <v/>
      </c>
      <c r="C127" s="21">
        <f>MOD(A127-1,37)+1</f>
        <v/>
      </c>
      <c r="D127" s="21">
        <f>INDEX(①データ入力!$B$3:$Y$39,C127,(B127-1)*5+1)&amp;""</f>
        <v/>
      </c>
      <c r="E127" s="21">
        <f>INDEX(①データ入力!$B$3:$Y$39,C127,(B127-1)*5+2)&amp;""</f>
        <v/>
      </c>
      <c r="F127" s="21">
        <f>IF(OR(E127="1",E127="１",E127="男"),"男",IF(OR(E127="2",E127="２",E127="女"),"女",""))</f>
        <v/>
      </c>
      <c r="G127" s="21">
        <f>INDEX(①データ入力!$B$3:$Y$39,C127,(B127-1)*5+3)</f>
        <v/>
      </c>
      <c r="H127" s="21">
        <f>INDEX(①データ入力!$B$3:$Y$39,C127,(B127-1)*5+4)&amp;""</f>
        <v/>
      </c>
      <c r="I127" s="21">
        <f>IF(LEFT(TRIM(H127),1)="赤","赤",IF(LEFT(TRIM(H127),1)="白","白",""))</f>
        <v/>
      </c>
      <c r="J127" s="21">
        <f>IF(AND(D127&lt;&gt;"",F127&lt;&gt;"",I127&lt;&gt;"",ISNUMBER(G127)),F127&amp;I127,"")</f>
        <v/>
      </c>
      <c r="K127" s="21">
        <f>IF(J127="","",COUNTIFS($J$2:$J$186,J127,$G$2:$G$186,"&lt;"&amp;G127)+COUNTIFS($J$2:$J$186,J127,$G$2:$G$186,G127,$A$2:$A$186,"&lt;"&amp;A127)+1)</f>
        <v/>
      </c>
      <c r="L127" s="21">
        <f>IF(J127="","",J127&amp;K127)</f>
        <v/>
      </c>
      <c r="M127" s="21">
        <f>B127&amp;"組"</f>
        <v/>
      </c>
      <c r="N127" s="21">
        <f>IF(AND(D127&lt;&gt;"",J127=""),1,0)</f>
        <v/>
      </c>
      <c r="AK127">
        <f>IF(J127="","",IF(J127="男赤",COUNTIF($Y$2:$Y$51,"&lt;"&amp;K127),IF(J127="男白",COUNTIF($Z$2:$Z$51,"&lt;"&amp;K127),IF(J127="女赤",COUNTIF($AH$2:$AH$51,"&lt;"&amp;K127),COUNTIF($AI$2:$AI$51,"&lt;"&amp;K127))))+1)</f>
        <v/>
      </c>
      <c r="AL127">
        <f>IF(AK127="","",IF(AK127=1,0,IF(J127="男赤",INDEX($Y$2:$Y$51,AK127-1),IF(J127="男白",INDEX($Z$2:$Z$51,AK127-1),IF(J127="女赤",INDEX($AH$2:$AH$51,AK127-1),INDEX($AI$2:$AI$51,AK127-1))))))</f>
        <v/>
      </c>
      <c r="AM127">
        <f>IF(AK127="","",IF(RIGHT(J127,1)="赤",K127-AL127,IF(LEFT(J127,1)="男",INDEX($W$2:$W$51,AK127),INDEX($AF$2:$AF$51,AK127))+K127-AL127))</f>
        <v/>
      </c>
      <c r="AN127">
        <f>IF(AK127="","",F127&amp;AK127&amp;"-"&amp;AM127)</f>
        <v/>
      </c>
      <c r="AO127">
        <f>IF(J127="","",F127&amp;D127)</f>
        <v/>
      </c>
      <c r="AP127">
        <f>IF(J127="","",IF(F127="男",COUNTIF(手直し!$B$6:$E$55,D127),COUNTIF(手直し!$F$6:$I$55,D127)))</f>
        <v/>
      </c>
      <c r="AQ127">
        <f>IF(AND(J127&lt;&gt;"",AP127=0),1,0)</f>
        <v/>
      </c>
      <c r="AR127">
        <f>IF(AND(AQ127=1,F127="男"),COUNTIFS($AQ$2:AQ127,1,$F$2:F127,"男"),"")</f>
        <v/>
      </c>
      <c r="AS127">
        <f>IF(AND(AQ127=1,F127="女"),COUNTIFS($AQ$2:AQ127,1,$F$2:F127,"女"),"")</f>
        <v/>
      </c>
    </row>
    <row r="128">
      <c r="A128" s="21">
        <f>ROW()-1</f>
        <v/>
      </c>
      <c r="B128" s="21">
        <f>INT((A128-1)/37)+1</f>
        <v/>
      </c>
      <c r="C128" s="21">
        <f>MOD(A128-1,37)+1</f>
        <v/>
      </c>
      <c r="D128" s="21">
        <f>INDEX(①データ入力!$B$3:$Y$39,C128,(B128-1)*5+1)&amp;""</f>
        <v/>
      </c>
      <c r="E128" s="21">
        <f>INDEX(①データ入力!$B$3:$Y$39,C128,(B128-1)*5+2)&amp;""</f>
        <v/>
      </c>
      <c r="F128" s="21">
        <f>IF(OR(E128="1",E128="１",E128="男"),"男",IF(OR(E128="2",E128="２",E128="女"),"女",""))</f>
        <v/>
      </c>
      <c r="G128" s="21">
        <f>INDEX(①データ入力!$B$3:$Y$39,C128,(B128-1)*5+3)</f>
        <v/>
      </c>
      <c r="H128" s="21">
        <f>INDEX(①データ入力!$B$3:$Y$39,C128,(B128-1)*5+4)&amp;""</f>
        <v/>
      </c>
      <c r="I128" s="21">
        <f>IF(LEFT(TRIM(H128),1)="赤","赤",IF(LEFT(TRIM(H128),1)="白","白",""))</f>
        <v/>
      </c>
      <c r="J128" s="21">
        <f>IF(AND(D128&lt;&gt;"",F128&lt;&gt;"",I128&lt;&gt;"",ISNUMBER(G128)),F128&amp;I128,"")</f>
        <v/>
      </c>
      <c r="K128" s="21">
        <f>IF(J128="","",COUNTIFS($J$2:$J$186,J128,$G$2:$G$186,"&lt;"&amp;G128)+COUNTIFS($J$2:$J$186,J128,$G$2:$G$186,G128,$A$2:$A$186,"&lt;"&amp;A128)+1)</f>
        <v/>
      </c>
      <c r="L128" s="21">
        <f>IF(J128="","",J128&amp;K128)</f>
        <v/>
      </c>
      <c r="M128" s="21">
        <f>B128&amp;"組"</f>
        <v/>
      </c>
      <c r="N128" s="21">
        <f>IF(AND(D128&lt;&gt;"",J128=""),1,0)</f>
        <v/>
      </c>
      <c r="AK128">
        <f>IF(J128="","",IF(J128="男赤",COUNTIF($Y$2:$Y$51,"&lt;"&amp;K128),IF(J128="男白",COUNTIF($Z$2:$Z$51,"&lt;"&amp;K128),IF(J128="女赤",COUNTIF($AH$2:$AH$51,"&lt;"&amp;K128),COUNTIF($AI$2:$AI$51,"&lt;"&amp;K128))))+1)</f>
        <v/>
      </c>
      <c r="AL128">
        <f>IF(AK128="","",IF(AK128=1,0,IF(J128="男赤",INDEX($Y$2:$Y$51,AK128-1),IF(J128="男白",INDEX($Z$2:$Z$51,AK128-1),IF(J128="女赤",INDEX($AH$2:$AH$51,AK128-1),INDEX($AI$2:$AI$51,AK128-1))))))</f>
        <v/>
      </c>
      <c r="AM128">
        <f>IF(AK128="","",IF(RIGHT(J128,1)="赤",K128-AL128,IF(LEFT(J128,1)="男",INDEX($W$2:$W$51,AK128),INDEX($AF$2:$AF$51,AK128))+K128-AL128))</f>
        <v/>
      </c>
      <c r="AN128">
        <f>IF(AK128="","",F128&amp;AK128&amp;"-"&amp;AM128)</f>
        <v/>
      </c>
      <c r="AO128">
        <f>IF(J128="","",F128&amp;D128)</f>
        <v/>
      </c>
      <c r="AP128">
        <f>IF(J128="","",IF(F128="男",COUNTIF(手直し!$B$6:$E$55,D128),COUNTIF(手直し!$F$6:$I$55,D128)))</f>
        <v/>
      </c>
      <c r="AQ128">
        <f>IF(AND(J128&lt;&gt;"",AP128=0),1,0)</f>
        <v/>
      </c>
      <c r="AR128">
        <f>IF(AND(AQ128=1,F128="男"),COUNTIFS($AQ$2:AQ128,1,$F$2:F128,"男"),"")</f>
        <v/>
      </c>
      <c r="AS128">
        <f>IF(AND(AQ128=1,F128="女"),COUNTIFS($AQ$2:AQ128,1,$F$2:F128,"女"),"")</f>
        <v/>
      </c>
    </row>
    <row r="129">
      <c r="A129" s="21">
        <f>ROW()-1</f>
        <v/>
      </c>
      <c r="B129" s="21">
        <f>INT((A129-1)/37)+1</f>
        <v/>
      </c>
      <c r="C129" s="21">
        <f>MOD(A129-1,37)+1</f>
        <v/>
      </c>
      <c r="D129" s="21">
        <f>INDEX(①データ入力!$B$3:$Y$39,C129,(B129-1)*5+1)&amp;""</f>
        <v/>
      </c>
      <c r="E129" s="21">
        <f>INDEX(①データ入力!$B$3:$Y$39,C129,(B129-1)*5+2)&amp;""</f>
        <v/>
      </c>
      <c r="F129" s="21">
        <f>IF(OR(E129="1",E129="１",E129="男"),"男",IF(OR(E129="2",E129="２",E129="女"),"女",""))</f>
        <v/>
      </c>
      <c r="G129" s="21">
        <f>INDEX(①データ入力!$B$3:$Y$39,C129,(B129-1)*5+3)</f>
        <v/>
      </c>
      <c r="H129" s="21">
        <f>INDEX(①データ入力!$B$3:$Y$39,C129,(B129-1)*5+4)&amp;""</f>
        <v/>
      </c>
      <c r="I129" s="21">
        <f>IF(LEFT(TRIM(H129),1)="赤","赤",IF(LEFT(TRIM(H129),1)="白","白",""))</f>
        <v/>
      </c>
      <c r="J129" s="21">
        <f>IF(AND(D129&lt;&gt;"",F129&lt;&gt;"",I129&lt;&gt;"",ISNUMBER(G129)),F129&amp;I129,"")</f>
        <v/>
      </c>
      <c r="K129" s="21">
        <f>IF(J129="","",COUNTIFS($J$2:$J$186,J129,$G$2:$G$186,"&lt;"&amp;G129)+COUNTIFS($J$2:$J$186,J129,$G$2:$G$186,G129,$A$2:$A$186,"&lt;"&amp;A129)+1)</f>
        <v/>
      </c>
      <c r="L129" s="21">
        <f>IF(J129="","",J129&amp;K129)</f>
        <v/>
      </c>
      <c r="M129" s="21">
        <f>B129&amp;"組"</f>
        <v/>
      </c>
      <c r="N129" s="21">
        <f>IF(AND(D129&lt;&gt;"",J129=""),1,0)</f>
        <v/>
      </c>
      <c r="AK129">
        <f>IF(J129="","",IF(J129="男赤",COUNTIF($Y$2:$Y$51,"&lt;"&amp;K129),IF(J129="男白",COUNTIF($Z$2:$Z$51,"&lt;"&amp;K129),IF(J129="女赤",COUNTIF($AH$2:$AH$51,"&lt;"&amp;K129),COUNTIF($AI$2:$AI$51,"&lt;"&amp;K129))))+1)</f>
        <v/>
      </c>
      <c r="AL129">
        <f>IF(AK129="","",IF(AK129=1,0,IF(J129="男赤",INDEX($Y$2:$Y$51,AK129-1),IF(J129="男白",INDEX($Z$2:$Z$51,AK129-1),IF(J129="女赤",INDEX($AH$2:$AH$51,AK129-1),INDEX($AI$2:$AI$51,AK129-1))))))</f>
        <v/>
      </c>
      <c r="AM129">
        <f>IF(AK129="","",IF(RIGHT(J129,1)="赤",K129-AL129,IF(LEFT(J129,1)="男",INDEX($W$2:$W$51,AK129),INDEX($AF$2:$AF$51,AK129))+K129-AL129))</f>
        <v/>
      </c>
      <c r="AN129">
        <f>IF(AK129="","",F129&amp;AK129&amp;"-"&amp;AM129)</f>
        <v/>
      </c>
      <c r="AO129">
        <f>IF(J129="","",F129&amp;D129)</f>
        <v/>
      </c>
      <c r="AP129">
        <f>IF(J129="","",IF(F129="男",COUNTIF(手直し!$B$6:$E$55,D129),COUNTIF(手直し!$F$6:$I$55,D129)))</f>
        <v/>
      </c>
      <c r="AQ129">
        <f>IF(AND(J129&lt;&gt;"",AP129=0),1,0)</f>
        <v/>
      </c>
      <c r="AR129">
        <f>IF(AND(AQ129=1,F129="男"),COUNTIFS($AQ$2:AQ129,1,$F$2:F129,"男"),"")</f>
        <v/>
      </c>
      <c r="AS129">
        <f>IF(AND(AQ129=1,F129="女"),COUNTIFS($AQ$2:AQ129,1,$F$2:F129,"女"),"")</f>
        <v/>
      </c>
    </row>
    <row r="130">
      <c r="A130" s="21">
        <f>ROW()-1</f>
        <v/>
      </c>
      <c r="B130" s="21">
        <f>INT((A130-1)/37)+1</f>
        <v/>
      </c>
      <c r="C130" s="21">
        <f>MOD(A130-1,37)+1</f>
        <v/>
      </c>
      <c r="D130" s="21">
        <f>INDEX(①データ入力!$B$3:$Y$39,C130,(B130-1)*5+1)&amp;""</f>
        <v/>
      </c>
      <c r="E130" s="21">
        <f>INDEX(①データ入力!$B$3:$Y$39,C130,(B130-1)*5+2)&amp;""</f>
        <v/>
      </c>
      <c r="F130" s="21">
        <f>IF(OR(E130="1",E130="１",E130="男"),"男",IF(OR(E130="2",E130="２",E130="女"),"女",""))</f>
        <v/>
      </c>
      <c r="G130" s="21">
        <f>INDEX(①データ入力!$B$3:$Y$39,C130,(B130-1)*5+3)</f>
        <v/>
      </c>
      <c r="H130" s="21">
        <f>INDEX(①データ入力!$B$3:$Y$39,C130,(B130-1)*5+4)&amp;""</f>
        <v/>
      </c>
      <c r="I130" s="21">
        <f>IF(LEFT(TRIM(H130),1)="赤","赤",IF(LEFT(TRIM(H130),1)="白","白",""))</f>
        <v/>
      </c>
      <c r="J130" s="21">
        <f>IF(AND(D130&lt;&gt;"",F130&lt;&gt;"",I130&lt;&gt;"",ISNUMBER(G130)),F130&amp;I130,"")</f>
        <v/>
      </c>
      <c r="K130" s="21">
        <f>IF(J130="","",COUNTIFS($J$2:$J$186,J130,$G$2:$G$186,"&lt;"&amp;G130)+COUNTIFS($J$2:$J$186,J130,$G$2:$G$186,G130,$A$2:$A$186,"&lt;"&amp;A130)+1)</f>
        <v/>
      </c>
      <c r="L130" s="21">
        <f>IF(J130="","",J130&amp;K130)</f>
        <v/>
      </c>
      <c r="M130" s="21">
        <f>B130&amp;"組"</f>
        <v/>
      </c>
      <c r="N130" s="21">
        <f>IF(AND(D130&lt;&gt;"",J130=""),1,0)</f>
        <v/>
      </c>
      <c r="AK130">
        <f>IF(J130="","",IF(J130="男赤",COUNTIF($Y$2:$Y$51,"&lt;"&amp;K130),IF(J130="男白",COUNTIF($Z$2:$Z$51,"&lt;"&amp;K130),IF(J130="女赤",COUNTIF($AH$2:$AH$51,"&lt;"&amp;K130),COUNTIF($AI$2:$AI$51,"&lt;"&amp;K130))))+1)</f>
        <v/>
      </c>
      <c r="AL130">
        <f>IF(AK130="","",IF(AK130=1,0,IF(J130="男赤",INDEX($Y$2:$Y$51,AK130-1),IF(J130="男白",INDEX($Z$2:$Z$51,AK130-1),IF(J130="女赤",INDEX($AH$2:$AH$51,AK130-1),INDEX($AI$2:$AI$51,AK130-1))))))</f>
        <v/>
      </c>
      <c r="AM130">
        <f>IF(AK130="","",IF(RIGHT(J130,1)="赤",K130-AL130,IF(LEFT(J130,1)="男",INDEX($W$2:$W$51,AK130),INDEX($AF$2:$AF$51,AK130))+K130-AL130))</f>
        <v/>
      </c>
      <c r="AN130">
        <f>IF(AK130="","",F130&amp;AK130&amp;"-"&amp;AM130)</f>
        <v/>
      </c>
      <c r="AO130">
        <f>IF(J130="","",F130&amp;D130)</f>
        <v/>
      </c>
      <c r="AP130">
        <f>IF(J130="","",IF(F130="男",COUNTIF(手直し!$B$6:$E$55,D130),COUNTIF(手直し!$F$6:$I$55,D130)))</f>
        <v/>
      </c>
      <c r="AQ130">
        <f>IF(AND(J130&lt;&gt;"",AP130=0),1,0)</f>
        <v/>
      </c>
      <c r="AR130">
        <f>IF(AND(AQ130=1,F130="男"),COUNTIFS($AQ$2:AQ130,1,$F$2:F130,"男"),"")</f>
        <v/>
      </c>
      <c r="AS130">
        <f>IF(AND(AQ130=1,F130="女"),COUNTIFS($AQ$2:AQ130,1,$F$2:F130,"女"),"")</f>
        <v/>
      </c>
    </row>
    <row r="131">
      <c r="A131" s="21">
        <f>ROW()-1</f>
        <v/>
      </c>
      <c r="B131" s="21">
        <f>INT((A131-1)/37)+1</f>
        <v/>
      </c>
      <c r="C131" s="21">
        <f>MOD(A131-1,37)+1</f>
        <v/>
      </c>
      <c r="D131" s="21">
        <f>INDEX(①データ入力!$B$3:$Y$39,C131,(B131-1)*5+1)&amp;""</f>
        <v/>
      </c>
      <c r="E131" s="21">
        <f>INDEX(①データ入力!$B$3:$Y$39,C131,(B131-1)*5+2)&amp;""</f>
        <v/>
      </c>
      <c r="F131" s="21">
        <f>IF(OR(E131="1",E131="１",E131="男"),"男",IF(OR(E131="2",E131="２",E131="女"),"女",""))</f>
        <v/>
      </c>
      <c r="G131" s="21">
        <f>INDEX(①データ入力!$B$3:$Y$39,C131,(B131-1)*5+3)</f>
        <v/>
      </c>
      <c r="H131" s="21">
        <f>INDEX(①データ入力!$B$3:$Y$39,C131,(B131-1)*5+4)&amp;""</f>
        <v/>
      </c>
      <c r="I131" s="21">
        <f>IF(LEFT(TRIM(H131),1)="赤","赤",IF(LEFT(TRIM(H131),1)="白","白",""))</f>
        <v/>
      </c>
      <c r="J131" s="21">
        <f>IF(AND(D131&lt;&gt;"",F131&lt;&gt;"",I131&lt;&gt;"",ISNUMBER(G131)),F131&amp;I131,"")</f>
        <v/>
      </c>
      <c r="K131" s="21">
        <f>IF(J131="","",COUNTIFS($J$2:$J$186,J131,$G$2:$G$186,"&lt;"&amp;G131)+COUNTIFS($J$2:$J$186,J131,$G$2:$G$186,G131,$A$2:$A$186,"&lt;"&amp;A131)+1)</f>
        <v/>
      </c>
      <c r="L131" s="21">
        <f>IF(J131="","",J131&amp;K131)</f>
        <v/>
      </c>
      <c r="M131" s="21">
        <f>B131&amp;"組"</f>
        <v/>
      </c>
      <c r="N131" s="21">
        <f>IF(AND(D131&lt;&gt;"",J131=""),1,0)</f>
        <v/>
      </c>
      <c r="AK131">
        <f>IF(J131="","",IF(J131="男赤",COUNTIF($Y$2:$Y$51,"&lt;"&amp;K131),IF(J131="男白",COUNTIF($Z$2:$Z$51,"&lt;"&amp;K131),IF(J131="女赤",COUNTIF($AH$2:$AH$51,"&lt;"&amp;K131),COUNTIF($AI$2:$AI$51,"&lt;"&amp;K131))))+1)</f>
        <v/>
      </c>
      <c r="AL131">
        <f>IF(AK131="","",IF(AK131=1,0,IF(J131="男赤",INDEX($Y$2:$Y$51,AK131-1),IF(J131="男白",INDEX($Z$2:$Z$51,AK131-1),IF(J131="女赤",INDEX($AH$2:$AH$51,AK131-1),INDEX($AI$2:$AI$51,AK131-1))))))</f>
        <v/>
      </c>
      <c r="AM131">
        <f>IF(AK131="","",IF(RIGHT(J131,1)="赤",K131-AL131,IF(LEFT(J131,1)="男",INDEX($W$2:$W$51,AK131),INDEX($AF$2:$AF$51,AK131))+K131-AL131))</f>
        <v/>
      </c>
      <c r="AN131">
        <f>IF(AK131="","",F131&amp;AK131&amp;"-"&amp;AM131)</f>
        <v/>
      </c>
      <c r="AO131">
        <f>IF(J131="","",F131&amp;D131)</f>
        <v/>
      </c>
      <c r="AP131">
        <f>IF(J131="","",IF(F131="男",COUNTIF(手直し!$B$6:$E$55,D131),COUNTIF(手直し!$F$6:$I$55,D131)))</f>
        <v/>
      </c>
      <c r="AQ131">
        <f>IF(AND(J131&lt;&gt;"",AP131=0),1,0)</f>
        <v/>
      </c>
      <c r="AR131">
        <f>IF(AND(AQ131=1,F131="男"),COUNTIFS($AQ$2:AQ131,1,$F$2:F131,"男"),"")</f>
        <v/>
      </c>
      <c r="AS131">
        <f>IF(AND(AQ131=1,F131="女"),COUNTIFS($AQ$2:AQ131,1,$F$2:F131,"女"),"")</f>
        <v/>
      </c>
    </row>
    <row r="132">
      <c r="A132" s="21">
        <f>ROW()-1</f>
        <v/>
      </c>
      <c r="B132" s="21">
        <f>INT((A132-1)/37)+1</f>
        <v/>
      </c>
      <c r="C132" s="21">
        <f>MOD(A132-1,37)+1</f>
        <v/>
      </c>
      <c r="D132" s="21">
        <f>INDEX(①データ入力!$B$3:$Y$39,C132,(B132-1)*5+1)&amp;""</f>
        <v/>
      </c>
      <c r="E132" s="21">
        <f>INDEX(①データ入力!$B$3:$Y$39,C132,(B132-1)*5+2)&amp;""</f>
        <v/>
      </c>
      <c r="F132" s="21">
        <f>IF(OR(E132="1",E132="１",E132="男"),"男",IF(OR(E132="2",E132="２",E132="女"),"女",""))</f>
        <v/>
      </c>
      <c r="G132" s="21">
        <f>INDEX(①データ入力!$B$3:$Y$39,C132,(B132-1)*5+3)</f>
        <v/>
      </c>
      <c r="H132" s="21">
        <f>INDEX(①データ入力!$B$3:$Y$39,C132,(B132-1)*5+4)&amp;""</f>
        <v/>
      </c>
      <c r="I132" s="21">
        <f>IF(LEFT(TRIM(H132),1)="赤","赤",IF(LEFT(TRIM(H132),1)="白","白",""))</f>
        <v/>
      </c>
      <c r="J132" s="21">
        <f>IF(AND(D132&lt;&gt;"",F132&lt;&gt;"",I132&lt;&gt;"",ISNUMBER(G132)),F132&amp;I132,"")</f>
        <v/>
      </c>
      <c r="K132" s="21">
        <f>IF(J132="","",COUNTIFS($J$2:$J$186,J132,$G$2:$G$186,"&lt;"&amp;G132)+COUNTIFS($J$2:$J$186,J132,$G$2:$G$186,G132,$A$2:$A$186,"&lt;"&amp;A132)+1)</f>
        <v/>
      </c>
      <c r="L132" s="21">
        <f>IF(J132="","",J132&amp;K132)</f>
        <v/>
      </c>
      <c r="M132" s="21">
        <f>B132&amp;"組"</f>
        <v/>
      </c>
      <c r="N132" s="21">
        <f>IF(AND(D132&lt;&gt;"",J132=""),1,0)</f>
        <v/>
      </c>
      <c r="AK132">
        <f>IF(J132="","",IF(J132="男赤",COUNTIF($Y$2:$Y$51,"&lt;"&amp;K132),IF(J132="男白",COUNTIF($Z$2:$Z$51,"&lt;"&amp;K132),IF(J132="女赤",COUNTIF($AH$2:$AH$51,"&lt;"&amp;K132),COUNTIF($AI$2:$AI$51,"&lt;"&amp;K132))))+1)</f>
        <v/>
      </c>
      <c r="AL132">
        <f>IF(AK132="","",IF(AK132=1,0,IF(J132="男赤",INDEX($Y$2:$Y$51,AK132-1),IF(J132="男白",INDEX($Z$2:$Z$51,AK132-1),IF(J132="女赤",INDEX($AH$2:$AH$51,AK132-1),INDEX($AI$2:$AI$51,AK132-1))))))</f>
        <v/>
      </c>
      <c r="AM132">
        <f>IF(AK132="","",IF(RIGHT(J132,1)="赤",K132-AL132,IF(LEFT(J132,1)="男",INDEX($W$2:$W$51,AK132),INDEX($AF$2:$AF$51,AK132))+K132-AL132))</f>
        <v/>
      </c>
      <c r="AN132">
        <f>IF(AK132="","",F132&amp;AK132&amp;"-"&amp;AM132)</f>
        <v/>
      </c>
      <c r="AO132">
        <f>IF(J132="","",F132&amp;D132)</f>
        <v/>
      </c>
      <c r="AP132">
        <f>IF(J132="","",IF(F132="男",COUNTIF(手直し!$B$6:$E$55,D132),COUNTIF(手直し!$F$6:$I$55,D132)))</f>
        <v/>
      </c>
      <c r="AQ132">
        <f>IF(AND(J132&lt;&gt;"",AP132=0),1,0)</f>
        <v/>
      </c>
      <c r="AR132">
        <f>IF(AND(AQ132=1,F132="男"),COUNTIFS($AQ$2:AQ132,1,$F$2:F132,"男"),"")</f>
        <v/>
      </c>
      <c r="AS132">
        <f>IF(AND(AQ132=1,F132="女"),COUNTIFS($AQ$2:AQ132,1,$F$2:F132,"女"),"")</f>
        <v/>
      </c>
    </row>
    <row r="133">
      <c r="A133" s="21">
        <f>ROW()-1</f>
        <v/>
      </c>
      <c r="B133" s="21">
        <f>INT((A133-1)/37)+1</f>
        <v/>
      </c>
      <c r="C133" s="21">
        <f>MOD(A133-1,37)+1</f>
        <v/>
      </c>
      <c r="D133" s="21">
        <f>INDEX(①データ入力!$B$3:$Y$39,C133,(B133-1)*5+1)&amp;""</f>
        <v/>
      </c>
      <c r="E133" s="21">
        <f>INDEX(①データ入力!$B$3:$Y$39,C133,(B133-1)*5+2)&amp;""</f>
        <v/>
      </c>
      <c r="F133" s="21">
        <f>IF(OR(E133="1",E133="１",E133="男"),"男",IF(OR(E133="2",E133="２",E133="女"),"女",""))</f>
        <v/>
      </c>
      <c r="G133" s="21">
        <f>INDEX(①データ入力!$B$3:$Y$39,C133,(B133-1)*5+3)</f>
        <v/>
      </c>
      <c r="H133" s="21">
        <f>INDEX(①データ入力!$B$3:$Y$39,C133,(B133-1)*5+4)&amp;""</f>
        <v/>
      </c>
      <c r="I133" s="21">
        <f>IF(LEFT(TRIM(H133),1)="赤","赤",IF(LEFT(TRIM(H133),1)="白","白",""))</f>
        <v/>
      </c>
      <c r="J133" s="21">
        <f>IF(AND(D133&lt;&gt;"",F133&lt;&gt;"",I133&lt;&gt;"",ISNUMBER(G133)),F133&amp;I133,"")</f>
        <v/>
      </c>
      <c r="K133" s="21">
        <f>IF(J133="","",COUNTIFS($J$2:$J$186,J133,$G$2:$G$186,"&lt;"&amp;G133)+COUNTIFS($J$2:$J$186,J133,$G$2:$G$186,G133,$A$2:$A$186,"&lt;"&amp;A133)+1)</f>
        <v/>
      </c>
      <c r="L133" s="21">
        <f>IF(J133="","",J133&amp;K133)</f>
        <v/>
      </c>
      <c r="M133" s="21">
        <f>B133&amp;"組"</f>
        <v/>
      </c>
      <c r="N133" s="21">
        <f>IF(AND(D133&lt;&gt;"",J133=""),1,0)</f>
        <v/>
      </c>
      <c r="AK133">
        <f>IF(J133="","",IF(J133="男赤",COUNTIF($Y$2:$Y$51,"&lt;"&amp;K133),IF(J133="男白",COUNTIF($Z$2:$Z$51,"&lt;"&amp;K133),IF(J133="女赤",COUNTIF($AH$2:$AH$51,"&lt;"&amp;K133),COUNTIF($AI$2:$AI$51,"&lt;"&amp;K133))))+1)</f>
        <v/>
      </c>
      <c r="AL133">
        <f>IF(AK133="","",IF(AK133=1,0,IF(J133="男赤",INDEX($Y$2:$Y$51,AK133-1),IF(J133="男白",INDEX($Z$2:$Z$51,AK133-1),IF(J133="女赤",INDEX($AH$2:$AH$51,AK133-1),INDEX($AI$2:$AI$51,AK133-1))))))</f>
        <v/>
      </c>
      <c r="AM133">
        <f>IF(AK133="","",IF(RIGHT(J133,1)="赤",K133-AL133,IF(LEFT(J133,1)="男",INDEX($W$2:$W$51,AK133),INDEX($AF$2:$AF$51,AK133))+K133-AL133))</f>
        <v/>
      </c>
      <c r="AN133">
        <f>IF(AK133="","",F133&amp;AK133&amp;"-"&amp;AM133)</f>
        <v/>
      </c>
      <c r="AO133">
        <f>IF(J133="","",F133&amp;D133)</f>
        <v/>
      </c>
      <c r="AP133">
        <f>IF(J133="","",IF(F133="男",COUNTIF(手直し!$B$6:$E$55,D133),COUNTIF(手直し!$F$6:$I$55,D133)))</f>
        <v/>
      </c>
      <c r="AQ133">
        <f>IF(AND(J133&lt;&gt;"",AP133=0),1,0)</f>
        <v/>
      </c>
      <c r="AR133">
        <f>IF(AND(AQ133=1,F133="男"),COUNTIFS($AQ$2:AQ133,1,$F$2:F133,"男"),"")</f>
        <v/>
      </c>
      <c r="AS133">
        <f>IF(AND(AQ133=1,F133="女"),COUNTIFS($AQ$2:AQ133,1,$F$2:F133,"女"),"")</f>
        <v/>
      </c>
    </row>
    <row r="134">
      <c r="A134" s="21">
        <f>ROW()-1</f>
        <v/>
      </c>
      <c r="B134" s="21">
        <f>INT((A134-1)/37)+1</f>
        <v/>
      </c>
      <c r="C134" s="21">
        <f>MOD(A134-1,37)+1</f>
        <v/>
      </c>
      <c r="D134" s="21">
        <f>INDEX(①データ入力!$B$3:$Y$39,C134,(B134-1)*5+1)&amp;""</f>
        <v/>
      </c>
      <c r="E134" s="21">
        <f>INDEX(①データ入力!$B$3:$Y$39,C134,(B134-1)*5+2)&amp;""</f>
        <v/>
      </c>
      <c r="F134" s="21">
        <f>IF(OR(E134="1",E134="１",E134="男"),"男",IF(OR(E134="2",E134="２",E134="女"),"女",""))</f>
        <v/>
      </c>
      <c r="G134" s="21">
        <f>INDEX(①データ入力!$B$3:$Y$39,C134,(B134-1)*5+3)</f>
        <v/>
      </c>
      <c r="H134" s="21">
        <f>INDEX(①データ入力!$B$3:$Y$39,C134,(B134-1)*5+4)&amp;""</f>
        <v/>
      </c>
      <c r="I134" s="21">
        <f>IF(LEFT(TRIM(H134),1)="赤","赤",IF(LEFT(TRIM(H134),1)="白","白",""))</f>
        <v/>
      </c>
      <c r="J134" s="21">
        <f>IF(AND(D134&lt;&gt;"",F134&lt;&gt;"",I134&lt;&gt;"",ISNUMBER(G134)),F134&amp;I134,"")</f>
        <v/>
      </c>
      <c r="K134" s="21">
        <f>IF(J134="","",COUNTIFS($J$2:$J$186,J134,$G$2:$G$186,"&lt;"&amp;G134)+COUNTIFS($J$2:$J$186,J134,$G$2:$G$186,G134,$A$2:$A$186,"&lt;"&amp;A134)+1)</f>
        <v/>
      </c>
      <c r="L134" s="21">
        <f>IF(J134="","",J134&amp;K134)</f>
        <v/>
      </c>
      <c r="M134" s="21">
        <f>B134&amp;"組"</f>
        <v/>
      </c>
      <c r="N134" s="21">
        <f>IF(AND(D134&lt;&gt;"",J134=""),1,0)</f>
        <v/>
      </c>
      <c r="AK134">
        <f>IF(J134="","",IF(J134="男赤",COUNTIF($Y$2:$Y$51,"&lt;"&amp;K134),IF(J134="男白",COUNTIF($Z$2:$Z$51,"&lt;"&amp;K134),IF(J134="女赤",COUNTIF($AH$2:$AH$51,"&lt;"&amp;K134),COUNTIF($AI$2:$AI$51,"&lt;"&amp;K134))))+1)</f>
        <v/>
      </c>
      <c r="AL134">
        <f>IF(AK134="","",IF(AK134=1,0,IF(J134="男赤",INDEX($Y$2:$Y$51,AK134-1),IF(J134="男白",INDEX($Z$2:$Z$51,AK134-1),IF(J134="女赤",INDEX($AH$2:$AH$51,AK134-1),INDEX($AI$2:$AI$51,AK134-1))))))</f>
        <v/>
      </c>
      <c r="AM134">
        <f>IF(AK134="","",IF(RIGHT(J134,1)="赤",K134-AL134,IF(LEFT(J134,1)="男",INDEX($W$2:$W$51,AK134),INDEX($AF$2:$AF$51,AK134))+K134-AL134))</f>
        <v/>
      </c>
      <c r="AN134">
        <f>IF(AK134="","",F134&amp;AK134&amp;"-"&amp;AM134)</f>
        <v/>
      </c>
      <c r="AO134">
        <f>IF(J134="","",F134&amp;D134)</f>
        <v/>
      </c>
      <c r="AP134">
        <f>IF(J134="","",IF(F134="男",COUNTIF(手直し!$B$6:$E$55,D134),COUNTIF(手直し!$F$6:$I$55,D134)))</f>
        <v/>
      </c>
      <c r="AQ134">
        <f>IF(AND(J134&lt;&gt;"",AP134=0),1,0)</f>
        <v/>
      </c>
      <c r="AR134">
        <f>IF(AND(AQ134=1,F134="男"),COUNTIFS($AQ$2:AQ134,1,$F$2:F134,"男"),"")</f>
        <v/>
      </c>
      <c r="AS134">
        <f>IF(AND(AQ134=1,F134="女"),COUNTIFS($AQ$2:AQ134,1,$F$2:F134,"女"),"")</f>
        <v/>
      </c>
    </row>
    <row r="135">
      <c r="A135" s="21">
        <f>ROW()-1</f>
        <v/>
      </c>
      <c r="B135" s="21">
        <f>INT((A135-1)/37)+1</f>
        <v/>
      </c>
      <c r="C135" s="21">
        <f>MOD(A135-1,37)+1</f>
        <v/>
      </c>
      <c r="D135" s="21">
        <f>INDEX(①データ入力!$B$3:$Y$39,C135,(B135-1)*5+1)&amp;""</f>
        <v/>
      </c>
      <c r="E135" s="21">
        <f>INDEX(①データ入力!$B$3:$Y$39,C135,(B135-1)*5+2)&amp;""</f>
        <v/>
      </c>
      <c r="F135" s="21">
        <f>IF(OR(E135="1",E135="１",E135="男"),"男",IF(OR(E135="2",E135="２",E135="女"),"女",""))</f>
        <v/>
      </c>
      <c r="G135" s="21">
        <f>INDEX(①データ入力!$B$3:$Y$39,C135,(B135-1)*5+3)</f>
        <v/>
      </c>
      <c r="H135" s="21">
        <f>INDEX(①データ入力!$B$3:$Y$39,C135,(B135-1)*5+4)&amp;""</f>
        <v/>
      </c>
      <c r="I135" s="21">
        <f>IF(LEFT(TRIM(H135),1)="赤","赤",IF(LEFT(TRIM(H135),1)="白","白",""))</f>
        <v/>
      </c>
      <c r="J135" s="21">
        <f>IF(AND(D135&lt;&gt;"",F135&lt;&gt;"",I135&lt;&gt;"",ISNUMBER(G135)),F135&amp;I135,"")</f>
        <v/>
      </c>
      <c r="K135" s="21">
        <f>IF(J135="","",COUNTIFS($J$2:$J$186,J135,$G$2:$G$186,"&lt;"&amp;G135)+COUNTIFS($J$2:$J$186,J135,$G$2:$G$186,G135,$A$2:$A$186,"&lt;"&amp;A135)+1)</f>
        <v/>
      </c>
      <c r="L135" s="21">
        <f>IF(J135="","",J135&amp;K135)</f>
        <v/>
      </c>
      <c r="M135" s="21">
        <f>B135&amp;"組"</f>
        <v/>
      </c>
      <c r="N135" s="21">
        <f>IF(AND(D135&lt;&gt;"",J135=""),1,0)</f>
        <v/>
      </c>
      <c r="AK135">
        <f>IF(J135="","",IF(J135="男赤",COUNTIF($Y$2:$Y$51,"&lt;"&amp;K135),IF(J135="男白",COUNTIF($Z$2:$Z$51,"&lt;"&amp;K135),IF(J135="女赤",COUNTIF($AH$2:$AH$51,"&lt;"&amp;K135),COUNTIF($AI$2:$AI$51,"&lt;"&amp;K135))))+1)</f>
        <v/>
      </c>
      <c r="AL135">
        <f>IF(AK135="","",IF(AK135=1,0,IF(J135="男赤",INDEX($Y$2:$Y$51,AK135-1),IF(J135="男白",INDEX($Z$2:$Z$51,AK135-1),IF(J135="女赤",INDEX($AH$2:$AH$51,AK135-1),INDEX($AI$2:$AI$51,AK135-1))))))</f>
        <v/>
      </c>
      <c r="AM135">
        <f>IF(AK135="","",IF(RIGHT(J135,1)="赤",K135-AL135,IF(LEFT(J135,1)="男",INDEX($W$2:$W$51,AK135),INDEX($AF$2:$AF$51,AK135))+K135-AL135))</f>
        <v/>
      </c>
      <c r="AN135">
        <f>IF(AK135="","",F135&amp;AK135&amp;"-"&amp;AM135)</f>
        <v/>
      </c>
      <c r="AO135">
        <f>IF(J135="","",F135&amp;D135)</f>
        <v/>
      </c>
      <c r="AP135">
        <f>IF(J135="","",IF(F135="男",COUNTIF(手直し!$B$6:$E$55,D135),COUNTIF(手直し!$F$6:$I$55,D135)))</f>
        <v/>
      </c>
      <c r="AQ135">
        <f>IF(AND(J135&lt;&gt;"",AP135=0),1,0)</f>
        <v/>
      </c>
      <c r="AR135">
        <f>IF(AND(AQ135=1,F135="男"),COUNTIFS($AQ$2:AQ135,1,$F$2:F135,"男"),"")</f>
        <v/>
      </c>
      <c r="AS135">
        <f>IF(AND(AQ135=1,F135="女"),COUNTIFS($AQ$2:AQ135,1,$F$2:F135,"女"),"")</f>
        <v/>
      </c>
    </row>
    <row r="136">
      <c r="A136" s="21">
        <f>ROW()-1</f>
        <v/>
      </c>
      <c r="B136" s="21">
        <f>INT((A136-1)/37)+1</f>
        <v/>
      </c>
      <c r="C136" s="21">
        <f>MOD(A136-1,37)+1</f>
        <v/>
      </c>
      <c r="D136" s="21">
        <f>INDEX(①データ入力!$B$3:$Y$39,C136,(B136-1)*5+1)&amp;""</f>
        <v/>
      </c>
      <c r="E136" s="21">
        <f>INDEX(①データ入力!$B$3:$Y$39,C136,(B136-1)*5+2)&amp;""</f>
        <v/>
      </c>
      <c r="F136" s="21">
        <f>IF(OR(E136="1",E136="１",E136="男"),"男",IF(OR(E136="2",E136="２",E136="女"),"女",""))</f>
        <v/>
      </c>
      <c r="G136" s="21">
        <f>INDEX(①データ入力!$B$3:$Y$39,C136,(B136-1)*5+3)</f>
        <v/>
      </c>
      <c r="H136" s="21">
        <f>INDEX(①データ入力!$B$3:$Y$39,C136,(B136-1)*5+4)&amp;""</f>
        <v/>
      </c>
      <c r="I136" s="21">
        <f>IF(LEFT(TRIM(H136),1)="赤","赤",IF(LEFT(TRIM(H136),1)="白","白",""))</f>
        <v/>
      </c>
      <c r="J136" s="21">
        <f>IF(AND(D136&lt;&gt;"",F136&lt;&gt;"",I136&lt;&gt;"",ISNUMBER(G136)),F136&amp;I136,"")</f>
        <v/>
      </c>
      <c r="K136" s="21">
        <f>IF(J136="","",COUNTIFS($J$2:$J$186,J136,$G$2:$G$186,"&lt;"&amp;G136)+COUNTIFS($J$2:$J$186,J136,$G$2:$G$186,G136,$A$2:$A$186,"&lt;"&amp;A136)+1)</f>
        <v/>
      </c>
      <c r="L136" s="21">
        <f>IF(J136="","",J136&amp;K136)</f>
        <v/>
      </c>
      <c r="M136" s="21">
        <f>B136&amp;"組"</f>
        <v/>
      </c>
      <c r="N136" s="21">
        <f>IF(AND(D136&lt;&gt;"",J136=""),1,0)</f>
        <v/>
      </c>
      <c r="AK136">
        <f>IF(J136="","",IF(J136="男赤",COUNTIF($Y$2:$Y$51,"&lt;"&amp;K136),IF(J136="男白",COUNTIF($Z$2:$Z$51,"&lt;"&amp;K136),IF(J136="女赤",COUNTIF($AH$2:$AH$51,"&lt;"&amp;K136),COUNTIF($AI$2:$AI$51,"&lt;"&amp;K136))))+1)</f>
        <v/>
      </c>
      <c r="AL136">
        <f>IF(AK136="","",IF(AK136=1,0,IF(J136="男赤",INDEX($Y$2:$Y$51,AK136-1),IF(J136="男白",INDEX($Z$2:$Z$51,AK136-1),IF(J136="女赤",INDEX($AH$2:$AH$51,AK136-1),INDEX($AI$2:$AI$51,AK136-1))))))</f>
        <v/>
      </c>
      <c r="AM136">
        <f>IF(AK136="","",IF(RIGHT(J136,1)="赤",K136-AL136,IF(LEFT(J136,1)="男",INDEX($W$2:$W$51,AK136),INDEX($AF$2:$AF$51,AK136))+K136-AL136))</f>
        <v/>
      </c>
      <c r="AN136">
        <f>IF(AK136="","",F136&amp;AK136&amp;"-"&amp;AM136)</f>
        <v/>
      </c>
      <c r="AO136">
        <f>IF(J136="","",F136&amp;D136)</f>
        <v/>
      </c>
      <c r="AP136">
        <f>IF(J136="","",IF(F136="男",COUNTIF(手直し!$B$6:$E$55,D136),COUNTIF(手直し!$F$6:$I$55,D136)))</f>
        <v/>
      </c>
      <c r="AQ136">
        <f>IF(AND(J136&lt;&gt;"",AP136=0),1,0)</f>
        <v/>
      </c>
      <c r="AR136">
        <f>IF(AND(AQ136=1,F136="男"),COUNTIFS($AQ$2:AQ136,1,$F$2:F136,"男"),"")</f>
        <v/>
      </c>
      <c r="AS136">
        <f>IF(AND(AQ136=1,F136="女"),COUNTIFS($AQ$2:AQ136,1,$F$2:F136,"女"),"")</f>
        <v/>
      </c>
    </row>
    <row r="137">
      <c r="A137" s="21">
        <f>ROW()-1</f>
        <v/>
      </c>
      <c r="B137" s="21">
        <f>INT((A137-1)/37)+1</f>
        <v/>
      </c>
      <c r="C137" s="21">
        <f>MOD(A137-1,37)+1</f>
        <v/>
      </c>
      <c r="D137" s="21">
        <f>INDEX(①データ入力!$B$3:$Y$39,C137,(B137-1)*5+1)&amp;""</f>
        <v/>
      </c>
      <c r="E137" s="21">
        <f>INDEX(①データ入力!$B$3:$Y$39,C137,(B137-1)*5+2)&amp;""</f>
        <v/>
      </c>
      <c r="F137" s="21">
        <f>IF(OR(E137="1",E137="１",E137="男"),"男",IF(OR(E137="2",E137="２",E137="女"),"女",""))</f>
        <v/>
      </c>
      <c r="G137" s="21">
        <f>INDEX(①データ入力!$B$3:$Y$39,C137,(B137-1)*5+3)</f>
        <v/>
      </c>
      <c r="H137" s="21">
        <f>INDEX(①データ入力!$B$3:$Y$39,C137,(B137-1)*5+4)&amp;""</f>
        <v/>
      </c>
      <c r="I137" s="21">
        <f>IF(LEFT(TRIM(H137),1)="赤","赤",IF(LEFT(TRIM(H137),1)="白","白",""))</f>
        <v/>
      </c>
      <c r="J137" s="21">
        <f>IF(AND(D137&lt;&gt;"",F137&lt;&gt;"",I137&lt;&gt;"",ISNUMBER(G137)),F137&amp;I137,"")</f>
        <v/>
      </c>
      <c r="K137" s="21">
        <f>IF(J137="","",COUNTIFS($J$2:$J$186,J137,$G$2:$G$186,"&lt;"&amp;G137)+COUNTIFS($J$2:$J$186,J137,$G$2:$G$186,G137,$A$2:$A$186,"&lt;"&amp;A137)+1)</f>
        <v/>
      </c>
      <c r="L137" s="21">
        <f>IF(J137="","",J137&amp;K137)</f>
        <v/>
      </c>
      <c r="M137" s="21">
        <f>B137&amp;"組"</f>
        <v/>
      </c>
      <c r="N137" s="21">
        <f>IF(AND(D137&lt;&gt;"",J137=""),1,0)</f>
        <v/>
      </c>
      <c r="AK137">
        <f>IF(J137="","",IF(J137="男赤",COUNTIF($Y$2:$Y$51,"&lt;"&amp;K137),IF(J137="男白",COUNTIF($Z$2:$Z$51,"&lt;"&amp;K137),IF(J137="女赤",COUNTIF($AH$2:$AH$51,"&lt;"&amp;K137),COUNTIF($AI$2:$AI$51,"&lt;"&amp;K137))))+1)</f>
        <v/>
      </c>
      <c r="AL137">
        <f>IF(AK137="","",IF(AK137=1,0,IF(J137="男赤",INDEX($Y$2:$Y$51,AK137-1),IF(J137="男白",INDEX($Z$2:$Z$51,AK137-1),IF(J137="女赤",INDEX($AH$2:$AH$51,AK137-1),INDEX($AI$2:$AI$51,AK137-1))))))</f>
        <v/>
      </c>
      <c r="AM137">
        <f>IF(AK137="","",IF(RIGHT(J137,1)="赤",K137-AL137,IF(LEFT(J137,1)="男",INDEX($W$2:$W$51,AK137),INDEX($AF$2:$AF$51,AK137))+K137-AL137))</f>
        <v/>
      </c>
      <c r="AN137">
        <f>IF(AK137="","",F137&amp;AK137&amp;"-"&amp;AM137)</f>
        <v/>
      </c>
      <c r="AO137">
        <f>IF(J137="","",F137&amp;D137)</f>
        <v/>
      </c>
      <c r="AP137">
        <f>IF(J137="","",IF(F137="男",COUNTIF(手直し!$B$6:$E$55,D137),COUNTIF(手直し!$F$6:$I$55,D137)))</f>
        <v/>
      </c>
      <c r="AQ137">
        <f>IF(AND(J137&lt;&gt;"",AP137=0),1,0)</f>
        <v/>
      </c>
      <c r="AR137">
        <f>IF(AND(AQ137=1,F137="男"),COUNTIFS($AQ$2:AQ137,1,$F$2:F137,"男"),"")</f>
        <v/>
      </c>
      <c r="AS137">
        <f>IF(AND(AQ137=1,F137="女"),COUNTIFS($AQ$2:AQ137,1,$F$2:F137,"女"),"")</f>
        <v/>
      </c>
    </row>
    <row r="138">
      <c r="A138" s="21">
        <f>ROW()-1</f>
        <v/>
      </c>
      <c r="B138" s="21">
        <f>INT((A138-1)/37)+1</f>
        <v/>
      </c>
      <c r="C138" s="21">
        <f>MOD(A138-1,37)+1</f>
        <v/>
      </c>
      <c r="D138" s="21">
        <f>INDEX(①データ入力!$B$3:$Y$39,C138,(B138-1)*5+1)&amp;""</f>
        <v/>
      </c>
      <c r="E138" s="21">
        <f>INDEX(①データ入力!$B$3:$Y$39,C138,(B138-1)*5+2)&amp;""</f>
        <v/>
      </c>
      <c r="F138" s="21">
        <f>IF(OR(E138="1",E138="１",E138="男"),"男",IF(OR(E138="2",E138="２",E138="女"),"女",""))</f>
        <v/>
      </c>
      <c r="G138" s="21">
        <f>INDEX(①データ入力!$B$3:$Y$39,C138,(B138-1)*5+3)</f>
        <v/>
      </c>
      <c r="H138" s="21">
        <f>INDEX(①データ入力!$B$3:$Y$39,C138,(B138-1)*5+4)&amp;""</f>
        <v/>
      </c>
      <c r="I138" s="21">
        <f>IF(LEFT(TRIM(H138),1)="赤","赤",IF(LEFT(TRIM(H138),1)="白","白",""))</f>
        <v/>
      </c>
      <c r="J138" s="21">
        <f>IF(AND(D138&lt;&gt;"",F138&lt;&gt;"",I138&lt;&gt;"",ISNUMBER(G138)),F138&amp;I138,"")</f>
        <v/>
      </c>
      <c r="K138" s="21">
        <f>IF(J138="","",COUNTIFS($J$2:$J$186,J138,$G$2:$G$186,"&lt;"&amp;G138)+COUNTIFS($J$2:$J$186,J138,$G$2:$G$186,G138,$A$2:$A$186,"&lt;"&amp;A138)+1)</f>
        <v/>
      </c>
      <c r="L138" s="21">
        <f>IF(J138="","",J138&amp;K138)</f>
        <v/>
      </c>
      <c r="M138" s="21">
        <f>B138&amp;"組"</f>
        <v/>
      </c>
      <c r="N138" s="21">
        <f>IF(AND(D138&lt;&gt;"",J138=""),1,0)</f>
        <v/>
      </c>
      <c r="AK138">
        <f>IF(J138="","",IF(J138="男赤",COUNTIF($Y$2:$Y$51,"&lt;"&amp;K138),IF(J138="男白",COUNTIF($Z$2:$Z$51,"&lt;"&amp;K138),IF(J138="女赤",COUNTIF($AH$2:$AH$51,"&lt;"&amp;K138),COUNTIF($AI$2:$AI$51,"&lt;"&amp;K138))))+1)</f>
        <v/>
      </c>
      <c r="AL138">
        <f>IF(AK138="","",IF(AK138=1,0,IF(J138="男赤",INDEX($Y$2:$Y$51,AK138-1),IF(J138="男白",INDEX($Z$2:$Z$51,AK138-1),IF(J138="女赤",INDEX($AH$2:$AH$51,AK138-1),INDEX($AI$2:$AI$51,AK138-1))))))</f>
        <v/>
      </c>
      <c r="AM138">
        <f>IF(AK138="","",IF(RIGHT(J138,1)="赤",K138-AL138,IF(LEFT(J138,1)="男",INDEX($W$2:$W$51,AK138),INDEX($AF$2:$AF$51,AK138))+K138-AL138))</f>
        <v/>
      </c>
      <c r="AN138">
        <f>IF(AK138="","",F138&amp;AK138&amp;"-"&amp;AM138)</f>
        <v/>
      </c>
      <c r="AO138">
        <f>IF(J138="","",F138&amp;D138)</f>
        <v/>
      </c>
      <c r="AP138">
        <f>IF(J138="","",IF(F138="男",COUNTIF(手直し!$B$6:$E$55,D138),COUNTIF(手直し!$F$6:$I$55,D138)))</f>
        <v/>
      </c>
      <c r="AQ138">
        <f>IF(AND(J138&lt;&gt;"",AP138=0),1,0)</f>
        <v/>
      </c>
      <c r="AR138">
        <f>IF(AND(AQ138=1,F138="男"),COUNTIFS($AQ$2:AQ138,1,$F$2:F138,"男"),"")</f>
        <v/>
      </c>
      <c r="AS138">
        <f>IF(AND(AQ138=1,F138="女"),COUNTIFS($AQ$2:AQ138,1,$F$2:F138,"女"),"")</f>
        <v/>
      </c>
    </row>
    <row r="139">
      <c r="A139" s="21">
        <f>ROW()-1</f>
        <v/>
      </c>
      <c r="B139" s="21">
        <f>INT((A139-1)/37)+1</f>
        <v/>
      </c>
      <c r="C139" s="21">
        <f>MOD(A139-1,37)+1</f>
        <v/>
      </c>
      <c r="D139" s="21">
        <f>INDEX(①データ入力!$B$3:$Y$39,C139,(B139-1)*5+1)&amp;""</f>
        <v/>
      </c>
      <c r="E139" s="21">
        <f>INDEX(①データ入力!$B$3:$Y$39,C139,(B139-1)*5+2)&amp;""</f>
        <v/>
      </c>
      <c r="F139" s="21">
        <f>IF(OR(E139="1",E139="１",E139="男"),"男",IF(OR(E139="2",E139="２",E139="女"),"女",""))</f>
        <v/>
      </c>
      <c r="G139" s="21">
        <f>INDEX(①データ入力!$B$3:$Y$39,C139,(B139-1)*5+3)</f>
        <v/>
      </c>
      <c r="H139" s="21">
        <f>INDEX(①データ入力!$B$3:$Y$39,C139,(B139-1)*5+4)&amp;""</f>
        <v/>
      </c>
      <c r="I139" s="21">
        <f>IF(LEFT(TRIM(H139),1)="赤","赤",IF(LEFT(TRIM(H139),1)="白","白",""))</f>
        <v/>
      </c>
      <c r="J139" s="21">
        <f>IF(AND(D139&lt;&gt;"",F139&lt;&gt;"",I139&lt;&gt;"",ISNUMBER(G139)),F139&amp;I139,"")</f>
        <v/>
      </c>
      <c r="K139" s="21">
        <f>IF(J139="","",COUNTIFS($J$2:$J$186,J139,$G$2:$G$186,"&lt;"&amp;G139)+COUNTIFS($J$2:$J$186,J139,$G$2:$G$186,G139,$A$2:$A$186,"&lt;"&amp;A139)+1)</f>
        <v/>
      </c>
      <c r="L139" s="21">
        <f>IF(J139="","",J139&amp;K139)</f>
        <v/>
      </c>
      <c r="M139" s="21">
        <f>B139&amp;"組"</f>
        <v/>
      </c>
      <c r="N139" s="21">
        <f>IF(AND(D139&lt;&gt;"",J139=""),1,0)</f>
        <v/>
      </c>
      <c r="AK139">
        <f>IF(J139="","",IF(J139="男赤",COUNTIF($Y$2:$Y$51,"&lt;"&amp;K139),IF(J139="男白",COUNTIF($Z$2:$Z$51,"&lt;"&amp;K139),IF(J139="女赤",COUNTIF($AH$2:$AH$51,"&lt;"&amp;K139),COUNTIF($AI$2:$AI$51,"&lt;"&amp;K139))))+1)</f>
        <v/>
      </c>
      <c r="AL139">
        <f>IF(AK139="","",IF(AK139=1,0,IF(J139="男赤",INDEX($Y$2:$Y$51,AK139-1),IF(J139="男白",INDEX($Z$2:$Z$51,AK139-1),IF(J139="女赤",INDEX($AH$2:$AH$51,AK139-1),INDEX($AI$2:$AI$51,AK139-1))))))</f>
        <v/>
      </c>
      <c r="AM139">
        <f>IF(AK139="","",IF(RIGHT(J139,1)="赤",K139-AL139,IF(LEFT(J139,1)="男",INDEX($W$2:$W$51,AK139),INDEX($AF$2:$AF$51,AK139))+K139-AL139))</f>
        <v/>
      </c>
      <c r="AN139">
        <f>IF(AK139="","",F139&amp;AK139&amp;"-"&amp;AM139)</f>
        <v/>
      </c>
      <c r="AO139">
        <f>IF(J139="","",F139&amp;D139)</f>
        <v/>
      </c>
      <c r="AP139">
        <f>IF(J139="","",IF(F139="男",COUNTIF(手直し!$B$6:$E$55,D139),COUNTIF(手直し!$F$6:$I$55,D139)))</f>
        <v/>
      </c>
      <c r="AQ139">
        <f>IF(AND(J139&lt;&gt;"",AP139=0),1,0)</f>
        <v/>
      </c>
      <c r="AR139">
        <f>IF(AND(AQ139=1,F139="男"),COUNTIFS($AQ$2:AQ139,1,$F$2:F139,"男"),"")</f>
        <v/>
      </c>
      <c r="AS139">
        <f>IF(AND(AQ139=1,F139="女"),COUNTIFS($AQ$2:AQ139,1,$F$2:F139,"女"),"")</f>
        <v/>
      </c>
    </row>
    <row r="140">
      <c r="A140" s="21">
        <f>ROW()-1</f>
        <v/>
      </c>
      <c r="B140" s="21">
        <f>INT((A140-1)/37)+1</f>
        <v/>
      </c>
      <c r="C140" s="21">
        <f>MOD(A140-1,37)+1</f>
        <v/>
      </c>
      <c r="D140" s="21">
        <f>INDEX(①データ入力!$B$3:$Y$39,C140,(B140-1)*5+1)&amp;""</f>
        <v/>
      </c>
      <c r="E140" s="21">
        <f>INDEX(①データ入力!$B$3:$Y$39,C140,(B140-1)*5+2)&amp;""</f>
        <v/>
      </c>
      <c r="F140" s="21">
        <f>IF(OR(E140="1",E140="１",E140="男"),"男",IF(OR(E140="2",E140="２",E140="女"),"女",""))</f>
        <v/>
      </c>
      <c r="G140" s="21">
        <f>INDEX(①データ入力!$B$3:$Y$39,C140,(B140-1)*5+3)</f>
        <v/>
      </c>
      <c r="H140" s="21">
        <f>INDEX(①データ入力!$B$3:$Y$39,C140,(B140-1)*5+4)&amp;""</f>
        <v/>
      </c>
      <c r="I140" s="21">
        <f>IF(LEFT(TRIM(H140),1)="赤","赤",IF(LEFT(TRIM(H140),1)="白","白",""))</f>
        <v/>
      </c>
      <c r="J140" s="21">
        <f>IF(AND(D140&lt;&gt;"",F140&lt;&gt;"",I140&lt;&gt;"",ISNUMBER(G140)),F140&amp;I140,"")</f>
        <v/>
      </c>
      <c r="K140" s="21">
        <f>IF(J140="","",COUNTIFS($J$2:$J$186,J140,$G$2:$G$186,"&lt;"&amp;G140)+COUNTIFS($J$2:$J$186,J140,$G$2:$G$186,G140,$A$2:$A$186,"&lt;"&amp;A140)+1)</f>
        <v/>
      </c>
      <c r="L140" s="21">
        <f>IF(J140="","",J140&amp;K140)</f>
        <v/>
      </c>
      <c r="M140" s="21">
        <f>B140&amp;"組"</f>
        <v/>
      </c>
      <c r="N140" s="21">
        <f>IF(AND(D140&lt;&gt;"",J140=""),1,0)</f>
        <v/>
      </c>
      <c r="AK140">
        <f>IF(J140="","",IF(J140="男赤",COUNTIF($Y$2:$Y$51,"&lt;"&amp;K140),IF(J140="男白",COUNTIF($Z$2:$Z$51,"&lt;"&amp;K140),IF(J140="女赤",COUNTIF($AH$2:$AH$51,"&lt;"&amp;K140),COUNTIF($AI$2:$AI$51,"&lt;"&amp;K140))))+1)</f>
        <v/>
      </c>
      <c r="AL140">
        <f>IF(AK140="","",IF(AK140=1,0,IF(J140="男赤",INDEX($Y$2:$Y$51,AK140-1),IF(J140="男白",INDEX($Z$2:$Z$51,AK140-1),IF(J140="女赤",INDEX($AH$2:$AH$51,AK140-1),INDEX($AI$2:$AI$51,AK140-1))))))</f>
        <v/>
      </c>
      <c r="AM140">
        <f>IF(AK140="","",IF(RIGHT(J140,1)="赤",K140-AL140,IF(LEFT(J140,1)="男",INDEX($W$2:$W$51,AK140),INDEX($AF$2:$AF$51,AK140))+K140-AL140))</f>
        <v/>
      </c>
      <c r="AN140">
        <f>IF(AK140="","",F140&amp;AK140&amp;"-"&amp;AM140)</f>
        <v/>
      </c>
      <c r="AO140">
        <f>IF(J140="","",F140&amp;D140)</f>
        <v/>
      </c>
      <c r="AP140">
        <f>IF(J140="","",IF(F140="男",COUNTIF(手直し!$B$6:$E$55,D140),COUNTIF(手直し!$F$6:$I$55,D140)))</f>
        <v/>
      </c>
      <c r="AQ140">
        <f>IF(AND(J140&lt;&gt;"",AP140=0),1,0)</f>
        <v/>
      </c>
      <c r="AR140">
        <f>IF(AND(AQ140=1,F140="男"),COUNTIFS($AQ$2:AQ140,1,$F$2:F140,"男"),"")</f>
        <v/>
      </c>
      <c r="AS140">
        <f>IF(AND(AQ140=1,F140="女"),COUNTIFS($AQ$2:AQ140,1,$F$2:F140,"女"),"")</f>
        <v/>
      </c>
    </row>
    <row r="141">
      <c r="A141" s="21">
        <f>ROW()-1</f>
        <v/>
      </c>
      <c r="B141" s="21">
        <f>INT((A141-1)/37)+1</f>
        <v/>
      </c>
      <c r="C141" s="21">
        <f>MOD(A141-1,37)+1</f>
        <v/>
      </c>
      <c r="D141" s="21">
        <f>INDEX(①データ入力!$B$3:$Y$39,C141,(B141-1)*5+1)&amp;""</f>
        <v/>
      </c>
      <c r="E141" s="21">
        <f>INDEX(①データ入力!$B$3:$Y$39,C141,(B141-1)*5+2)&amp;""</f>
        <v/>
      </c>
      <c r="F141" s="21">
        <f>IF(OR(E141="1",E141="１",E141="男"),"男",IF(OR(E141="2",E141="２",E141="女"),"女",""))</f>
        <v/>
      </c>
      <c r="G141" s="21">
        <f>INDEX(①データ入力!$B$3:$Y$39,C141,(B141-1)*5+3)</f>
        <v/>
      </c>
      <c r="H141" s="21">
        <f>INDEX(①データ入力!$B$3:$Y$39,C141,(B141-1)*5+4)&amp;""</f>
        <v/>
      </c>
      <c r="I141" s="21">
        <f>IF(LEFT(TRIM(H141),1)="赤","赤",IF(LEFT(TRIM(H141),1)="白","白",""))</f>
        <v/>
      </c>
      <c r="J141" s="21">
        <f>IF(AND(D141&lt;&gt;"",F141&lt;&gt;"",I141&lt;&gt;"",ISNUMBER(G141)),F141&amp;I141,"")</f>
        <v/>
      </c>
      <c r="K141" s="21">
        <f>IF(J141="","",COUNTIFS($J$2:$J$186,J141,$G$2:$G$186,"&lt;"&amp;G141)+COUNTIFS($J$2:$J$186,J141,$G$2:$G$186,G141,$A$2:$A$186,"&lt;"&amp;A141)+1)</f>
        <v/>
      </c>
      <c r="L141" s="21">
        <f>IF(J141="","",J141&amp;K141)</f>
        <v/>
      </c>
      <c r="M141" s="21">
        <f>B141&amp;"組"</f>
        <v/>
      </c>
      <c r="N141" s="21">
        <f>IF(AND(D141&lt;&gt;"",J141=""),1,0)</f>
        <v/>
      </c>
      <c r="AK141">
        <f>IF(J141="","",IF(J141="男赤",COUNTIF($Y$2:$Y$51,"&lt;"&amp;K141),IF(J141="男白",COUNTIF($Z$2:$Z$51,"&lt;"&amp;K141),IF(J141="女赤",COUNTIF($AH$2:$AH$51,"&lt;"&amp;K141),COUNTIF($AI$2:$AI$51,"&lt;"&amp;K141))))+1)</f>
        <v/>
      </c>
      <c r="AL141">
        <f>IF(AK141="","",IF(AK141=1,0,IF(J141="男赤",INDEX($Y$2:$Y$51,AK141-1),IF(J141="男白",INDEX($Z$2:$Z$51,AK141-1),IF(J141="女赤",INDEX($AH$2:$AH$51,AK141-1),INDEX($AI$2:$AI$51,AK141-1))))))</f>
        <v/>
      </c>
      <c r="AM141">
        <f>IF(AK141="","",IF(RIGHT(J141,1)="赤",K141-AL141,IF(LEFT(J141,1)="男",INDEX($W$2:$W$51,AK141),INDEX($AF$2:$AF$51,AK141))+K141-AL141))</f>
        <v/>
      </c>
      <c r="AN141">
        <f>IF(AK141="","",F141&amp;AK141&amp;"-"&amp;AM141)</f>
        <v/>
      </c>
      <c r="AO141">
        <f>IF(J141="","",F141&amp;D141)</f>
        <v/>
      </c>
      <c r="AP141">
        <f>IF(J141="","",IF(F141="男",COUNTIF(手直し!$B$6:$E$55,D141),COUNTIF(手直し!$F$6:$I$55,D141)))</f>
        <v/>
      </c>
      <c r="AQ141">
        <f>IF(AND(J141&lt;&gt;"",AP141=0),1,0)</f>
        <v/>
      </c>
      <c r="AR141">
        <f>IF(AND(AQ141=1,F141="男"),COUNTIFS($AQ$2:AQ141,1,$F$2:F141,"男"),"")</f>
        <v/>
      </c>
      <c r="AS141">
        <f>IF(AND(AQ141=1,F141="女"),COUNTIFS($AQ$2:AQ141,1,$F$2:F141,"女"),"")</f>
        <v/>
      </c>
    </row>
    <row r="142">
      <c r="A142" s="21">
        <f>ROW()-1</f>
        <v/>
      </c>
      <c r="B142" s="21">
        <f>INT((A142-1)/37)+1</f>
        <v/>
      </c>
      <c r="C142" s="21">
        <f>MOD(A142-1,37)+1</f>
        <v/>
      </c>
      <c r="D142" s="21">
        <f>INDEX(①データ入力!$B$3:$Y$39,C142,(B142-1)*5+1)&amp;""</f>
        <v/>
      </c>
      <c r="E142" s="21">
        <f>INDEX(①データ入力!$B$3:$Y$39,C142,(B142-1)*5+2)&amp;""</f>
        <v/>
      </c>
      <c r="F142" s="21">
        <f>IF(OR(E142="1",E142="１",E142="男"),"男",IF(OR(E142="2",E142="２",E142="女"),"女",""))</f>
        <v/>
      </c>
      <c r="G142" s="21">
        <f>INDEX(①データ入力!$B$3:$Y$39,C142,(B142-1)*5+3)</f>
        <v/>
      </c>
      <c r="H142" s="21">
        <f>INDEX(①データ入力!$B$3:$Y$39,C142,(B142-1)*5+4)&amp;""</f>
        <v/>
      </c>
      <c r="I142" s="21">
        <f>IF(LEFT(TRIM(H142),1)="赤","赤",IF(LEFT(TRIM(H142),1)="白","白",""))</f>
        <v/>
      </c>
      <c r="J142" s="21">
        <f>IF(AND(D142&lt;&gt;"",F142&lt;&gt;"",I142&lt;&gt;"",ISNUMBER(G142)),F142&amp;I142,"")</f>
        <v/>
      </c>
      <c r="K142" s="21">
        <f>IF(J142="","",COUNTIFS($J$2:$J$186,J142,$G$2:$G$186,"&lt;"&amp;G142)+COUNTIFS($J$2:$J$186,J142,$G$2:$G$186,G142,$A$2:$A$186,"&lt;"&amp;A142)+1)</f>
        <v/>
      </c>
      <c r="L142" s="21">
        <f>IF(J142="","",J142&amp;K142)</f>
        <v/>
      </c>
      <c r="M142" s="21">
        <f>B142&amp;"組"</f>
        <v/>
      </c>
      <c r="N142" s="21">
        <f>IF(AND(D142&lt;&gt;"",J142=""),1,0)</f>
        <v/>
      </c>
      <c r="AK142">
        <f>IF(J142="","",IF(J142="男赤",COUNTIF($Y$2:$Y$51,"&lt;"&amp;K142),IF(J142="男白",COUNTIF($Z$2:$Z$51,"&lt;"&amp;K142),IF(J142="女赤",COUNTIF($AH$2:$AH$51,"&lt;"&amp;K142),COUNTIF($AI$2:$AI$51,"&lt;"&amp;K142))))+1)</f>
        <v/>
      </c>
      <c r="AL142">
        <f>IF(AK142="","",IF(AK142=1,0,IF(J142="男赤",INDEX($Y$2:$Y$51,AK142-1),IF(J142="男白",INDEX($Z$2:$Z$51,AK142-1),IF(J142="女赤",INDEX($AH$2:$AH$51,AK142-1),INDEX($AI$2:$AI$51,AK142-1))))))</f>
        <v/>
      </c>
      <c r="AM142">
        <f>IF(AK142="","",IF(RIGHT(J142,1)="赤",K142-AL142,IF(LEFT(J142,1)="男",INDEX($W$2:$W$51,AK142),INDEX($AF$2:$AF$51,AK142))+K142-AL142))</f>
        <v/>
      </c>
      <c r="AN142">
        <f>IF(AK142="","",F142&amp;AK142&amp;"-"&amp;AM142)</f>
        <v/>
      </c>
      <c r="AO142">
        <f>IF(J142="","",F142&amp;D142)</f>
        <v/>
      </c>
      <c r="AP142">
        <f>IF(J142="","",IF(F142="男",COUNTIF(手直し!$B$6:$E$55,D142),COUNTIF(手直し!$F$6:$I$55,D142)))</f>
        <v/>
      </c>
      <c r="AQ142">
        <f>IF(AND(J142&lt;&gt;"",AP142=0),1,0)</f>
        <v/>
      </c>
      <c r="AR142">
        <f>IF(AND(AQ142=1,F142="男"),COUNTIFS($AQ$2:AQ142,1,$F$2:F142,"男"),"")</f>
        <v/>
      </c>
      <c r="AS142">
        <f>IF(AND(AQ142=1,F142="女"),COUNTIFS($AQ$2:AQ142,1,$F$2:F142,"女"),"")</f>
        <v/>
      </c>
    </row>
    <row r="143">
      <c r="A143" s="21">
        <f>ROW()-1</f>
        <v/>
      </c>
      <c r="B143" s="21">
        <f>INT((A143-1)/37)+1</f>
        <v/>
      </c>
      <c r="C143" s="21">
        <f>MOD(A143-1,37)+1</f>
        <v/>
      </c>
      <c r="D143" s="21">
        <f>INDEX(①データ入力!$B$3:$Y$39,C143,(B143-1)*5+1)&amp;""</f>
        <v/>
      </c>
      <c r="E143" s="21">
        <f>INDEX(①データ入力!$B$3:$Y$39,C143,(B143-1)*5+2)&amp;""</f>
        <v/>
      </c>
      <c r="F143" s="21">
        <f>IF(OR(E143="1",E143="１",E143="男"),"男",IF(OR(E143="2",E143="２",E143="女"),"女",""))</f>
        <v/>
      </c>
      <c r="G143" s="21">
        <f>INDEX(①データ入力!$B$3:$Y$39,C143,(B143-1)*5+3)</f>
        <v/>
      </c>
      <c r="H143" s="21">
        <f>INDEX(①データ入力!$B$3:$Y$39,C143,(B143-1)*5+4)&amp;""</f>
        <v/>
      </c>
      <c r="I143" s="21">
        <f>IF(LEFT(TRIM(H143),1)="赤","赤",IF(LEFT(TRIM(H143),1)="白","白",""))</f>
        <v/>
      </c>
      <c r="J143" s="21">
        <f>IF(AND(D143&lt;&gt;"",F143&lt;&gt;"",I143&lt;&gt;"",ISNUMBER(G143)),F143&amp;I143,"")</f>
        <v/>
      </c>
      <c r="K143" s="21">
        <f>IF(J143="","",COUNTIFS($J$2:$J$186,J143,$G$2:$G$186,"&lt;"&amp;G143)+COUNTIFS($J$2:$J$186,J143,$G$2:$G$186,G143,$A$2:$A$186,"&lt;"&amp;A143)+1)</f>
        <v/>
      </c>
      <c r="L143" s="21">
        <f>IF(J143="","",J143&amp;K143)</f>
        <v/>
      </c>
      <c r="M143" s="21">
        <f>B143&amp;"組"</f>
        <v/>
      </c>
      <c r="N143" s="21">
        <f>IF(AND(D143&lt;&gt;"",J143=""),1,0)</f>
        <v/>
      </c>
      <c r="AK143">
        <f>IF(J143="","",IF(J143="男赤",COUNTIF($Y$2:$Y$51,"&lt;"&amp;K143),IF(J143="男白",COUNTIF($Z$2:$Z$51,"&lt;"&amp;K143),IF(J143="女赤",COUNTIF($AH$2:$AH$51,"&lt;"&amp;K143),COUNTIF($AI$2:$AI$51,"&lt;"&amp;K143))))+1)</f>
        <v/>
      </c>
      <c r="AL143">
        <f>IF(AK143="","",IF(AK143=1,0,IF(J143="男赤",INDEX($Y$2:$Y$51,AK143-1),IF(J143="男白",INDEX($Z$2:$Z$51,AK143-1),IF(J143="女赤",INDEX($AH$2:$AH$51,AK143-1),INDEX($AI$2:$AI$51,AK143-1))))))</f>
        <v/>
      </c>
      <c r="AM143">
        <f>IF(AK143="","",IF(RIGHT(J143,1)="赤",K143-AL143,IF(LEFT(J143,1)="男",INDEX($W$2:$W$51,AK143),INDEX($AF$2:$AF$51,AK143))+K143-AL143))</f>
        <v/>
      </c>
      <c r="AN143">
        <f>IF(AK143="","",F143&amp;AK143&amp;"-"&amp;AM143)</f>
        <v/>
      </c>
      <c r="AO143">
        <f>IF(J143="","",F143&amp;D143)</f>
        <v/>
      </c>
      <c r="AP143">
        <f>IF(J143="","",IF(F143="男",COUNTIF(手直し!$B$6:$E$55,D143),COUNTIF(手直し!$F$6:$I$55,D143)))</f>
        <v/>
      </c>
      <c r="AQ143">
        <f>IF(AND(J143&lt;&gt;"",AP143=0),1,0)</f>
        <v/>
      </c>
      <c r="AR143">
        <f>IF(AND(AQ143=1,F143="男"),COUNTIFS($AQ$2:AQ143,1,$F$2:F143,"男"),"")</f>
        <v/>
      </c>
      <c r="AS143">
        <f>IF(AND(AQ143=1,F143="女"),COUNTIFS($AQ$2:AQ143,1,$F$2:F143,"女"),"")</f>
        <v/>
      </c>
    </row>
    <row r="144">
      <c r="A144" s="21">
        <f>ROW()-1</f>
        <v/>
      </c>
      <c r="B144" s="21">
        <f>INT((A144-1)/37)+1</f>
        <v/>
      </c>
      <c r="C144" s="21">
        <f>MOD(A144-1,37)+1</f>
        <v/>
      </c>
      <c r="D144" s="21">
        <f>INDEX(①データ入力!$B$3:$Y$39,C144,(B144-1)*5+1)&amp;""</f>
        <v/>
      </c>
      <c r="E144" s="21">
        <f>INDEX(①データ入力!$B$3:$Y$39,C144,(B144-1)*5+2)&amp;""</f>
        <v/>
      </c>
      <c r="F144" s="21">
        <f>IF(OR(E144="1",E144="１",E144="男"),"男",IF(OR(E144="2",E144="２",E144="女"),"女",""))</f>
        <v/>
      </c>
      <c r="G144" s="21">
        <f>INDEX(①データ入力!$B$3:$Y$39,C144,(B144-1)*5+3)</f>
        <v/>
      </c>
      <c r="H144" s="21">
        <f>INDEX(①データ入力!$B$3:$Y$39,C144,(B144-1)*5+4)&amp;""</f>
        <v/>
      </c>
      <c r="I144" s="21">
        <f>IF(LEFT(TRIM(H144),1)="赤","赤",IF(LEFT(TRIM(H144),1)="白","白",""))</f>
        <v/>
      </c>
      <c r="J144" s="21">
        <f>IF(AND(D144&lt;&gt;"",F144&lt;&gt;"",I144&lt;&gt;"",ISNUMBER(G144)),F144&amp;I144,"")</f>
        <v/>
      </c>
      <c r="K144" s="21">
        <f>IF(J144="","",COUNTIFS($J$2:$J$186,J144,$G$2:$G$186,"&lt;"&amp;G144)+COUNTIFS($J$2:$J$186,J144,$G$2:$G$186,G144,$A$2:$A$186,"&lt;"&amp;A144)+1)</f>
        <v/>
      </c>
      <c r="L144" s="21">
        <f>IF(J144="","",J144&amp;K144)</f>
        <v/>
      </c>
      <c r="M144" s="21">
        <f>B144&amp;"組"</f>
        <v/>
      </c>
      <c r="N144" s="21">
        <f>IF(AND(D144&lt;&gt;"",J144=""),1,0)</f>
        <v/>
      </c>
      <c r="AK144">
        <f>IF(J144="","",IF(J144="男赤",COUNTIF($Y$2:$Y$51,"&lt;"&amp;K144),IF(J144="男白",COUNTIF($Z$2:$Z$51,"&lt;"&amp;K144),IF(J144="女赤",COUNTIF($AH$2:$AH$51,"&lt;"&amp;K144),COUNTIF($AI$2:$AI$51,"&lt;"&amp;K144))))+1)</f>
        <v/>
      </c>
      <c r="AL144">
        <f>IF(AK144="","",IF(AK144=1,0,IF(J144="男赤",INDEX($Y$2:$Y$51,AK144-1),IF(J144="男白",INDEX($Z$2:$Z$51,AK144-1),IF(J144="女赤",INDEX($AH$2:$AH$51,AK144-1),INDEX($AI$2:$AI$51,AK144-1))))))</f>
        <v/>
      </c>
      <c r="AM144">
        <f>IF(AK144="","",IF(RIGHT(J144,1)="赤",K144-AL144,IF(LEFT(J144,1)="男",INDEX($W$2:$W$51,AK144),INDEX($AF$2:$AF$51,AK144))+K144-AL144))</f>
        <v/>
      </c>
      <c r="AN144">
        <f>IF(AK144="","",F144&amp;AK144&amp;"-"&amp;AM144)</f>
        <v/>
      </c>
      <c r="AO144">
        <f>IF(J144="","",F144&amp;D144)</f>
        <v/>
      </c>
      <c r="AP144">
        <f>IF(J144="","",IF(F144="男",COUNTIF(手直し!$B$6:$E$55,D144),COUNTIF(手直し!$F$6:$I$55,D144)))</f>
        <v/>
      </c>
      <c r="AQ144">
        <f>IF(AND(J144&lt;&gt;"",AP144=0),1,0)</f>
        <v/>
      </c>
      <c r="AR144">
        <f>IF(AND(AQ144=1,F144="男"),COUNTIFS($AQ$2:AQ144,1,$F$2:F144,"男"),"")</f>
        <v/>
      </c>
      <c r="AS144">
        <f>IF(AND(AQ144=1,F144="女"),COUNTIFS($AQ$2:AQ144,1,$F$2:F144,"女"),"")</f>
        <v/>
      </c>
    </row>
    <row r="145">
      <c r="A145" s="21">
        <f>ROW()-1</f>
        <v/>
      </c>
      <c r="B145" s="21">
        <f>INT((A145-1)/37)+1</f>
        <v/>
      </c>
      <c r="C145" s="21">
        <f>MOD(A145-1,37)+1</f>
        <v/>
      </c>
      <c r="D145" s="21">
        <f>INDEX(①データ入力!$B$3:$Y$39,C145,(B145-1)*5+1)&amp;""</f>
        <v/>
      </c>
      <c r="E145" s="21">
        <f>INDEX(①データ入力!$B$3:$Y$39,C145,(B145-1)*5+2)&amp;""</f>
        <v/>
      </c>
      <c r="F145" s="21">
        <f>IF(OR(E145="1",E145="１",E145="男"),"男",IF(OR(E145="2",E145="２",E145="女"),"女",""))</f>
        <v/>
      </c>
      <c r="G145" s="21">
        <f>INDEX(①データ入力!$B$3:$Y$39,C145,(B145-1)*5+3)</f>
        <v/>
      </c>
      <c r="H145" s="21">
        <f>INDEX(①データ入力!$B$3:$Y$39,C145,(B145-1)*5+4)&amp;""</f>
        <v/>
      </c>
      <c r="I145" s="21">
        <f>IF(LEFT(TRIM(H145),1)="赤","赤",IF(LEFT(TRIM(H145),1)="白","白",""))</f>
        <v/>
      </c>
      <c r="J145" s="21">
        <f>IF(AND(D145&lt;&gt;"",F145&lt;&gt;"",I145&lt;&gt;"",ISNUMBER(G145)),F145&amp;I145,"")</f>
        <v/>
      </c>
      <c r="K145" s="21">
        <f>IF(J145="","",COUNTIFS($J$2:$J$186,J145,$G$2:$G$186,"&lt;"&amp;G145)+COUNTIFS($J$2:$J$186,J145,$G$2:$G$186,G145,$A$2:$A$186,"&lt;"&amp;A145)+1)</f>
        <v/>
      </c>
      <c r="L145" s="21">
        <f>IF(J145="","",J145&amp;K145)</f>
        <v/>
      </c>
      <c r="M145" s="21">
        <f>B145&amp;"組"</f>
        <v/>
      </c>
      <c r="N145" s="21">
        <f>IF(AND(D145&lt;&gt;"",J145=""),1,0)</f>
        <v/>
      </c>
      <c r="AK145">
        <f>IF(J145="","",IF(J145="男赤",COUNTIF($Y$2:$Y$51,"&lt;"&amp;K145),IF(J145="男白",COUNTIF($Z$2:$Z$51,"&lt;"&amp;K145),IF(J145="女赤",COUNTIF($AH$2:$AH$51,"&lt;"&amp;K145),COUNTIF($AI$2:$AI$51,"&lt;"&amp;K145))))+1)</f>
        <v/>
      </c>
      <c r="AL145">
        <f>IF(AK145="","",IF(AK145=1,0,IF(J145="男赤",INDEX($Y$2:$Y$51,AK145-1),IF(J145="男白",INDEX($Z$2:$Z$51,AK145-1),IF(J145="女赤",INDEX($AH$2:$AH$51,AK145-1),INDEX($AI$2:$AI$51,AK145-1))))))</f>
        <v/>
      </c>
      <c r="AM145">
        <f>IF(AK145="","",IF(RIGHT(J145,1)="赤",K145-AL145,IF(LEFT(J145,1)="男",INDEX($W$2:$W$51,AK145),INDEX($AF$2:$AF$51,AK145))+K145-AL145))</f>
        <v/>
      </c>
      <c r="AN145">
        <f>IF(AK145="","",F145&amp;AK145&amp;"-"&amp;AM145)</f>
        <v/>
      </c>
      <c r="AO145">
        <f>IF(J145="","",F145&amp;D145)</f>
        <v/>
      </c>
      <c r="AP145">
        <f>IF(J145="","",IF(F145="男",COUNTIF(手直し!$B$6:$E$55,D145),COUNTIF(手直し!$F$6:$I$55,D145)))</f>
        <v/>
      </c>
      <c r="AQ145">
        <f>IF(AND(J145&lt;&gt;"",AP145=0),1,0)</f>
        <v/>
      </c>
      <c r="AR145">
        <f>IF(AND(AQ145=1,F145="男"),COUNTIFS($AQ$2:AQ145,1,$F$2:F145,"男"),"")</f>
        <v/>
      </c>
      <c r="AS145">
        <f>IF(AND(AQ145=1,F145="女"),COUNTIFS($AQ$2:AQ145,1,$F$2:F145,"女"),"")</f>
        <v/>
      </c>
    </row>
    <row r="146">
      <c r="A146" s="21">
        <f>ROW()-1</f>
        <v/>
      </c>
      <c r="B146" s="21">
        <f>INT((A146-1)/37)+1</f>
        <v/>
      </c>
      <c r="C146" s="21">
        <f>MOD(A146-1,37)+1</f>
        <v/>
      </c>
      <c r="D146" s="21">
        <f>INDEX(①データ入力!$B$3:$Y$39,C146,(B146-1)*5+1)&amp;""</f>
        <v/>
      </c>
      <c r="E146" s="21">
        <f>INDEX(①データ入力!$B$3:$Y$39,C146,(B146-1)*5+2)&amp;""</f>
        <v/>
      </c>
      <c r="F146" s="21">
        <f>IF(OR(E146="1",E146="１",E146="男"),"男",IF(OR(E146="2",E146="２",E146="女"),"女",""))</f>
        <v/>
      </c>
      <c r="G146" s="21">
        <f>INDEX(①データ入力!$B$3:$Y$39,C146,(B146-1)*5+3)</f>
        <v/>
      </c>
      <c r="H146" s="21">
        <f>INDEX(①データ入力!$B$3:$Y$39,C146,(B146-1)*5+4)&amp;""</f>
        <v/>
      </c>
      <c r="I146" s="21">
        <f>IF(LEFT(TRIM(H146),1)="赤","赤",IF(LEFT(TRIM(H146),1)="白","白",""))</f>
        <v/>
      </c>
      <c r="J146" s="21">
        <f>IF(AND(D146&lt;&gt;"",F146&lt;&gt;"",I146&lt;&gt;"",ISNUMBER(G146)),F146&amp;I146,"")</f>
        <v/>
      </c>
      <c r="K146" s="21">
        <f>IF(J146="","",COUNTIFS($J$2:$J$186,J146,$G$2:$G$186,"&lt;"&amp;G146)+COUNTIFS($J$2:$J$186,J146,$G$2:$G$186,G146,$A$2:$A$186,"&lt;"&amp;A146)+1)</f>
        <v/>
      </c>
      <c r="L146" s="21">
        <f>IF(J146="","",J146&amp;K146)</f>
        <v/>
      </c>
      <c r="M146" s="21">
        <f>B146&amp;"組"</f>
        <v/>
      </c>
      <c r="N146" s="21">
        <f>IF(AND(D146&lt;&gt;"",J146=""),1,0)</f>
        <v/>
      </c>
      <c r="AK146">
        <f>IF(J146="","",IF(J146="男赤",COUNTIF($Y$2:$Y$51,"&lt;"&amp;K146),IF(J146="男白",COUNTIF($Z$2:$Z$51,"&lt;"&amp;K146),IF(J146="女赤",COUNTIF($AH$2:$AH$51,"&lt;"&amp;K146),COUNTIF($AI$2:$AI$51,"&lt;"&amp;K146))))+1)</f>
        <v/>
      </c>
      <c r="AL146">
        <f>IF(AK146="","",IF(AK146=1,0,IF(J146="男赤",INDEX($Y$2:$Y$51,AK146-1),IF(J146="男白",INDEX($Z$2:$Z$51,AK146-1),IF(J146="女赤",INDEX($AH$2:$AH$51,AK146-1),INDEX($AI$2:$AI$51,AK146-1))))))</f>
        <v/>
      </c>
      <c r="AM146">
        <f>IF(AK146="","",IF(RIGHT(J146,1)="赤",K146-AL146,IF(LEFT(J146,1)="男",INDEX($W$2:$W$51,AK146),INDEX($AF$2:$AF$51,AK146))+K146-AL146))</f>
        <v/>
      </c>
      <c r="AN146">
        <f>IF(AK146="","",F146&amp;AK146&amp;"-"&amp;AM146)</f>
        <v/>
      </c>
      <c r="AO146">
        <f>IF(J146="","",F146&amp;D146)</f>
        <v/>
      </c>
      <c r="AP146">
        <f>IF(J146="","",IF(F146="男",COUNTIF(手直し!$B$6:$E$55,D146),COUNTIF(手直し!$F$6:$I$55,D146)))</f>
        <v/>
      </c>
      <c r="AQ146">
        <f>IF(AND(J146&lt;&gt;"",AP146=0),1,0)</f>
        <v/>
      </c>
      <c r="AR146">
        <f>IF(AND(AQ146=1,F146="男"),COUNTIFS($AQ$2:AQ146,1,$F$2:F146,"男"),"")</f>
        <v/>
      </c>
      <c r="AS146">
        <f>IF(AND(AQ146=1,F146="女"),COUNTIFS($AQ$2:AQ146,1,$F$2:F146,"女"),"")</f>
        <v/>
      </c>
    </row>
    <row r="147">
      <c r="A147" s="21">
        <f>ROW()-1</f>
        <v/>
      </c>
      <c r="B147" s="21">
        <f>INT((A147-1)/37)+1</f>
        <v/>
      </c>
      <c r="C147" s="21">
        <f>MOD(A147-1,37)+1</f>
        <v/>
      </c>
      <c r="D147" s="21">
        <f>INDEX(①データ入力!$B$3:$Y$39,C147,(B147-1)*5+1)&amp;""</f>
        <v/>
      </c>
      <c r="E147" s="21">
        <f>INDEX(①データ入力!$B$3:$Y$39,C147,(B147-1)*5+2)&amp;""</f>
        <v/>
      </c>
      <c r="F147" s="21">
        <f>IF(OR(E147="1",E147="１",E147="男"),"男",IF(OR(E147="2",E147="２",E147="女"),"女",""))</f>
        <v/>
      </c>
      <c r="G147" s="21">
        <f>INDEX(①データ入力!$B$3:$Y$39,C147,(B147-1)*5+3)</f>
        <v/>
      </c>
      <c r="H147" s="21">
        <f>INDEX(①データ入力!$B$3:$Y$39,C147,(B147-1)*5+4)&amp;""</f>
        <v/>
      </c>
      <c r="I147" s="21">
        <f>IF(LEFT(TRIM(H147),1)="赤","赤",IF(LEFT(TRIM(H147),1)="白","白",""))</f>
        <v/>
      </c>
      <c r="J147" s="21">
        <f>IF(AND(D147&lt;&gt;"",F147&lt;&gt;"",I147&lt;&gt;"",ISNUMBER(G147)),F147&amp;I147,"")</f>
        <v/>
      </c>
      <c r="K147" s="21">
        <f>IF(J147="","",COUNTIFS($J$2:$J$186,J147,$G$2:$G$186,"&lt;"&amp;G147)+COUNTIFS($J$2:$J$186,J147,$G$2:$G$186,G147,$A$2:$A$186,"&lt;"&amp;A147)+1)</f>
        <v/>
      </c>
      <c r="L147" s="21">
        <f>IF(J147="","",J147&amp;K147)</f>
        <v/>
      </c>
      <c r="M147" s="21">
        <f>B147&amp;"組"</f>
        <v/>
      </c>
      <c r="N147" s="21">
        <f>IF(AND(D147&lt;&gt;"",J147=""),1,0)</f>
        <v/>
      </c>
      <c r="AK147">
        <f>IF(J147="","",IF(J147="男赤",COUNTIF($Y$2:$Y$51,"&lt;"&amp;K147),IF(J147="男白",COUNTIF($Z$2:$Z$51,"&lt;"&amp;K147),IF(J147="女赤",COUNTIF($AH$2:$AH$51,"&lt;"&amp;K147),COUNTIF($AI$2:$AI$51,"&lt;"&amp;K147))))+1)</f>
        <v/>
      </c>
      <c r="AL147">
        <f>IF(AK147="","",IF(AK147=1,0,IF(J147="男赤",INDEX($Y$2:$Y$51,AK147-1),IF(J147="男白",INDEX($Z$2:$Z$51,AK147-1),IF(J147="女赤",INDEX($AH$2:$AH$51,AK147-1),INDEX($AI$2:$AI$51,AK147-1))))))</f>
        <v/>
      </c>
      <c r="AM147">
        <f>IF(AK147="","",IF(RIGHT(J147,1)="赤",K147-AL147,IF(LEFT(J147,1)="男",INDEX($W$2:$W$51,AK147),INDEX($AF$2:$AF$51,AK147))+K147-AL147))</f>
        <v/>
      </c>
      <c r="AN147">
        <f>IF(AK147="","",F147&amp;AK147&amp;"-"&amp;AM147)</f>
        <v/>
      </c>
      <c r="AO147">
        <f>IF(J147="","",F147&amp;D147)</f>
        <v/>
      </c>
      <c r="AP147">
        <f>IF(J147="","",IF(F147="男",COUNTIF(手直し!$B$6:$E$55,D147),COUNTIF(手直し!$F$6:$I$55,D147)))</f>
        <v/>
      </c>
      <c r="AQ147">
        <f>IF(AND(J147&lt;&gt;"",AP147=0),1,0)</f>
        <v/>
      </c>
      <c r="AR147">
        <f>IF(AND(AQ147=1,F147="男"),COUNTIFS($AQ$2:AQ147,1,$F$2:F147,"男"),"")</f>
        <v/>
      </c>
      <c r="AS147">
        <f>IF(AND(AQ147=1,F147="女"),COUNTIFS($AQ$2:AQ147,1,$F$2:F147,"女"),"")</f>
        <v/>
      </c>
    </row>
    <row r="148">
      <c r="A148" s="21">
        <f>ROW()-1</f>
        <v/>
      </c>
      <c r="B148" s="21">
        <f>INT((A148-1)/37)+1</f>
        <v/>
      </c>
      <c r="C148" s="21">
        <f>MOD(A148-1,37)+1</f>
        <v/>
      </c>
      <c r="D148" s="21">
        <f>INDEX(①データ入力!$B$3:$Y$39,C148,(B148-1)*5+1)&amp;""</f>
        <v/>
      </c>
      <c r="E148" s="21">
        <f>INDEX(①データ入力!$B$3:$Y$39,C148,(B148-1)*5+2)&amp;""</f>
        <v/>
      </c>
      <c r="F148" s="21">
        <f>IF(OR(E148="1",E148="１",E148="男"),"男",IF(OR(E148="2",E148="２",E148="女"),"女",""))</f>
        <v/>
      </c>
      <c r="G148" s="21">
        <f>INDEX(①データ入力!$B$3:$Y$39,C148,(B148-1)*5+3)</f>
        <v/>
      </c>
      <c r="H148" s="21">
        <f>INDEX(①データ入力!$B$3:$Y$39,C148,(B148-1)*5+4)&amp;""</f>
        <v/>
      </c>
      <c r="I148" s="21">
        <f>IF(LEFT(TRIM(H148),1)="赤","赤",IF(LEFT(TRIM(H148),1)="白","白",""))</f>
        <v/>
      </c>
      <c r="J148" s="21">
        <f>IF(AND(D148&lt;&gt;"",F148&lt;&gt;"",I148&lt;&gt;"",ISNUMBER(G148)),F148&amp;I148,"")</f>
        <v/>
      </c>
      <c r="K148" s="21">
        <f>IF(J148="","",COUNTIFS($J$2:$J$186,J148,$G$2:$G$186,"&lt;"&amp;G148)+COUNTIFS($J$2:$J$186,J148,$G$2:$G$186,G148,$A$2:$A$186,"&lt;"&amp;A148)+1)</f>
        <v/>
      </c>
      <c r="L148" s="21">
        <f>IF(J148="","",J148&amp;K148)</f>
        <v/>
      </c>
      <c r="M148" s="21">
        <f>B148&amp;"組"</f>
        <v/>
      </c>
      <c r="N148" s="21">
        <f>IF(AND(D148&lt;&gt;"",J148=""),1,0)</f>
        <v/>
      </c>
      <c r="AK148">
        <f>IF(J148="","",IF(J148="男赤",COUNTIF($Y$2:$Y$51,"&lt;"&amp;K148),IF(J148="男白",COUNTIF($Z$2:$Z$51,"&lt;"&amp;K148),IF(J148="女赤",COUNTIF($AH$2:$AH$51,"&lt;"&amp;K148),COUNTIF($AI$2:$AI$51,"&lt;"&amp;K148))))+1)</f>
        <v/>
      </c>
      <c r="AL148">
        <f>IF(AK148="","",IF(AK148=1,0,IF(J148="男赤",INDEX($Y$2:$Y$51,AK148-1),IF(J148="男白",INDEX($Z$2:$Z$51,AK148-1),IF(J148="女赤",INDEX($AH$2:$AH$51,AK148-1),INDEX($AI$2:$AI$51,AK148-1))))))</f>
        <v/>
      </c>
      <c r="AM148">
        <f>IF(AK148="","",IF(RIGHT(J148,1)="赤",K148-AL148,IF(LEFT(J148,1)="男",INDEX($W$2:$W$51,AK148),INDEX($AF$2:$AF$51,AK148))+K148-AL148))</f>
        <v/>
      </c>
      <c r="AN148">
        <f>IF(AK148="","",F148&amp;AK148&amp;"-"&amp;AM148)</f>
        <v/>
      </c>
      <c r="AO148">
        <f>IF(J148="","",F148&amp;D148)</f>
        <v/>
      </c>
      <c r="AP148">
        <f>IF(J148="","",IF(F148="男",COUNTIF(手直し!$B$6:$E$55,D148),COUNTIF(手直し!$F$6:$I$55,D148)))</f>
        <v/>
      </c>
      <c r="AQ148">
        <f>IF(AND(J148&lt;&gt;"",AP148=0),1,0)</f>
        <v/>
      </c>
      <c r="AR148">
        <f>IF(AND(AQ148=1,F148="男"),COUNTIFS($AQ$2:AQ148,1,$F$2:F148,"男"),"")</f>
        <v/>
      </c>
      <c r="AS148">
        <f>IF(AND(AQ148=1,F148="女"),COUNTIFS($AQ$2:AQ148,1,$F$2:F148,"女"),"")</f>
        <v/>
      </c>
    </row>
    <row r="149">
      <c r="A149" s="21">
        <f>ROW()-1</f>
        <v/>
      </c>
      <c r="B149" s="21">
        <f>INT((A149-1)/37)+1</f>
        <v/>
      </c>
      <c r="C149" s="21">
        <f>MOD(A149-1,37)+1</f>
        <v/>
      </c>
      <c r="D149" s="21">
        <f>INDEX(①データ入力!$B$3:$Y$39,C149,(B149-1)*5+1)&amp;""</f>
        <v/>
      </c>
      <c r="E149" s="21">
        <f>INDEX(①データ入力!$B$3:$Y$39,C149,(B149-1)*5+2)&amp;""</f>
        <v/>
      </c>
      <c r="F149" s="21">
        <f>IF(OR(E149="1",E149="１",E149="男"),"男",IF(OR(E149="2",E149="２",E149="女"),"女",""))</f>
        <v/>
      </c>
      <c r="G149" s="21">
        <f>INDEX(①データ入力!$B$3:$Y$39,C149,(B149-1)*5+3)</f>
        <v/>
      </c>
      <c r="H149" s="21">
        <f>INDEX(①データ入力!$B$3:$Y$39,C149,(B149-1)*5+4)&amp;""</f>
        <v/>
      </c>
      <c r="I149" s="21">
        <f>IF(LEFT(TRIM(H149),1)="赤","赤",IF(LEFT(TRIM(H149),1)="白","白",""))</f>
        <v/>
      </c>
      <c r="J149" s="21">
        <f>IF(AND(D149&lt;&gt;"",F149&lt;&gt;"",I149&lt;&gt;"",ISNUMBER(G149)),F149&amp;I149,"")</f>
        <v/>
      </c>
      <c r="K149" s="21">
        <f>IF(J149="","",COUNTIFS($J$2:$J$186,J149,$G$2:$G$186,"&lt;"&amp;G149)+COUNTIFS($J$2:$J$186,J149,$G$2:$G$186,G149,$A$2:$A$186,"&lt;"&amp;A149)+1)</f>
        <v/>
      </c>
      <c r="L149" s="21">
        <f>IF(J149="","",J149&amp;K149)</f>
        <v/>
      </c>
      <c r="M149" s="21">
        <f>B149&amp;"組"</f>
        <v/>
      </c>
      <c r="N149" s="21">
        <f>IF(AND(D149&lt;&gt;"",J149=""),1,0)</f>
        <v/>
      </c>
      <c r="AK149">
        <f>IF(J149="","",IF(J149="男赤",COUNTIF($Y$2:$Y$51,"&lt;"&amp;K149),IF(J149="男白",COUNTIF($Z$2:$Z$51,"&lt;"&amp;K149),IF(J149="女赤",COUNTIF($AH$2:$AH$51,"&lt;"&amp;K149),COUNTIF($AI$2:$AI$51,"&lt;"&amp;K149))))+1)</f>
        <v/>
      </c>
      <c r="AL149">
        <f>IF(AK149="","",IF(AK149=1,0,IF(J149="男赤",INDEX($Y$2:$Y$51,AK149-1),IF(J149="男白",INDEX($Z$2:$Z$51,AK149-1),IF(J149="女赤",INDEX($AH$2:$AH$51,AK149-1),INDEX($AI$2:$AI$51,AK149-1))))))</f>
        <v/>
      </c>
      <c r="AM149">
        <f>IF(AK149="","",IF(RIGHT(J149,1)="赤",K149-AL149,IF(LEFT(J149,1)="男",INDEX($W$2:$W$51,AK149),INDEX($AF$2:$AF$51,AK149))+K149-AL149))</f>
        <v/>
      </c>
      <c r="AN149">
        <f>IF(AK149="","",F149&amp;AK149&amp;"-"&amp;AM149)</f>
        <v/>
      </c>
      <c r="AO149">
        <f>IF(J149="","",F149&amp;D149)</f>
        <v/>
      </c>
      <c r="AP149">
        <f>IF(J149="","",IF(F149="男",COUNTIF(手直し!$B$6:$E$55,D149),COUNTIF(手直し!$F$6:$I$55,D149)))</f>
        <v/>
      </c>
      <c r="AQ149">
        <f>IF(AND(J149&lt;&gt;"",AP149=0),1,0)</f>
        <v/>
      </c>
      <c r="AR149">
        <f>IF(AND(AQ149=1,F149="男"),COUNTIFS($AQ$2:AQ149,1,$F$2:F149,"男"),"")</f>
        <v/>
      </c>
      <c r="AS149">
        <f>IF(AND(AQ149=1,F149="女"),COUNTIFS($AQ$2:AQ149,1,$F$2:F149,"女"),"")</f>
        <v/>
      </c>
    </row>
    <row r="150">
      <c r="A150" s="21">
        <f>ROW()-1</f>
        <v/>
      </c>
      <c r="B150" s="21">
        <f>INT((A150-1)/37)+1</f>
        <v/>
      </c>
      <c r="C150" s="21">
        <f>MOD(A150-1,37)+1</f>
        <v/>
      </c>
      <c r="D150" s="21">
        <f>INDEX(①データ入力!$B$3:$Y$39,C150,(B150-1)*5+1)&amp;""</f>
        <v/>
      </c>
      <c r="E150" s="21">
        <f>INDEX(①データ入力!$B$3:$Y$39,C150,(B150-1)*5+2)&amp;""</f>
        <v/>
      </c>
      <c r="F150" s="21">
        <f>IF(OR(E150="1",E150="１",E150="男"),"男",IF(OR(E150="2",E150="２",E150="女"),"女",""))</f>
        <v/>
      </c>
      <c r="G150" s="21">
        <f>INDEX(①データ入力!$B$3:$Y$39,C150,(B150-1)*5+3)</f>
        <v/>
      </c>
      <c r="H150" s="21">
        <f>INDEX(①データ入力!$B$3:$Y$39,C150,(B150-1)*5+4)&amp;""</f>
        <v/>
      </c>
      <c r="I150" s="21">
        <f>IF(LEFT(TRIM(H150),1)="赤","赤",IF(LEFT(TRIM(H150),1)="白","白",""))</f>
        <v/>
      </c>
      <c r="J150" s="21">
        <f>IF(AND(D150&lt;&gt;"",F150&lt;&gt;"",I150&lt;&gt;"",ISNUMBER(G150)),F150&amp;I150,"")</f>
        <v/>
      </c>
      <c r="K150" s="21">
        <f>IF(J150="","",COUNTIFS($J$2:$J$186,J150,$G$2:$G$186,"&lt;"&amp;G150)+COUNTIFS($J$2:$J$186,J150,$G$2:$G$186,G150,$A$2:$A$186,"&lt;"&amp;A150)+1)</f>
        <v/>
      </c>
      <c r="L150" s="21">
        <f>IF(J150="","",J150&amp;K150)</f>
        <v/>
      </c>
      <c r="M150" s="21">
        <f>B150&amp;"組"</f>
        <v/>
      </c>
      <c r="N150" s="21">
        <f>IF(AND(D150&lt;&gt;"",J150=""),1,0)</f>
        <v/>
      </c>
      <c r="AK150">
        <f>IF(J150="","",IF(J150="男赤",COUNTIF($Y$2:$Y$51,"&lt;"&amp;K150),IF(J150="男白",COUNTIF($Z$2:$Z$51,"&lt;"&amp;K150),IF(J150="女赤",COUNTIF($AH$2:$AH$51,"&lt;"&amp;K150),COUNTIF($AI$2:$AI$51,"&lt;"&amp;K150))))+1)</f>
        <v/>
      </c>
      <c r="AL150">
        <f>IF(AK150="","",IF(AK150=1,0,IF(J150="男赤",INDEX($Y$2:$Y$51,AK150-1),IF(J150="男白",INDEX($Z$2:$Z$51,AK150-1),IF(J150="女赤",INDEX($AH$2:$AH$51,AK150-1),INDEX($AI$2:$AI$51,AK150-1))))))</f>
        <v/>
      </c>
      <c r="AM150">
        <f>IF(AK150="","",IF(RIGHT(J150,1)="赤",K150-AL150,IF(LEFT(J150,1)="男",INDEX($W$2:$W$51,AK150),INDEX($AF$2:$AF$51,AK150))+K150-AL150))</f>
        <v/>
      </c>
      <c r="AN150">
        <f>IF(AK150="","",F150&amp;AK150&amp;"-"&amp;AM150)</f>
        <v/>
      </c>
      <c r="AO150">
        <f>IF(J150="","",F150&amp;D150)</f>
        <v/>
      </c>
      <c r="AP150">
        <f>IF(J150="","",IF(F150="男",COUNTIF(手直し!$B$6:$E$55,D150),COUNTIF(手直し!$F$6:$I$55,D150)))</f>
        <v/>
      </c>
      <c r="AQ150">
        <f>IF(AND(J150&lt;&gt;"",AP150=0),1,0)</f>
        <v/>
      </c>
      <c r="AR150">
        <f>IF(AND(AQ150=1,F150="男"),COUNTIFS($AQ$2:AQ150,1,$F$2:F150,"男"),"")</f>
        <v/>
      </c>
      <c r="AS150">
        <f>IF(AND(AQ150=1,F150="女"),COUNTIFS($AQ$2:AQ150,1,$F$2:F150,"女"),"")</f>
        <v/>
      </c>
    </row>
    <row r="151">
      <c r="A151" s="21">
        <f>ROW()-1</f>
        <v/>
      </c>
      <c r="B151" s="21">
        <f>INT((A151-1)/37)+1</f>
        <v/>
      </c>
      <c r="C151" s="21">
        <f>MOD(A151-1,37)+1</f>
        <v/>
      </c>
      <c r="D151" s="21">
        <f>INDEX(①データ入力!$B$3:$Y$39,C151,(B151-1)*5+1)&amp;""</f>
        <v/>
      </c>
      <c r="E151" s="21">
        <f>INDEX(①データ入力!$B$3:$Y$39,C151,(B151-1)*5+2)&amp;""</f>
        <v/>
      </c>
      <c r="F151" s="21">
        <f>IF(OR(E151="1",E151="１",E151="男"),"男",IF(OR(E151="2",E151="２",E151="女"),"女",""))</f>
        <v/>
      </c>
      <c r="G151" s="21">
        <f>INDEX(①データ入力!$B$3:$Y$39,C151,(B151-1)*5+3)</f>
        <v/>
      </c>
      <c r="H151" s="21">
        <f>INDEX(①データ入力!$B$3:$Y$39,C151,(B151-1)*5+4)&amp;""</f>
        <v/>
      </c>
      <c r="I151" s="21">
        <f>IF(LEFT(TRIM(H151),1)="赤","赤",IF(LEFT(TRIM(H151),1)="白","白",""))</f>
        <v/>
      </c>
      <c r="J151" s="21">
        <f>IF(AND(D151&lt;&gt;"",F151&lt;&gt;"",I151&lt;&gt;"",ISNUMBER(G151)),F151&amp;I151,"")</f>
        <v/>
      </c>
      <c r="K151" s="21">
        <f>IF(J151="","",COUNTIFS($J$2:$J$186,J151,$G$2:$G$186,"&lt;"&amp;G151)+COUNTIFS($J$2:$J$186,J151,$G$2:$G$186,G151,$A$2:$A$186,"&lt;"&amp;A151)+1)</f>
        <v/>
      </c>
      <c r="L151" s="21">
        <f>IF(J151="","",J151&amp;K151)</f>
        <v/>
      </c>
      <c r="M151" s="21">
        <f>B151&amp;"組"</f>
        <v/>
      </c>
      <c r="N151" s="21">
        <f>IF(AND(D151&lt;&gt;"",J151=""),1,0)</f>
        <v/>
      </c>
      <c r="AK151">
        <f>IF(J151="","",IF(J151="男赤",COUNTIF($Y$2:$Y$51,"&lt;"&amp;K151),IF(J151="男白",COUNTIF($Z$2:$Z$51,"&lt;"&amp;K151),IF(J151="女赤",COUNTIF($AH$2:$AH$51,"&lt;"&amp;K151),COUNTIF($AI$2:$AI$51,"&lt;"&amp;K151))))+1)</f>
        <v/>
      </c>
      <c r="AL151">
        <f>IF(AK151="","",IF(AK151=1,0,IF(J151="男赤",INDEX($Y$2:$Y$51,AK151-1),IF(J151="男白",INDEX($Z$2:$Z$51,AK151-1),IF(J151="女赤",INDEX($AH$2:$AH$51,AK151-1),INDEX($AI$2:$AI$51,AK151-1))))))</f>
        <v/>
      </c>
      <c r="AM151">
        <f>IF(AK151="","",IF(RIGHT(J151,1)="赤",K151-AL151,IF(LEFT(J151,1)="男",INDEX($W$2:$W$51,AK151),INDEX($AF$2:$AF$51,AK151))+K151-AL151))</f>
        <v/>
      </c>
      <c r="AN151">
        <f>IF(AK151="","",F151&amp;AK151&amp;"-"&amp;AM151)</f>
        <v/>
      </c>
      <c r="AO151">
        <f>IF(J151="","",F151&amp;D151)</f>
        <v/>
      </c>
      <c r="AP151">
        <f>IF(J151="","",IF(F151="男",COUNTIF(手直し!$B$6:$E$55,D151),COUNTIF(手直し!$F$6:$I$55,D151)))</f>
        <v/>
      </c>
      <c r="AQ151">
        <f>IF(AND(J151&lt;&gt;"",AP151=0),1,0)</f>
        <v/>
      </c>
      <c r="AR151">
        <f>IF(AND(AQ151=1,F151="男"),COUNTIFS($AQ$2:AQ151,1,$F$2:F151,"男"),"")</f>
        <v/>
      </c>
      <c r="AS151">
        <f>IF(AND(AQ151=1,F151="女"),COUNTIFS($AQ$2:AQ151,1,$F$2:F151,"女"),"")</f>
        <v/>
      </c>
    </row>
    <row r="152">
      <c r="A152" s="21">
        <f>ROW()-1</f>
        <v/>
      </c>
      <c r="B152" s="21">
        <f>INT((A152-1)/37)+1</f>
        <v/>
      </c>
      <c r="C152" s="21">
        <f>MOD(A152-1,37)+1</f>
        <v/>
      </c>
      <c r="D152" s="21">
        <f>INDEX(①データ入力!$B$3:$Y$39,C152,(B152-1)*5+1)&amp;""</f>
        <v/>
      </c>
      <c r="E152" s="21">
        <f>INDEX(①データ入力!$B$3:$Y$39,C152,(B152-1)*5+2)&amp;""</f>
        <v/>
      </c>
      <c r="F152" s="21">
        <f>IF(OR(E152="1",E152="１",E152="男"),"男",IF(OR(E152="2",E152="２",E152="女"),"女",""))</f>
        <v/>
      </c>
      <c r="G152" s="21">
        <f>INDEX(①データ入力!$B$3:$Y$39,C152,(B152-1)*5+3)</f>
        <v/>
      </c>
      <c r="H152" s="21">
        <f>INDEX(①データ入力!$B$3:$Y$39,C152,(B152-1)*5+4)&amp;""</f>
        <v/>
      </c>
      <c r="I152" s="21">
        <f>IF(LEFT(TRIM(H152),1)="赤","赤",IF(LEFT(TRIM(H152),1)="白","白",""))</f>
        <v/>
      </c>
      <c r="J152" s="21">
        <f>IF(AND(D152&lt;&gt;"",F152&lt;&gt;"",I152&lt;&gt;"",ISNUMBER(G152)),F152&amp;I152,"")</f>
        <v/>
      </c>
      <c r="K152" s="21">
        <f>IF(J152="","",COUNTIFS($J$2:$J$186,J152,$G$2:$G$186,"&lt;"&amp;G152)+COUNTIFS($J$2:$J$186,J152,$G$2:$G$186,G152,$A$2:$A$186,"&lt;"&amp;A152)+1)</f>
        <v/>
      </c>
      <c r="L152" s="21">
        <f>IF(J152="","",J152&amp;K152)</f>
        <v/>
      </c>
      <c r="M152" s="21">
        <f>B152&amp;"組"</f>
        <v/>
      </c>
      <c r="N152" s="21">
        <f>IF(AND(D152&lt;&gt;"",J152=""),1,0)</f>
        <v/>
      </c>
      <c r="AK152">
        <f>IF(J152="","",IF(J152="男赤",COUNTIF($Y$2:$Y$51,"&lt;"&amp;K152),IF(J152="男白",COUNTIF($Z$2:$Z$51,"&lt;"&amp;K152),IF(J152="女赤",COUNTIF($AH$2:$AH$51,"&lt;"&amp;K152),COUNTIF($AI$2:$AI$51,"&lt;"&amp;K152))))+1)</f>
        <v/>
      </c>
      <c r="AL152">
        <f>IF(AK152="","",IF(AK152=1,0,IF(J152="男赤",INDEX($Y$2:$Y$51,AK152-1),IF(J152="男白",INDEX($Z$2:$Z$51,AK152-1),IF(J152="女赤",INDEX($AH$2:$AH$51,AK152-1),INDEX($AI$2:$AI$51,AK152-1))))))</f>
        <v/>
      </c>
      <c r="AM152">
        <f>IF(AK152="","",IF(RIGHT(J152,1)="赤",K152-AL152,IF(LEFT(J152,1)="男",INDEX($W$2:$W$51,AK152),INDEX($AF$2:$AF$51,AK152))+K152-AL152))</f>
        <v/>
      </c>
      <c r="AN152">
        <f>IF(AK152="","",F152&amp;AK152&amp;"-"&amp;AM152)</f>
        <v/>
      </c>
      <c r="AO152">
        <f>IF(J152="","",F152&amp;D152)</f>
        <v/>
      </c>
      <c r="AP152">
        <f>IF(J152="","",IF(F152="男",COUNTIF(手直し!$B$6:$E$55,D152),COUNTIF(手直し!$F$6:$I$55,D152)))</f>
        <v/>
      </c>
      <c r="AQ152">
        <f>IF(AND(J152&lt;&gt;"",AP152=0),1,0)</f>
        <v/>
      </c>
      <c r="AR152">
        <f>IF(AND(AQ152=1,F152="男"),COUNTIFS($AQ$2:AQ152,1,$F$2:F152,"男"),"")</f>
        <v/>
      </c>
      <c r="AS152">
        <f>IF(AND(AQ152=1,F152="女"),COUNTIFS($AQ$2:AQ152,1,$F$2:F152,"女"),"")</f>
        <v/>
      </c>
    </row>
    <row r="153">
      <c r="A153" s="21">
        <f>ROW()-1</f>
        <v/>
      </c>
      <c r="B153" s="21">
        <f>INT((A153-1)/37)+1</f>
        <v/>
      </c>
      <c r="C153" s="21">
        <f>MOD(A153-1,37)+1</f>
        <v/>
      </c>
      <c r="D153" s="21">
        <f>INDEX(①データ入力!$B$3:$Y$39,C153,(B153-1)*5+1)&amp;""</f>
        <v/>
      </c>
      <c r="E153" s="21">
        <f>INDEX(①データ入力!$B$3:$Y$39,C153,(B153-1)*5+2)&amp;""</f>
        <v/>
      </c>
      <c r="F153" s="21">
        <f>IF(OR(E153="1",E153="１",E153="男"),"男",IF(OR(E153="2",E153="２",E153="女"),"女",""))</f>
        <v/>
      </c>
      <c r="G153" s="21">
        <f>INDEX(①データ入力!$B$3:$Y$39,C153,(B153-1)*5+3)</f>
        <v/>
      </c>
      <c r="H153" s="21">
        <f>INDEX(①データ入力!$B$3:$Y$39,C153,(B153-1)*5+4)&amp;""</f>
        <v/>
      </c>
      <c r="I153" s="21">
        <f>IF(LEFT(TRIM(H153),1)="赤","赤",IF(LEFT(TRIM(H153),1)="白","白",""))</f>
        <v/>
      </c>
      <c r="J153" s="21">
        <f>IF(AND(D153&lt;&gt;"",F153&lt;&gt;"",I153&lt;&gt;"",ISNUMBER(G153)),F153&amp;I153,"")</f>
        <v/>
      </c>
      <c r="K153" s="21">
        <f>IF(J153="","",COUNTIFS($J$2:$J$186,J153,$G$2:$G$186,"&lt;"&amp;G153)+COUNTIFS($J$2:$J$186,J153,$G$2:$G$186,G153,$A$2:$A$186,"&lt;"&amp;A153)+1)</f>
        <v/>
      </c>
      <c r="L153" s="21">
        <f>IF(J153="","",J153&amp;K153)</f>
        <v/>
      </c>
      <c r="M153" s="21">
        <f>B153&amp;"組"</f>
        <v/>
      </c>
      <c r="N153" s="21">
        <f>IF(AND(D153&lt;&gt;"",J153=""),1,0)</f>
        <v/>
      </c>
      <c r="AK153">
        <f>IF(J153="","",IF(J153="男赤",COUNTIF($Y$2:$Y$51,"&lt;"&amp;K153),IF(J153="男白",COUNTIF($Z$2:$Z$51,"&lt;"&amp;K153),IF(J153="女赤",COUNTIF($AH$2:$AH$51,"&lt;"&amp;K153),COUNTIF($AI$2:$AI$51,"&lt;"&amp;K153))))+1)</f>
        <v/>
      </c>
      <c r="AL153">
        <f>IF(AK153="","",IF(AK153=1,0,IF(J153="男赤",INDEX($Y$2:$Y$51,AK153-1),IF(J153="男白",INDEX($Z$2:$Z$51,AK153-1),IF(J153="女赤",INDEX($AH$2:$AH$51,AK153-1),INDEX($AI$2:$AI$51,AK153-1))))))</f>
        <v/>
      </c>
      <c r="AM153">
        <f>IF(AK153="","",IF(RIGHT(J153,1)="赤",K153-AL153,IF(LEFT(J153,1)="男",INDEX($W$2:$W$51,AK153),INDEX($AF$2:$AF$51,AK153))+K153-AL153))</f>
        <v/>
      </c>
      <c r="AN153">
        <f>IF(AK153="","",F153&amp;AK153&amp;"-"&amp;AM153)</f>
        <v/>
      </c>
      <c r="AO153">
        <f>IF(J153="","",F153&amp;D153)</f>
        <v/>
      </c>
      <c r="AP153">
        <f>IF(J153="","",IF(F153="男",COUNTIF(手直し!$B$6:$E$55,D153),COUNTIF(手直し!$F$6:$I$55,D153)))</f>
        <v/>
      </c>
      <c r="AQ153">
        <f>IF(AND(J153&lt;&gt;"",AP153=0),1,0)</f>
        <v/>
      </c>
      <c r="AR153">
        <f>IF(AND(AQ153=1,F153="男"),COUNTIFS($AQ$2:AQ153,1,$F$2:F153,"男"),"")</f>
        <v/>
      </c>
      <c r="AS153">
        <f>IF(AND(AQ153=1,F153="女"),COUNTIFS($AQ$2:AQ153,1,$F$2:F153,"女"),"")</f>
        <v/>
      </c>
    </row>
    <row r="154">
      <c r="A154" s="21">
        <f>ROW()-1</f>
        <v/>
      </c>
      <c r="B154" s="21">
        <f>INT((A154-1)/37)+1</f>
        <v/>
      </c>
      <c r="C154" s="21">
        <f>MOD(A154-1,37)+1</f>
        <v/>
      </c>
      <c r="D154" s="21">
        <f>INDEX(①データ入力!$B$3:$Y$39,C154,(B154-1)*5+1)&amp;""</f>
        <v/>
      </c>
      <c r="E154" s="21">
        <f>INDEX(①データ入力!$B$3:$Y$39,C154,(B154-1)*5+2)&amp;""</f>
        <v/>
      </c>
      <c r="F154" s="21">
        <f>IF(OR(E154="1",E154="１",E154="男"),"男",IF(OR(E154="2",E154="２",E154="女"),"女",""))</f>
        <v/>
      </c>
      <c r="G154" s="21">
        <f>INDEX(①データ入力!$B$3:$Y$39,C154,(B154-1)*5+3)</f>
        <v/>
      </c>
      <c r="H154" s="21">
        <f>INDEX(①データ入力!$B$3:$Y$39,C154,(B154-1)*5+4)&amp;""</f>
        <v/>
      </c>
      <c r="I154" s="21">
        <f>IF(LEFT(TRIM(H154),1)="赤","赤",IF(LEFT(TRIM(H154),1)="白","白",""))</f>
        <v/>
      </c>
      <c r="J154" s="21">
        <f>IF(AND(D154&lt;&gt;"",F154&lt;&gt;"",I154&lt;&gt;"",ISNUMBER(G154)),F154&amp;I154,"")</f>
        <v/>
      </c>
      <c r="K154" s="21">
        <f>IF(J154="","",COUNTIFS($J$2:$J$186,J154,$G$2:$G$186,"&lt;"&amp;G154)+COUNTIFS($J$2:$J$186,J154,$G$2:$G$186,G154,$A$2:$A$186,"&lt;"&amp;A154)+1)</f>
        <v/>
      </c>
      <c r="L154" s="21">
        <f>IF(J154="","",J154&amp;K154)</f>
        <v/>
      </c>
      <c r="M154" s="21">
        <f>B154&amp;"組"</f>
        <v/>
      </c>
      <c r="N154" s="21">
        <f>IF(AND(D154&lt;&gt;"",J154=""),1,0)</f>
        <v/>
      </c>
      <c r="AK154">
        <f>IF(J154="","",IF(J154="男赤",COUNTIF($Y$2:$Y$51,"&lt;"&amp;K154),IF(J154="男白",COUNTIF($Z$2:$Z$51,"&lt;"&amp;K154),IF(J154="女赤",COUNTIF($AH$2:$AH$51,"&lt;"&amp;K154),COUNTIF($AI$2:$AI$51,"&lt;"&amp;K154))))+1)</f>
        <v/>
      </c>
      <c r="AL154">
        <f>IF(AK154="","",IF(AK154=1,0,IF(J154="男赤",INDEX($Y$2:$Y$51,AK154-1),IF(J154="男白",INDEX($Z$2:$Z$51,AK154-1),IF(J154="女赤",INDEX($AH$2:$AH$51,AK154-1),INDEX($AI$2:$AI$51,AK154-1))))))</f>
        <v/>
      </c>
      <c r="AM154">
        <f>IF(AK154="","",IF(RIGHT(J154,1)="赤",K154-AL154,IF(LEFT(J154,1)="男",INDEX($W$2:$W$51,AK154),INDEX($AF$2:$AF$51,AK154))+K154-AL154))</f>
        <v/>
      </c>
      <c r="AN154">
        <f>IF(AK154="","",F154&amp;AK154&amp;"-"&amp;AM154)</f>
        <v/>
      </c>
      <c r="AO154">
        <f>IF(J154="","",F154&amp;D154)</f>
        <v/>
      </c>
      <c r="AP154">
        <f>IF(J154="","",IF(F154="男",COUNTIF(手直し!$B$6:$E$55,D154),COUNTIF(手直し!$F$6:$I$55,D154)))</f>
        <v/>
      </c>
      <c r="AQ154">
        <f>IF(AND(J154&lt;&gt;"",AP154=0),1,0)</f>
        <v/>
      </c>
      <c r="AR154">
        <f>IF(AND(AQ154=1,F154="男"),COUNTIFS($AQ$2:AQ154,1,$F$2:F154,"男"),"")</f>
        <v/>
      </c>
      <c r="AS154">
        <f>IF(AND(AQ154=1,F154="女"),COUNTIFS($AQ$2:AQ154,1,$F$2:F154,"女"),"")</f>
        <v/>
      </c>
    </row>
    <row r="155">
      <c r="A155" s="21">
        <f>ROW()-1</f>
        <v/>
      </c>
      <c r="B155" s="21">
        <f>INT((A155-1)/37)+1</f>
        <v/>
      </c>
      <c r="C155" s="21">
        <f>MOD(A155-1,37)+1</f>
        <v/>
      </c>
      <c r="D155" s="21">
        <f>INDEX(①データ入力!$B$3:$Y$39,C155,(B155-1)*5+1)&amp;""</f>
        <v/>
      </c>
      <c r="E155" s="21">
        <f>INDEX(①データ入力!$B$3:$Y$39,C155,(B155-1)*5+2)&amp;""</f>
        <v/>
      </c>
      <c r="F155" s="21">
        <f>IF(OR(E155="1",E155="１",E155="男"),"男",IF(OR(E155="2",E155="２",E155="女"),"女",""))</f>
        <v/>
      </c>
      <c r="G155" s="21">
        <f>INDEX(①データ入力!$B$3:$Y$39,C155,(B155-1)*5+3)</f>
        <v/>
      </c>
      <c r="H155" s="21">
        <f>INDEX(①データ入力!$B$3:$Y$39,C155,(B155-1)*5+4)&amp;""</f>
        <v/>
      </c>
      <c r="I155" s="21">
        <f>IF(LEFT(TRIM(H155),1)="赤","赤",IF(LEFT(TRIM(H155),1)="白","白",""))</f>
        <v/>
      </c>
      <c r="J155" s="21">
        <f>IF(AND(D155&lt;&gt;"",F155&lt;&gt;"",I155&lt;&gt;"",ISNUMBER(G155)),F155&amp;I155,"")</f>
        <v/>
      </c>
      <c r="K155" s="21">
        <f>IF(J155="","",COUNTIFS($J$2:$J$186,J155,$G$2:$G$186,"&lt;"&amp;G155)+COUNTIFS($J$2:$J$186,J155,$G$2:$G$186,G155,$A$2:$A$186,"&lt;"&amp;A155)+1)</f>
        <v/>
      </c>
      <c r="L155" s="21">
        <f>IF(J155="","",J155&amp;K155)</f>
        <v/>
      </c>
      <c r="M155" s="21">
        <f>B155&amp;"組"</f>
        <v/>
      </c>
      <c r="N155" s="21">
        <f>IF(AND(D155&lt;&gt;"",J155=""),1,0)</f>
        <v/>
      </c>
      <c r="AK155">
        <f>IF(J155="","",IF(J155="男赤",COUNTIF($Y$2:$Y$51,"&lt;"&amp;K155),IF(J155="男白",COUNTIF($Z$2:$Z$51,"&lt;"&amp;K155),IF(J155="女赤",COUNTIF($AH$2:$AH$51,"&lt;"&amp;K155),COUNTIF($AI$2:$AI$51,"&lt;"&amp;K155))))+1)</f>
        <v/>
      </c>
      <c r="AL155">
        <f>IF(AK155="","",IF(AK155=1,0,IF(J155="男赤",INDEX($Y$2:$Y$51,AK155-1),IF(J155="男白",INDEX($Z$2:$Z$51,AK155-1),IF(J155="女赤",INDEX($AH$2:$AH$51,AK155-1),INDEX($AI$2:$AI$51,AK155-1))))))</f>
        <v/>
      </c>
      <c r="AM155">
        <f>IF(AK155="","",IF(RIGHT(J155,1)="赤",K155-AL155,IF(LEFT(J155,1)="男",INDEX($W$2:$W$51,AK155),INDEX($AF$2:$AF$51,AK155))+K155-AL155))</f>
        <v/>
      </c>
      <c r="AN155">
        <f>IF(AK155="","",F155&amp;AK155&amp;"-"&amp;AM155)</f>
        <v/>
      </c>
      <c r="AO155">
        <f>IF(J155="","",F155&amp;D155)</f>
        <v/>
      </c>
      <c r="AP155">
        <f>IF(J155="","",IF(F155="男",COUNTIF(手直し!$B$6:$E$55,D155),COUNTIF(手直し!$F$6:$I$55,D155)))</f>
        <v/>
      </c>
      <c r="AQ155">
        <f>IF(AND(J155&lt;&gt;"",AP155=0),1,0)</f>
        <v/>
      </c>
      <c r="AR155">
        <f>IF(AND(AQ155=1,F155="男"),COUNTIFS($AQ$2:AQ155,1,$F$2:F155,"男"),"")</f>
        <v/>
      </c>
      <c r="AS155">
        <f>IF(AND(AQ155=1,F155="女"),COUNTIFS($AQ$2:AQ155,1,$F$2:F155,"女"),"")</f>
        <v/>
      </c>
    </row>
    <row r="156">
      <c r="A156" s="21">
        <f>ROW()-1</f>
        <v/>
      </c>
      <c r="B156" s="21">
        <f>INT((A156-1)/37)+1</f>
        <v/>
      </c>
      <c r="C156" s="21">
        <f>MOD(A156-1,37)+1</f>
        <v/>
      </c>
      <c r="D156" s="21">
        <f>INDEX(①データ入力!$B$3:$Y$39,C156,(B156-1)*5+1)&amp;""</f>
        <v/>
      </c>
      <c r="E156" s="21">
        <f>INDEX(①データ入力!$B$3:$Y$39,C156,(B156-1)*5+2)&amp;""</f>
        <v/>
      </c>
      <c r="F156" s="21">
        <f>IF(OR(E156="1",E156="１",E156="男"),"男",IF(OR(E156="2",E156="２",E156="女"),"女",""))</f>
        <v/>
      </c>
      <c r="G156" s="21">
        <f>INDEX(①データ入力!$B$3:$Y$39,C156,(B156-1)*5+3)</f>
        <v/>
      </c>
      <c r="H156" s="21">
        <f>INDEX(①データ入力!$B$3:$Y$39,C156,(B156-1)*5+4)&amp;""</f>
        <v/>
      </c>
      <c r="I156" s="21">
        <f>IF(LEFT(TRIM(H156),1)="赤","赤",IF(LEFT(TRIM(H156),1)="白","白",""))</f>
        <v/>
      </c>
      <c r="J156" s="21">
        <f>IF(AND(D156&lt;&gt;"",F156&lt;&gt;"",I156&lt;&gt;"",ISNUMBER(G156)),F156&amp;I156,"")</f>
        <v/>
      </c>
      <c r="K156" s="21">
        <f>IF(J156="","",COUNTIFS($J$2:$J$186,J156,$G$2:$G$186,"&lt;"&amp;G156)+COUNTIFS($J$2:$J$186,J156,$G$2:$G$186,G156,$A$2:$A$186,"&lt;"&amp;A156)+1)</f>
        <v/>
      </c>
      <c r="L156" s="21">
        <f>IF(J156="","",J156&amp;K156)</f>
        <v/>
      </c>
      <c r="M156" s="21">
        <f>B156&amp;"組"</f>
        <v/>
      </c>
      <c r="N156" s="21">
        <f>IF(AND(D156&lt;&gt;"",J156=""),1,0)</f>
        <v/>
      </c>
      <c r="AK156">
        <f>IF(J156="","",IF(J156="男赤",COUNTIF($Y$2:$Y$51,"&lt;"&amp;K156),IF(J156="男白",COUNTIF($Z$2:$Z$51,"&lt;"&amp;K156),IF(J156="女赤",COUNTIF($AH$2:$AH$51,"&lt;"&amp;K156),COUNTIF($AI$2:$AI$51,"&lt;"&amp;K156))))+1)</f>
        <v/>
      </c>
      <c r="AL156">
        <f>IF(AK156="","",IF(AK156=1,0,IF(J156="男赤",INDEX($Y$2:$Y$51,AK156-1),IF(J156="男白",INDEX($Z$2:$Z$51,AK156-1),IF(J156="女赤",INDEX($AH$2:$AH$51,AK156-1),INDEX($AI$2:$AI$51,AK156-1))))))</f>
        <v/>
      </c>
      <c r="AM156">
        <f>IF(AK156="","",IF(RIGHT(J156,1)="赤",K156-AL156,IF(LEFT(J156,1)="男",INDEX($W$2:$W$51,AK156),INDEX($AF$2:$AF$51,AK156))+K156-AL156))</f>
        <v/>
      </c>
      <c r="AN156">
        <f>IF(AK156="","",F156&amp;AK156&amp;"-"&amp;AM156)</f>
        <v/>
      </c>
      <c r="AO156">
        <f>IF(J156="","",F156&amp;D156)</f>
        <v/>
      </c>
      <c r="AP156">
        <f>IF(J156="","",IF(F156="男",COUNTIF(手直し!$B$6:$E$55,D156),COUNTIF(手直し!$F$6:$I$55,D156)))</f>
        <v/>
      </c>
      <c r="AQ156">
        <f>IF(AND(J156&lt;&gt;"",AP156=0),1,0)</f>
        <v/>
      </c>
      <c r="AR156">
        <f>IF(AND(AQ156=1,F156="男"),COUNTIFS($AQ$2:AQ156,1,$F$2:F156,"男"),"")</f>
        <v/>
      </c>
      <c r="AS156">
        <f>IF(AND(AQ156=1,F156="女"),COUNTIFS($AQ$2:AQ156,1,$F$2:F156,"女"),"")</f>
        <v/>
      </c>
    </row>
    <row r="157">
      <c r="A157" s="21">
        <f>ROW()-1</f>
        <v/>
      </c>
      <c r="B157" s="21">
        <f>INT((A157-1)/37)+1</f>
        <v/>
      </c>
      <c r="C157" s="21">
        <f>MOD(A157-1,37)+1</f>
        <v/>
      </c>
      <c r="D157" s="21">
        <f>INDEX(①データ入力!$B$3:$Y$39,C157,(B157-1)*5+1)&amp;""</f>
        <v/>
      </c>
      <c r="E157" s="21">
        <f>INDEX(①データ入力!$B$3:$Y$39,C157,(B157-1)*5+2)&amp;""</f>
        <v/>
      </c>
      <c r="F157" s="21">
        <f>IF(OR(E157="1",E157="１",E157="男"),"男",IF(OR(E157="2",E157="２",E157="女"),"女",""))</f>
        <v/>
      </c>
      <c r="G157" s="21">
        <f>INDEX(①データ入力!$B$3:$Y$39,C157,(B157-1)*5+3)</f>
        <v/>
      </c>
      <c r="H157" s="21">
        <f>INDEX(①データ入力!$B$3:$Y$39,C157,(B157-1)*5+4)&amp;""</f>
        <v/>
      </c>
      <c r="I157" s="21">
        <f>IF(LEFT(TRIM(H157),1)="赤","赤",IF(LEFT(TRIM(H157),1)="白","白",""))</f>
        <v/>
      </c>
      <c r="J157" s="21">
        <f>IF(AND(D157&lt;&gt;"",F157&lt;&gt;"",I157&lt;&gt;"",ISNUMBER(G157)),F157&amp;I157,"")</f>
        <v/>
      </c>
      <c r="K157" s="21">
        <f>IF(J157="","",COUNTIFS($J$2:$J$186,J157,$G$2:$G$186,"&lt;"&amp;G157)+COUNTIFS($J$2:$J$186,J157,$G$2:$G$186,G157,$A$2:$A$186,"&lt;"&amp;A157)+1)</f>
        <v/>
      </c>
      <c r="L157" s="21">
        <f>IF(J157="","",J157&amp;K157)</f>
        <v/>
      </c>
      <c r="M157" s="21">
        <f>B157&amp;"組"</f>
        <v/>
      </c>
      <c r="N157" s="21">
        <f>IF(AND(D157&lt;&gt;"",J157=""),1,0)</f>
        <v/>
      </c>
      <c r="AK157">
        <f>IF(J157="","",IF(J157="男赤",COUNTIF($Y$2:$Y$51,"&lt;"&amp;K157),IF(J157="男白",COUNTIF($Z$2:$Z$51,"&lt;"&amp;K157),IF(J157="女赤",COUNTIF($AH$2:$AH$51,"&lt;"&amp;K157),COUNTIF($AI$2:$AI$51,"&lt;"&amp;K157))))+1)</f>
        <v/>
      </c>
      <c r="AL157">
        <f>IF(AK157="","",IF(AK157=1,0,IF(J157="男赤",INDEX($Y$2:$Y$51,AK157-1),IF(J157="男白",INDEX($Z$2:$Z$51,AK157-1),IF(J157="女赤",INDEX($AH$2:$AH$51,AK157-1),INDEX($AI$2:$AI$51,AK157-1))))))</f>
        <v/>
      </c>
      <c r="AM157">
        <f>IF(AK157="","",IF(RIGHT(J157,1)="赤",K157-AL157,IF(LEFT(J157,1)="男",INDEX($W$2:$W$51,AK157),INDEX($AF$2:$AF$51,AK157))+K157-AL157))</f>
        <v/>
      </c>
      <c r="AN157">
        <f>IF(AK157="","",F157&amp;AK157&amp;"-"&amp;AM157)</f>
        <v/>
      </c>
      <c r="AO157">
        <f>IF(J157="","",F157&amp;D157)</f>
        <v/>
      </c>
      <c r="AP157">
        <f>IF(J157="","",IF(F157="男",COUNTIF(手直し!$B$6:$E$55,D157),COUNTIF(手直し!$F$6:$I$55,D157)))</f>
        <v/>
      </c>
      <c r="AQ157">
        <f>IF(AND(J157&lt;&gt;"",AP157=0),1,0)</f>
        <v/>
      </c>
      <c r="AR157">
        <f>IF(AND(AQ157=1,F157="男"),COUNTIFS($AQ$2:AQ157,1,$F$2:F157,"男"),"")</f>
        <v/>
      </c>
      <c r="AS157">
        <f>IF(AND(AQ157=1,F157="女"),COUNTIFS($AQ$2:AQ157,1,$F$2:F157,"女"),"")</f>
        <v/>
      </c>
    </row>
    <row r="158">
      <c r="A158" s="21">
        <f>ROW()-1</f>
        <v/>
      </c>
      <c r="B158" s="21">
        <f>INT((A158-1)/37)+1</f>
        <v/>
      </c>
      <c r="C158" s="21">
        <f>MOD(A158-1,37)+1</f>
        <v/>
      </c>
      <c r="D158" s="21">
        <f>INDEX(①データ入力!$B$3:$Y$39,C158,(B158-1)*5+1)&amp;""</f>
        <v/>
      </c>
      <c r="E158" s="21">
        <f>INDEX(①データ入力!$B$3:$Y$39,C158,(B158-1)*5+2)&amp;""</f>
        <v/>
      </c>
      <c r="F158" s="21">
        <f>IF(OR(E158="1",E158="１",E158="男"),"男",IF(OR(E158="2",E158="２",E158="女"),"女",""))</f>
        <v/>
      </c>
      <c r="G158" s="21">
        <f>INDEX(①データ入力!$B$3:$Y$39,C158,(B158-1)*5+3)</f>
        <v/>
      </c>
      <c r="H158" s="21">
        <f>INDEX(①データ入力!$B$3:$Y$39,C158,(B158-1)*5+4)&amp;""</f>
        <v/>
      </c>
      <c r="I158" s="21">
        <f>IF(LEFT(TRIM(H158),1)="赤","赤",IF(LEFT(TRIM(H158),1)="白","白",""))</f>
        <v/>
      </c>
      <c r="J158" s="21">
        <f>IF(AND(D158&lt;&gt;"",F158&lt;&gt;"",I158&lt;&gt;"",ISNUMBER(G158)),F158&amp;I158,"")</f>
        <v/>
      </c>
      <c r="K158" s="21">
        <f>IF(J158="","",COUNTIFS($J$2:$J$186,J158,$G$2:$G$186,"&lt;"&amp;G158)+COUNTIFS($J$2:$J$186,J158,$G$2:$G$186,G158,$A$2:$A$186,"&lt;"&amp;A158)+1)</f>
        <v/>
      </c>
      <c r="L158" s="21">
        <f>IF(J158="","",J158&amp;K158)</f>
        <v/>
      </c>
      <c r="M158" s="21">
        <f>B158&amp;"組"</f>
        <v/>
      </c>
      <c r="N158" s="21">
        <f>IF(AND(D158&lt;&gt;"",J158=""),1,0)</f>
        <v/>
      </c>
      <c r="AK158">
        <f>IF(J158="","",IF(J158="男赤",COUNTIF($Y$2:$Y$51,"&lt;"&amp;K158),IF(J158="男白",COUNTIF($Z$2:$Z$51,"&lt;"&amp;K158),IF(J158="女赤",COUNTIF($AH$2:$AH$51,"&lt;"&amp;K158),COUNTIF($AI$2:$AI$51,"&lt;"&amp;K158))))+1)</f>
        <v/>
      </c>
      <c r="AL158">
        <f>IF(AK158="","",IF(AK158=1,0,IF(J158="男赤",INDEX($Y$2:$Y$51,AK158-1),IF(J158="男白",INDEX($Z$2:$Z$51,AK158-1),IF(J158="女赤",INDEX($AH$2:$AH$51,AK158-1),INDEX($AI$2:$AI$51,AK158-1))))))</f>
        <v/>
      </c>
      <c r="AM158">
        <f>IF(AK158="","",IF(RIGHT(J158,1)="赤",K158-AL158,IF(LEFT(J158,1)="男",INDEX($W$2:$W$51,AK158),INDEX($AF$2:$AF$51,AK158))+K158-AL158))</f>
        <v/>
      </c>
      <c r="AN158">
        <f>IF(AK158="","",F158&amp;AK158&amp;"-"&amp;AM158)</f>
        <v/>
      </c>
      <c r="AO158">
        <f>IF(J158="","",F158&amp;D158)</f>
        <v/>
      </c>
      <c r="AP158">
        <f>IF(J158="","",IF(F158="男",COUNTIF(手直し!$B$6:$E$55,D158),COUNTIF(手直し!$F$6:$I$55,D158)))</f>
        <v/>
      </c>
      <c r="AQ158">
        <f>IF(AND(J158&lt;&gt;"",AP158=0),1,0)</f>
        <v/>
      </c>
      <c r="AR158">
        <f>IF(AND(AQ158=1,F158="男"),COUNTIFS($AQ$2:AQ158,1,$F$2:F158,"男"),"")</f>
        <v/>
      </c>
      <c r="AS158">
        <f>IF(AND(AQ158=1,F158="女"),COUNTIFS($AQ$2:AQ158,1,$F$2:F158,"女"),"")</f>
        <v/>
      </c>
    </row>
    <row r="159">
      <c r="A159" s="21">
        <f>ROW()-1</f>
        <v/>
      </c>
      <c r="B159" s="21">
        <f>INT((A159-1)/37)+1</f>
        <v/>
      </c>
      <c r="C159" s="21">
        <f>MOD(A159-1,37)+1</f>
        <v/>
      </c>
      <c r="D159" s="21">
        <f>INDEX(①データ入力!$B$3:$Y$39,C159,(B159-1)*5+1)&amp;""</f>
        <v/>
      </c>
      <c r="E159" s="21">
        <f>INDEX(①データ入力!$B$3:$Y$39,C159,(B159-1)*5+2)&amp;""</f>
        <v/>
      </c>
      <c r="F159" s="21">
        <f>IF(OR(E159="1",E159="１",E159="男"),"男",IF(OR(E159="2",E159="２",E159="女"),"女",""))</f>
        <v/>
      </c>
      <c r="G159" s="21">
        <f>INDEX(①データ入力!$B$3:$Y$39,C159,(B159-1)*5+3)</f>
        <v/>
      </c>
      <c r="H159" s="21">
        <f>INDEX(①データ入力!$B$3:$Y$39,C159,(B159-1)*5+4)&amp;""</f>
        <v/>
      </c>
      <c r="I159" s="21">
        <f>IF(LEFT(TRIM(H159),1)="赤","赤",IF(LEFT(TRIM(H159),1)="白","白",""))</f>
        <v/>
      </c>
      <c r="J159" s="21">
        <f>IF(AND(D159&lt;&gt;"",F159&lt;&gt;"",I159&lt;&gt;"",ISNUMBER(G159)),F159&amp;I159,"")</f>
        <v/>
      </c>
      <c r="K159" s="21">
        <f>IF(J159="","",COUNTIFS($J$2:$J$186,J159,$G$2:$G$186,"&lt;"&amp;G159)+COUNTIFS($J$2:$J$186,J159,$G$2:$G$186,G159,$A$2:$A$186,"&lt;"&amp;A159)+1)</f>
        <v/>
      </c>
      <c r="L159" s="21">
        <f>IF(J159="","",J159&amp;K159)</f>
        <v/>
      </c>
      <c r="M159" s="21">
        <f>B159&amp;"組"</f>
        <v/>
      </c>
      <c r="N159" s="21">
        <f>IF(AND(D159&lt;&gt;"",J159=""),1,0)</f>
        <v/>
      </c>
      <c r="AK159">
        <f>IF(J159="","",IF(J159="男赤",COUNTIF($Y$2:$Y$51,"&lt;"&amp;K159),IF(J159="男白",COUNTIF($Z$2:$Z$51,"&lt;"&amp;K159),IF(J159="女赤",COUNTIF($AH$2:$AH$51,"&lt;"&amp;K159),COUNTIF($AI$2:$AI$51,"&lt;"&amp;K159))))+1)</f>
        <v/>
      </c>
      <c r="AL159">
        <f>IF(AK159="","",IF(AK159=1,0,IF(J159="男赤",INDEX($Y$2:$Y$51,AK159-1),IF(J159="男白",INDEX($Z$2:$Z$51,AK159-1),IF(J159="女赤",INDEX($AH$2:$AH$51,AK159-1),INDEX($AI$2:$AI$51,AK159-1))))))</f>
        <v/>
      </c>
      <c r="AM159">
        <f>IF(AK159="","",IF(RIGHT(J159,1)="赤",K159-AL159,IF(LEFT(J159,1)="男",INDEX($W$2:$W$51,AK159),INDEX($AF$2:$AF$51,AK159))+K159-AL159))</f>
        <v/>
      </c>
      <c r="AN159">
        <f>IF(AK159="","",F159&amp;AK159&amp;"-"&amp;AM159)</f>
        <v/>
      </c>
      <c r="AO159">
        <f>IF(J159="","",F159&amp;D159)</f>
        <v/>
      </c>
      <c r="AP159">
        <f>IF(J159="","",IF(F159="男",COUNTIF(手直し!$B$6:$E$55,D159),COUNTIF(手直し!$F$6:$I$55,D159)))</f>
        <v/>
      </c>
      <c r="AQ159">
        <f>IF(AND(J159&lt;&gt;"",AP159=0),1,0)</f>
        <v/>
      </c>
      <c r="AR159">
        <f>IF(AND(AQ159=1,F159="男"),COUNTIFS($AQ$2:AQ159,1,$F$2:F159,"男"),"")</f>
        <v/>
      </c>
      <c r="AS159">
        <f>IF(AND(AQ159=1,F159="女"),COUNTIFS($AQ$2:AQ159,1,$F$2:F159,"女"),"")</f>
        <v/>
      </c>
    </row>
    <row r="160">
      <c r="A160" s="21">
        <f>ROW()-1</f>
        <v/>
      </c>
      <c r="B160" s="21">
        <f>INT((A160-1)/37)+1</f>
        <v/>
      </c>
      <c r="C160" s="21">
        <f>MOD(A160-1,37)+1</f>
        <v/>
      </c>
      <c r="D160" s="21">
        <f>INDEX(①データ入力!$B$3:$Y$39,C160,(B160-1)*5+1)&amp;""</f>
        <v/>
      </c>
      <c r="E160" s="21">
        <f>INDEX(①データ入力!$B$3:$Y$39,C160,(B160-1)*5+2)&amp;""</f>
        <v/>
      </c>
      <c r="F160" s="21">
        <f>IF(OR(E160="1",E160="１",E160="男"),"男",IF(OR(E160="2",E160="２",E160="女"),"女",""))</f>
        <v/>
      </c>
      <c r="G160" s="21">
        <f>INDEX(①データ入力!$B$3:$Y$39,C160,(B160-1)*5+3)</f>
        <v/>
      </c>
      <c r="H160" s="21">
        <f>INDEX(①データ入力!$B$3:$Y$39,C160,(B160-1)*5+4)&amp;""</f>
        <v/>
      </c>
      <c r="I160" s="21">
        <f>IF(LEFT(TRIM(H160),1)="赤","赤",IF(LEFT(TRIM(H160),1)="白","白",""))</f>
        <v/>
      </c>
      <c r="J160" s="21">
        <f>IF(AND(D160&lt;&gt;"",F160&lt;&gt;"",I160&lt;&gt;"",ISNUMBER(G160)),F160&amp;I160,"")</f>
        <v/>
      </c>
      <c r="K160" s="21">
        <f>IF(J160="","",COUNTIFS($J$2:$J$186,J160,$G$2:$G$186,"&lt;"&amp;G160)+COUNTIFS($J$2:$J$186,J160,$G$2:$G$186,G160,$A$2:$A$186,"&lt;"&amp;A160)+1)</f>
        <v/>
      </c>
      <c r="L160" s="21">
        <f>IF(J160="","",J160&amp;K160)</f>
        <v/>
      </c>
      <c r="M160" s="21">
        <f>B160&amp;"組"</f>
        <v/>
      </c>
      <c r="N160" s="21">
        <f>IF(AND(D160&lt;&gt;"",J160=""),1,0)</f>
        <v/>
      </c>
      <c r="AK160">
        <f>IF(J160="","",IF(J160="男赤",COUNTIF($Y$2:$Y$51,"&lt;"&amp;K160),IF(J160="男白",COUNTIF($Z$2:$Z$51,"&lt;"&amp;K160),IF(J160="女赤",COUNTIF($AH$2:$AH$51,"&lt;"&amp;K160),COUNTIF($AI$2:$AI$51,"&lt;"&amp;K160))))+1)</f>
        <v/>
      </c>
      <c r="AL160">
        <f>IF(AK160="","",IF(AK160=1,0,IF(J160="男赤",INDEX($Y$2:$Y$51,AK160-1),IF(J160="男白",INDEX($Z$2:$Z$51,AK160-1),IF(J160="女赤",INDEX($AH$2:$AH$51,AK160-1),INDEX($AI$2:$AI$51,AK160-1))))))</f>
        <v/>
      </c>
      <c r="AM160">
        <f>IF(AK160="","",IF(RIGHT(J160,1)="赤",K160-AL160,IF(LEFT(J160,1)="男",INDEX($W$2:$W$51,AK160),INDEX($AF$2:$AF$51,AK160))+K160-AL160))</f>
        <v/>
      </c>
      <c r="AN160">
        <f>IF(AK160="","",F160&amp;AK160&amp;"-"&amp;AM160)</f>
        <v/>
      </c>
      <c r="AO160">
        <f>IF(J160="","",F160&amp;D160)</f>
        <v/>
      </c>
      <c r="AP160">
        <f>IF(J160="","",IF(F160="男",COUNTIF(手直し!$B$6:$E$55,D160),COUNTIF(手直し!$F$6:$I$55,D160)))</f>
        <v/>
      </c>
      <c r="AQ160">
        <f>IF(AND(J160&lt;&gt;"",AP160=0),1,0)</f>
        <v/>
      </c>
      <c r="AR160">
        <f>IF(AND(AQ160=1,F160="男"),COUNTIFS($AQ$2:AQ160,1,$F$2:F160,"男"),"")</f>
        <v/>
      </c>
      <c r="AS160">
        <f>IF(AND(AQ160=1,F160="女"),COUNTIFS($AQ$2:AQ160,1,$F$2:F160,"女"),"")</f>
        <v/>
      </c>
    </row>
    <row r="161">
      <c r="A161" s="21">
        <f>ROW()-1</f>
        <v/>
      </c>
      <c r="B161" s="21">
        <f>INT((A161-1)/37)+1</f>
        <v/>
      </c>
      <c r="C161" s="21">
        <f>MOD(A161-1,37)+1</f>
        <v/>
      </c>
      <c r="D161" s="21">
        <f>INDEX(①データ入力!$B$3:$Y$39,C161,(B161-1)*5+1)&amp;""</f>
        <v/>
      </c>
      <c r="E161" s="21">
        <f>INDEX(①データ入力!$B$3:$Y$39,C161,(B161-1)*5+2)&amp;""</f>
        <v/>
      </c>
      <c r="F161" s="21">
        <f>IF(OR(E161="1",E161="１",E161="男"),"男",IF(OR(E161="2",E161="２",E161="女"),"女",""))</f>
        <v/>
      </c>
      <c r="G161" s="21">
        <f>INDEX(①データ入力!$B$3:$Y$39,C161,(B161-1)*5+3)</f>
        <v/>
      </c>
      <c r="H161" s="21">
        <f>INDEX(①データ入力!$B$3:$Y$39,C161,(B161-1)*5+4)&amp;""</f>
        <v/>
      </c>
      <c r="I161" s="21">
        <f>IF(LEFT(TRIM(H161),1)="赤","赤",IF(LEFT(TRIM(H161),1)="白","白",""))</f>
        <v/>
      </c>
      <c r="J161" s="21">
        <f>IF(AND(D161&lt;&gt;"",F161&lt;&gt;"",I161&lt;&gt;"",ISNUMBER(G161)),F161&amp;I161,"")</f>
        <v/>
      </c>
      <c r="K161" s="21">
        <f>IF(J161="","",COUNTIFS($J$2:$J$186,J161,$G$2:$G$186,"&lt;"&amp;G161)+COUNTIFS($J$2:$J$186,J161,$G$2:$G$186,G161,$A$2:$A$186,"&lt;"&amp;A161)+1)</f>
        <v/>
      </c>
      <c r="L161" s="21">
        <f>IF(J161="","",J161&amp;K161)</f>
        <v/>
      </c>
      <c r="M161" s="21">
        <f>B161&amp;"組"</f>
        <v/>
      </c>
      <c r="N161" s="21">
        <f>IF(AND(D161&lt;&gt;"",J161=""),1,0)</f>
        <v/>
      </c>
      <c r="AK161">
        <f>IF(J161="","",IF(J161="男赤",COUNTIF($Y$2:$Y$51,"&lt;"&amp;K161),IF(J161="男白",COUNTIF($Z$2:$Z$51,"&lt;"&amp;K161),IF(J161="女赤",COUNTIF($AH$2:$AH$51,"&lt;"&amp;K161),COUNTIF($AI$2:$AI$51,"&lt;"&amp;K161))))+1)</f>
        <v/>
      </c>
      <c r="AL161">
        <f>IF(AK161="","",IF(AK161=1,0,IF(J161="男赤",INDEX($Y$2:$Y$51,AK161-1),IF(J161="男白",INDEX($Z$2:$Z$51,AK161-1),IF(J161="女赤",INDEX($AH$2:$AH$51,AK161-1),INDEX($AI$2:$AI$51,AK161-1))))))</f>
        <v/>
      </c>
      <c r="AM161">
        <f>IF(AK161="","",IF(RIGHT(J161,1)="赤",K161-AL161,IF(LEFT(J161,1)="男",INDEX($W$2:$W$51,AK161),INDEX($AF$2:$AF$51,AK161))+K161-AL161))</f>
        <v/>
      </c>
      <c r="AN161">
        <f>IF(AK161="","",F161&amp;AK161&amp;"-"&amp;AM161)</f>
        <v/>
      </c>
      <c r="AO161">
        <f>IF(J161="","",F161&amp;D161)</f>
        <v/>
      </c>
      <c r="AP161">
        <f>IF(J161="","",IF(F161="男",COUNTIF(手直し!$B$6:$E$55,D161),COUNTIF(手直し!$F$6:$I$55,D161)))</f>
        <v/>
      </c>
      <c r="AQ161">
        <f>IF(AND(J161&lt;&gt;"",AP161=0),1,0)</f>
        <v/>
      </c>
      <c r="AR161">
        <f>IF(AND(AQ161=1,F161="男"),COUNTIFS($AQ$2:AQ161,1,$F$2:F161,"男"),"")</f>
        <v/>
      </c>
      <c r="AS161">
        <f>IF(AND(AQ161=1,F161="女"),COUNTIFS($AQ$2:AQ161,1,$F$2:F161,"女"),"")</f>
        <v/>
      </c>
    </row>
    <row r="162">
      <c r="A162" s="21">
        <f>ROW()-1</f>
        <v/>
      </c>
      <c r="B162" s="21">
        <f>INT((A162-1)/37)+1</f>
        <v/>
      </c>
      <c r="C162" s="21">
        <f>MOD(A162-1,37)+1</f>
        <v/>
      </c>
      <c r="D162" s="21">
        <f>INDEX(①データ入力!$B$3:$Y$39,C162,(B162-1)*5+1)&amp;""</f>
        <v/>
      </c>
      <c r="E162" s="21">
        <f>INDEX(①データ入力!$B$3:$Y$39,C162,(B162-1)*5+2)&amp;""</f>
        <v/>
      </c>
      <c r="F162" s="21">
        <f>IF(OR(E162="1",E162="１",E162="男"),"男",IF(OR(E162="2",E162="２",E162="女"),"女",""))</f>
        <v/>
      </c>
      <c r="G162" s="21">
        <f>INDEX(①データ入力!$B$3:$Y$39,C162,(B162-1)*5+3)</f>
        <v/>
      </c>
      <c r="H162" s="21">
        <f>INDEX(①データ入力!$B$3:$Y$39,C162,(B162-1)*5+4)&amp;""</f>
        <v/>
      </c>
      <c r="I162" s="21">
        <f>IF(LEFT(TRIM(H162),1)="赤","赤",IF(LEFT(TRIM(H162),1)="白","白",""))</f>
        <v/>
      </c>
      <c r="J162" s="21">
        <f>IF(AND(D162&lt;&gt;"",F162&lt;&gt;"",I162&lt;&gt;"",ISNUMBER(G162)),F162&amp;I162,"")</f>
        <v/>
      </c>
      <c r="K162" s="21">
        <f>IF(J162="","",COUNTIFS($J$2:$J$186,J162,$G$2:$G$186,"&lt;"&amp;G162)+COUNTIFS($J$2:$J$186,J162,$G$2:$G$186,G162,$A$2:$A$186,"&lt;"&amp;A162)+1)</f>
        <v/>
      </c>
      <c r="L162" s="21">
        <f>IF(J162="","",J162&amp;K162)</f>
        <v/>
      </c>
      <c r="M162" s="21">
        <f>B162&amp;"組"</f>
        <v/>
      </c>
      <c r="N162" s="21">
        <f>IF(AND(D162&lt;&gt;"",J162=""),1,0)</f>
        <v/>
      </c>
      <c r="AK162">
        <f>IF(J162="","",IF(J162="男赤",COUNTIF($Y$2:$Y$51,"&lt;"&amp;K162),IF(J162="男白",COUNTIF($Z$2:$Z$51,"&lt;"&amp;K162),IF(J162="女赤",COUNTIF($AH$2:$AH$51,"&lt;"&amp;K162),COUNTIF($AI$2:$AI$51,"&lt;"&amp;K162))))+1)</f>
        <v/>
      </c>
      <c r="AL162">
        <f>IF(AK162="","",IF(AK162=1,0,IF(J162="男赤",INDEX($Y$2:$Y$51,AK162-1),IF(J162="男白",INDEX($Z$2:$Z$51,AK162-1),IF(J162="女赤",INDEX($AH$2:$AH$51,AK162-1),INDEX($AI$2:$AI$51,AK162-1))))))</f>
        <v/>
      </c>
      <c r="AM162">
        <f>IF(AK162="","",IF(RIGHT(J162,1)="赤",K162-AL162,IF(LEFT(J162,1)="男",INDEX($W$2:$W$51,AK162),INDEX($AF$2:$AF$51,AK162))+K162-AL162))</f>
        <v/>
      </c>
      <c r="AN162">
        <f>IF(AK162="","",F162&amp;AK162&amp;"-"&amp;AM162)</f>
        <v/>
      </c>
      <c r="AO162">
        <f>IF(J162="","",F162&amp;D162)</f>
        <v/>
      </c>
      <c r="AP162">
        <f>IF(J162="","",IF(F162="男",COUNTIF(手直し!$B$6:$E$55,D162),COUNTIF(手直し!$F$6:$I$55,D162)))</f>
        <v/>
      </c>
      <c r="AQ162">
        <f>IF(AND(J162&lt;&gt;"",AP162=0),1,0)</f>
        <v/>
      </c>
      <c r="AR162">
        <f>IF(AND(AQ162=1,F162="男"),COUNTIFS($AQ$2:AQ162,1,$F$2:F162,"男"),"")</f>
        <v/>
      </c>
      <c r="AS162">
        <f>IF(AND(AQ162=1,F162="女"),COUNTIFS($AQ$2:AQ162,1,$F$2:F162,"女"),"")</f>
        <v/>
      </c>
    </row>
    <row r="163">
      <c r="A163" s="21">
        <f>ROW()-1</f>
        <v/>
      </c>
      <c r="B163" s="21">
        <f>INT((A163-1)/37)+1</f>
        <v/>
      </c>
      <c r="C163" s="21">
        <f>MOD(A163-1,37)+1</f>
        <v/>
      </c>
      <c r="D163" s="21">
        <f>INDEX(①データ入力!$B$3:$Y$39,C163,(B163-1)*5+1)&amp;""</f>
        <v/>
      </c>
      <c r="E163" s="21">
        <f>INDEX(①データ入力!$B$3:$Y$39,C163,(B163-1)*5+2)&amp;""</f>
        <v/>
      </c>
      <c r="F163" s="21">
        <f>IF(OR(E163="1",E163="１",E163="男"),"男",IF(OR(E163="2",E163="２",E163="女"),"女",""))</f>
        <v/>
      </c>
      <c r="G163" s="21">
        <f>INDEX(①データ入力!$B$3:$Y$39,C163,(B163-1)*5+3)</f>
        <v/>
      </c>
      <c r="H163" s="21">
        <f>INDEX(①データ入力!$B$3:$Y$39,C163,(B163-1)*5+4)&amp;""</f>
        <v/>
      </c>
      <c r="I163" s="21">
        <f>IF(LEFT(TRIM(H163),1)="赤","赤",IF(LEFT(TRIM(H163),1)="白","白",""))</f>
        <v/>
      </c>
      <c r="J163" s="21">
        <f>IF(AND(D163&lt;&gt;"",F163&lt;&gt;"",I163&lt;&gt;"",ISNUMBER(G163)),F163&amp;I163,"")</f>
        <v/>
      </c>
      <c r="K163" s="21">
        <f>IF(J163="","",COUNTIFS($J$2:$J$186,J163,$G$2:$G$186,"&lt;"&amp;G163)+COUNTIFS($J$2:$J$186,J163,$G$2:$G$186,G163,$A$2:$A$186,"&lt;"&amp;A163)+1)</f>
        <v/>
      </c>
      <c r="L163" s="21">
        <f>IF(J163="","",J163&amp;K163)</f>
        <v/>
      </c>
      <c r="M163" s="21">
        <f>B163&amp;"組"</f>
        <v/>
      </c>
      <c r="N163" s="21">
        <f>IF(AND(D163&lt;&gt;"",J163=""),1,0)</f>
        <v/>
      </c>
      <c r="AK163">
        <f>IF(J163="","",IF(J163="男赤",COUNTIF($Y$2:$Y$51,"&lt;"&amp;K163),IF(J163="男白",COUNTIF($Z$2:$Z$51,"&lt;"&amp;K163),IF(J163="女赤",COUNTIF($AH$2:$AH$51,"&lt;"&amp;K163),COUNTIF($AI$2:$AI$51,"&lt;"&amp;K163))))+1)</f>
        <v/>
      </c>
      <c r="AL163">
        <f>IF(AK163="","",IF(AK163=1,0,IF(J163="男赤",INDEX($Y$2:$Y$51,AK163-1),IF(J163="男白",INDEX($Z$2:$Z$51,AK163-1),IF(J163="女赤",INDEX($AH$2:$AH$51,AK163-1),INDEX($AI$2:$AI$51,AK163-1))))))</f>
        <v/>
      </c>
      <c r="AM163">
        <f>IF(AK163="","",IF(RIGHT(J163,1)="赤",K163-AL163,IF(LEFT(J163,1)="男",INDEX($W$2:$W$51,AK163),INDEX($AF$2:$AF$51,AK163))+K163-AL163))</f>
        <v/>
      </c>
      <c r="AN163">
        <f>IF(AK163="","",F163&amp;AK163&amp;"-"&amp;AM163)</f>
        <v/>
      </c>
      <c r="AO163">
        <f>IF(J163="","",F163&amp;D163)</f>
        <v/>
      </c>
      <c r="AP163">
        <f>IF(J163="","",IF(F163="男",COUNTIF(手直し!$B$6:$E$55,D163),COUNTIF(手直し!$F$6:$I$55,D163)))</f>
        <v/>
      </c>
      <c r="AQ163">
        <f>IF(AND(J163&lt;&gt;"",AP163=0),1,0)</f>
        <v/>
      </c>
      <c r="AR163">
        <f>IF(AND(AQ163=1,F163="男"),COUNTIFS($AQ$2:AQ163,1,$F$2:F163,"男"),"")</f>
        <v/>
      </c>
      <c r="AS163">
        <f>IF(AND(AQ163=1,F163="女"),COUNTIFS($AQ$2:AQ163,1,$F$2:F163,"女"),"")</f>
        <v/>
      </c>
    </row>
    <row r="164">
      <c r="A164" s="21">
        <f>ROW()-1</f>
        <v/>
      </c>
      <c r="B164" s="21">
        <f>INT((A164-1)/37)+1</f>
        <v/>
      </c>
      <c r="C164" s="21">
        <f>MOD(A164-1,37)+1</f>
        <v/>
      </c>
      <c r="D164" s="21">
        <f>INDEX(①データ入力!$B$3:$Y$39,C164,(B164-1)*5+1)&amp;""</f>
        <v/>
      </c>
      <c r="E164" s="21">
        <f>INDEX(①データ入力!$B$3:$Y$39,C164,(B164-1)*5+2)&amp;""</f>
        <v/>
      </c>
      <c r="F164" s="21">
        <f>IF(OR(E164="1",E164="１",E164="男"),"男",IF(OR(E164="2",E164="２",E164="女"),"女",""))</f>
        <v/>
      </c>
      <c r="G164" s="21">
        <f>INDEX(①データ入力!$B$3:$Y$39,C164,(B164-1)*5+3)</f>
        <v/>
      </c>
      <c r="H164" s="21">
        <f>INDEX(①データ入力!$B$3:$Y$39,C164,(B164-1)*5+4)&amp;""</f>
        <v/>
      </c>
      <c r="I164" s="21">
        <f>IF(LEFT(TRIM(H164),1)="赤","赤",IF(LEFT(TRIM(H164),1)="白","白",""))</f>
        <v/>
      </c>
      <c r="J164" s="21">
        <f>IF(AND(D164&lt;&gt;"",F164&lt;&gt;"",I164&lt;&gt;"",ISNUMBER(G164)),F164&amp;I164,"")</f>
        <v/>
      </c>
      <c r="K164" s="21">
        <f>IF(J164="","",COUNTIFS($J$2:$J$186,J164,$G$2:$G$186,"&lt;"&amp;G164)+COUNTIFS($J$2:$J$186,J164,$G$2:$G$186,G164,$A$2:$A$186,"&lt;"&amp;A164)+1)</f>
        <v/>
      </c>
      <c r="L164" s="21">
        <f>IF(J164="","",J164&amp;K164)</f>
        <v/>
      </c>
      <c r="M164" s="21">
        <f>B164&amp;"組"</f>
        <v/>
      </c>
      <c r="N164" s="21">
        <f>IF(AND(D164&lt;&gt;"",J164=""),1,0)</f>
        <v/>
      </c>
      <c r="AK164">
        <f>IF(J164="","",IF(J164="男赤",COUNTIF($Y$2:$Y$51,"&lt;"&amp;K164),IF(J164="男白",COUNTIF($Z$2:$Z$51,"&lt;"&amp;K164),IF(J164="女赤",COUNTIF($AH$2:$AH$51,"&lt;"&amp;K164),COUNTIF($AI$2:$AI$51,"&lt;"&amp;K164))))+1)</f>
        <v/>
      </c>
      <c r="AL164">
        <f>IF(AK164="","",IF(AK164=1,0,IF(J164="男赤",INDEX($Y$2:$Y$51,AK164-1),IF(J164="男白",INDEX($Z$2:$Z$51,AK164-1),IF(J164="女赤",INDEX($AH$2:$AH$51,AK164-1),INDEX($AI$2:$AI$51,AK164-1))))))</f>
        <v/>
      </c>
      <c r="AM164">
        <f>IF(AK164="","",IF(RIGHT(J164,1)="赤",K164-AL164,IF(LEFT(J164,1)="男",INDEX($W$2:$W$51,AK164),INDEX($AF$2:$AF$51,AK164))+K164-AL164))</f>
        <v/>
      </c>
      <c r="AN164">
        <f>IF(AK164="","",F164&amp;AK164&amp;"-"&amp;AM164)</f>
        <v/>
      </c>
      <c r="AO164">
        <f>IF(J164="","",F164&amp;D164)</f>
        <v/>
      </c>
      <c r="AP164">
        <f>IF(J164="","",IF(F164="男",COUNTIF(手直し!$B$6:$E$55,D164),COUNTIF(手直し!$F$6:$I$55,D164)))</f>
        <v/>
      </c>
      <c r="AQ164">
        <f>IF(AND(J164&lt;&gt;"",AP164=0),1,0)</f>
        <v/>
      </c>
      <c r="AR164">
        <f>IF(AND(AQ164=1,F164="男"),COUNTIFS($AQ$2:AQ164,1,$F$2:F164,"男"),"")</f>
        <v/>
      </c>
      <c r="AS164">
        <f>IF(AND(AQ164=1,F164="女"),COUNTIFS($AQ$2:AQ164,1,$F$2:F164,"女"),"")</f>
        <v/>
      </c>
    </row>
    <row r="165">
      <c r="A165" s="21">
        <f>ROW()-1</f>
        <v/>
      </c>
      <c r="B165" s="21">
        <f>INT((A165-1)/37)+1</f>
        <v/>
      </c>
      <c r="C165" s="21">
        <f>MOD(A165-1,37)+1</f>
        <v/>
      </c>
      <c r="D165" s="21">
        <f>INDEX(①データ入力!$B$3:$Y$39,C165,(B165-1)*5+1)&amp;""</f>
        <v/>
      </c>
      <c r="E165" s="21">
        <f>INDEX(①データ入力!$B$3:$Y$39,C165,(B165-1)*5+2)&amp;""</f>
        <v/>
      </c>
      <c r="F165" s="21">
        <f>IF(OR(E165="1",E165="１",E165="男"),"男",IF(OR(E165="2",E165="２",E165="女"),"女",""))</f>
        <v/>
      </c>
      <c r="G165" s="21">
        <f>INDEX(①データ入力!$B$3:$Y$39,C165,(B165-1)*5+3)</f>
        <v/>
      </c>
      <c r="H165" s="21">
        <f>INDEX(①データ入力!$B$3:$Y$39,C165,(B165-1)*5+4)&amp;""</f>
        <v/>
      </c>
      <c r="I165" s="21">
        <f>IF(LEFT(TRIM(H165),1)="赤","赤",IF(LEFT(TRIM(H165),1)="白","白",""))</f>
        <v/>
      </c>
      <c r="J165" s="21">
        <f>IF(AND(D165&lt;&gt;"",F165&lt;&gt;"",I165&lt;&gt;"",ISNUMBER(G165)),F165&amp;I165,"")</f>
        <v/>
      </c>
      <c r="K165" s="21">
        <f>IF(J165="","",COUNTIFS($J$2:$J$186,J165,$G$2:$G$186,"&lt;"&amp;G165)+COUNTIFS($J$2:$J$186,J165,$G$2:$G$186,G165,$A$2:$A$186,"&lt;"&amp;A165)+1)</f>
        <v/>
      </c>
      <c r="L165" s="21">
        <f>IF(J165="","",J165&amp;K165)</f>
        <v/>
      </c>
      <c r="M165" s="21">
        <f>B165&amp;"組"</f>
        <v/>
      </c>
      <c r="N165" s="21">
        <f>IF(AND(D165&lt;&gt;"",J165=""),1,0)</f>
        <v/>
      </c>
      <c r="AK165">
        <f>IF(J165="","",IF(J165="男赤",COUNTIF($Y$2:$Y$51,"&lt;"&amp;K165),IF(J165="男白",COUNTIF($Z$2:$Z$51,"&lt;"&amp;K165),IF(J165="女赤",COUNTIF($AH$2:$AH$51,"&lt;"&amp;K165),COUNTIF($AI$2:$AI$51,"&lt;"&amp;K165))))+1)</f>
        <v/>
      </c>
      <c r="AL165">
        <f>IF(AK165="","",IF(AK165=1,0,IF(J165="男赤",INDEX($Y$2:$Y$51,AK165-1),IF(J165="男白",INDEX($Z$2:$Z$51,AK165-1),IF(J165="女赤",INDEX($AH$2:$AH$51,AK165-1),INDEX($AI$2:$AI$51,AK165-1))))))</f>
        <v/>
      </c>
      <c r="AM165">
        <f>IF(AK165="","",IF(RIGHT(J165,1)="赤",K165-AL165,IF(LEFT(J165,1)="男",INDEX($W$2:$W$51,AK165),INDEX($AF$2:$AF$51,AK165))+K165-AL165))</f>
        <v/>
      </c>
      <c r="AN165">
        <f>IF(AK165="","",F165&amp;AK165&amp;"-"&amp;AM165)</f>
        <v/>
      </c>
      <c r="AO165">
        <f>IF(J165="","",F165&amp;D165)</f>
        <v/>
      </c>
      <c r="AP165">
        <f>IF(J165="","",IF(F165="男",COUNTIF(手直し!$B$6:$E$55,D165),COUNTIF(手直し!$F$6:$I$55,D165)))</f>
        <v/>
      </c>
      <c r="AQ165">
        <f>IF(AND(J165&lt;&gt;"",AP165=0),1,0)</f>
        <v/>
      </c>
      <c r="AR165">
        <f>IF(AND(AQ165=1,F165="男"),COUNTIFS($AQ$2:AQ165,1,$F$2:F165,"男"),"")</f>
        <v/>
      </c>
      <c r="AS165">
        <f>IF(AND(AQ165=1,F165="女"),COUNTIFS($AQ$2:AQ165,1,$F$2:F165,"女"),"")</f>
        <v/>
      </c>
    </row>
    <row r="166">
      <c r="A166" s="21">
        <f>ROW()-1</f>
        <v/>
      </c>
      <c r="B166" s="21">
        <f>INT((A166-1)/37)+1</f>
        <v/>
      </c>
      <c r="C166" s="21">
        <f>MOD(A166-1,37)+1</f>
        <v/>
      </c>
      <c r="D166" s="21">
        <f>INDEX(①データ入力!$B$3:$Y$39,C166,(B166-1)*5+1)&amp;""</f>
        <v/>
      </c>
      <c r="E166" s="21">
        <f>INDEX(①データ入力!$B$3:$Y$39,C166,(B166-1)*5+2)&amp;""</f>
        <v/>
      </c>
      <c r="F166" s="21">
        <f>IF(OR(E166="1",E166="１",E166="男"),"男",IF(OR(E166="2",E166="２",E166="女"),"女",""))</f>
        <v/>
      </c>
      <c r="G166" s="21">
        <f>INDEX(①データ入力!$B$3:$Y$39,C166,(B166-1)*5+3)</f>
        <v/>
      </c>
      <c r="H166" s="21">
        <f>INDEX(①データ入力!$B$3:$Y$39,C166,(B166-1)*5+4)&amp;""</f>
        <v/>
      </c>
      <c r="I166" s="21">
        <f>IF(LEFT(TRIM(H166),1)="赤","赤",IF(LEFT(TRIM(H166),1)="白","白",""))</f>
        <v/>
      </c>
      <c r="J166" s="21">
        <f>IF(AND(D166&lt;&gt;"",F166&lt;&gt;"",I166&lt;&gt;"",ISNUMBER(G166)),F166&amp;I166,"")</f>
        <v/>
      </c>
      <c r="K166" s="21">
        <f>IF(J166="","",COUNTIFS($J$2:$J$186,J166,$G$2:$G$186,"&lt;"&amp;G166)+COUNTIFS($J$2:$J$186,J166,$G$2:$G$186,G166,$A$2:$A$186,"&lt;"&amp;A166)+1)</f>
        <v/>
      </c>
      <c r="L166" s="21">
        <f>IF(J166="","",J166&amp;K166)</f>
        <v/>
      </c>
      <c r="M166" s="21">
        <f>B166&amp;"組"</f>
        <v/>
      </c>
      <c r="N166" s="21">
        <f>IF(AND(D166&lt;&gt;"",J166=""),1,0)</f>
        <v/>
      </c>
      <c r="AK166">
        <f>IF(J166="","",IF(J166="男赤",COUNTIF($Y$2:$Y$51,"&lt;"&amp;K166),IF(J166="男白",COUNTIF($Z$2:$Z$51,"&lt;"&amp;K166),IF(J166="女赤",COUNTIF($AH$2:$AH$51,"&lt;"&amp;K166),COUNTIF($AI$2:$AI$51,"&lt;"&amp;K166))))+1)</f>
        <v/>
      </c>
      <c r="AL166">
        <f>IF(AK166="","",IF(AK166=1,0,IF(J166="男赤",INDEX($Y$2:$Y$51,AK166-1),IF(J166="男白",INDEX($Z$2:$Z$51,AK166-1),IF(J166="女赤",INDEX($AH$2:$AH$51,AK166-1),INDEX($AI$2:$AI$51,AK166-1))))))</f>
        <v/>
      </c>
      <c r="AM166">
        <f>IF(AK166="","",IF(RIGHT(J166,1)="赤",K166-AL166,IF(LEFT(J166,1)="男",INDEX($W$2:$W$51,AK166),INDEX($AF$2:$AF$51,AK166))+K166-AL166))</f>
        <v/>
      </c>
      <c r="AN166">
        <f>IF(AK166="","",F166&amp;AK166&amp;"-"&amp;AM166)</f>
        <v/>
      </c>
      <c r="AO166">
        <f>IF(J166="","",F166&amp;D166)</f>
        <v/>
      </c>
      <c r="AP166">
        <f>IF(J166="","",IF(F166="男",COUNTIF(手直し!$B$6:$E$55,D166),COUNTIF(手直し!$F$6:$I$55,D166)))</f>
        <v/>
      </c>
      <c r="AQ166">
        <f>IF(AND(J166&lt;&gt;"",AP166=0),1,0)</f>
        <v/>
      </c>
      <c r="AR166">
        <f>IF(AND(AQ166=1,F166="男"),COUNTIFS($AQ$2:AQ166,1,$F$2:F166,"男"),"")</f>
        <v/>
      </c>
      <c r="AS166">
        <f>IF(AND(AQ166=1,F166="女"),COUNTIFS($AQ$2:AQ166,1,$F$2:F166,"女"),"")</f>
        <v/>
      </c>
    </row>
    <row r="167">
      <c r="A167" s="21">
        <f>ROW()-1</f>
        <v/>
      </c>
      <c r="B167" s="21">
        <f>INT((A167-1)/37)+1</f>
        <v/>
      </c>
      <c r="C167" s="21">
        <f>MOD(A167-1,37)+1</f>
        <v/>
      </c>
      <c r="D167" s="21">
        <f>INDEX(①データ入力!$B$3:$Y$39,C167,(B167-1)*5+1)&amp;""</f>
        <v/>
      </c>
      <c r="E167" s="21">
        <f>INDEX(①データ入力!$B$3:$Y$39,C167,(B167-1)*5+2)&amp;""</f>
        <v/>
      </c>
      <c r="F167" s="21">
        <f>IF(OR(E167="1",E167="１",E167="男"),"男",IF(OR(E167="2",E167="２",E167="女"),"女",""))</f>
        <v/>
      </c>
      <c r="G167" s="21">
        <f>INDEX(①データ入力!$B$3:$Y$39,C167,(B167-1)*5+3)</f>
        <v/>
      </c>
      <c r="H167" s="21">
        <f>INDEX(①データ入力!$B$3:$Y$39,C167,(B167-1)*5+4)&amp;""</f>
        <v/>
      </c>
      <c r="I167" s="21">
        <f>IF(LEFT(TRIM(H167),1)="赤","赤",IF(LEFT(TRIM(H167),1)="白","白",""))</f>
        <v/>
      </c>
      <c r="J167" s="21">
        <f>IF(AND(D167&lt;&gt;"",F167&lt;&gt;"",I167&lt;&gt;"",ISNUMBER(G167)),F167&amp;I167,"")</f>
        <v/>
      </c>
      <c r="K167" s="21">
        <f>IF(J167="","",COUNTIFS($J$2:$J$186,J167,$G$2:$G$186,"&lt;"&amp;G167)+COUNTIFS($J$2:$J$186,J167,$G$2:$G$186,G167,$A$2:$A$186,"&lt;"&amp;A167)+1)</f>
        <v/>
      </c>
      <c r="L167" s="21">
        <f>IF(J167="","",J167&amp;K167)</f>
        <v/>
      </c>
      <c r="M167" s="21">
        <f>B167&amp;"組"</f>
        <v/>
      </c>
      <c r="N167" s="21">
        <f>IF(AND(D167&lt;&gt;"",J167=""),1,0)</f>
        <v/>
      </c>
      <c r="AK167">
        <f>IF(J167="","",IF(J167="男赤",COUNTIF($Y$2:$Y$51,"&lt;"&amp;K167),IF(J167="男白",COUNTIF($Z$2:$Z$51,"&lt;"&amp;K167),IF(J167="女赤",COUNTIF($AH$2:$AH$51,"&lt;"&amp;K167),COUNTIF($AI$2:$AI$51,"&lt;"&amp;K167))))+1)</f>
        <v/>
      </c>
      <c r="AL167">
        <f>IF(AK167="","",IF(AK167=1,0,IF(J167="男赤",INDEX($Y$2:$Y$51,AK167-1),IF(J167="男白",INDEX($Z$2:$Z$51,AK167-1),IF(J167="女赤",INDEX($AH$2:$AH$51,AK167-1),INDEX($AI$2:$AI$51,AK167-1))))))</f>
        <v/>
      </c>
      <c r="AM167">
        <f>IF(AK167="","",IF(RIGHT(J167,1)="赤",K167-AL167,IF(LEFT(J167,1)="男",INDEX($W$2:$W$51,AK167),INDEX($AF$2:$AF$51,AK167))+K167-AL167))</f>
        <v/>
      </c>
      <c r="AN167">
        <f>IF(AK167="","",F167&amp;AK167&amp;"-"&amp;AM167)</f>
        <v/>
      </c>
      <c r="AO167">
        <f>IF(J167="","",F167&amp;D167)</f>
        <v/>
      </c>
      <c r="AP167">
        <f>IF(J167="","",IF(F167="男",COUNTIF(手直し!$B$6:$E$55,D167),COUNTIF(手直し!$F$6:$I$55,D167)))</f>
        <v/>
      </c>
      <c r="AQ167">
        <f>IF(AND(J167&lt;&gt;"",AP167=0),1,0)</f>
        <v/>
      </c>
      <c r="AR167">
        <f>IF(AND(AQ167=1,F167="男"),COUNTIFS($AQ$2:AQ167,1,$F$2:F167,"男"),"")</f>
        <v/>
      </c>
      <c r="AS167">
        <f>IF(AND(AQ167=1,F167="女"),COUNTIFS($AQ$2:AQ167,1,$F$2:F167,"女"),"")</f>
        <v/>
      </c>
    </row>
    <row r="168">
      <c r="A168" s="21">
        <f>ROW()-1</f>
        <v/>
      </c>
      <c r="B168" s="21">
        <f>INT((A168-1)/37)+1</f>
        <v/>
      </c>
      <c r="C168" s="21">
        <f>MOD(A168-1,37)+1</f>
        <v/>
      </c>
      <c r="D168" s="21">
        <f>INDEX(①データ入力!$B$3:$Y$39,C168,(B168-1)*5+1)&amp;""</f>
        <v/>
      </c>
      <c r="E168" s="21">
        <f>INDEX(①データ入力!$B$3:$Y$39,C168,(B168-1)*5+2)&amp;""</f>
        <v/>
      </c>
      <c r="F168" s="21">
        <f>IF(OR(E168="1",E168="１",E168="男"),"男",IF(OR(E168="2",E168="２",E168="女"),"女",""))</f>
        <v/>
      </c>
      <c r="G168" s="21">
        <f>INDEX(①データ入力!$B$3:$Y$39,C168,(B168-1)*5+3)</f>
        <v/>
      </c>
      <c r="H168" s="21">
        <f>INDEX(①データ入力!$B$3:$Y$39,C168,(B168-1)*5+4)&amp;""</f>
        <v/>
      </c>
      <c r="I168" s="21">
        <f>IF(LEFT(TRIM(H168),1)="赤","赤",IF(LEFT(TRIM(H168),1)="白","白",""))</f>
        <v/>
      </c>
      <c r="J168" s="21">
        <f>IF(AND(D168&lt;&gt;"",F168&lt;&gt;"",I168&lt;&gt;"",ISNUMBER(G168)),F168&amp;I168,"")</f>
        <v/>
      </c>
      <c r="K168" s="21">
        <f>IF(J168="","",COUNTIFS($J$2:$J$186,J168,$G$2:$G$186,"&lt;"&amp;G168)+COUNTIFS($J$2:$J$186,J168,$G$2:$G$186,G168,$A$2:$A$186,"&lt;"&amp;A168)+1)</f>
        <v/>
      </c>
      <c r="L168" s="21">
        <f>IF(J168="","",J168&amp;K168)</f>
        <v/>
      </c>
      <c r="M168" s="21">
        <f>B168&amp;"組"</f>
        <v/>
      </c>
      <c r="N168" s="21">
        <f>IF(AND(D168&lt;&gt;"",J168=""),1,0)</f>
        <v/>
      </c>
      <c r="AK168">
        <f>IF(J168="","",IF(J168="男赤",COUNTIF($Y$2:$Y$51,"&lt;"&amp;K168),IF(J168="男白",COUNTIF($Z$2:$Z$51,"&lt;"&amp;K168),IF(J168="女赤",COUNTIF($AH$2:$AH$51,"&lt;"&amp;K168),COUNTIF($AI$2:$AI$51,"&lt;"&amp;K168))))+1)</f>
        <v/>
      </c>
      <c r="AL168">
        <f>IF(AK168="","",IF(AK168=1,0,IF(J168="男赤",INDEX($Y$2:$Y$51,AK168-1),IF(J168="男白",INDEX($Z$2:$Z$51,AK168-1),IF(J168="女赤",INDEX($AH$2:$AH$51,AK168-1),INDEX($AI$2:$AI$51,AK168-1))))))</f>
        <v/>
      </c>
      <c r="AM168">
        <f>IF(AK168="","",IF(RIGHT(J168,1)="赤",K168-AL168,IF(LEFT(J168,1)="男",INDEX($W$2:$W$51,AK168),INDEX($AF$2:$AF$51,AK168))+K168-AL168))</f>
        <v/>
      </c>
      <c r="AN168">
        <f>IF(AK168="","",F168&amp;AK168&amp;"-"&amp;AM168)</f>
        <v/>
      </c>
      <c r="AO168">
        <f>IF(J168="","",F168&amp;D168)</f>
        <v/>
      </c>
      <c r="AP168">
        <f>IF(J168="","",IF(F168="男",COUNTIF(手直し!$B$6:$E$55,D168),COUNTIF(手直し!$F$6:$I$55,D168)))</f>
        <v/>
      </c>
      <c r="AQ168">
        <f>IF(AND(J168&lt;&gt;"",AP168=0),1,0)</f>
        <v/>
      </c>
      <c r="AR168">
        <f>IF(AND(AQ168=1,F168="男"),COUNTIFS($AQ$2:AQ168,1,$F$2:F168,"男"),"")</f>
        <v/>
      </c>
      <c r="AS168">
        <f>IF(AND(AQ168=1,F168="女"),COUNTIFS($AQ$2:AQ168,1,$F$2:F168,"女"),"")</f>
        <v/>
      </c>
    </row>
    <row r="169">
      <c r="A169" s="21">
        <f>ROW()-1</f>
        <v/>
      </c>
      <c r="B169" s="21">
        <f>INT((A169-1)/37)+1</f>
        <v/>
      </c>
      <c r="C169" s="21">
        <f>MOD(A169-1,37)+1</f>
        <v/>
      </c>
      <c r="D169" s="21">
        <f>INDEX(①データ入力!$B$3:$Y$39,C169,(B169-1)*5+1)&amp;""</f>
        <v/>
      </c>
      <c r="E169" s="21">
        <f>INDEX(①データ入力!$B$3:$Y$39,C169,(B169-1)*5+2)&amp;""</f>
        <v/>
      </c>
      <c r="F169" s="21">
        <f>IF(OR(E169="1",E169="１",E169="男"),"男",IF(OR(E169="2",E169="２",E169="女"),"女",""))</f>
        <v/>
      </c>
      <c r="G169" s="21">
        <f>INDEX(①データ入力!$B$3:$Y$39,C169,(B169-1)*5+3)</f>
        <v/>
      </c>
      <c r="H169" s="21">
        <f>INDEX(①データ入力!$B$3:$Y$39,C169,(B169-1)*5+4)&amp;""</f>
        <v/>
      </c>
      <c r="I169" s="21">
        <f>IF(LEFT(TRIM(H169),1)="赤","赤",IF(LEFT(TRIM(H169),1)="白","白",""))</f>
        <v/>
      </c>
      <c r="J169" s="21">
        <f>IF(AND(D169&lt;&gt;"",F169&lt;&gt;"",I169&lt;&gt;"",ISNUMBER(G169)),F169&amp;I169,"")</f>
        <v/>
      </c>
      <c r="K169" s="21">
        <f>IF(J169="","",COUNTIFS($J$2:$J$186,J169,$G$2:$G$186,"&lt;"&amp;G169)+COUNTIFS($J$2:$J$186,J169,$G$2:$G$186,G169,$A$2:$A$186,"&lt;"&amp;A169)+1)</f>
        <v/>
      </c>
      <c r="L169" s="21">
        <f>IF(J169="","",J169&amp;K169)</f>
        <v/>
      </c>
      <c r="M169" s="21">
        <f>B169&amp;"組"</f>
        <v/>
      </c>
      <c r="N169" s="21">
        <f>IF(AND(D169&lt;&gt;"",J169=""),1,0)</f>
        <v/>
      </c>
      <c r="AK169">
        <f>IF(J169="","",IF(J169="男赤",COUNTIF($Y$2:$Y$51,"&lt;"&amp;K169),IF(J169="男白",COUNTIF($Z$2:$Z$51,"&lt;"&amp;K169),IF(J169="女赤",COUNTIF($AH$2:$AH$51,"&lt;"&amp;K169),COUNTIF($AI$2:$AI$51,"&lt;"&amp;K169))))+1)</f>
        <v/>
      </c>
      <c r="AL169">
        <f>IF(AK169="","",IF(AK169=1,0,IF(J169="男赤",INDEX($Y$2:$Y$51,AK169-1),IF(J169="男白",INDEX($Z$2:$Z$51,AK169-1),IF(J169="女赤",INDEX($AH$2:$AH$51,AK169-1),INDEX($AI$2:$AI$51,AK169-1))))))</f>
        <v/>
      </c>
      <c r="AM169">
        <f>IF(AK169="","",IF(RIGHT(J169,1)="赤",K169-AL169,IF(LEFT(J169,1)="男",INDEX($W$2:$W$51,AK169),INDEX($AF$2:$AF$51,AK169))+K169-AL169))</f>
        <v/>
      </c>
      <c r="AN169">
        <f>IF(AK169="","",F169&amp;AK169&amp;"-"&amp;AM169)</f>
        <v/>
      </c>
      <c r="AO169">
        <f>IF(J169="","",F169&amp;D169)</f>
        <v/>
      </c>
      <c r="AP169">
        <f>IF(J169="","",IF(F169="男",COUNTIF(手直し!$B$6:$E$55,D169),COUNTIF(手直し!$F$6:$I$55,D169)))</f>
        <v/>
      </c>
      <c r="AQ169">
        <f>IF(AND(J169&lt;&gt;"",AP169=0),1,0)</f>
        <v/>
      </c>
      <c r="AR169">
        <f>IF(AND(AQ169=1,F169="男"),COUNTIFS($AQ$2:AQ169,1,$F$2:F169,"男"),"")</f>
        <v/>
      </c>
      <c r="AS169">
        <f>IF(AND(AQ169=1,F169="女"),COUNTIFS($AQ$2:AQ169,1,$F$2:F169,"女"),"")</f>
        <v/>
      </c>
    </row>
    <row r="170">
      <c r="A170" s="21">
        <f>ROW()-1</f>
        <v/>
      </c>
      <c r="B170" s="21">
        <f>INT((A170-1)/37)+1</f>
        <v/>
      </c>
      <c r="C170" s="21">
        <f>MOD(A170-1,37)+1</f>
        <v/>
      </c>
      <c r="D170" s="21">
        <f>INDEX(①データ入力!$B$3:$Y$39,C170,(B170-1)*5+1)&amp;""</f>
        <v/>
      </c>
      <c r="E170" s="21">
        <f>INDEX(①データ入力!$B$3:$Y$39,C170,(B170-1)*5+2)&amp;""</f>
        <v/>
      </c>
      <c r="F170" s="21">
        <f>IF(OR(E170="1",E170="１",E170="男"),"男",IF(OR(E170="2",E170="２",E170="女"),"女",""))</f>
        <v/>
      </c>
      <c r="G170" s="21">
        <f>INDEX(①データ入力!$B$3:$Y$39,C170,(B170-1)*5+3)</f>
        <v/>
      </c>
      <c r="H170" s="21">
        <f>INDEX(①データ入力!$B$3:$Y$39,C170,(B170-1)*5+4)&amp;""</f>
        <v/>
      </c>
      <c r="I170" s="21">
        <f>IF(LEFT(TRIM(H170),1)="赤","赤",IF(LEFT(TRIM(H170),1)="白","白",""))</f>
        <v/>
      </c>
      <c r="J170" s="21">
        <f>IF(AND(D170&lt;&gt;"",F170&lt;&gt;"",I170&lt;&gt;"",ISNUMBER(G170)),F170&amp;I170,"")</f>
        <v/>
      </c>
      <c r="K170" s="21">
        <f>IF(J170="","",COUNTIFS($J$2:$J$186,J170,$G$2:$G$186,"&lt;"&amp;G170)+COUNTIFS($J$2:$J$186,J170,$G$2:$G$186,G170,$A$2:$A$186,"&lt;"&amp;A170)+1)</f>
        <v/>
      </c>
      <c r="L170" s="21">
        <f>IF(J170="","",J170&amp;K170)</f>
        <v/>
      </c>
      <c r="M170" s="21">
        <f>B170&amp;"組"</f>
        <v/>
      </c>
      <c r="N170" s="21">
        <f>IF(AND(D170&lt;&gt;"",J170=""),1,0)</f>
        <v/>
      </c>
      <c r="AK170">
        <f>IF(J170="","",IF(J170="男赤",COUNTIF($Y$2:$Y$51,"&lt;"&amp;K170),IF(J170="男白",COUNTIF($Z$2:$Z$51,"&lt;"&amp;K170),IF(J170="女赤",COUNTIF($AH$2:$AH$51,"&lt;"&amp;K170),COUNTIF($AI$2:$AI$51,"&lt;"&amp;K170))))+1)</f>
        <v/>
      </c>
      <c r="AL170">
        <f>IF(AK170="","",IF(AK170=1,0,IF(J170="男赤",INDEX($Y$2:$Y$51,AK170-1),IF(J170="男白",INDEX($Z$2:$Z$51,AK170-1),IF(J170="女赤",INDEX($AH$2:$AH$51,AK170-1),INDEX($AI$2:$AI$51,AK170-1))))))</f>
        <v/>
      </c>
      <c r="AM170">
        <f>IF(AK170="","",IF(RIGHT(J170,1)="赤",K170-AL170,IF(LEFT(J170,1)="男",INDEX($W$2:$W$51,AK170),INDEX($AF$2:$AF$51,AK170))+K170-AL170))</f>
        <v/>
      </c>
      <c r="AN170">
        <f>IF(AK170="","",F170&amp;AK170&amp;"-"&amp;AM170)</f>
        <v/>
      </c>
      <c r="AO170">
        <f>IF(J170="","",F170&amp;D170)</f>
        <v/>
      </c>
      <c r="AP170">
        <f>IF(J170="","",IF(F170="男",COUNTIF(手直し!$B$6:$E$55,D170),COUNTIF(手直し!$F$6:$I$55,D170)))</f>
        <v/>
      </c>
      <c r="AQ170">
        <f>IF(AND(J170&lt;&gt;"",AP170=0),1,0)</f>
        <v/>
      </c>
      <c r="AR170">
        <f>IF(AND(AQ170=1,F170="男"),COUNTIFS($AQ$2:AQ170,1,$F$2:F170,"男"),"")</f>
        <v/>
      </c>
      <c r="AS170">
        <f>IF(AND(AQ170=1,F170="女"),COUNTIFS($AQ$2:AQ170,1,$F$2:F170,"女"),"")</f>
        <v/>
      </c>
    </row>
    <row r="171">
      <c r="A171" s="21">
        <f>ROW()-1</f>
        <v/>
      </c>
      <c r="B171" s="21">
        <f>INT((A171-1)/37)+1</f>
        <v/>
      </c>
      <c r="C171" s="21">
        <f>MOD(A171-1,37)+1</f>
        <v/>
      </c>
      <c r="D171" s="21">
        <f>INDEX(①データ入力!$B$3:$Y$39,C171,(B171-1)*5+1)&amp;""</f>
        <v/>
      </c>
      <c r="E171" s="21">
        <f>INDEX(①データ入力!$B$3:$Y$39,C171,(B171-1)*5+2)&amp;""</f>
        <v/>
      </c>
      <c r="F171" s="21">
        <f>IF(OR(E171="1",E171="１",E171="男"),"男",IF(OR(E171="2",E171="２",E171="女"),"女",""))</f>
        <v/>
      </c>
      <c r="G171" s="21">
        <f>INDEX(①データ入力!$B$3:$Y$39,C171,(B171-1)*5+3)</f>
        <v/>
      </c>
      <c r="H171" s="21">
        <f>INDEX(①データ入力!$B$3:$Y$39,C171,(B171-1)*5+4)&amp;""</f>
        <v/>
      </c>
      <c r="I171" s="21">
        <f>IF(LEFT(TRIM(H171),1)="赤","赤",IF(LEFT(TRIM(H171),1)="白","白",""))</f>
        <v/>
      </c>
      <c r="J171" s="21">
        <f>IF(AND(D171&lt;&gt;"",F171&lt;&gt;"",I171&lt;&gt;"",ISNUMBER(G171)),F171&amp;I171,"")</f>
        <v/>
      </c>
      <c r="K171" s="21">
        <f>IF(J171="","",COUNTIFS($J$2:$J$186,J171,$G$2:$G$186,"&lt;"&amp;G171)+COUNTIFS($J$2:$J$186,J171,$G$2:$G$186,G171,$A$2:$A$186,"&lt;"&amp;A171)+1)</f>
        <v/>
      </c>
      <c r="L171" s="21">
        <f>IF(J171="","",J171&amp;K171)</f>
        <v/>
      </c>
      <c r="M171" s="21">
        <f>B171&amp;"組"</f>
        <v/>
      </c>
      <c r="N171" s="21">
        <f>IF(AND(D171&lt;&gt;"",J171=""),1,0)</f>
        <v/>
      </c>
      <c r="AK171">
        <f>IF(J171="","",IF(J171="男赤",COUNTIF($Y$2:$Y$51,"&lt;"&amp;K171),IF(J171="男白",COUNTIF($Z$2:$Z$51,"&lt;"&amp;K171),IF(J171="女赤",COUNTIF($AH$2:$AH$51,"&lt;"&amp;K171),COUNTIF($AI$2:$AI$51,"&lt;"&amp;K171))))+1)</f>
        <v/>
      </c>
      <c r="AL171">
        <f>IF(AK171="","",IF(AK171=1,0,IF(J171="男赤",INDEX($Y$2:$Y$51,AK171-1),IF(J171="男白",INDEX($Z$2:$Z$51,AK171-1),IF(J171="女赤",INDEX($AH$2:$AH$51,AK171-1),INDEX($AI$2:$AI$51,AK171-1))))))</f>
        <v/>
      </c>
      <c r="AM171">
        <f>IF(AK171="","",IF(RIGHT(J171,1)="赤",K171-AL171,IF(LEFT(J171,1)="男",INDEX($W$2:$W$51,AK171),INDEX($AF$2:$AF$51,AK171))+K171-AL171))</f>
        <v/>
      </c>
      <c r="AN171">
        <f>IF(AK171="","",F171&amp;AK171&amp;"-"&amp;AM171)</f>
        <v/>
      </c>
      <c r="AO171">
        <f>IF(J171="","",F171&amp;D171)</f>
        <v/>
      </c>
      <c r="AP171">
        <f>IF(J171="","",IF(F171="男",COUNTIF(手直し!$B$6:$E$55,D171),COUNTIF(手直し!$F$6:$I$55,D171)))</f>
        <v/>
      </c>
      <c r="AQ171">
        <f>IF(AND(J171&lt;&gt;"",AP171=0),1,0)</f>
        <v/>
      </c>
      <c r="AR171">
        <f>IF(AND(AQ171=1,F171="男"),COUNTIFS($AQ$2:AQ171,1,$F$2:F171,"男"),"")</f>
        <v/>
      </c>
      <c r="AS171">
        <f>IF(AND(AQ171=1,F171="女"),COUNTIFS($AQ$2:AQ171,1,$F$2:F171,"女"),"")</f>
        <v/>
      </c>
    </row>
    <row r="172">
      <c r="A172" s="21">
        <f>ROW()-1</f>
        <v/>
      </c>
      <c r="B172" s="21">
        <f>INT((A172-1)/37)+1</f>
        <v/>
      </c>
      <c r="C172" s="21">
        <f>MOD(A172-1,37)+1</f>
        <v/>
      </c>
      <c r="D172" s="21">
        <f>INDEX(①データ入力!$B$3:$Y$39,C172,(B172-1)*5+1)&amp;""</f>
        <v/>
      </c>
      <c r="E172" s="21">
        <f>INDEX(①データ入力!$B$3:$Y$39,C172,(B172-1)*5+2)&amp;""</f>
        <v/>
      </c>
      <c r="F172" s="21">
        <f>IF(OR(E172="1",E172="１",E172="男"),"男",IF(OR(E172="2",E172="２",E172="女"),"女",""))</f>
        <v/>
      </c>
      <c r="G172" s="21">
        <f>INDEX(①データ入力!$B$3:$Y$39,C172,(B172-1)*5+3)</f>
        <v/>
      </c>
      <c r="H172" s="21">
        <f>INDEX(①データ入力!$B$3:$Y$39,C172,(B172-1)*5+4)&amp;""</f>
        <v/>
      </c>
      <c r="I172" s="21">
        <f>IF(LEFT(TRIM(H172),1)="赤","赤",IF(LEFT(TRIM(H172),1)="白","白",""))</f>
        <v/>
      </c>
      <c r="J172" s="21">
        <f>IF(AND(D172&lt;&gt;"",F172&lt;&gt;"",I172&lt;&gt;"",ISNUMBER(G172)),F172&amp;I172,"")</f>
        <v/>
      </c>
      <c r="K172" s="21">
        <f>IF(J172="","",COUNTIFS($J$2:$J$186,J172,$G$2:$G$186,"&lt;"&amp;G172)+COUNTIFS($J$2:$J$186,J172,$G$2:$G$186,G172,$A$2:$A$186,"&lt;"&amp;A172)+1)</f>
        <v/>
      </c>
      <c r="L172" s="21">
        <f>IF(J172="","",J172&amp;K172)</f>
        <v/>
      </c>
      <c r="M172" s="21">
        <f>B172&amp;"組"</f>
        <v/>
      </c>
      <c r="N172" s="21">
        <f>IF(AND(D172&lt;&gt;"",J172=""),1,0)</f>
        <v/>
      </c>
      <c r="AK172">
        <f>IF(J172="","",IF(J172="男赤",COUNTIF($Y$2:$Y$51,"&lt;"&amp;K172),IF(J172="男白",COUNTIF($Z$2:$Z$51,"&lt;"&amp;K172),IF(J172="女赤",COUNTIF($AH$2:$AH$51,"&lt;"&amp;K172),COUNTIF($AI$2:$AI$51,"&lt;"&amp;K172))))+1)</f>
        <v/>
      </c>
      <c r="AL172">
        <f>IF(AK172="","",IF(AK172=1,0,IF(J172="男赤",INDEX($Y$2:$Y$51,AK172-1),IF(J172="男白",INDEX($Z$2:$Z$51,AK172-1),IF(J172="女赤",INDEX($AH$2:$AH$51,AK172-1),INDEX($AI$2:$AI$51,AK172-1))))))</f>
        <v/>
      </c>
      <c r="AM172">
        <f>IF(AK172="","",IF(RIGHT(J172,1)="赤",K172-AL172,IF(LEFT(J172,1)="男",INDEX($W$2:$W$51,AK172),INDEX($AF$2:$AF$51,AK172))+K172-AL172))</f>
        <v/>
      </c>
      <c r="AN172">
        <f>IF(AK172="","",F172&amp;AK172&amp;"-"&amp;AM172)</f>
        <v/>
      </c>
      <c r="AO172">
        <f>IF(J172="","",F172&amp;D172)</f>
        <v/>
      </c>
      <c r="AP172">
        <f>IF(J172="","",IF(F172="男",COUNTIF(手直し!$B$6:$E$55,D172),COUNTIF(手直し!$F$6:$I$55,D172)))</f>
        <v/>
      </c>
      <c r="AQ172">
        <f>IF(AND(J172&lt;&gt;"",AP172=0),1,0)</f>
        <v/>
      </c>
      <c r="AR172">
        <f>IF(AND(AQ172=1,F172="男"),COUNTIFS($AQ$2:AQ172,1,$F$2:F172,"男"),"")</f>
        <v/>
      </c>
      <c r="AS172">
        <f>IF(AND(AQ172=1,F172="女"),COUNTIFS($AQ$2:AQ172,1,$F$2:F172,"女"),"")</f>
        <v/>
      </c>
    </row>
    <row r="173">
      <c r="A173" s="21">
        <f>ROW()-1</f>
        <v/>
      </c>
      <c r="B173" s="21">
        <f>INT((A173-1)/37)+1</f>
        <v/>
      </c>
      <c r="C173" s="21">
        <f>MOD(A173-1,37)+1</f>
        <v/>
      </c>
      <c r="D173" s="21">
        <f>INDEX(①データ入力!$B$3:$Y$39,C173,(B173-1)*5+1)&amp;""</f>
        <v/>
      </c>
      <c r="E173" s="21">
        <f>INDEX(①データ入力!$B$3:$Y$39,C173,(B173-1)*5+2)&amp;""</f>
        <v/>
      </c>
      <c r="F173" s="21">
        <f>IF(OR(E173="1",E173="１",E173="男"),"男",IF(OR(E173="2",E173="２",E173="女"),"女",""))</f>
        <v/>
      </c>
      <c r="G173" s="21">
        <f>INDEX(①データ入力!$B$3:$Y$39,C173,(B173-1)*5+3)</f>
        <v/>
      </c>
      <c r="H173" s="21">
        <f>INDEX(①データ入力!$B$3:$Y$39,C173,(B173-1)*5+4)&amp;""</f>
        <v/>
      </c>
      <c r="I173" s="21">
        <f>IF(LEFT(TRIM(H173),1)="赤","赤",IF(LEFT(TRIM(H173),1)="白","白",""))</f>
        <v/>
      </c>
      <c r="J173" s="21">
        <f>IF(AND(D173&lt;&gt;"",F173&lt;&gt;"",I173&lt;&gt;"",ISNUMBER(G173)),F173&amp;I173,"")</f>
        <v/>
      </c>
      <c r="K173" s="21">
        <f>IF(J173="","",COUNTIFS($J$2:$J$186,J173,$G$2:$G$186,"&lt;"&amp;G173)+COUNTIFS($J$2:$J$186,J173,$G$2:$G$186,G173,$A$2:$A$186,"&lt;"&amp;A173)+1)</f>
        <v/>
      </c>
      <c r="L173" s="21">
        <f>IF(J173="","",J173&amp;K173)</f>
        <v/>
      </c>
      <c r="M173" s="21">
        <f>B173&amp;"組"</f>
        <v/>
      </c>
      <c r="N173" s="21">
        <f>IF(AND(D173&lt;&gt;"",J173=""),1,0)</f>
        <v/>
      </c>
      <c r="AK173">
        <f>IF(J173="","",IF(J173="男赤",COUNTIF($Y$2:$Y$51,"&lt;"&amp;K173),IF(J173="男白",COUNTIF($Z$2:$Z$51,"&lt;"&amp;K173),IF(J173="女赤",COUNTIF($AH$2:$AH$51,"&lt;"&amp;K173),COUNTIF($AI$2:$AI$51,"&lt;"&amp;K173))))+1)</f>
        <v/>
      </c>
      <c r="AL173">
        <f>IF(AK173="","",IF(AK173=1,0,IF(J173="男赤",INDEX($Y$2:$Y$51,AK173-1),IF(J173="男白",INDEX($Z$2:$Z$51,AK173-1),IF(J173="女赤",INDEX($AH$2:$AH$51,AK173-1),INDEX($AI$2:$AI$51,AK173-1))))))</f>
        <v/>
      </c>
      <c r="AM173">
        <f>IF(AK173="","",IF(RIGHT(J173,1)="赤",K173-AL173,IF(LEFT(J173,1)="男",INDEX($W$2:$W$51,AK173),INDEX($AF$2:$AF$51,AK173))+K173-AL173))</f>
        <v/>
      </c>
      <c r="AN173">
        <f>IF(AK173="","",F173&amp;AK173&amp;"-"&amp;AM173)</f>
        <v/>
      </c>
      <c r="AO173">
        <f>IF(J173="","",F173&amp;D173)</f>
        <v/>
      </c>
      <c r="AP173">
        <f>IF(J173="","",IF(F173="男",COUNTIF(手直し!$B$6:$E$55,D173),COUNTIF(手直し!$F$6:$I$55,D173)))</f>
        <v/>
      </c>
      <c r="AQ173">
        <f>IF(AND(J173&lt;&gt;"",AP173=0),1,0)</f>
        <v/>
      </c>
      <c r="AR173">
        <f>IF(AND(AQ173=1,F173="男"),COUNTIFS($AQ$2:AQ173,1,$F$2:F173,"男"),"")</f>
        <v/>
      </c>
      <c r="AS173">
        <f>IF(AND(AQ173=1,F173="女"),COUNTIFS($AQ$2:AQ173,1,$F$2:F173,"女"),"")</f>
        <v/>
      </c>
    </row>
    <row r="174">
      <c r="A174" s="21">
        <f>ROW()-1</f>
        <v/>
      </c>
      <c r="B174" s="21">
        <f>INT((A174-1)/37)+1</f>
        <v/>
      </c>
      <c r="C174" s="21">
        <f>MOD(A174-1,37)+1</f>
        <v/>
      </c>
      <c r="D174" s="21">
        <f>INDEX(①データ入力!$B$3:$Y$39,C174,(B174-1)*5+1)&amp;""</f>
        <v/>
      </c>
      <c r="E174" s="21">
        <f>INDEX(①データ入力!$B$3:$Y$39,C174,(B174-1)*5+2)&amp;""</f>
        <v/>
      </c>
      <c r="F174" s="21">
        <f>IF(OR(E174="1",E174="１",E174="男"),"男",IF(OR(E174="2",E174="２",E174="女"),"女",""))</f>
        <v/>
      </c>
      <c r="G174" s="21">
        <f>INDEX(①データ入力!$B$3:$Y$39,C174,(B174-1)*5+3)</f>
        <v/>
      </c>
      <c r="H174" s="21">
        <f>INDEX(①データ入力!$B$3:$Y$39,C174,(B174-1)*5+4)&amp;""</f>
        <v/>
      </c>
      <c r="I174" s="21">
        <f>IF(LEFT(TRIM(H174),1)="赤","赤",IF(LEFT(TRIM(H174),1)="白","白",""))</f>
        <v/>
      </c>
      <c r="J174" s="21">
        <f>IF(AND(D174&lt;&gt;"",F174&lt;&gt;"",I174&lt;&gt;"",ISNUMBER(G174)),F174&amp;I174,"")</f>
        <v/>
      </c>
      <c r="K174" s="21">
        <f>IF(J174="","",COUNTIFS($J$2:$J$186,J174,$G$2:$G$186,"&lt;"&amp;G174)+COUNTIFS($J$2:$J$186,J174,$G$2:$G$186,G174,$A$2:$A$186,"&lt;"&amp;A174)+1)</f>
        <v/>
      </c>
      <c r="L174" s="21">
        <f>IF(J174="","",J174&amp;K174)</f>
        <v/>
      </c>
      <c r="M174" s="21">
        <f>B174&amp;"組"</f>
        <v/>
      </c>
      <c r="N174" s="21">
        <f>IF(AND(D174&lt;&gt;"",J174=""),1,0)</f>
        <v/>
      </c>
      <c r="AK174">
        <f>IF(J174="","",IF(J174="男赤",COUNTIF($Y$2:$Y$51,"&lt;"&amp;K174),IF(J174="男白",COUNTIF($Z$2:$Z$51,"&lt;"&amp;K174),IF(J174="女赤",COUNTIF($AH$2:$AH$51,"&lt;"&amp;K174),COUNTIF($AI$2:$AI$51,"&lt;"&amp;K174))))+1)</f>
        <v/>
      </c>
      <c r="AL174">
        <f>IF(AK174="","",IF(AK174=1,0,IF(J174="男赤",INDEX($Y$2:$Y$51,AK174-1),IF(J174="男白",INDEX($Z$2:$Z$51,AK174-1),IF(J174="女赤",INDEX($AH$2:$AH$51,AK174-1),INDEX($AI$2:$AI$51,AK174-1))))))</f>
        <v/>
      </c>
      <c r="AM174">
        <f>IF(AK174="","",IF(RIGHT(J174,1)="赤",K174-AL174,IF(LEFT(J174,1)="男",INDEX($W$2:$W$51,AK174),INDEX($AF$2:$AF$51,AK174))+K174-AL174))</f>
        <v/>
      </c>
      <c r="AN174">
        <f>IF(AK174="","",F174&amp;AK174&amp;"-"&amp;AM174)</f>
        <v/>
      </c>
      <c r="AO174">
        <f>IF(J174="","",F174&amp;D174)</f>
        <v/>
      </c>
      <c r="AP174">
        <f>IF(J174="","",IF(F174="男",COUNTIF(手直し!$B$6:$E$55,D174),COUNTIF(手直し!$F$6:$I$55,D174)))</f>
        <v/>
      </c>
      <c r="AQ174">
        <f>IF(AND(J174&lt;&gt;"",AP174=0),1,0)</f>
        <v/>
      </c>
      <c r="AR174">
        <f>IF(AND(AQ174=1,F174="男"),COUNTIFS($AQ$2:AQ174,1,$F$2:F174,"男"),"")</f>
        <v/>
      </c>
      <c r="AS174">
        <f>IF(AND(AQ174=1,F174="女"),COUNTIFS($AQ$2:AQ174,1,$F$2:F174,"女"),"")</f>
        <v/>
      </c>
    </row>
    <row r="175">
      <c r="A175" s="21">
        <f>ROW()-1</f>
        <v/>
      </c>
      <c r="B175" s="21">
        <f>INT((A175-1)/37)+1</f>
        <v/>
      </c>
      <c r="C175" s="21">
        <f>MOD(A175-1,37)+1</f>
        <v/>
      </c>
      <c r="D175" s="21">
        <f>INDEX(①データ入力!$B$3:$Y$39,C175,(B175-1)*5+1)&amp;""</f>
        <v/>
      </c>
      <c r="E175" s="21">
        <f>INDEX(①データ入力!$B$3:$Y$39,C175,(B175-1)*5+2)&amp;""</f>
        <v/>
      </c>
      <c r="F175" s="21">
        <f>IF(OR(E175="1",E175="１",E175="男"),"男",IF(OR(E175="2",E175="２",E175="女"),"女",""))</f>
        <v/>
      </c>
      <c r="G175" s="21">
        <f>INDEX(①データ入力!$B$3:$Y$39,C175,(B175-1)*5+3)</f>
        <v/>
      </c>
      <c r="H175" s="21">
        <f>INDEX(①データ入力!$B$3:$Y$39,C175,(B175-1)*5+4)&amp;""</f>
        <v/>
      </c>
      <c r="I175" s="21">
        <f>IF(LEFT(TRIM(H175),1)="赤","赤",IF(LEFT(TRIM(H175),1)="白","白",""))</f>
        <v/>
      </c>
      <c r="J175" s="21">
        <f>IF(AND(D175&lt;&gt;"",F175&lt;&gt;"",I175&lt;&gt;"",ISNUMBER(G175)),F175&amp;I175,"")</f>
        <v/>
      </c>
      <c r="K175" s="21">
        <f>IF(J175="","",COUNTIFS($J$2:$J$186,J175,$G$2:$G$186,"&lt;"&amp;G175)+COUNTIFS($J$2:$J$186,J175,$G$2:$G$186,G175,$A$2:$A$186,"&lt;"&amp;A175)+1)</f>
        <v/>
      </c>
      <c r="L175" s="21">
        <f>IF(J175="","",J175&amp;K175)</f>
        <v/>
      </c>
      <c r="M175" s="21">
        <f>B175&amp;"組"</f>
        <v/>
      </c>
      <c r="N175" s="21">
        <f>IF(AND(D175&lt;&gt;"",J175=""),1,0)</f>
        <v/>
      </c>
      <c r="AK175">
        <f>IF(J175="","",IF(J175="男赤",COUNTIF($Y$2:$Y$51,"&lt;"&amp;K175),IF(J175="男白",COUNTIF($Z$2:$Z$51,"&lt;"&amp;K175),IF(J175="女赤",COUNTIF($AH$2:$AH$51,"&lt;"&amp;K175),COUNTIF($AI$2:$AI$51,"&lt;"&amp;K175))))+1)</f>
        <v/>
      </c>
      <c r="AL175">
        <f>IF(AK175="","",IF(AK175=1,0,IF(J175="男赤",INDEX($Y$2:$Y$51,AK175-1),IF(J175="男白",INDEX($Z$2:$Z$51,AK175-1),IF(J175="女赤",INDEX($AH$2:$AH$51,AK175-1),INDEX($AI$2:$AI$51,AK175-1))))))</f>
        <v/>
      </c>
      <c r="AM175">
        <f>IF(AK175="","",IF(RIGHT(J175,1)="赤",K175-AL175,IF(LEFT(J175,1)="男",INDEX($W$2:$W$51,AK175),INDEX($AF$2:$AF$51,AK175))+K175-AL175))</f>
        <v/>
      </c>
      <c r="AN175">
        <f>IF(AK175="","",F175&amp;AK175&amp;"-"&amp;AM175)</f>
        <v/>
      </c>
      <c r="AO175">
        <f>IF(J175="","",F175&amp;D175)</f>
        <v/>
      </c>
      <c r="AP175">
        <f>IF(J175="","",IF(F175="男",COUNTIF(手直し!$B$6:$E$55,D175),COUNTIF(手直し!$F$6:$I$55,D175)))</f>
        <v/>
      </c>
      <c r="AQ175">
        <f>IF(AND(J175&lt;&gt;"",AP175=0),1,0)</f>
        <v/>
      </c>
      <c r="AR175">
        <f>IF(AND(AQ175=1,F175="男"),COUNTIFS($AQ$2:AQ175,1,$F$2:F175,"男"),"")</f>
        <v/>
      </c>
      <c r="AS175">
        <f>IF(AND(AQ175=1,F175="女"),COUNTIFS($AQ$2:AQ175,1,$F$2:F175,"女"),"")</f>
        <v/>
      </c>
    </row>
    <row r="176">
      <c r="A176" s="21">
        <f>ROW()-1</f>
        <v/>
      </c>
      <c r="B176" s="21">
        <f>INT((A176-1)/37)+1</f>
        <v/>
      </c>
      <c r="C176" s="21">
        <f>MOD(A176-1,37)+1</f>
        <v/>
      </c>
      <c r="D176" s="21">
        <f>INDEX(①データ入力!$B$3:$Y$39,C176,(B176-1)*5+1)&amp;""</f>
        <v/>
      </c>
      <c r="E176" s="21">
        <f>INDEX(①データ入力!$B$3:$Y$39,C176,(B176-1)*5+2)&amp;""</f>
        <v/>
      </c>
      <c r="F176" s="21">
        <f>IF(OR(E176="1",E176="１",E176="男"),"男",IF(OR(E176="2",E176="２",E176="女"),"女",""))</f>
        <v/>
      </c>
      <c r="G176" s="21">
        <f>INDEX(①データ入力!$B$3:$Y$39,C176,(B176-1)*5+3)</f>
        <v/>
      </c>
      <c r="H176" s="21">
        <f>INDEX(①データ入力!$B$3:$Y$39,C176,(B176-1)*5+4)&amp;""</f>
        <v/>
      </c>
      <c r="I176" s="21">
        <f>IF(LEFT(TRIM(H176),1)="赤","赤",IF(LEFT(TRIM(H176),1)="白","白",""))</f>
        <v/>
      </c>
      <c r="J176" s="21">
        <f>IF(AND(D176&lt;&gt;"",F176&lt;&gt;"",I176&lt;&gt;"",ISNUMBER(G176)),F176&amp;I176,"")</f>
        <v/>
      </c>
      <c r="K176" s="21">
        <f>IF(J176="","",COUNTIFS($J$2:$J$186,J176,$G$2:$G$186,"&lt;"&amp;G176)+COUNTIFS($J$2:$J$186,J176,$G$2:$G$186,G176,$A$2:$A$186,"&lt;"&amp;A176)+1)</f>
        <v/>
      </c>
      <c r="L176" s="21">
        <f>IF(J176="","",J176&amp;K176)</f>
        <v/>
      </c>
      <c r="M176" s="21">
        <f>B176&amp;"組"</f>
        <v/>
      </c>
      <c r="N176" s="21">
        <f>IF(AND(D176&lt;&gt;"",J176=""),1,0)</f>
        <v/>
      </c>
      <c r="AK176">
        <f>IF(J176="","",IF(J176="男赤",COUNTIF($Y$2:$Y$51,"&lt;"&amp;K176),IF(J176="男白",COUNTIF($Z$2:$Z$51,"&lt;"&amp;K176),IF(J176="女赤",COUNTIF($AH$2:$AH$51,"&lt;"&amp;K176),COUNTIF($AI$2:$AI$51,"&lt;"&amp;K176))))+1)</f>
        <v/>
      </c>
      <c r="AL176">
        <f>IF(AK176="","",IF(AK176=1,0,IF(J176="男赤",INDEX($Y$2:$Y$51,AK176-1),IF(J176="男白",INDEX($Z$2:$Z$51,AK176-1),IF(J176="女赤",INDEX($AH$2:$AH$51,AK176-1),INDEX($AI$2:$AI$51,AK176-1))))))</f>
        <v/>
      </c>
      <c r="AM176">
        <f>IF(AK176="","",IF(RIGHT(J176,1)="赤",K176-AL176,IF(LEFT(J176,1)="男",INDEX($W$2:$W$51,AK176),INDEX($AF$2:$AF$51,AK176))+K176-AL176))</f>
        <v/>
      </c>
      <c r="AN176">
        <f>IF(AK176="","",F176&amp;AK176&amp;"-"&amp;AM176)</f>
        <v/>
      </c>
      <c r="AO176">
        <f>IF(J176="","",F176&amp;D176)</f>
        <v/>
      </c>
      <c r="AP176">
        <f>IF(J176="","",IF(F176="男",COUNTIF(手直し!$B$6:$E$55,D176),COUNTIF(手直し!$F$6:$I$55,D176)))</f>
        <v/>
      </c>
      <c r="AQ176">
        <f>IF(AND(J176&lt;&gt;"",AP176=0),1,0)</f>
        <v/>
      </c>
      <c r="AR176">
        <f>IF(AND(AQ176=1,F176="男"),COUNTIFS($AQ$2:AQ176,1,$F$2:F176,"男"),"")</f>
        <v/>
      </c>
      <c r="AS176">
        <f>IF(AND(AQ176=1,F176="女"),COUNTIFS($AQ$2:AQ176,1,$F$2:F176,"女"),"")</f>
        <v/>
      </c>
    </row>
    <row r="177">
      <c r="A177" s="21">
        <f>ROW()-1</f>
        <v/>
      </c>
      <c r="B177" s="21">
        <f>INT((A177-1)/37)+1</f>
        <v/>
      </c>
      <c r="C177" s="21">
        <f>MOD(A177-1,37)+1</f>
        <v/>
      </c>
      <c r="D177" s="21">
        <f>INDEX(①データ入力!$B$3:$Y$39,C177,(B177-1)*5+1)&amp;""</f>
        <v/>
      </c>
      <c r="E177" s="21">
        <f>INDEX(①データ入力!$B$3:$Y$39,C177,(B177-1)*5+2)&amp;""</f>
        <v/>
      </c>
      <c r="F177" s="21">
        <f>IF(OR(E177="1",E177="１",E177="男"),"男",IF(OR(E177="2",E177="２",E177="女"),"女",""))</f>
        <v/>
      </c>
      <c r="G177" s="21">
        <f>INDEX(①データ入力!$B$3:$Y$39,C177,(B177-1)*5+3)</f>
        <v/>
      </c>
      <c r="H177" s="21">
        <f>INDEX(①データ入力!$B$3:$Y$39,C177,(B177-1)*5+4)&amp;""</f>
        <v/>
      </c>
      <c r="I177" s="21">
        <f>IF(LEFT(TRIM(H177),1)="赤","赤",IF(LEFT(TRIM(H177),1)="白","白",""))</f>
        <v/>
      </c>
      <c r="J177" s="21">
        <f>IF(AND(D177&lt;&gt;"",F177&lt;&gt;"",I177&lt;&gt;"",ISNUMBER(G177)),F177&amp;I177,"")</f>
        <v/>
      </c>
      <c r="K177" s="21">
        <f>IF(J177="","",COUNTIFS($J$2:$J$186,J177,$G$2:$G$186,"&lt;"&amp;G177)+COUNTIFS($J$2:$J$186,J177,$G$2:$G$186,G177,$A$2:$A$186,"&lt;"&amp;A177)+1)</f>
        <v/>
      </c>
      <c r="L177" s="21">
        <f>IF(J177="","",J177&amp;K177)</f>
        <v/>
      </c>
      <c r="M177" s="21">
        <f>B177&amp;"組"</f>
        <v/>
      </c>
      <c r="N177" s="21">
        <f>IF(AND(D177&lt;&gt;"",J177=""),1,0)</f>
        <v/>
      </c>
      <c r="AK177">
        <f>IF(J177="","",IF(J177="男赤",COUNTIF($Y$2:$Y$51,"&lt;"&amp;K177),IF(J177="男白",COUNTIF($Z$2:$Z$51,"&lt;"&amp;K177),IF(J177="女赤",COUNTIF($AH$2:$AH$51,"&lt;"&amp;K177),COUNTIF($AI$2:$AI$51,"&lt;"&amp;K177))))+1)</f>
        <v/>
      </c>
      <c r="AL177">
        <f>IF(AK177="","",IF(AK177=1,0,IF(J177="男赤",INDEX($Y$2:$Y$51,AK177-1),IF(J177="男白",INDEX($Z$2:$Z$51,AK177-1),IF(J177="女赤",INDEX($AH$2:$AH$51,AK177-1),INDEX($AI$2:$AI$51,AK177-1))))))</f>
        <v/>
      </c>
      <c r="AM177">
        <f>IF(AK177="","",IF(RIGHT(J177,1)="赤",K177-AL177,IF(LEFT(J177,1)="男",INDEX($W$2:$W$51,AK177),INDEX($AF$2:$AF$51,AK177))+K177-AL177))</f>
        <v/>
      </c>
      <c r="AN177">
        <f>IF(AK177="","",F177&amp;AK177&amp;"-"&amp;AM177)</f>
        <v/>
      </c>
      <c r="AO177">
        <f>IF(J177="","",F177&amp;D177)</f>
        <v/>
      </c>
      <c r="AP177">
        <f>IF(J177="","",IF(F177="男",COUNTIF(手直し!$B$6:$E$55,D177),COUNTIF(手直し!$F$6:$I$55,D177)))</f>
        <v/>
      </c>
      <c r="AQ177">
        <f>IF(AND(J177&lt;&gt;"",AP177=0),1,0)</f>
        <v/>
      </c>
      <c r="AR177">
        <f>IF(AND(AQ177=1,F177="男"),COUNTIFS($AQ$2:AQ177,1,$F$2:F177,"男"),"")</f>
        <v/>
      </c>
      <c r="AS177">
        <f>IF(AND(AQ177=1,F177="女"),COUNTIFS($AQ$2:AQ177,1,$F$2:F177,"女"),"")</f>
        <v/>
      </c>
    </row>
    <row r="178">
      <c r="A178" s="21">
        <f>ROW()-1</f>
        <v/>
      </c>
      <c r="B178" s="21">
        <f>INT((A178-1)/37)+1</f>
        <v/>
      </c>
      <c r="C178" s="21">
        <f>MOD(A178-1,37)+1</f>
        <v/>
      </c>
      <c r="D178" s="21">
        <f>INDEX(①データ入力!$B$3:$Y$39,C178,(B178-1)*5+1)&amp;""</f>
        <v/>
      </c>
      <c r="E178" s="21">
        <f>INDEX(①データ入力!$B$3:$Y$39,C178,(B178-1)*5+2)&amp;""</f>
        <v/>
      </c>
      <c r="F178" s="21">
        <f>IF(OR(E178="1",E178="１",E178="男"),"男",IF(OR(E178="2",E178="２",E178="女"),"女",""))</f>
        <v/>
      </c>
      <c r="G178" s="21">
        <f>INDEX(①データ入力!$B$3:$Y$39,C178,(B178-1)*5+3)</f>
        <v/>
      </c>
      <c r="H178" s="21">
        <f>INDEX(①データ入力!$B$3:$Y$39,C178,(B178-1)*5+4)&amp;""</f>
        <v/>
      </c>
      <c r="I178" s="21">
        <f>IF(LEFT(TRIM(H178),1)="赤","赤",IF(LEFT(TRIM(H178),1)="白","白",""))</f>
        <v/>
      </c>
      <c r="J178" s="21">
        <f>IF(AND(D178&lt;&gt;"",F178&lt;&gt;"",I178&lt;&gt;"",ISNUMBER(G178)),F178&amp;I178,"")</f>
        <v/>
      </c>
      <c r="K178" s="21">
        <f>IF(J178="","",COUNTIFS($J$2:$J$186,J178,$G$2:$G$186,"&lt;"&amp;G178)+COUNTIFS($J$2:$J$186,J178,$G$2:$G$186,G178,$A$2:$A$186,"&lt;"&amp;A178)+1)</f>
        <v/>
      </c>
      <c r="L178" s="21">
        <f>IF(J178="","",J178&amp;K178)</f>
        <v/>
      </c>
      <c r="M178" s="21">
        <f>B178&amp;"組"</f>
        <v/>
      </c>
      <c r="N178" s="21">
        <f>IF(AND(D178&lt;&gt;"",J178=""),1,0)</f>
        <v/>
      </c>
      <c r="AK178">
        <f>IF(J178="","",IF(J178="男赤",COUNTIF($Y$2:$Y$51,"&lt;"&amp;K178),IF(J178="男白",COUNTIF($Z$2:$Z$51,"&lt;"&amp;K178),IF(J178="女赤",COUNTIF($AH$2:$AH$51,"&lt;"&amp;K178),COUNTIF($AI$2:$AI$51,"&lt;"&amp;K178))))+1)</f>
        <v/>
      </c>
      <c r="AL178">
        <f>IF(AK178="","",IF(AK178=1,0,IF(J178="男赤",INDEX($Y$2:$Y$51,AK178-1),IF(J178="男白",INDEX($Z$2:$Z$51,AK178-1),IF(J178="女赤",INDEX($AH$2:$AH$51,AK178-1),INDEX($AI$2:$AI$51,AK178-1))))))</f>
        <v/>
      </c>
      <c r="AM178">
        <f>IF(AK178="","",IF(RIGHT(J178,1)="赤",K178-AL178,IF(LEFT(J178,1)="男",INDEX($W$2:$W$51,AK178),INDEX($AF$2:$AF$51,AK178))+K178-AL178))</f>
        <v/>
      </c>
      <c r="AN178">
        <f>IF(AK178="","",F178&amp;AK178&amp;"-"&amp;AM178)</f>
        <v/>
      </c>
      <c r="AO178">
        <f>IF(J178="","",F178&amp;D178)</f>
        <v/>
      </c>
      <c r="AP178">
        <f>IF(J178="","",IF(F178="男",COUNTIF(手直し!$B$6:$E$55,D178),COUNTIF(手直し!$F$6:$I$55,D178)))</f>
        <v/>
      </c>
      <c r="AQ178">
        <f>IF(AND(J178&lt;&gt;"",AP178=0),1,0)</f>
        <v/>
      </c>
      <c r="AR178">
        <f>IF(AND(AQ178=1,F178="男"),COUNTIFS($AQ$2:AQ178,1,$F$2:F178,"男"),"")</f>
        <v/>
      </c>
      <c r="AS178">
        <f>IF(AND(AQ178=1,F178="女"),COUNTIFS($AQ$2:AQ178,1,$F$2:F178,"女"),"")</f>
        <v/>
      </c>
    </row>
    <row r="179">
      <c r="A179" s="21">
        <f>ROW()-1</f>
        <v/>
      </c>
      <c r="B179" s="21">
        <f>INT((A179-1)/37)+1</f>
        <v/>
      </c>
      <c r="C179" s="21">
        <f>MOD(A179-1,37)+1</f>
        <v/>
      </c>
      <c r="D179" s="21">
        <f>INDEX(①データ入力!$B$3:$Y$39,C179,(B179-1)*5+1)&amp;""</f>
        <v/>
      </c>
      <c r="E179" s="21">
        <f>INDEX(①データ入力!$B$3:$Y$39,C179,(B179-1)*5+2)&amp;""</f>
        <v/>
      </c>
      <c r="F179" s="21">
        <f>IF(OR(E179="1",E179="１",E179="男"),"男",IF(OR(E179="2",E179="２",E179="女"),"女",""))</f>
        <v/>
      </c>
      <c r="G179" s="21">
        <f>INDEX(①データ入力!$B$3:$Y$39,C179,(B179-1)*5+3)</f>
        <v/>
      </c>
      <c r="H179" s="21">
        <f>INDEX(①データ入力!$B$3:$Y$39,C179,(B179-1)*5+4)&amp;""</f>
        <v/>
      </c>
      <c r="I179" s="21">
        <f>IF(LEFT(TRIM(H179),1)="赤","赤",IF(LEFT(TRIM(H179),1)="白","白",""))</f>
        <v/>
      </c>
      <c r="J179" s="21">
        <f>IF(AND(D179&lt;&gt;"",F179&lt;&gt;"",I179&lt;&gt;"",ISNUMBER(G179)),F179&amp;I179,"")</f>
        <v/>
      </c>
      <c r="K179" s="21">
        <f>IF(J179="","",COUNTIFS($J$2:$J$186,J179,$G$2:$G$186,"&lt;"&amp;G179)+COUNTIFS($J$2:$J$186,J179,$G$2:$G$186,G179,$A$2:$A$186,"&lt;"&amp;A179)+1)</f>
        <v/>
      </c>
      <c r="L179" s="21">
        <f>IF(J179="","",J179&amp;K179)</f>
        <v/>
      </c>
      <c r="M179" s="21">
        <f>B179&amp;"組"</f>
        <v/>
      </c>
      <c r="N179" s="21">
        <f>IF(AND(D179&lt;&gt;"",J179=""),1,0)</f>
        <v/>
      </c>
      <c r="AK179">
        <f>IF(J179="","",IF(J179="男赤",COUNTIF($Y$2:$Y$51,"&lt;"&amp;K179),IF(J179="男白",COUNTIF($Z$2:$Z$51,"&lt;"&amp;K179),IF(J179="女赤",COUNTIF($AH$2:$AH$51,"&lt;"&amp;K179),COUNTIF($AI$2:$AI$51,"&lt;"&amp;K179))))+1)</f>
        <v/>
      </c>
      <c r="AL179">
        <f>IF(AK179="","",IF(AK179=1,0,IF(J179="男赤",INDEX($Y$2:$Y$51,AK179-1),IF(J179="男白",INDEX($Z$2:$Z$51,AK179-1),IF(J179="女赤",INDEX($AH$2:$AH$51,AK179-1),INDEX($AI$2:$AI$51,AK179-1))))))</f>
        <v/>
      </c>
      <c r="AM179">
        <f>IF(AK179="","",IF(RIGHT(J179,1)="赤",K179-AL179,IF(LEFT(J179,1)="男",INDEX($W$2:$W$51,AK179),INDEX($AF$2:$AF$51,AK179))+K179-AL179))</f>
        <v/>
      </c>
      <c r="AN179">
        <f>IF(AK179="","",F179&amp;AK179&amp;"-"&amp;AM179)</f>
        <v/>
      </c>
      <c r="AO179">
        <f>IF(J179="","",F179&amp;D179)</f>
        <v/>
      </c>
      <c r="AP179">
        <f>IF(J179="","",IF(F179="男",COUNTIF(手直し!$B$6:$E$55,D179),COUNTIF(手直し!$F$6:$I$55,D179)))</f>
        <v/>
      </c>
      <c r="AQ179">
        <f>IF(AND(J179&lt;&gt;"",AP179=0),1,0)</f>
        <v/>
      </c>
      <c r="AR179">
        <f>IF(AND(AQ179=1,F179="男"),COUNTIFS($AQ$2:AQ179,1,$F$2:F179,"男"),"")</f>
        <v/>
      </c>
      <c r="AS179">
        <f>IF(AND(AQ179=1,F179="女"),COUNTIFS($AQ$2:AQ179,1,$F$2:F179,"女"),"")</f>
        <v/>
      </c>
    </row>
    <row r="180">
      <c r="A180" s="21">
        <f>ROW()-1</f>
        <v/>
      </c>
      <c r="B180" s="21">
        <f>INT((A180-1)/37)+1</f>
        <v/>
      </c>
      <c r="C180" s="21">
        <f>MOD(A180-1,37)+1</f>
        <v/>
      </c>
      <c r="D180" s="21">
        <f>INDEX(①データ入力!$B$3:$Y$39,C180,(B180-1)*5+1)&amp;""</f>
        <v/>
      </c>
      <c r="E180" s="21">
        <f>INDEX(①データ入力!$B$3:$Y$39,C180,(B180-1)*5+2)&amp;""</f>
        <v/>
      </c>
      <c r="F180" s="21">
        <f>IF(OR(E180="1",E180="１",E180="男"),"男",IF(OR(E180="2",E180="２",E180="女"),"女",""))</f>
        <v/>
      </c>
      <c r="G180" s="21">
        <f>INDEX(①データ入力!$B$3:$Y$39,C180,(B180-1)*5+3)</f>
        <v/>
      </c>
      <c r="H180" s="21">
        <f>INDEX(①データ入力!$B$3:$Y$39,C180,(B180-1)*5+4)&amp;""</f>
        <v/>
      </c>
      <c r="I180" s="21">
        <f>IF(LEFT(TRIM(H180),1)="赤","赤",IF(LEFT(TRIM(H180),1)="白","白",""))</f>
        <v/>
      </c>
      <c r="J180" s="21">
        <f>IF(AND(D180&lt;&gt;"",F180&lt;&gt;"",I180&lt;&gt;"",ISNUMBER(G180)),F180&amp;I180,"")</f>
        <v/>
      </c>
      <c r="K180" s="21">
        <f>IF(J180="","",COUNTIFS($J$2:$J$186,J180,$G$2:$G$186,"&lt;"&amp;G180)+COUNTIFS($J$2:$J$186,J180,$G$2:$G$186,G180,$A$2:$A$186,"&lt;"&amp;A180)+1)</f>
        <v/>
      </c>
      <c r="L180" s="21">
        <f>IF(J180="","",J180&amp;K180)</f>
        <v/>
      </c>
      <c r="M180" s="21">
        <f>B180&amp;"組"</f>
        <v/>
      </c>
      <c r="N180" s="21">
        <f>IF(AND(D180&lt;&gt;"",J180=""),1,0)</f>
        <v/>
      </c>
      <c r="AK180">
        <f>IF(J180="","",IF(J180="男赤",COUNTIF($Y$2:$Y$51,"&lt;"&amp;K180),IF(J180="男白",COUNTIF($Z$2:$Z$51,"&lt;"&amp;K180),IF(J180="女赤",COUNTIF($AH$2:$AH$51,"&lt;"&amp;K180),COUNTIF($AI$2:$AI$51,"&lt;"&amp;K180))))+1)</f>
        <v/>
      </c>
      <c r="AL180">
        <f>IF(AK180="","",IF(AK180=1,0,IF(J180="男赤",INDEX($Y$2:$Y$51,AK180-1),IF(J180="男白",INDEX($Z$2:$Z$51,AK180-1),IF(J180="女赤",INDEX($AH$2:$AH$51,AK180-1),INDEX($AI$2:$AI$51,AK180-1))))))</f>
        <v/>
      </c>
      <c r="AM180">
        <f>IF(AK180="","",IF(RIGHT(J180,1)="赤",K180-AL180,IF(LEFT(J180,1)="男",INDEX($W$2:$W$51,AK180),INDEX($AF$2:$AF$51,AK180))+K180-AL180))</f>
        <v/>
      </c>
      <c r="AN180">
        <f>IF(AK180="","",F180&amp;AK180&amp;"-"&amp;AM180)</f>
        <v/>
      </c>
      <c r="AO180">
        <f>IF(J180="","",F180&amp;D180)</f>
        <v/>
      </c>
      <c r="AP180">
        <f>IF(J180="","",IF(F180="男",COUNTIF(手直し!$B$6:$E$55,D180),COUNTIF(手直し!$F$6:$I$55,D180)))</f>
        <v/>
      </c>
      <c r="AQ180">
        <f>IF(AND(J180&lt;&gt;"",AP180=0),1,0)</f>
        <v/>
      </c>
      <c r="AR180">
        <f>IF(AND(AQ180=1,F180="男"),COUNTIFS($AQ$2:AQ180,1,$F$2:F180,"男"),"")</f>
        <v/>
      </c>
      <c r="AS180">
        <f>IF(AND(AQ180=1,F180="女"),COUNTIFS($AQ$2:AQ180,1,$F$2:F180,"女"),"")</f>
        <v/>
      </c>
    </row>
    <row r="181">
      <c r="A181" s="21">
        <f>ROW()-1</f>
        <v/>
      </c>
      <c r="B181" s="21">
        <f>INT((A181-1)/37)+1</f>
        <v/>
      </c>
      <c r="C181" s="21">
        <f>MOD(A181-1,37)+1</f>
        <v/>
      </c>
      <c r="D181" s="21">
        <f>INDEX(①データ入力!$B$3:$Y$39,C181,(B181-1)*5+1)&amp;""</f>
        <v/>
      </c>
      <c r="E181" s="21">
        <f>INDEX(①データ入力!$B$3:$Y$39,C181,(B181-1)*5+2)&amp;""</f>
        <v/>
      </c>
      <c r="F181" s="21">
        <f>IF(OR(E181="1",E181="１",E181="男"),"男",IF(OR(E181="2",E181="２",E181="女"),"女",""))</f>
        <v/>
      </c>
      <c r="G181" s="21">
        <f>INDEX(①データ入力!$B$3:$Y$39,C181,(B181-1)*5+3)</f>
        <v/>
      </c>
      <c r="H181" s="21">
        <f>INDEX(①データ入力!$B$3:$Y$39,C181,(B181-1)*5+4)&amp;""</f>
        <v/>
      </c>
      <c r="I181" s="21">
        <f>IF(LEFT(TRIM(H181),1)="赤","赤",IF(LEFT(TRIM(H181),1)="白","白",""))</f>
        <v/>
      </c>
      <c r="J181" s="21">
        <f>IF(AND(D181&lt;&gt;"",F181&lt;&gt;"",I181&lt;&gt;"",ISNUMBER(G181)),F181&amp;I181,"")</f>
        <v/>
      </c>
      <c r="K181" s="21">
        <f>IF(J181="","",COUNTIFS($J$2:$J$186,J181,$G$2:$G$186,"&lt;"&amp;G181)+COUNTIFS($J$2:$J$186,J181,$G$2:$G$186,G181,$A$2:$A$186,"&lt;"&amp;A181)+1)</f>
        <v/>
      </c>
      <c r="L181" s="21">
        <f>IF(J181="","",J181&amp;K181)</f>
        <v/>
      </c>
      <c r="M181" s="21">
        <f>B181&amp;"組"</f>
        <v/>
      </c>
      <c r="N181" s="21">
        <f>IF(AND(D181&lt;&gt;"",J181=""),1,0)</f>
        <v/>
      </c>
      <c r="AK181">
        <f>IF(J181="","",IF(J181="男赤",COUNTIF($Y$2:$Y$51,"&lt;"&amp;K181),IF(J181="男白",COUNTIF($Z$2:$Z$51,"&lt;"&amp;K181),IF(J181="女赤",COUNTIF($AH$2:$AH$51,"&lt;"&amp;K181),COUNTIF($AI$2:$AI$51,"&lt;"&amp;K181))))+1)</f>
        <v/>
      </c>
      <c r="AL181">
        <f>IF(AK181="","",IF(AK181=1,0,IF(J181="男赤",INDEX($Y$2:$Y$51,AK181-1),IF(J181="男白",INDEX($Z$2:$Z$51,AK181-1),IF(J181="女赤",INDEX($AH$2:$AH$51,AK181-1),INDEX($AI$2:$AI$51,AK181-1))))))</f>
        <v/>
      </c>
      <c r="AM181">
        <f>IF(AK181="","",IF(RIGHT(J181,1)="赤",K181-AL181,IF(LEFT(J181,1)="男",INDEX($W$2:$W$51,AK181),INDEX($AF$2:$AF$51,AK181))+K181-AL181))</f>
        <v/>
      </c>
      <c r="AN181">
        <f>IF(AK181="","",F181&amp;AK181&amp;"-"&amp;AM181)</f>
        <v/>
      </c>
      <c r="AO181">
        <f>IF(J181="","",F181&amp;D181)</f>
        <v/>
      </c>
      <c r="AP181">
        <f>IF(J181="","",IF(F181="男",COUNTIF(手直し!$B$6:$E$55,D181),COUNTIF(手直し!$F$6:$I$55,D181)))</f>
        <v/>
      </c>
      <c r="AQ181">
        <f>IF(AND(J181&lt;&gt;"",AP181=0),1,0)</f>
        <v/>
      </c>
      <c r="AR181">
        <f>IF(AND(AQ181=1,F181="男"),COUNTIFS($AQ$2:AQ181,1,$F$2:F181,"男"),"")</f>
        <v/>
      </c>
      <c r="AS181">
        <f>IF(AND(AQ181=1,F181="女"),COUNTIFS($AQ$2:AQ181,1,$F$2:F181,"女"),"")</f>
        <v/>
      </c>
    </row>
    <row r="182">
      <c r="A182" s="21">
        <f>ROW()-1</f>
        <v/>
      </c>
      <c r="B182" s="21">
        <f>INT((A182-1)/37)+1</f>
        <v/>
      </c>
      <c r="C182" s="21">
        <f>MOD(A182-1,37)+1</f>
        <v/>
      </c>
      <c r="D182" s="21">
        <f>INDEX(①データ入力!$B$3:$Y$39,C182,(B182-1)*5+1)&amp;""</f>
        <v/>
      </c>
      <c r="E182" s="21">
        <f>INDEX(①データ入力!$B$3:$Y$39,C182,(B182-1)*5+2)&amp;""</f>
        <v/>
      </c>
      <c r="F182" s="21">
        <f>IF(OR(E182="1",E182="１",E182="男"),"男",IF(OR(E182="2",E182="２",E182="女"),"女",""))</f>
        <v/>
      </c>
      <c r="G182" s="21">
        <f>INDEX(①データ入力!$B$3:$Y$39,C182,(B182-1)*5+3)</f>
        <v/>
      </c>
      <c r="H182" s="21">
        <f>INDEX(①データ入力!$B$3:$Y$39,C182,(B182-1)*5+4)&amp;""</f>
        <v/>
      </c>
      <c r="I182" s="21">
        <f>IF(LEFT(TRIM(H182),1)="赤","赤",IF(LEFT(TRIM(H182),1)="白","白",""))</f>
        <v/>
      </c>
      <c r="J182" s="21">
        <f>IF(AND(D182&lt;&gt;"",F182&lt;&gt;"",I182&lt;&gt;"",ISNUMBER(G182)),F182&amp;I182,"")</f>
        <v/>
      </c>
      <c r="K182" s="21">
        <f>IF(J182="","",COUNTIFS($J$2:$J$186,J182,$G$2:$G$186,"&lt;"&amp;G182)+COUNTIFS($J$2:$J$186,J182,$G$2:$G$186,G182,$A$2:$A$186,"&lt;"&amp;A182)+1)</f>
        <v/>
      </c>
      <c r="L182" s="21">
        <f>IF(J182="","",J182&amp;K182)</f>
        <v/>
      </c>
      <c r="M182" s="21">
        <f>B182&amp;"組"</f>
        <v/>
      </c>
      <c r="N182" s="21">
        <f>IF(AND(D182&lt;&gt;"",J182=""),1,0)</f>
        <v/>
      </c>
      <c r="AK182">
        <f>IF(J182="","",IF(J182="男赤",COUNTIF($Y$2:$Y$51,"&lt;"&amp;K182),IF(J182="男白",COUNTIF($Z$2:$Z$51,"&lt;"&amp;K182),IF(J182="女赤",COUNTIF($AH$2:$AH$51,"&lt;"&amp;K182),COUNTIF($AI$2:$AI$51,"&lt;"&amp;K182))))+1)</f>
        <v/>
      </c>
      <c r="AL182">
        <f>IF(AK182="","",IF(AK182=1,0,IF(J182="男赤",INDEX($Y$2:$Y$51,AK182-1),IF(J182="男白",INDEX($Z$2:$Z$51,AK182-1),IF(J182="女赤",INDEX($AH$2:$AH$51,AK182-1),INDEX($AI$2:$AI$51,AK182-1))))))</f>
        <v/>
      </c>
      <c r="AM182">
        <f>IF(AK182="","",IF(RIGHT(J182,1)="赤",K182-AL182,IF(LEFT(J182,1)="男",INDEX($W$2:$W$51,AK182),INDEX($AF$2:$AF$51,AK182))+K182-AL182))</f>
        <v/>
      </c>
      <c r="AN182">
        <f>IF(AK182="","",F182&amp;AK182&amp;"-"&amp;AM182)</f>
        <v/>
      </c>
      <c r="AO182">
        <f>IF(J182="","",F182&amp;D182)</f>
        <v/>
      </c>
      <c r="AP182">
        <f>IF(J182="","",IF(F182="男",COUNTIF(手直し!$B$6:$E$55,D182),COUNTIF(手直し!$F$6:$I$55,D182)))</f>
        <v/>
      </c>
      <c r="AQ182">
        <f>IF(AND(J182&lt;&gt;"",AP182=0),1,0)</f>
        <v/>
      </c>
      <c r="AR182">
        <f>IF(AND(AQ182=1,F182="男"),COUNTIFS($AQ$2:AQ182,1,$F$2:F182,"男"),"")</f>
        <v/>
      </c>
      <c r="AS182">
        <f>IF(AND(AQ182=1,F182="女"),COUNTIFS($AQ$2:AQ182,1,$F$2:F182,"女"),"")</f>
        <v/>
      </c>
    </row>
    <row r="183">
      <c r="A183" s="21">
        <f>ROW()-1</f>
        <v/>
      </c>
      <c r="B183" s="21">
        <f>INT((A183-1)/37)+1</f>
        <v/>
      </c>
      <c r="C183" s="21">
        <f>MOD(A183-1,37)+1</f>
        <v/>
      </c>
      <c r="D183" s="21">
        <f>INDEX(①データ入力!$B$3:$Y$39,C183,(B183-1)*5+1)&amp;""</f>
        <v/>
      </c>
      <c r="E183" s="21">
        <f>INDEX(①データ入力!$B$3:$Y$39,C183,(B183-1)*5+2)&amp;""</f>
        <v/>
      </c>
      <c r="F183" s="21">
        <f>IF(OR(E183="1",E183="１",E183="男"),"男",IF(OR(E183="2",E183="２",E183="女"),"女",""))</f>
        <v/>
      </c>
      <c r="G183" s="21">
        <f>INDEX(①データ入力!$B$3:$Y$39,C183,(B183-1)*5+3)</f>
        <v/>
      </c>
      <c r="H183" s="21">
        <f>INDEX(①データ入力!$B$3:$Y$39,C183,(B183-1)*5+4)&amp;""</f>
        <v/>
      </c>
      <c r="I183" s="21">
        <f>IF(LEFT(TRIM(H183),1)="赤","赤",IF(LEFT(TRIM(H183),1)="白","白",""))</f>
        <v/>
      </c>
      <c r="J183" s="21">
        <f>IF(AND(D183&lt;&gt;"",F183&lt;&gt;"",I183&lt;&gt;"",ISNUMBER(G183)),F183&amp;I183,"")</f>
        <v/>
      </c>
      <c r="K183" s="21">
        <f>IF(J183="","",COUNTIFS($J$2:$J$186,J183,$G$2:$G$186,"&lt;"&amp;G183)+COUNTIFS($J$2:$J$186,J183,$G$2:$G$186,G183,$A$2:$A$186,"&lt;"&amp;A183)+1)</f>
        <v/>
      </c>
      <c r="L183" s="21">
        <f>IF(J183="","",J183&amp;K183)</f>
        <v/>
      </c>
      <c r="M183" s="21">
        <f>B183&amp;"組"</f>
        <v/>
      </c>
      <c r="N183" s="21">
        <f>IF(AND(D183&lt;&gt;"",J183=""),1,0)</f>
        <v/>
      </c>
      <c r="AK183">
        <f>IF(J183="","",IF(J183="男赤",COUNTIF($Y$2:$Y$51,"&lt;"&amp;K183),IF(J183="男白",COUNTIF($Z$2:$Z$51,"&lt;"&amp;K183),IF(J183="女赤",COUNTIF($AH$2:$AH$51,"&lt;"&amp;K183),COUNTIF($AI$2:$AI$51,"&lt;"&amp;K183))))+1)</f>
        <v/>
      </c>
      <c r="AL183">
        <f>IF(AK183="","",IF(AK183=1,0,IF(J183="男赤",INDEX($Y$2:$Y$51,AK183-1),IF(J183="男白",INDEX($Z$2:$Z$51,AK183-1),IF(J183="女赤",INDEX($AH$2:$AH$51,AK183-1),INDEX($AI$2:$AI$51,AK183-1))))))</f>
        <v/>
      </c>
      <c r="AM183">
        <f>IF(AK183="","",IF(RIGHT(J183,1)="赤",K183-AL183,IF(LEFT(J183,1)="男",INDEX($W$2:$W$51,AK183),INDEX($AF$2:$AF$51,AK183))+K183-AL183))</f>
        <v/>
      </c>
      <c r="AN183">
        <f>IF(AK183="","",F183&amp;AK183&amp;"-"&amp;AM183)</f>
        <v/>
      </c>
      <c r="AO183">
        <f>IF(J183="","",F183&amp;D183)</f>
        <v/>
      </c>
      <c r="AP183">
        <f>IF(J183="","",IF(F183="男",COUNTIF(手直し!$B$6:$E$55,D183),COUNTIF(手直し!$F$6:$I$55,D183)))</f>
        <v/>
      </c>
      <c r="AQ183">
        <f>IF(AND(J183&lt;&gt;"",AP183=0),1,0)</f>
        <v/>
      </c>
      <c r="AR183">
        <f>IF(AND(AQ183=1,F183="男"),COUNTIFS($AQ$2:AQ183,1,$F$2:F183,"男"),"")</f>
        <v/>
      </c>
      <c r="AS183">
        <f>IF(AND(AQ183=1,F183="女"),COUNTIFS($AQ$2:AQ183,1,$F$2:F183,"女"),"")</f>
        <v/>
      </c>
    </row>
    <row r="184">
      <c r="A184" s="21">
        <f>ROW()-1</f>
        <v/>
      </c>
      <c r="B184" s="21">
        <f>INT((A184-1)/37)+1</f>
        <v/>
      </c>
      <c r="C184" s="21">
        <f>MOD(A184-1,37)+1</f>
        <v/>
      </c>
      <c r="D184" s="21">
        <f>INDEX(①データ入力!$B$3:$Y$39,C184,(B184-1)*5+1)&amp;""</f>
        <v/>
      </c>
      <c r="E184" s="21">
        <f>INDEX(①データ入力!$B$3:$Y$39,C184,(B184-1)*5+2)&amp;""</f>
        <v/>
      </c>
      <c r="F184" s="21">
        <f>IF(OR(E184="1",E184="１",E184="男"),"男",IF(OR(E184="2",E184="２",E184="女"),"女",""))</f>
        <v/>
      </c>
      <c r="G184" s="21">
        <f>INDEX(①データ入力!$B$3:$Y$39,C184,(B184-1)*5+3)</f>
        <v/>
      </c>
      <c r="H184" s="21">
        <f>INDEX(①データ入力!$B$3:$Y$39,C184,(B184-1)*5+4)&amp;""</f>
        <v/>
      </c>
      <c r="I184" s="21">
        <f>IF(LEFT(TRIM(H184),1)="赤","赤",IF(LEFT(TRIM(H184),1)="白","白",""))</f>
        <v/>
      </c>
      <c r="J184" s="21">
        <f>IF(AND(D184&lt;&gt;"",F184&lt;&gt;"",I184&lt;&gt;"",ISNUMBER(G184)),F184&amp;I184,"")</f>
        <v/>
      </c>
      <c r="K184" s="21">
        <f>IF(J184="","",COUNTIFS($J$2:$J$186,J184,$G$2:$G$186,"&lt;"&amp;G184)+COUNTIFS($J$2:$J$186,J184,$G$2:$G$186,G184,$A$2:$A$186,"&lt;"&amp;A184)+1)</f>
        <v/>
      </c>
      <c r="L184" s="21">
        <f>IF(J184="","",J184&amp;K184)</f>
        <v/>
      </c>
      <c r="M184" s="21">
        <f>B184&amp;"組"</f>
        <v/>
      </c>
      <c r="N184" s="21">
        <f>IF(AND(D184&lt;&gt;"",J184=""),1,0)</f>
        <v/>
      </c>
      <c r="AK184">
        <f>IF(J184="","",IF(J184="男赤",COUNTIF($Y$2:$Y$51,"&lt;"&amp;K184),IF(J184="男白",COUNTIF($Z$2:$Z$51,"&lt;"&amp;K184),IF(J184="女赤",COUNTIF($AH$2:$AH$51,"&lt;"&amp;K184),COUNTIF($AI$2:$AI$51,"&lt;"&amp;K184))))+1)</f>
        <v/>
      </c>
      <c r="AL184">
        <f>IF(AK184="","",IF(AK184=1,0,IF(J184="男赤",INDEX($Y$2:$Y$51,AK184-1),IF(J184="男白",INDEX($Z$2:$Z$51,AK184-1),IF(J184="女赤",INDEX($AH$2:$AH$51,AK184-1),INDEX($AI$2:$AI$51,AK184-1))))))</f>
        <v/>
      </c>
      <c r="AM184">
        <f>IF(AK184="","",IF(RIGHT(J184,1)="赤",K184-AL184,IF(LEFT(J184,1)="男",INDEX($W$2:$W$51,AK184),INDEX($AF$2:$AF$51,AK184))+K184-AL184))</f>
        <v/>
      </c>
      <c r="AN184">
        <f>IF(AK184="","",F184&amp;AK184&amp;"-"&amp;AM184)</f>
        <v/>
      </c>
      <c r="AO184">
        <f>IF(J184="","",F184&amp;D184)</f>
        <v/>
      </c>
      <c r="AP184">
        <f>IF(J184="","",IF(F184="男",COUNTIF(手直し!$B$6:$E$55,D184),COUNTIF(手直し!$F$6:$I$55,D184)))</f>
        <v/>
      </c>
      <c r="AQ184">
        <f>IF(AND(J184&lt;&gt;"",AP184=0),1,0)</f>
        <v/>
      </c>
      <c r="AR184">
        <f>IF(AND(AQ184=1,F184="男"),COUNTIFS($AQ$2:AQ184,1,$F$2:F184,"男"),"")</f>
        <v/>
      </c>
      <c r="AS184">
        <f>IF(AND(AQ184=1,F184="女"),COUNTIFS($AQ$2:AQ184,1,$F$2:F184,"女"),"")</f>
        <v/>
      </c>
    </row>
    <row r="185">
      <c r="A185" s="21">
        <f>ROW()-1</f>
        <v/>
      </c>
      <c r="B185" s="21">
        <f>INT((A185-1)/37)+1</f>
        <v/>
      </c>
      <c r="C185" s="21">
        <f>MOD(A185-1,37)+1</f>
        <v/>
      </c>
      <c r="D185" s="21">
        <f>INDEX(①データ入力!$B$3:$Y$39,C185,(B185-1)*5+1)&amp;""</f>
        <v/>
      </c>
      <c r="E185" s="21">
        <f>INDEX(①データ入力!$B$3:$Y$39,C185,(B185-1)*5+2)&amp;""</f>
        <v/>
      </c>
      <c r="F185" s="21">
        <f>IF(OR(E185="1",E185="１",E185="男"),"男",IF(OR(E185="2",E185="２",E185="女"),"女",""))</f>
        <v/>
      </c>
      <c r="G185" s="21">
        <f>INDEX(①データ入力!$B$3:$Y$39,C185,(B185-1)*5+3)</f>
        <v/>
      </c>
      <c r="H185" s="21">
        <f>INDEX(①データ入力!$B$3:$Y$39,C185,(B185-1)*5+4)&amp;""</f>
        <v/>
      </c>
      <c r="I185" s="21">
        <f>IF(LEFT(TRIM(H185),1)="赤","赤",IF(LEFT(TRIM(H185),1)="白","白",""))</f>
        <v/>
      </c>
      <c r="J185" s="21">
        <f>IF(AND(D185&lt;&gt;"",F185&lt;&gt;"",I185&lt;&gt;"",ISNUMBER(G185)),F185&amp;I185,"")</f>
        <v/>
      </c>
      <c r="K185" s="21">
        <f>IF(J185="","",COUNTIFS($J$2:$J$186,J185,$G$2:$G$186,"&lt;"&amp;G185)+COUNTIFS($J$2:$J$186,J185,$G$2:$G$186,G185,$A$2:$A$186,"&lt;"&amp;A185)+1)</f>
        <v/>
      </c>
      <c r="L185" s="21">
        <f>IF(J185="","",J185&amp;K185)</f>
        <v/>
      </c>
      <c r="M185" s="21">
        <f>B185&amp;"組"</f>
        <v/>
      </c>
      <c r="N185" s="21">
        <f>IF(AND(D185&lt;&gt;"",J185=""),1,0)</f>
        <v/>
      </c>
      <c r="AK185">
        <f>IF(J185="","",IF(J185="男赤",COUNTIF($Y$2:$Y$51,"&lt;"&amp;K185),IF(J185="男白",COUNTIF($Z$2:$Z$51,"&lt;"&amp;K185),IF(J185="女赤",COUNTIF($AH$2:$AH$51,"&lt;"&amp;K185),COUNTIF($AI$2:$AI$51,"&lt;"&amp;K185))))+1)</f>
        <v/>
      </c>
      <c r="AL185">
        <f>IF(AK185="","",IF(AK185=1,0,IF(J185="男赤",INDEX($Y$2:$Y$51,AK185-1),IF(J185="男白",INDEX($Z$2:$Z$51,AK185-1),IF(J185="女赤",INDEX($AH$2:$AH$51,AK185-1),INDEX($AI$2:$AI$51,AK185-1))))))</f>
        <v/>
      </c>
      <c r="AM185">
        <f>IF(AK185="","",IF(RIGHT(J185,1)="赤",K185-AL185,IF(LEFT(J185,1)="男",INDEX($W$2:$W$51,AK185),INDEX($AF$2:$AF$51,AK185))+K185-AL185))</f>
        <v/>
      </c>
      <c r="AN185">
        <f>IF(AK185="","",F185&amp;AK185&amp;"-"&amp;AM185)</f>
        <v/>
      </c>
      <c r="AO185">
        <f>IF(J185="","",F185&amp;D185)</f>
        <v/>
      </c>
      <c r="AP185">
        <f>IF(J185="","",IF(F185="男",COUNTIF(手直し!$B$6:$E$55,D185),COUNTIF(手直し!$F$6:$I$55,D185)))</f>
        <v/>
      </c>
      <c r="AQ185">
        <f>IF(AND(J185&lt;&gt;"",AP185=0),1,0)</f>
        <v/>
      </c>
      <c r="AR185">
        <f>IF(AND(AQ185=1,F185="男"),COUNTIFS($AQ$2:AQ185,1,$F$2:F185,"男"),"")</f>
        <v/>
      </c>
      <c r="AS185">
        <f>IF(AND(AQ185=1,F185="女"),COUNTIFS($AQ$2:AQ185,1,$F$2:F185,"女"),"")</f>
        <v/>
      </c>
    </row>
    <row r="186">
      <c r="A186" s="21">
        <f>ROW()-1</f>
        <v/>
      </c>
      <c r="B186" s="21">
        <f>INT((A186-1)/37)+1</f>
        <v/>
      </c>
      <c r="C186" s="21">
        <f>MOD(A186-1,37)+1</f>
        <v/>
      </c>
      <c r="D186" s="21">
        <f>INDEX(①データ入力!$B$3:$Y$39,C186,(B186-1)*5+1)&amp;""</f>
        <v/>
      </c>
      <c r="E186" s="21">
        <f>INDEX(①データ入力!$B$3:$Y$39,C186,(B186-1)*5+2)&amp;""</f>
        <v/>
      </c>
      <c r="F186" s="21">
        <f>IF(OR(E186="1",E186="１",E186="男"),"男",IF(OR(E186="2",E186="２",E186="女"),"女",""))</f>
        <v/>
      </c>
      <c r="G186" s="21">
        <f>INDEX(①データ入力!$B$3:$Y$39,C186,(B186-1)*5+3)</f>
        <v/>
      </c>
      <c r="H186" s="21">
        <f>INDEX(①データ入力!$B$3:$Y$39,C186,(B186-1)*5+4)&amp;""</f>
        <v/>
      </c>
      <c r="I186" s="21">
        <f>IF(LEFT(TRIM(H186),1)="赤","赤",IF(LEFT(TRIM(H186),1)="白","白",""))</f>
        <v/>
      </c>
      <c r="J186" s="21">
        <f>IF(AND(D186&lt;&gt;"",F186&lt;&gt;"",I186&lt;&gt;"",ISNUMBER(G186)),F186&amp;I186,"")</f>
        <v/>
      </c>
      <c r="K186" s="21">
        <f>IF(J186="","",COUNTIFS($J$2:$J$186,J186,$G$2:$G$186,"&lt;"&amp;G186)+COUNTIFS($J$2:$J$186,J186,$G$2:$G$186,G186,$A$2:$A$186,"&lt;"&amp;A186)+1)</f>
        <v/>
      </c>
      <c r="L186" s="21">
        <f>IF(J186="","",J186&amp;K186)</f>
        <v/>
      </c>
      <c r="M186" s="21">
        <f>B186&amp;"組"</f>
        <v/>
      </c>
      <c r="N186" s="21">
        <f>IF(AND(D186&lt;&gt;"",J186=""),1,0)</f>
        <v/>
      </c>
      <c r="AK186">
        <f>IF(J186="","",IF(J186="男赤",COUNTIF($Y$2:$Y$51,"&lt;"&amp;K186),IF(J186="男白",COUNTIF($Z$2:$Z$51,"&lt;"&amp;K186),IF(J186="女赤",COUNTIF($AH$2:$AH$51,"&lt;"&amp;K186),COUNTIF($AI$2:$AI$51,"&lt;"&amp;K186))))+1)</f>
        <v/>
      </c>
      <c r="AL186">
        <f>IF(AK186="","",IF(AK186=1,0,IF(J186="男赤",INDEX($Y$2:$Y$51,AK186-1),IF(J186="男白",INDEX($Z$2:$Z$51,AK186-1),IF(J186="女赤",INDEX($AH$2:$AH$51,AK186-1),INDEX($AI$2:$AI$51,AK186-1))))))</f>
        <v/>
      </c>
      <c r="AM186">
        <f>IF(AK186="","",IF(RIGHT(J186,1)="赤",K186-AL186,IF(LEFT(J186,1)="男",INDEX($W$2:$W$51,AK186),INDEX($AF$2:$AF$51,AK186))+K186-AL186))</f>
        <v/>
      </c>
      <c r="AN186">
        <f>IF(AK186="","",F186&amp;AK186&amp;"-"&amp;AM186)</f>
        <v/>
      </c>
      <c r="AO186">
        <f>IF(J186="","",F186&amp;D186)</f>
        <v/>
      </c>
      <c r="AP186">
        <f>IF(J186="","",IF(F186="男",COUNTIF(手直し!$B$6:$E$55,D186),COUNTIF(手直し!$F$6:$I$55,D186)))</f>
        <v/>
      </c>
      <c r="AQ186">
        <f>IF(AND(J186&lt;&gt;"",AP186=0),1,0)</f>
        <v/>
      </c>
      <c r="AR186">
        <f>IF(AND(AQ186=1,F186="男"),COUNTIFS($AQ$2:AQ186,1,$F$2:F186,"男"),"")</f>
        <v/>
      </c>
      <c r="AS186">
        <f>IF(AND(AQ186=1,F186="女"),COUNTIFS($AQ$2:AQ186,1,$F$2:F186,"女"),"")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yudai kobayasi</dc:creator>
  <dc:language>en-US</dc:language>
  <dcterms:created xsi:type="dcterms:W3CDTF">2021-09-14T13:54:20Z</dcterms:created>
  <dcterms:modified xsi:type="dcterms:W3CDTF">2026-09-29T15:27:26Z</dcterms:modified>
  <cp:lastModifiedBy>馬場　久寿</cp:lastModifiedBy>
  <cp:revision>0</cp:revision>
  <cp:lastPrinted>2026-09-12T09:14:17Z</cp:lastPrinted>
</cp:coreProperties>
</file>