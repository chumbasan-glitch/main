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3280" windowHeight="14880" tabRatio="500" firstSheet="0" activeTab="0" autoFilterDateGrouping="1"/>
  </bookViews>
  <sheets>
    <sheet name="①データ入力" sheetId="1" state="visible" r:id="rId1"/>
    <sheet name="組ごとタイム順" sheetId="2" state="visible" r:id="rId2"/>
    <sheet name="4人組" sheetId="3" state="visible" r:id="rId3"/>
    <sheet name="計算用" sheetId="4" state="visible" r:id="rId4"/>
  </sheets>
  <definedNames>
    <definedName name="_xlnm.Print_Area" localSheetId="1">OFFSET(組ごとタイム順!$A$1,0,0,3+MAX(計算用!$Q$2:$Q$5),17)</definedName>
    <definedName name="_xlnm.Print_Area" localSheetId="2">OFFSET('4人組'!$A$1,0,0,3+MAX(計算用!$Q$9,計算用!$Q$11),31)</definedName>
    <definedName name="_xlnm.Print_Titles" localSheetId="1">'組ごとタイム順'!$1:$3</definedName>
    <definedName name="_xlnm.Print_Titles" localSheetId="2">'4人組'!$1:$3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charset val="128"/>
      <family val="2"/>
      <color theme="1"/>
      <sz val="11"/>
    </font>
    <font>
      <name val="ＭＳ Ｐゴシック"/>
      <charset val="128"/>
      <family val="3"/>
      <color theme="1"/>
      <sz val="12"/>
    </font>
    <font>
      <name val="ＭＳ Ｐゴシック"/>
      <charset val="128"/>
      <family val="2"/>
      <sz val="6"/>
    </font>
    <font>
      <name val="UD Digi Kyokasho NP-B"/>
      <charset val="128"/>
      <family val="1"/>
      <color theme="1"/>
      <sz val="11"/>
    </font>
    <font>
      <name val="UD Digi Kyokasho NP-B"/>
      <charset val="128"/>
      <family val="1"/>
      <b val="1"/>
      <sz val="11"/>
    </font>
    <font>
      <name val="UD Digi Kyokasho NP-B"/>
      <charset val="128"/>
      <family val="1"/>
      <b val="1"/>
      <color rgb="FFFF0000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sz val="11"/>
    </font>
    <font>
      <b val="1"/>
    </font>
    <font>
      <b val="1"/>
      <color rgb="FFFF000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3" applyAlignment="1">
      <alignment vertical="center"/>
    </xf>
    <xf numFmtId="0" fontId="1" fillId="0" borderId="3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wrapText="1"/>
    </xf>
    <xf numFmtId="2" fontId="3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7" fillId="0" borderId="0" pivotButton="0" quotePrefix="0" xfId="0"/>
    <xf numFmtId="0" fontId="6" fillId="0" borderId="3" applyAlignment="1" pivotButton="0" quotePrefix="0" xfId="0">
      <alignment vertical="center"/>
    </xf>
    <xf numFmtId="2" fontId="6" fillId="0" borderId="3" applyAlignment="1" pivotButton="0" quotePrefix="0" xfId="0">
      <alignment vertical="center"/>
    </xf>
    <xf numFmtId="0" fontId="6" fillId="0" borderId="3" pivotButton="0" quotePrefix="0" xfId="0"/>
    <xf numFmtId="2" fontId="6" fillId="0" borderId="3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4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9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2">
    <cellStyle name="標準" xfId="0" builtinId="0"/>
    <cellStyle name="標準 4" xfId="1"/>
  </cellStyles>
  <dxfs count="1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F2CC"/>
        </patternFill>
      </fill>
      <border>
        <left style="thin"/>
        <right style="thin"/>
        <top style="thin"/>
        <bottom style="thin"/>
      </border>
    </dxf>
    <dxf>
      <fill>
        <patternFill patternType="solid">
          <bgColor rgb="FFF8CBAD"/>
        </patternFill>
      </fill>
    </dxf>
    <dxf>
      <border>
        <left style="thin"/>
        <right style="thin"/>
        <top style="thin"/>
        <bottom style="thin"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9"/>
  <sheetViews>
    <sheetView tabSelected="1" view="pageBreakPreview" zoomScaleNormal="100" workbookViewId="0">
      <pane xSplit="1" ySplit="2" topLeftCell="I3" activePane="bottomRight" state="frozen"/>
      <selection activeCell="B20" sqref="B20"/>
      <selection pane="topRight" activeCell="B20" sqref="B20"/>
      <selection pane="bottomLeft" activeCell="B20" sqref="B20"/>
      <selection pane="bottomRight" activeCell="S6" sqref="S6"/>
    </sheetView>
  </sheetViews>
  <sheetFormatPr baseColWidth="8" defaultColWidth="8.5" defaultRowHeight="15"/>
  <cols>
    <col width="5" customWidth="1" style="1" min="1" max="1"/>
    <col width="14" customWidth="1" style="1" min="2" max="2"/>
    <col width="10" customWidth="1" style="1" min="3" max="4"/>
    <col width="4.625" customWidth="1" style="1" min="5" max="5"/>
    <col width="3" customWidth="1" style="1" min="6" max="6"/>
    <col width="14" customWidth="1" style="1" min="7" max="7"/>
    <col width="10" customWidth="1" style="1" min="8" max="9"/>
    <col width="4.625" customWidth="1" style="1" min="10" max="10"/>
    <col width="3" customWidth="1" style="1" min="11" max="11"/>
    <col width="14" customWidth="1" style="1" min="12" max="12"/>
    <col width="10" customWidth="1" style="1" min="13" max="14"/>
    <col width="4.625" customWidth="1" style="1" min="15" max="15"/>
    <col width="3" customWidth="1" style="1" min="16" max="16"/>
    <col width="14" customWidth="1" style="1" min="17" max="17"/>
    <col width="10" customWidth="1" style="1" min="18" max="19"/>
    <col width="4.625" customWidth="1" style="1" min="20" max="20"/>
    <col width="2.375" customWidth="1" style="3" min="21" max="21"/>
    <col width="14" customWidth="1" style="3" min="22" max="22"/>
    <col width="8.5" customWidth="1" style="3" min="23" max="23"/>
    <col width="9.875" customWidth="1" style="3" min="24" max="24"/>
    <col width="4.625" customWidth="1" style="3" min="25" max="25"/>
    <col width="8.5" customWidth="1" style="3" min="26" max="26"/>
    <col width="8.5" customWidth="1" style="3" min="27" max="16384"/>
  </cols>
  <sheetData>
    <row r="1">
      <c r="A1" s="6" t="n"/>
      <c r="I1" s="1" t="inlineStr">
        <is>
          <t>名簿から名前をコピペして使ってください。３年生以上は性別欄を記入しないと動きません。タイムまで入力したら②のシートへ</t>
        </is>
      </c>
    </row>
    <row r="2" ht="46.5" customHeight="1" s="11">
      <c r="A2" s="5" t="inlineStr">
        <is>
          <t>No.</t>
        </is>
      </c>
      <c r="B2" s="7" t="inlineStr">
        <is>
          <t>1組 名前</t>
        </is>
      </c>
      <c r="C2" s="7" t="inlineStr">
        <is>
          <t>性別
(1=男子
2=女子)</t>
        </is>
      </c>
      <c r="D2" s="7" t="inlineStr">
        <is>
          <t>タイム
(1/100秒)</t>
        </is>
      </c>
      <c r="E2" s="7" t="inlineStr">
        <is>
          <t>赤or白</t>
        </is>
      </c>
      <c r="G2" s="7" t="inlineStr">
        <is>
          <t>2組 名前</t>
        </is>
      </c>
      <c r="H2" s="7" t="inlineStr">
        <is>
          <t>性別
(1=男子
2=女子)</t>
        </is>
      </c>
      <c r="I2" s="7" t="inlineStr">
        <is>
          <t>タイム
(1/100秒)</t>
        </is>
      </c>
      <c r="J2" s="7" t="inlineStr">
        <is>
          <t>赤or白</t>
        </is>
      </c>
      <c r="L2" s="7" t="inlineStr">
        <is>
          <t>3組 名前</t>
        </is>
      </c>
      <c r="M2" s="7" t="inlineStr">
        <is>
          <t>性別
(1=男子
2=女子)</t>
        </is>
      </c>
      <c r="N2" s="7" t="inlineStr">
        <is>
          <t>タイム
(1/100秒)</t>
        </is>
      </c>
      <c r="O2" s="7" t="inlineStr">
        <is>
          <t>赤or白</t>
        </is>
      </c>
      <c r="Q2" s="7" t="inlineStr">
        <is>
          <t>4組 名前</t>
        </is>
      </c>
      <c r="R2" s="7" t="inlineStr">
        <is>
          <t>性別
(1=男子
2=女子)</t>
        </is>
      </c>
      <c r="S2" s="7" t="inlineStr">
        <is>
          <t>タイム
(1/100秒)</t>
        </is>
      </c>
      <c r="T2" s="7" t="inlineStr">
        <is>
          <t>赤or白</t>
        </is>
      </c>
      <c r="V2" s="7" t="inlineStr">
        <is>
          <t>5組 名前</t>
        </is>
      </c>
      <c r="W2" s="7" t="inlineStr">
        <is>
          <t>性別
(1=男子
2=女子)</t>
        </is>
      </c>
      <c r="X2" s="7" t="inlineStr">
        <is>
          <t>タイム
(1/100秒)</t>
        </is>
      </c>
      <c r="Y2" s="7" t="inlineStr">
        <is>
          <t>赤or白</t>
        </is>
      </c>
    </row>
    <row r="3" ht="15" customHeight="1" s="11">
      <c r="A3" s="2" t="n">
        <v>1</v>
      </c>
      <c r="B3" s="4" t="inlineStr">
        <is>
          <t>木村 りく</t>
        </is>
      </c>
      <c r="C3" s="2" t="n">
        <v>1</v>
      </c>
      <c r="D3" s="8" t="n">
        <v>8.85</v>
      </c>
      <c r="E3" s="8" t="inlineStr">
        <is>
          <t>赤</t>
        </is>
      </c>
      <c r="G3" s="4" t="inlineStr">
        <is>
          <t>高橋 まお</t>
        </is>
      </c>
      <c r="H3" s="2" t="n">
        <v>2</v>
      </c>
      <c r="I3" s="8" t="n">
        <v>9.58</v>
      </c>
      <c r="J3" s="8" t="inlineStr">
        <is>
          <t>赤</t>
        </is>
      </c>
      <c r="L3" s="4" t="inlineStr">
        <is>
          <t>藤田 そうた</t>
        </is>
      </c>
      <c r="M3" s="2" t="n">
        <v>1</v>
      </c>
      <c r="N3" s="8" t="n">
        <v>9.369999999999999</v>
      </c>
      <c r="O3" s="8" t="inlineStr">
        <is>
          <t>赤</t>
        </is>
      </c>
      <c r="Q3" s="4" t="inlineStr">
        <is>
          <t>小林 みなと</t>
        </is>
      </c>
      <c r="R3" s="2" t="n">
        <v>1</v>
      </c>
      <c r="S3" s="8" t="n">
        <v>9.109999999999999</v>
      </c>
      <c r="T3" s="8" t="inlineStr">
        <is>
          <t>赤</t>
        </is>
      </c>
      <c r="V3" s="4" t="n"/>
      <c r="W3" s="2" t="n"/>
      <c r="X3" s="8" t="n"/>
      <c r="Y3" s="8" t="n"/>
    </row>
    <row r="4" ht="15" customHeight="1" s="11">
      <c r="A4" s="2" t="n">
        <v>2</v>
      </c>
      <c r="B4" s="4" t="inlineStr">
        <is>
          <t>木村 ゆな</t>
        </is>
      </c>
      <c r="C4" s="2" t="n">
        <v>2</v>
      </c>
      <c r="D4" s="8" t="n">
        <v>9.76</v>
      </c>
      <c r="E4" s="8" t="inlineStr">
        <is>
          <t>白</t>
        </is>
      </c>
      <c r="G4" s="4" t="inlineStr">
        <is>
          <t>高橋 ひまり</t>
        </is>
      </c>
      <c r="H4" s="2" t="n">
        <v>2</v>
      </c>
      <c r="I4" s="8" t="n">
        <v>8.970000000000001</v>
      </c>
      <c r="J4" s="8" t="inlineStr">
        <is>
          <t>赤</t>
        </is>
      </c>
      <c r="L4" s="4" t="inlineStr">
        <is>
          <t>伊藤 さくら</t>
        </is>
      </c>
      <c r="M4" s="2" t="n">
        <v>2</v>
      </c>
      <c r="N4" s="8" t="n">
        <v>10.88</v>
      </c>
      <c r="O4" s="8" t="inlineStr">
        <is>
          <t>白</t>
        </is>
      </c>
      <c r="Q4" s="4" t="inlineStr">
        <is>
          <t>清水 ゆな</t>
        </is>
      </c>
      <c r="R4" s="2" t="n">
        <v>2</v>
      </c>
      <c r="S4" s="8" t="n">
        <v>9.289999999999999</v>
      </c>
      <c r="T4" s="8" t="inlineStr">
        <is>
          <t>赤</t>
        </is>
      </c>
      <c r="V4" s="4" t="n"/>
      <c r="W4" s="2" t="n"/>
      <c r="X4" s="8" t="n"/>
      <c r="Y4" s="8" t="n"/>
    </row>
    <row r="5" ht="15" customHeight="1" s="11">
      <c r="A5" s="2" t="n">
        <v>3</v>
      </c>
      <c r="B5" s="4" t="inlineStr">
        <is>
          <t>後藤 ひなた</t>
        </is>
      </c>
      <c r="C5" s="2" t="n">
        <v>1</v>
      </c>
      <c r="D5" s="8" t="n">
        <v>9.91</v>
      </c>
      <c r="E5" s="8" t="inlineStr">
        <is>
          <t>赤</t>
        </is>
      </c>
      <c r="G5" s="4" t="inlineStr">
        <is>
          <t>佐藤 そうた</t>
        </is>
      </c>
      <c r="H5" s="2" t="n">
        <v>1</v>
      </c>
      <c r="I5" s="8" t="n">
        <v>9.34</v>
      </c>
      <c r="J5" s="8" t="inlineStr">
        <is>
          <t>赤</t>
        </is>
      </c>
      <c r="L5" s="4" t="inlineStr">
        <is>
          <t>木村 ことね</t>
        </is>
      </c>
      <c r="M5" s="2" t="n">
        <v>2</v>
      </c>
      <c r="N5" s="8" t="n">
        <v>8.52</v>
      </c>
      <c r="O5" s="8" t="inlineStr">
        <is>
          <t>白</t>
        </is>
      </c>
      <c r="Q5" s="4" t="inlineStr">
        <is>
          <t>山田 あおい</t>
        </is>
      </c>
      <c r="R5" s="2" t="n">
        <v>2</v>
      </c>
      <c r="S5" s="8" t="n">
        <v>9.529999999999999</v>
      </c>
      <c r="T5" s="8" t="inlineStr">
        <is>
          <t>白</t>
        </is>
      </c>
      <c r="V5" s="4" t="n"/>
      <c r="W5" s="2" t="n"/>
      <c r="X5" s="8" t="n"/>
      <c r="Y5" s="8" t="n"/>
    </row>
    <row r="6" ht="15" customHeight="1" s="11">
      <c r="A6" s="2" t="n">
        <v>4</v>
      </c>
      <c r="B6" s="4" t="inlineStr">
        <is>
          <t>井上 かのん</t>
        </is>
      </c>
      <c r="C6" s="2" t="n">
        <v>2</v>
      </c>
      <c r="D6" s="8" t="n">
        <v>9.640000000000001</v>
      </c>
      <c r="E6" s="8" t="inlineStr">
        <is>
          <t>白</t>
        </is>
      </c>
      <c r="G6" s="4" t="inlineStr">
        <is>
          <t>後藤 ゆうと</t>
        </is>
      </c>
      <c r="H6" s="2" t="n">
        <v>1</v>
      </c>
      <c r="I6" s="8" t="n">
        <v>8.470000000000001</v>
      </c>
      <c r="J6" s="8" t="inlineStr">
        <is>
          <t>白</t>
        </is>
      </c>
      <c r="L6" s="4" t="inlineStr">
        <is>
          <t>井上 だいち</t>
        </is>
      </c>
      <c r="M6" s="2" t="n">
        <v>1</v>
      </c>
      <c r="N6" s="8" t="n">
        <v>8.890000000000001</v>
      </c>
      <c r="O6" s="8" t="inlineStr">
        <is>
          <t>赤</t>
        </is>
      </c>
      <c r="Q6" s="4" t="inlineStr">
        <is>
          <t>佐藤 ひまり</t>
        </is>
      </c>
      <c r="R6" s="2" t="n">
        <v>2</v>
      </c>
      <c r="S6" s="8" t="n">
        <v>9.73</v>
      </c>
      <c r="T6" s="8" t="inlineStr">
        <is>
          <t>赤</t>
        </is>
      </c>
      <c r="V6" s="4" t="n"/>
      <c r="W6" s="2" t="n"/>
      <c r="X6" s="8" t="n"/>
      <c r="Y6" s="8" t="n"/>
    </row>
    <row r="7" ht="15" customHeight="1" s="11">
      <c r="A7" s="2" t="n">
        <v>5</v>
      </c>
      <c r="B7" s="4" t="inlineStr">
        <is>
          <t>石川 ほのか</t>
        </is>
      </c>
      <c r="C7" s="2" t="n">
        <v>2</v>
      </c>
      <c r="D7" s="8" t="n">
        <v>9.43</v>
      </c>
      <c r="E7" s="8" t="inlineStr">
        <is>
          <t>白</t>
        </is>
      </c>
      <c r="G7" s="4" t="inlineStr">
        <is>
          <t>後藤 さく</t>
        </is>
      </c>
      <c r="H7" s="2" t="n">
        <v>1</v>
      </c>
      <c r="I7" s="8" t="n">
        <v>9.24</v>
      </c>
      <c r="J7" s="8" t="inlineStr">
        <is>
          <t>白</t>
        </is>
      </c>
      <c r="L7" s="4" t="inlineStr">
        <is>
          <t>斎藤 いつき</t>
        </is>
      </c>
      <c r="M7" s="2" t="n">
        <v>1</v>
      </c>
      <c r="N7" s="8" t="n">
        <v>8.77</v>
      </c>
      <c r="O7" s="8" t="inlineStr">
        <is>
          <t>白</t>
        </is>
      </c>
      <c r="Q7" s="4" t="inlineStr">
        <is>
          <t>松本 そうた</t>
        </is>
      </c>
      <c r="R7" s="2" t="n">
        <v>1</v>
      </c>
      <c r="S7" s="8" t="n">
        <v>9.359999999999999</v>
      </c>
      <c r="T7" s="8" t="inlineStr">
        <is>
          <t>白</t>
        </is>
      </c>
      <c r="V7" s="4" t="n"/>
      <c r="W7" s="2" t="n"/>
      <c r="X7" s="8" t="n"/>
      <c r="Y7" s="8" t="n"/>
    </row>
    <row r="8" ht="15" customHeight="1" s="11">
      <c r="A8" s="2" t="n">
        <v>6</v>
      </c>
      <c r="B8" s="4" t="inlineStr">
        <is>
          <t>山本 かいと</t>
        </is>
      </c>
      <c r="C8" s="2" t="n">
        <v>1</v>
      </c>
      <c r="D8" s="8" t="n">
        <v>8.65</v>
      </c>
      <c r="E8" s="8" t="inlineStr">
        <is>
          <t>白</t>
        </is>
      </c>
      <c r="G8" s="4" t="inlineStr">
        <is>
          <t>加藤 あおい</t>
        </is>
      </c>
      <c r="H8" s="2" t="n">
        <v>1</v>
      </c>
      <c r="I8" s="8" t="n">
        <v>8.98</v>
      </c>
      <c r="J8" s="8" t="inlineStr">
        <is>
          <t>白</t>
        </is>
      </c>
      <c r="L8" s="4" t="inlineStr">
        <is>
          <t>木村 みお</t>
        </is>
      </c>
      <c r="M8" s="2" t="n">
        <v>2</v>
      </c>
      <c r="N8" s="8" t="n">
        <v>9.699999999999999</v>
      </c>
      <c r="O8" s="8" t="inlineStr">
        <is>
          <t>白</t>
        </is>
      </c>
      <c r="Q8" s="4" t="inlineStr">
        <is>
          <t>清水 ひな</t>
        </is>
      </c>
      <c r="R8" s="2" t="n">
        <v>2</v>
      </c>
      <c r="S8" s="8" t="n">
        <v>9.210000000000001</v>
      </c>
      <c r="T8" s="8" t="inlineStr">
        <is>
          <t>白</t>
        </is>
      </c>
      <c r="V8" s="4" t="n"/>
      <c r="W8" s="2" t="n"/>
      <c r="X8" s="8" t="n"/>
      <c r="Y8" s="8" t="n"/>
    </row>
    <row r="9" ht="15" customHeight="1" s="11">
      <c r="A9" s="2" t="n">
        <v>7</v>
      </c>
      <c r="B9" s="4" t="inlineStr">
        <is>
          <t>井上 けんた</t>
        </is>
      </c>
      <c r="C9" s="2" t="n">
        <v>1</v>
      </c>
      <c r="D9" s="8" t="n">
        <v>9.27</v>
      </c>
      <c r="E9" s="8" t="inlineStr">
        <is>
          <t>赤</t>
        </is>
      </c>
      <c r="G9" s="4" t="inlineStr">
        <is>
          <t>伊藤 りょう</t>
        </is>
      </c>
      <c r="H9" s="2" t="n">
        <v>1</v>
      </c>
      <c r="I9" s="8" t="n">
        <v>8.76</v>
      </c>
      <c r="J9" s="8" t="inlineStr">
        <is>
          <t>赤</t>
        </is>
      </c>
      <c r="L9" s="4" t="inlineStr">
        <is>
          <t>伊藤 ゆな</t>
        </is>
      </c>
      <c r="M9" s="2" t="n">
        <v>2</v>
      </c>
      <c r="N9" s="8" t="n">
        <v>10.22</v>
      </c>
      <c r="O9" s="8" t="inlineStr">
        <is>
          <t>赤</t>
        </is>
      </c>
      <c r="Q9" s="4" t="inlineStr">
        <is>
          <t>山田 ひな</t>
        </is>
      </c>
      <c r="R9" s="2" t="n">
        <v>2</v>
      </c>
      <c r="S9" s="8" t="n">
        <v>10.22</v>
      </c>
      <c r="T9" s="8" t="inlineStr">
        <is>
          <t>白</t>
        </is>
      </c>
      <c r="V9" s="4" t="n"/>
      <c r="W9" s="2" t="n"/>
      <c r="X9" s="8" t="n"/>
      <c r="Y9" s="8" t="n"/>
    </row>
    <row r="10" ht="15" customHeight="1" s="11">
      <c r="A10" s="2" t="n">
        <v>8</v>
      </c>
      <c r="B10" s="4" t="inlineStr">
        <is>
          <t>佐藤 こはる</t>
        </is>
      </c>
      <c r="C10" s="2" t="n">
        <v>2</v>
      </c>
      <c r="D10" s="8" t="n">
        <v>9.77</v>
      </c>
      <c r="E10" s="8" t="inlineStr">
        <is>
          <t>赤</t>
        </is>
      </c>
      <c r="G10" s="4" t="inlineStr">
        <is>
          <t>山本 ことね</t>
        </is>
      </c>
      <c r="H10" s="2" t="n">
        <v>2</v>
      </c>
      <c r="I10" s="8" t="n">
        <v>9.83</v>
      </c>
      <c r="J10" s="8" t="inlineStr">
        <is>
          <t>赤</t>
        </is>
      </c>
      <c r="L10" s="4" t="inlineStr">
        <is>
          <t>吉田 ひなた</t>
        </is>
      </c>
      <c r="M10" s="2" t="n">
        <v>1</v>
      </c>
      <c r="N10" s="8" t="n">
        <v>9.06</v>
      </c>
      <c r="O10" s="8" t="inlineStr">
        <is>
          <t>赤</t>
        </is>
      </c>
      <c r="Q10" s="4" t="inlineStr">
        <is>
          <t>伊藤 ひまり</t>
        </is>
      </c>
      <c r="R10" s="2" t="n">
        <v>2</v>
      </c>
      <c r="S10" s="8" t="n">
        <v>10.36</v>
      </c>
      <c r="T10" s="8" t="inlineStr">
        <is>
          <t>白</t>
        </is>
      </c>
      <c r="V10" s="4" t="n"/>
      <c r="W10" s="2" t="n"/>
      <c r="X10" s="8" t="n"/>
      <c r="Y10" s="8" t="n"/>
    </row>
    <row r="11" ht="15" customHeight="1" s="11">
      <c r="A11" s="2" t="n">
        <v>9</v>
      </c>
      <c r="B11" s="4" t="inlineStr">
        <is>
          <t>小林 けんた</t>
        </is>
      </c>
      <c r="C11" s="2" t="n">
        <v>1</v>
      </c>
      <c r="D11" s="8" t="n">
        <v>9.27</v>
      </c>
      <c r="E11" s="8" t="inlineStr">
        <is>
          <t>赤</t>
        </is>
      </c>
      <c r="G11" s="4" t="inlineStr">
        <is>
          <t>伊藤 かいと</t>
        </is>
      </c>
      <c r="H11" s="2" t="n">
        <v>1</v>
      </c>
      <c r="I11" s="8" t="n">
        <v>8.539999999999999</v>
      </c>
      <c r="J11" s="8" t="inlineStr">
        <is>
          <t>白</t>
        </is>
      </c>
      <c r="L11" s="4" t="inlineStr">
        <is>
          <t>高橋 ひなた</t>
        </is>
      </c>
      <c r="M11" s="2" t="n">
        <v>1</v>
      </c>
      <c r="N11" s="8" t="n">
        <v>9.94</v>
      </c>
      <c r="O11" s="8" t="inlineStr">
        <is>
          <t>赤</t>
        </is>
      </c>
      <c r="Q11" s="4" t="inlineStr">
        <is>
          <t>森 ひまり</t>
        </is>
      </c>
      <c r="R11" s="2" t="n">
        <v>2</v>
      </c>
      <c r="S11" s="8" t="n">
        <v>9.83</v>
      </c>
      <c r="T11" s="8" t="inlineStr">
        <is>
          <t>白</t>
        </is>
      </c>
      <c r="V11" s="4" t="n"/>
      <c r="W11" s="2" t="n"/>
      <c r="X11" s="8" t="n"/>
      <c r="Y11" s="8" t="n"/>
    </row>
    <row r="12" ht="15" customHeight="1" s="11">
      <c r="A12" s="2" t="n">
        <v>10</v>
      </c>
      <c r="B12" s="4" t="inlineStr">
        <is>
          <t>中村 さら</t>
        </is>
      </c>
      <c r="C12" s="2" t="n">
        <v>2</v>
      </c>
      <c r="D12" s="8" t="n">
        <v>8.369999999999999</v>
      </c>
      <c r="E12" s="8" t="inlineStr">
        <is>
          <t>白</t>
        </is>
      </c>
      <c r="G12" s="4" t="inlineStr">
        <is>
          <t>佐藤 ゆい</t>
        </is>
      </c>
      <c r="H12" s="2" t="n">
        <v>2</v>
      </c>
      <c r="I12" s="8" t="n">
        <v>10.91</v>
      </c>
      <c r="J12" s="8" t="inlineStr">
        <is>
          <t>白</t>
        </is>
      </c>
      <c r="L12" s="4" t="inlineStr">
        <is>
          <t>小林 めい</t>
        </is>
      </c>
      <c r="M12" s="2" t="n">
        <v>2</v>
      </c>
      <c r="N12" s="8" t="n">
        <v>9.869999999999999</v>
      </c>
      <c r="O12" s="8" t="inlineStr">
        <is>
          <t>赤</t>
        </is>
      </c>
      <c r="Q12" s="4" t="inlineStr">
        <is>
          <t>石川 はると</t>
        </is>
      </c>
      <c r="R12" s="2" t="n">
        <v>1</v>
      </c>
      <c r="S12" s="8" t="n">
        <v>9.67</v>
      </c>
      <c r="T12" s="8" t="inlineStr">
        <is>
          <t>白</t>
        </is>
      </c>
      <c r="V12" s="4" t="n"/>
      <c r="W12" s="2" t="n"/>
      <c r="X12" s="8" t="n"/>
      <c r="Y12" s="8" t="n"/>
    </row>
    <row r="13" ht="15" customHeight="1" s="11">
      <c r="A13" s="2" t="n">
        <v>11</v>
      </c>
      <c r="B13" s="4" t="inlineStr">
        <is>
          <t>松本 ゆな</t>
        </is>
      </c>
      <c r="C13" s="2" t="n">
        <v>2</v>
      </c>
      <c r="D13" s="8" t="n">
        <v>9.550000000000001</v>
      </c>
      <c r="E13" s="8" t="inlineStr">
        <is>
          <t>白</t>
        </is>
      </c>
      <c r="G13" s="4" t="inlineStr">
        <is>
          <t>岡田 つむぎ</t>
        </is>
      </c>
      <c r="H13" s="2" t="n">
        <v>2</v>
      </c>
      <c r="I13" s="8" t="n">
        <v>9.33</v>
      </c>
      <c r="J13" s="8" t="inlineStr">
        <is>
          <t>白</t>
        </is>
      </c>
      <c r="L13" s="4" t="inlineStr">
        <is>
          <t>石川 ほのか</t>
        </is>
      </c>
      <c r="M13" s="2" t="n">
        <v>2</v>
      </c>
      <c r="N13" s="8" t="n">
        <v>10.16</v>
      </c>
      <c r="O13" s="8" t="inlineStr">
        <is>
          <t>赤</t>
        </is>
      </c>
      <c r="Q13" s="4" t="inlineStr">
        <is>
          <t>村上 りく</t>
        </is>
      </c>
      <c r="R13" s="2" t="n">
        <v>1</v>
      </c>
      <c r="S13" s="8" t="n">
        <v>9.550000000000001</v>
      </c>
      <c r="T13" s="8" t="inlineStr">
        <is>
          <t>白</t>
        </is>
      </c>
      <c r="V13" s="4" t="n"/>
      <c r="W13" s="2" t="n"/>
      <c r="X13" s="8" t="n"/>
      <c r="Y13" s="8" t="n"/>
    </row>
    <row r="14" ht="15" customHeight="1" s="11">
      <c r="A14" s="2" t="n">
        <v>12</v>
      </c>
      <c r="B14" s="4" t="inlineStr">
        <is>
          <t>山本 りょう</t>
        </is>
      </c>
      <c r="C14" s="2" t="n">
        <v>1</v>
      </c>
      <c r="D14" s="8" t="n">
        <v>8.359999999999999</v>
      </c>
      <c r="E14" s="8" t="inlineStr">
        <is>
          <t>赤</t>
        </is>
      </c>
      <c r="G14" s="4" t="inlineStr">
        <is>
          <t>池田 みなと</t>
        </is>
      </c>
      <c r="H14" s="2" t="n">
        <v>1</v>
      </c>
      <c r="I14" s="8" t="n">
        <v>9.52</v>
      </c>
      <c r="J14" s="8" t="inlineStr">
        <is>
          <t>白</t>
        </is>
      </c>
      <c r="L14" s="4" t="inlineStr">
        <is>
          <t>近藤 みなと</t>
        </is>
      </c>
      <c r="M14" s="2" t="n">
        <v>1</v>
      </c>
      <c r="N14" s="8" t="n">
        <v>9.109999999999999</v>
      </c>
      <c r="O14" s="8" t="inlineStr">
        <is>
          <t>白</t>
        </is>
      </c>
      <c r="Q14" s="4" t="inlineStr">
        <is>
          <t>清水 めい</t>
        </is>
      </c>
      <c r="R14" s="2" t="n">
        <v>2</v>
      </c>
      <c r="S14" s="8" t="n">
        <v>10.56</v>
      </c>
      <c r="T14" s="8" t="inlineStr">
        <is>
          <t>白</t>
        </is>
      </c>
      <c r="V14" s="4" t="n"/>
      <c r="W14" s="2" t="n"/>
      <c r="X14" s="8" t="n"/>
      <c r="Y14" s="8" t="n"/>
    </row>
    <row r="15" ht="15" customHeight="1" s="11">
      <c r="A15" s="2" t="n">
        <v>13</v>
      </c>
      <c r="B15" s="4" t="inlineStr">
        <is>
          <t>渡辺 はると</t>
        </is>
      </c>
      <c r="C15" s="2" t="n">
        <v>1</v>
      </c>
      <c r="D15" s="8" t="n">
        <v>9.69</v>
      </c>
      <c r="E15" s="8" t="inlineStr">
        <is>
          <t>白</t>
        </is>
      </c>
      <c r="G15" s="4" t="inlineStr">
        <is>
          <t>加藤 あかり</t>
        </is>
      </c>
      <c r="H15" s="2" t="n">
        <v>2</v>
      </c>
      <c r="I15" s="8" t="n">
        <v>9.619999999999999</v>
      </c>
      <c r="J15" s="8" t="inlineStr">
        <is>
          <t>白</t>
        </is>
      </c>
      <c r="L15" s="4" t="inlineStr">
        <is>
          <t>佐藤 つむぎ</t>
        </is>
      </c>
      <c r="M15" s="2" t="n">
        <v>2</v>
      </c>
      <c r="N15" s="8" t="n">
        <v>9.74</v>
      </c>
      <c r="O15" s="8" t="inlineStr">
        <is>
          <t>白</t>
        </is>
      </c>
      <c r="Q15" s="4" t="inlineStr">
        <is>
          <t>佐藤 さく</t>
        </is>
      </c>
      <c r="R15" s="2" t="n">
        <v>1</v>
      </c>
      <c r="S15" s="8" t="n">
        <v>8.66</v>
      </c>
      <c r="T15" s="8" t="inlineStr">
        <is>
          <t>赤</t>
        </is>
      </c>
      <c r="V15" s="4" t="n"/>
      <c r="W15" s="2" t="n"/>
      <c r="X15" s="8" t="n"/>
      <c r="Y15" s="8" t="n"/>
    </row>
    <row r="16" ht="15" customHeight="1" s="11">
      <c r="A16" s="2" t="n">
        <v>14</v>
      </c>
      <c r="B16" s="4" t="inlineStr">
        <is>
          <t>高橋 りく</t>
        </is>
      </c>
      <c r="C16" s="2" t="n">
        <v>1</v>
      </c>
      <c r="D16" s="8" t="n">
        <v>10.01</v>
      </c>
      <c r="E16" s="8" t="inlineStr">
        <is>
          <t>赤</t>
        </is>
      </c>
      <c r="G16" s="4" t="inlineStr">
        <is>
          <t>斎藤 ゆうま</t>
        </is>
      </c>
      <c r="H16" s="2" t="n">
        <v>1</v>
      </c>
      <c r="I16" s="8" t="n">
        <v>9.57</v>
      </c>
      <c r="J16" s="8" t="inlineStr">
        <is>
          <t>赤</t>
        </is>
      </c>
      <c r="L16" s="4" t="inlineStr">
        <is>
          <t>田中 しょう</t>
        </is>
      </c>
      <c r="M16" s="2" t="n">
        <v>1</v>
      </c>
      <c r="N16" s="8" t="n">
        <v>10.26</v>
      </c>
      <c r="O16" s="8" t="inlineStr">
        <is>
          <t>赤</t>
        </is>
      </c>
      <c r="Q16" s="4" t="inlineStr">
        <is>
          <t>鈴木 つばさ</t>
        </is>
      </c>
      <c r="R16" s="2" t="n">
        <v>1</v>
      </c>
      <c r="S16" s="8" t="n">
        <v>8.1</v>
      </c>
      <c r="T16" s="8" t="inlineStr">
        <is>
          <t>赤</t>
        </is>
      </c>
      <c r="V16" s="4" t="n"/>
      <c r="W16" s="2" t="n"/>
      <c r="X16" s="8" t="n"/>
      <c r="Y16" s="8" t="n"/>
    </row>
    <row r="17" ht="15" customHeight="1" s="11">
      <c r="A17" s="2" t="n">
        <v>15</v>
      </c>
      <c r="B17" s="4" t="inlineStr">
        <is>
          <t>森 りん</t>
        </is>
      </c>
      <c r="C17" s="2" t="n">
        <v>2</v>
      </c>
      <c r="D17" s="8" t="n">
        <v>9.800000000000001</v>
      </c>
      <c r="E17" s="8" t="inlineStr">
        <is>
          <t>白</t>
        </is>
      </c>
      <c r="G17" s="4" t="inlineStr">
        <is>
          <t>渡辺 さら</t>
        </is>
      </c>
      <c r="H17" s="2" t="n">
        <v>2</v>
      </c>
      <c r="I17" s="8" t="n">
        <v>9.42</v>
      </c>
      <c r="J17" s="8" t="inlineStr">
        <is>
          <t>赤</t>
        </is>
      </c>
      <c r="L17" s="4" t="inlineStr">
        <is>
          <t>森 あおい</t>
        </is>
      </c>
      <c r="M17" s="2" t="n">
        <v>2</v>
      </c>
      <c r="N17" s="8" t="n">
        <v>8.619999999999999</v>
      </c>
      <c r="O17" s="8" t="inlineStr">
        <is>
          <t>赤</t>
        </is>
      </c>
      <c r="Q17" s="4" t="inlineStr">
        <is>
          <t>山本 ひな</t>
        </is>
      </c>
      <c r="R17" s="2" t="n">
        <v>2</v>
      </c>
      <c r="S17" s="8" t="n">
        <v>8.9</v>
      </c>
      <c r="T17" s="8" t="inlineStr">
        <is>
          <t>赤</t>
        </is>
      </c>
      <c r="V17" s="4" t="n"/>
      <c r="W17" s="2" t="n"/>
      <c r="X17" s="8" t="n"/>
      <c r="Y17" s="8" t="n"/>
    </row>
    <row r="18" ht="15" customHeight="1" s="11">
      <c r="A18" s="2" t="n">
        <v>16</v>
      </c>
      <c r="B18" s="4" t="inlineStr">
        <is>
          <t>小林 あかり</t>
        </is>
      </c>
      <c r="C18" s="2" t="n">
        <v>2</v>
      </c>
      <c r="D18" s="8" t="n">
        <v>9.470000000000001</v>
      </c>
      <c r="E18" s="8" t="inlineStr">
        <is>
          <t>赤</t>
        </is>
      </c>
      <c r="G18" s="4" t="inlineStr">
        <is>
          <t>山本 そら</t>
        </is>
      </c>
      <c r="H18" s="2" t="n">
        <v>1</v>
      </c>
      <c r="I18" s="8" t="n">
        <v>8.91</v>
      </c>
      <c r="J18" s="8" t="inlineStr">
        <is>
          <t>赤</t>
        </is>
      </c>
      <c r="L18" s="4" t="inlineStr">
        <is>
          <t>前田 あおい</t>
        </is>
      </c>
      <c r="M18" s="2" t="n">
        <v>1</v>
      </c>
      <c r="N18" s="8" t="n">
        <v>8.609999999999999</v>
      </c>
      <c r="O18" s="8" t="inlineStr">
        <is>
          <t>赤</t>
        </is>
      </c>
      <c r="Q18" s="4" t="inlineStr">
        <is>
          <t>山口 りょう</t>
        </is>
      </c>
      <c r="R18" s="2" t="n">
        <v>1</v>
      </c>
      <c r="S18" s="8" t="n">
        <v>9</v>
      </c>
      <c r="T18" s="8" t="inlineStr">
        <is>
          <t>赤</t>
        </is>
      </c>
      <c r="V18" s="4" t="n"/>
      <c r="W18" s="2" t="n"/>
      <c r="X18" s="8" t="n"/>
      <c r="Y18" s="8" t="n"/>
    </row>
    <row r="19" ht="15" customHeight="1" s="11">
      <c r="A19" s="2" t="n">
        <v>17</v>
      </c>
      <c r="B19" s="4" t="inlineStr">
        <is>
          <t>中村 ゆうま</t>
        </is>
      </c>
      <c r="C19" s="2" t="n">
        <v>1</v>
      </c>
      <c r="D19" s="8" t="n">
        <v>8.5</v>
      </c>
      <c r="E19" s="8" t="inlineStr">
        <is>
          <t>白</t>
        </is>
      </c>
      <c r="G19" s="4" t="inlineStr">
        <is>
          <t>藤田 そうた</t>
        </is>
      </c>
      <c r="H19" s="2" t="n">
        <v>1</v>
      </c>
      <c r="I19" s="8" t="n">
        <v>10.48</v>
      </c>
      <c r="J19" s="8" t="inlineStr">
        <is>
          <t>赤</t>
        </is>
      </c>
      <c r="L19" s="4" t="inlineStr">
        <is>
          <t>中村 えま</t>
        </is>
      </c>
      <c r="M19" s="2" t="n">
        <v>2</v>
      </c>
      <c r="N19" s="8" t="n">
        <v>9.890000000000001</v>
      </c>
      <c r="O19" s="8" t="inlineStr">
        <is>
          <t>赤</t>
        </is>
      </c>
      <c r="Q19" s="4" t="inlineStr">
        <is>
          <t>高橋 ほのか</t>
        </is>
      </c>
      <c r="R19" s="2" t="n">
        <v>2</v>
      </c>
      <c r="S19" s="8" t="n">
        <v>9.369999999999999</v>
      </c>
      <c r="T19" s="8" t="inlineStr">
        <is>
          <t>赤</t>
        </is>
      </c>
      <c r="V19" s="4" t="n"/>
      <c r="W19" s="2" t="n"/>
      <c r="X19" s="8" t="n"/>
      <c r="Y19" s="8" t="n"/>
    </row>
    <row r="20" ht="15" customHeight="1" s="11">
      <c r="A20" s="2" t="n">
        <v>18</v>
      </c>
      <c r="B20" s="4" t="inlineStr">
        <is>
          <t>渡辺 こうき</t>
        </is>
      </c>
      <c r="C20" s="2" t="n">
        <v>1</v>
      </c>
      <c r="D20" s="8" t="n">
        <v>8.390000000000001</v>
      </c>
      <c r="E20" s="8" t="inlineStr">
        <is>
          <t>白</t>
        </is>
      </c>
      <c r="G20" s="4" t="inlineStr">
        <is>
          <t>長谷川 そうた</t>
        </is>
      </c>
      <c r="H20" s="2" t="n">
        <v>1</v>
      </c>
      <c r="I20" s="8" t="n">
        <v>9.77</v>
      </c>
      <c r="J20" s="8" t="inlineStr">
        <is>
          <t>赤</t>
        </is>
      </c>
      <c r="L20" s="4" t="inlineStr">
        <is>
          <t>小林 ゆい</t>
        </is>
      </c>
      <c r="M20" s="2" t="n">
        <v>2</v>
      </c>
      <c r="N20" s="8" t="n">
        <v>8.75</v>
      </c>
      <c r="O20" s="8" t="inlineStr">
        <is>
          <t>白</t>
        </is>
      </c>
      <c r="Q20" s="4" t="inlineStr">
        <is>
          <t>後藤 つばさ</t>
        </is>
      </c>
      <c r="R20" s="2" t="n">
        <v>1</v>
      </c>
      <c r="S20" s="8" t="n">
        <v>9.48</v>
      </c>
      <c r="T20" s="8" t="inlineStr">
        <is>
          <t>白</t>
        </is>
      </c>
      <c r="V20" s="4" t="n"/>
      <c r="W20" s="2" t="n"/>
      <c r="X20" s="8" t="n"/>
      <c r="Y20" s="8" t="n"/>
    </row>
    <row r="21" ht="15" customHeight="1" s="11">
      <c r="A21" s="2" t="n">
        <v>19</v>
      </c>
      <c r="B21" s="4" t="inlineStr">
        <is>
          <t>加藤 めい</t>
        </is>
      </c>
      <c r="C21" s="2" t="n">
        <v>2</v>
      </c>
      <c r="D21" s="8" t="n">
        <v>9.18</v>
      </c>
      <c r="E21" s="8" t="inlineStr">
        <is>
          <t>赤</t>
        </is>
      </c>
      <c r="G21" s="4" t="inlineStr">
        <is>
          <t>高橋 ほのか</t>
        </is>
      </c>
      <c r="H21" s="2" t="n">
        <v>2</v>
      </c>
      <c r="I21" s="8" t="n">
        <v>10</v>
      </c>
      <c r="J21" s="8" t="inlineStr">
        <is>
          <t>白</t>
        </is>
      </c>
      <c r="L21" s="4" t="inlineStr">
        <is>
          <t>鈴木 たいが</t>
        </is>
      </c>
      <c r="M21" s="2" t="n">
        <v>1</v>
      </c>
      <c r="N21" s="8" t="n">
        <v>8.77</v>
      </c>
      <c r="O21" s="8" t="inlineStr">
        <is>
          <t>白</t>
        </is>
      </c>
      <c r="Q21" s="4" t="inlineStr">
        <is>
          <t>長谷川 けんた</t>
        </is>
      </c>
      <c r="R21" s="2" t="n">
        <v>1</v>
      </c>
      <c r="S21" s="8" t="n">
        <v>9.52</v>
      </c>
      <c r="T21" s="8" t="inlineStr">
        <is>
          <t>赤</t>
        </is>
      </c>
      <c r="V21" s="4" t="n"/>
      <c r="W21" s="2" t="n"/>
      <c r="X21" s="8" t="n"/>
      <c r="Y21" s="8" t="n"/>
    </row>
    <row r="22" ht="15" customHeight="1" s="11">
      <c r="A22" s="2" t="n">
        <v>20</v>
      </c>
      <c r="B22" s="4" t="inlineStr">
        <is>
          <t>加藤 さく</t>
        </is>
      </c>
      <c r="C22" s="2" t="n">
        <v>1</v>
      </c>
      <c r="D22" s="8" t="n">
        <v>8.75</v>
      </c>
      <c r="E22" s="8" t="inlineStr">
        <is>
          <t>赤</t>
        </is>
      </c>
      <c r="G22" s="4" t="inlineStr">
        <is>
          <t>岡田 りん</t>
        </is>
      </c>
      <c r="H22" s="2" t="n">
        <v>2</v>
      </c>
      <c r="I22" s="8" t="n">
        <v>10.15</v>
      </c>
      <c r="J22" s="8" t="inlineStr">
        <is>
          <t>白</t>
        </is>
      </c>
      <c r="L22" s="4" t="inlineStr">
        <is>
          <t>高橋 あおい</t>
        </is>
      </c>
      <c r="M22" s="2" t="n">
        <v>1</v>
      </c>
      <c r="N22" s="8" t="n">
        <v>8.890000000000001</v>
      </c>
      <c r="O22" s="8" t="inlineStr">
        <is>
          <t>白</t>
        </is>
      </c>
      <c r="Q22" s="4" t="inlineStr">
        <is>
          <t>田中 たいが</t>
        </is>
      </c>
      <c r="R22" s="2" t="n">
        <v>1</v>
      </c>
      <c r="S22" s="8" t="n">
        <v>9.529999999999999</v>
      </c>
      <c r="T22" s="8" t="inlineStr">
        <is>
          <t>赤</t>
        </is>
      </c>
      <c r="V22" s="4" t="n"/>
      <c r="W22" s="2" t="n"/>
      <c r="X22" s="8" t="n"/>
      <c r="Y22" s="8" t="n"/>
    </row>
    <row r="23" ht="15" customHeight="1" s="11">
      <c r="A23" s="2" t="n">
        <v>21</v>
      </c>
      <c r="B23" s="4" t="inlineStr">
        <is>
          <t>藤田 ひな</t>
        </is>
      </c>
      <c r="C23" s="2" t="n">
        <v>2</v>
      </c>
      <c r="D23" s="8" t="n">
        <v>8.99</v>
      </c>
      <c r="E23" s="8" t="inlineStr">
        <is>
          <t>赤</t>
        </is>
      </c>
      <c r="G23" s="4" t="inlineStr">
        <is>
          <t>木村 りん</t>
        </is>
      </c>
      <c r="H23" s="2" t="n">
        <v>2</v>
      </c>
      <c r="I23" s="8" t="n">
        <v>8.789999999999999</v>
      </c>
      <c r="J23" s="8" t="inlineStr">
        <is>
          <t>赤</t>
        </is>
      </c>
      <c r="L23" s="4" t="inlineStr">
        <is>
          <t>佐藤 けんた</t>
        </is>
      </c>
      <c r="M23" s="2" t="n">
        <v>1</v>
      </c>
      <c r="N23" s="8" t="n">
        <v>9.44</v>
      </c>
      <c r="O23" s="8" t="inlineStr">
        <is>
          <t>白</t>
        </is>
      </c>
      <c r="Q23" s="4" t="inlineStr">
        <is>
          <t>近藤 みお</t>
        </is>
      </c>
      <c r="R23" s="2" t="n">
        <v>2</v>
      </c>
      <c r="S23" s="8" t="n">
        <v>9.5</v>
      </c>
      <c r="T23" s="8" t="inlineStr">
        <is>
          <t>赤</t>
        </is>
      </c>
      <c r="V23" s="4" t="n"/>
      <c r="W23" s="2" t="n"/>
      <c r="X23" s="8" t="n"/>
      <c r="Y23" s="8" t="n"/>
    </row>
    <row r="24" ht="15" customHeight="1" s="11">
      <c r="A24" s="2" t="n">
        <v>22</v>
      </c>
      <c r="B24" s="4" t="inlineStr">
        <is>
          <t>石川 れん</t>
        </is>
      </c>
      <c r="C24" s="2" t="n">
        <v>1</v>
      </c>
      <c r="D24" s="8" t="n">
        <v>8.640000000000001</v>
      </c>
      <c r="E24" s="8" t="inlineStr">
        <is>
          <t>白</t>
        </is>
      </c>
      <c r="G24" s="4" t="inlineStr">
        <is>
          <t>木村 りん</t>
        </is>
      </c>
      <c r="H24" s="2" t="n">
        <v>2</v>
      </c>
      <c r="I24" s="8" t="n">
        <v>9.35</v>
      </c>
      <c r="J24" s="8" t="inlineStr">
        <is>
          <t>白</t>
        </is>
      </c>
      <c r="L24" s="4" t="inlineStr">
        <is>
          <t>加藤 こうき</t>
        </is>
      </c>
      <c r="M24" s="2" t="n">
        <v>1</v>
      </c>
      <c r="N24" s="8" t="n">
        <v>8.41</v>
      </c>
      <c r="O24" s="8" t="inlineStr">
        <is>
          <t>白</t>
        </is>
      </c>
      <c r="Q24" s="4" t="inlineStr">
        <is>
          <t>岡田 そうた</t>
        </is>
      </c>
      <c r="R24" s="2" t="n">
        <v>1</v>
      </c>
      <c r="S24" s="8" t="n">
        <v>8.119999999999999</v>
      </c>
      <c r="T24" s="8" t="inlineStr">
        <is>
          <t>白</t>
        </is>
      </c>
      <c r="V24" s="4" t="n"/>
      <c r="W24" s="2" t="n"/>
      <c r="X24" s="8" t="n"/>
      <c r="Y24" s="8" t="n"/>
    </row>
    <row r="25" ht="15" customHeight="1" s="11">
      <c r="A25" s="2" t="n">
        <v>23</v>
      </c>
      <c r="B25" s="4" t="inlineStr">
        <is>
          <t>岡田 さら</t>
        </is>
      </c>
      <c r="C25" s="2" t="n">
        <v>2</v>
      </c>
      <c r="D25" s="8" t="n">
        <v>9.300000000000001</v>
      </c>
      <c r="E25" s="8" t="inlineStr">
        <is>
          <t>赤</t>
        </is>
      </c>
      <c r="G25" s="4" t="n"/>
      <c r="H25" s="2" t="n"/>
      <c r="I25" s="8" t="n"/>
      <c r="J25" s="8" t="n"/>
      <c r="L25" s="4" t="n"/>
      <c r="M25" s="2" t="n"/>
      <c r="N25" s="8" t="n"/>
      <c r="O25" s="8" t="n"/>
      <c r="Q25" s="4" t="n"/>
      <c r="R25" s="2" t="n"/>
      <c r="S25" s="8" t="n"/>
      <c r="T25" s="8" t="n"/>
      <c r="V25" s="4" t="n"/>
      <c r="W25" s="2" t="n"/>
      <c r="X25" s="8" t="n"/>
      <c r="Y25" s="8" t="n"/>
    </row>
    <row r="26" ht="15" customHeight="1" s="11">
      <c r="A26" s="2" t="n">
        <v>24</v>
      </c>
      <c r="B26" s="4" t="inlineStr">
        <is>
          <t>村上 かいと</t>
        </is>
      </c>
      <c r="C26" s="2" t="n">
        <v>1</v>
      </c>
      <c r="D26" s="8" t="n">
        <v>9.35</v>
      </c>
      <c r="E26" s="8" t="inlineStr">
        <is>
          <t>白</t>
        </is>
      </c>
      <c r="G26" s="4" t="n"/>
      <c r="H26" s="2" t="n"/>
      <c r="I26" s="8" t="n"/>
      <c r="J26" s="8" t="n"/>
      <c r="L26" s="4" t="n"/>
      <c r="M26" s="2" t="n"/>
      <c r="N26" s="8" t="n"/>
      <c r="O26" s="8" t="n"/>
      <c r="Q26" s="4" t="n"/>
      <c r="R26" s="2" t="n"/>
      <c r="S26" s="8" t="n"/>
      <c r="T26" s="8" t="n"/>
      <c r="V26" s="4" t="n"/>
      <c r="W26" s="2" t="n"/>
      <c r="X26" s="8" t="n"/>
      <c r="Y26" s="8" t="n"/>
    </row>
    <row r="27" ht="15" customHeight="1" s="11">
      <c r="A27" s="2" t="n">
        <v>25</v>
      </c>
      <c r="B27" s="4" t="n"/>
      <c r="C27" s="2" t="n"/>
      <c r="D27" s="8" t="n"/>
      <c r="E27" s="8" t="n"/>
      <c r="G27" s="4" t="n"/>
      <c r="H27" s="2" t="n"/>
      <c r="I27" s="8" t="n"/>
      <c r="J27" s="8" t="n"/>
      <c r="L27" s="4" t="n"/>
      <c r="M27" s="2" t="n"/>
      <c r="N27" s="8" t="n"/>
      <c r="O27" s="8" t="n"/>
      <c r="Q27" s="4" t="n"/>
      <c r="R27" s="2" t="n"/>
      <c r="S27" s="8" t="n"/>
      <c r="T27" s="8" t="n"/>
      <c r="V27" s="4" t="n"/>
      <c r="W27" s="2" t="n"/>
      <c r="X27" s="8" t="n"/>
      <c r="Y27" s="8" t="n"/>
    </row>
    <row r="28" ht="15" customHeight="1" s="11">
      <c r="A28" s="2" t="n">
        <v>26</v>
      </c>
      <c r="B28" s="4" t="n"/>
      <c r="C28" s="2" t="n"/>
      <c r="D28" s="8" t="n"/>
      <c r="E28" s="8" t="n"/>
      <c r="G28" s="4" t="n"/>
      <c r="H28" s="2" t="n"/>
      <c r="I28" s="8" t="n"/>
      <c r="J28" s="8" t="n"/>
      <c r="L28" s="4" t="n"/>
      <c r="M28" s="2" t="n"/>
      <c r="N28" s="8" t="n"/>
      <c r="O28" s="8" t="n"/>
      <c r="Q28" s="4" t="n"/>
      <c r="R28" s="2" t="n"/>
      <c r="S28" s="8" t="n"/>
      <c r="T28" s="8" t="n"/>
      <c r="V28" s="4" t="n"/>
      <c r="W28" s="2" t="n"/>
      <c r="X28" s="8" t="n"/>
      <c r="Y28" s="8" t="n"/>
    </row>
    <row r="29" ht="15" customHeight="1" s="11">
      <c r="A29" s="2" t="n">
        <v>27</v>
      </c>
      <c r="B29" s="4" t="n"/>
      <c r="C29" s="2" t="n"/>
      <c r="D29" s="8" t="n"/>
      <c r="E29" s="8" t="n"/>
      <c r="G29" s="4" t="n"/>
      <c r="H29" s="2" t="n"/>
      <c r="I29" s="8" t="n"/>
      <c r="J29" s="8" t="n"/>
      <c r="L29" s="4" t="n"/>
      <c r="M29" s="2" t="n"/>
      <c r="N29" s="8" t="n"/>
      <c r="O29" s="8" t="n"/>
      <c r="Q29" s="4" t="n"/>
      <c r="R29" s="2" t="n"/>
      <c r="S29" s="8" t="n"/>
      <c r="T29" s="8" t="n"/>
      <c r="V29" s="4" t="n"/>
      <c r="W29" s="2" t="n"/>
      <c r="X29" s="8" t="n"/>
      <c r="Y29" s="8" t="n"/>
    </row>
    <row r="30" ht="15" customHeight="1" s="11">
      <c r="A30" s="2" t="n">
        <v>28</v>
      </c>
      <c r="B30" s="4" t="n"/>
      <c r="C30" s="2" t="n"/>
      <c r="D30" s="8" t="n"/>
      <c r="E30" s="8" t="n"/>
      <c r="G30" s="4" t="n"/>
      <c r="H30" s="2" t="n"/>
      <c r="I30" s="8" t="n"/>
      <c r="J30" s="8" t="n"/>
      <c r="L30" s="4" t="n"/>
      <c r="M30" s="2" t="n"/>
      <c r="N30" s="8" t="n"/>
      <c r="O30" s="8" t="n"/>
      <c r="Q30" s="4" t="n"/>
      <c r="R30" s="2" t="n"/>
      <c r="S30" s="8" t="n"/>
      <c r="T30" s="8" t="n"/>
      <c r="V30" s="4" t="n"/>
      <c r="W30" s="2" t="n"/>
      <c r="X30" s="8" t="n"/>
      <c r="Y30" s="8" t="n"/>
    </row>
    <row r="31" ht="15" customHeight="1" s="11">
      <c r="A31" s="2" t="n">
        <v>29</v>
      </c>
      <c r="B31" s="4" t="n"/>
      <c r="C31" s="2" t="n"/>
      <c r="D31" s="8" t="n"/>
      <c r="E31" s="8" t="n"/>
      <c r="G31" s="4" t="n"/>
      <c r="H31" s="2" t="n"/>
      <c r="I31" s="8" t="n"/>
      <c r="J31" s="8" t="n"/>
      <c r="L31" s="4" t="n"/>
      <c r="M31" s="2" t="n"/>
      <c r="N31" s="8" t="n"/>
      <c r="O31" s="8" t="n"/>
      <c r="Q31" s="4" t="n"/>
      <c r="R31" s="2" t="n"/>
      <c r="S31" s="8" t="n"/>
      <c r="T31" s="8" t="n"/>
      <c r="V31" s="4" t="n"/>
      <c r="W31" s="2" t="n"/>
      <c r="X31" s="8" t="n"/>
      <c r="Y31" s="8" t="n"/>
    </row>
    <row r="32" ht="15" customHeight="1" s="11">
      <c r="A32" s="2" t="n">
        <v>30</v>
      </c>
      <c r="B32" s="4" t="n"/>
      <c r="C32" s="2" t="n"/>
      <c r="D32" s="8" t="n"/>
      <c r="E32" s="8" t="n"/>
      <c r="G32" s="4" t="n"/>
      <c r="H32" s="2" t="n"/>
      <c r="I32" s="8" t="n"/>
      <c r="J32" s="8" t="n"/>
      <c r="L32" s="4" t="n"/>
      <c r="M32" s="2" t="n"/>
      <c r="N32" s="8" t="n"/>
      <c r="O32" s="8" t="n"/>
      <c r="Q32" s="4" t="n"/>
      <c r="R32" s="2" t="n"/>
      <c r="S32" s="8" t="n"/>
      <c r="T32" s="8" t="n"/>
      <c r="V32" s="4" t="n"/>
      <c r="W32" s="2" t="n"/>
      <c r="X32" s="8" t="n"/>
      <c r="Y32" s="8" t="n"/>
    </row>
    <row r="33" ht="15" customHeight="1" s="11">
      <c r="A33" s="2" t="n">
        <v>31</v>
      </c>
      <c r="B33" s="4" t="n"/>
      <c r="C33" s="2" t="n"/>
      <c r="D33" s="8" t="n"/>
      <c r="E33" s="8" t="n"/>
      <c r="G33" s="4" t="n"/>
      <c r="H33" s="2" t="n"/>
      <c r="I33" s="8" t="n"/>
      <c r="J33" s="8" t="n"/>
      <c r="L33" s="4" t="n"/>
      <c r="M33" s="2" t="n"/>
      <c r="N33" s="8" t="n"/>
      <c r="O33" s="8" t="n"/>
      <c r="Q33" s="4" t="n"/>
      <c r="R33" s="2" t="n"/>
      <c r="S33" s="8" t="n"/>
      <c r="T33" s="8" t="n"/>
      <c r="V33" s="4" t="n"/>
      <c r="W33" s="2" t="n"/>
      <c r="X33" s="8" t="n"/>
      <c r="Y33" s="8" t="n"/>
    </row>
    <row r="34" ht="15" customHeight="1" s="11">
      <c r="A34" s="2" t="n">
        <v>32</v>
      </c>
      <c r="B34" s="4" t="n"/>
      <c r="C34" s="2" t="n"/>
      <c r="D34" s="8" t="n"/>
      <c r="E34" s="8" t="n"/>
      <c r="G34" s="4" t="n"/>
      <c r="H34" s="2" t="n"/>
      <c r="I34" s="8" t="n"/>
      <c r="J34" s="8" t="n"/>
      <c r="L34" s="4" t="n"/>
      <c r="M34" s="2" t="n"/>
      <c r="N34" s="8" t="n"/>
      <c r="O34" s="8" t="n"/>
      <c r="Q34" s="4" t="n"/>
      <c r="R34" s="2" t="n"/>
      <c r="S34" s="8" t="n"/>
      <c r="T34" s="8" t="n"/>
      <c r="V34" s="4" t="n"/>
      <c r="W34" s="2" t="n"/>
      <c r="X34" s="8" t="n"/>
      <c r="Y34" s="8" t="n"/>
    </row>
    <row r="35" ht="15" customHeight="1" s="11">
      <c r="A35" s="2" t="n">
        <v>33</v>
      </c>
      <c r="B35" s="4" t="n"/>
      <c r="C35" s="2" t="n"/>
      <c r="D35" s="8" t="n"/>
      <c r="E35" s="8" t="n"/>
      <c r="G35" s="4" t="n"/>
      <c r="H35" s="2" t="n"/>
      <c r="I35" s="8" t="n"/>
      <c r="J35" s="8" t="n"/>
      <c r="L35" s="4" t="n"/>
      <c r="M35" s="2" t="n"/>
      <c r="N35" s="8" t="n"/>
      <c r="O35" s="8" t="n"/>
      <c r="Q35" s="4" t="n"/>
      <c r="R35" s="2" t="n"/>
      <c r="S35" s="8" t="n"/>
      <c r="T35" s="8" t="n"/>
      <c r="V35" s="4" t="n"/>
      <c r="W35" s="2" t="n"/>
      <c r="X35" s="8" t="n"/>
      <c r="Y35" s="8" t="n"/>
    </row>
    <row r="36" ht="15" customHeight="1" s="11">
      <c r="A36" s="2" t="n">
        <v>34</v>
      </c>
      <c r="B36" s="4" t="n"/>
      <c r="C36" s="2" t="n"/>
      <c r="D36" s="8" t="n"/>
      <c r="E36" s="8" t="n"/>
      <c r="G36" s="4" t="n"/>
      <c r="H36" s="2" t="n"/>
      <c r="I36" s="8" t="n"/>
      <c r="J36" s="8" t="n"/>
      <c r="L36" s="4" t="n"/>
      <c r="M36" s="2" t="n"/>
      <c r="N36" s="8" t="n"/>
      <c r="O36" s="8" t="n"/>
      <c r="Q36" s="4" t="n"/>
      <c r="R36" s="2" t="n"/>
      <c r="S36" s="8" t="n"/>
      <c r="T36" s="8" t="n"/>
      <c r="V36" s="4" t="n"/>
      <c r="W36" s="2" t="n"/>
      <c r="X36" s="8" t="n"/>
      <c r="Y36" s="8" t="n"/>
    </row>
    <row r="37" ht="15" customHeight="1" s="11">
      <c r="A37" s="2" t="n">
        <v>35</v>
      </c>
      <c r="B37" s="4" t="n"/>
      <c r="C37" s="2" t="n"/>
      <c r="D37" s="8" t="n"/>
      <c r="E37" s="8" t="n"/>
      <c r="G37" s="4" t="n"/>
      <c r="H37" s="2" t="n"/>
      <c r="I37" s="8" t="n"/>
      <c r="J37" s="8" t="n"/>
      <c r="L37" s="4" t="n"/>
      <c r="M37" s="2" t="n"/>
      <c r="N37" s="8" t="n"/>
      <c r="O37" s="8" t="n"/>
      <c r="Q37" s="4" t="n"/>
      <c r="R37" s="2" t="n"/>
      <c r="S37" s="8" t="n"/>
      <c r="T37" s="8" t="n"/>
      <c r="V37" s="4" t="n"/>
      <c r="W37" s="2" t="n"/>
      <c r="X37" s="8" t="n"/>
      <c r="Y37" s="8" t="n"/>
    </row>
    <row r="38" ht="15" customHeight="1" s="11">
      <c r="A38" s="2" t="n">
        <v>36</v>
      </c>
      <c r="B38" s="4" t="n"/>
      <c r="C38" s="2" t="n"/>
      <c r="D38" s="8" t="n"/>
      <c r="E38" s="8" t="n"/>
      <c r="G38" s="4" t="n"/>
      <c r="H38" s="2" t="n"/>
      <c r="I38" s="8" t="n"/>
      <c r="J38" s="8" t="n"/>
      <c r="L38" s="4" t="n"/>
      <c r="M38" s="2" t="n"/>
      <c r="N38" s="8" t="n"/>
      <c r="O38" s="8" t="n"/>
      <c r="Q38" s="4" t="n"/>
      <c r="R38" s="2" t="n"/>
      <c r="S38" s="8" t="n"/>
      <c r="T38" s="8" t="n"/>
      <c r="V38" s="4" t="n"/>
      <c r="W38" s="2" t="n"/>
      <c r="X38" s="8" t="n"/>
      <c r="Y38" s="8" t="n"/>
    </row>
    <row r="39" ht="15" customHeight="1" s="11">
      <c r="A39" s="2" t="n">
        <v>37</v>
      </c>
      <c r="B39" s="4" t="n"/>
      <c r="C39" s="2" t="n"/>
      <c r="D39" s="8" t="n"/>
      <c r="E39" s="8" t="n"/>
      <c r="G39" s="4" t="n"/>
      <c r="H39" s="2" t="n"/>
      <c r="I39" s="8" t="n"/>
      <c r="J39" s="8" t="n"/>
      <c r="L39" s="4" t="n"/>
      <c r="M39" s="2" t="n"/>
      <c r="N39" s="8" t="n"/>
      <c r="O39" s="8" t="n"/>
      <c r="Q39" s="4" t="n"/>
      <c r="R39" s="2" t="n"/>
      <c r="S39" s="8" t="n"/>
      <c r="T39" s="8" t="n"/>
      <c r="V39" s="4" t="n"/>
      <c r="W39" s="2" t="n"/>
      <c r="X39" s="8" t="n"/>
      <c r="Y39" s="8" t="n"/>
    </row>
  </sheetData>
  <dataValidations count="2">
    <dataValidation sqref="C3:C39 H3:H39 M3:M39 R3:R39 W3:W39" showDropDown="0" showInputMessage="1" showErrorMessage="1" allowBlank="1" errorTitle="入力エラー" error="1か2を入力してください" promptTitle="性別" prompt="1=男子 / 2=女子" type="list">
      <formula1>"1,2"</formula1>
      <formula2>0</formula2>
    </dataValidation>
    <dataValidation sqref="E3:E39 J3:J39 O3:O39 T3:T39 Y3:Y39" showDropDown="0" showInputMessage="1" showErrorMessage="1" allowBlank="1" errorTitle="入力エラー" error="赤か白を入力してください" promptTitle="赤or白" prompt="赤 / 白" type="list">
      <formula1>"赤,白"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88"/>
  <sheetViews>
    <sheetView workbookViewId="0">
      <selection activeCell="I9" sqref="I9"/>
    </sheetView>
  </sheetViews>
  <sheetFormatPr baseColWidth="8" defaultRowHeight="13.5"/>
  <cols>
    <col width="1.5" customWidth="1" style="11" min="5" max="5"/>
    <col width="5.25" customWidth="1" style="11" min="9" max="9"/>
    <col width="1" customWidth="1" style="11" min="14" max="14"/>
  </cols>
  <sheetData>
    <row r="1">
      <c r="A1" s="0" t="inlineStr">
        <is>
          <t>男子</t>
        </is>
      </c>
      <c r="J1" s="0" t="inlineStr">
        <is>
          <t>女子</t>
        </is>
      </c>
      <c r="S1" s="12">
        <f>IF(計算用!$Q$6&gt;0,"※名前はあるのに性別・タイム・赤白のどれかが未入力で、表に出ていない人が"&amp;計算用!$Q$6&amp;"人います","")</f>
        <v/>
      </c>
    </row>
    <row r="2">
      <c r="B2" s="0" t="inlineStr">
        <is>
          <t>赤組</t>
        </is>
      </c>
      <c r="F2" s="0" t="inlineStr">
        <is>
          <t>白組</t>
        </is>
      </c>
      <c r="K2" s="0" t="inlineStr">
        <is>
          <t>赤組</t>
        </is>
      </c>
      <c r="O2" s="0" t="inlineStr">
        <is>
          <t>白組</t>
        </is>
      </c>
    </row>
    <row r="3">
      <c r="A3" s="9" t="n"/>
      <c r="B3" s="9" t="inlineStr">
        <is>
          <t>名前</t>
        </is>
      </c>
      <c r="C3" s="9" t="inlineStr">
        <is>
          <t>クラス</t>
        </is>
      </c>
      <c r="D3" s="9" t="inlineStr">
        <is>
          <t>タイム</t>
        </is>
      </c>
      <c r="E3" s="10" t="n"/>
      <c r="F3" s="9" t="inlineStr">
        <is>
          <t>名前</t>
        </is>
      </c>
      <c r="G3" s="9" t="inlineStr">
        <is>
          <t>クラス</t>
        </is>
      </c>
      <c r="H3" s="9" t="inlineStr">
        <is>
          <t>タイム</t>
        </is>
      </c>
      <c r="J3" s="9" t="n"/>
      <c r="K3" s="9" t="inlineStr">
        <is>
          <t>名前</t>
        </is>
      </c>
      <c r="L3" s="9" t="inlineStr">
        <is>
          <t>クラス</t>
        </is>
      </c>
      <c r="M3" s="9" t="inlineStr">
        <is>
          <t>タイム</t>
        </is>
      </c>
      <c r="N3" s="10" t="n"/>
      <c r="O3" s="9" t="inlineStr">
        <is>
          <t>名前</t>
        </is>
      </c>
      <c r="P3" s="9" t="inlineStr">
        <is>
          <t>クラス</t>
        </is>
      </c>
      <c r="Q3" s="9" t="inlineStr">
        <is>
          <t>タイム</t>
        </is>
      </c>
    </row>
    <row r="4">
      <c r="A4" s="13">
        <f>IF(ROW()-3&lt;=MAX(計算用!$Q$2,計算用!$Q$3),ROW()-3,"")</f>
        <v/>
      </c>
      <c r="B4" s="13">
        <f>IFERROR(INDEX(計算用!$D$2:$D$186,MATCH("男赤"&amp;$A4,計算用!$L$2:$L$186,0)),"")</f>
        <v/>
      </c>
      <c r="C4" s="13">
        <f>IFERROR(INDEX(計算用!$M$2:$M$186,MATCH("男赤"&amp;$A4,計算用!$L$2:$L$186,0)),"")</f>
        <v/>
      </c>
      <c r="D4" s="14">
        <f>IFERROR(INDEX(計算用!$G$2:$G$186,MATCH("男赤"&amp;$A4,計算用!$L$2:$L$186,0)),"")</f>
        <v/>
      </c>
      <c r="E4" s="13" t="n"/>
      <c r="F4" s="13">
        <f>IFERROR(INDEX(計算用!$D$2:$D$186,MATCH("男白"&amp;$A4,計算用!$L$2:$L$186,0)),"")</f>
        <v/>
      </c>
      <c r="G4" s="13">
        <f>IFERROR(INDEX(計算用!$M$2:$M$186,MATCH("男白"&amp;$A4,計算用!$L$2:$L$186,0)),"")</f>
        <v/>
      </c>
      <c r="H4" s="14">
        <f>IFERROR(INDEX(計算用!$G$2:$G$186,MATCH("男白"&amp;$A4,計算用!$L$2:$L$186,0)),"")</f>
        <v/>
      </c>
      <c r="I4" s="15" t="n"/>
      <c r="J4" s="13">
        <f>IF(ROW()-3&lt;=MAX(計算用!$Q$4,計算用!$Q$5),ROW()-3,"")</f>
        <v/>
      </c>
      <c r="K4" s="13">
        <f>IFERROR(INDEX(計算用!$D$2:$D$186,MATCH("女赤"&amp;$J4,計算用!$L$2:$L$186,0)),"")</f>
        <v/>
      </c>
      <c r="L4" s="13">
        <f>IFERROR(INDEX(計算用!$M$2:$M$186,MATCH("女赤"&amp;$J4,計算用!$L$2:$L$186,0)),"")</f>
        <v/>
      </c>
      <c r="M4" s="14">
        <f>IFERROR(INDEX(計算用!$G$2:$G$186,MATCH("女赤"&amp;$J4,計算用!$L$2:$L$186,0)),"")</f>
        <v/>
      </c>
      <c r="N4" s="13" t="n"/>
      <c r="O4" s="13">
        <f>IFERROR(INDEX(計算用!$D$2:$D$186,MATCH("女白"&amp;$J4,計算用!$L$2:$L$186,0)),"")</f>
        <v/>
      </c>
      <c r="P4" s="13">
        <f>IFERROR(INDEX(計算用!$M$2:$M$186,MATCH("女白"&amp;$J4,計算用!$L$2:$L$186,0)),"")</f>
        <v/>
      </c>
      <c r="Q4" s="14">
        <f>IFERROR(INDEX(計算用!$G$2:$G$186,MATCH("女白"&amp;$J4,計算用!$L$2:$L$186,0)),"")</f>
        <v/>
      </c>
    </row>
    <row r="5">
      <c r="A5" s="13">
        <f>IF(ROW()-3&lt;=MAX(計算用!$Q$2,計算用!$Q$3),ROW()-3,"")</f>
        <v/>
      </c>
      <c r="B5" s="13">
        <f>IFERROR(INDEX(計算用!$D$2:$D$186,MATCH("男赤"&amp;$A5,計算用!$L$2:$L$186,0)),"")</f>
        <v/>
      </c>
      <c r="C5" s="13">
        <f>IFERROR(INDEX(計算用!$M$2:$M$186,MATCH("男赤"&amp;$A5,計算用!$L$2:$L$186,0)),"")</f>
        <v/>
      </c>
      <c r="D5" s="14">
        <f>IFERROR(INDEX(計算用!$G$2:$G$186,MATCH("男赤"&amp;$A5,計算用!$L$2:$L$186,0)),"")</f>
        <v/>
      </c>
      <c r="E5" s="13" t="n"/>
      <c r="F5" s="13">
        <f>IFERROR(INDEX(計算用!$D$2:$D$186,MATCH("男白"&amp;$A5,計算用!$L$2:$L$186,0)),"")</f>
        <v/>
      </c>
      <c r="G5" s="13">
        <f>IFERROR(INDEX(計算用!$M$2:$M$186,MATCH("男白"&amp;$A5,計算用!$L$2:$L$186,0)),"")</f>
        <v/>
      </c>
      <c r="H5" s="14">
        <f>IFERROR(INDEX(計算用!$G$2:$G$186,MATCH("男白"&amp;$A5,計算用!$L$2:$L$186,0)),"")</f>
        <v/>
      </c>
      <c r="I5" s="15" t="n"/>
      <c r="J5" s="13">
        <f>IF(ROW()-3&lt;=MAX(計算用!$Q$4,計算用!$Q$5),ROW()-3,"")</f>
        <v/>
      </c>
      <c r="K5" s="13">
        <f>IFERROR(INDEX(計算用!$D$2:$D$186,MATCH("女赤"&amp;$J5,計算用!$L$2:$L$186,0)),"")</f>
        <v/>
      </c>
      <c r="L5" s="13">
        <f>IFERROR(INDEX(計算用!$M$2:$M$186,MATCH("女赤"&amp;$J5,計算用!$L$2:$L$186,0)),"")</f>
        <v/>
      </c>
      <c r="M5" s="14">
        <f>IFERROR(INDEX(計算用!$G$2:$G$186,MATCH("女赤"&amp;$J5,計算用!$L$2:$L$186,0)),"")</f>
        <v/>
      </c>
      <c r="N5" s="13" t="n"/>
      <c r="O5" s="13">
        <f>IFERROR(INDEX(計算用!$D$2:$D$186,MATCH("女白"&amp;$J5,計算用!$L$2:$L$186,0)),"")</f>
        <v/>
      </c>
      <c r="P5" s="13">
        <f>IFERROR(INDEX(計算用!$M$2:$M$186,MATCH("女白"&amp;$J5,計算用!$L$2:$L$186,0)),"")</f>
        <v/>
      </c>
      <c r="Q5" s="14">
        <f>IFERROR(INDEX(計算用!$G$2:$G$186,MATCH("女白"&amp;$J5,計算用!$L$2:$L$186,0)),"")</f>
        <v/>
      </c>
    </row>
    <row r="6">
      <c r="A6" s="15">
        <f>IF(ROW()-3&lt;=MAX(計算用!$Q$2,計算用!$Q$3),ROW()-3,"")</f>
        <v/>
      </c>
      <c r="B6" s="15">
        <f>IFERROR(INDEX(計算用!$D$2:$D$186,MATCH("男赤"&amp;$A6,計算用!$L$2:$L$186,0)),"")</f>
        <v/>
      </c>
      <c r="C6" s="15">
        <f>IFERROR(INDEX(計算用!$M$2:$M$186,MATCH("男赤"&amp;$A6,計算用!$L$2:$L$186,0)),"")</f>
        <v/>
      </c>
      <c r="D6" s="16">
        <f>IFERROR(INDEX(計算用!$G$2:$G$186,MATCH("男赤"&amp;$A6,計算用!$L$2:$L$186,0)),"")</f>
        <v/>
      </c>
      <c r="E6" s="15" t="n"/>
      <c r="F6" s="15">
        <f>IFERROR(INDEX(計算用!$D$2:$D$186,MATCH("男白"&amp;$A6,計算用!$L$2:$L$186,0)),"")</f>
        <v/>
      </c>
      <c r="G6" s="15">
        <f>IFERROR(INDEX(計算用!$M$2:$M$186,MATCH("男白"&amp;$A6,計算用!$L$2:$L$186,0)),"")</f>
        <v/>
      </c>
      <c r="H6" s="16">
        <f>IFERROR(INDEX(計算用!$G$2:$G$186,MATCH("男白"&amp;$A6,計算用!$L$2:$L$186,0)),"")</f>
        <v/>
      </c>
      <c r="I6" s="15" t="n"/>
      <c r="J6" s="15">
        <f>IF(ROW()-3&lt;=MAX(計算用!$Q$4,計算用!$Q$5),ROW()-3,"")</f>
        <v/>
      </c>
      <c r="K6" s="15">
        <f>IFERROR(INDEX(計算用!$D$2:$D$186,MATCH("女赤"&amp;$J6,計算用!$L$2:$L$186,0)),"")</f>
        <v/>
      </c>
      <c r="L6" s="15">
        <f>IFERROR(INDEX(計算用!$M$2:$M$186,MATCH("女赤"&amp;$J6,計算用!$L$2:$L$186,0)),"")</f>
        <v/>
      </c>
      <c r="M6" s="16">
        <f>IFERROR(INDEX(計算用!$G$2:$G$186,MATCH("女赤"&amp;$J6,計算用!$L$2:$L$186,0)),"")</f>
        <v/>
      </c>
      <c r="N6" s="15" t="n"/>
      <c r="O6" s="15">
        <f>IFERROR(INDEX(計算用!$D$2:$D$186,MATCH("女白"&amp;$J6,計算用!$L$2:$L$186,0)),"")</f>
        <v/>
      </c>
      <c r="P6" s="15">
        <f>IFERROR(INDEX(計算用!$M$2:$M$186,MATCH("女白"&amp;$J6,計算用!$L$2:$L$186,0)),"")</f>
        <v/>
      </c>
      <c r="Q6" s="16">
        <f>IFERROR(INDEX(計算用!$G$2:$G$186,MATCH("女白"&amp;$J6,計算用!$L$2:$L$186,0)),"")</f>
        <v/>
      </c>
    </row>
    <row r="7">
      <c r="A7" s="15">
        <f>IF(ROW()-3&lt;=MAX(計算用!$Q$2,計算用!$Q$3),ROW()-3,"")</f>
        <v/>
      </c>
      <c r="B7" s="15">
        <f>IFERROR(INDEX(計算用!$D$2:$D$186,MATCH("男赤"&amp;$A7,計算用!$L$2:$L$186,0)),"")</f>
        <v/>
      </c>
      <c r="C7" s="15">
        <f>IFERROR(INDEX(計算用!$M$2:$M$186,MATCH("男赤"&amp;$A7,計算用!$L$2:$L$186,0)),"")</f>
        <v/>
      </c>
      <c r="D7" s="16">
        <f>IFERROR(INDEX(計算用!$G$2:$G$186,MATCH("男赤"&amp;$A7,計算用!$L$2:$L$186,0)),"")</f>
        <v/>
      </c>
      <c r="E7" s="15" t="n"/>
      <c r="F7" s="15">
        <f>IFERROR(INDEX(計算用!$D$2:$D$186,MATCH("男白"&amp;$A7,計算用!$L$2:$L$186,0)),"")</f>
        <v/>
      </c>
      <c r="G7" s="15">
        <f>IFERROR(INDEX(計算用!$M$2:$M$186,MATCH("男白"&amp;$A7,計算用!$L$2:$L$186,0)),"")</f>
        <v/>
      </c>
      <c r="H7" s="16">
        <f>IFERROR(INDEX(計算用!$G$2:$G$186,MATCH("男白"&amp;$A7,計算用!$L$2:$L$186,0)),"")</f>
        <v/>
      </c>
      <c r="I7" s="15" t="n"/>
      <c r="J7" s="15">
        <f>IF(ROW()-3&lt;=MAX(計算用!$Q$4,計算用!$Q$5),ROW()-3,"")</f>
        <v/>
      </c>
      <c r="K7" s="15">
        <f>IFERROR(INDEX(計算用!$D$2:$D$186,MATCH("女赤"&amp;$J7,計算用!$L$2:$L$186,0)),"")</f>
        <v/>
      </c>
      <c r="L7" s="15">
        <f>IFERROR(INDEX(計算用!$M$2:$M$186,MATCH("女赤"&amp;$J7,計算用!$L$2:$L$186,0)),"")</f>
        <v/>
      </c>
      <c r="M7" s="16">
        <f>IFERROR(INDEX(計算用!$G$2:$G$186,MATCH("女赤"&amp;$J7,計算用!$L$2:$L$186,0)),"")</f>
        <v/>
      </c>
      <c r="N7" s="15" t="n"/>
      <c r="O7" s="15">
        <f>IFERROR(INDEX(計算用!$D$2:$D$186,MATCH("女白"&amp;$J7,計算用!$L$2:$L$186,0)),"")</f>
        <v/>
      </c>
      <c r="P7" s="15">
        <f>IFERROR(INDEX(計算用!$M$2:$M$186,MATCH("女白"&amp;$J7,計算用!$L$2:$L$186,0)),"")</f>
        <v/>
      </c>
      <c r="Q7" s="16">
        <f>IFERROR(INDEX(計算用!$G$2:$G$186,MATCH("女白"&amp;$J7,計算用!$L$2:$L$186,0)),"")</f>
        <v/>
      </c>
    </row>
    <row r="8">
      <c r="A8" s="15">
        <f>IF(ROW()-3&lt;=MAX(計算用!$Q$2,計算用!$Q$3),ROW()-3,"")</f>
        <v/>
      </c>
      <c r="B8" s="15">
        <f>IFERROR(INDEX(計算用!$D$2:$D$186,MATCH("男赤"&amp;$A8,計算用!$L$2:$L$186,0)),"")</f>
        <v/>
      </c>
      <c r="C8" s="15">
        <f>IFERROR(INDEX(計算用!$M$2:$M$186,MATCH("男赤"&amp;$A8,計算用!$L$2:$L$186,0)),"")</f>
        <v/>
      </c>
      <c r="D8" s="16">
        <f>IFERROR(INDEX(計算用!$G$2:$G$186,MATCH("男赤"&amp;$A8,計算用!$L$2:$L$186,0)),"")</f>
        <v/>
      </c>
      <c r="E8" s="15" t="n"/>
      <c r="F8" s="15">
        <f>IFERROR(INDEX(計算用!$D$2:$D$186,MATCH("男白"&amp;$A8,計算用!$L$2:$L$186,0)),"")</f>
        <v/>
      </c>
      <c r="G8" s="15">
        <f>IFERROR(INDEX(計算用!$M$2:$M$186,MATCH("男白"&amp;$A8,計算用!$L$2:$L$186,0)),"")</f>
        <v/>
      </c>
      <c r="H8" s="16">
        <f>IFERROR(INDEX(計算用!$G$2:$G$186,MATCH("男白"&amp;$A8,計算用!$L$2:$L$186,0)),"")</f>
        <v/>
      </c>
      <c r="I8" s="15" t="n"/>
      <c r="J8" s="15">
        <f>IF(ROW()-3&lt;=MAX(計算用!$Q$4,計算用!$Q$5),ROW()-3,"")</f>
        <v/>
      </c>
      <c r="K8" s="15">
        <f>IFERROR(INDEX(計算用!$D$2:$D$186,MATCH("女赤"&amp;$J8,計算用!$L$2:$L$186,0)),"")</f>
        <v/>
      </c>
      <c r="L8" s="15">
        <f>IFERROR(INDEX(計算用!$M$2:$M$186,MATCH("女赤"&amp;$J8,計算用!$L$2:$L$186,0)),"")</f>
        <v/>
      </c>
      <c r="M8" s="16">
        <f>IFERROR(INDEX(計算用!$G$2:$G$186,MATCH("女赤"&amp;$J8,計算用!$L$2:$L$186,0)),"")</f>
        <v/>
      </c>
      <c r="N8" s="15" t="n"/>
      <c r="O8" s="15">
        <f>IFERROR(INDEX(計算用!$D$2:$D$186,MATCH("女白"&amp;$J8,計算用!$L$2:$L$186,0)),"")</f>
        <v/>
      </c>
      <c r="P8" s="15">
        <f>IFERROR(INDEX(計算用!$M$2:$M$186,MATCH("女白"&amp;$J8,計算用!$L$2:$L$186,0)),"")</f>
        <v/>
      </c>
      <c r="Q8" s="16">
        <f>IFERROR(INDEX(計算用!$G$2:$G$186,MATCH("女白"&amp;$J8,計算用!$L$2:$L$186,0)),"")</f>
        <v/>
      </c>
    </row>
    <row r="9">
      <c r="A9" s="15">
        <f>IF(ROW()-3&lt;=MAX(計算用!$Q$2,計算用!$Q$3),ROW()-3,"")</f>
        <v/>
      </c>
      <c r="B9" s="15">
        <f>IFERROR(INDEX(計算用!$D$2:$D$186,MATCH("男赤"&amp;$A9,計算用!$L$2:$L$186,0)),"")</f>
        <v/>
      </c>
      <c r="C9" s="15">
        <f>IFERROR(INDEX(計算用!$M$2:$M$186,MATCH("男赤"&amp;$A9,計算用!$L$2:$L$186,0)),"")</f>
        <v/>
      </c>
      <c r="D9" s="16">
        <f>IFERROR(INDEX(計算用!$G$2:$G$186,MATCH("男赤"&amp;$A9,計算用!$L$2:$L$186,0)),"")</f>
        <v/>
      </c>
      <c r="E9" s="15" t="n"/>
      <c r="F9" s="15">
        <f>IFERROR(INDEX(計算用!$D$2:$D$186,MATCH("男白"&amp;$A9,計算用!$L$2:$L$186,0)),"")</f>
        <v/>
      </c>
      <c r="G9" s="15">
        <f>IFERROR(INDEX(計算用!$M$2:$M$186,MATCH("男白"&amp;$A9,計算用!$L$2:$L$186,0)),"")</f>
        <v/>
      </c>
      <c r="H9" s="16">
        <f>IFERROR(INDEX(計算用!$G$2:$G$186,MATCH("男白"&amp;$A9,計算用!$L$2:$L$186,0)),"")</f>
        <v/>
      </c>
      <c r="I9" s="15" t="n"/>
      <c r="J9" s="15">
        <f>IF(ROW()-3&lt;=MAX(計算用!$Q$4,計算用!$Q$5),ROW()-3,"")</f>
        <v/>
      </c>
      <c r="K9" s="15">
        <f>IFERROR(INDEX(計算用!$D$2:$D$186,MATCH("女赤"&amp;$J9,計算用!$L$2:$L$186,0)),"")</f>
        <v/>
      </c>
      <c r="L9" s="15">
        <f>IFERROR(INDEX(計算用!$M$2:$M$186,MATCH("女赤"&amp;$J9,計算用!$L$2:$L$186,0)),"")</f>
        <v/>
      </c>
      <c r="M9" s="16">
        <f>IFERROR(INDEX(計算用!$G$2:$G$186,MATCH("女赤"&amp;$J9,計算用!$L$2:$L$186,0)),"")</f>
        <v/>
      </c>
      <c r="N9" s="15" t="n"/>
      <c r="O9" s="15">
        <f>IFERROR(INDEX(計算用!$D$2:$D$186,MATCH("女白"&amp;$J9,計算用!$L$2:$L$186,0)),"")</f>
        <v/>
      </c>
      <c r="P9" s="15">
        <f>IFERROR(INDEX(計算用!$M$2:$M$186,MATCH("女白"&amp;$J9,計算用!$L$2:$L$186,0)),"")</f>
        <v/>
      </c>
      <c r="Q9" s="16">
        <f>IFERROR(INDEX(計算用!$G$2:$G$186,MATCH("女白"&amp;$J9,計算用!$L$2:$L$186,0)),"")</f>
        <v/>
      </c>
    </row>
    <row r="10">
      <c r="A10" s="15">
        <f>IF(ROW()-3&lt;=MAX(計算用!$Q$2,計算用!$Q$3),ROW()-3,"")</f>
        <v/>
      </c>
      <c r="B10" s="15">
        <f>IFERROR(INDEX(計算用!$D$2:$D$186,MATCH("男赤"&amp;$A10,計算用!$L$2:$L$186,0)),"")</f>
        <v/>
      </c>
      <c r="C10" s="15">
        <f>IFERROR(INDEX(計算用!$M$2:$M$186,MATCH("男赤"&amp;$A10,計算用!$L$2:$L$186,0)),"")</f>
        <v/>
      </c>
      <c r="D10" s="16">
        <f>IFERROR(INDEX(計算用!$G$2:$G$186,MATCH("男赤"&amp;$A10,計算用!$L$2:$L$186,0)),"")</f>
        <v/>
      </c>
      <c r="E10" s="15" t="n"/>
      <c r="F10" s="15">
        <f>IFERROR(INDEX(計算用!$D$2:$D$186,MATCH("男白"&amp;$A10,計算用!$L$2:$L$186,0)),"")</f>
        <v/>
      </c>
      <c r="G10" s="15">
        <f>IFERROR(INDEX(計算用!$M$2:$M$186,MATCH("男白"&amp;$A10,計算用!$L$2:$L$186,0)),"")</f>
        <v/>
      </c>
      <c r="H10" s="16">
        <f>IFERROR(INDEX(計算用!$G$2:$G$186,MATCH("男白"&amp;$A10,計算用!$L$2:$L$186,0)),"")</f>
        <v/>
      </c>
      <c r="I10" s="15" t="n"/>
      <c r="J10" s="15">
        <f>IF(ROW()-3&lt;=MAX(計算用!$Q$4,計算用!$Q$5),ROW()-3,"")</f>
        <v/>
      </c>
      <c r="K10" s="15">
        <f>IFERROR(INDEX(計算用!$D$2:$D$186,MATCH("女赤"&amp;$J10,計算用!$L$2:$L$186,0)),"")</f>
        <v/>
      </c>
      <c r="L10" s="15">
        <f>IFERROR(INDEX(計算用!$M$2:$M$186,MATCH("女赤"&amp;$J10,計算用!$L$2:$L$186,0)),"")</f>
        <v/>
      </c>
      <c r="M10" s="16">
        <f>IFERROR(INDEX(計算用!$G$2:$G$186,MATCH("女赤"&amp;$J10,計算用!$L$2:$L$186,0)),"")</f>
        <v/>
      </c>
      <c r="N10" s="15" t="n"/>
      <c r="O10" s="15">
        <f>IFERROR(INDEX(計算用!$D$2:$D$186,MATCH("女白"&amp;$J10,計算用!$L$2:$L$186,0)),"")</f>
        <v/>
      </c>
      <c r="P10" s="15">
        <f>IFERROR(INDEX(計算用!$M$2:$M$186,MATCH("女白"&amp;$J10,計算用!$L$2:$L$186,0)),"")</f>
        <v/>
      </c>
      <c r="Q10" s="16">
        <f>IFERROR(INDEX(計算用!$G$2:$G$186,MATCH("女白"&amp;$J10,計算用!$L$2:$L$186,0)),"")</f>
        <v/>
      </c>
    </row>
    <row r="11">
      <c r="A11" s="15">
        <f>IF(ROW()-3&lt;=MAX(計算用!$Q$2,計算用!$Q$3),ROW()-3,"")</f>
        <v/>
      </c>
      <c r="B11" s="15">
        <f>IFERROR(INDEX(計算用!$D$2:$D$186,MATCH("男赤"&amp;$A11,計算用!$L$2:$L$186,0)),"")</f>
        <v/>
      </c>
      <c r="C11" s="15">
        <f>IFERROR(INDEX(計算用!$M$2:$M$186,MATCH("男赤"&amp;$A11,計算用!$L$2:$L$186,0)),"")</f>
        <v/>
      </c>
      <c r="D11" s="16">
        <f>IFERROR(INDEX(計算用!$G$2:$G$186,MATCH("男赤"&amp;$A11,計算用!$L$2:$L$186,0)),"")</f>
        <v/>
      </c>
      <c r="E11" s="15" t="n"/>
      <c r="F11" s="15">
        <f>IFERROR(INDEX(計算用!$D$2:$D$186,MATCH("男白"&amp;$A11,計算用!$L$2:$L$186,0)),"")</f>
        <v/>
      </c>
      <c r="G11" s="15">
        <f>IFERROR(INDEX(計算用!$M$2:$M$186,MATCH("男白"&amp;$A11,計算用!$L$2:$L$186,0)),"")</f>
        <v/>
      </c>
      <c r="H11" s="16">
        <f>IFERROR(INDEX(計算用!$G$2:$G$186,MATCH("男白"&amp;$A11,計算用!$L$2:$L$186,0)),"")</f>
        <v/>
      </c>
      <c r="I11" s="15" t="n"/>
      <c r="J11" s="15">
        <f>IF(ROW()-3&lt;=MAX(計算用!$Q$4,計算用!$Q$5),ROW()-3,"")</f>
        <v/>
      </c>
      <c r="K11" s="15">
        <f>IFERROR(INDEX(計算用!$D$2:$D$186,MATCH("女赤"&amp;$J11,計算用!$L$2:$L$186,0)),"")</f>
        <v/>
      </c>
      <c r="L11" s="15">
        <f>IFERROR(INDEX(計算用!$M$2:$M$186,MATCH("女赤"&amp;$J11,計算用!$L$2:$L$186,0)),"")</f>
        <v/>
      </c>
      <c r="M11" s="16">
        <f>IFERROR(INDEX(計算用!$G$2:$G$186,MATCH("女赤"&amp;$J11,計算用!$L$2:$L$186,0)),"")</f>
        <v/>
      </c>
      <c r="N11" s="15" t="n"/>
      <c r="O11" s="15">
        <f>IFERROR(INDEX(計算用!$D$2:$D$186,MATCH("女白"&amp;$J11,計算用!$L$2:$L$186,0)),"")</f>
        <v/>
      </c>
      <c r="P11" s="15">
        <f>IFERROR(INDEX(計算用!$M$2:$M$186,MATCH("女白"&amp;$J11,計算用!$L$2:$L$186,0)),"")</f>
        <v/>
      </c>
      <c r="Q11" s="16">
        <f>IFERROR(INDEX(計算用!$G$2:$G$186,MATCH("女白"&amp;$J11,計算用!$L$2:$L$186,0)),"")</f>
        <v/>
      </c>
    </row>
    <row r="12">
      <c r="A12" s="15">
        <f>IF(ROW()-3&lt;=MAX(計算用!$Q$2,計算用!$Q$3),ROW()-3,"")</f>
        <v/>
      </c>
      <c r="B12" s="15">
        <f>IFERROR(INDEX(計算用!$D$2:$D$186,MATCH("男赤"&amp;$A12,計算用!$L$2:$L$186,0)),"")</f>
        <v/>
      </c>
      <c r="C12" s="15">
        <f>IFERROR(INDEX(計算用!$M$2:$M$186,MATCH("男赤"&amp;$A12,計算用!$L$2:$L$186,0)),"")</f>
        <v/>
      </c>
      <c r="D12" s="16">
        <f>IFERROR(INDEX(計算用!$G$2:$G$186,MATCH("男赤"&amp;$A12,計算用!$L$2:$L$186,0)),"")</f>
        <v/>
      </c>
      <c r="E12" s="15" t="n"/>
      <c r="F12" s="15">
        <f>IFERROR(INDEX(計算用!$D$2:$D$186,MATCH("男白"&amp;$A12,計算用!$L$2:$L$186,0)),"")</f>
        <v/>
      </c>
      <c r="G12" s="15">
        <f>IFERROR(INDEX(計算用!$M$2:$M$186,MATCH("男白"&amp;$A12,計算用!$L$2:$L$186,0)),"")</f>
        <v/>
      </c>
      <c r="H12" s="16">
        <f>IFERROR(INDEX(計算用!$G$2:$G$186,MATCH("男白"&amp;$A12,計算用!$L$2:$L$186,0)),"")</f>
        <v/>
      </c>
      <c r="I12" s="15" t="n"/>
      <c r="J12" s="15">
        <f>IF(ROW()-3&lt;=MAX(計算用!$Q$4,計算用!$Q$5),ROW()-3,"")</f>
        <v/>
      </c>
      <c r="K12" s="15">
        <f>IFERROR(INDEX(計算用!$D$2:$D$186,MATCH("女赤"&amp;$J12,計算用!$L$2:$L$186,0)),"")</f>
        <v/>
      </c>
      <c r="L12" s="15">
        <f>IFERROR(INDEX(計算用!$M$2:$M$186,MATCH("女赤"&amp;$J12,計算用!$L$2:$L$186,0)),"")</f>
        <v/>
      </c>
      <c r="M12" s="16">
        <f>IFERROR(INDEX(計算用!$G$2:$G$186,MATCH("女赤"&amp;$J12,計算用!$L$2:$L$186,0)),"")</f>
        <v/>
      </c>
      <c r="N12" s="15" t="n"/>
      <c r="O12" s="15">
        <f>IFERROR(INDEX(計算用!$D$2:$D$186,MATCH("女白"&amp;$J12,計算用!$L$2:$L$186,0)),"")</f>
        <v/>
      </c>
      <c r="P12" s="15">
        <f>IFERROR(INDEX(計算用!$M$2:$M$186,MATCH("女白"&amp;$J12,計算用!$L$2:$L$186,0)),"")</f>
        <v/>
      </c>
      <c r="Q12" s="16">
        <f>IFERROR(INDEX(計算用!$G$2:$G$186,MATCH("女白"&amp;$J12,計算用!$L$2:$L$186,0)),"")</f>
        <v/>
      </c>
    </row>
    <row r="13">
      <c r="A13" s="15">
        <f>IF(ROW()-3&lt;=MAX(計算用!$Q$2,計算用!$Q$3),ROW()-3,"")</f>
        <v/>
      </c>
      <c r="B13" s="15">
        <f>IFERROR(INDEX(計算用!$D$2:$D$186,MATCH("男赤"&amp;$A13,計算用!$L$2:$L$186,0)),"")</f>
        <v/>
      </c>
      <c r="C13" s="15">
        <f>IFERROR(INDEX(計算用!$M$2:$M$186,MATCH("男赤"&amp;$A13,計算用!$L$2:$L$186,0)),"")</f>
        <v/>
      </c>
      <c r="D13" s="16">
        <f>IFERROR(INDEX(計算用!$G$2:$G$186,MATCH("男赤"&amp;$A13,計算用!$L$2:$L$186,0)),"")</f>
        <v/>
      </c>
      <c r="E13" s="15" t="n"/>
      <c r="F13" s="15">
        <f>IFERROR(INDEX(計算用!$D$2:$D$186,MATCH("男白"&amp;$A13,計算用!$L$2:$L$186,0)),"")</f>
        <v/>
      </c>
      <c r="G13" s="15">
        <f>IFERROR(INDEX(計算用!$M$2:$M$186,MATCH("男白"&amp;$A13,計算用!$L$2:$L$186,0)),"")</f>
        <v/>
      </c>
      <c r="H13" s="16">
        <f>IFERROR(INDEX(計算用!$G$2:$G$186,MATCH("男白"&amp;$A13,計算用!$L$2:$L$186,0)),"")</f>
        <v/>
      </c>
      <c r="I13" s="15" t="n"/>
      <c r="J13" s="15">
        <f>IF(ROW()-3&lt;=MAX(計算用!$Q$4,計算用!$Q$5),ROW()-3,"")</f>
        <v/>
      </c>
      <c r="K13" s="15">
        <f>IFERROR(INDEX(計算用!$D$2:$D$186,MATCH("女赤"&amp;$J13,計算用!$L$2:$L$186,0)),"")</f>
        <v/>
      </c>
      <c r="L13" s="15">
        <f>IFERROR(INDEX(計算用!$M$2:$M$186,MATCH("女赤"&amp;$J13,計算用!$L$2:$L$186,0)),"")</f>
        <v/>
      </c>
      <c r="M13" s="16">
        <f>IFERROR(INDEX(計算用!$G$2:$G$186,MATCH("女赤"&amp;$J13,計算用!$L$2:$L$186,0)),"")</f>
        <v/>
      </c>
      <c r="N13" s="15" t="n"/>
      <c r="O13" s="15">
        <f>IFERROR(INDEX(計算用!$D$2:$D$186,MATCH("女白"&amp;$J13,計算用!$L$2:$L$186,0)),"")</f>
        <v/>
      </c>
      <c r="P13" s="15">
        <f>IFERROR(INDEX(計算用!$M$2:$M$186,MATCH("女白"&amp;$J13,計算用!$L$2:$L$186,0)),"")</f>
        <v/>
      </c>
      <c r="Q13" s="16">
        <f>IFERROR(INDEX(計算用!$G$2:$G$186,MATCH("女白"&amp;$J13,計算用!$L$2:$L$186,0)),"")</f>
        <v/>
      </c>
    </row>
    <row r="14">
      <c r="A14" s="15">
        <f>IF(ROW()-3&lt;=MAX(計算用!$Q$2,計算用!$Q$3),ROW()-3,"")</f>
        <v/>
      </c>
      <c r="B14" s="15">
        <f>IFERROR(INDEX(計算用!$D$2:$D$186,MATCH("男赤"&amp;$A14,計算用!$L$2:$L$186,0)),"")</f>
        <v/>
      </c>
      <c r="C14" s="15">
        <f>IFERROR(INDEX(計算用!$M$2:$M$186,MATCH("男赤"&amp;$A14,計算用!$L$2:$L$186,0)),"")</f>
        <v/>
      </c>
      <c r="D14" s="16">
        <f>IFERROR(INDEX(計算用!$G$2:$G$186,MATCH("男赤"&amp;$A14,計算用!$L$2:$L$186,0)),"")</f>
        <v/>
      </c>
      <c r="E14" s="15" t="n"/>
      <c r="F14" s="15">
        <f>IFERROR(INDEX(計算用!$D$2:$D$186,MATCH("男白"&amp;$A14,計算用!$L$2:$L$186,0)),"")</f>
        <v/>
      </c>
      <c r="G14" s="15">
        <f>IFERROR(INDEX(計算用!$M$2:$M$186,MATCH("男白"&amp;$A14,計算用!$L$2:$L$186,0)),"")</f>
        <v/>
      </c>
      <c r="H14" s="16">
        <f>IFERROR(INDEX(計算用!$G$2:$G$186,MATCH("男白"&amp;$A14,計算用!$L$2:$L$186,0)),"")</f>
        <v/>
      </c>
      <c r="I14" s="15" t="n"/>
      <c r="J14" s="15">
        <f>IF(ROW()-3&lt;=MAX(計算用!$Q$4,計算用!$Q$5),ROW()-3,"")</f>
        <v/>
      </c>
      <c r="K14" s="15">
        <f>IFERROR(INDEX(計算用!$D$2:$D$186,MATCH("女赤"&amp;$J14,計算用!$L$2:$L$186,0)),"")</f>
        <v/>
      </c>
      <c r="L14" s="15">
        <f>IFERROR(INDEX(計算用!$M$2:$M$186,MATCH("女赤"&amp;$J14,計算用!$L$2:$L$186,0)),"")</f>
        <v/>
      </c>
      <c r="M14" s="16">
        <f>IFERROR(INDEX(計算用!$G$2:$G$186,MATCH("女赤"&amp;$J14,計算用!$L$2:$L$186,0)),"")</f>
        <v/>
      </c>
      <c r="N14" s="15" t="n"/>
      <c r="O14" s="15">
        <f>IFERROR(INDEX(計算用!$D$2:$D$186,MATCH("女白"&amp;$J14,計算用!$L$2:$L$186,0)),"")</f>
        <v/>
      </c>
      <c r="P14" s="15">
        <f>IFERROR(INDEX(計算用!$M$2:$M$186,MATCH("女白"&amp;$J14,計算用!$L$2:$L$186,0)),"")</f>
        <v/>
      </c>
      <c r="Q14" s="16">
        <f>IFERROR(INDEX(計算用!$G$2:$G$186,MATCH("女白"&amp;$J14,計算用!$L$2:$L$186,0)),"")</f>
        <v/>
      </c>
    </row>
    <row r="15">
      <c r="A15" s="15">
        <f>IF(ROW()-3&lt;=MAX(計算用!$Q$2,計算用!$Q$3),ROW()-3,"")</f>
        <v/>
      </c>
      <c r="B15" s="15">
        <f>IFERROR(INDEX(計算用!$D$2:$D$186,MATCH("男赤"&amp;$A15,計算用!$L$2:$L$186,0)),"")</f>
        <v/>
      </c>
      <c r="C15" s="15">
        <f>IFERROR(INDEX(計算用!$M$2:$M$186,MATCH("男赤"&amp;$A15,計算用!$L$2:$L$186,0)),"")</f>
        <v/>
      </c>
      <c r="D15" s="16">
        <f>IFERROR(INDEX(計算用!$G$2:$G$186,MATCH("男赤"&amp;$A15,計算用!$L$2:$L$186,0)),"")</f>
        <v/>
      </c>
      <c r="E15" s="15" t="n"/>
      <c r="F15" s="15">
        <f>IFERROR(INDEX(計算用!$D$2:$D$186,MATCH("男白"&amp;$A15,計算用!$L$2:$L$186,0)),"")</f>
        <v/>
      </c>
      <c r="G15" s="15">
        <f>IFERROR(INDEX(計算用!$M$2:$M$186,MATCH("男白"&amp;$A15,計算用!$L$2:$L$186,0)),"")</f>
        <v/>
      </c>
      <c r="H15" s="16">
        <f>IFERROR(INDEX(計算用!$G$2:$G$186,MATCH("男白"&amp;$A15,計算用!$L$2:$L$186,0)),"")</f>
        <v/>
      </c>
      <c r="I15" s="15" t="n"/>
      <c r="J15" s="15">
        <f>IF(ROW()-3&lt;=MAX(計算用!$Q$4,計算用!$Q$5),ROW()-3,"")</f>
        <v/>
      </c>
      <c r="K15" s="15">
        <f>IFERROR(INDEX(計算用!$D$2:$D$186,MATCH("女赤"&amp;$J15,計算用!$L$2:$L$186,0)),"")</f>
        <v/>
      </c>
      <c r="L15" s="15">
        <f>IFERROR(INDEX(計算用!$M$2:$M$186,MATCH("女赤"&amp;$J15,計算用!$L$2:$L$186,0)),"")</f>
        <v/>
      </c>
      <c r="M15" s="16">
        <f>IFERROR(INDEX(計算用!$G$2:$G$186,MATCH("女赤"&amp;$J15,計算用!$L$2:$L$186,0)),"")</f>
        <v/>
      </c>
      <c r="N15" s="15" t="n"/>
      <c r="O15" s="15">
        <f>IFERROR(INDEX(計算用!$D$2:$D$186,MATCH("女白"&amp;$J15,計算用!$L$2:$L$186,0)),"")</f>
        <v/>
      </c>
      <c r="P15" s="15">
        <f>IFERROR(INDEX(計算用!$M$2:$M$186,MATCH("女白"&amp;$J15,計算用!$L$2:$L$186,0)),"")</f>
        <v/>
      </c>
      <c r="Q15" s="16">
        <f>IFERROR(INDEX(計算用!$G$2:$G$186,MATCH("女白"&amp;$J15,計算用!$L$2:$L$186,0)),"")</f>
        <v/>
      </c>
    </row>
    <row r="16">
      <c r="A16" s="15">
        <f>IF(ROW()-3&lt;=MAX(計算用!$Q$2,計算用!$Q$3),ROW()-3,"")</f>
        <v/>
      </c>
      <c r="B16" s="15">
        <f>IFERROR(INDEX(計算用!$D$2:$D$186,MATCH("男赤"&amp;$A16,計算用!$L$2:$L$186,0)),"")</f>
        <v/>
      </c>
      <c r="C16" s="15">
        <f>IFERROR(INDEX(計算用!$M$2:$M$186,MATCH("男赤"&amp;$A16,計算用!$L$2:$L$186,0)),"")</f>
        <v/>
      </c>
      <c r="D16" s="16">
        <f>IFERROR(INDEX(計算用!$G$2:$G$186,MATCH("男赤"&amp;$A16,計算用!$L$2:$L$186,0)),"")</f>
        <v/>
      </c>
      <c r="E16" s="15" t="n"/>
      <c r="F16" s="15">
        <f>IFERROR(INDEX(計算用!$D$2:$D$186,MATCH("男白"&amp;$A16,計算用!$L$2:$L$186,0)),"")</f>
        <v/>
      </c>
      <c r="G16" s="15">
        <f>IFERROR(INDEX(計算用!$M$2:$M$186,MATCH("男白"&amp;$A16,計算用!$L$2:$L$186,0)),"")</f>
        <v/>
      </c>
      <c r="H16" s="16">
        <f>IFERROR(INDEX(計算用!$G$2:$G$186,MATCH("男白"&amp;$A16,計算用!$L$2:$L$186,0)),"")</f>
        <v/>
      </c>
      <c r="I16" s="15" t="n"/>
      <c r="J16" s="15">
        <f>IF(ROW()-3&lt;=MAX(計算用!$Q$4,計算用!$Q$5),ROW()-3,"")</f>
        <v/>
      </c>
      <c r="K16" s="15">
        <f>IFERROR(INDEX(計算用!$D$2:$D$186,MATCH("女赤"&amp;$J16,計算用!$L$2:$L$186,0)),"")</f>
        <v/>
      </c>
      <c r="L16" s="15">
        <f>IFERROR(INDEX(計算用!$M$2:$M$186,MATCH("女赤"&amp;$J16,計算用!$L$2:$L$186,0)),"")</f>
        <v/>
      </c>
      <c r="M16" s="16">
        <f>IFERROR(INDEX(計算用!$G$2:$G$186,MATCH("女赤"&amp;$J16,計算用!$L$2:$L$186,0)),"")</f>
        <v/>
      </c>
      <c r="N16" s="15" t="n"/>
      <c r="O16" s="15">
        <f>IFERROR(INDEX(計算用!$D$2:$D$186,MATCH("女白"&amp;$J16,計算用!$L$2:$L$186,0)),"")</f>
        <v/>
      </c>
      <c r="P16" s="15">
        <f>IFERROR(INDEX(計算用!$M$2:$M$186,MATCH("女白"&amp;$J16,計算用!$L$2:$L$186,0)),"")</f>
        <v/>
      </c>
      <c r="Q16" s="16">
        <f>IFERROR(INDEX(計算用!$G$2:$G$186,MATCH("女白"&amp;$J16,計算用!$L$2:$L$186,0)),"")</f>
        <v/>
      </c>
    </row>
    <row r="17">
      <c r="A17" s="15">
        <f>IF(ROW()-3&lt;=MAX(計算用!$Q$2,計算用!$Q$3),ROW()-3,"")</f>
        <v/>
      </c>
      <c r="B17" s="15">
        <f>IFERROR(INDEX(計算用!$D$2:$D$186,MATCH("男赤"&amp;$A17,計算用!$L$2:$L$186,0)),"")</f>
        <v/>
      </c>
      <c r="C17" s="15">
        <f>IFERROR(INDEX(計算用!$M$2:$M$186,MATCH("男赤"&amp;$A17,計算用!$L$2:$L$186,0)),"")</f>
        <v/>
      </c>
      <c r="D17" s="16">
        <f>IFERROR(INDEX(計算用!$G$2:$G$186,MATCH("男赤"&amp;$A17,計算用!$L$2:$L$186,0)),"")</f>
        <v/>
      </c>
      <c r="E17" s="15" t="n"/>
      <c r="F17" s="15">
        <f>IFERROR(INDEX(計算用!$D$2:$D$186,MATCH("男白"&amp;$A17,計算用!$L$2:$L$186,0)),"")</f>
        <v/>
      </c>
      <c r="G17" s="15">
        <f>IFERROR(INDEX(計算用!$M$2:$M$186,MATCH("男白"&amp;$A17,計算用!$L$2:$L$186,0)),"")</f>
        <v/>
      </c>
      <c r="H17" s="16">
        <f>IFERROR(INDEX(計算用!$G$2:$G$186,MATCH("男白"&amp;$A17,計算用!$L$2:$L$186,0)),"")</f>
        <v/>
      </c>
      <c r="I17" s="15" t="n"/>
      <c r="J17" s="15">
        <f>IF(ROW()-3&lt;=MAX(計算用!$Q$4,計算用!$Q$5),ROW()-3,"")</f>
        <v/>
      </c>
      <c r="K17" s="15">
        <f>IFERROR(INDEX(計算用!$D$2:$D$186,MATCH("女赤"&amp;$J17,計算用!$L$2:$L$186,0)),"")</f>
        <v/>
      </c>
      <c r="L17" s="15">
        <f>IFERROR(INDEX(計算用!$M$2:$M$186,MATCH("女赤"&amp;$J17,計算用!$L$2:$L$186,0)),"")</f>
        <v/>
      </c>
      <c r="M17" s="16">
        <f>IFERROR(INDEX(計算用!$G$2:$G$186,MATCH("女赤"&amp;$J17,計算用!$L$2:$L$186,0)),"")</f>
        <v/>
      </c>
      <c r="N17" s="15" t="n"/>
      <c r="O17" s="15">
        <f>IFERROR(INDEX(計算用!$D$2:$D$186,MATCH("女白"&amp;$J17,計算用!$L$2:$L$186,0)),"")</f>
        <v/>
      </c>
      <c r="P17" s="15">
        <f>IFERROR(INDEX(計算用!$M$2:$M$186,MATCH("女白"&amp;$J17,計算用!$L$2:$L$186,0)),"")</f>
        <v/>
      </c>
      <c r="Q17" s="16">
        <f>IFERROR(INDEX(計算用!$G$2:$G$186,MATCH("女白"&amp;$J17,計算用!$L$2:$L$186,0)),"")</f>
        <v/>
      </c>
    </row>
    <row r="18">
      <c r="A18" s="15">
        <f>IF(ROW()-3&lt;=MAX(計算用!$Q$2,計算用!$Q$3),ROW()-3,"")</f>
        <v/>
      </c>
      <c r="B18" s="15">
        <f>IFERROR(INDEX(計算用!$D$2:$D$186,MATCH("男赤"&amp;$A18,計算用!$L$2:$L$186,0)),"")</f>
        <v/>
      </c>
      <c r="C18" s="15">
        <f>IFERROR(INDEX(計算用!$M$2:$M$186,MATCH("男赤"&amp;$A18,計算用!$L$2:$L$186,0)),"")</f>
        <v/>
      </c>
      <c r="D18" s="16">
        <f>IFERROR(INDEX(計算用!$G$2:$G$186,MATCH("男赤"&amp;$A18,計算用!$L$2:$L$186,0)),"")</f>
        <v/>
      </c>
      <c r="E18" s="15" t="n"/>
      <c r="F18" s="15">
        <f>IFERROR(INDEX(計算用!$D$2:$D$186,MATCH("男白"&amp;$A18,計算用!$L$2:$L$186,0)),"")</f>
        <v/>
      </c>
      <c r="G18" s="15">
        <f>IFERROR(INDEX(計算用!$M$2:$M$186,MATCH("男白"&amp;$A18,計算用!$L$2:$L$186,0)),"")</f>
        <v/>
      </c>
      <c r="H18" s="16">
        <f>IFERROR(INDEX(計算用!$G$2:$G$186,MATCH("男白"&amp;$A18,計算用!$L$2:$L$186,0)),"")</f>
        <v/>
      </c>
      <c r="I18" s="15" t="n"/>
      <c r="J18" s="15">
        <f>IF(ROW()-3&lt;=MAX(計算用!$Q$4,計算用!$Q$5),ROW()-3,"")</f>
        <v/>
      </c>
      <c r="K18" s="15">
        <f>IFERROR(INDEX(計算用!$D$2:$D$186,MATCH("女赤"&amp;$J18,計算用!$L$2:$L$186,0)),"")</f>
        <v/>
      </c>
      <c r="L18" s="15">
        <f>IFERROR(INDEX(計算用!$M$2:$M$186,MATCH("女赤"&amp;$J18,計算用!$L$2:$L$186,0)),"")</f>
        <v/>
      </c>
      <c r="M18" s="16">
        <f>IFERROR(INDEX(計算用!$G$2:$G$186,MATCH("女赤"&amp;$J18,計算用!$L$2:$L$186,0)),"")</f>
        <v/>
      </c>
      <c r="N18" s="15" t="n"/>
      <c r="O18" s="15">
        <f>IFERROR(INDEX(計算用!$D$2:$D$186,MATCH("女白"&amp;$J18,計算用!$L$2:$L$186,0)),"")</f>
        <v/>
      </c>
      <c r="P18" s="15">
        <f>IFERROR(INDEX(計算用!$M$2:$M$186,MATCH("女白"&amp;$J18,計算用!$L$2:$L$186,0)),"")</f>
        <v/>
      </c>
      <c r="Q18" s="16">
        <f>IFERROR(INDEX(計算用!$G$2:$G$186,MATCH("女白"&amp;$J18,計算用!$L$2:$L$186,0)),"")</f>
        <v/>
      </c>
    </row>
    <row r="19">
      <c r="A19" s="15">
        <f>IF(ROW()-3&lt;=MAX(計算用!$Q$2,計算用!$Q$3),ROW()-3,"")</f>
        <v/>
      </c>
      <c r="B19" s="15">
        <f>IFERROR(INDEX(計算用!$D$2:$D$186,MATCH("男赤"&amp;$A19,計算用!$L$2:$L$186,0)),"")</f>
        <v/>
      </c>
      <c r="C19" s="15">
        <f>IFERROR(INDEX(計算用!$M$2:$M$186,MATCH("男赤"&amp;$A19,計算用!$L$2:$L$186,0)),"")</f>
        <v/>
      </c>
      <c r="D19" s="16">
        <f>IFERROR(INDEX(計算用!$G$2:$G$186,MATCH("男赤"&amp;$A19,計算用!$L$2:$L$186,0)),"")</f>
        <v/>
      </c>
      <c r="E19" s="15" t="n"/>
      <c r="F19" s="15">
        <f>IFERROR(INDEX(計算用!$D$2:$D$186,MATCH("男白"&amp;$A19,計算用!$L$2:$L$186,0)),"")</f>
        <v/>
      </c>
      <c r="G19" s="15">
        <f>IFERROR(INDEX(計算用!$M$2:$M$186,MATCH("男白"&amp;$A19,計算用!$L$2:$L$186,0)),"")</f>
        <v/>
      </c>
      <c r="H19" s="16">
        <f>IFERROR(INDEX(計算用!$G$2:$G$186,MATCH("男白"&amp;$A19,計算用!$L$2:$L$186,0)),"")</f>
        <v/>
      </c>
      <c r="I19" s="15" t="n"/>
      <c r="J19" s="15">
        <f>IF(ROW()-3&lt;=MAX(計算用!$Q$4,計算用!$Q$5),ROW()-3,"")</f>
        <v/>
      </c>
      <c r="K19" s="15">
        <f>IFERROR(INDEX(計算用!$D$2:$D$186,MATCH("女赤"&amp;$J19,計算用!$L$2:$L$186,0)),"")</f>
        <v/>
      </c>
      <c r="L19" s="15">
        <f>IFERROR(INDEX(計算用!$M$2:$M$186,MATCH("女赤"&amp;$J19,計算用!$L$2:$L$186,0)),"")</f>
        <v/>
      </c>
      <c r="M19" s="16">
        <f>IFERROR(INDEX(計算用!$G$2:$G$186,MATCH("女赤"&amp;$J19,計算用!$L$2:$L$186,0)),"")</f>
        <v/>
      </c>
      <c r="N19" s="15" t="n"/>
      <c r="O19" s="15">
        <f>IFERROR(INDEX(計算用!$D$2:$D$186,MATCH("女白"&amp;$J19,計算用!$L$2:$L$186,0)),"")</f>
        <v/>
      </c>
      <c r="P19" s="15">
        <f>IFERROR(INDEX(計算用!$M$2:$M$186,MATCH("女白"&amp;$J19,計算用!$L$2:$L$186,0)),"")</f>
        <v/>
      </c>
      <c r="Q19" s="16">
        <f>IFERROR(INDEX(計算用!$G$2:$G$186,MATCH("女白"&amp;$J19,計算用!$L$2:$L$186,0)),"")</f>
        <v/>
      </c>
    </row>
    <row r="20">
      <c r="A20" s="15">
        <f>IF(ROW()-3&lt;=MAX(計算用!$Q$2,計算用!$Q$3),ROW()-3,"")</f>
        <v/>
      </c>
      <c r="B20" s="15">
        <f>IFERROR(INDEX(計算用!$D$2:$D$186,MATCH("男赤"&amp;$A20,計算用!$L$2:$L$186,0)),"")</f>
        <v/>
      </c>
      <c r="C20" s="15">
        <f>IFERROR(INDEX(計算用!$M$2:$M$186,MATCH("男赤"&amp;$A20,計算用!$L$2:$L$186,0)),"")</f>
        <v/>
      </c>
      <c r="D20" s="16">
        <f>IFERROR(INDEX(計算用!$G$2:$G$186,MATCH("男赤"&amp;$A20,計算用!$L$2:$L$186,0)),"")</f>
        <v/>
      </c>
      <c r="E20" s="15" t="n"/>
      <c r="F20" s="15">
        <f>IFERROR(INDEX(計算用!$D$2:$D$186,MATCH("男白"&amp;$A20,計算用!$L$2:$L$186,0)),"")</f>
        <v/>
      </c>
      <c r="G20" s="15">
        <f>IFERROR(INDEX(計算用!$M$2:$M$186,MATCH("男白"&amp;$A20,計算用!$L$2:$L$186,0)),"")</f>
        <v/>
      </c>
      <c r="H20" s="16">
        <f>IFERROR(INDEX(計算用!$G$2:$G$186,MATCH("男白"&amp;$A20,計算用!$L$2:$L$186,0)),"")</f>
        <v/>
      </c>
      <c r="I20" s="15" t="n"/>
      <c r="J20" s="15">
        <f>IF(ROW()-3&lt;=MAX(計算用!$Q$4,計算用!$Q$5),ROW()-3,"")</f>
        <v/>
      </c>
      <c r="K20" s="15">
        <f>IFERROR(INDEX(計算用!$D$2:$D$186,MATCH("女赤"&amp;$J20,計算用!$L$2:$L$186,0)),"")</f>
        <v/>
      </c>
      <c r="L20" s="15">
        <f>IFERROR(INDEX(計算用!$M$2:$M$186,MATCH("女赤"&amp;$J20,計算用!$L$2:$L$186,0)),"")</f>
        <v/>
      </c>
      <c r="M20" s="16">
        <f>IFERROR(INDEX(計算用!$G$2:$G$186,MATCH("女赤"&amp;$J20,計算用!$L$2:$L$186,0)),"")</f>
        <v/>
      </c>
      <c r="N20" s="15" t="n"/>
      <c r="O20" s="15">
        <f>IFERROR(INDEX(計算用!$D$2:$D$186,MATCH("女白"&amp;$J20,計算用!$L$2:$L$186,0)),"")</f>
        <v/>
      </c>
      <c r="P20" s="15">
        <f>IFERROR(INDEX(計算用!$M$2:$M$186,MATCH("女白"&amp;$J20,計算用!$L$2:$L$186,0)),"")</f>
        <v/>
      </c>
      <c r="Q20" s="16">
        <f>IFERROR(INDEX(計算用!$G$2:$G$186,MATCH("女白"&amp;$J20,計算用!$L$2:$L$186,0)),"")</f>
        <v/>
      </c>
    </row>
    <row r="21">
      <c r="A21" s="15">
        <f>IF(ROW()-3&lt;=MAX(計算用!$Q$2,計算用!$Q$3),ROW()-3,"")</f>
        <v/>
      </c>
      <c r="B21" s="15">
        <f>IFERROR(INDEX(計算用!$D$2:$D$186,MATCH("男赤"&amp;$A21,計算用!$L$2:$L$186,0)),"")</f>
        <v/>
      </c>
      <c r="C21" s="15">
        <f>IFERROR(INDEX(計算用!$M$2:$M$186,MATCH("男赤"&amp;$A21,計算用!$L$2:$L$186,0)),"")</f>
        <v/>
      </c>
      <c r="D21" s="16">
        <f>IFERROR(INDEX(計算用!$G$2:$G$186,MATCH("男赤"&amp;$A21,計算用!$L$2:$L$186,0)),"")</f>
        <v/>
      </c>
      <c r="E21" s="15" t="n"/>
      <c r="F21" s="15">
        <f>IFERROR(INDEX(計算用!$D$2:$D$186,MATCH("男白"&amp;$A21,計算用!$L$2:$L$186,0)),"")</f>
        <v/>
      </c>
      <c r="G21" s="15">
        <f>IFERROR(INDEX(計算用!$M$2:$M$186,MATCH("男白"&amp;$A21,計算用!$L$2:$L$186,0)),"")</f>
        <v/>
      </c>
      <c r="H21" s="16">
        <f>IFERROR(INDEX(計算用!$G$2:$G$186,MATCH("男白"&amp;$A21,計算用!$L$2:$L$186,0)),"")</f>
        <v/>
      </c>
      <c r="I21" s="15" t="n"/>
      <c r="J21" s="15">
        <f>IF(ROW()-3&lt;=MAX(計算用!$Q$4,計算用!$Q$5),ROW()-3,"")</f>
        <v/>
      </c>
      <c r="K21" s="15">
        <f>IFERROR(INDEX(計算用!$D$2:$D$186,MATCH("女赤"&amp;$J21,計算用!$L$2:$L$186,0)),"")</f>
        <v/>
      </c>
      <c r="L21" s="15">
        <f>IFERROR(INDEX(計算用!$M$2:$M$186,MATCH("女赤"&amp;$J21,計算用!$L$2:$L$186,0)),"")</f>
        <v/>
      </c>
      <c r="M21" s="16">
        <f>IFERROR(INDEX(計算用!$G$2:$G$186,MATCH("女赤"&amp;$J21,計算用!$L$2:$L$186,0)),"")</f>
        <v/>
      </c>
      <c r="N21" s="15" t="n"/>
      <c r="O21" s="15">
        <f>IFERROR(INDEX(計算用!$D$2:$D$186,MATCH("女白"&amp;$J21,計算用!$L$2:$L$186,0)),"")</f>
        <v/>
      </c>
      <c r="P21" s="15">
        <f>IFERROR(INDEX(計算用!$M$2:$M$186,MATCH("女白"&amp;$J21,計算用!$L$2:$L$186,0)),"")</f>
        <v/>
      </c>
      <c r="Q21" s="16">
        <f>IFERROR(INDEX(計算用!$G$2:$G$186,MATCH("女白"&amp;$J21,計算用!$L$2:$L$186,0)),"")</f>
        <v/>
      </c>
    </row>
    <row r="22">
      <c r="A22" s="15">
        <f>IF(ROW()-3&lt;=MAX(計算用!$Q$2,計算用!$Q$3),ROW()-3,"")</f>
        <v/>
      </c>
      <c r="B22" s="15">
        <f>IFERROR(INDEX(計算用!$D$2:$D$186,MATCH("男赤"&amp;$A22,計算用!$L$2:$L$186,0)),"")</f>
        <v/>
      </c>
      <c r="C22" s="15">
        <f>IFERROR(INDEX(計算用!$M$2:$M$186,MATCH("男赤"&amp;$A22,計算用!$L$2:$L$186,0)),"")</f>
        <v/>
      </c>
      <c r="D22" s="16">
        <f>IFERROR(INDEX(計算用!$G$2:$G$186,MATCH("男赤"&amp;$A22,計算用!$L$2:$L$186,0)),"")</f>
        <v/>
      </c>
      <c r="E22" s="15" t="n"/>
      <c r="F22" s="15">
        <f>IFERROR(INDEX(計算用!$D$2:$D$186,MATCH("男白"&amp;$A22,計算用!$L$2:$L$186,0)),"")</f>
        <v/>
      </c>
      <c r="G22" s="15">
        <f>IFERROR(INDEX(計算用!$M$2:$M$186,MATCH("男白"&amp;$A22,計算用!$L$2:$L$186,0)),"")</f>
        <v/>
      </c>
      <c r="H22" s="16">
        <f>IFERROR(INDEX(計算用!$G$2:$G$186,MATCH("男白"&amp;$A22,計算用!$L$2:$L$186,0)),"")</f>
        <v/>
      </c>
      <c r="I22" s="15" t="n"/>
      <c r="J22" s="15">
        <f>IF(ROW()-3&lt;=MAX(計算用!$Q$4,計算用!$Q$5),ROW()-3,"")</f>
        <v/>
      </c>
      <c r="K22" s="15">
        <f>IFERROR(INDEX(計算用!$D$2:$D$186,MATCH("女赤"&amp;$J22,計算用!$L$2:$L$186,0)),"")</f>
        <v/>
      </c>
      <c r="L22" s="15">
        <f>IFERROR(INDEX(計算用!$M$2:$M$186,MATCH("女赤"&amp;$J22,計算用!$L$2:$L$186,0)),"")</f>
        <v/>
      </c>
      <c r="M22" s="16">
        <f>IFERROR(INDEX(計算用!$G$2:$G$186,MATCH("女赤"&amp;$J22,計算用!$L$2:$L$186,0)),"")</f>
        <v/>
      </c>
      <c r="N22" s="15" t="n"/>
      <c r="O22" s="15">
        <f>IFERROR(INDEX(計算用!$D$2:$D$186,MATCH("女白"&amp;$J22,計算用!$L$2:$L$186,0)),"")</f>
        <v/>
      </c>
      <c r="P22" s="15">
        <f>IFERROR(INDEX(計算用!$M$2:$M$186,MATCH("女白"&amp;$J22,計算用!$L$2:$L$186,0)),"")</f>
        <v/>
      </c>
      <c r="Q22" s="16">
        <f>IFERROR(INDEX(計算用!$G$2:$G$186,MATCH("女白"&amp;$J22,計算用!$L$2:$L$186,0)),"")</f>
        <v/>
      </c>
    </row>
    <row r="23">
      <c r="A23" s="15">
        <f>IF(ROW()-3&lt;=MAX(計算用!$Q$2,計算用!$Q$3),ROW()-3,"")</f>
        <v/>
      </c>
      <c r="B23" s="15">
        <f>IFERROR(INDEX(計算用!$D$2:$D$186,MATCH("男赤"&amp;$A23,計算用!$L$2:$L$186,0)),"")</f>
        <v/>
      </c>
      <c r="C23" s="15">
        <f>IFERROR(INDEX(計算用!$M$2:$M$186,MATCH("男赤"&amp;$A23,計算用!$L$2:$L$186,0)),"")</f>
        <v/>
      </c>
      <c r="D23" s="16">
        <f>IFERROR(INDEX(計算用!$G$2:$G$186,MATCH("男赤"&amp;$A23,計算用!$L$2:$L$186,0)),"")</f>
        <v/>
      </c>
      <c r="E23" s="15" t="n"/>
      <c r="F23" s="15">
        <f>IFERROR(INDEX(計算用!$D$2:$D$186,MATCH("男白"&amp;$A23,計算用!$L$2:$L$186,0)),"")</f>
        <v/>
      </c>
      <c r="G23" s="15">
        <f>IFERROR(INDEX(計算用!$M$2:$M$186,MATCH("男白"&amp;$A23,計算用!$L$2:$L$186,0)),"")</f>
        <v/>
      </c>
      <c r="H23" s="16">
        <f>IFERROR(INDEX(計算用!$G$2:$G$186,MATCH("男白"&amp;$A23,計算用!$L$2:$L$186,0)),"")</f>
        <v/>
      </c>
      <c r="I23" s="15" t="n"/>
      <c r="J23" s="15">
        <f>IF(ROW()-3&lt;=MAX(計算用!$Q$4,計算用!$Q$5),ROW()-3,"")</f>
        <v/>
      </c>
      <c r="K23" s="15">
        <f>IFERROR(INDEX(計算用!$D$2:$D$186,MATCH("女赤"&amp;$J23,計算用!$L$2:$L$186,0)),"")</f>
        <v/>
      </c>
      <c r="L23" s="15">
        <f>IFERROR(INDEX(計算用!$M$2:$M$186,MATCH("女赤"&amp;$J23,計算用!$L$2:$L$186,0)),"")</f>
        <v/>
      </c>
      <c r="M23" s="16">
        <f>IFERROR(INDEX(計算用!$G$2:$G$186,MATCH("女赤"&amp;$J23,計算用!$L$2:$L$186,0)),"")</f>
        <v/>
      </c>
      <c r="N23" s="15" t="n"/>
      <c r="O23" s="15">
        <f>IFERROR(INDEX(計算用!$D$2:$D$186,MATCH("女白"&amp;$J23,計算用!$L$2:$L$186,0)),"")</f>
        <v/>
      </c>
      <c r="P23" s="15">
        <f>IFERROR(INDEX(計算用!$M$2:$M$186,MATCH("女白"&amp;$J23,計算用!$L$2:$L$186,0)),"")</f>
        <v/>
      </c>
      <c r="Q23" s="16">
        <f>IFERROR(INDEX(計算用!$G$2:$G$186,MATCH("女白"&amp;$J23,計算用!$L$2:$L$186,0)),"")</f>
        <v/>
      </c>
    </row>
    <row r="24">
      <c r="A24" s="15">
        <f>IF(ROW()-3&lt;=MAX(計算用!$Q$2,計算用!$Q$3),ROW()-3,"")</f>
        <v/>
      </c>
      <c r="B24" s="15">
        <f>IFERROR(INDEX(計算用!$D$2:$D$186,MATCH("男赤"&amp;$A24,計算用!$L$2:$L$186,0)),"")</f>
        <v/>
      </c>
      <c r="C24" s="15">
        <f>IFERROR(INDEX(計算用!$M$2:$M$186,MATCH("男赤"&amp;$A24,計算用!$L$2:$L$186,0)),"")</f>
        <v/>
      </c>
      <c r="D24" s="16">
        <f>IFERROR(INDEX(計算用!$G$2:$G$186,MATCH("男赤"&amp;$A24,計算用!$L$2:$L$186,0)),"")</f>
        <v/>
      </c>
      <c r="E24" s="15" t="n"/>
      <c r="F24" s="15">
        <f>IFERROR(INDEX(計算用!$D$2:$D$186,MATCH("男白"&amp;$A24,計算用!$L$2:$L$186,0)),"")</f>
        <v/>
      </c>
      <c r="G24" s="15">
        <f>IFERROR(INDEX(計算用!$M$2:$M$186,MATCH("男白"&amp;$A24,計算用!$L$2:$L$186,0)),"")</f>
        <v/>
      </c>
      <c r="H24" s="16">
        <f>IFERROR(INDEX(計算用!$G$2:$G$186,MATCH("男白"&amp;$A24,計算用!$L$2:$L$186,0)),"")</f>
        <v/>
      </c>
      <c r="I24" s="15" t="n"/>
      <c r="J24" s="15">
        <f>IF(ROW()-3&lt;=MAX(計算用!$Q$4,計算用!$Q$5),ROW()-3,"")</f>
        <v/>
      </c>
      <c r="K24" s="15">
        <f>IFERROR(INDEX(計算用!$D$2:$D$186,MATCH("女赤"&amp;$J24,計算用!$L$2:$L$186,0)),"")</f>
        <v/>
      </c>
      <c r="L24" s="15">
        <f>IFERROR(INDEX(計算用!$M$2:$M$186,MATCH("女赤"&amp;$J24,計算用!$L$2:$L$186,0)),"")</f>
        <v/>
      </c>
      <c r="M24" s="16">
        <f>IFERROR(INDEX(計算用!$G$2:$G$186,MATCH("女赤"&amp;$J24,計算用!$L$2:$L$186,0)),"")</f>
        <v/>
      </c>
      <c r="N24" s="15" t="n"/>
      <c r="O24" s="15">
        <f>IFERROR(INDEX(計算用!$D$2:$D$186,MATCH("女白"&amp;$J24,計算用!$L$2:$L$186,0)),"")</f>
        <v/>
      </c>
      <c r="P24" s="15">
        <f>IFERROR(INDEX(計算用!$M$2:$M$186,MATCH("女白"&amp;$J24,計算用!$L$2:$L$186,0)),"")</f>
        <v/>
      </c>
      <c r="Q24" s="16">
        <f>IFERROR(INDEX(計算用!$G$2:$G$186,MATCH("女白"&amp;$J24,計算用!$L$2:$L$186,0)),"")</f>
        <v/>
      </c>
    </row>
    <row r="25">
      <c r="A25" s="15">
        <f>IF(ROW()-3&lt;=MAX(計算用!$Q$2,計算用!$Q$3),ROW()-3,"")</f>
        <v/>
      </c>
      <c r="B25" s="15">
        <f>IFERROR(INDEX(計算用!$D$2:$D$186,MATCH("男赤"&amp;$A25,計算用!$L$2:$L$186,0)),"")</f>
        <v/>
      </c>
      <c r="C25" s="15">
        <f>IFERROR(INDEX(計算用!$M$2:$M$186,MATCH("男赤"&amp;$A25,計算用!$L$2:$L$186,0)),"")</f>
        <v/>
      </c>
      <c r="D25" s="16">
        <f>IFERROR(INDEX(計算用!$G$2:$G$186,MATCH("男赤"&amp;$A25,計算用!$L$2:$L$186,0)),"")</f>
        <v/>
      </c>
      <c r="E25" s="15" t="n"/>
      <c r="F25" s="15">
        <f>IFERROR(INDEX(計算用!$D$2:$D$186,MATCH("男白"&amp;$A25,計算用!$L$2:$L$186,0)),"")</f>
        <v/>
      </c>
      <c r="G25" s="15">
        <f>IFERROR(INDEX(計算用!$M$2:$M$186,MATCH("男白"&amp;$A25,計算用!$L$2:$L$186,0)),"")</f>
        <v/>
      </c>
      <c r="H25" s="16">
        <f>IFERROR(INDEX(計算用!$G$2:$G$186,MATCH("男白"&amp;$A25,計算用!$L$2:$L$186,0)),"")</f>
        <v/>
      </c>
      <c r="I25" s="15" t="n"/>
      <c r="J25" s="15">
        <f>IF(ROW()-3&lt;=MAX(計算用!$Q$4,計算用!$Q$5),ROW()-3,"")</f>
        <v/>
      </c>
      <c r="K25" s="15">
        <f>IFERROR(INDEX(計算用!$D$2:$D$186,MATCH("女赤"&amp;$J25,計算用!$L$2:$L$186,0)),"")</f>
        <v/>
      </c>
      <c r="L25" s="15">
        <f>IFERROR(INDEX(計算用!$M$2:$M$186,MATCH("女赤"&amp;$J25,計算用!$L$2:$L$186,0)),"")</f>
        <v/>
      </c>
      <c r="M25" s="16">
        <f>IFERROR(INDEX(計算用!$G$2:$G$186,MATCH("女赤"&amp;$J25,計算用!$L$2:$L$186,0)),"")</f>
        <v/>
      </c>
      <c r="N25" s="15" t="n"/>
      <c r="O25" s="15">
        <f>IFERROR(INDEX(計算用!$D$2:$D$186,MATCH("女白"&amp;$J25,計算用!$L$2:$L$186,0)),"")</f>
        <v/>
      </c>
      <c r="P25" s="15">
        <f>IFERROR(INDEX(計算用!$M$2:$M$186,MATCH("女白"&amp;$J25,計算用!$L$2:$L$186,0)),"")</f>
        <v/>
      </c>
      <c r="Q25" s="16">
        <f>IFERROR(INDEX(計算用!$G$2:$G$186,MATCH("女白"&amp;$J25,計算用!$L$2:$L$186,0)),"")</f>
        <v/>
      </c>
    </row>
    <row r="26">
      <c r="A26" s="15">
        <f>IF(ROW()-3&lt;=MAX(計算用!$Q$2,計算用!$Q$3),ROW()-3,"")</f>
        <v/>
      </c>
      <c r="B26" s="15">
        <f>IFERROR(INDEX(計算用!$D$2:$D$186,MATCH("男赤"&amp;$A26,計算用!$L$2:$L$186,0)),"")</f>
        <v/>
      </c>
      <c r="C26" s="15">
        <f>IFERROR(INDEX(計算用!$M$2:$M$186,MATCH("男赤"&amp;$A26,計算用!$L$2:$L$186,0)),"")</f>
        <v/>
      </c>
      <c r="D26" s="16">
        <f>IFERROR(INDEX(計算用!$G$2:$G$186,MATCH("男赤"&amp;$A26,計算用!$L$2:$L$186,0)),"")</f>
        <v/>
      </c>
      <c r="E26" s="15" t="n"/>
      <c r="F26" s="15">
        <f>IFERROR(INDEX(計算用!$D$2:$D$186,MATCH("男白"&amp;$A26,計算用!$L$2:$L$186,0)),"")</f>
        <v/>
      </c>
      <c r="G26" s="15">
        <f>IFERROR(INDEX(計算用!$M$2:$M$186,MATCH("男白"&amp;$A26,計算用!$L$2:$L$186,0)),"")</f>
        <v/>
      </c>
      <c r="H26" s="16">
        <f>IFERROR(INDEX(計算用!$G$2:$G$186,MATCH("男白"&amp;$A26,計算用!$L$2:$L$186,0)),"")</f>
        <v/>
      </c>
      <c r="I26" s="15" t="n"/>
      <c r="J26" s="15">
        <f>IF(ROW()-3&lt;=MAX(計算用!$Q$4,計算用!$Q$5),ROW()-3,"")</f>
        <v/>
      </c>
      <c r="K26" s="15">
        <f>IFERROR(INDEX(計算用!$D$2:$D$186,MATCH("女赤"&amp;$J26,計算用!$L$2:$L$186,0)),"")</f>
        <v/>
      </c>
      <c r="L26" s="15">
        <f>IFERROR(INDEX(計算用!$M$2:$M$186,MATCH("女赤"&amp;$J26,計算用!$L$2:$L$186,0)),"")</f>
        <v/>
      </c>
      <c r="M26" s="16">
        <f>IFERROR(INDEX(計算用!$G$2:$G$186,MATCH("女赤"&amp;$J26,計算用!$L$2:$L$186,0)),"")</f>
        <v/>
      </c>
      <c r="N26" s="15" t="n"/>
      <c r="O26" s="15">
        <f>IFERROR(INDEX(計算用!$D$2:$D$186,MATCH("女白"&amp;$J26,計算用!$L$2:$L$186,0)),"")</f>
        <v/>
      </c>
      <c r="P26" s="15">
        <f>IFERROR(INDEX(計算用!$M$2:$M$186,MATCH("女白"&amp;$J26,計算用!$L$2:$L$186,0)),"")</f>
        <v/>
      </c>
      <c r="Q26" s="16">
        <f>IFERROR(INDEX(計算用!$G$2:$G$186,MATCH("女白"&amp;$J26,計算用!$L$2:$L$186,0)),"")</f>
        <v/>
      </c>
    </row>
    <row r="27">
      <c r="A27" s="15">
        <f>IF(ROW()-3&lt;=MAX(計算用!$Q$2,計算用!$Q$3),ROW()-3,"")</f>
        <v/>
      </c>
      <c r="B27" s="15">
        <f>IFERROR(INDEX(計算用!$D$2:$D$186,MATCH("男赤"&amp;$A27,計算用!$L$2:$L$186,0)),"")</f>
        <v/>
      </c>
      <c r="C27" s="15">
        <f>IFERROR(INDEX(計算用!$M$2:$M$186,MATCH("男赤"&amp;$A27,計算用!$L$2:$L$186,0)),"")</f>
        <v/>
      </c>
      <c r="D27" s="16">
        <f>IFERROR(INDEX(計算用!$G$2:$G$186,MATCH("男赤"&amp;$A27,計算用!$L$2:$L$186,0)),"")</f>
        <v/>
      </c>
      <c r="E27" s="15" t="n"/>
      <c r="F27" s="15">
        <f>IFERROR(INDEX(計算用!$D$2:$D$186,MATCH("男白"&amp;$A27,計算用!$L$2:$L$186,0)),"")</f>
        <v/>
      </c>
      <c r="G27" s="15">
        <f>IFERROR(INDEX(計算用!$M$2:$M$186,MATCH("男白"&amp;$A27,計算用!$L$2:$L$186,0)),"")</f>
        <v/>
      </c>
      <c r="H27" s="16">
        <f>IFERROR(INDEX(計算用!$G$2:$G$186,MATCH("男白"&amp;$A27,計算用!$L$2:$L$186,0)),"")</f>
        <v/>
      </c>
      <c r="I27" s="15" t="n"/>
      <c r="J27" s="15">
        <f>IF(ROW()-3&lt;=MAX(計算用!$Q$4,計算用!$Q$5),ROW()-3,"")</f>
        <v/>
      </c>
      <c r="K27" s="15">
        <f>IFERROR(INDEX(計算用!$D$2:$D$186,MATCH("女赤"&amp;$J27,計算用!$L$2:$L$186,0)),"")</f>
        <v/>
      </c>
      <c r="L27" s="15">
        <f>IFERROR(INDEX(計算用!$M$2:$M$186,MATCH("女赤"&amp;$J27,計算用!$L$2:$L$186,0)),"")</f>
        <v/>
      </c>
      <c r="M27" s="16">
        <f>IFERROR(INDEX(計算用!$G$2:$G$186,MATCH("女赤"&amp;$J27,計算用!$L$2:$L$186,0)),"")</f>
        <v/>
      </c>
      <c r="N27" s="15" t="n"/>
      <c r="O27" s="15">
        <f>IFERROR(INDEX(計算用!$D$2:$D$186,MATCH("女白"&amp;$J27,計算用!$L$2:$L$186,0)),"")</f>
        <v/>
      </c>
      <c r="P27" s="15">
        <f>IFERROR(INDEX(計算用!$M$2:$M$186,MATCH("女白"&amp;$J27,計算用!$L$2:$L$186,0)),"")</f>
        <v/>
      </c>
      <c r="Q27" s="16">
        <f>IFERROR(INDEX(計算用!$G$2:$G$186,MATCH("女白"&amp;$J27,計算用!$L$2:$L$186,0)),"")</f>
        <v/>
      </c>
    </row>
    <row r="28">
      <c r="A28" s="15">
        <f>IF(ROW()-3&lt;=MAX(計算用!$Q$2,計算用!$Q$3),ROW()-3,"")</f>
        <v/>
      </c>
      <c r="B28" s="15">
        <f>IFERROR(INDEX(計算用!$D$2:$D$186,MATCH("男赤"&amp;$A28,計算用!$L$2:$L$186,0)),"")</f>
        <v/>
      </c>
      <c r="C28" s="15">
        <f>IFERROR(INDEX(計算用!$M$2:$M$186,MATCH("男赤"&amp;$A28,計算用!$L$2:$L$186,0)),"")</f>
        <v/>
      </c>
      <c r="D28" s="16">
        <f>IFERROR(INDEX(計算用!$G$2:$G$186,MATCH("男赤"&amp;$A28,計算用!$L$2:$L$186,0)),"")</f>
        <v/>
      </c>
      <c r="E28" s="15" t="n"/>
      <c r="F28" s="15">
        <f>IFERROR(INDEX(計算用!$D$2:$D$186,MATCH("男白"&amp;$A28,計算用!$L$2:$L$186,0)),"")</f>
        <v/>
      </c>
      <c r="G28" s="15">
        <f>IFERROR(INDEX(計算用!$M$2:$M$186,MATCH("男白"&amp;$A28,計算用!$L$2:$L$186,0)),"")</f>
        <v/>
      </c>
      <c r="H28" s="16">
        <f>IFERROR(INDEX(計算用!$G$2:$G$186,MATCH("男白"&amp;$A28,計算用!$L$2:$L$186,0)),"")</f>
        <v/>
      </c>
      <c r="I28" s="15" t="n"/>
      <c r="J28" s="15">
        <f>IF(ROW()-3&lt;=MAX(計算用!$Q$4,計算用!$Q$5),ROW()-3,"")</f>
        <v/>
      </c>
      <c r="K28" s="15">
        <f>IFERROR(INDEX(計算用!$D$2:$D$186,MATCH("女赤"&amp;$J28,計算用!$L$2:$L$186,0)),"")</f>
        <v/>
      </c>
      <c r="L28" s="15">
        <f>IFERROR(INDEX(計算用!$M$2:$M$186,MATCH("女赤"&amp;$J28,計算用!$L$2:$L$186,0)),"")</f>
        <v/>
      </c>
      <c r="M28" s="16">
        <f>IFERROR(INDEX(計算用!$G$2:$G$186,MATCH("女赤"&amp;$J28,計算用!$L$2:$L$186,0)),"")</f>
        <v/>
      </c>
      <c r="N28" s="15" t="n"/>
      <c r="O28" s="15">
        <f>IFERROR(INDEX(計算用!$D$2:$D$186,MATCH("女白"&amp;$J28,計算用!$L$2:$L$186,0)),"")</f>
        <v/>
      </c>
      <c r="P28" s="15">
        <f>IFERROR(INDEX(計算用!$M$2:$M$186,MATCH("女白"&amp;$J28,計算用!$L$2:$L$186,0)),"")</f>
        <v/>
      </c>
      <c r="Q28" s="16">
        <f>IFERROR(INDEX(計算用!$G$2:$G$186,MATCH("女白"&amp;$J28,計算用!$L$2:$L$186,0)),"")</f>
        <v/>
      </c>
    </row>
    <row r="29">
      <c r="A29" s="15">
        <f>IF(ROW()-3&lt;=MAX(計算用!$Q$2,計算用!$Q$3),ROW()-3,"")</f>
        <v/>
      </c>
      <c r="B29" s="15">
        <f>IFERROR(INDEX(計算用!$D$2:$D$186,MATCH("男赤"&amp;$A29,計算用!$L$2:$L$186,0)),"")</f>
        <v/>
      </c>
      <c r="C29" s="15">
        <f>IFERROR(INDEX(計算用!$M$2:$M$186,MATCH("男赤"&amp;$A29,計算用!$L$2:$L$186,0)),"")</f>
        <v/>
      </c>
      <c r="D29" s="16">
        <f>IFERROR(INDEX(計算用!$G$2:$G$186,MATCH("男赤"&amp;$A29,計算用!$L$2:$L$186,0)),"")</f>
        <v/>
      </c>
      <c r="E29" s="15" t="n"/>
      <c r="F29" s="15">
        <f>IFERROR(INDEX(計算用!$D$2:$D$186,MATCH("男白"&amp;$A29,計算用!$L$2:$L$186,0)),"")</f>
        <v/>
      </c>
      <c r="G29" s="15">
        <f>IFERROR(INDEX(計算用!$M$2:$M$186,MATCH("男白"&amp;$A29,計算用!$L$2:$L$186,0)),"")</f>
        <v/>
      </c>
      <c r="H29" s="16">
        <f>IFERROR(INDEX(計算用!$G$2:$G$186,MATCH("男白"&amp;$A29,計算用!$L$2:$L$186,0)),"")</f>
        <v/>
      </c>
      <c r="I29" s="15" t="n"/>
      <c r="J29" s="15">
        <f>IF(ROW()-3&lt;=MAX(計算用!$Q$4,計算用!$Q$5),ROW()-3,"")</f>
        <v/>
      </c>
      <c r="K29" s="15">
        <f>IFERROR(INDEX(計算用!$D$2:$D$186,MATCH("女赤"&amp;$J29,計算用!$L$2:$L$186,0)),"")</f>
        <v/>
      </c>
      <c r="L29" s="15">
        <f>IFERROR(INDEX(計算用!$M$2:$M$186,MATCH("女赤"&amp;$J29,計算用!$L$2:$L$186,0)),"")</f>
        <v/>
      </c>
      <c r="M29" s="16">
        <f>IFERROR(INDEX(計算用!$G$2:$G$186,MATCH("女赤"&amp;$J29,計算用!$L$2:$L$186,0)),"")</f>
        <v/>
      </c>
      <c r="N29" s="15" t="n"/>
      <c r="O29" s="15">
        <f>IFERROR(INDEX(計算用!$D$2:$D$186,MATCH("女白"&amp;$J29,計算用!$L$2:$L$186,0)),"")</f>
        <v/>
      </c>
      <c r="P29" s="15">
        <f>IFERROR(INDEX(計算用!$M$2:$M$186,MATCH("女白"&amp;$J29,計算用!$L$2:$L$186,0)),"")</f>
        <v/>
      </c>
      <c r="Q29" s="16">
        <f>IFERROR(INDEX(計算用!$G$2:$G$186,MATCH("女白"&amp;$J29,計算用!$L$2:$L$186,0)),"")</f>
        <v/>
      </c>
    </row>
    <row r="30">
      <c r="A30" s="15">
        <f>IF(ROW()-3&lt;=MAX(計算用!$Q$2,計算用!$Q$3),ROW()-3,"")</f>
        <v/>
      </c>
      <c r="B30" s="15">
        <f>IFERROR(INDEX(計算用!$D$2:$D$186,MATCH("男赤"&amp;$A30,計算用!$L$2:$L$186,0)),"")</f>
        <v/>
      </c>
      <c r="C30" s="15">
        <f>IFERROR(INDEX(計算用!$M$2:$M$186,MATCH("男赤"&amp;$A30,計算用!$L$2:$L$186,0)),"")</f>
        <v/>
      </c>
      <c r="D30" s="16">
        <f>IFERROR(INDEX(計算用!$G$2:$G$186,MATCH("男赤"&amp;$A30,計算用!$L$2:$L$186,0)),"")</f>
        <v/>
      </c>
      <c r="E30" s="15" t="n"/>
      <c r="F30" s="15">
        <f>IFERROR(INDEX(計算用!$D$2:$D$186,MATCH("男白"&amp;$A30,計算用!$L$2:$L$186,0)),"")</f>
        <v/>
      </c>
      <c r="G30" s="15">
        <f>IFERROR(INDEX(計算用!$M$2:$M$186,MATCH("男白"&amp;$A30,計算用!$L$2:$L$186,0)),"")</f>
        <v/>
      </c>
      <c r="H30" s="16">
        <f>IFERROR(INDEX(計算用!$G$2:$G$186,MATCH("男白"&amp;$A30,計算用!$L$2:$L$186,0)),"")</f>
        <v/>
      </c>
      <c r="I30" s="15" t="n"/>
      <c r="J30" s="15">
        <f>IF(ROW()-3&lt;=MAX(計算用!$Q$4,計算用!$Q$5),ROW()-3,"")</f>
        <v/>
      </c>
      <c r="K30" s="15">
        <f>IFERROR(INDEX(計算用!$D$2:$D$186,MATCH("女赤"&amp;$J30,計算用!$L$2:$L$186,0)),"")</f>
        <v/>
      </c>
      <c r="L30" s="15">
        <f>IFERROR(INDEX(計算用!$M$2:$M$186,MATCH("女赤"&amp;$J30,計算用!$L$2:$L$186,0)),"")</f>
        <v/>
      </c>
      <c r="M30" s="16">
        <f>IFERROR(INDEX(計算用!$G$2:$G$186,MATCH("女赤"&amp;$J30,計算用!$L$2:$L$186,0)),"")</f>
        <v/>
      </c>
      <c r="N30" s="15" t="n"/>
      <c r="O30" s="15">
        <f>IFERROR(INDEX(計算用!$D$2:$D$186,MATCH("女白"&amp;$J30,計算用!$L$2:$L$186,0)),"")</f>
        <v/>
      </c>
      <c r="P30" s="15">
        <f>IFERROR(INDEX(計算用!$M$2:$M$186,MATCH("女白"&amp;$J30,計算用!$L$2:$L$186,0)),"")</f>
        <v/>
      </c>
      <c r="Q30" s="16">
        <f>IFERROR(INDEX(計算用!$G$2:$G$186,MATCH("女白"&amp;$J30,計算用!$L$2:$L$186,0)),"")</f>
        <v/>
      </c>
    </row>
    <row r="31">
      <c r="A31" s="15">
        <f>IF(ROW()-3&lt;=MAX(計算用!$Q$2,計算用!$Q$3),ROW()-3,"")</f>
        <v/>
      </c>
      <c r="B31" s="15">
        <f>IFERROR(INDEX(計算用!$D$2:$D$186,MATCH("男赤"&amp;$A31,計算用!$L$2:$L$186,0)),"")</f>
        <v/>
      </c>
      <c r="C31" s="15">
        <f>IFERROR(INDEX(計算用!$M$2:$M$186,MATCH("男赤"&amp;$A31,計算用!$L$2:$L$186,0)),"")</f>
        <v/>
      </c>
      <c r="D31" s="16">
        <f>IFERROR(INDEX(計算用!$G$2:$G$186,MATCH("男赤"&amp;$A31,計算用!$L$2:$L$186,0)),"")</f>
        <v/>
      </c>
      <c r="E31" s="15" t="n"/>
      <c r="F31" s="15">
        <f>IFERROR(INDEX(計算用!$D$2:$D$186,MATCH("男白"&amp;$A31,計算用!$L$2:$L$186,0)),"")</f>
        <v/>
      </c>
      <c r="G31" s="15">
        <f>IFERROR(INDEX(計算用!$M$2:$M$186,MATCH("男白"&amp;$A31,計算用!$L$2:$L$186,0)),"")</f>
        <v/>
      </c>
      <c r="H31" s="16">
        <f>IFERROR(INDEX(計算用!$G$2:$G$186,MATCH("男白"&amp;$A31,計算用!$L$2:$L$186,0)),"")</f>
        <v/>
      </c>
      <c r="I31" s="15" t="n"/>
      <c r="J31" s="15">
        <f>IF(ROW()-3&lt;=MAX(計算用!$Q$4,計算用!$Q$5),ROW()-3,"")</f>
        <v/>
      </c>
      <c r="K31" s="15">
        <f>IFERROR(INDEX(計算用!$D$2:$D$186,MATCH("女赤"&amp;$J31,計算用!$L$2:$L$186,0)),"")</f>
        <v/>
      </c>
      <c r="L31" s="15">
        <f>IFERROR(INDEX(計算用!$M$2:$M$186,MATCH("女赤"&amp;$J31,計算用!$L$2:$L$186,0)),"")</f>
        <v/>
      </c>
      <c r="M31" s="16">
        <f>IFERROR(INDEX(計算用!$G$2:$G$186,MATCH("女赤"&amp;$J31,計算用!$L$2:$L$186,0)),"")</f>
        <v/>
      </c>
      <c r="N31" s="15" t="n"/>
      <c r="O31" s="15">
        <f>IFERROR(INDEX(計算用!$D$2:$D$186,MATCH("女白"&amp;$J31,計算用!$L$2:$L$186,0)),"")</f>
        <v/>
      </c>
      <c r="P31" s="15">
        <f>IFERROR(INDEX(計算用!$M$2:$M$186,MATCH("女白"&amp;$J31,計算用!$L$2:$L$186,0)),"")</f>
        <v/>
      </c>
      <c r="Q31" s="16">
        <f>IFERROR(INDEX(計算用!$G$2:$G$186,MATCH("女白"&amp;$J31,計算用!$L$2:$L$186,0)),"")</f>
        <v/>
      </c>
    </row>
    <row r="32">
      <c r="A32" s="15">
        <f>IF(ROW()-3&lt;=MAX(計算用!$Q$2,計算用!$Q$3),ROW()-3,"")</f>
        <v/>
      </c>
      <c r="B32" s="15">
        <f>IFERROR(INDEX(計算用!$D$2:$D$186,MATCH("男赤"&amp;$A32,計算用!$L$2:$L$186,0)),"")</f>
        <v/>
      </c>
      <c r="C32" s="15">
        <f>IFERROR(INDEX(計算用!$M$2:$M$186,MATCH("男赤"&amp;$A32,計算用!$L$2:$L$186,0)),"")</f>
        <v/>
      </c>
      <c r="D32" s="16">
        <f>IFERROR(INDEX(計算用!$G$2:$G$186,MATCH("男赤"&amp;$A32,計算用!$L$2:$L$186,0)),"")</f>
        <v/>
      </c>
      <c r="E32" s="15" t="n"/>
      <c r="F32" s="15">
        <f>IFERROR(INDEX(計算用!$D$2:$D$186,MATCH("男白"&amp;$A32,計算用!$L$2:$L$186,0)),"")</f>
        <v/>
      </c>
      <c r="G32" s="15">
        <f>IFERROR(INDEX(計算用!$M$2:$M$186,MATCH("男白"&amp;$A32,計算用!$L$2:$L$186,0)),"")</f>
        <v/>
      </c>
      <c r="H32" s="16">
        <f>IFERROR(INDEX(計算用!$G$2:$G$186,MATCH("男白"&amp;$A32,計算用!$L$2:$L$186,0)),"")</f>
        <v/>
      </c>
      <c r="I32" s="15" t="n"/>
      <c r="J32" s="15">
        <f>IF(ROW()-3&lt;=MAX(計算用!$Q$4,計算用!$Q$5),ROW()-3,"")</f>
        <v/>
      </c>
      <c r="K32" s="15">
        <f>IFERROR(INDEX(計算用!$D$2:$D$186,MATCH("女赤"&amp;$J32,計算用!$L$2:$L$186,0)),"")</f>
        <v/>
      </c>
      <c r="L32" s="15">
        <f>IFERROR(INDEX(計算用!$M$2:$M$186,MATCH("女赤"&amp;$J32,計算用!$L$2:$L$186,0)),"")</f>
        <v/>
      </c>
      <c r="M32" s="16">
        <f>IFERROR(INDEX(計算用!$G$2:$G$186,MATCH("女赤"&amp;$J32,計算用!$L$2:$L$186,0)),"")</f>
        <v/>
      </c>
      <c r="N32" s="15" t="n"/>
      <c r="O32" s="15">
        <f>IFERROR(INDEX(計算用!$D$2:$D$186,MATCH("女白"&amp;$J32,計算用!$L$2:$L$186,0)),"")</f>
        <v/>
      </c>
      <c r="P32" s="15">
        <f>IFERROR(INDEX(計算用!$M$2:$M$186,MATCH("女白"&amp;$J32,計算用!$L$2:$L$186,0)),"")</f>
        <v/>
      </c>
      <c r="Q32" s="16">
        <f>IFERROR(INDEX(計算用!$G$2:$G$186,MATCH("女白"&amp;$J32,計算用!$L$2:$L$186,0)),"")</f>
        <v/>
      </c>
    </row>
    <row r="33">
      <c r="A33" s="15">
        <f>IF(ROW()-3&lt;=MAX(計算用!$Q$2,計算用!$Q$3),ROW()-3,"")</f>
        <v/>
      </c>
      <c r="B33" s="15">
        <f>IFERROR(INDEX(計算用!$D$2:$D$186,MATCH("男赤"&amp;$A33,計算用!$L$2:$L$186,0)),"")</f>
        <v/>
      </c>
      <c r="C33" s="15">
        <f>IFERROR(INDEX(計算用!$M$2:$M$186,MATCH("男赤"&amp;$A33,計算用!$L$2:$L$186,0)),"")</f>
        <v/>
      </c>
      <c r="D33" s="16">
        <f>IFERROR(INDEX(計算用!$G$2:$G$186,MATCH("男赤"&amp;$A33,計算用!$L$2:$L$186,0)),"")</f>
        <v/>
      </c>
      <c r="E33" s="15" t="n"/>
      <c r="F33" s="15">
        <f>IFERROR(INDEX(計算用!$D$2:$D$186,MATCH("男白"&amp;$A33,計算用!$L$2:$L$186,0)),"")</f>
        <v/>
      </c>
      <c r="G33" s="15">
        <f>IFERROR(INDEX(計算用!$M$2:$M$186,MATCH("男白"&amp;$A33,計算用!$L$2:$L$186,0)),"")</f>
        <v/>
      </c>
      <c r="H33" s="16">
        <f>IFERROR(INDEX(計算用!$G$2:$G$186,MATCH("男白"&amp;$A33,計算用!$L$2:$L$186,0)),"")</f>
        <v/>
      </c>
      <c r="I33" s="15" t="n"/>
      <c r="J33" s="15">
        <f>IF(ROW()-3&lt;=MAX(計算用!$Q$4,計算用!$Q$5),ROW()-3,"")</f>
        <v/>
      </c>
      <c r="K33" s="15">
        <f>IFERROR(INDEX(計算用!$D$2:$D$186,MATCH("女赤"&amp;$J33,計算用!$L$2:$L$186,0)),"")</f>
        <v/>
      </c>
      <c r="L33" s="15">
        <f>IFERROR(INDEX(計算用!$M$2:$M$186,MATCH("女赤"&amp;$J33,計算用!$L$2:$L$186,0)),"")</f>
        <v/>
      </c>
      <c r="M33" s="16">
        <f>IFERROR(INDEX(計算用!$G$2:$G$186,MATCH("女赤"&amp;$J33,計算用!$L$2:$L$186,0)),"")</f>
        <v/>
      </c>
      <c r="N33" s="15" t="n"/>
      <c r="O33" s="15">
        <f>IFERROR(INDEX(計算用!$D$2:$D$186,MATCH("女白"&amp;$J33,計算用!$L$2:$L$186,0)),"")</f>
        <v/>
      </c>
      <c r="P33" s="15">
        <f>IFERROR(INDEX(計算用!$M$2:$M$186,MATCH("女白"&amp;$J33,計算用!$L$2:$L$186,0)),"")</f>
        <v/>
      </c>
      <c r="Q33" s="16">
        <f>IFERROR(INDEX(計算用!$G$2:$G$186,MATCH("女白"&amp;$J33,計算用!$L$2:$L$186,0)),"")</f>
        <v/>
      </c>
    </row>
    <row r="34">
      <c r="A34" s="15">
        <f>IF(ROW()-3&lt;=MAX(計算用!$Q$2,計算用!$Q$3),ROW()-3,"")</f>
        <v/>
      </c>
      <c r="B34" s="15">
        <f>IFERROR(INDEX(計算用!$D$2:$D$186,MATCH("男赤"&amp;$A34,計算用!$L$2:$L$186,0)),"")</f>
        <v/>
      </c>
      <c r="C34" s="15">
        <f>IFERROR(INDEX(計算用!$M$2:$M$186,MATCH("男赤"&amp;$A34,計算用!$L$2:$L$186,0)),"")</f>
        <v/>
      </c>
      <c r="D34" s="16">
        <f>IFERROR(INDEX(計算用!$G$2:$G$186,MATCH("男赤"&amp;$A34,計算用!$L$2:$L$186,0)),"")</f>
        <v/>
      </c>
      <c r="E34" s="15" t="n"/>
      <c r="F34" s="15">
        <f>IFERROR(INDEX(計算用!$D$2:$D$186,MATCH("男白"&amp;$A34,計算用!$L$2:$L$186,0)),"")</f>
        <v/>
      </c>
      <c r="G34" s="15">
        <f>IFERROR(INDEX(計算用!$M$2:$M$186,MATCH("男白"&amp;$A34,計算用!$L$2:$L$186,0)),"")</f>
        <v/>
      </c>
      <c r="H34" s="16">
        <f>IFERROR(INDEX(計算用!$G$2:$G$186,MATCH("男白"&amp;$A34,計算用!$L$2:$L$186,0)),"")</f>
        <v/>
      </c>
      <c r="I34" s="15" t="n"/>
      <c r="J34" s="15">
        <f>IF(ROW()-3&lt;=MAX(計算用!$Q$4,計算用!$Q$5),ROW()-3,"")</f>
        <v/>
      </c>
      <c r="K34" s="15">
        <f>IFERROR(INDEX(計算用!$D$2:$D$186,MATCH("女赤"&amp;$J34,計算用!$L$2:$L$186,0)),"")</f>
        <v/>
      </c>
      <c r="L34" s="15">
        <f>IFERROR(INDEX(計算用!$M$2:$M$186,MATCH("女赤"&amp;$J34,計算用!$L$2:$L$186,0)),"")</f>
        <v/>
      </c>
      <c r="M34" s="16">
        <f>IFERROR(INDEX(計算用!$G$2:$G$186,MATCH("女赤"&amp;$J34,計算用!$L$2:$L$186,0)),"")</f>
        <v/>
      </c>
      <c r="N34" s="15" t="n"/>
      <c r="O34" s="15">
        <f>IFERROR(INDEX(計算用!$D$2:$D$186,MATCH("女白"&amp;$J34,計算用!$L$2:$L$186,0)),"")</f>
        <v/>
      </c>
      <c r="P34" s="15">
        <f>IFERROR(INDEX(計算用!$M$2:$M$186,MATCH("女白"&amp;$J34,計算用!$L$2:$L$186,0)),"")</f>
        <v/>
      </c>
      <c r="Q34" s="16">
        <f>IFERROR(INDEX(計算用!$G$2:$G$186,MATCH("女白"&amp;$J34,計算用!$L$2:$L$186,0)),"")</f>
        <v/>
      </c>
    </row>
    <row r="35">
      <c r="A35" s="15">
        <f>IF(ROW()-3&lt;=MAX(計算用!$Q$2,計算用!$Q$3),ROW()-3,"")</f>
        <v/>
      </c>
      <c r="B35" s="15">
        <f>IFERROR(INDEX(計算用!$D$2:$D$186,MATCH("男赤"&amp;$A35,計算用!$L$2:$L$186,0)),"")</f>
        <v/>
      </c>
      <c r="C35" s="15">
        <f>IFERROR(INDEX(計算用!$M$2:$M$186,MATCH("男赤"&amp;$A35,計算用!$L$2:$L$186,0)),"")</f>
        <v/>
      </c>
      <c r="D35" s="16">
        <f>IFERROR(INDEX(計算用!$G$2:$G$186,MATCH("男赤"&amp;$A35,計算用!$L$2:$L$186,0)),"")</f>
        <v/>
      </c>
      <c r="E35" s="15" t="n"/>
      <c r="F35" s="15">
        <f>IFERROR(INDEX(計算用!$D$2:$D$186,MATCH("男白"&amp;$A35,計算用!$L$2:$L$186,0)),"")</f>
        <v/>
      </c>
      <c r="G35" s="15">
        <f>IFERROR(INDEX(計算用!$M$2:$M$186,MATCH("男白"&amp;$A35,計算用!$L$2:$L$186,0)),"")</f>
        <v/>
      </c>
      <c r="H35" s="16">
        <f>IFERROR(INDEX(計算用!$G$2:$G$186,MATCH("男白"&amp;$A35,計算用!$L$2:$L$186,0)),"")</f>
        <v/>
      </c>
      <c r="I35" s="15" t="n"/>
      <c r="J35" s="15">
        <f>IF(ROW()-3&lt;=MAX(計算用!$Q$4,計算用!$Q$5),ROW()-3,"")</f>
        <v/>
      </c>
      <c r="K35" s="15">
        <f>IFERROR(INDEX(計算用!$D$2:$D$186,MATCH("女赤"&amp;$J35,計算用!$L$2:$L$186,0)),"")</f>
        <v/>
      </c>
      <c r="L35" s="15">
        <f>IFERROR(INDEX(計算用!$M$2:$M$186,MATCH("女赤"&amp;$J35,計算用!$L$2:$L$186,0)),"")</f>
        <v/>
      </c>
      <c r="M35" s="16">
        <f>IFERROR(INDEX(計算用!$G$2:$G$186,MATCH("女赤"&amp;$J35,計算用!$L$2:$L$186,0)),"")</f>
        <v/>
      </c>
      <c r="N35" s="15" t="n"/>
      <c r="O35" s="15">
        <f>IFERROR(INDEX(計算用!$D$2:$D$186,MATCH("女白"&amp;$J35,計算用!$L$2:$L$186,0)),"")</f>
        <v/>
      </c>
      <c r="P35" s="15">
        <f>IFERROR(INDEX(計算用!$M$2:$M$186,MATCH("女白"&amp;$J35,計算用!$L$2:$L$186,0)),"")</f>
        <v/>
      </c>
      <c r="Q35" s="16">
        <f>IFERROR(INDEX(計算用!$G$2:$G$186,MATCH("女白"&amp;$J35,計算用!$L$2:$L$186,0)),"")</f>
        <v/>
      </c>
    </row>
    <row r="36">
      <c r="A36" s="15">
        <f>IF(ROW()-3&lt;=MAX(計算用!$Q$2,計算用!$Q$3),ROW()-3,"")</f>
        <v/>
      </c>
      <c r="B36" s="15">
        <f>IFERROR(INDEX(計算用!$D$2:$D$186,MATCH("男赤"&amp;$A36,計算用!$L$2:$L$186,0)),"")</f>
        <v/>
      </c>
      <c r="C36" s="15">
        <f>IFERROR(INDEX(計算用!$M$2:$M$186,MATCH("男赤"&amp;$A36,計算用!$L$2:$L$186,0)),"")</f>
        <v/>
      </c>
      <c r="D36" s="16">
        <f>IFERROR(INDEX(計算用!$G$2:$G$186,MATCH("男赤"&amp;$A36,計算用!$L$2:$L$186,0)),"")</f>
        <v/>
      </c>
      <c r="E36" s="15" t="n"/>
      <c r="F36" s="15">
        <f>IFERROR(INDEX(計算用!$D$2:$D$186,MATCH("男白"&amp;$A36,計算用!$L$2:$L$186,0)),"")</f>
        <v/>
      </c>
      <c r="G36" s="15">
        <f>IFERROR(INDEX(計算用!$M$2:$M$186,MATCH("男白"&amp;$A36,計算用!$L$2:$L$186,0)),"")</f>
        <v/>
      </c>
      <c r="H36" s="16">
        <f>IFERROR(INDEX(計算用!$G$2:$G$186,MATCH("男白"&amp;$A36,計算用!$L$2:$L$186,0)),"")</f>
        <v/>
      </c>
      <c r="I36" s="15" t="n"/>
      <c r="J36" s="15">
        <f>IF(ROW()-3&lt;=MAX(計算用!$Q$4,計算用!$Q$5),ROW()-3,"")</f>
        <v/>
      </c>
      <c r="K36" s="15">
        <f>IFERROR(INDEX(計算用!$D$2:$D$186,MATCH("女赤"&amp;$J36,計算用!$L$2:$L$186,0)),"")</f>
        <v/>
      </c>
      <c r="L36" s="15">
        <f>IFERROR(INDEX(計算用!$M$2:$M$186,MATCH("女赤"&amp;$J36,計算用!$L$2:$L$186,0)),"")</f>
        <v/>
      </c>
      <c r="M36" s="16">
        <f>IFERROR(INDEX(計算用!$G$2:$G$186,MATCH("女赤"&amp;$J36,計算用!$L$2:$L$186,0)),"")</f>
        <v/>
      </c>
      <c r="N36" s="15" t="n"/>
      <c r="O36" s="15">
        <f>IFERROR(INDEX(計算用!$D$2:$D$186,MATCH("女白"&amp;$J36,計算用!$L$2:$L$186,0)),"")</f>
        <v/>
      </c>
      <c r="P36" s="15">
        <f>IFERROR(INDEX(計算用!$M$2:$M$186,MATCH("女白"&amp;$J36,計算用!$L$2:$L$186,0)),"")</f>
        <v/>
      </c>
      <c r="Q36" s="16">
        <f>IFERROR(INDEX(計算用!$G$2:$G$186,MATCH("女白"&amp;$J36,計算用!$L$2:$L$186,0)),"")</f>
        <v/>
      </c>
    </row>
    <row r="37">
      <c r="A37" s="15">
        <f>IF(ROW()-3&lt;=MAX(計算用!$Q$2,計算用!$Q$3),ROW()-3,"")</f>
        <v/>
      </c>
      <c r="B37" s="15">
        <f>IFERROR(INDEX(計算用!$D$2:$D$186,MATCH("男赤"&amp;$A37,計算用!$L$2:$L$186,0)),"")</f>
        <v/>
      </c>
      <c r="C37" s="15">
        <f>IFERROR(INDEX(計算用!$M$2:$M$186,MATCH("男赤"&amp;$A37,計算用!$L$2:$L$186,0)),"")</f>
        <v/>
      </c>
      <c r="D37" s="16">
        <f>IFERROR(INDEX(計算用!$G$2:$G$186,MATCH("男赤"&amp;$A37,計算用!$L$2:$L$186,0)),"")</f>
        <v/>
      </c>
      <c r="E37" s="15" t="n"/>
      <c r="F37" s="15">
        <f>IFERROR(INDEX(計算用!$D$2:$D$186,MATCH("男白"&amp;$A37,計算用!$L$2:$L$186,0)),"")</f>
        <v/>
      </c>
      <c r="G37" s="15">
        <f>IFERROR(INDEX(計算用!$M$2:$M$186,MATCH("男白"&amp;$A37,計算用!$L$2:$L$186,0)),"")</f>
        <v/>
      </c>
      <c r="H37" s="16">
        <f>IFERROR(INDEX(計算用!$G$2:$G$186,MATCH("男白"&amp;$A37,計算用!$L$2:$L$186,0)),"")</f>
        <v/>
      </c>
      <c r="I37" s="15" t="n"/>
      <c r="J37" s="15">
        <f>IF(ROW()-3&lt;=MAX(計算用!$Q$4,計算用!$Q$5),ROW()-3,"")</f>
        <v/>
      </c>
      <c r="K37" s="15">
        <f>IFERROR(INDEX(計算用!$D$2:$D$186,MATCH("女赤"&amp;$J37,計算用!$L$2:$L$186,0)),"")</f>
        <v/>
      </c>
      <c r="L37" s="15">
        <f>IFERROR(INDEX(計算用!$M$2:$M$186,MATCH("女赤"&amp;$J37,計算用!$L$2:$L$186,0)),"")</f>
        <v/>
      </c>
      <c r="M37" s="16">
        <f>IFERROR(INDEX(計算用!$G$2:$G$186,MATCH("女赤"&amp;$J37,計算用!$L$2:$L$186,0)),"")</f>
        <v/>
      </c>
      <c r="N37" s="15" t="n"/>
      <c r="O37" s="15">
        <f>IFERROR(INDEX(計算用!$D$2:$D$186,MATCH("女白"&amp;$J37,計算用!$L$2:$L$186,0)),"")</f>
        <v/>
      </c>
      <c r="P37" s="15">
        <f>IFERROR(INDEX(計算用!$M$2:$M$186,MATCH("女白"&amp;$J37,計算用!$L$2:$L$186,0)),"")</f>
        <v/>
      </c>
      <c r="Q37" s="16">
        <f>IFERROR(INDEX(計算用!$G$2:$G$186,MATCH("女白"&amp;$J37,計算用!$L$2:$L$186,0)),"")</f>
        <v/>
      </c>
    </row>
    <row r="38">
      <c r="A38" s="15">
        <f>IF(ROW()-3&lt;=MAX(計算用!$Q$2,計算用!$Q$3),ROW()-3,"")</f>
        <v/>
      </c>
      <c r="B38" s="15">
        <f>IFERROR(INDEX(計算用!$D$2:$D$186,MATCH("男赤"&amp;$A38,計算用!$L$2:$L$186,0)),"")</f>
        <v/>
      </c>
      <c r="C38" s="15">
        <f>IFERROR(INDEX(計算用!$M$2:$M$186,MATCH("男赤"&amp;$A38,計算用!$L$2:$L$186,0)),"")</f>
        <v/>
      </c>
      <c r="D38" s="16">
        <f>IFERROR(INDEX(計算用!$G$2:$G$186,MATCH("男赤"&amp;$A38,計算用!$L$2:$L$186,0)),"")</f>
        <v/>
      </c>
      <c r="E38" s="15" t="n"/>
      <c r="F38" s="15">
        <f>IFERROR(INDEX(計算用!$D$2:$D$186,MATCH("男白"&amp;$A38,計算用!$L$2:$L$186,0)),"")</f>
        <v/>
      </c>
      <c r="G38" s="15">
        <f>IFERROR(INDEX(計算用!$M$2:$M$186,MATCH("男白"&amp;$A38,計算用!$L$2:$L$186,0)),"")</f>
        <v/>
      </c>
      <c r="H38" s="16">
        <f>IFERROR(INDEX(計算用!$G$2:$G$186,MATCH("男白"&amp;$A38,計算用!$L$2:$L$186,0)),"")</f>
        <v/>
      </c>
      <c r="I38" s="15" t="n"/>
      <c r="J38" s="15">
        <f>IF(ROW()-3&lt;=MAX(計算用!$Q$4,計算用!$Q$5),ROW()-3,"")</f>
        <v/>
      </c>
      <c r="K38" s="15">
        <f>IFERROR(INDEX(計算用!$D$2:$D$186,MATCH("女赤"&amp;$J38,計算用!$L$2:$L$186,0)),"")</f>
        <v/>
      </c>
      <c r="L38" s="15">
        <f>IFERROR(INDEX(計算用!$M$2:$M$186,MATCH("女赤"&amp;$J38,計算用!$L$2:$L$186,0)),"")</f>
        <v/>
      </c>
      <c r="M38" s="16">
        <f>IFERROR(INDEX(計算用!$G$2:$G$186,MATCH("女赤"&amp;$J38,計算用!$L$2:$L$186,0)),"")</f>
        <v/>
      </c>
      <c r="N38" s="15" t="n"/>
      <c r="O38" s="15">
        <f>IFERROR(INDEX(計算用!$D$2:$D$186,MATCH("女白"&amp;$J38,計算用!$L$2:$L$186,0)),"")</f>
        <v/>
      </c>
      <c r="P38" s="15">
        <f>IFERROR(INDEX(計算用!$M$2:$M$186,MATCH("女白"&amp;$J38,計算用!$L$2:$L$186,0)),"")</f>
        <v/>
      </c>
      <c r="Q38" s="16">
        <f>IFERROR(INDEX(計算用!$G$2:$G$186,MATCH("女白"&amp;$J38,計算用!$L$2:$L$186,0)),"")</f>
        <v/>
      </c>
    </row>
    <row r="39">
      <c r="A39" s="15">
        <f>IF(ROW()-3&lt;=MAX(計算用!$Q$2,計算用!$Q$3),ROW()-3,"")</f>
        <v/>
      </c>
      <c r="B39" s="15">
        <f>IFERROR(INDEX(計算用!$D$2:$D$186,MATCH("男赤"&amp;$A39,計算用!$L$2:$L$186,0)),"")</f>
        <v/>
      </c>
      <c r="C39" s="15">
        <f>IFERROR(INDEX(計算用!$M$2:$M$186,MATCH("男赤"&amp;$A39,計算用!$L$2:$L$186,0)),"")</f>
        <v/>
      </c>
      <c r="D39" s="16">
        <f>IFERROR(INDEX(計算用!$G$2:$G$186,MATCH("男赤"&amp;$A39,計算用!$L$2:$L$186,0)),"")</f>
        <v/>
      </c>
      <c r="E39" s="15" t="n"/>
      <c r="F39" s="15">
        <f>IFERROR(INDEX(計算用!$D$2:$D$186,MATCH("男白"&amp;$A39,計算用!$L$2:$L$186,0)),"")</f>
        <v/>
      </c>
      <c r="G39" s="15">
        <f>IFERROR(INDEX(計算用!$M$2:$M$186,MATCH("男白"&amp;$A39,計算用!$L$2:$L$186,0)),"")</f>
        <v/>
      </c>
      <c r="H39" s="16">
        <f>IFERROR(INDEX(計算用!$G$2:$G$186,MATCH("男白"&amp;$A39,計算用!$L$2:$L$186,0)),"")</f>
        <v/>
      </c>
      <c r="I39" s="15" t="n"/>
      <c r="J39" s="15">
        <f>IF(ROW()-3&lt;=MAX(計算用!$Q$4,計算用!$Q$5),ROW()-3,"")</f>
        <v/>
      </c>
      <c r="K39" s="15">
        <f>IFERROR(INDEX(計算用!$D$2:$D$186,MATCH("女赤"&amp;$J39,計算用!$L$2:$L$186,0)),"")</f>
        <v/>
      </c>
      <c r="L39" s="15">
        <f>IFERROR(INDEX(計算用!$M$2:$M$186,MATCH("女赤"&amp;$J39,計算用!$L$2:$L$186,0)),"")</f>
        <v/>
      </c>
      <c r="M39" s="16">
        <f>IFERROR(INDEX(計算用!$G$2:$G$186,MATCH("女赤"&amp;$J39,計算用!$L$2:$L$186,0)),"")</f>
        <v/>
      </c>
      <c r="N39" s="15" t="n"/>
      <c r="O39" s="15">
        <f>IFERROR(INDEX(計算用!$D$2:$D$186,MATCH("女白"&amp;$J39,計算用!$L$2:$L$186,0)),"")</f>
        <v/>
      </c>
      <c r="P39" s="15">
        <f>IFERROR(INDEX(計算用!$M$2:$M$186,MATCH("女白"&amp;$J39,計算用!$L$2:$L$186,0)),"")</f>
        <v/>
      </c>
      <c r="Q39" s="16">
        <f>IFERROR(INDEX(計算用!$G$2:$G$186,MATCH("女白"&amp;$J39,計算用!$L$2:$L$186,0)),"")</f>
        <v/>
      </c>
    </row>
    <row r="40">
      <c r="A40" s="15">
        <f>IF(ROW()-3&lt;=MAX(計算用!$Q$2,計算用!$Q$3),ROW()-3,"")</f>
        <v/>
      </c>
      <c r="B40" s="15">
        <f>IFERROR(INDEX(計算用!$D$2:$D$186,MATCH("男赤"&amp;$A40,計算用!$L$2:$L$186,0)),"")</f>
        <v/>
      </c>
      <c r="C40" s="15">
        <f>IFERROR(INDEX(計算用!$M$2:$M$186,MATCH("男赤"&amp;$A40,計算用!$L$2:$L$186,0)),"")</f>
        <v/>
      </c>
      <c r="D40" s="16">
        <f>IFERROR(INDEX(計算用!$G$2:$G$186,MATCH("男赤"&amp;$A40,計算用!$L$2:$L$186,0)),"")</f>
        <v/>
      </c>
      <c r="E40" s="15" t="n"/>
      <c r="F40" s="15">
        <f>IFERROR(INDEX(計算用!$D$2:$D$186,MATCH("男白"&amp;$A40,計算用!$L$2:$L$186,0)),"")</f>
        <v/>
      </c>
      <c r="G40" s="15">
        <f>IFERROR(INDEX(計算用!$M$2:$M$186,MATCH("男白"&amp;$A40,計算用!$L$2:$L$186,0)),"")</f>
        <v/>
      </c>
      <c r="H40" s="16">
        <f>IFERROR(INDEX(計算用!$G$2:$G$186,MATCH("男白"&amp;$A40,計算用!$L$2:$L$186,0)),"")</f>
        <v/>
      </c>
      <c r="I40" s="15" t="n"/>
      <c r="J40" s="15">
        <f>IF(ROW()-3&lt;=MAX(計算用!$Q$4,計算用!$Q$5),ROW()-3,"")</f>
        <v/>
      </c>
      <c r="K40" s="15">
        <f>IFERROR(INDEX(計算用!$D$2:$D$186,MATCH("女赤"&amp;$J40,計算用!$L$2:$L$186,0)),"")</f>
        <v/>
      </c>
      <c r="L40" s="15">
        <f>IFERROR(INDEX(計算用!$M$2:$M$186,MATCH("女赤"&amp;$J40,計算用!$L$2:$L$186,0)),"")</f>
        <v/>
      </c>
      <c r="M40" s="16">
        <f>IFERROR(INDEX(計算用!$G$2:$G$186,MATCH("女赤"&amp;$J40,計算用!$L$2:$L$186,0)),"")</f>
        <v/>
      </c>
      <c r="N40" s="15" t="n"/>
      <c r="O40" s="15">
        <f>IFERROR(INDEX(計算用!$D$2:$D$186,MATCH("女白"&amp;$J40,計算用!$L$2:$L$186,0)),"")</f>
        <v/>
      </c>
      <c r="P40" s="15">
        <f>IFERROR(INDEX(計算用!$M$2:$M$186,MATCH("女白"&amp;$J40,計算用!$L$2:$L$186,0)),"")</f>
        <v/>
      </c>
      <c r="Q40" s="16">
        <f>IFERROR(INDEX(計算用!$G$2:$G$186,MATCH("女白"&amp;$J40,計算用!$L$2:$L$186,0)),"")</f>
        <v/>
      </c>
    </row>
    <row r="41">
      <c r="A41" s="15">
        <f>IF(ROW()-3&lt;=MAX(計算用!$Q$2,計算用!$Q$3),ROW()-3,"")</f>
        <v/>
      </c>
      <c r="B41" s="15">
        <f>IFERROR(INDEX(計算用!$D$2:$D$186,MATCH("男赤"&amp;$A41,計算用!$L$2:$L$186,0)),"")</f>
        <v/>
      </c>
      <c r="C41" s="15">
        <f>IFERROR(INDEX(計算用!$M$2:$M$186,MATCH("男赤"&amp;$A41,計算用!$L$2:$L$186,0)),"")</f>
        <v/>
      </c>
      <c r="D41" s="16">
        <f>IFERROR(INDEX(計算用!$G$2:$G$186,MATCH("男赤"&amp;$A41,計算用!$L$2:$L$186,0)),"")</f>
        <v/>
      </c>
      <c r="E41" s="15" t="n"/>
      <c r="F41" s="15">
        <f>IFERROR(INDEX(計算用!$D$2:$D$186,MATCH("男白"&amp;$A41,計算用!$L$2:$L$186,0)),"")</f>
        <v/>
      </c>
      <c r="G41" s="15">
        <f>IFERROR(INDEX(計算用!$M$2:$M$186,MATCH("男白"&amp;$A41,計算用!$L$2:$L$186,0)),"")</f>
        <v/>
      </c>
      <c r="H41" s="16">
        <f>IFERROR(INDEX(計算用!$G$2:$G$186,MATCH("男白"&amp;$A41,計算用!$L$2:$L$186,0)),"")</f>
        <v/>
      </c>
      <c r="I41" s="15" t="n"/>
      <c r="J41" s="15">
        <f>IF(ROW()-3&lt;=MAX(計算用!$Q$4,計算用!$Q$5),ROW()-3,"")</f>
        <v/>
      </c>
      <c r="K41" s="15">
        <f>IFERROR(INDEX(計算用!$D$2:$D$186,MATCH("女赤"&amp;$J41,計算用!$L$2:$L$186,0)),"")</f>
        <v/>
      </c>
      <c r="L41" s="15">
        <f>IFERROR(INDEX(計算用!$M$2:$M$186,MATCH("女赤"&amp;$J41,計算用!$L$2:$L$186,0)),"")</f>
        <v/>
      </c>
      <c r="M41" s="16">
        <f>IFERROR(INDEX(計算用!$G$2:$G$186,MATCH("女赤"&amp;$J41,計算用!$L$2:$L$186,0)),"")</f>
        <v/>
      </c>
      <c r="N41" s="15" t="n"/>
      <c r="O41" s="15">
        <f>IFERROR(INDEX(計算用!$D$2:$D$186,MATCH("女白"&amp;$J41,計算用!$L$2:$L$186,0)),"")</f>
        <v/>
      </c>
      <c r="P41" s="15">
        <f>IFERROR(INDEX(計算用!$M$2:$M$186,MATCH("女白"&amp;$J41,計算用!$L$2:$L$186,0)),"")</f>
        <v/>
      </c>
      <c r="Q41" s="16">
        <f>IFERROR(INDEX(計算用!$G$2:$G$186,MATCH("女白"&amp;$J41,計算用!$L$2:$L$186,0)),"")</f>
        <v/>
      </c>
    </row>
    <row r="42">
      <c r="A42" s="15">
        <f>IF(ROW()-3&lt;=MAX(計算用!$Q$2,計算用!$Q$3),ROW()-3,"")</f>
        <v/>
      </c>
      <c r="B42" s="15">
        <f>IFERROR(INDEX(計算用!$D$2:$D$186,MATCH("男赤"&amp;$A42,計算用!$L$2:$L$186,0)),"")</f>
        <v/>
      </c>
      <c r="C42" s="15">
        <f>IFERROR(INDEX(計算用!$M$2:$M$186,MATCH("男赤"&amp;$A42,計算用!$L$2:$L$186,0)),"")</f>
        <v/>
      </c>
      <c r="D42" s="16">
        <f>IFERROR(INDEX(計算用!$G$2:$G$186,MATCH("男赤"&amp;$A42,計算用!$L$2:$L$186,0)),"")</f>
        <v/>
      </c>
      <c r="E42" s="15" t="n"/>
      <c r="F42" s="15">
        <f>IFERROR(INDEX(計算用!$D$2:$D$186,MATCH("男白"&amp;$A42,計算用!$L$2:$L$186,0)),"")</f>
        <v/>
      </c>
      <c r="G42" s="15">
        <f>IFERROR(INDEX(計算用!$M$2:$M$186,MATCH("男白"&amp;$A42,計算用!$L$2:$L$186,0)),"")</f>
        <v/>
      </c>
      <c r="H42" s="16">
        <f>IFERROR(INDEX(計算用!$G$2:$G$186,MATCH("男白"&amp;$A42,計算用!$L$2:$L$186,0)),"")</f>
        <v/>
      </c>
      <c r="I42" s="15" t="n"/>
      <c r="J42" s="15">
        <f>IF(ROW()-3&lt;=MAX(計算用!$Q$4,計算用!$Q$5),ROW()-3,"")</f>
        <v/>
      </c>
      <c r="K42" s="15">
        <f>IFERROR(INDEX(計算用!$D$2:$D$186,MATCH("女赤"&amp;$J42,計算用!$L$2:$L$186,0)),"")</f>
        <v/>
      </c>
      <c r="L42" s="15">
        <f>IFERROR(INDEX(計算用!$M$2:$M$186,MATCH("女赤"&amp;$J42,計算用!$L$2:$L$186,0)),"")</f>
        <v/>
      </c>
      <c r="M42" s="16">
        <f>IFERROR(INDEX(計算用!$G$2:$G$186,MATCH("女赤"&amp;$J42,計算用!$L$2:$L$186,0)),"")</f>
        <v/>
      </c>
      <c r="N42" s="15" t="n"/>
      <c r="O42" s="15">
        <f>IFERROR(INDEX(計算用!$D$2:$D$186,MATCH("女白"&amp;$J42,計算用!$L$2:$L$186,0)),"")</f>
        <v/>
      </c>
      <c r="P42" s="15">
        <f>IFERROR(INDEX(計算用!$M$2:$M$186,MATCH("女白"&amp;$J42,計算用!$L$2:$L$186,0)),"")</f>
        <v/>
      </c>
      <c r="Q42" s="16">
        <f>IFERROR(INDEX(計算用!$G$2:$G$186,MATCH("女白"&amp;$J42,計算用!$L$2:$L$186,0)),"")</f>
        <v/>
      </c>
    </row>
    <row r="43">
      <c r="A43" s="15">
        <f>IF(ROW()-3&lt;=MAX(計算用!$Q$2,計算用!$Q$3),ROW()-3,"")</f>
        <v/>
      </c>
      <c r="B43" s="15">
        <f>IFERROR(INDEX(計算用!$D$2:$D$186,MATCH("男赤"&amp;$A43,計算用!$L$2:$L$186,0)),"")</f>
        <v/>
      </c>
      <c r="C43" s="15">
        <f>IFERROR(INDEX(計算用!$M$2:$M$186,MATCH("男赤"&amp;$A43,計算用!$L$2:$L$186,0)),"")</f>
        <v/>
      </c>
      <c r="D43" s="16">
        <f>IFERROR(INDEX(計算用!$G$2:$G$186,MATCH("男赤"&amp;$A43,計算用!$L$2:$L$186,0)),"")</f>
        <v/>
      </c>
      <c r="E43" s="15" t="n"/>
      <c r="F43" s="15">
        <f>IFERROR(INDEX(計算用!$D$2:$D$186,MATCH("男白"&amp;$A43,計算用!$L$2:$L$186,0)),"")</f>
        <v/>
      </c>
      <c r="G43" s="15">
        <f>IFERROR(INDEX(計算用!$M$2:$M$186,MATCH("男白"&amp;$A43,計算用!$L$2:$L$186,0)),"")</f>
        <v/>
      </c>
      <c r="H43" s="16">
        <f>IFERROR(INDEX(計算用!$G$2:$G$186,MATCH("男白"&amp;$A43,計算用!$L$2:$L$186,0)),"")</f>
        <v/>
      </c>
      <c r="I43" s="15" t="n"/>
      <c r="J43" s="15">
        <f>IF(ROW()-3&lt;=MAX(計算用!$Q$4,計算用!$Q$5),ROW()-3,"")</f>
        <v/>
      </c>
      <c r="K43" s="15">
        <f>IFERROR(INDEX(計算用!$D$2:$D$186,MATCH("女赤"&amp;$J43,計算用!$L$2:$L$186,0)),"")</f>
        <v/>
      </c>
      <c r="L43" s="15">
        <f>IFERROR(INDEX(計算用!$M$2:$M$186,MATCH("女赤"&amp;$J43,計算用!$L$2:$L$186,0)),"")</f>
        <v/>
      </c>
      <c r="M43" s="16">
        <f>IFERROR(INDEX(計算用!$G$2:$G$186,MATCH("女赤"&amp;$J43,計算用!$L$2:$L$186,0)),"")</f>
        <v/>
      </c>
      <c r="N43" s="15" t="n"/>
      <c r="O43" s="15">
        <f>IFERROR(INDEX(計算用!$D$2:$D$186,MATCH("女白"&amp;$J43,計算用!$L$2:$L$186,0)),"")</f>
        <v/>
      </c>
      <c r="P43" s="15">
        <f>IFERROR(INDEX(計算用!$M$2:$M$186,MATCH("女白"&amp;$J43,計算用!$L$2:$L$186,0)),"")</f>
        <v/>
      </c>
      <c r="Q43" s="16">
        <f>IFERROR(INDEX(計算用!$G$2:$G$186,MATCH("女白"&amp;$J43,計算用!$L$2:$L$186,0)),"")</f>
        <v/>
      </c>
    </row>
    <row r="44">
      <c r="A44" s="15">
        <f>IF(ROW()-3&lt;=MAX(計算用!$Q$2,計算用!$Q$3),ROW()-3,"")</f>
        <v/>
      </c>
      <c r="B44" s="15">
        <f>IFERROR(INDEX(計算用!$D$2:$D$186,MATCH("男赤"&amp;$A44,計算用!$L$2:$L$186,0)),"")</f>
        <v/>
      </c>
      <c r="C44" s="15">
        <f>IFERROR(INDEX(計算用!$M$2:$M$186,MATCH("男赤"&amp;$A44,計算用!$L$2:$L$186,0)),"")</f>
        <v/>
      </c>
      <c r="D44" s="16">
        <f>IFERROR(INDEX(計算用!$G$2:$G$186,MATCH("男赤"&amp;$A44,計算用!$L$2:$L$186,0)),"")</f>
        <v/>
      </c>
      <c r="E44" s="15" t="n"/>
      <c r="F44" s="15">
        <f>IFERROR(INDEX(計算用!$D$2:$D$186,MATCH("男白"&amp;$A44,計算用!$L$2:$L$186,0)),"")</f>
        <v/>
      </c>
      <c r="G44" s="15">
        <f>IFERROR(INDEX(計算用!$M$2:$M$186,MATCH("男白"&amp;$A44,計算用!$L$2:$L$186,0)),"")</f>
        <v/>
      </c>
      <c r="H44" s="16">
        <f>IFERROR(INDEX(計算用!$G$2:$G$186,MATCH("男白"&amp;$A44,計算用!$L$2:$L$186,0)),"")</f>
        <v/>
      </c>
      <c r="I44" s="15" t="n"/>
      <c r="J44" s="15">
        <f>IF(ROW()-3&lt;=MAX(計算用!$Q$4,計算用!$Q$5),ROW()-3,"")</f>
        <v/>
      </c>
      <c r="K44" s="15">
        <f>IFERROR(INDEX(計算用!$D$2:$D$186,MATCH("女赤"&amp;$J44,計算用!$L$2:$L$186,0)),"")</f>
        <v/>
      </c>
      <c r="L44" s="15">
        <f>IFERROR(INDEX(計算用!$M$2:$M$186,MATCH("女赤"&amp;$J44,計算用!$L$2:$L$186,0)),"")</f>
        <v/>
      </c>
      <c r="M44" s="16">
        <f>IFERROR(INDEX(計算用!$G$2:$G$186,MATCH("女赤"&amp;$J44,計算用!$L$2:$L$186,0)),"")</f>
        <v/>
      </c>
      <c r="N44" s="15" t="n"/>
      <c r="O44" s="15">
        <f>IFERROR(INDEX(計算用!$D$2:$D$186,MATCH("女白"&amp;$J44,計算用!$L$2:$L$186,0)),"")</f>
        <v/>
      </c>
      <c r="P44" s="15">
        <f>IFERROR(INDEX(計算用!$M$2:$M$186,MATCH("女白"&amp;$J44,計算用!$L$2:$L$186,0)),"")</f>
        <v/>
      </c>
      <c r="Q44" s="16">
        <f>IFERROR(INDEX(計算用!$G$2:$G$186,MATCH("女白"&amp;$J44,計算用!$L$2:$L$186,0)),"")</f>
        <v/>
      </c>
    </row>
    <row r="45">
      <c r="A45" s="15">
        <f>IF(ROW()-3&lt;=MAX(計算用!$Q$2,計算用!$Q$3),ROW()-3,"")</f>
        <v/>
      </c>
      <c r="B45" s="15">
        <f>IFERROR(INDEX(計算用!$D$2:$D$186,MATCH("男赤"&amp;$A45,計算用!$L$2:$L$186,0)),"")</f>
        <v/>
      </c>
      <c r="C45" s="15">
        <f>IFERROR(INDEX(計算用!$M$2:$M$186,MATCH("男赤"&amp;$A45,計算用!$L$2:$L$186,0)),"")</f>
        <v/>
      </c>
      <c r="D45" s="16">
        <f>IFERROR(INDEX(計算用!$G$2:$G$186,MATCH("男赤"&amp;$A45,計算用!$L$2:$L$186,0)),"")</f>
        <v/>
      </c>
      <c r="E45" s="15" t="n"/>
      <c r="F45" s="15">
        <f>IFERROR(INDEX(計算用!$D$2:$D$186,MATCH("男白"&amp;$A45,計算用!$L$2:$L$186,0)),"")</f>
        <v/>
      </c>
      <c r="G45" s="15">
        <f>IFERROR(INDEX(計算用!$M$2:$M$186,MATCH("男白"&amp;$A45,計算用!$L$2:$L$186,0)),"")</f>
        <v/>
      </c>
      <c r="H45" s="16">
        <f>IFERROR(INDEX(計算用!$G$2:$G$186,MATCH("男白"&amp;$A45,計算用!$L$2:$L$186,0)),"")</f>
        <v/>
      </c>
      <c r="I45" s="15" t="n"/>
      <c r="J45" s="15">
        <f>IF(ROW()-3&lt;=MAX(計算用!$Q$4,計算用!$Q$5),ROW()-3,"")</f>
        <v/>
      </c>
      <c r="K45" s="15">
        <f>IFERROR(INDEX(計算用!$D$2:$D$186,MATCH("女赤"&amp;$J45,計算用!$L$2:$L$186,0)),"")</f>
        <v/>
      </c>
      <c r="L45" s="15">
        <f>IFERROR(INDEX(計算用!$M$2:$M$186,MATCH("女赤"&amp;$J45,計算用!$L$2:$L$186,0)),"")</f>
        <v/>
      </c>
      <c r="M45" s="16">
        <f>IFERROR(INDEX(計算用!$G$2:$G$186,MATCH("女赤"&amp;$J45,計算用!$L$2:$L$186,0)),"")</f>
        <v/>
      </c>
      <c r="N45" s="15" t="n"/>
      <c r="O45" s="15">
        <f>IFERROR(INDEX(計算用!$D$2:$D$186,MATCH("女白"&amp;$J45,計算用!$L$2:$L$186,0)),"")</f>
        <v/>
      </c>
      <c r="P45" s="15">
        <f>IFERROR(INDEX(計算用!$M$2:$M$186,MATCH("女白"&amp;$J45,計算用!$L$2:$L$186,0)),"")</f>
        <v/>
      </c>
      <c r="Q45" s="16">
        <f>IFERROR(INDEX(計算用!$G$2:$G$186,MATCH("女白"&amp;$J45,計算用!$L$2:$L$186,0)),"")</f>
        <v/>
      </c>
    </row>
    <row r="46">
      <c r="A46" s="15">
        <f>IF(ROW()-3&lt;=MAX(計算用!$Q$2,計算用!$Q$3),ROW()-3,"")</f>
        <v/>
      </c>
      <c r="B46" s="15">
        <f>IFERROR(INDEX(計算用!$D$2:$D$186,MATCH("男赤"&amp;$A46,計算用!$L$2:$L$186,0)),"")</f>
        <v/>
      </c>
      <c r="C46" s="15">
        <f>IFERROR(INDEX(計算用!$M$2:$M$186,MATCH("男赤"&amp;$A46,計算用!$L$2:$L$186,0)),"")</f>
        <v/>
      </c>
      <c r="D46" s="16">
        <f>IFERROR(INDEX(計算用!$G$2:$G$186,MATCH("男赤"&amp;$A46,計算用!$L$2:$L$186,0)),"")</f>
        <v/>
      </c>
      <c r="E46" s="15" t="n"/>
      <c r="F46" s="15">
        <f>IFERROR(INDEX(計算用!$D$2:$D$186,MATCH("男白"&amp;$A46,計算用!$L$2:$L$186,0)),"")</f>
        <v/>
      </c>
      <c r="G46" s="15">
        <f>IFERROR(INDEX(計算用!$M$2:$M$186,MATCH("男白"&amp;$A46,計算用!$L$2:$L$186,0)),"")</f>
        <v/>
      </c>
      <c r="H46" s="16">
        <f>IFERROR(INDEX(計算用!$G$2:$G$186,MATCH("男白"&amp;$A46,計算用!$L$2:$L$186,0)),"")</f>
        <v/>
      </c>
      <c r="I46" s="15" t="n"/>
      <c r="J46" s="15">
        <f>IF(ROW()-3&lt;=MAX(計算用!$Q$4,計算用!$Q$5),ROW()-3,"")</f>
        <v/>
      </c>
      <c r="K46" s="15">
        <f>IFERROR(INDEX(計算用!$D$2:$D$186,MATCH("女赤"&amp;$J46,計算用!$L$2:$L$186,0)),"")</f>
        <v/>
      </c>
      <c r="L46" s="15">
        <f>IFERROR(INDEX(計算用!$M$2:$M$186,MATCH("女赤"&amp;$J46,計算用!$L$2:$L$186,0)),"")</f>
        <v/>
      </c>
      <c r="M46" s="16">
        <f>IFERROR(INDEX(計算用!$G$2:$G$186,MATCH("女赤"&amp;$J46,計算用!$L$2:$L$186,0)),"")</f>
        <v/>
      </c>
      <c r="N46" s="15" t="n"/>
      <c r="O46" s="15">
        <f>IFERROR(INDEX(計算用!$D$2:$D$186,MATCH("女白"&amp;$J46,計算用!$L$2:$L$186,0)),"")</f>
        <v/>
      </c>
      <c r="P46" s="15">
        <f>IFERROR(INDEX(計算用!$M$2:$M$186,MATCH("女白"&amp;$J46,計算用!$L$2:$L$186,0)),"")</f>
        <v/>
      </c>
      <c r="Q46" s="16">
        <f>IFERROR(INDEX(計算用!$G$2:$G$186,MATCH("女白"&amp;$J46,計算用!$L$2:$L$186,0)),"")</f>
        <v/>
      </c>
    </row>
    <row r="47">
      <c r="A47" s="15">
        <f>IF(ROW()-3&lt;=MAX(計算用!$Q$2,計算用!$Q$3),ROW()-3,"")</f>
        <v/>
      </c>
      <c r="B47" s="15">
        <f>IFERROR(INDEX(計算用!$D$2:$D$186,MATCH("男赤"&amp;$A47,計算用!$L$2:$L$186,0)),"")</f>
        <v/>
      </c>
      <c r="C47" s="15">
        <f>IFERROR(INDEX(計算用!$M$2:$M$186,MATCH("男赤"&amp;$A47,計算用!$L$2:$L$186,0)),"")</f>
        <v/>
      </c>
      <c r="D47" s="16">
        <f>IFERROR(INDEX(計算用!$G$2:$G$186,MATCH("男赤"&amp;$A47,計算用!$L$2:$L$186,0)),"")</f>
        <v/>
      </c>
      <c r="E47" s="15" t="n"/>
      <c r="F47" s="15">
        <f>IFERROR(INDEX(計算用!$D$2:$D$186,MATCH("男白"&amp;$A47,計算用!$L$2:$L$186,0)),"")</f>
        <v/>
      </c>
      <c r="G47" s="15">
        <f>IFERROR(INDEX(計算用!$M$2:$M$186,MATCH("男白"&amp;$A47,計算用!$L$2:$L$186,0)),"")</f>
        <v/>
      </c>
      <c r="H47" s="16">
        <f>IFERROR(INDEX(計算用!$G$2:$G$186,MATCH("男白"&amp;$A47,計算用!$L$2:$L$186,0)),"")</f>
        <v/>
      </c>
      <c r="I47" s="15" t="n"/>
      <c r="J47" s="15">
        <f>IF(ROW()-3&lt;=MAX(計算用!$Q$4,計算用!$Q$5),ROW()-3,"")</f>
        <v/>
      </c>
      <c r="K47" s="15">
        <f>IFERROR(INDEX(計算用!$D$2:$D$186,MATCH("女赤"&amp;$J47,計算用!$L$2:$L$186,0)),"")</f>
        <v/>
      </c>
      <c r="L47" s="15">
        <f>IFERROR(INDEX(計算用!$M$2:$M$186,MATCH("女赤"&amp;$J47,計算用!$L$2:$L$186,0)),"")</f>
        <v/>
      </c>
      <c r="M47" s="16">
        <f>IFERROR(INDEX(計算用!$G$2:$G$186,MATCH("女赤"&amp;$J47,計算用!$L$2:$L$186,0)),"")</f>
        <v/>
      </c>
      <c r="N47" s="15" t="n"/>
      <c r="O47" s="15">
        <f>IFERROR(INDEX(計算用!$D$2:$D$186,MATCH("女白"&amp;$J47,計算用!$L$2:$L$186,0)),"")</f>
        <v/>
      </c>
      <c r="P47" s="15">
        <f>IFERROR(INDEX(計算用!$M$2:$M$186,MATCH("女白"&amp;$J47,計算用!$L$2:$L$186,0)),"")</f>
        <v/>
      </c>
      <c r="Q47" s="16">
        <f>IFERROR(INDEX(計算用!$G$2:$G$186,MATCH("女白"&amp;$J47,計算用!$L$2:$L$186,0)),"")</f>
        <v/>
      </c>
    </row>
    <row r="48">
      <c r="A48" s="15">
        <f>IF(ROW()-3&lt;=MAX(計算用!$Q$2,計算用!$Q$3),ROW()-3,"")</f>
        <v/>
      </c>
      <c r="B48" s="15">
        <f>IFERROR(INDEX(計算用!$D$2:$D$186,MATCH("男赤"&amp;$A48,計算用!$L$2:$L$186,0)),"")</f>
        <v/>
      </c>
      <c r="C48" s="15">
        <f>IFERROR(INDEX(計算用!$M$2:$M$186,MATCH("男赤"&amp;$A48,計算用!$L$2:$L$186,0)),"")</f>
        <v/>
      </c>
      <c r="D48" s="16">
        <f>IFERROR(INDEX(計算用!$G$2:$G$186,MATCH("男赤"&amp;$A48,計算用!$L$2:$L$186,0)),"")</f>
        <v/>
      </c>
      <c r="E48" s="15" t="n"/>
      <c r="F48" s="15">
        <f>IFERROR(INDEX(計算用!$D$2:$D$186,MATCH("男白"&amp;$A48,計算用!$L$2:$L$186,0)),"")</f>
        <v/>
      </c>
      <c r="G48" s="15">
        <f>IFERROR(INDEX(計算用!$M$2:$M$186,MATCH("男白"&amp;$A48,計算用!$L$2:$L$186,0)),"")</f>
        <v/>
      </c>
      <c r="H48" s="16">
        <f>IFERROR(INDEX(計算用!$G$2:$G$186,MATCH("男白"&amp;$A48,計算用!$L$2:$L$186,0)),"")</f>
        <v/>
      </c>
      <c r="I48" s="15" t="n"/>
      <c r="J48" s="15">
        <f>IF(ROW()-3&lt;=MAX(計算用!$Q$4,計算用!$Q$5),ROW()-3,"")</f>
        <v/>
      </c>
      <c r="K48" s="15">
        <f>IFERROR(INDEX(計算用!$D$2:$D$186,MATCH("女赤"&amp;$J48,計算用!$L$2:$L$186,0)),"")</f>
        <v/>
      </c>
      <c r="L48" s="15">
        <f>IFERROR(INDEX(計算用!$M$2:$M$186,MATCH("女赤"&amp;$J48,計算用!$L$2:$L$186,0)),"")</f>
        <v/>
      </c>
      <c r="M48" s="16">
        <f>IFERROR(INDEX(計算用!$G$2:$G$186,MATCH("女赤"&amp;$J48,計算用!$L$2:$L$186,0)),"")</f>
        <v/>
      </c>
      <c r="N48" s="15" t="n"/>
      <c r="O48" s="15">
        <f>IFERROR(INDEX(計算用!$D$2:$D$186,MATCH("女白"&amp;$J48,計算用!$L$2:$L$186,0)),"")</f>
        <v/>
      </c>
      <c r="P48" s="15">
        <f>IFERROR(INDEX(計算用!$M$2:$M$186,MATCH("女白"&amp;$J48,計算用!$L$2:$L$186,0)),"")</f>
        <v/>
      </c>
      <c r="Q48" s="16">
        <f>IFERROR(INDEX(計算用!$G$2:$G$186,MATCH("女白"&amp;$J48,計算用!$L$2:$L$186,0)),"")</f>
        <v/>
      </c>
    </row>
    <row r="49">
      <c r="A49" s="15">
        <f>IF(ROW()-3&lt;=MAX(計算用!$Q$2,計算用!$Q$3),ROW()-3,"")</f>
        <v/>
      </c>
      <c r="B49" s="15">
        <f>IFERROR(INDEX(計算用!$D$2:$D$186,MATCH("男赤"&amp;$A49,計算用!$L$2:$L$186,0)),"")</f>
        <v/>
      </c>
      <c r="C49" s="15">
        <f>IFERROR(INDEX(計算用!$M$2:$M$186,MATCH("男赤"&amp;$A49,計算用!$L$2:$L$186,0)),"")</f>
        <v/>
      </c>
      <c r="D49" s="16">
        <f>IFERROR(INDEX(計算用!$G$2:$G$186,MATCH("男赤"&amp;$A49,計算用!$L$2:$L$186,0)),"")</f>
        <v/>
      </c>
      <c r="E49" s="15" t="n"/>
      <c r="F49" s="15">
        <f>IFERROR(INDEX(計算用!$D$2:$D$186,MATCH("男白"&amp;$A49,計算用!$L$2:$L$186,0)),"")</f>
        <v/>
      </c>
      <c r="G49" s="15">
        <f>IFERROR(INDEX(計算用!$M$2:$M$186,MATCH("男白"&amp;$A49,計算用!$L$2:$L$186,0)),"")</f>
        <v/>
      </c>
      <c r="H49" s="16">
        <f>IFERROR(INDEX(計算用!$G$2:$G$186,MATCH("男白"&amp;$A49,計算用!$L$2:$L$186,0)),"")</f>
        <v/>
      </c>
      <c r="I49" s="15" t="n"/>
      <c r="J49" s="15">
        <f>IF(ROW()-3&lt;=MAX(計算用!$Q$4,計算用!$Q$5),ROW()-3,"")</f>
        <v/>
      </c>
      <c r="K49" s="15">
        <f>IFERROR(INDEX(計算用!$D$2:$D$186,MATCH("女赤"&amp;$J49,計算用!$L$2:$L$186,0)),"")</f>
        <v/>
      </c>
      <c r="L49" s="15">
        <f>IFERROR(INDEX(計算用!$M$2:$M$186,MATCH("女赤"&amp;$J49,計算用!$L$2:$L$186,0)),"")</f>
        <v/>
      </c>
      <c r="M49" s="16">
        <f>IFERROR(INDEX(計算用!$G$2:$G$186,MATCH("女赤"&amp;$J49,計算用!$L$2:$L$186,0)),"")</f>
        <v/>
      </c>
      <c r="N49" s="15" t="n"/>
      <c r="O49" s="15">
        <f>IFERROR(INDEX(計算用!$D$2:$D$186,MATCH("女白"&amp;$J49,計算用!$L$2:$L$186,0)),"")</f>
        <v/>
      </c>
      <c r="P49" s="15">
        <f>IFERROR(INDEX(計算用!$M$2:$M$186,MATCH("女白"&amp;$J49,計算用!$L$2:$L$186,0)),"")</f>
        <v/>
      </c>
      <c r="Q49" s="16">
        <f>IFERROR(INDEX(計算用!$G$2:$G$186,MATCH("女白"&amp;$J49,計算用!$L$2:$L$186,0)),"")</f>
        <v/>
      </c>
    </row>
    <row r="50">
      <c r="A50" s="15">
        <f>IF(ROW()-3&lt;=MAX(計算用!$Q$2,計算用!$Q$3),ROW()-3,"")</f>
        <v/>
      </c>
      <c r="B50" s="15">
        <f>IFERROR(INDEX(計算用!$D$2:$D$186,MATCH("男赤"&amp;$A50,計算用!$L$2:$L$186,0)),"")</f>
        <v/>
      </c>
      <c r="C50" s="15">
        <f>IFERROR(INDEX(計算用!$M$2:$M$186,MATCH("男赤"&amp;$A50,計算用!$L$2:$L$186,0)),"")</f>
        <v/>
      </c>
      <c r="D50" s="16">
        <f>IFERROR(INDEX(計算用!$G$2:$G$186,MATCH("男赤"&amp;$A50,計算用!$L$2:$L$186,0)),"")</f>
        <v/>
      </c>
      <c r="E50" s="15" t="n"/>
      <c r="F50" s="15">
        <f>IFERROR(INDEX(計算用!$D$2:$D$186,MATCH("男白"&amp;$A50,計算用!$L$2:$L$186,0)),"")</f>
        <v/>
      </c>
      <c r="G50" s="15">
        <f>IFERROR(INDEX(計算用!$M$2:$M$186,MATCH("男白"&amp;$A50,計算用!$L$2:$L$186,0)),"")</f>
        <v/>
      </c>
      <c r="H50" s="16">
        <f>IFERROR(INDEX(計算用!$G$2:$G$186,MATCH("男白"&amp;$A50,計算用!$L$2:$L$186,0)),"")</f>
        <v/>
      </c>
      <c r="I50" s="15" t="n"/>
      <c r="J50" s="15">
        <f>IF(ROW()-3&lt;=MAX(計算用!$Q$4,計算用!$Q$5),ROW()-3,"")</f>
        <v/>
      </c>
      <c r="K50" s="15">
        <f>IFERROR(INDEX(計算用!$D$2:$D$186,MATCH("女赤"&amp;$J50,計算用!$L$2:$L$186,0)),"")</f>
        <v/>
      </c>
      <c r="L50" s="15">
        <f>IFERROR(INDEX(計算用!$M$2:$M$186,MATCH("女赤"&amp;$J50,計算用!$L$2:$L$186,0)),"")</f>
        <v/>
      </c>
      <c r="M50" s="16">
        <f>IFERROR(INDEX(計算用!$G$2:$G$186,MATCH("女赤"&amp;$J50,計算用!$L$2:$L$186,0)),"")</f>
        <v/>
      </c>
      <c r="N50" s="15" t="n"/>
      <c r="O50" s="15">
        <f>IFERROR(INDEX(計算用!$D$2:$D$186,MATCH("女白"&amp;$J50,計算用!$L$2:$L$186,0)),"")</f>
        <v/>
      </c>
      <c r="P50" s="15">
        <f>IFERROR(INDEX(計算用!$M$2:$M$186,MATCH("女白"&amp;$J50,計算用!$L$2:$L$186,0)),"")</f>
        <v/>
      </c>
      <c r="Q50" s="16">
        <f>IFERROR(INDEX(計算用!$G$2:$G$186,MATCH("女白"&amp;$J50,計算用!$L$2:$L$186,0)),"")</f>
        <v/>
      </c>
    </row>
    <row r="51">
      <c r="A51" s="15">
        <f>IF(ROW()-3&lt;=MAX(計算用!$Q$2,計算用!$Q$3),ROW()-3,"")</f>
        <v/>
      </c>
      <c r="B51" s="15">
        <f>IFERROR(INDEX(計算用!$D$2:$D$186,MATCH("男赤"&amp;$A51,計算用!$L$2:$L$186,0)),"")</f>
        <v/>
      </c>
      <c r="C51" s="15">
        <f>IFERROR(INDEX(計算用!$M$2:$M$186,MATCH("男赤"&amp;$A51,計算用!$L$2:$L$186,0)),"")</f>
        <v/>
      </c>
      <c r="D51" s="16">
        <f>IFERROR(INDEX(計算用!$G$2:$G$186,MATCH("男赤"&amp;$A51,計算用!$L$2:$L$186,0)),"")</f>
        <v/>
      </c>
      <c r="E51" s="15" t="n"/>
      <c r="F51" s="15">
        <f>IFERROR(INDEX(計算用!$D$2:$D$186,MATCH("男白"&amp;$A51,計算用!$L$2:$L$186,0)),"")</f>
        <v/>
      </c>
      <c r="G51" s="15">
        <f>IFERROR(INDEX(計算用!$M$2:$M$186,MATCH("男白"&amp;$A51,計算用!$L$2:$L$186,0)),"")</f>
        <v/>
      </c>
      <c r="H51" s="16">
        <f>IFERROR(INDEX(計算用!$G$2:$G$186,MATCH("男白"&amp;$A51,計算用!$L$2:$L$186,0)),"")</f>
        <v/>
      </c>
      <c r="I51" s="15" t="n"/>
      <c r="J51" s="15">
        <f>IF(ROW()-3&lt;=MAX(計算用!$Q$4,計算用!$Q$5),ROW()-3,"")</f>
        <v/>
      </c>
      <c r="K51" s="15">
        <f>IFERROR(INDEX(計算用!$D$2:$D$186,MATCH("女赤"&amp;$J51,計算用!$L$2:$L$186,0)),"")</f>
        <v/>
      </c>
      <c r="L51" s="15">
        <f>IFERROR(INDEX(計算用!$M$2:$M$186,MATCH("女赤"&amp;$J51,計算用!$L$2:$L$186,0)),"")</f>
        <v/>
      </c>
      <c r="M51" s="16">
        <f>IFERROR(INDEX(計算用!$G$2:$G$186,MATCH("女赤"&amp;$J51,計算用!$L$2:$L$186,0)),"")</f>
        <v/>
      </c>
      <c r="N51" s="15" t="n"/>
      <c r="O51" s="15">
        <f>IFERROR(INDEX(計算用!$D$2:$D$186,MATCH("女白"&amp;$J51,計算用!$L$2:$L$186,0)),"")</f>
        <v/>
      </c>
      <c r="P51" s="15">
        <f>IFERROR(INDEX(計算用!$M$2:$M$186,MATCH("女白"&amp;$J51,計算用!$L$2:$L$186,0)),"")</f>
        <v/>
      </c>
      <c r="Q51" s="16">
        <f>IFERROR(INDEX(計算用!$G$2:$G$186,MATCH("女白"&amp;$J51,計算用!$L$2:$L$186,0)),"")</f>
        <v/>
      </c>
    </row>
    <row r="52">
      <c r="A52" s="15">
        <f>IF(ROW()-3&lt;=MAX(計算用!$Q$2,計算用!$Q$3),ROW()-3,"")</f>
        <v/>
      </c>
      <c r="B52" s="15">
        <f>IFERROR(INDEX(計算用!$D$2:$D$186,MATCH("男赤"&amp;$A52,計算用!$L$2:$L$186,0)),"")</f>
        <v/>
      </c>
      <c r="C52" s="15">
        <f>IFERROR(INDEX(計算用!$M$2:$M$186,MATCH("男赤"&amp;$A52,計算用!$L$2:$L$186,0)),"")</f>
        <v/>
      </c>
      <c r="D52" s="16">
        <f>IFERROR(INDEX(計算用!$G$2:$G$186,MATCH("男赤"&amp;$A52,計算用!$L$2:$L$186,0)),"")</f>
        <v/>
      </c>
      <c r="E52" s="15" t="n"/>
      <c r="F52" s="15">
        <f>IFERROR(INDEX(計算用!$D$2:$D$186,MATCH("男白"&amp;$A52,計算用!$L$2:$L$186,0)),"")</f>
        <v/>
      </c>
      <c r="G52" s="15">
        <f>IFERROR(INDEX(計算用!$M$2:$M$186,MATCH("男白"&amp;$A52,計算用!$L$2:$L$186,0)),"")</f>
        <v/>
      </c>
      <c r="H52" s="16">
        <f>IFERROR(INDEX(計算用!$G$2:$G$186,MATCH("男白"&amp;$A52,計算用!$L$2:$L$186,0)),"")</f>
        <v/>
      </c>
      <c r="I52" s="15" t="n"/>
      <c r="J52" s="15">
        <f>IF(ROW()-3&lt;=MAX(計算用!$Q$4,計算用!$Q$5),ROW()-3,"")</f>
        <v/>
      </c>
      <c r="K52" s="15">
        <f>IFERROR(INDEX(計算用!$D$2:$D$186,MATCH("女赤"&amp;$J52,計算用!$L$2:$L$186,0)),"")</f>
        <v/>
      </c>
      <c r="L52" s="15">
        <f>IFERROR(INDEX(計算用!$M$2:$M$186,MATCH("女赤"&amp;$J52,計算用!$L$2:$L$186,0)),"")</f>
        <v/>
      </c>
      <c r="M52" s="16">
        <f>IFERROR(INDEX(計算用!$G$2:$G$186,MATCH("女赤"&amp;$J52,計算用!$L$2:$L$186,0)),"")</f>
        <v/>
      </c>
      <c r="N52" s="15" t="n"/>
      <c r="O52" s="15">
        <f>IFERROR(INDEX(計算用!$D$2:$D$186,MATCH("女白"&amp;$J52,計算用!$L$2:$L$186,0)),"")</f>
        <v/>
      </c>
      <c r="P52" s="15">
        <f>IFERROR(INDEX(計算用!$M$2:$M$186,MATCH("女白"&amp;$J52,計算用!$L$2:$L$186,0)),"")</f>
        <v/>
      </c>
      <c r="Q52" s="16">
        <f>IFERROR(INDEX(計算用!$G$2:$G$186,MATCH("女白"&amp;$J52,計算用!$L$2:$L$186,0)),"")</f>
        <v/>
      </c>
    </row>
    <row r="53">
      <c r="A53" s="15">
        <f>IF(ROW()-3&lt;=MAX(計算用!$Q$2,計算用!$Q$3),ROW()-3,"")</f>
        <v/>
      </c>
      <c r="B53" s="15">
        <f>IFERROR(INDEX(計算用!$D$2:$D$186,MATCH("男赤"&amp;$A53,計算用!$L$2:$L$186,0)),"")</f>
        <v/>
      </c>
      <c r="C53" s="15">
        <f>IFERROR(INDEX(計算用!$M$2:$M$186,MATCH("男赤"&amp;$A53,計算用!$L$2:$L$186,0)),"")</f>
        <v/>
      </c>
      <c r="D53" s="16">
        <f>IFERROR(INDEX(計算用!$G$2:$G$186,MATCH("男赤"&amp;$A53,計算用!$L$2:$L$186,0)),"")</f>
        <v/>
      </c>
      <c r="E53" s="15" t="n"/>
      <c r="F53" s="15">
        <f>IFERROR(INDEX(計算用!$D$2:$D$186,MATCH("男白"&amp;$A53,計算用!$L$2:$L$186,0)),"")</f>
        <v/>
      </c>
      <c r="G53" s="15">
        <f>IFERROR(INDEX(計算用!$M$2:$M$186,MATCH("男白"&amp;$A53,計算用!$L$2:$L$186,0)),"")</f>
        <v/>
      </c>
      <c r="H53" s="16">
        <f>IFERROR(INDEX(計算用!$G$2:$G$186,MATCH("男白"&amp;$A53,計算用!$L$2:$L$186,0)),"")</f>
        <v/>
      </c>
      <c r="I53" s="15" t="n"/>
      <c r="J53" s="15">
        <f>IF(ROW()-3&lt;=MAX(計算用!$Q$4,計算用!$Q$5),ROW()-3,"")</f>
        <v/>
      </c>
      <c r="K53" s="15">
        <f>IFERROR(INDEX(計算用!$D$2:$D$186,MATCH("女赤"&amp;$J53,計算用!$L$2:$L$186,0)),"")</f>
        <v/>
      </c>
      <c r="L53" s="15">
        <f>IFERROR(INDEX(計算用!$M$2:$M$186,MATCH("女赤"&amp;$J53,計算用!$L$2:$L$186,0)),"")</f>
        <v/>
      </c>
      <c r="M53" s="16">
        <f>IFERROR(INDEX(計算用!$G$2:$G$186,MATCH("女赤"&amp;$J53,計算用!$L$2:$L$186,0)),"")</f>
        <v/>
      </c>
      <c r="N53" s="15" t="n"/>
      <c r="O53" s="15">
        <f>IFERROR(INDEX(計算用!$D$2:$D$186,MATCH("女白"&amp;$J53,計算用!$L$2:$L$186,0)),"")</f>
        <v/>
      </c>
      <c r="P53" s="15">
        <f>IFERROR(INDEX(計算用!$M$2:$M$186,MATCH("女白"&amp;$J53,計算用!$L$2:$L$186,0)),"")</f>
        <v/>
      </c>
      <c r="Q53" s="16">
        <f>IFERROR(INDEX(計算用!$G$2:$G$186,MATCH("女白"&amp;$J53,計算用!$L$2:$L$186,0)),"")</f>
        <v/>
      </c>
    </row>
    <row r="54">
      <c r="A54" s="15">
        <f>IF(ROW()-3&lt;=MAX(計算用!$Q$2,計算用!$Q$3),ROW()-3,"")</f>
        <v/>
      </c>
      <c r="B54" s="15">
        <f>IFERROR(INDEX(計算用!$D$2:$D$186,MATCH("男赤"&amp;$A54,計算用!$L$2:$L$186,0)),"")</f>
        <v/>
      </c>
      <c r="C54" s="15">
        <f>IFERROR(INDEX(計算用!$M$2:$M$186,MATCH("男赤"&amp;$A54,計算用!$L$2:$L$186,0)),"")</f>
        <v/>
      </c>
      <c r="D54" s="16">
        <f>IFERROR(INDEX(計算用!$G$2:$G$186,MATCH("男赤"&amp;$A54,計算用!$L$2:$L$186,0)),"")</f>
        <v/>
      </c>
      <c r="E54" s="15" t="n"/>
      <c r="F54" s="15">
        <f>IFERROR(INDEX(計算用!$D$2:$D$186,MATCH("男白"&amp;$A54,計算用!$L$2:$L$186,0)),"")</f>
        <v/>
      </c>
      <c r="G54" s="15">
        <f>IFERROR(INDEX(計算用!$M$2:$M$186,MATCH("男白"&amp;$A54,計算用!$L$2:$L$186,0)),"")</f>
        <v/>
      </c>
      <c r="H54" s="16">
        <f>IFERROR(INDEX(計算用!$G$2:$G$186,MATCH("男白"&amp;$A54,計算用!$L$2:$L$186,0)),"")</f>
        <v/>
      </c>
      <c r="I54" s="15" t="n"/>
      <c r="J54" s="15">
        <f>IF(ROW()-3&lt;=MAX(計算用!$Q$4,計算用!$Q$5),ROW()-3,"")</f>
        <v/>
      </c>
      <c r="K54" s="15">
        <f>IFERROR(INDEX(計算用!$D$2:$D$186,MATCH("女赤"&amp;$J54,計算用!$L$2:$L$186,0)),"")</f>
        <v/>
      </c>
      <c r="L54" s="15">
        <f>IFERROR(INDEX(計算用!$M$2:$M$186,MATCH("女赤"&amp;$J54,計算用!$L$2:$L$186,0)),"")</f>
        <v/>
      </c>
      <c r="M54" s="16">
        <f>IFERROR(INDEX(計算用!$G$2:$G$186,MATCH("女赤"&amp;$J54,計算用!$L$2:$L$186,0)),"")</f>
        <v/>
      </c>
      <c r="N54" s="15" t="n"/>
      <c r="O54" s="15">
        <f>IFERROR(INDEX(計算用!$D$2:$D$186,MATCH("女白"&amp;$J54,計算用!$L$2:$L$186,0)),"")</f>
        <v/>
      </c>
      <c r="P54" s="15">
        <f>IFERROR(INDEX(計算用!$M$2:$M$186,MATCH("女白"&amp;$J54,計算用!$L$2:$L$186,0)),"")</f>
        <v/>
      </c>
      <c r="Q54" s="16">
        <f>IFERROR(INDEX(計算用!$G$2:$G$186,MATCH("女白"&amp;$J54,計算用!$L$2:$L$186,0)),"")</f>
        <v/>
      </c>
    </row>
    <row r="55">
      <c r="A55" s="15">
        <f>IF(ROW()-3&lt;=MAX(計算用!$Q$2,計算用!$Q$3),ROW()-3,"")</f>
        <v/>
      </c>
      <c r="B55" s="15">
        <f>IFERROR(INDEX(計算用!$D$2:$D$186,MATCH("男赤"&amp;$A55,計算用!$L$2:$L$186,0)),"")</f>
        <v/>
      </c>
      <c r="C55" s="15">
        <f>IFERROR(INDEX(計算用!$M$2:$M$186,MATCH("男赤"&amp;$A55,計算用!$L$2:$L$186,0)),"")</f>
        <v/>
      </c>
      <c r="D55" s="16">
        <f>IFERROR(INDEX(計算用!$G$2:$G$186,MATCH("男赤"&amp;$A55,計算用!$L$2:$L$186,0)),"")</f>
        <v/>
      </c>
      <c r="E55" s="15" t="n"/>
      <c r="F55" s="15">
        <f>IFERROR(INDEX(計算用!$D$2:$D$186,MATCH("男白"&amp;$A55,計算用!$L$2:$L$186,0)),"")</f>
        <v/>
      </c>
      <c r="G55" s="15">
        <f>IFERROR(INDEX(計算用!$M$2:$M$186,MATCH("男白"&amp;$A55,計算用!$L$2:$L$186,0)),"")</f>
        <v/>
      </c>
      <c r="H55" s="16">
        <f>IFERROR(INDEX(計算用!$G$2:$G$186,MATCH("男白"&amp;$A55,計算用!$L$2:$L$186,0)),"")</f>
        <v/>
      </c>
      <c r="I55" s="15" t="n"/>
      <c r="J55" s="15">
        <f>IF(ROW()-3&lt;=MAX(計算用!$Q$4,計算用!$Q$5),ROW()-3,"")</f>
        <v/>
      </c>
      <c r="K55" s="15">
        <f>IFERROR(INDEX(計算用!$D$2:$D$186,MATCH("女赤"&amp;$J55,計算用!$L$2:$L$186,0)),"")</f>
        <v/>
      </c>
      <c r="L55" s="15">
        <f>IFERROR(INDEX(計算用!$M$2:$M$186,MATCH("女赤"&amp;$J55,計算用!$L$2:$L$186,0)),"")</f>
        <v/>
      </c>
      <c r="M55" s="16">
        <f>IFERROR(INDEX(計算用!$G$2:$G$186,MATCH("女赤"&amp;$J55,計算用!$L$2:$L$186,0)),"")</f>
        <v/>
      </c>
      <c r="N55" s="15" t="n"/>
      <c r="O55" s="15">
        <f>IFERROR(INDEX(計算用!$D$2:$D$186,MATCH("女白"&amp;$J55,計算用!$L$2:$L$186,0)),"")</f>
        <v/>
      </c>
      <c r="P55" s="15">
        <f>IFERROR(INDEX(計算用!$M$2:$M$186,MATCH("女白"&amp;$J55,計算用!$L$2:$L$186,0)),"")</f>
        <v/>
      </c>
      <c r="Q55" s="16">
        <f>IFERROR(INDEX(計算用!$G$2:$G$186,MATCH("女白"&amp;$J55,計算用!$L$2:$L$186,0)),"")</f>
        <v/>
      </c>
    </row>
    <row r="56">
      <c r="A56" s="15">
        <f>IF(ROW()-3&lt;=MAX(計算用!$Q$2,計算用!$Q$3),ROW()-3,"")</f>
        <v/>
      </c>
      <c r="B56" s="15">
        <f>IFERROR(INDEX(計算用!$D$2:$D$186,MATCH("男赤"&amp;$A56,計算用!$L$2:$L$186,0)),"")</f>
        <v/>
      </c>
      <c r="C56" s="15">
        <f>IFERROR(INDEX(計算用!$M$2:$M$186,MATCH("男赤"&amp;$A56,計算用!$L$2:$L$186,0)),"")</f>
        <v/>
      </c>
      <c r="D56" s="16">
        <f>IFERROR(INDEX(計算用!$G$2:$G$186,MATCH("男赤"&amp;$A56,計算用!$L$2:$L$186,0)),"")</f>
        <v/>
      </c>
      <c r="E56" s="15" t="n"/>
      <c r="F56" s="15">
        <f>IFERROR(INDEX(計算用!$D$2:$D$186,MATCH("男白"&amp;$A56,計算用!$L$2:$L$186,0)),"")</f>
        <v/>
      </c>
      <c r="G56" s="15">
        <f>IFERROR(INDEX(計算用!$M$2:$M$186,MATCH("男白"&amp;$A56,計算用!$L$2:$L$186,0)),"")</f>
        <v/>
      </c>
      <c r="H56" s="16">
        <f>IFERROR(INDEX(計算用!$G$2:$G$186,MATCH("男白"&amp;$A56,計算用!$L$2:$L$186,0)),"")</f>
        <v/>
      </c>
      <c r="I56" s="15" t="n"/>
      <c r="J56" s="15">
        <f>IF(ROW()-3&lt;=MAX(計算用!$Q$4,計算用!$Q$5),ROW()-3,"")</f>
        <v/>
      </c>
      <c r="K56" s="15">
        <f>IFERROR(INDEX(計算用!$D$2:$D$186,MATCH("女赤"&amp;$J56,計算用!$L$2:$L$186,0)),"")</f>
        <v/>
      </c>
      <c r="L56" s="15">
        <f>IFERROR(INDEX(計算用!$M$2:$M$186,MATCH("女赤"&amp;$J56,計算用!$L$2:$L$186,0)),"")</f>
        <v/>
      </c>
      <c r="M56" s="16">
        <f>IFERROR(INDEX(計算用!$G$2:$G$186,MATCH("女赤"&amp;$J56,計算用!$L$2:$L$186,0)),"")</f>
        <v/>
      </c>
      <c r="N56" s="15" t="n"/>
      <c r="O56" s="15">
        <f>IFERROR(INDEX(計算用!$D$2:$D$186,MATCH("女白"&amp;$J56,計算用!$L$2:$L$186,0)),"")</f>
        <v/>
      </c>
      <c r="P56" s="15">
        <f>IFERROR(INDEX(計算用!$M$2:$M$186,MATCH("女白"&amp;$J56,計算用!$L$2:$L$186,0)),"")</f>
        <v/>
      </c>
      <c r="Q56" s="16">
        <f>IFERROR(INDEX(計算用!$G$2:$G$186,MATCH("女白"&amp;$J56,計算用!$L$2:$L$186,0)),"")</f>
        <v/>
      </c>
    </row>
    <row r="57">
      <c r="A57" s="15">
        <f>IF(ROW()-3&lt;=MAX(計算用!$Q$2,計算用!$Q$3),ROW()-3,"")</f>
        <v/>
      </c>
      <c r="B57" s="15">
        <f>IFERROR(INDEX(計算用!$D$2:$D$186,MATCH("男赤"&amp;$A57,計算用!$L$2:$L$186,0)),"")</f>
        <v/>
      </c>
      <c r="C57" s="15">
        <f>IFERROR(INDEX(計算用!$M$2:$M$186,MATCH("男赤"&amp;$A57,計算用!$L$2:$L$186,0)),"")</f>
        <v/>
      </c>
      <c r="D57" s="16">
        <f>IFERROR(INDEX(計算用!$G$2:$G$186,MATCH("男赤"&amp;$A57,計算用!$L$2:$L$186,0)),"")</f>
        <v/>
      </c>
      <c r="E57" s="15" t="n"/>
      <c r="F57" s="15">
        <f>IFERROR(INDEX(計算用!$D$2:$D$186,MATCH("男白"&amp;$A57,計算用!$L$2:$L$186,0)),"")</f>
        <v/>
      </c>
      <c r="G57" s="15">
        <f>IFERROR(INDEX(計算用!$M$2:$M$186,MATCH("男白"&amp;$A57,計算用!$L$2:$L$186,0)),"")</f>
        <v/>
      </c>
      <c r="H57" s="16">
        <f>IFERROR(INDEX(計算用!$G$2:$G$186,MATCH("男白"&amp;$A57,計算用!$L$2:$L$186,0)),"")</f>
        <v/>
      </c>
      <c r="I57" s="15" t="n"/>
      <c r="J57" s="15">
        <f>IF(ROW()-3&lt;=MAX(計算用!$Q$4,計算用!$Q$5),ROW()-3,"")</f>
        <v/>
      </c>
      <c r="K57" s="15">
        <f>IFERROR(INDEX(計算用!$D$2:$D$186,MATCH("女赤"&amp;$J57,計算用!$L$2:$L$186,0)),"")</f>
        <v/>
      </c>
      <c r="L57" s="15">
        <f>IFERROR(INDEX(計算用!$M$2:$M$186,MATCH("女赤"&amp;$J57,計算用!$L$2:$L$186,0)),"")</f>
        <v/>
      </c>
      <c r="M57" s="16">
        <f>IFERROR(INDEX(計算用!$G$2:$G$186,MATCH("女赤"&amp;$J57,計算用!$L$2:$L$186,0)),"")</f>
        <v/>
      </c>
      <c r="N57" s="15" t="n"/>
      <c r="O57" s="15">
        <f>IFERROR(INDEX(計算用!$D$2:$D$186,MATCH("女白"&amp;$J57,計算用!$L$2:$L$186,0)),"")</f>
        <v/>
      </c>
      <c r="P57" s="15">
        <f>IFERROR(INDEX(計算用!$M$2:$M$186,MATCH("女白"&amp;$J57,計算用!$L$2:$L$186,0)),"")</f>
        <v/>
      </c>
      <c r="Q57" s="16">
        <f>IFERROR(INDEX(計算用!$G$2:$G$186,MATCH("女白"&amp;$J57,計算用!$L$2:$L$186,0)),"")</f>
        <v/>
      </c>
    </row>
    <row r="58">
      <c r="A58" s="15">
        <f>IF(ROW()-3&lt;=MAX(計算用!$Q$2,計算用!$Q$3),ROW()-3,"")</f>
        <v/>
      </c>
      <c r="B58" s="15">
        <f>IFERROR(INDEX(計算用!$D$2:$D$186,MATCH("男赤"&amp;$A58,計算用!$L$2:$L$186,0)),"")</f>
        <v/>
      </c>
      <c r="C58" s="15">
        <f>IFERROR(INDEX(計算用!$M$2:$M$186,MATCH("男赤"&amp;$A58,計算用!$L$2:$L$186,0)),"")</f>
        <v/>
      </c>
      <c r="D58" s="16">
        <f>IFERROR(INDEX(計算用!$G$2:$G$186,MATCH("男赤"&amp;$A58,計算用!$L$2:$L$186,0)),"")</f>
        <v/>
      </c>
      <c r="E58" s="15" t="n"/>
      <c r="F58" s="15">
        <f>IFERROR(INDEX(計算用!$D$2:$D$186,MATCH("男白"&amp;$A58,計算用!$L$2:$L$186,0)),"")</f>
        <v/>
      </c>
      <c r="G58" s="15">
        <f>IFERROR(INDEX(計算用!$M$2:$M$186,MATCH("男白"&amp;$A58,計算用!$L$2:$L$186,0)),"")</f>
        <v/>
      </c>
      <c r="H58" s="16">
        <f>IFERROR(INDEX(計算用!$G$2:$G$186,MATCH("男白"&amp;$A58,計算用!$L$2:$L$186,0)),"")</f>
        <v/>
      </c>
      <c r="I58" s="15" t="n"/>
      <c r="J58" s="15">
        <f>IF(ROW()-3&lt;=MAX(計算用!$Q$4,計算用!$Q$5),ROW()-3,"")</f>
        <v/>
      </c>
      <c r="K58" s="15">
        <f>IFERROR(INDEX(計算用!$D$2:$D$186,MATCH("女赤"&amp;$J58,計算用!$L$2:$L$186,0)),"")</f>
        <v/>
      </c>
      <c r="L58" s="15">
        <f>IFERROR(INDEX(計算用!$M$2:$M$186,MATCH("女赤"&amp;$J58,計算用!$L$2:$L$186,0)),"")</f>
        <v/>
      </c>
      <c r="M58" s="16">
        <f>IFERROR(INDEX(計算用!$G$2:$G$186,MATCH("女赤"&amp;$J58,計算用!$L$2:$L$186,0)),"")</f>
        <v/>
      </c>
      <c r="N58" s="15" t="n"/>
      <c r="O58" s="15">
        <f>IFERROR(INDEX(計算用!$D$2:$D$186,MATCH("女白"&amp;$J58,計算用!$L$2:$L$186,0)),"")</f>
        <v/>
      </c>
      <c r="P58" s="15">
        <f>IFERROR(INDEX(計算用!$M$2:$M$186,MATCH("女白"&amp;$J58,計算用!$L$2:$L$186,0)),"")</f>
        <v/>
      </c>
      <c r="Q58" s="16">
        <f>IFERROR(INDEX(計算用!$G$2:$G$186,MATCH("女白"&amp;$J58,計算用!$L$2:$L$186,0)),"")</f>
        <v/>
      </c>
    </row>
    <row r="59">
      <c r="A59" s="15">
        <f>IF(ROW()-3&lt;=MAX(計算用!$Q$2,計算用!$Q$3),ROW()-3,"")</f>
        <v/>
      </c>
      <c r="B59" s="15">
        <f>IFERROR(INDEX(計算用!$D$2:$D$186,MATCH("男赤"&amp;$A59,計算用!$L$2:$L$186,0)),"")</f>
        <v/>
      </c>
      <c r="C59" s="15">
        <f>IFERROR(INDEX(計算用!$M$2:$M$186,MATCH("男赤"&amp;$A59,計算用!$L$2:$L$186,0)),"")</f>
        <v/>
      </c>
      <c r="D59" s="16">
        <f>IFERROR(INDEX(計算用!$G$2:$G$186,MATCH("男赤"&amp;$A59,計算用!$L$2:$L$186,0)),"")</f>
        <v/>
      </c>
      <c r="E59" s="15" t="n"/>
      <c r="F59" s="15">
        <f>IFERROR(INDEX(計算用!$D$2:$D$186,MATCH("男白"&amp;$A59,計算用!$L$2:$L$186,0)),"")</f>
        <v/>
      </c>
      <c r="G59" s="15">
        <f>IFERROR(INDEX(計算用!$M$2:$M$186,MATCH("男白"&amp;$A59,計算用!$L$2:$L$186,0)),"")</f>
        <v/>
      </c>
      <c r="H59" s="16">
        <f>IFERROR(INDEX(計算用!$G$2:$G$186,MATCH("男白"&amp;$A59,計算用!$L$2:$L$186,0)),"")</f>
        <v/>
      </c>
      <c r="I59" s="15" t="n"/>
      <c r="J59" s="15">
        <f>IF(ROW()-3&lt;=MAX(計算用!$Q$4,計算用!$Q$5),ROW()-3,"")</f>
        <v/>
      </c>
      <c r="K59" s="15">
        <f>IFERROR(INDEX(計算用!$D$2:$D$186,MATCH("女赤"&amp;$J59,計算用!$L$2:$L$186,0)),"")</f>
        <v/>
      </c>
      <c r="L59" s="15">
        <f>IFERROR(INDEX(計算用!$M$2:$M$186,MATCH("女赤"&amp;$J59,計算用!$L$2:$L$186,0)),"")</f>
        <v/>
      </c>
      <c r="M59" s="16">
        <f>IFERROR(INDEX(計算用!$G$2:$G$186,MATCH("女赤"&amp;$J59,計算用!$L$2:$L$186,0)),"")</f>
        <v/>
      </c>
      <c r="N59" s="15" t="n"/>
      <c r="O59" s="15">
        <f>IFERROR(INDEX(計算用!$D$2:$D$186,MATCH("女白"&amp;$J59,計算用!$L$2:$L$186,0)),"")</f>
        <v/>
      </c>
      <c r="P59" s="15">
        <f>IFERROR(INDEX(計算用!$M$2:$M$186,MATCH("女白"&amp;$J59,計算用!$L$2:$L$186,0)),"")</f>
        <v/>
      </c>
      <c r="Q59" s="16">
        <f>IFERROR(INDEX(計算用!$G$2:$G$186,MATCH("女白"&amp;$J59,計算用!$L$2:$L$186,0)),"")</f>
        <v/>
      </c>
    </row>
    <row r="60">
      <c r="A60" s="15">
        <f>IF(ROW()-3&lt;=MAX(計算用!$Q$2,計算用!$Q$3),ROW()-3,"")</f>
        <v/>
      </c>
      <c r="B60" s="15">
        <f>IFERROR(INDEX(計算用!$D$2:$D$186,MATCH("男赤"&amp;$A60,計算用!$L$2:$L$186,0)),"")</f>
        <v/>
      </c>
      <c r="C60" s="15">
        <f>IFERROR(INDEX(計算用!$M$2:$M$186,MATCH("男赤"&amp;$A60,計算用!$L$2:$L$186,0)),"")</f>
        <v/>
      </c>
      <c r="D60" s="16">
        <f>IFERROR(INDEX(計算用!$G$2:$G$186,MATCH("男赤"&amp;$A60,計算用!$L$2:$L$186,0)),"")</f>
        <v/>
      </c>
      <c r="E60" s="15" t="n"/>
      <c r="F60" s="15">
        <f>IFERROR(INDEX(計算用!$D$2:$D$186,MATCH("男白"&amp;$A60,計算用!$L$2:$L$186,0)),"")</f>
        <v/>
      </c>
      <c r="G60" s="15">
        <f>IFERROR(INDEX(計算用!$M$2:$M$186,MATCH("男白"&amp;$A60,計算用!$L$2:$L$186,0)),"")</f>
        <v/>
      </c>
      <c r="H60" s="16">
        <f>IFERROR(INDEX(計算用!$G$2:$G$186,MATCH("男白"&amp;$A60,計算用!$L$2:$L$186,0)),"")</f>
        <v/>
      </c>
      <c r="I60" s="15" t="n"/>
      <c r="J60" s="15">
        <f>IF(ROW()-3&lt;=MAX(計算用!$Q$4,計算用!$Q$5),ROW()-3,"")</f>
        <v/>
      </c>
      <c r="K60" s="15">
        <f>IFERROR(INDEX(計算用!$D$2:$D$186,MATCH("女赤"&amp;$J60,計算用!$L$2:$L$186,0)),"")</f>
        <v/>
      </c>
      <c r="L60" s="15">
        <f>IFERROR(INDEX(計算用!$M$2:$M$186,MATCH("女赤"&amp;$J60,計算用!$L$2:$L$186,0)),"")</f>
        <v/>
      </c>
      <c r="M60" s="16">
        <f>IFERROR(INDEX(計算用!$G$2:$G$186,MATCH("女赤"&amp;$J60,計算用!$L$2:$L$186,0)),"")</f>
        <v/>
      </c>
      <c r="N60" s="15" t="n"/>
      <c r="O60" s="15">
        <f>IFERROR(INDEX(計算用!$D$2:$D$186,MATCH("女白"&amp;$J60,計算用!$L$2:$L$186,0)),"")</f>
        <v/>
      </c>
      <c r="P60" s="15">
        <f>IFERROR(INDEX(計算用!$M$2:$M$186,MATCH("女白"&amp;$J60,計算用!$L$2:$L$186,0)),"")</f>
        <v/>
      </c>
      <c r="Q60" s="16">
        <f>IFERROR(INDEX(計算用!$G$2:$G$186,MATCH("女白"&amp;$J60,計算用!$L$2:$L$186,0)),"")</f>
        <v/>
      </c>
    </row>
    <row r="61">
      <c r="A61" s="15">
        <f>IF(ROW()-3&lt;=MAX(計算用!$Q$2,計算用!$Q$3),ROW()-3,"")</f>
        <v/>
      </c>
      <c r="B61" s="15">
        <f>IFERROR(INDEX(計算用!$D$2:$D$186,MATCH("男赤"&amp;$A61,計算用!$L$2:$L$186,0)),"")</f>
        <v/>
      </c>
      <c r="C61" s="15">
        <f>IFERROR(INDEX(計算用!$M$2:$M$186,MATCH("男赤"&amp;$A61,計算用!$L$2:$L$186,0)),"")</f>
        <v/>
      </c>
      <c r="D61" s="16">
        <f>IFERROR(INDEX(計算用!$G$2:$G$186,MATCH("男赤"&amp;$A61,計算用!$L$2:$L$186,0)),"")</f>
        <v/>
      </c>
      <c r="E61" s="15" t="n"/>
      <c r="F61" s="15">
        <f>IFERROR(INDEX(計算用!$D$2:$D$186,MATCH("男白"&amp;$A61,計算用!$L$2:$L$186,0)),"")</f>
        <v/>
      </c>
      <c r="G61" s="15">
        <f>IFERROR(INDEX(計算用!$M$2:$M$186,MATCH("男白"&amp;$A61,計算用!$L$2:$L$186,0)),"")</f>
        <v/>
      </c>
      <c r="H61" s="16">
        <f>IFERROR(INDEX(計算用!$G$2:$G$186,MATCH("男白"&amp;$A61,計算用!$L$2:$L$186,0)),"")</f>
        <v/>
      </c>
      <c r="I61" s="15" t="n"/>
      <c r="J61" s="15">
        <f>IF(ROW()-3&lt;=MAX(計算用!$Q$4,計算用!$Q$5),ROW()-3,"")</f>
        <v/>
      </c>
      <c r="K61" s="15">
        <f>IFERROR(INDEX(計算用!$D$2:$D$186,MATCH("女赤"&amp;$J61,計算用!$L$2:$L$186,0)),"")</f>
        <v/>
      </c>
      <c r="L61" s="15">
        <f>IFERROR(INDEX(計算用!$M$2:$M$186,MATCH("女赤"&amp;$J61,計算用!$L$2:$L$186,0)),"")</f>
        <v/>
      </c>
      <c r="M61" s="16">
        <f>IFERROR(INDEX(計算用!$G$2:$G$186,MATCH("女赤"&amp;$J61,計算用!$L$2:$L$186,0)),"")</f>
        <v/>
      </c>
      <c r="N61" s="15" t="n"/>
      <c r="O61" s="15">
        <f>IFERROR(INDEX(計算用!$D$2:$D$186,MATCH("女白"&amp;$J61,計算用!$L$2:$L$186,0)),"")</f>
        <v/>
      </c>
      <c r="P61" s="15">
        <f>IFERROR(INDEX(計算用!$M$2:$M$186,MATCH("女白"&amp;$J61,計算用!$L$2:$L$186,0)),"")</f>
        <v/>
      </c>
      <c r="Q61" s="16">
        <f>IFERROR(INDEX(計算用!$G$2:$G$186,MATCH("女白"&amp;$J61,計算用!$L$2:$L$186,0)),"")</f>
        <v/>
      </c>
    </row>
    <row r="62">
      <c r="A62" s="15">
        <f>IF(ROW()-3&lt;=MAX(計算用!$Q$2,計算用!$Q$3),ROW()-3,"")</f>
        <v/>
      </c>
      <c r="B62" s="15">
        <f>IFERROR(INDEX(計算用!$D$2:$D$186,MATCH("男赤"&amp;$A62,計算用!$L$2:$L$186,0)),"")</f>
        <v/>
      </c>
      <c r="C62" s="15">
        <f>IFERROR(INDEX(計算用!$M$2:$M$186,MATCH("男赤"&amp;$A62,計算用!$L$2:$L$186,0)),"")</f>
        <v/>
      </c>
      <c r="D62" s="16">
        <f>IFERROR(INDEX(計算用!$G$2:$G$186,MATCH("男赤"&amp;$A62,計算用!$L$2:$L$186,0)),"")</f>
        <v/>
      </c>
      <c r="E62" s="15" t="n"/>
      <c r="F62" s="15">
        <f>IFERROR(INDEX(計算用!$D$2:$D$186,MATCH("男白"&amp;$A62,計算用!$L$2:$L$186,0)),"")</f>
        <v/>
      </c>
      <c r="G62" s="15">
        <f>IFERROR(INDEX(計算用!$M$2:$M$186,MATCH("男白"&amp;$A62,計算用!$L$2:$L$186,0)),"")</f>
        <v/>
      </c>
      <c r="H62" s="16">
        <f>IFERROR(INDEX(計算用!$G$2:$G$186,MATCH("男白"&amp;$A62,計算用!$L$2:$L$186,0)),"")</f>
        <v/>
      </c>
      <c r="I62" s="15" t="n"/>
      <c r="J62" s="15">
        <f>IF(ROW()-3&lt;=MAX(計算用!$Q$4,計算用!$Q$5),ROW()-3,"")</f>
        <v/>
      </c>
      <c r="K62" s="15">
        <f>IFERROR(INDEX(計算用!$D$2:$D$186,MATCH("女赤"&amp;$J62,計算用!$L$2:$L$186,0)),"")</f>
        <v/>
      </c>
      <c r="L62" s="15">
        <f>IFERROR(INDEX(計算用!$M$2:$M$186,MATCH("女赤"&amp;$J62,計算用!$L$2:$L$186,0)),"")</f>
        <v/>
      </c>
      <c r="M62" s="16">
        <f>IFERROR(INDEX(計算用!$G$2:$G$186,MATCH("女赤"&amp;$J62,計算用!$L$2:$L$186,0)),"")</f>
        <v/>
      </c>
      <c r="N62" s="15" t="n"/>
      <c r="O62" s="15">
        <f>IFERROR(INDEX(計算用!$D$2:$D$186,MATCH("女白"&amp;$J62,計算用!$L$2:$L$186,0)),"")</f>
        <v/>
      </c>
      <c r="P62" s="15">
        <f>IFERROR(INDEX(計算用!$M$2:$M$186,MATCH("女白"&amp;$J62,計算用!$L$2:$L$186,0)),"")</f>
        <v/>
      </c>
      <c r="Q62" s="16">
        <f>IFERROR(INDEX(計算用!$G$2:$G$186,MATCH("女白"&amp;$J62,計算用!$L$2:$L$186,0)),"")</f>
        <v/>
      </c>
    </row>
    <row r="63">
      <c r="A63" s="15">
        <f>IF(ROW()-3&lt;=MAX(計算用!$Q$2,計算用!$Q$3),ROW()-3,"")</f>
        <v/>
      </c>
      <c r="B63" s="15">
        <f>IFERROR(INDEX(計算用!$D$2:$D$186,MATCH("男赤"&amp;$A63,計算用!$L$2:$L$186,0)),"")</f>
        <v/>
      </c>
      <c r="C63" s="15">
        <f>IFERROR(INDEX(計算用!$M$2:$M$186,MATCH("男赤"&amp;$A63,計算用!$L$2:$L$186,0)),"")</f>
        <v/>
      </c>
      <c r="D63" s="16">
        <f>IFERROR(INDEX(計算用!$G$2:$G$186,MATCH("男赤"&amp;$A63,計算用!$L$2:$L$186,0)),"")</f>
        <v/>
      </c>
      <c r="E63" s="15" t="n"/>
      <c r="F63" s="15">
        <f>IFERROR(INDEX(計算用!$D$2:$D$186,MATCH("男白"&amp;$A63,計算用!$L$2:$L$186,0)),"")</f>
        <v/>
      </c>
      <c r="G63" s="15">
        <f>IFERROR(INDEX(計算用!$M$2:$M$186,MATCH("男白"&amp;$A63,計算用!$L$2:$L$186,0)),"")</f>
        <v/>
      </c>
      <c r="H63" s="16">
        <f>IFERROR(INDEX(計算用!$G$2:$G$186,MATCH("男白"&amp;$A63,計算用!$L$2:$L$186,0)),"")</f>
        <v/>
      </c>
      <c r="I63" s="15" t="n"/>
      <c r="J63" s="15">
        <f>IF(ROW()-3&lt;=MAX(計算用!$Q$4,計算用!$Q$5),ROW()-3,"")</f>
        <v/>
      </c>
      <c r="K63" s="15">
        <f>IFERROR(INDEX(計算用!$D$2:$D$186,MATCH("女赤"&amp;$J63,計算用!$L$2:$L$186,0)),"")</f>
        <v/>
      </c>
      <c r="L63" s="15">
        <f>IFERROR(INDEX(計算用!$M$2:$M$186,MATCH("女赤"&amp;$J63,計算用!$L$2:$L$186,0)),"")</f>
        <v/>
      </c>
      <c r="M63" s="16">
        <f>IFERROR(INDEX(計算用!$G$2:$G$186,MATCH("女赤"&amp;$J63,計算用!$L$2:$L$186,0)),"")</f>
        <v/>
      </c>
      <c r="N63" s="15" t="n"/>
      <c r="O63" s="15">
        <f>IFERROR(INDEX(計算用!$D$2:$D$186,MATCH("女白"&amp;$J63,計算用!$L$2:$L$186,0)),"")</f>
        <v/>
      </c>
      <c r="P63" s="15">
        <f>IFERROR(INDEX(計算用!$M$2:$M$186,MATCH("女白"&amp;$J63,計算用!$L$2:$L$186,0)),"")</f>
        <v/>
      </c>
      <c r="Q63" s="16">
        <f>IFERROR(INDEX(計算用!$G$2:$G$186,MATCH("女白"&amp;$J63,計算用!$L$2:$L$186,0)),"")</f>
        <v/>
      </c>
    </row>
    <row r="64">
      <c r="A64" s="15">
        <f>IF(ROW()-3&lt;=MAX(計算用!$Q$2,計算用!$Q$3),ROW()-3,"")</f>
        <v/>
      </c>
      <c r="B64" s="15">
        <f>IFERROR(INDEX(計算用!$D$2:$D$186,MATCH("男赤"&amp;$A64,計算用!$L$2:$L$186,0)),"")</f>
        <v/>
      </c>
      <c r="C64" s="15">
        <f>IFERROR(INDEX(計算用!$M$2:$M$186,MATCH("男赤"&amp;$A64,計算用!$L$2:$L$186,0)),"")</f>
        <v/>
      </c>
      <c r="D64" s="16">
        <f>IFERROR(INDEX(計算用!$G$2:$G$186,MATCH("男赤"&amp;$A64,計算用!$L$2:$L$186,0)),"")</f>
        <v/>
      </c>
      <c r="E64" s="15" t="n"/>
      <c r="F64" s="15">
        <f>IFERROR(INDEX(計算用!$D$2:$D$186,MATCH("男白"&amp;$A64,計算用!$L$2:$L$186,0)),"")</f>
        <v/>
      </c>
      <c r="G64" s="15">
        <f>IFERROR(INDEX(計算用!$M$2:$M$186,MATCH("男白"&amp;$A64,計算用!$L$2:$L$186,0)),"")</f>
        <v/>
      </c>
      <c r="H64" s="16">
        <f>IFERROR(INDEX(計算用!$G$2:$G$186,MATCH("男白"&amp;$A64,計算用!$L$2:$L$186,0)),"")</f>
        <v/>
      </c>
      <c r="I64" s="15" t="n"/>
      <c r="J64" s="15">
        <f>IF(ROW()-3&lt;=MAX(計算用!$Q$4,計算用!$Q$5),ROW()-3,"")</f>
        <v/>
      </c>
      <c r="K64" s="15">
        <f>IFERROR(INDEX(計算用!$D$2:$D$186,MATCH("女赤"&amp;$J64,計算用!$L$2:$L$186,0)),"")</f>
        <v/>
      </c>
      <c r="L64" s="15">
        <f>IFERROR(INDEX(計算用!$M$2:$M$186,MATCH("女赤"&amp;$J64,計算用!$L$2:$L$186,0)),"")</f>
        <v/>
      </c>
      <c r="M64" s="16">
        <f>IFERROR(INDEX(計算用!$G$2:$G$186,MATCH("女赤"&amp;$J64,計算用!$L$2:$L$186,0)),"")</f>
        <v/>
      </c>
      <c r="N64" s="15" t="n"/>
      <c r="O64" s="15">
        <f>IFERROR(INDEX(計算用!$D$2:$D$186,MATCH("女白"&amp;$J64,計算用!$L$2:$L$186,0)),"")</f>
        <v/>
      </c>
      <c r="P64" s="15">
        <f>IFERROR(INDEX(計算用!$M$2:$M$186,MATCH("女白"&amp;$J64,計算用!$L$2:$L$186,0)),"")</f>
        <v/>
      </c>
      <c r="Q64" s="16">
        <f>IFERROR(INDEX(計算用!$G$2:$G$186,MATCH("女白"&amp;$J64,計算用!$L$2:$L$186,0)),"")</f>
        <v/>
      </c>
    </row>
    <row r="65">
      <c r="A65" s="15">
        <f>IF(ROW()-3&lt;=MAX(計算用!$Q$2,計算用!$Q$3),ROW()-3,"")</f>
        <v/>
      </c>
      <c r="B65" s="15">
        <f>IFERROR(INDEX(計算用!$D$2:$D$186,MATCH("男赤"&amp;$A65,計算用!$L$2:$L$186,0)),"")</f>
        <v/>
      </c>
      <c r="C65" s="15">
        <f>IFERROR(INDEX(計算用!$M$2:$M$186,MATCH("男赤"&amp;$A65,計算用!$L$2:$L$186,0)),"")</f>
        <v/>
      </c>
      <c r="D65" s="16">
        <f>IFERROR(INDEX(計算用!$G$2:$G$186,MATCH("男赤"&amp;$A65,計算用!$L$2:$L$186,0)),"")</f>
        <v/>
      </c>
      <c r="E65" s="15" t="n"/>
      <c r="F65" s="15">
        <f>IFERROR(INDEX(計算用!$D$2:$D$186,MATCH("男白"&amp;$A65,計算用!$L$2:$L$186,0)),"")</f>
        <v/>
      </c>
      <c r="G65" s="15">
        <f>IFERROR(INDEX(計算用!$M$2:$M$186,MATCH("男白"&amp;$A65,計算用!$L$2:$L$186,0)),"")</f>
        <v/>
      </c>
      <c r="H65" s="16">
        <f>IFERROR(INDEX(計算用!$G$2:$G$186,MATCH("男白"&amp;$A65,計算用!$L$2:$L$186,0)),"")</f>
        <v/>
      </c>
      <c r="I65" s="15" t="n"/>
      <c r="J65" s="15">
        <f>IF(ROW()-3&lt;=MAX(計算用!$Q$4,計算用!$Q$5),ROW()-3,"")</f>
        <v/>
      </c>
      <c r="K65" s="15">
        <f>IFERROR(INDEX(計算用!$D$2:$D$186,MATCH("女赤"&amp;$J65,計算用!$L$2:$L$186,0)),"")</f>
        <v/>
      </c>
      <c r="L65" s="15">
        <f>IFERROR(INDEX(計算用!$M$2:$M$186,MATCH("女赤"&amp;$J65,計算用!$L$2:$L$186,0)),"")</f>
        <v/>
      </c>
      <c r="M65" s="16">
        <f>IFERROR(INDEX(計算用!$G$2:$G$186,MATCH("女赤"&amp;$J65,計算用!$L$2:$L$186,0)),"")</f>
        <v/>
      </c>
      <c r="N65" s="15" t="n"/>
      <c r="O65" s="15">
        <f>IFERROR(INDEX(計算用!$D$2:$D$186,MATCH("女白"&amp;$J65,計算用!$L$2:$L$186,0)),"")</f>
        <v/>
      </c>
      <c r="P65" s="15">
        <f>IFERROR(INDEX(計算用!$M$2:$M$186,MATCH("女白"&amp;$J65,計算用!$L$2:$L$186,0)),"")</f>
        <v/>
      </c>
      <c r="Q65" s="16">
        <f>IFERROR(INDEX(計算用!$G$2:$G$186,MATCH("女白"&amp;$J65,計算用!$L$2:$L$186,0)),"")</f>
        <v/>
      </c>
    </row>
    <row r="66">
      <c r="A66" s="15">
        <f>IF(ROW()-3&lt;=MAX(計算用!$Q$2,計算用!$Q$3),ROW()-3,"")</f>
        <v/>
      </c>
      <c r="B66" s="15">
        <f>IFERROR(INDEX(計算用!$D$2:$D$186,MATCH("男赤"&amp;$A66,計算用!$L$2:$L$186,0)),"")</f>
        <v/>
      </c>
      <c r="C66" s="15">
        <f>IFERROR(INDEX(計算用!$M$2:$M$186,MATCH("男赤"&amp;$A66,計算用!$L$2:$L$186,0)),"")</f>
        <v/>
      </c>
      <c r="D66" s="16">
        <f>IFERROR(INDEX(計算用!$G$2:$G$186,MATCH("男赤"&amp;$A66,計算用!$L$2:$L$186,0)),"")</f>
        <v/>
      </c>
      <c r="E66" s="15" t="n"/>
      <c r="F66" s="15">
        <f>IFERROR(INDEX(計算用!$D$2:$D$186,MATCH("男白"&amp;$A66,計算用!$L$2:$L$186,0)),"")</f>
        <v/>
      </c>
      <c r="G66" s="15">
        <f>IFERROR(INDEX(計算用!$M$2:$M$186,MATCH("男白"&amp;$A66,計算用!$L$2:$L$186,0)),"")</f>
        <v/>
      </c>
      <c r="H66" s="16">
        <f>IFERROR(INDEX(計算用!$G$2:$G$186,MATCH("男白"&amp;$A66,計算用!$L$2:$L$186,0)),"")</f>
        <v/>
      </c>
      <c r="I66" s="15" t="n"/>
      <c r="J66" s="15">
        <f>IF(ROW()-3&lt;=MAX(計算用!$Q$4,計算用!$Q$5),ROW()-3,"")</f>
        <v/>
      </c>
      <c r="K66" s="15">
        <f>IFERROR(INDEX(計算用!$D$2:$D$186,MATCH("女赤"&amp;$J66,計算用!$L$2:$L$186,0)),"")</f>
        <v/>
      </c>
      <c r="L66" s="15">
        <f>IFERROR(INDEX(計算用!$M$2:$M$186,MATCH("女赤"&amp;$J66,計算用!$L$2:$L$186,0)),"")</f>
        <v/>
      </c>
      <c r="M66" s="16">
        <f>IFERROR(INDEX(計算用!$G$2:$G$186,MATCH("女赤"&amp;$J66,計算用!$L$2:$L$186,0)),"")</f>
        <v/>
      </c>
      <c r="N66" s="15" t="n"/>
      <c r="O66" s="15">
        <f>IFERROR(INDEX(計算用!$D$2:$D$186,MATCH("女白"&amp;$J66,計算用!$L$2:$L$186,0)),"")</f>
        <v/>
      </c>
      <c r="P66" s="15">
        <f>IFERROR(INDEX(計算用!$M$2:$M$186,MATCH("女白"&amp;$J66,計算用!$L$2:$L$186,0)),"")</f>
        <v/>
      </c>
      <c r="Q66" s="16">
        <f>IFERROR(INDEX(計算用!$G$2:$G$186,MATCH("女白"&amp;$J66,計算用!$L$2:$L$186,0)),"")</f>
        <v/>
      </c>
    </row>
    <row r="67">
      <c r="A67" s="15">
        <f>IF(ROW()-3&lt;=MAX(計算用!$Q$2,計算用!$Q$3),ROW()-3,"")</f>
        <v/>
      </c>
      <c r="B67" s="15">
        <f>IFERROR(INDEX(計算用!$D$2:$D$186,MATCH("男赤"&amp;$A67,計算用!$L$2:$L$186,0)),"")</f>
        <v/>
      </c>
      <c r="C67" s="15">
        <f>IFERROR(INDEX(計算用!$M$2:$M$186,MATCH("男赤"&amp;$A67,計算用!$L$2:$L$186,0)),"")</f>
        <v/>
      </c>
      <c r="D67" s="16">
        <f>IFERROR(INDEX(計算用!$G$2:$G$186,MATCH("男赤"&amp;$A67,計算用!$L$2:$L$186,0)),"")</f>
        <v/>
      </c>
      <c r="E67" s="15" t="n"/>
      <c r="F67" s="15">
        <f>IFERROR(INDEX(計算用!$D$2:$D$186,MATCH("男白"&amp;$A67,計算用!$L$2:$L$186,0)),"")</f>
        <v/>
      </c>
      <c r="G67" s="15">
        <f>IFERROR(INDEX(計算用!$M$2:$M$186,MATCH("男白"&amp;$A67,計算用!$L$2:$L$186,0)),"")</f>
        <v/>
      </c>
      <c r="H67" s="16">
        <f>IFERROR(INDEX(計算用!$G$2:$G$186,MATCH("男白"&amp;$A67,計算用!$L$2:$L$186,0)),"")</f>
        <v/>
      </c>
      <c r="I67" s="15" t="n"/>
      <c r="J67" s="15">
        <f>IF(ROW()-3&lt;=MAX(計算用!$Q$4,計算用!$Q$5),ROW()-3,"")</f>
        <v/>
      </c>
      <c r="K67" s="15">
        <f>IFERROR(INDEX(計算用!$D$2:$D$186,MATCH("女赤"&amp;$J67,計算用!$L$2:$L$186,0)),"")</f>
        <v/>
      </c>
      <c r="L67" s="15">
        <f>IFERROR(INDEX(計算用!$M$2:$M$186,MATCH("女赤"&amp;$J67,計算用!$L$2:$L$186,0)),"")</f>
        <v/>
      </c>
      <c r="M67" s="16">
        <f>IFERROR(INDEX(計算用!$G$2:$G$186,MATCH("女赤"&amp;$J67,計算用!$L$2:$L$186,0)),"")</f>
        <v/>
      </c>
      <c r="N67" s="15" t="n"/>
      <c r="O67" s="15">
        <f>IFERROR(INDEX(計算用!$D$2:$D$186,MATCH("女白"&amp;$J67,計算用!$L$2:$L$186,0)),"")</f>
        <v/>
      </c>
      <c r="P67" s="15">
        <f>IFERROR(INDEX(計算用!$M$2:$M$186,MATCH("女白"&amp;$J67,計算用!$L$2:$L$186,0)),"")</f>
        <v/>
      </c>
      <c r="Q67" s="16">
        <f>IFERROR(INDEX(計算用!$G$2:$G$186,MATCH("女白"&amp;$J67,計算用!$L$2:$L$186,0)),"")</f>
        <v/>
      </c>
    </row>
    <row r="68">
      <c r="A68" s="15">
        <f>IF(ROW()-3&lt;=MAX(計算用!$Q$2,計算用!$Q$3),ROW()-3,"")</f>
        <v/>
      </c>
      <c r="B68" s="15">
        <f>IFERROR(INDEX(計算用!$D$2:$D$186,MATCH("男赤"&amp;$A68,計算用!$L$2:$L$186,0)),"")</f>
        <v/>
      </c>
      <c r="C68" s="15">
        <f>IFERROR(INDEX(計算用!$M$2:$M$186,MATCH("男赤"&amp;$A68,計算用!$L$2:$L$186,0)),"")</f>
        <v/>
      </c>
      <c r="D68" s="16">
        <f>IFERROR(INDEX(計算用!$G$2:$G$186,MATCH("男赤"&amp;$A68,計算用!$L$2:$L$186,0)),"")</f>
        <v/>
      </c>
      <c r="E68" s="15" t="n"/>
      <c r="F68" s="15">
        <f>IFERROR(INDEX(計算用!$D$2:$D$186,MATCH("男白"&amp;$A68,計算用!$L$2:$L$186,0)),"")</f>
        <v/>
      </c>
      <c r="G68" s="15">
        <f>IFERROR(INDEX(計算用!$M$2:$M$186,MATCH("男白"&amp;$A68,計算用!$L$2:$L$186,0)),"")</f>
        <v/>
      </c>
      <c r="H68" s="16">
        <f>IFERROR(INDEX(計算用!$G$2:$G$186,MATCH("男白"&amp;$A68,計算用!$L$2:$L$186,0)),"")</f>
        <v/>
      </c>
      <c r="I68" s="15" t="n"/>
      <c r="J68" s="15">
        <f>IF(ROW()-3&lt;=MAX(計算用!$Q$4,計算用!$Q$5),ROW()-3,"")</f>
        <v/>
      </c>
      <c r="K68" s="15">
        <f>IFERROR(INDEX(計算用!$D$2:$D$186,MATCH("女赤"&amp;$J68,計算用!$L$2:$L$186,0)),"")</f>
        <v/>
      </c>
      <c r="L68" s="15">
        <f>IFERROR(INDEX(計算用!$M$2:$M$186,MATCH("女赤"&amp;$J68,計算用!$L$2:$L$186,0)),"")</f>
        <v/>
      </c>
      <c r="M68" s="16">
        <f>IFERROR(INDEX(計算用!$G$2:$G$186,MATCH("女赤"&amp;$J68,計算用!$L$2:$L$186,0)),"")</f>
        <v/>
      </c>
      <c r="N68" s="15" t="n"/>
      <c r="O68" s="15">
        <f>IFERROR(INDEX(計算用!$D$2:$D$186,MATCH("女白"&amp;$J68,計算用!$L$2:$L$186,0)),"")</f>
        <v/>
      </c>
      <c r="P68" s="15">
        <f>IFERROR(INDEX(計算用!$M$2:$M$186,MATCH("女白"&amp;$J68,計算用!$L$2:$L$186,0)),"")</f>
        <v/>
      </c>
      <c r="Q68" s="16">
        <f>IFERROR(INDEX(計算用!$G$2:$G$186,MATCH("女白"&amp;$J68,計算用!$L$2:$L$186,0)),"")</f>
        <v/>
      </c>
    </row>
    <row r="69">
      <c r="A69" s="15">
        <f>IF(ROW()-3&lt;=MAX(計算用!$Q$2,計算用!$Q$3),ROW()-3,"")</f>
        <v/>
      </c>
      <c r="B69" s="15">
        <f>IFERROR(INDEX(計算用!$D$2:$D$186,MATCH("男赤"&amp;$A69,計算用!$L$2:$L$186,0)),"")</f>
        <v/>
      </c>
      <c r="C69" s="15">
        <f>IFERROR(INDEX(計算用!$M$2:$M$186,MATCH("男赤"&amp;$A69,計算用!$L$2:$L$186,0)),"")</f>
        <v/>
      </c>
      <c r="D69" s="16">
        <f>IFERROR(INDEX(計算用!$G$2:$G$186,MATCH("男赤"&amp;$A69,計算用!$L$2:$L$186,0)),"")</f>
        <v/>
      </c>
      <c r="E69" s="15" t="n"/>
      <c r="F69" s="15">
        <f>IFERROR(INDEX(計算用!$D$2:$D$186,MATCH("男白"&amp;$A69,計算用!$L$2:$L$186,0)),"")</f>
        <v/>
      </c>
      <c r="G69" s="15">
        <f>IFERROR(INDEX(計算用!$M$2:$M$186,MATCH("男白"&amp;$A69,計算用!$L$2:$L$186,0)),"")</f>
        <v/>
      </c>
      <c r="H69" s="16">
        <f>IFERROR(INDEX(計算用!$G$2:$G$186,MATCH("男白"&amp;$A69,計算用!$L$2:$L$186,0)),"")</f>
        <v/>
      </c>
      <c r="I69" s="15" t="n"/>
      <c r="J69" s="15">
        <f>IF(ROW()-3&lt;=MAX(計算用!$Q$4,計算用!$Q$5),ROW()-3,"")</f>
        <v/>
      </c>
      <c r="K69" s="15">
        <f>IFERROR(INDEX(計算用!$D$2:$D$186,MATCH("女赤"&amp;$J69,計算用!$L$2:$L$186,0)),"")</f>
        <v/>
      </c>
      <c r="L69" s="15">
        <f>IFERROR(INDEX(計算用!$M$2:$M$186,MATCH("女赤"&amp;$J69,計算用!$L$2:$L$186,0)),"")</f>
        <v/>
      </c>
      <c r="M69" s="16">
        <f>IFERROR(INDEX(計算用!$G$2:$G$186,MATCH("女赤"&amp;$J69,計算用!$L$2:$L$186,0)),"")</f>
        <v/>
      </c>
      <c r="N69" s="15" t="n"/>
      <c r="O69" s="15">
        <f>IFERROR(INDEX(計算用!$D$2:$D$186,MATCH("女白"&amp;$J69,計算用!$L$2:$L$186,0)),"")</f>
        <v/>
      </c>
      <c r="P69" s="15">
        <f>IFERROR(INDEX(計算用!$M$2:$M$186,MATCH("女白"&amp;$J69,計算用!$L$2:$L$186,0)),"")</f>
        <v/>
      </c>
      <c r="Q69" s="16">
        <f>IFERROR(INDEX(計算用!$G$2:$G$186,MATCH("女白"&amp;$J69,計算用!$L$2:$L$186,0)),"")</f>
        <v/>
      </c>
    </row>
    <row r="70">
      <c r="A70" s="15">
        <f>IF(ROW()-3&lt;=MAX(計算用!$Q$2,計算用!$Q$3),ROW()-3,"")</f>
        <v/>
      </c>
      <c r="B70" s="15">
        <f>IFERROR(INDEX(計算用!$D$2:$D$186,MATCH("男赤"&amp;$A70,計算用!$L$2:$L$186,0)),"")</f>
        <v/>
      </c>
      <c r="C70" s="15">
        <f>IFERROR(INDEX(計算用!$M$2:$M$186,MATCH("男赤"&amp;$A70,計算用!$L$2:$L$186,0)),"")</f>
        <v/>
      </c>
      <c r="D70" s="16">
        <f>IFERROR(INDEX(計算用!$G$2:$G$186,MATCH("男赤"&amp;$A70,計算用!$L$2:$L$186,0)),"")</f>
        <v/>
      </c>
      <c r="E70" s="15" t="n"/>
      <c r="F70" s="15">
        <f>IFERROR(INDEX(計算用!$D$2:$D$186,MATCH("男白"&amp;$A70,計算用!$L$2:$L$186,0)),"")</f>
        <v/>
      </c>
      <c r="G70" s="15">
        <f>IFERROR(INDEX(計算用!$M$2:$M$186,MATCH("男白"&amp;$A70,計算用!$L$2:$L$186,0)),"")</f>
        <v/>
      </c>
      <c r="H70" s="16">
        <f>IFERROR(INDEX(計算用!$G$2:$G$186,MATCH("男白"&amp;$A70,計算用!$L$2:$L$186,0)),"")</f>
        <v/>
      </c>
      <c r="I70" s="15" t="n"/>
      <c r="J70" s="15">
        <f>IF(ROW()-3&lt;=MAX(計算用!$Q$4,計算用!$Q$5),ROW()-3,"")</f>
        <v/>
      </c>
      <c r="K70" s="15">
        <f>IFERROR(INDEX(計算用!$D$2:$D$186,MATCH("女赤"&amp;$J70,計算用!$L$2:$L$186,0)),"")</f>
        <v/>
      </c>
      <c r="L70" s="15">
        <f>IFERROR(INDEX(計算用!$M$2:$M$186,MATCH("女赤"&amp;$J70,計算用!$L$2:$L$186,0)),"")</f>
        <v/>
      </c>
      <c r="M70" s="16">
        <f>IFERROR(INDEX(計算用!$G$2:$G$186,MATCH("女赤"&amp;$J70,計算用!$L$2:$L$186,0)),"")</f>
        <v/>
      </c>
      <c r="N70" s="15" t="n"/>
      <c r="O70" s="15">
        <f>IFERROR(INDEX(計算用!$D$2:$D$186,MATCH("女白"&amp;$J70,計算用!$L$2:$L$186,0)),"")</f>
        <v/>
      </c>
      <c r="P70" s="15">
        <f>IFERROR(INDEX(計算用!$M$2:$M$186,MATCH("女白"&amp;$J70,計算用!$L$2:$L$186,0)),"")</f>
        <v/>
      </c>
      <c r="Q70" s="16">
        <f>IFERROR(INDEX(計算用!$G$2:$G$186,MATCH("女白"&amp;$J70,計算用!$L$2:$L$186,0)),"")</f>
        <v/>
      </c>
    </row>
    <row r="71">
      <c r="A71" s="15">
        <f>IF(ROW()-3&lt;=MAX(計算用!$Q$2,計算用!$Q$3),ROW()-3,"")</f>
        <v/>
      </c>
      <c r="B71" s="15">
        <f>IFERROR(INDEX(計算用!$D$2:$D$186,MATCH("男赤"&amp;$A71,計算用!$L$2:$L$186,0)),"")</f>
        <v/>
      </c>
      <c r="C71" s="15">
        <f>IFERROR(INDEX(計算用!$M$2:$M$186,MATCH("男赤"&amp;$A71,計算用!$L$2:$L$186,0)),"")</f>
        <v/>
      </c>
      <c r="D71" s="16">
        <f>IFERROR(INDEX(計算用!$G$2:$G$186,MATCH("男赤"&amp;$A71,計算用!$L$2:$L$186,0)),"")</f>
        <v/>
      </c>
      <c r="E71" s="15" t="n"/>
      <c r="F71" s="15">
        <f>IFERROR(INDEX(計算用!$D$2:$D$186,MATCH("男白"&amp;$A71,計算用!$L$2:$L$186,0)),"")</f>
        <v/>
      </c>
      <c r="G71" s="15">
        <f>IFERROR(INDEX(計算用!$M$2:$M$186,MATCH("男白"&amp;$A71,計算用!$L$2:$L$186,0)),"")</f>
        <v/>
      </c>
      <c r="H71" s="16">
        <f>IFERROR(INDEX(計算用!$G$2:$G$186,MATCH("男白"&amp;$A71,計算用!$L$2:$L$186,0)),"")</f>
        <v/>
      </c>
      <c r="I71" s="15" t="n"/>
      <c r="J71" s="15">
        <f>IF(ROW()-3&lt;=MAX(計算用!$Q$4,計算用!$Q$5),ROW()-3,"")</f>
        <v/>
      </c>
      <c r="K71" s="15">
        <f>IFERROR(INDEX(計算用!$D$2:$D$186,MATCH("女赤"&amp;$J71,計算用!$L$2:$L$186,0)),"")</f>
        <v/>
      </c>
      <c r="L71" s="15">
        <f>IFERROR(INDEX(計算用!$M$2:$M$186,MATCH("女赤"&amp;$J71,計算用!$L$2:$L$186,0)),"")</f>
        <v/>
      </c>
      <c r="M71" s="16">
        <f>IFERROR(INDEX(計算用!$G$2:$G$186,MATCH("女赤"&amp;$J71,計算用!$L$2:$L$186,0)),"")</f>
        <v/>
      </c>
      <c r="N71" s="15" t="n"/>
      <c r="O71" s="15">
        <f>IFERROR(INDEX(計算用!$D$2:$D$186,MATCH("女白"&amp;$J71,計算用!$L$2:$L$186,0)),"")</f>
        <v/>
      </c>
      <c r="P71" s="15">
        <f>IFERROR(INDEX(計算用!$M$2:$M$186,MATCH("女白"&amp;$J71,計算用!$L$2:$L$186,0)),"")</f>
        <v/>
      </c>
      <c r="Q71" s="16">
        <f>IFERROR(INDEX(計算用!$G$2:$G$186,MATCH("女白"&amp;$J71,計算用!$L$2:$L$186,0)),"")</f>
        <v/>
      </c>
    </row>
    <row r="72">
      <c r="A72" s="15">
        <f>IF(ROW()-3&lt;=MAX(計算用!$Q$2,計算用!$Q$3),ROW()-3,"")</f>
        <v/>
      </c>
      <c r="B72" s="15">
        <f>IFERROR(INDEX(計算用!$D$2:$D$186,MATCH("男赤"&amp;$A72,計算用!$L$2:$L$186,0)),"")</f>
        <v/>
      </c>
      <c r="C72" s="15">
        <f>IFERROR(INDEX(計算用!$M$2:$M$186,MATCH("男赤"&amp;$A72,計算用!$L$2:$L$186,0)),"")</f>
        <v/>
      </c>
      <c r="D72" s="16">
        <f>IFERROR(INDEX(計算用!$G$2:$G$186,MATCH("男赤"&amp;$A72,計算用!$L$2:$L$186,0)),"")</f>
        <v/>
      </c>
      <c r="E72" s="15" t="n"/>
      <c r="F72" s="15">
        <f>IFERROR(INDEX(計算用!$D$2:$D$186,MATCH("男白"&amp;$A72,計算用!$L$2:$L$186,0)),"")</f>
        <v/>
      </c>
      <c r="G72" s="15">
        <f>IFERROR(INDEX(計算用!$M$2:$M$186,MATCH("男白"&amp;$A72,計算用!$L$2:$L$186,0)),"")</f>
        <v/>
      </c>
      <c r="H72" s="16">
        <f>IFERROR(INDEX(計算用!$G$2:$G$186,MATCH("男白"&amp;$A72,計算用!$L$2:$L$186,0)),"")</f>
        <v/>
      </c>
      <c r="I72" s="15" t="n"/>
      <c r="J72" s="15">
        <f>IF(ROW()-3&lt;=MAX(計算用!$Q$4,計算用!$Q$5),ROW()-3,"")</f>
        <v/>
      </c>
      <c r="K72" s="15">
        <f>IFERROR(INDEX(計算用!$D$2:$D$186,MATCH("女赤"&amp;$J72,計算用!$L$2:$L$186,0)),"")</f>
        <v/>
      </c>
      <c r="L72" s="15">
        <f>IFERROR(INDEX(計算用!$M$2:$M$186,MATCH("女赤"&amp;$J72,計算用!$L$2:$L$186,0)),"")</f>
        <v/>
      </c>
      <c r="M72" s="16">
        <f>IFERROR(INDEX(計算用!$G$2:$G$186,MATCH("女赤"&amp;$J72,計算用!$L$2:$L$186,0)),"")</f>
        <v/>
      </c>
      <c r="N72" s="15" t="n"/>
      <c r="O72" s="15">
        <f>IFERROR(INDEX(計算用!$D$2:$D$186,MATCH("女白"&amp;$J72,計算用!$L$2:$L$186,0)),"")</f>
        <v/>
      </c>
      <c r="P72" s="15">
        <f>IFERROR(INDEX(計算用!$M$2:$M$186,MATCH("女白"&amp;$J72,計算用!$L$2:$L$186,0)),"")</f>
        <v/>
      </c>
      <c r="Q72" s="16">
        <f>IFERROR(INDEX(計算用!$G$2:$G$186,MATCH("女白"&amp;$J72,計算用!$L$2:$L$186,0)),"")</f>
        <v/>
      </c>
    </row>
    <row r="73">
      <c r="A73" s="15">
        <f>IF(ROW()-3&lt;=MAX(計算用!$Q$2,計算用!$Q$3),ROW()-3,"")</f>
        <v/>
      </c>
      <c r="B73" s="15">
        <f>IFERROR(INDEX(計算用!$D$2:$D$186,MATCH("男赤"&amp;$A73,計算用!$L$2:$L$186,0)),"")</f>
        <v/>
      </c>
      <c r="C73" s="15">
        <f>IFERROR(INDEX(計算用!$M$2:$M$186,MATCH("男赤"&amp;$A73,計算用!$L$2:$L$186,0)),"")</f>
        <v/>
      </c>
      <c r="D73" s="16">
        <f>IFERROR(INDEX(計算用!$G$2:$G$186,MATCH("男赤"&amp;$A73,計算用!$L$2:$L$186,0)),"")</f>
        <v/>
      </c>
      <c r="E73" s="15" t="n"/>
      <c r="F73" s="15">
        <f>IFERROR(INDEX(計算用!$D$2:$D$186,MATCH("男白"&amp;$A73,計算用!$L$2:$L$186,0)),"")</f>
        <v/>
      </c>
      <c r="G73" s="15">
        <f>IFERROR(INDEX(計算用!$M$2:$M$186,MATCH("男白"&amp;$A73,計算用!$L$2:$L$186,0)),"")</f>
        <v/>
      </c>
      <c r="H73" s="16">
        <f>IFERROR(INDEX(計算用!$G$2:$G$186,MATCH("男白"&amp;$A73,計算用!$L$2:$L$186,0)),"")</f>
        <v/>
      </c>
      <c r="I73" s="15" t="n"/>
      <c r="J73" s="15">
        <f>IF(ROW()-3&lt;=MAX(計算用!$Q$4,計算用!$Q$5),ROW()-3,"")</f>
        <v/>
      </c>
      <c r="K73" s="15">
        <f>IFERROR(INDEX(計算用!$D$2:$D$186,MATCH("女赤"&amp;$J73,計算用!$L$2:$L$186,0)),"")</f>
        <v/>
      </c>
      <c r="L73" s="15">
        <f>IFERROR(INDEX(計算用!$M$2:$M$186,MATCH("女赤"&amp;$J73,計算用!$L$2:$L$186,0)),"")</f>
        <v/>
      </c>
      <c r="M73" s="16">
        <f>IFERROR(INDEX(計算用!$G$2:$G$186,MATCH("女赤"&amp;$J73,計算用!$L$2:$L$186,0)),"")</f>
        <v/>
      </c>
      <c r="N73" s="15" t="n"/>
      <c r="O73" s="15">
        <f>IFERROR(INDEX(計算用!$D$2:$D$186,MATCH("女白"&amp;$J73,計算用!$L$2:$L$186,0)),"")</f>
        <v/>
      </c>
      <c r="P73" s="15">
        <f>IFERROR(INDEX(計算用!$M$2:$M$186,MATCH("女白"&amp;$J73,計算用!$L$2:$L$186,0)),"")</f>
        <v/>
      </c>
      <c r="Q73" s="16">
        <f>IFERROR(INDEX(計算用!$G$2:$G$186,MATCH("女白"&amp;$J73,計算用!$L$2:$L$186,0)),"")</f>
        <v/>
      </c>
    </row>
    <row r="74">
      <c r="A74" s="15">
        <f>IF(ROW()-3&lt;=MAX(計算用!$Q$2,計算用!$Q$3),ROW()-3,"")</f>
        <v/>
      </c>
      <c r="B74" s="15">
        <f>IFERROR(INDEX(計算用!$D$2:$D$186,MATCH("男赤"&amp;$A74,計算用!$L$2:$L$186,0)),"")</f>
        <v/>
      </c>
      <c r="C74" s="15">
        <f>IFERROR(INDEX(計算用!$M$2:$M$186,MATCH("男赤"&amp;$A74,計算用!$L$2:$L$186,0)),"")</f>
        <v/>
      </c>
      <c r="D74" s="16">
        <f>IFERROR(INDEX(計算用!$G$2:$G$186,MATCH("男赤"&amp;$A74,計算用!$L$2:$L$186,0)),"")</f>
        <v/>
      </c>
      <c r="E74" s="15" t="n"/>
      <c r="F74" s="15">
        <f>IFERROR(INDEX(計算用!$D$2:$D$186,MATCH("男白"&amp;$A74,計算用!$L$2:$L$186,0)),"")</f>
        <v/>
      </c>
      <c r="G74" s="15">
        <f>IFERROR(INDEX(計算用!$M$2:$M$186,MATCH("男白"&amp;$A74,計算用!$L$2:$L$186,0)),"")</f>
        <v/>
      </c>
      <c r="H74" s="16">
        <f>IFERROR(INDEX(計算用!$G$2:$G$186,MATCH("男白"&amp;$A74,計算用!$L$2:$L$186,0)),"")</f>
        <v/>
      </c>
      <c r="I74" s="15" t="n"/>
      <c r="J74" s="15">
        <f>IF(ROW()-3&lt;=MAX(計算用!$Q$4,計算用!$Q$5),ROW()-3,"")</f>
        <v/>
      </c>
      <c r="K74" s="15">
        <f>IFERROR(INDEX(計算用!$D$2:$D$186,MATCH("女赤"&amp;$J74,計算用!$L$2:$L$186,0)),"")</f>
        <v/>
      </c>
      <c r="L74" s="15">
        <f>IFERROR(INDEX(計算用!$M$2:$M$186,MATCH("女赤"&amp;$J74,計算用!$L$2:$L$186,0)),"")</f>
        <v/>
      </c>
      <c r="M74" s="16">
        <f>IFERROR(INDEX(計算用!$G$2:$G$186,MATCH("女赤"&amp;$J74,計算用!$L$2:$L$186,0)),"")</f>
        <v/>
      </c>
      <c r="N74" s="15" t="n"/>
      <c r="O74" s="15">
        <f>IFERROR(INDEX(計算用!$D$2:$D$186,MATCH("女白"&amp;$J74,計算用!$L$2:$L$186,0)),"")</f>
        <v/>
      </c>
      <c r="P74" s="15">
        <f>IFERROR(INDEX(計算用!$M$2:$M$186,MATCH("女白"&amp;$J74,計算用!$L$2:$L$186,0)),"")</f>
        <v/>
      </c>
      <c r="Q74" s="16">
        <f>IFERROR(INDEX(計算用!$G$2:$G$186,MATCH("女白"&amp;$J74,計算用!$L$2:$L$186,0)),"")</f>
        <v/>
      </c>
    </row>
    <row r="75">
      <c r="A75" s="15">
        <f>IF(ROW()-3&lt;=MAX(計算用!$Q$2,計算用!$Q$3),ROW()-3,"")</f>
        <v/>
      </c>
      <c r="B75" s="15">
        <f>IFERROR(INDEX(計算用!$D$2:$D$186,MATCH("男赤"&amp;$A75,計算用!$L$2:$L$186,0)),"")</f>
        <v/>
      </c>
      <c r="C75" s="15">
        <f>IFERROR(INDEX(計算用!$M$2:$M$186,MATCH("男赤"&amp;$A75,計算用!$L$2:$L$186,0)),"")</f>
        <v/>
      </c>
      <c r="D75" s="16">
        <f>IFERROR(INDEX(計算用!$G$2:$G$186,MATCH("男赤"&amp;$A75,計算用!$L$2:$L$186,0)),"")</f>
        <v/>
      </c>
      <c r="E75" s="15" t="n"/>
      <c r="F75" s="15">
        <f>IFERROR(INDEX(計算用!$D$2:$D$186,MATCH("男白"&amp;$A75,計算用!$L$2:$L$186,0)),"")</f>
        <v/>
      </c>
      <c r="G75" s="15">
        <f>IFERROR(INDEX(計算用!$M$2:$M$186,MATCH("男白"&amp;$A75,計算用!$L$2:$L$186,0)),"")</f>
        <v/>
      </c>
      <c r="H75" s="16">
        <f>IFERROR(INDEX(計算用!$G$2:$G$186,MATCH("男白"&amp;$A75,計算用!$L$2:$L$186,0)),"")</f>
        <v/>
      </c>
      <c r="I75" s="15" t="n"/>
      <c r="J75" s="15">
        <f>IF(ROW()-3&lt;=MAX(計算用!$Q$4,計算用!$Q$5),ROW()-3,"")</f>
        <v/>
      </c>
      <c r="K75" s="15">
        <f>IFERROR(INDEX(計算用!$D$2:$D$186,MATCH("女赤"&amp;$J75,計算用!$L$2:$L$186,0)),"")</f>
        <v/>
      </c>
      <c r="L75" s="15">
        <f>IFERROR(INDEX(計算用!$M$2:$M$186,MATCH("女赤"&amp;$J75,計算用!$L$2:$L$186,0)),"")</f>
        <v/>
      </c>
      <c r="M75" s="16">
        <f>IFERROR(INDEX(計算用!$G$2:$G$186,MATCH("女赤"&amp;$J75,計算用!$L$2:$L$186,0)),"")</f>
        <v/>
      </c>
      <c r="N75" s="15" t="n"/>
      <c r="O75" s="15">
        <f>IFERROR(INDEX(計算用!$D$2:$D$186,MATCH("女白"&amp;$J75,計算用!$L$2:$L$186,0)),"")</f>
        <v/>
      </c>
      <c r="P75" s="15">
        <f>IFERROR(INDEX(計算用!$M$2:$M$186,MATCH("女白"&amp;$J75,計算用!$L$2:$L$186,0)),"")</f>
        <v/>
      </c>
      <c r="Q75" s="16">
        <f>IFERROR(INDEX(計算用!$G$2:$G$186,MATCH("女白"&amp;$J75,計算用!$L$2:$L$186,0)),"")</f>
        <v/>
      </c>
    </row>
    <row r="76">
      <c r="A76" s="15">
        <f>IF(ROW()-3&lt;=MAX(計算用!$Q$2,計算用!$Q$3),ROW()-3,"")</f>
        <v/>
      </c>
      <c r="B76" s="15">
        <f>IFERROR(INDEX(計算用!$D$2:$D$186,MATCH("男赤"&amp;$A76,計算用!$L$2:$L$186,0)),"")</f>
        <v/>
      </c>
      <c r="C76" s="15">
        <f>IFERROR(INDEX(計算用!$M$2:$M$186,MATCH("男赤"&amp;$A76,計算用!$L$2:$L$186,0)),"")</f>
        <v/>
      </c>
      <c r="D76" s="16">
        <f>IFERROR(INDEX(計算用!$G$2:$G$186,MATCH("男赤"&amp;$A76,計算用!$L$2:$L$186,0)),"")</f>
        <v/>
      </c>
      <c r="E76" s="15" t="n"/>
      <c r="F76" s="15">
        <f>IFERROR(INDEX(計算用!$D$2:$D$186,MATCH("男白"&amp;$A76,計算用!$L$2:$L$186,0)),"")</f>
        <v/>
      </c>
      <c r="G76" s="15">
        <f>IFERROR(INDEX(計算用!$M$2:$M$186,MATCH("男白"&amp;$A76,計算用!$L$2:$L$186,0)),"")</f>
        <v/>
      </c>
      <c r="H76" s="16">
        <f>IFERROR(INDEX(計算用!$G$2:$G$186,MATCH("男白"&amp;$A76,計算用!$L$2:$L$186,0)),"")</f>
        <v/>
      </c>
      <c r="I76" s="15" t="n"/>
      <c r="J76" s="15">
        <f>IF(ROW()-3&lt;=MAX(計算用!$Q$4,計算用!$Q$5),ROW()-3,"")</f>
        <v/>
      </c>
      <c r="K76" s="15">
        <f>IFERROR(INDEX(計算用!$D$2:$D$186,MATCH("女赤"&amp;$J76,計算用!$L$2:$L$186,0)),"")</f>
        <v/>
      </c>
      <c r="L76" s="15">
        <f>IFERROR(INDEX(計算用!$M$2:$M$186,MATCH("女赤"&amp;$J76,計算用!$L$2:$L$186,0)),"")</f>
        <v/>
      </c>
      <c r="M76" s="16">
        <f>IFERROR(INDEX(計算用!$G$2:$G$186,MATCH("女赤"&amp;$J76,計算用!$L$2:$L$186,0)),"")</f>
        <v/>
      </c>
      <c r="N76" s="15" t="n"/>
      <c r="O76" s="15">
        <f>IFERROR(INDEX(計算用!$D$2:$D$186,MATCH("女白"&amp;$J76,計算用!$L$2:$L$186,0)),"")</f>
        <v/>
      </c>
      <c r="P76" s="15">
        <f>IFERROR(INDEX(計算用!$M$2:$M$186,MATCH("女白"&amp;$J76,計算用!$L$2:$L$186,0)),"")</f>
        <v/>
      </c>
      <c r="Q76" s="16">
        <f>IFERROR(INDEX(計算用!$G$2:$G$186,MATCH("女白"&amp;$J76,計算用!$L$2:$L$186,0)),"")</f>
        <v/>
      </c>
    </row>
    <row r="77">
      <c r="A77" s="15">
        <f>IF(ROW()-3&lt;=MAX(計算用!$Q$2,計算用!$Q$3),ROW()-3,"")</f>
        <v/>
      </c>
      <c r="B77" s="15">
        <f>IFERROR(INDEX(計算用!$D$2:$D$186,MATCH("男赤"&amp;$A77,計算用!$L$2:$L$186,0)),"")</f>
        <v/>
      </c>
      <c r="C77" s="15">
        <f>IFERROR(INDEX(計算用!$M$2:$M$186,MATCH("男赤"&amp;$A77,計算用!$L$2:$L$186,0)),"")</f>
        <v/>
      </c>
      <c r="D77" s="16">
        <f>IFERROR(INDEX(計算用!$G$2:$G$186,MATCH("男赤"&amp;$A77,計算用!$L$2:$L$186,0)),"")</f>
        <v/>
      </c>
      <c r="E77" s="15" t="n"/>
      <c r="F77" s="15">
        <f>IFERROR(INDEX(計算用!$D$2:$D$186,MATCH("男白"&amp;$A77,計算用!$L$2:$L$186,0)),"")</f>
        <v/>
      </c>
      <c r="G77" s="15">
        <f>IFERROR(INDEX(計算用!$M$2:$M$186,MATCH("男白"&amp;$A77,計算用!$L$2:$L$186,0)),"")</f>
        <v/>
      </c>
      <c r="H77" s="16">
        <f>IFERROR(INDEX(計算用!$G$2:$G$186,MATCH("男白"&amp;$A77,計算用!$L$2:$L$186,0)),"")</f>
        <v/>
      </c>
      <c r="I77" s="15" t="n"/>
      <c r="J77" s="15">
        <f>IF(ROW()-3&lt;=MAX(計算用!$Q$4,計算用!$Q$5),ROW()-3,"")</f>
        <v/>
      </c>
      <c r="K77" s="15">
        <f>IFERROR(INDEX(計算用!$D$2:$D$186,MATCH("女赤"&amp;$J77,計算用!$L$2:$L$186,0)),"")</f>
        <v/>
      </c>
      <c r="L77" s="15">
        <f>IFERROR(INDEX(計算用!$M$2:$M$186,MATCH("女赤"&amp;$J77,計算用!$L$2:$L$186,0)),"")</f>
        <v/>
      </c>
      <c r="M77" s="16">
        <f>IFERROR(INDEX(計算用!$G$2:$G$186,MATCH("女赤"&amp;$J77,計算用!$L$2:$L$186,0)),"")</f>
        <v/>
      </c>
      <c r="N77" s="15" t="n"/>
      <c r="O77" s="15">
        <f>IFERROR(INDEX(計算用!$D$2:$D$186,MATCH("女白"&amp;$J77,計算用!$L$2:$L$186,0)),"")</f>
        <v/>
      </c>
      <c r="P77" s="15">
        <f>IFERROR(INDEX(計算用!$M$2:$M$186,MATCH("女白"&amp;$J77,計算用!$L$2:$L$186,0)),"")</f>
        <v/>
      </c>
      <c r="Q77" s="16">
        <f>IFERROR(INDEX(計算用!$G$2:$G$186,MATCH("女白"&amp;$J77,計算用!$L$2:$L$186,0)),"")</f>
        <v/>
      </c>
    </row>
    <row r="78">
      <c r="A78" s="15">
        <f>IF(ROW()-3&lt;=MAX(計算用!$Q$2,計算用!$Q$3),ROW()-3,"")</f>
        <v/>
      </c>
      <c r="B78" s="15">
        <f>IFERROR(INDEX(計算用!$D$2:$D$186,MATCH("男赤"&amp;$A78,計算用!$L$2:$L$186,0)),"")</f>
        <v/>
      </c>
      <c r="C78" s="15">
        <f>IFERROR(INDEX(計算用!$M$2:$M$186,MATCH("男赤"&amp;$A78,計算用!$L$2:$L$186,0)),"")</f>
        <v/>
      </c>
      <c r="D78" s="16">
        <f>IFERROR(INDEX(計算用!$G$2:$G$186,MATCH("男赤"&amp;$A78,計算用!$L$2:$L$186,0)),"")</f>
        <v/>
      </c>
      <c r="E78" s="15" t="n"/>
      <c r="F78" s="15">
        <f>IFERROR(INDEX(計算用!$D$2:$D$186,MATCH("男白"&amp;$A78,計算用!$L$2:$L$186,0)),"")</f>
        <v/>
      </c>
      <c r="G78" s="15">
        <f>IFERROR(INDEX(計算用!$M$2:$M$186,MATCH("男白"&amp;$A78,計算用!$L$2:$L$186,0)),"")</f>
        <v/>
      </c>
      <c r="H78" s="16">
        <f>IFERROR(INDEX(計算用!$G$2:$G$186,MATCH("男白"&amp;$A78,計算用!$L$2:$L$186,0)),"")</f>
        <v/>
      </c>
      <c r="I78" s="15" t="n"/>
      <c r="J78" s="15">
        <f>IF(ROW()-3&lt;=MAX(計算用!$Q$4,計算用!$Q$5),ROW()-3,"")</f>
        <v/>
      </c>
      <c r="K78" s="15">
        <f>IFERROR(INDEX(計算用!$D$2:$D$186,MATCH("女赤"&amp;$J78,計算用!$L$2:$L$186,0)),"")</f>
        <v/>
      </c>
      <c r="L78" s="15">
        <f>IFERROR(INDEX(計算用!$M$2:$M$186,MATCH("女赤"&amp;$J78,計算用!$L$2:$L$186,0)),"")</f>
        <v/>
      </c>
      <c r="M78" s="16">
        <f>IFERROR(INDEX(計算用!$G$2:$G$186,MATCH("女赤"&amp;$J78,計算用!$L$2:$L$186,0)),"")</f>
        <v/>
      </c>
      <c r="N78" s="15" t="n"/>
      <c r="O78" s="15">
        <f>IFERROR(INDEX(計算用!$D$2:$D$186,MATCH("女白"&amp;$J78,計算用!$L$2:$L$186,0)),"")</f>
        <v/>
      </c>
      <c r="P78" s="15">
        <f>IFERROR(INDEX(計算用!$M$2:$M$186,MATCH("女白"&amp;$J78,計算用!$L$2:$L$186,0)),"")</f>
        <v/>
      </c>
      <c r="Q78" s="16">
        <f>IFERROR(INDEX(計算用!$G$2:$G$186,MATCH("女白"&amp;$J78,計算用!$L$2:$L$186,0)),"")</f>
        <v/>
      </c>
    </row>
    <row r="79">
      <c r="A79" s="15">
        <f>IF(ROW()-3&lt;=MAX(計算用!$Q$2,計算用!$Q$3),ROW()-3,"")</f>
        <v/>
      </c>
      <c r="B79" s="15">
        <f>IFERROR(INDEX(計算用!$D$2:$D$186,MATCH("男赤"&amp;$A79,計算用!$L$2:$L$186,0)),"")</f>
        <v/>
      </c>
      <c r="C79" s="15">
        <f>IFERROR(INDEX(計算用!$M$2:$M$186,MATCH("男赤"&amp;$A79,計算用!$L$2:$L$186,0)),"")</f>
        <v/>
      </c>
      <c r="D79" s="16">
        <f>IFERROR(INDEX(計算用!$G$2:$G$186,MATCH("男赤"&amp;$A79,計算用!$L$2:$L$186,0)),"")</f>
        <v/>
      </c>
      <c r="E79" s="15" t="n"/>
      <c r="F79" s="15">
        <f>IFERROR(INDEX(計算用!$D$2:$D$186,MATCH("男白"&amp;$A79,計算用!$L$2:$L$186,0)),"")</f>
        <v/>
      </c>
      <c r="G79" s="15">
        <f>IFERROR(INDEX(計算用!$M$2:$M$186,MATCH("男白"&amp;$A79,計算用!$L$2:$L$186,0)),"")</f>
        <v/>
      </c>
      <c r="H79" s="16">
        <f>IFERROR(INDEX(計算用!$G$2:$G$186,MATCH("男白"&amp;$A79,計算用!$L$2:$L$186,0)),"")</f>
        <v/>
      </c>
      <c r="I79" s="15" t="n"/>
      <c r="J79" s="15">
        <f>IF(ROW()-3&lt;=MAX(計算用!$Q$4,計算用!$Q$5),ROW()-3,"")</f>
        <v/>
      </c>
      <c r="K79" s="15">
        <f>IFERROR(INDEX(計算用!$D$2:$D$186,MATCH("女赤"&amp;$J79,計算用!$L$2:$L$186,0)),"")</f>
        <v/>
      </c>
      <c r="L79" s="15">
        <f>IFERROR(INDEX(計算用!$M$2:$M$186,MATCH("女赤"&amp;$J79,計算用!$L$2:$L$186,0)),"")</f>
        <v/>
      </c>
      <c r="M79" s="16">
        <f>IFERROR(INDEX(計算用!$G$2:$G$186,MATCH("女赤"&amp;$J79,計算用!$L$2:$L$186,0)),"")</f>
        <v/>
      </c>
      <c r="N79" s="15" t="n"/>
      <c r="O79" s="15">
        <f>IFERROR(INDEX(計算用!$D$2:$D$186,MATCH("女白"&amp;$J79,計算用!$L$2:$L$186,0)),"")</f>
        <v/>
      </c>
      <c r="P79" s="15">
        <f>IFERROR(INDEX(計算用!$M$2:$M$186,MATCH("女白"&amp;$J79,計算用!$L$2:$L$186,0)),"")</f>
        <v/>
      </c>
      <c r="Q79" s="16">
        <f>IFERROR(INDEX(計算用!$G$2:$G$186,MATCH("女白"&amp;$J79,計算用!$L$2:$L$186,0)),"")</f>
        <v/>
      </c>
    </row>
    <row r="80">
      <c r="A80" s="15">
        <f>IF(ROW()-3&lt;=MAX(計算用!$Q$2,計算用!$Q$3),ROW()-3,"")</f>
        <v/>
      </c>
      <c r="B80" s="15">
        <f>IFERROR(INDEX(計算用!$D$2:$D$186,MATCH("男赤"&amp;$A80,計算用!$L$2:$L$186,0)),"")</f>
        <v/>
      </c>
      <c r="C80" s="15">
        <f>IFERROR(INDEX(計算用!$M$2:$M$186,MATCH("男赤"&amp;$A80,計算用!$L$2:$L$186,0)),"")</f>
        <v/>
      </c>
      <c r="D80" s="16">
        <f>IFERROR(INDEX(計算用!$G$2:$G$186,MATCH("男赤"&amp;$A80,計算用!$L$2:$L$186,0)),"")</f>
        <v/>
      </c>
      <c r="E80" s="15" t="n"/>
      <c r="F80" s="15">
        <f>IFERROR(INDEX(計算用!$D$2:$D$186,MATCH("男白"&amp;$A80,計算用!$L$2:$L$186,0)),"")</f>
        <v/>
      </c>
      <c r="G80" s="15">
        <f>IFERROR(INDEX(計算用!$M$2:$M$186,MATCH("男白"&amp;$A80,計算用!$L$2:$L$186,0)),"")</f>
        <v/>
      </c>
      <c r="H80" s="16">
        <f>IFERROR(INDEX(計算用!$G$2:$G$186,MATCH("男白"&amp;$A80,計算用!$L$2:$L$186,0)),"")</f>
        <v/>
      </c>
      <c r="I80" s="15" t="n"/>
      <c r="J80" s="15">
        <f>IF(ROW()-3&lt;=MAX(計算用!$Q$4,計算用!$Q$5),ROW()-3,"")</f>
        <v/>
      </c>
      <c r="K80" s="15">
        <f>IFERROR(INDEX(計算用!$D$2:$D$186,MATCH("女赤"&amp;$J80,計算用!$L$2:$L$186,0)),"")</f>
        <v/>
      </c>
      <c r="L80" s="15">
        <f>IFERROR(INDEX(計算用!$M$2:$M$186,MATCH("女赤"&amp;$J80,計算用!$L$2:$L$186,0)),"")</f>
        <v/>
      </c>
      <c r="M80" s="16">
        <f>IFERROR(INDEX(計算用!$G$2:$G$186,MATCH("女赤"&amp;$J80,計算用!$L$2:$L$186,0)),"")</f>
        <v/>
      </c>
      <c r="N80" s="15" t="n"/>
      <c r="O80" s="15">
        <f>IFERROR(INDEX(計算用!$D$2:$D$186,MATCH("女白"&amp;$J80,計算用!$L$2:$L$186,0)),"")</f>
        <v/>
      </c>
      <c r="P80" s="15">
        <f>IFERROR(INDEX(計算用!$M$2:$M$186,MATCH("女白"&amp;$J80,計算用!$L$2:$L$186,0)),"")</f>
        <v/>
      </c>
      <c r="Q80" s="16">
        <f>IFERROR(INDEX(計算用!$G$2:$G$186,MATCH("女白"&amp;$J80,計算用!$L$2:$L$186,0)),"")</f>
        <v/>
      </c>
    </row>
    <row r="81">
      <c r="A81" s="15">
        <f>IF(ROW()-3&lt;=MAX(計算用!$Q$2,計算用!$Q$3),ROW()-3,"")</f>
        <v/>
      </c>
      <c r="B81" s="15">
        <f>IFERROR(INDEX(計算用!$D$2:$D$186,MATCH("男赤"&amp;$A81,計算用!$L$2:$L$186,0)),"")</f>
        <v/>
      </c>
      <c r="C81" s="15">
        <f>IFERROR(INDEX(計算用!$M$2:$M$186,MATCH("男赤"&amp;$A81,計算用!$L$2:$L$186,0)),"")</f>
        <v/>
      </c>
      <c r="D81" s="16">
        <f>IFERROR(INDEX(計算用!$G$2:$G$186,MATCH("男赤"&amp;$A81,計算用!$L$2:$L$186,0)),"")</f>
        <v/>
      </c>
      <c r="E81" s="15" t="n"/>
      <c r="F81" s="15">
        <f>IFERROR(INDEX(計算用!$D$2:$D$186,MATCH("男白"&amp;$A81,計算用!$L$2:$L$186,0)),"")</f>
        <v/>
      </c>
      <c r="G81" s="15">
        <f>IFERROR(INDEX(計算用!$M$2:$M$186,MATCH("男白"&amp;$A81,計算用!$L$2:$L$186,0)),"")</f>
        <v/>
      </c>
      <c r="H81" s="16">
        <f>IFERROR(INDEX(計算用!$G$2:$G$186,MATCH("男白"&amp;$A81,計算用!$L$2:$L$186,0)),"")</f>
        <v/>
      </c>
      <c r="I81" s="15" t="n"/>
      <c r="J81" s="15">
        <f>IF(ROW()-3&lt;=MAX(計算用!$Q$4,計算用!$Q$5),ROW()-3,"")</f>
        <v/>
      </c>
      <c r="K81" s="15">
        <f>IFERROR(INDEX(計算用!$D$2:$D$186,MATCH("女赤"&amp;$J81,計算用!$L$2:$L$186,0)),"")</f>
        <v/>
      </c>
      <c r="L81" s="15">
        <f>IFERROR(INDEX(計算用!$M$2:$M$186,MATCH("女赤"&amp;$J81,計算用!$L$2:$L$186,0)),"")</f>
        <v/>
      </c>
      <c r="M81" s="16">
        <f>IFERROR(INDEX(計算用!$G$2:$G$186,MATCH("女赤"&amp;$J81,計算用!$L$2:$L$186,0)),"")</f>
        <v/>
      </c>
      <c r="N81" s="15" t="n"/>
      <c r="O81" s="15">
        <f>IFERROR(INDEX(計算用!$D$2:$D$186,MATCH("女白"&amp;$J81,計算用!$L$2:$L$186,0)),"")</f>
        <v/>
      </c>
      <c r="P81" s="15">
        <f>IFERROR(INDEX(計算用!$M$2:$M$186,MATCH("女白"&amp;$J81,計算用!$L$2:$L$186,0)),"")</f>
        <v/>
      </c>
      <c r="Q81" s="16">
        <f>IFERROR(INDEX(計算用!$G$2:$G$186,MATCH("女白"&amp;$J81,計算用!$L$2:$L$186,0)),"")</f>
        <v/>
      </c>
    </row>
    <row r="82">
      <c r="A82" s="15">
        <f>IF(ROW()-3&lt;=MAX(計算用!$Q$2,計算用!$Q$3),ROW()-3,"")</f>
        <v/>
      </c>
      <c r="B82" s="15">
        <f>IFERROR(INDEX(計算用!$D$2:$D$186,MATCH("男赤"&amp;$A82,計算用!$L$2:$L$186,0)),"")</f>
        <v/>
      </c>
      <c r="C82" s="15">
        <f>IFERROR(INDEX(計算用!$M$2:$M$186,MATCH("男赤"&amp;$A82,計算用!$L$2:$L$186,0)),"")</f>
        <v/>
      </c>
      <c r="D82" s="16">
        <f>IFERROR(INDEX(計算用!$G$2:$G$186,MATCH("男赤"&amp;$A82,計算用!$L$2:$L$186,0)),"")</f>
        <v/>
      </c>
      <c r="E82" s="15" t="n"/>
      <c r="F82" s="15">
        <f>IFERROR(INDEX(計算用!$D$2:$D$186,MATCH("男白"&amp;$A82,計算用!$L$2:$L$186,0)),"")</f>
        <v/>
      </c>
      <c r="G82" s="15">
        <f>IFERROR(INDEX(計算用!$M$2:$M$186,MATCH("男白"&amp;$A82,計算用!$L$2:$L$186,0)),"")</f>
        <v/>
      </c>
      <c r="H82" s="16">
        <f>IFERROR(INDEX(計算用!$G$2:$G$186,MATCH("男白"&amp;$A82,計算用!$L$2:$L$186,0)),"")</f>
        <v/>
      </c>
      <c r="I82" s="15" t="n"/>
      <c r="J82" s="15">
        <f>IF(ROW()-3&lt;=MAX(計算用!$Q$4,計算用!$Q$5),ROW()-3,"")</f>
        <v/>
      </c>
      <c r="K82" s="15">
        <f>IFERROR(INDEX(計算用!$D$2:$D$186,MATCH("女赤"&amp;$J82,計算用!$L$2:$L$186,0)),"")</f>
        <v/>
      </c>
      <c r="L82" s="15">
        <f>IFERROR(INDEX(計算用!$M$2:$M$186,MATCH("女赤"&amp;$J82,計算用!$L$2:$L$186,0)),"")</f>
        <v/>
      </c>
      <c r="M82" s="16">
        <f>IFERROR(INDEX(計算用!$G$2:$G$186,MATCH("女赤"&amp;$J82,計算用!$L$2:$L$186,0)),"")</f>
        <v/>
      </c>
      <c r="N82" s="15" t="n"/>
      <c r="O82" s="15">
        <f>IFERROR(INDEX(計算用!$D$2:$D$186,MATCH("女白"&amp;$J82,計算用!$L$2:$L$186,0)),"")</f>
        <v/>
      </c>
      <c r="P82" s="15">
        <f>IFERROR(INDEX(計算用!$M$2:$M$186,MATCH("女白"&amp;$J82,計算用!$L$2:$L$186,0)),"")</f>
        <v/>
      </c>
      <c r="Q82" s="16">
        <f>IFERROR(INDEX(計算用!$G$2:$G$186,MATCH("女白"&amp;$J82,計算用!$L$2:$L$186,0)),"")</f>
        <v/>
      </c>
    </row>
    <row r="83">
      <c r="A83" s="15">
        <f>IF(ROW()-3&lt;=MAX(計算用!$Q$2,計算用!$Q$3),ROW()-3,"")</f>
        <v/>
      </c>
      <c r="B83" s="15">
        <f>IFERROR(INDEX(計算用!$D$2:$D$186,MATCH("男赤"&amp;$A83,計算用!$L$2:$L$186,0)),"")</f>
        <v/>
      </c>
      <c r="C83" s="15">
        <f>IFERROR(INDEX(計算用!$M$2:$M$186,MATCH("男赤"&amp;$A83,計算用!$L$2:$L$186,0)),"")</f>
        <v/>
      </c>
      <c r="D83" s="16">
        <f>IFERROR(INDEX(計算用!$G$2:$G$186,MATCH("男赤"&amp;$A83,計算用!$L$2:$L$186,0)),"")</f>
        <v/>
      </c>
      <c r="E83" s="15" t="n"/>
      <c r="F83" s="15">
        <f>IFERROR(INDEX(計算用!$D$2:$D$186,MATCH("男白"&amp;$A83,計算用!$L$2:$L$186,0)),"")</f>
        <v/>
      </c>
      <c r="G83" s="15">
        <f>IFERROR(INDEX(計算用!$M$2:$M$186,MATCH("男白"&amp;$A83,計算用!$L$2:$L$186,0)),"")</f>
        <v/>
      </c>
      <c r="H83" s="16">
        <f>IFERROR(INDEX(計算用!$G$2:$G$186,MATCH("男白"&amp;$A83,計算用!$L$2:$L$186,0)),"")</f>
        <v/>
      </c>
      <c r="I83" s="15" t="n"/>
      <c r="J83" s="15">
        <f>IF(ROW()-3&lt;=MAX(計算用!$Q$4,計算用!$Q$5),ROW()-3,"")</f>
        <v/>
      </c>
      <c r="K83" s="15">
        <f>IFERROR(INDEX(計算用!$D$2:$D$186,MATCH("女赤"&amp;$J83,計算用!$L$2:$L$186,0)),"")</f>
        <v/>
      </c>
      <c r="L83" s="15">
        <f>IFERROR(INDEX(計算用!$M$2:$M$186,MATCH("女赤"&amp;$J83,計算用!$L$2:$L$186,0)),"")</f>
        <v/>
      </c>
      <c r="M83" s="16">
        <f>IFERROR(INDEX(計算用!$G$2:$G$186,MATCH("女赤"&amp;$J83,計算用!$L$2:$L$186,0)),"")</f>
        <v/>
      </c>
      <c r="N83" s="15" t="n"/>
      <c r="O83" s="15">
        <f>IFERROR(INDEX(計算用!$D$2:$D$186,MATCH("女白"&amp;$J83,計算用!$L$2:$L$186,0)),"")</f>
        <v/>
      </c>
      <c r="P83" s="15">
        <f>IFERROR(INDEX(計算用!$M$2:$M$186,MATCH("女白"&amp;$J83,計算用!$L$2:$L$186,0)),"")</f>
        <v/>
      </c>
      <c r="Q83" s="16">
        <f>IFERROR(INDEX(計算用!$G$2:$G$186,MATCH("女白"&amp;$J83,計算用!$L$2:$L$186,0)),"")</f>
        <v/>
      </c>
    </row>
    <row r="84">
      <c r="A84" s="15">
        <f>IF(ROW()-3&lt;=MAX(計算用!$Q$2,計算用!$Q$3),ROW()-3,"")</f>
        <v/>
      </c>
      <c r="B84" s="15">
        <f>IFERROR(INDEX(計算用!$D$2:$D$186,MATCH("男赤"&amp;$A84,計算用!$L$2:$L$186,0)),"")</f>
        <v/>
      </c>
      <c r="C84" s="15">
        <f>IFERROR(INDEX(計算用!$M$2:$M$186,MATCH("男赤"&amp;$A84,計算用!$L$2:$L$186,0)),"")</f>
        <v/>
      </c>
      <c r="D84" s="16">
        <f>IFERROR(INDEX(計算用!$G$2:$G$186,MATCH("男赤"&amp;$A84,計算用!$L$2:$L$186,0)),"")</f>
        <v/>
      </c>
      <c r="E84" s="15" t="n"/>
      <c r="F84" s="15">
        <f>IFERROR(INDEX(計算用!$D$2:$D$186,MATCH("男白"&amp;$A84,計算用!$L$2:$L$186,0)),"")</f>
        <v/>
      </c>
      <c r="G84" s="15">
        <f>IFERROR(INDEX(計算用!$M$2:$M$186,MATCH("男白"&amp;$A84,計算用!$L$2:$L$186,0)),"")</f>
        <v/>
      </c>
      <c r="H84" s="16">
        <f>IFERROR(INDEX(計算用!$G$2:$G$186,MATCH("男白"&amp;$A84,計算用!$L$2:$L$186,0)),"")</f>
        <v/>
      </c>
      <c r="I84" s="15" t="n"/>
      <c r="J84" s="15">
        <f>IF(ROW()-3&lt;=MAX(計算用!$Q$4,計算用!$Q$5),ROW()-3,"")</f>
        <v/>
      </c>
      <c r="K84" s="15">
        <f>IFERROR(INDEX(計算用!$D$2:$D$186,MATCH("女赤"&amp;$J84,計算用!$L$2:$L$186,0)),"")</f>
        <v/>
      </c>
      <c r="L84" s="15">
        <f>IFERROR(INDEX(計算用!$M$2:$M$186,MATCH("女赤"&amp;$J84,計算用!$L$2:$L$186,0)),"")</f>
        <v/>
      </c>
      <c r="M84" s="16">
        <f>IFERROR(INDEX(計算用!$G$2:$G$186,MATCH("女赤"&amp;$J84,計算用!$L$2:$L$186,0)),"")</f>
        <v/>
      </c>
      <c r="N84" s="15" t="n"/>
      <c r="O84" s="15">
        <f>IFERROR(INDEX(計算用!$D$2:$D$186,MATCH("女白"&amp;$J84,計算用!$L$2:$L$186,0)),"")</f>
        <v/>
      </c>
      <c r="P84" s="15">
        <f>IFERROR(INDEX(計算用!$M$2:$M$186,MATCH("女白"&amp;$J84,計算用!$L$2:$L$186,0)),"")</f>
        <v/>
      </c>
      <c r="Q84" s="16">
        <f>IFERROR(INDEX(計算用!$G$2:$G$186,MATCH("女白"&amp;$J84,計算用!$L$2:$L$186,0)),"")</f>
        <v/>
      </c>
    </row>
    <row r="85">
      <c r="A85" s="15">
        <f>IF(ROW()-3&lt;=MAX(計算用!$Q$2,計算用!$Q$3),ROW()-3,"")</f>
        <v/>
      </c>
      <c r="B85" s="15">
        <f>IFERROR(INDEX(計算用!$D$2:$D$186,MATCH("男赤"&amp;$A85,計算用!$L$2:$L$186,0)),"")</f>
        <v/>
      </c>
      <c r="C85" s="15">
        <f>IFERROR(INDEX(計算用!$M$2:$M$186,MATCH("男赤"&amp;$A85,計算用!$L$2:$L$186,0)),"")</f>
        <v/>
      </c>
      <c r="D85" s="16">
        <f>IFERROR(INDEX(計算用!$G$2:$G$186,MATCH("男赤"&amp;$A85,計算用!$L$2:$L$186,0)),"")</f>
        <v/>
      </c>
      <c r="E85" s="15" t="n"/>
      <c r="F85" s="15">
        <f>IFERROR(INDEX(計算用!$D$2:$D$186,MATCH("男白"&amp;$A85,計算用!$L$2:$L$186,0)),"")</f>
        <v/>
      </c>
      <c r="G85" s="15">
        <f>IFERROR(INDEX(計算用!$M$2:$M$186,MATCH("男白"&amp;$A85,計算用!$L$2:$L$186,0)),"")</f>
        <v/>
      </c>
      <c r="H85" s="16">
        <f>IFERROR(INDEX(計算用!$G$2:$G$186,MATCH("男白"&amp;$A85,計算用!$L$2:$L$186,0)),"")</f>
        <v/>
      </c>
      <c r="I85" s="15" t="n"/>
      <c r="J85" s="15">
        <f>IF(ROW()-3&lt;=MAX(計算用!$Q$4,計算用!$Q$5),ROW()-3,"")</f>
        <v/>
      </c>
      <c r="K85" s="15">
        <f>IFERROR(INDEX(計算用!$D$2:$D$186,MATCH("女赤"&amp;$J85,計算用!$L$2:$L$186,0)),"")</f>
        <v/>
      </c>
      <c r="L85" s="15">
        <f>IFERROR(INDEX(計算用!$M$2:$M$186,MATCH("女赤"&amp;$J85,計算用!$L$2:$L$186,0)),"")</f>
        <v/>
      </c>
      <c r="M85" s="16">
        <f>IFERROR(INDEX(計算用!$G$2:$G$186,MATCH("女赤"&amp;$J85,計算用!$L$2:$L$186,0)),"")</f>
        <v/>
      </c>
      <c r="N85" s="15" t="n"/>
      <c r="O85" s="15">
        <f>IFERROR(INDEX(計算用!$D$2:$D$186,MATCH("女白"&amp;$J85,計算用!$L$2:$L$186,0)),"")</f>
        <v/>
      </c>
      <c r="P85" s="15">
        <f>IFERROR(INDEX(計算用!$M$2:$M$186,MATCH("女白"&amp;$J85,計算用!$L$2:$L$186,0)),"")</f>
        <v/>
      </c>
      <c r="Q85" s="16">
        <f>IFERROR(INDEX(計算用!$G$2:$G$186,MATCH("女白"&amp;$J85,計算用!$L$2:$L$186,0)),"")</f>
        <v/>
      </c>
    </row>
    <row r="86">
      <c r="A86" s="15">
        <f>IF(ROW()-3&lt;=MAX(計算用!$Q$2,計算用!$Q$3),ROW()-3,"")</f>
        <v/>
      </c>
      <c r="B86" s="15">
        <f>IFERROR(INDEX(計算用!$D$2:$D$186,MATCH("男赤"&amp;$A86,計算用!$L$2:$L$186,0)),"")</f>
        <v/>
      </c>
      <c r="C86" s="15">
        <f>IFERROR(INDEX(計算用!$M$2:$M$186,MATCH("男赤"&amp;$A86,計算用!$L$2:$L$186,0)),"")</f>
        <v/>
      </c>
      <c r="D86" s="16">
        <f>IFERROR(INDEX(計算用!$G$2:$G$186,MATCH("男赤"&amp;$A86,計算用!$L$2:$L$186,0)),"")</f>
        <v/>
      </c>
      <c r="E86" s="15" t="n"/>
      <c r="F86" s="15">
        <f>IFERROR(INDEX(計算用!$D$2:$D$186,MATCH("男白"&amp;$A86,計算用!$L$2:$L$186,0)),"")</f>
        <v/>
      </c>
      <c r="G86" s="15">
        <f>IFERROR(INDEX(計算用!$M$2:$M$186,MATCH("男白"&amp;$A86,計算用!$L$2:$L$186,0)),"")</f>
        <v/>
      </c>
      <c r="H86" s="16">
        <f>IFERROR(INDEX(計算用!$G$2:$G$186,MATCH("男白"&amp;$A86,計算用!$L$2:$L$186,0)),"")</f>
        <v/>
      </c>
      <c r="I86" s="15" t="n"/>
      <c r="J86" s="15">
        <f>IF(ROW()-3&lt;=MAX(計算用!$Q$4,計算用!$Q$5),ROW()-3,"")</f>
        <v/>
      </c>
      <c r="K86" s="15">
        <f>IFERROR(INDEX(計算用!$D$2:$D$186,MATCH("女赤"&amp;$J86,計算用!$L$2:$L$186,0)),"")</f>
        <v/>
      </c>
      <c r="L86" s="15">
        <f>IFERROR(INDEX(計算用!$M$2:$M$186,MATCH("女赤"&amp;$J86,計算用!$L$2:$L$186,0)),"")</f>
        <v/>
      </c>
      <c r="M86" s="16">
        <f>IFERROR(INDEX(計算用!$G$2:$G$186,MATCH("女赤"&amp;$J86,計算用!$L$2:$L$186,0)),"")</f>
        <v/>
      </c>
      <c r="N86" s="15" t="n"/>
      <c r="O86" s="15">
        <f>IFERROR(INDEX(計算用!$D$2:$D$186,MATCH("女白"&amp;$J86,計算用!$L$2:$L$186,0)),"")</f>
        <v/>
      </c>
      <c r="P86" s="15">
        <f>IFERROR(INDEX(計算用!$M$2:$M$186,MATCH("女白"&amp;$J86,計算用!$L$2:$L$186,0)),"")</f>
        <v/>
      </c>
      <c r="Q86" s="16">
        <f>IFERROR(INDEX(計算用!$G$2:$G$186,MATCH("女白"&amp;$J86,計算用!$L$2:$L$186,0)),"")</f>
        <v/>
      </c>
    </row>
    <row r="87">
      <c r="A87" s="15">
        <f>IF(ROW()-3&lt;=MAX(計算用!$Q$2,計算用!$Q$3),ROW()-3,"")</f>
        <v/>
      </c>
      <c r="B87" s="15">
        <f>IFERROR(INDEX(計算用!$D$2:$D$186,MATCH("男赤"&amp;$A87,計算用!$L$2:$L$186,0)),"")</f>
        <v/>
      </c>
      <c r="C87" s="15">
        <f>IFERROR(INDEX(計算用!$M$2:$M$186,MATCH("男赤"&amp;$A87,計算用!$L$2:$L$186,0)),"")</f>
        <v/>
      </c>
      <c r="D87" s="16">
        <f>IFERROR(INDEX(計算用!$G$2:$G$186,MATCH("男赤"&amp;$A87,計算用!$L$2:$L$186,0)),"")</f>
        <v/>
      </c>
      <c r="E87" s="15" t="n"/>
      <c r="F87" s="15">
        <f>IFERROR(INDEX(計算用!$D$2:$D$186,MATCH("男白"&amp;$A87,計算用!$L$2:$L$186,0)),"")</f>
        <v/>
      </c>
      <c r="G87" s="15">
        <f>IFERROR(INDEX(計算用!$M$2:$M$186,MATCH("男白"&amp;$A87,計算用!$L$2:$L$186,0)),"")</f>
        <v/>
      </c>
      <c r="H87" s="16">
        <f>IFERROR(INDEX(計算用!$G$2:$G$186,MATCH("男白"&amp;$A87,計算用!$L$2:$L$186,0)),"")</f>
        <v/>
      </c>
      <c r="I87" s="15" t="n"/>
      <c r="J87" s="15">
        <f>IF(ROW()-3&lt;=MAX(計算用!$Q$4,計算用!$Q$5),ROW()-3,"")</f>
        <v/>
      </c>
      <c r="K87" s="15">
        <f>IFERROR(INDEX(計算用!$D$2:$D$186,MATCH("女赤"&amp;$J87,計算用!$L$2:$L$186,0)),"")</f>
        <v/>
      </c>
      <c r="L87" s="15">
        <f>IFERROR(INDEX(計算用!$M$2:$M$186,MATCH("女赤"&amp;$J87,計算用!$L$2:$L$186,0)),"")</f>
        <v/>
      </c>
      <c r="M87" s="16">
        <f>IFERROR(INDEX(計算用!$G$2:$G$186,MATCH("女赤"&amp;$J87,計算用!$L$2:$L$186,0)),"")</f>
        <v/>
      </c>
      <c r="N87" s="15" t="n"/>
      <c r="O87" s="15">
        <f>IFERROR(INDEX(計算用!$D$2:$D$186,MATCH("女白"&amp;$J87,計算用!$L$2:$L$186,0)),"")</f>
        <v/>
      </c>
      <c r="P87" s="15">
        <f>IFERROR(INDEX(計算用!$M$2:$M$186,MATCH("女白"&amp;$J87,計算用!$L$2:$L$186,0)),"")</f>
        <v/>
      </c>
      <c r="Q87" s="16">
        <f>IFERROR(INDEX(計算用!$G$2:$G$186,MATCH("女白"&amp;$J87,計算用!$L$2:$L$186,0)),"")</f>
        <v/>
      </c>
    </row>
    <row r="88">
      <c r="A88" s="15">
        <f>IF(ROW()-3&lt;=MAX(計算用!$Q$2,計算用!$Q$3),ROW()-3,"")</f>
        <v/>
      </c>
      <c r="B88" s="15">
        <f>IFERROR(INDEX(計算用!$D$2:$D$186,MATCH("男赤"&amp;$A88,計算用!$L$2:$L$186,0)),"")</f>
        <v/>
      </c>
      <c r="C88" s="15">
        <f>IFERROR(INDEX(計算用!$M$2:$M$186,MATCH("男赤"&amp;$A88,計算用!$L$2:$L$186,0)),"")</f>
        <v/>
      </c>
      <c r="D88" s="16">
        <f>IFERROR(INDEX(計算用!$G$2:$G$186,MATCH("男赤"&amp;$A88,計算用!$L$2:$L$186,0)),"")</f>
        <v/>
      </c>
      <c r="E88" s="15" t="n"/>
      <c r="F88" s="15">
        <f>IFERROR(INDEX(計算用!$D$2:$D$186,MATCH("男白"&amp;$A88,計算用!$L$2:$L$186,0)),"")</f>
        <v/>
      </c>
      <c r="G88" s="15">
        <f>IFERROR(INDEX(計算用!$M$2:$M$186,MATCH("男白"&amp;$A88,計算用!$L$2:$L$186,0)),"")</f>
        <v/>
      </c>
      <c r="H88" s="16">
        <f>IFERROR(INDEX(計算用!$G$2:$G$186,MATCH("男白"&amp;$A88,計算用!$L$2:$L$186,0)),"")</f>
        <v/>
      </c>
      <c r="I88" s="15" t="n"/>
      <c r="J88" s="15">
        <f>IF(ROW()-3&lt;=MAX(計算用!$Q$4,計算用!$Q$5),ROW()-3,"")</f>
        <v/>
      </c>
      <c r="K88" s="15">
        <f>IFERROR(INDEX(計算用!$D$2:$D$186,MATCH("女赤"&amp;$J88,計算用!$L$2:$L$186,0)),"")</f>
        <v/>
      </c>
      <c r="L88" s="15">
        <f>IFERROR(INDEX(計算用!$M$2:$M$186,MATCH("女赤"&amp;$J88,計算用!$L$2:$L$186,0)),"")</f>
        <v/>
      </c>
      <c r="M88" s="16">
        <f>IFERROR(INDEX(計算用!$G$2:$G$186,MATCH("女赤"&amp;$J88,計算用!$L$2:$L$186,0)),"")</f>
        <v/>
      </c>
      <c r="N88" s="15" t="n"/>
      <c r="O88" s="15">
        <f>IFERROR(INDEX(計算用!$D$2:$D$186,MATCH("女白"&amp;$J88,計算用!$L$2:$L$186,0)),"")</f>
        <v/>
      </c>
      <c r="P88" s="15">
        <f>IFERROR(INDEX(計算用!$M$2:$M$186,MATCH("女白"&amp;$J88,計算用!$L$2:$L$186,0)),"")</f>
        <v/>
      </c>
      <c r="Q88" s="16">
        <f>IFERROR(INDEX(計算用!$G$2:$G$186,MATCH("女白"&amp;$J88,計算用!$L$2:$L$186,0)),"")</f>
        <v/>
      </c>
    </row>
    <row r="89">
      <c r="A89" s="15">
        <f>IF(ROW()-3&lt;=MAX(計算用!$Q$2,計算用!$Q$3),ROW()-3,"")</f>
        <v/>
      </c>
      <c r="B89" s="15">
        <f>IFERROR(INDEX(計算用!$D$2:$D$186,MATCH("男赤"&amp;$A89,計算用!$L$2:$L$186,0)),"")</f>
        <v/>
      </c>
      <c r="C89" s="15">
        <f>IFERROR(INDEX(計算用!$M$2:$M$186,MATCH("男赤"&amp;$A89,計算用!$L$2:$L$186,0)),"")</f>
        <v/>
      </c>
      <c r="D89" s="16">
        <f>IFERROR(INDEX(計算用!$G$2:$G$186,MATCH("男赤"&amp;$A89,計算用!$L$2:$L$186,0)),"")</f>
        <v/>
      </c>
      <c r="E89" s="15" t="n"/>
      <c r="F89" s="15">
        <f>IFERROR(INDEX(計算用!$D$2:$D$186,MATCH("男白"&amp;$A89,計算用!$L$2:$L$186,0)),"")</f>
        <v/>
      </c>
      <c r="G89" s="15">
        <f>IFERROR(INDEX(計算用!$M$2:$M$186,MATCH("男白"&amp;$A89,計算用!$L$2:$L$186,0)),"")</f>
        <v/>
      </c>
      <c r="H89" s="16">
        <f>IFERROR(INDEX(計算用!$G$2:$G$186,MATCH("男白"&amp;$A89,計算用!$L$2:$L$186,0)),"")</f>
        <v/>
      </c>
      <c r="I89" s="15" t="n"/>
      <c r="J89" s="15">
        <f>IF(ROW()-3&lt;=MAX(計算用!$Q$4,計算用!$Q$5),ROW()-3,"")</f>
        <v/>
      </c>
      <c r="K89" s="15">
        <f>IFERROR(INDEX(計算用!$D$2:$D$186,MATCH("女赤"&amp;$J89,計算用!$L$2:$L$186,0)),"")</f>
        <v/>
      </c>
      <c r="L89" s="15">
        <f>IFERROR(INDEX(計算用!$M$2:$M$186,MATCH("女赤"&amp;$J89,計算用!$L$2:$L$186,0)),"")</f>
        <v/>
      </c>
      <c r="M89" s="16">
        <f>IFERROR(INDEX(計算用!$G$2:$G$186,MATCH("女赤"&amp;$J89,計算用!$L$2:$L$186,0)),"")</f>
        <v/>
      </c>
      <c r="N89" s="15" t="n"/>
      <c r="O89" s="15">
        <f>IFERROR(INDEX(計算用!$D$2:$D$186,MATCH("女白"&amp;$J89,計算用!$L$2:$L$186,0)),"")</f>
        <v/>
      </c>
      <c r="P89" s="15">
        <f>IFERROR(INDEX(計算用!$M$2:$M$186,MATCH("女白"&amp;$J89,計算用!$L$2:$L$186,0)),"")</f>
        <v/>
      </c>
      <c r="Q89" s="16">
        <f>IFERROR(INDEX(計算用!$G$2:$G$186,MATCH("女白"&amp;$J89,計算用!$L$2:$L$186,0)),"")</f>
        <v/>
      </c>
    </row>
    <row r="90">
      <c r="A90" s="15">
        <f>IF(ROW()-3&lt;=MAX(計算用!$Q$2,計算用!$Q$3),ROW()-3,"")</f>
        <v/>
      </c>
      <c r="B90" s="15">
        <f>IFERROR(INDEX(計算用!$D$2:$D$186,MATCH("男赤"&amp;$A90,計算用!$L$2:$L$186,0)),"")</f>
        <v/>
      </c>
      <c r="C90" s="15">
        <f>IFERROR(INDEX(計算用!$M$2:$M$186,MATCH("男赤"&amp;$A90,計算用!$L$2:$L$186,0)),"")</f>
        <v/>
      </c>
      <c r="D90" s="16">
        <f>IFERROR(INDEX(計算用!$G$2:$G$186,MATCH("男赤"&amp;$A90,計算用!$L$2:$L$186,0)),"")</f>
        <v/>
      </c>
      <c r="E90" s="15" t="n"/>
      <c r="F90" s="15">
        <f>IFERROR(INDEX(計算用!$D$2:$D$186,MATCH("男白"&amp;$A90,計算用!$L$2:$L$186,0)),"")</f>
        <v/>
      </c>
      <c r="G90" s="15">
        <f>IFERROR(INDEX(計算用!$M$2:$M$186,MATCH("男白"&amp;$A90,計算用!$L$2:$L$186,0)),"")</f>
        <v/>
      </c>
      <c r="H90" s="16">
        <f>IFERROR(INDEX(計算用!$G$2:$G$186,MATCH("男白"&amp;$A90,計算用!$L$2:$L$186,0)),"")</f>
        <v/>
      </c>
      <c r="I90" s="15" t="n"/>
      <c r="J90" s="15">
        <f>IF(ROW()-3&lt;=MAX(計算用!$Q$4,計算用!$Q$5),ROW()-3,"")</f>
        <v/>
      </c>
      <c r="K90" s="15">
        <f>IFERROR(INDEX(計算用!$D$2:$D$186,MATCH("女赤"&amp;$J90,計算用!$L$2:$L$186,0)),"")</f>
        <v/>
      </c>
      <c r="L90" s="15">
        <f>IFERROR(INDEX(計算用!$M$2:$M$186,MATCH("女赤"&amp;$J90,計算用!$L$2:$L$186,0)),"")</f>
        <v/>
      </c>
      <c r="M90" s="16">
        <f>IFERROR(INDEX(計算用!$G$2:$G$186,MATCH("女赤"&amp;$J90,計算用!$L$2:$L$186,0)),"")</f>
        <v/>
      </c>
      <c r="N90" s="15" t="n"/>
      <c r="O90" s="15">
        <f>IFERROR(INDEX(計算用!$D$2:$D$186,MATCH("女白"&amp;$J90,計算用!$L$2:$L$186,0)),"")</f>
        <v/>
      </c>
      <c r="P90" s="15">
        <f>IFERROR(INDEX(計算用!$M$2:$M$186,MATCH("女白"&amp;$J90,計算用!$L$2:$L$186,0)),"")</f>
        <v/>
      </c>
      <c r="Q90" s="16">
        <f>IFERROR(INDEX(計算用!$G$2:$G$186,MATCH("女白"&amp;$J90,計算用!$L$2:$L$186,0)),"")</f>
        <v/>
      </c>
    </row>
    <row r="91">
      <c r="A91" s="15">
        <f>IF(ROW()-3&lt;=MAX(計算用!$Q$2,計算用!$Q$3),ROW()-3,"")</f>
        <v/>
      </c>
      <c r="B91" s="15">
        <f>IFERROR(INDEX(計算用!$D$2:$D$186,MATCH("男赤"&amp;$A91,計算用!$L$2:$L$186,0)),"")</f>
        <v/>
      </c>
      <c r="C91" s="15">
        <f>IFERROR(INDEX(計算用!$M$2:$M$186,MATCH("男赤"&amp;$A91,計算用!$L$2:$L$186,0)),"")</f>
        <v/>
      </c>
      <c r="D91" s="16">
        <f>IFERROR(INDEX(計算用!$G$2:$G$186,MATCH("男赤"&amp;$A91,計算用!$L$2:$L$186,0)),"")</f>
        <v/>
      </c>
      <c r="E91" s="15" t="n"/>
      <c r="F91" s="15">
        <f>IFERROR(INDEX(計算用!$D$2:$D$186,MATCH("男白"&amp;$A91,計算用!$L$2:$L$186,0)),"")</f>
        <v/>
      </c>
      <c r="G91" s="15">
        <f>IFERROR(INDEX(計算用!$M$2:$M$186,MATCH("男白"&amp;$A91,計算用!$L$2:$L$186,0)),"")</f>
        <v/>
      </c>
      <c r="H91" s="16">
        <f>IFERROR(INDEX(計算用!$G$2:$G$186,MATCH("男白"&amp;$A91,計算用!$L$2:$L$186,0)),"")</f>
        <v/>
      </c>
      <c r="I91" s="15" t="n"/>
      <c r="J91" s="15">
        <f>IF(ROW()-3&lt;=MAX(計算用!$Q$4,計算用!$Q$5),ROW()-3,"")</f>
        <v/>
      </c>
      <c r="K91" s="15">
        <f>IFERROR(INDEX(計算用!$D$2:$D$186,MATCH("女赤"&amp;$J91,計算用!$L$2:$L$186,0)),"")</f>
        <v/>
      </c>
      <c r="L91" s="15">
        <f>IFERROR(INDEX(計算用!$M$2:$M$186,MATCH("女赤"&amp;$J91,計算用!$L$2:$L$186,0)),"")</f>
        <v/>
      </c>
      <c r="M91" s="16">
        <f>IFERROR(INDEX(計算用!$G$2:$G$186,MATCH("女赤"&amp;$J91,計算用!$L$2:$L$186,0)),"")</f>
        <v/>
      </c>
      <c r="N91" s="15" t="n"/>
      <c r="O91" s="15">
        <f>IFERROR(INDEX(計算用!$D$2:$D$186,MATCH("女白"&amp;$J91,計算用!$L$2:$L$186,0)),"")</f>
        <v/>
      </c>
      <c r="P91" s="15">
        <f>IFERROR(INDEX(計算用!$M$2:$M$186,MATCH("女白"&amp;$J91,計算用!$L$2:$L$186,0)),"")</f>
        <v/>
      </c>
      <c r="Q91" s="16">
        <f>IFERROR(INDEX(計算用!$G$2:$G$186,MATCH("女白"&amp;$J91,計算用!$L$2:$L$186,0)),"")</f>
        <v/>
      </c>
    </row>
    <row r="92">
      <c r="A92" s="15">
        <f>IF(ROW()-3&lt;=MAX(計算用!$Q$2,計算用!$Q$3),ROW()-3,"")</f>
        <v/>
      </c>
      <c r="B92" s="15">
        <f>IFERROR(INDEX(計算用!$D$2:$D$186,MATCH("男赤"&amp;$A92,計算用!$L$2:$L$186,0)),"")</f>
        <v/>
      </c>
      <c r="C92" s="15">
        <f>IFERROR(INDEX(計算用!$M$2:$M$186,MATCH("男赤"&amp;$A92,計算用!$L$2:$L$186,0)),"")</f>
        <v/>
      </c>
      <c r="D92" s="16">
        <f>IFERROR(INDEX(計算用!$G$2:$G$186,MATCH("男赤"&amp;$A92,計算用!$L$2:$L$186,0)),"")</f>
        <v/>
      </c>
      <c r="E92" s="15" t="n"/>
      <c r="F92" s="15">
        <f>IFERROR(INDEX(計算用!$D$2:$D$186,MATCH("男白"&amp;$A92,計算用!$L$2:$L$186,0)),"")</f>
        <v/>
      </c>
      <c r="G92" s="15">
        <f>IFERROR(INDEX(計算用!$M$2:$M$186,MATCH("男白"&amp;$A92,計算用!$L$2:$L$186,0)),"")</f>
        <v/>
      </c>
      <c r="H92" s="16">
        <f>IFERROR(INDEX(計算用!$G$2:$G$186,MATCH("男白"&amp;$A92,計算用!$L$2:$L$186,0)),"")</f>
        <v/>
      </c>
      <c r="I92" s="15" t="n"/>
      <c r="J92" s="15">
        <f>IF(ROW()-3&lt;=MAX(計算用!$Q$4,計算用!$Q$5),ROW()-3,"")</f>
        <v/>
      </c>
      <c r="K92" s="15">
        <f>IFERROR(INDEX(計算用!$D$2:$D$186,MATCH("女赤"&amp;$J92,計算用!$L$2:$L$186,0)),"")</f>
        <v/>
      </c>
      <c r="L92" s="15">
        <f>IFERROR(INDEX(計算用!$M$2:$M$186,MATCH("女赤"&amp;$J92,計算用!$L$2:$L$186,0)),"")</f>
        <v/>
      </c>
      <c r="M92" s="16">
        <f>IFERROR(INDEX(計算用!$G$2:$G$186,MATCH("女赤"&amp;$J92,計算用!$L$2:$L$186,0)),"")</f>
        <v/>
      </c>
      <c r="N92" s="15" t="n"/>
      <c r="O92" s="15">
        <f>IFERROR(INDEX(計算用!$D$2:$D$186,MATCH("女白"&amp;$J92,計算用!$L$2:$L$186,0)),"")</f>
        <v/>
      </c>
      <c r="P92" s="15">
        <f>IFERROR(INDEX(計算用!$M$2:$M$186,MATCH("女白"&amp;$J92,計算用!$L$2:$L$186,0)),"")</f>
        <v/>
      </c>
      <c r="Q92" s="16">
        <f>IFERROR(INDEX(計算用!$G$2:$G$186,MATCH("女白"&amp;$J92,計算用!$L$2:$L$186,0)),"")</f>
        <v/>
      </c>
    </row>
    <row r="93">
      <c r="A93" s="15">
        <f>IF(ROW()-3&lt;=MAX(計算用!$Q$2,計算用!$Q$3),ROW()-3,"")</f>
        <v/>
      </c>
      <c r="B93" s="15">
        <f>IFERROR(INDEX(計算用!$D$2:$D$186,MATCH("男赤"&amp;$A93,計算用!$L$2:$L$186,0)),"")</f>
        <v/>
      </c>
      <c r="C93" s="15">
        <f>IFERROR(INDEX(計算用!$M$2:$M$186,MATCH("男赤"&amp;$A93,計算用!$L$2:$L$186,0)),"")</f>
        <v/>
      </c>
      <c r="D93" s="16">
        <f>IFERROR(INDEX(計算用!$G$2:$G$186,MATCH("男赤"&amp;$A93,計算用!$L$2:$L$186,0)),"")</f>
        <v/>
      </c>
      <c r="E93" s="15" t="n"/>
      <c r="F93" s="15">
        <f>IFERROR(INDEX(計算用!$D$2:$D$186,MATCH("男白"&amp;$A93,計算用!$L$2:$L$186,0)),"")</f>
        <v/>
      </c>
      <c r="G93" s="15">
        <f>IFERROR(INDEX(計算用!$M$2:$M$186,MATCH("男白"&amp;$A93,計算用!$L$2:$L$186,0)),"")</f>
        <v/>
      </c>
      <c r="H93" s="16">
        <f>IFERROR(INDEX(計算用!$G$2:$G$186,MATCH("男白"&amp;$A93,計算用!$L$2:$L$186,0)),"")</f>
        <v/>
      </c>
      <c r="I93" s="15" t="n"/>
      <c r="J93" s="15">
        <f>IF(ROW()-3&lt;=MAX(計算用!$Q$4,計算用!$Q$5),ROW()-3,"")</f>
        <v/>
      </c>
      <c r="K93" s="15">
        <f>IFERROR(INDEX(計算用!$D$2:$D$186,MATCH("女赤"&amp;$J93,計算用!$L$2:$L$186,0)),"")</f>
        <v/>
      </c>
      <c r="L93" s="15">
        <f>IFERROR(INDEX(計算用!$M$2:$M$186,MATCH("女赤"&amp;$J93,計算用!$L$2:$L$186,0)),"")</f>
        <v/>
      </c>
      <c r="M93" s="16">
        <f>IFERROR(INDEX(計算用!$G$2:$G$186,MATCH("女赤"&amp;$J93,計算用!$L$2:$L$186,0)),"")</f>
        <v/>
      </c>
      <c r="N93" s="15" t="n"/>
      <c r="O93" s="15">
        <f>IFERROR(INDEX(計算用!$D$2:$D$186,MATCH("女白"&amp;$J93,計算用!$L$2:$L$186,0)),"")</f>
        <v/>
      </c>
      <c r="P93" s="15">
        <f>IFERROR(INDEX(計算用!$M$2:$M$186,MATCH("女白"&amp;$J93,計算用!$L$2:$L$186,0)),"")</f>
        <v/>
      </c>
      <c r="Q93" s="16">
        <f>IFERROR(INDEX(計算用!$G$2:$G$186,MATCH("女白"&amp;$J93,計算用!$L$2:$L$186,0)),"")</f>
        <v/>
      </c>
    </row>
    <row r="94">
      <c r="A94" s="15">
        <f>IF(ROW()-3&lt;=MAX(計算用!$Q$2,計算用!$Q$3),ROW()-3,"")</f>
        <v/>
      </c>
      <c r="B94" s="15">
        <f>IFERROR(INDEX(計算用!$D$2:$D$186,MATCH("男赤"&amp;$A94,計算用!$L$2:$L$186,0)),"")</f>
        <v/>
      </c>
      <c r="C94" s="15">
        <f>IFERROR(INDEX(計算用!$M$2:$M$186,MATCH("男赤"&amp;$A94,計算用!$L$2:$L$186,0)),"")</f>
        <v/>
      </c>
      <c r="D94" s="16">
        <f>IFERROR(INDEX(計算用!$G$2:$G$186,MATCH("男赤"&amp;$A94,計算用!$L$2:$L$186,0)),"")</f>
        <v/>
      </c>
      <c r="E94" s="15" t="n"/>
      <c r="F94" s="15">
        <f>IFERROR(INDEX(計算用!$D$2:$D$186,MATCH("男白"&amp;$A94,計算用!$L$2:$L$186,0)),"")</f>
        <v/>
      </c>
      <c r="G94" s="15">
        <f>IFERROR(INDEX(計算用!$M$2:$M$186,MATCH("男白"&amp;$A94,計算用!$L$2:$L$186,0)),"")</f>
        <v/>
      </c>
      <c r="H94" s="16">
        <f>IFERROR(INDEX(計算用!$G$2:$G$186,MATCH("男白"&amp;$A94,計算用!$L$2:$L$186,0)),"")</f>
        <v/>
      </c>
      <c r="I94" s="15" t="n"/>
      <c r="J94" s="15">
        <f>IF(ROW()-3&lt;=MAX(計算用!$Q$4,計算用!$Q$5),ROW()-3,"")</f>
        <v/>
      </c>
      <c r="K94" s="15">
        <f>IFERROR(INDEX(計算用!$D$2:$D$186,MATCH("女赤"&amp;$J94,計算用!$L$2:$L$186,0)),"")</f>
        <v/>
      </c>
      <c r="L94" s="15">
        <f>IFERROR(INDEX(計算用!$M$2:$M$186,MATCH("女赤"&amp;$J94,計算用!$L$2:$L$186,0)),"")</f>
        <v/>
      </c>
      <c r="M94" s="16">
        <f>IFERROR(INDEX(計算用!$G$2:$G$186,MATCH("女赤"&amp;$J94,計算用!$L$2:$L$186,0)),"")</f>
        <v/>
      </c>
      <c r="N94" s="15" t="n"/>
      <c r="O94" s="15">
        <f>IFERROR(INDEX(計算用!$D$2:$D$186,MATCH("女白"&amp;$J94,計算用!$L$2:$L$186,0)),"")</f>
        <v/>
      </c>
      <c r="P94" s="15">
        <f>IFERROR(INDEX(計算用!$M$2:$M$186,MATCH("女白"&amp;$J94,計算用!$L$2:$L$186,0)),"")</f>
        <v/>
      </c>
      <c r="Q94" s="16">
        <f>IFERROR(INDEX(計算用!$G$2:$G$186,MATCH("女白"&amp;$J94,計算用!$L$2:$L$186,0)),"")</f>
        <v/>
      </c>
    </row>
    <row r="95">
      <c r="A95" s="15">
        <f>IF(ROW()-3&lt;=MAX(計算用!$Q$2,計算用!$Q$3),ROW()-3,"")</f>
        <v/>
      </c>
      <c r="B95" s="15">
        <f>IFERROR(INDEX(計算用!$D$2:$D$186,MATCH("男赤"&amp;$A95,計算用!$L$2:$L$186,0)),"")</f>
        <v/>
      </c>
      <c r="C95" s="15">
        <f>IFERROR(INDEX(計算用!$M$2:$M$186,MATCH("男赤"&amp;$A95,計算用!$L$2:$L$186,0)),"")</f>
        <v/>
      </c>
      <c r="D95" s="16">
        <f>IFERROR(INDEX(計算用!$G$2:$G$186,MATCH("男赤"&amp;$A95,計算用!$L$2:$L$186,0)),"")</f>
        <v/>
      </c>
      <c r="E95" s="15" t="n"/>
      <c r="F95" s="15">
        <f>IFERROR(INDEX(計算用!$D$2:$D$186,MATCH("男白"&amp;$A95,計算用!$L$2:$L$186,0)),"")</f>
        <v/>
      </c>
      <c r="G95" s="15">
        <f>IFERROR(INDEX(計算用!$M$2:$M$186,MATCH("男白"&amp;$A95,計算用!$L$2:$L$186,0)),"")</f>
        <v/>
      </c>
      <c r="H95" s="16">
        <f>IFERROR(INDEX(計算用!$G$2:$G$186,MATCH("男白"&amp;$A95,計算用!$L$2:$L$186,0)),"")</f>
        <v/>
      </c>
      <c r="I95" s="15" t="n"/>
      <c r="J95" s="15">
        <f>IF(ROW()-3&lt;=MAX(計算用!$Q$4,計算用!$Q$5),ROW()-3,"")</f>
        <v/>
      </c>
      <c r="K95" s="15">
        <f>IFERROR(INDEX(計算用!$D$2:$D$186,MATCH("女赤"&amp;$J95,計算用!$L$2:$L$186,0)),"")</f>
        <v/>
      </c>
      <c r="L95" s="15">
        <f>IFERROR(INDEX(計算用!$M$2:$M$186,MATCH("女赤"&amp;$J95,計算用!$L$2:$L$186,0)),"")</f>
        <v/>
      </c>
      <c r="M95" s="16">
        <f>IFERROR(INDEX(計算用!$G$2:$G$186,MATCH("女赤"&amp;$J95,計算用!$L$2:$L$186,0)),"")</f>
        <v/>
      </c>
      <c r="N95" s="15" t="n"/>
      <c r="O95" s="15">
        <f>IFERROR(INDEX(計算用!$D$2:$D$186,MATCH("女白"&amp;$J95,計算用!$L$2:$L$186,0)),"")</f>
        <v/>
      </c>
      <c r="P95" s="15">
        <f>IFERROR(INDEX(計算用!$M$2:$M$186,MATCH("女白"&amp;$J95,計算用!$L$2:$L$186,0)),"")</f>
        <v/>
      </c>
      <c r="Q95" s="16">
        <f>IFERROR(INDEX(計算用!$G$2:$G$186,MATCH("女白"&amp;$J95,計算用!$L$2:$L$186,0)),"")</f>
        <v/>
      </c>
    </row>
    <row r="96">
      <c r="A96" s="15">
        <f>IF(ROW()-3&lt;=MAX(計算用!$Q$2,計算用!$Q$3),ROW()-3,"")</f>
        <v/>
      </c>
      <c r="B96" s="15">
        <f>IFERROR(INDEX(計算用!$D$2:$D$186,MATCH("男赤"&amp;$A96,計算用!$L$2:$L$186,0)),"")</f>
        <v/>
      </c>
      <c r="C96" s="15">
        <f>IFERROR(INDEX(計算用!$M$2:$M$186,MATCH("男赤"&amp;$A96,計算用!$L$2:$L$186,0)),"")</f>
        <v/>
      </c>
      <c r="D96" s="16">
        <f>IFERROR(INDEX(計算用!$G$2:$G$186,MATCH("男赤"&amp;$A96,計算用!$L$2:$L$186,0)),"")</f>
        <v/>
      </c>
      <c r="E96" s="15" t="n"/>
      <c r="F96" s="15">
        <f>IFERROR(INDEX(計算用!$D$2:$D$186,MATCH("男白"&amp;$A96,計算用!$L$2:$L$186,0)),"")</f>
        <v/>
      </c>
      <c r="G96" s="15">
        <f>IFERROR(INDEX(計算用!$M$2:$M$186,MATCH("男白"&amp;$A96,計算用!$L$2:$L$186,0)),"")</f>
        <v/>
      </c>
      <c r="H96" s="16">
        <f>IFERROR(INDEX(計算用!$G$2:$G$186,MATCH("男白"&amp;$A96,計算用!$L$2:$L$186,0)),"")</f>
        <v/>
      </c>
      <c r="I96" s="15" t="n"/>
      <c r="J96" s="15">
        <f>IF(ROW()-3&lt;=MAX(計算用!$Q$4,計算用!$Q$5),ROW()-3,"")</f>
        <v/>
      </c>
      <c r="K96" s="15">
        <f>IFERROR(INDEX(計算用!$D$2:$D$186,MATCH("女赤"&amp;$J96,計算用!$L$2:$L$186,0)),"")</f>
        <v/>
      </c>
      <c r="L96" s="15">
        <f>IFERROR(INDEX(計算用!$M$2:$M$186,MATCH("女赤"&amp;$J96,計算用!$L$2:$L$186,0)),"")</f>
        <v/>
      </c>
      <c r="M96" s="16">
        <f>IFERROR(INDEX(計算用!$G$2:$G$186,MATCH("女赤"&amp;$J96,計算用!$L$2:$L$186,0)),"")</f>
        <v/>
      </c>
      <c r="N96" s="15" t="n"/>
      <c r="O96" s="15">
        <f>IFERROR(INDEX(計算用!$D$2:$D$186,MATCH("女白"&amp;$J96,計算用!$L$2:$L$186,0)),"")</f>
        <v/>
      </c>
      <c r="P96" s="15">
        <f>IFERROR(INDEX(計算用!$M$2:$M$186,MATCH("女白"&amp;$J96,計算用!$L$2:$L$186,0)),"")</f>
        <v/>
      </c>
      <c r="Q96" s="16">
        <f>IFERROR(INDEX(計算用!$G$2:$G$186,MATCH("女白"&amp;$J96,計算用!$L$2:$L$186,0)),"")</f>
        <v/>
      </c>
    </row>
    <row r="97">
      <c r="A97" s="15">
        <f>IF(ROW()-3&lt;=MAX(計算用!$Q$2,計算用!$Q$3),ROW()-3,"")</f>
        <v/>
      </c>
      <c r="B97" s="15">
        <f>IFERROR(INDEX(計算用!$D$2:$D$186,MATCH("男赤"&amp;$A97,計算用!$L$2:$L$186,0)),"")</f>
        <v/>
      </c>
      <c r="C97" s="15">
        <f>IFERROR(INDEX(計算用!$M$2:$M$186,MATCH("男赤"&amp;$A97,計算用!$L$2:$L$186,0)),"")</f>
        <v/>
      </c>
      <c r="D97" s="16">
        <f>IFERROR(INDEX(計算用!$G$2:$G$186,MATCH("男赤"&amp;$A97,計算用!$L$2:$L$186,0)),"")</f>
        <v/>
      </c>
      <c r="E97" s="15" t="n"/>
      <c r="F97" s="15">
        <f>IFERROR(INDEX(計算用!$D$2:$D$186,MATCH("男白"&amp;$A97,計算用!$L$2:$L$186,0)),"")</f>
        <v/>
      </c>
      <c r="G97" s="15">
        <f>IFERROR(INDEX(計算用!$M$2:$M$186,MATCH("男白"&amp;$A97,計算用!$L$2:$L$186,0)),"")</f>
        <v/>
      </c>
      <c r="H97" s="16">
        <f>IFERROR(INDEX(計算用!$G$2:$G$186,MATCH("男白"&amp;$A97,計算用!$L$2:$L$186,0)),"")</f>
        <v/>
      </c>
      <c r="I97" s="15" t="n"/>
      <c r="J97" s="15">
        <f>IF(ROW()-3&lt;=MAX(計算用!$Q$4,計算用!$Q$5),ROW()-3,"")</f>
        <v/>
      </c>
      <c r="K97" s="15">
        <f>IFERROR(INDEX(計算用!$D$2:$D$186,MATCH("女赤"&amp;$J97,計算用!$L$2:$L$186,0)),"")</f>
        <v/>
      </c>
      <c r="L97" s="15">
        <f>IFERROR(INDEX(計算用!$M$2:$M$186,MATCH("女赤"&amp;$J97,計算用!$L$2:$L$186,0)),"")</f>
        <v/>
      </c>
      <c r="M97" s="16">
        <f>IFERROR(INDEX(計算用!$G$2:$G$186,MATCH("女赤"&amp;$J97,計算用!$L$2:$L$186,0)),"")</f>
        <v/>
      </c>
      <c r="N97" s="15" t="n"/>
      <c r="O97" s="15">
        <f>IFERROR(INDEX(計算用!$D$2:$D$186,MATCH("女白"&amp;$J97,計算用!$L$2:$L$186,0)),"")</f>
        <v/>
      </c>
      <c r="P97" s="15">
        <f>IFERROR(INDEX(計算用!$M$2:$M$186,MATCH("女白"&amp;$J97,計算用!$L$2:$L$186,0)),"")</f>
        <v/>
      </c>
      <c r="Q97" s="16">
        <f>IFERROR(INDEX(計算用!$G$2:$G$186,MATCH("女白"&amp;$J97,計算用!$L$2:$L$186,0)),"")</f>
        <v/>
      </c>
    </row>
    <row r="98">
      <c r="A98" s="15">
        <f>IF(ROW()-3&lt;=MAX(計算用!$Q$2,計算用!$Q$3),ROW()-3,"")</f>
        <v/>
      </c>
      <c r="B98" s="15">
        <f>IFERROR(INDEX(計算用!$D$2:$D$186,MATCH("男赤"&amp;$A98,計算用!$L$2:$L$186,0)),"")</f>
        <v/>
      </c>
      <c r="C98" s="15">
        <f>IFERROR(INDEX(計算用!$M$2:$M$186,MATCH("男赤"&amp;$A98,計算用!$L$2:$L$186,0)),"")</f>
        <v/>
      </c>
      <c r="D98" s="16">
        <f>IFERROR(INDEX(計算用!$G$2:$G$186,MATCH("男赤"&amp;$A98,計算用!$L$2:$L$186,0)),"")</f>
        <v/>
      </c>
      <c r="E98" s="15" t="n"/>
      <c r="F98" s="15">
        <f>IFERROR(INDEX(計算用!$D$2:$D$186,MATCH("男白"&amp;$A98,計算用!$L$2:$L$186,0)),"")</f>
        <v/>
      </c>
      <c r="G98" s="15">
        <f>IFERROR(INDEX(計算用!$M$2:$M$186,MATCH("男白"&amp;$A98,計算用!$L$2:$L$186,0)),"")</f>
        <v/>
      </c>
      <c r="H98" s="16">
        <f>IFERROR(INDEX(計算用!$G$2:$G$186,MATCH("男白"&amp;$A98,計算用!$L$2:$L$186,0)),"")</f>
        <v/>
      </c>
      <c r="I98" s="15" t="n"/>
      <c r="J98" s="15">
        <f>IF(ROW()-3&lt;=MAX(計算用!$Q$4,計算用!$Q$5),ROW()-3,"")</f>
        <v/>
      </c>
      <c r="K98" s="15">
        <f>IFERROR(INDEX(計算用!$D$2:$D$186,MATCH("女赤"&amp;$J98,計算用!$L$2:$L$186,0)),"")</f>
        <v/>
      </c>
      <c r="L98" s="15">
        <f>IFERROR(INDEX(計算用!$M$2:$M$186,MATCH("女赤"&amp;$J98,計算用!$L$2:$L$186,0)),"")</f>
        <v/>
      </c>
      <c r="M98" s="16">
        <f>IFERROR(INDEX(計算用!$G$2:$G$186,MATCH("女赤"&amp;$J98,計算用!$L$2:$L$186,0)),"")</f>
        <v/>
      </c>
      <c r="N98" s="15" t="n"/>
      <c r="O98" s="15">
        <f>IFERROR(INDEX(計算用!$D$2:$D$186,MATCH("女白"&amp;$J98,計算用!$L$2:$L$186,0)),"")</f>
        <v/>
      </c>
      <c r="P98" s="15">
        <f>IFERROR(INDEX(計算用!$M$2:$M$186,MATCH("女白"&amp;$J98,計算用!$L$2:$L$186,0)),"")</f>
        <v/>
      </c>
      <c r="Q98" s="16">
        <f>IFERROR(INDEX(計算用!$G$2:$G$186,MATCH("女白"&amp;$J98,計算用!$L$2:$L$186,0)),"")</f>
        <v/>
      </c>
    </row>
    <row r="99">
      <c r="A99" s="15">
        <f>IF(ROW()-3&lt;=MAX(計算用!$Q$2,計算用!$Q$3),ROW()-3,"")</f>
        <v/>
      </c>
      <c r="B99" s="15">
        <f>IFERROR(INDEX(計算用!$D$2:$D$186,MATCH("男赤"&amp;$A99,計算用!$L$2:$L$186,0)),"")</f>
        <v/>
      </c>
      <c r="C99" s="15">
        <f>IFERROR(INDEX(計算用!$M$2:$M$186,MATCH("男赤"&amp;$A99,計算用!$L$2:$L$186,0)),"")</f>
        <v/>
      </c>
      <c r="D99" s="16">
        <f>IFERROR(INDEX(計算用!$G$2:$G$186,MATCH("男赤"&amp;$A99,計算用!$L$2:$L$186,0)),"")</f>
        <v/>
      </c>
      <c r="E99" s="15" t="n"/>
      <c r="F99" s="15">
        <f>IFERROR(INDEX(計算用!$D$2:$D$186,MATCH("男白"&amp;$A99,計算用!$L$2:$L$186,0)),"")</f>
        <v/>
      </c>
      <c r="G99" s="15">
        <f>IFERROR(INDEX(計算用!$M$2:$M$186,MATCH("男白"&amp;$A99,計算用!$L$2:$L$186,0)),"")</f>
        <v/>
      </c>
      <c r="H99" s="16">
        <f>IFERROR(INDEX(計算用!$G$2:$G$186,MATCH("男白"&amp;$A99,計算用!$L$2:$L$186,0)),"")</f>
        <v/>
      </c>
      <c r="I99" s="15" t="n"/>
      <c r="J99" s="15">
        <f>IF(ROW()-3&lt;=MAX(計算用!$Q$4,計算用!$Q$5),ROW()-3,"")</f>
        <v/>
      </c>
      <c r="K99" s="15">
        <f>IFERROR(INDEX(計算用!$D$2:$D$186,MATCH("女赤"&amp;$J99,計算用!$L$2:$L$186,0)),"")</f>
        <v/>
      </c>
      <c r="L99" s="15">
        <f>IFERROR(INDEX(計算用!$M$2:$M$186,MATCH("女赤"&amp;$J99,計算用!$L$2:$L$186,0)),"")</f>
        <v/>
      </c>
      <c r="M99" s="16">
        <f>IFERROR(INDEX(計算用!$G$2:$G$186,MATCH("女赤"&amp;$J99,計算用!$L$2:$L$186,0)),"")</f>
        <v/>
      </c>
      <c r="N99" s="15" t="n"/>
      <c r="O99" s="15">
        <f>IFERROR(INDEX(計算用!$D$2:$D$186,MATCH("女白"&amp;$J99,計算用!$L$2:$L$186,0)),"")</f>
        <v/>
      </c>
      <c r="P99" s="15">
        <f>IFERROR(INDEX(計算用!$M$2:$M$186,MATCH("女白"&amp;$J99,計算用!$L$2:$L$186,0)),"")</f>
        <v/>
      </c>
      <c r="Q99" s="16">
        <f>IFERROR(INDEX(計算用!$G$2:$G$186,MATCH("女白"&amp;$J99,計算用!$L$2:$L$186,0)),"")</f>
        <v/>
      </c>
    </row>
    <row r="100">
      <c r="A100" s="15">
        <f>IF(ROW()-3&lt;=MAX(計算用!$Q$2,計算用!$Q$3),ROW()-3,"")</f>
        <v/>
      </c>
      <c r="B100" s="15">
        <f>IFERROR(INDEX(計算用!$D$2:$D$186,MATCH("男赤"&amp;$A100,計算用!$L$2:$L$186,0)),"")</f>
        <v/>
      </c>
      <c r="C100" s="15">
        <f>IFERROR(INDEX(計算用!$M$2:$M$186,MATCH("男赤"&amp;$A100,計算用!$L$2:$L$186,0)),"")</f>
        <v/>
      </c>
      <c r="D100" s="16">
        <f>IFERROR(INDEX(計算用!$G$2:$G$186,MATCH("男赤"&amp;$A100,計算用!$L$2:$L$186,0)),"")</f>
        <v/>
      </c>
      <c r="E100" s="15" t="n"/>
      <c r="F100" s="15">
        <f>IFERROR(INDEX(計算用!$D$2:$D$186,MATCH("男白"&amp;$A100,計算用!$L$2:$L$186,0)),"")</f>
        <v/>
      </c>
      <c r="G100" s="15">
        <f>IFERROR(INDEX(計算用!$M$2:$M$186,MATCH("男白"&amp;$A100,計算用!$L$2:$L$186,0)),"")</f>
        <v/>
      </c>
      <c r="H100" s="16">
        <f>IFERROR(INDEX(計算用!$G$2:$G$186,MATCH("男白"&amp;$A100,計算用!$L$2:$L$186,0)),"")</f>
        <v/>
      </c>
      <c r="I100" s="15" t="n"/>
      <c r="J100" s="15">
        <f>IF(ROW()-3&lt;=MAX(計算用!$Q$4,計算用!$Q$5),ROW()-3,"")</f>
        <v/>
      </c>
      <c r="K100" s="15">
        <f>IFERROR(INDEX(計算用!$D$2:$D$186,MATCH("女赤"&amp;$J100,計算用!$L$2:$L$186,0)),"")</f>
        <v/>
      </c>
      <c r="L100" s="15">
        <f>IFERROR(INDEX(計算用!$M$2:$M$186,MATCH("女赤"&amp;$J100,計算用!$L$2:$L$186,0)),"")</f>
        <v/>
      </c>
      <c r="M100" s="16">
        <f>IFERROR(INDEX(計算用!$G$2:$G$186,MATCH("女赤"&amp;$J100,計算用!$L$2:$L$186,0)),"")</f>
        <v/>
      </c>
      <c r="N100" s="15" t="n"/>
      <c r="O100" s="15">
        <f>IFERROR(INDEX(計算用!$D$2:$D$186,MATCH("女白"&amp;$J100,計算用!$L$2:$L$186,0)),"")</f>
        <v/>
      </c>
      <c r="P100" s="15">
        <f>IFERROR(INDEX(計算用!$M$2:$M$186,MATCH("女白"&amp;$J100,計算用!$L$2:$L$186,0)),"")</f>
        <v/>
      </c>
      <c r="Q100" s="16">
        <f>IFERROR(INDEX(計算用!$G$2:$G$186,MATCH("女白"&amp;$J100,計算用!$L$2:$L$186,0)),"")</f>
        <v/>
      </c>
    </row>
    <row r="101">
      <c r="A101" s="15">
        <f>IF(ROW()-3&lt;=MAX(計算用!$Q$2,計算用!$Q$3),ROW()-3,"")</f>
        <v/>
      </c>
      <c r="B101" s="15">
        <f>IFERROR(INDEX(計算用!$D$2:$D$186,MATCH("男赤"&amp;$A101,計算用!$L$2:$L$186,0)),"")</f>
        <v/>
      </c>
      <c r="C101" s="15">
        <f>IFERROR(INDEX(計算用!$M$2:$M$186,MATCH("男赤"&amp;$A101,計算用!$L$2:$L$186,0)),"")</f>
        <v/>
      </c>
      <c r="D101" s="16">
        <f>IFERROR(INDEX(計算用!$G$2:$G$186,MATCH("男赤"&amp;$A101,計算用!$L$2:$L$186,0)),"")</f>
        <v/>
      </c>
      <c r="E101" s="15" t="n"/>
      <c r="F101" s="15">
        <f>IFERROR(INDEX(計算用!$D$2:$D$186,MATCH("男白"&amp;$A101,計算用!$L$2:$L$186,0)),"")</f>
        <v/>
      </c>
      <c r="G101" s="15">
        <f>IFERROR(INDEX(計算用!$M$2:$M$186,MATCH("男白"&amp;$A101,計算用!$L$2:$L$186,0)),"")</f>
        <v/>
      </c>
      <c r="H101" s="16">
        <f>IFERROR(INDEX(計算用!$G$2:$G$186,MATCH("男白"&amp;$A101,計算用!$L$2:$L$186,0)),"")</f>
        <v/>
      </c>
      <c r="I101" s="15" t="n"/>
      <c r="J101" s="15">
        <f>IF(ROW()-3&lt;=MAX(計算用!$Q$4,計算用!$Q$5),ROW()-3,"")</f>
        <v/>
      </c>
      <c r="K101" s="15">
        <f>IFERROR(INDEX(計算用!$D$2:$D$186,MATCH("女赤"&amp;$J101,計算用!$L$2:$L$186,0)),"")</f>
        <v/>
      </c>
      <c r="L101" s="15">
        <f>IFERROR(INDEX(計算用!$M$2:$M$186,MATCH("女赤"&amp;$J101,計算用!$L$2:$L$186,0)),"")</f>
        <v/>
      </c>
      <c r="M101" s="16">
        <f>IFERROR(INDEX(計算用!$G$2:$G$186,MATCH("女赤"&amp;$J101,計算用!$L$2:$L$186,0)),"")</f>
        <v/>
      </c>
      <c r="N101" s="15" t="n"/>
      <c r="O101" s="15">
        <f>IFERROR(INDEX(計算用!$D$2:$D$186,MATCH("女白"&amp;$J101,計算用!$L$2:$L$186,0)),"")</f>
        <v/>
      </c>
      <c r="P101" s="15">
        <f>IFERROR(INDEX(計算用!$M$2:$M$186,MATCH("女白"&amp;$J101,計算用!$L$2:$L$186,0)),"")</f>
        <v/>
      </c>
      <c r="Q101" s="16">
        <f>IFERROR(INDEX(計算用!$G$2:$G$186,MATCH("女白"&amp;$J101,計算用!$L$2:$L$186,0)),"")</f>
        <v/>
      </c>
    </row>
    <row r="102">
      <c r="A102" s="15">
        <f>IF(ROW()-3&lt;=MAX(計算用!$Q$2,計算用!$Q$3),ROW()-3,"")</f>
        <v/>
      </c>
      <c r="B102" s="15">
        <f>IFERROR(INDEX(計算用!$D$2:$D$186,MATCH("男赤"&amp;$A102,計算用!$L$2:$L$186,0)),"")</f>
        <v/>
      </c>
      <c r="C102" s="15">
        <f>IFERROR(INDEX(計算用!$M$2:$M$186,MATCH("男赤"&amp;$A102,計算用!$L$2:$L$186,0)),"")</f>
        <v/>
      </c>
      <c r="D102" s="16">
        <f>IFERROR(INDEX(計算用!$G$2:$G$186,MATCH("男赤"&amp;$A102,計算用!$L$2:$L$186,0)),"")</f>
        <v/>
      </c>
      <c r="E102" s="15" t="n"/>
      <c r="F102" s="15">
        <f>IFERROR(INDEX(計算用!$D$2:$D$186,MATCH("男白"&amp;$A102,計算用!$L$2:$L$186,0)),"")</f>
        <v/>
      </c>
      <c r="G102" s="15">
        <f>IFERROR(INDEX(計算用!$M$2:$M$186,MATCH("男白"&amp;$A102,計算用!$L$2:$L$186,0)),"")</f>
        <v/>
      </c>
      <c r="H102" s="16">
        <f>IFERROR(INDEX(計算用!$G$2:$G$186,MATCH("男白"&amp;$A102,計算用!$L$2:$L$186,0)),"")</f>
        <v/>
      </c>
      <c r="I102" s="15" t="n"/>
      <c r="J102" s="15">
        <f>IF(ROW()-3&lt;=MAX(計算用!$Q$4,計算用!$Q$5),ROW()-3,"")</f>
        <v/>
      </c>
      <c r="K102" s="15">
        <f>IFERROR(INDEX(計算用!$D$2:$D$186,MATCH("女赤"&amp;$J102,計算用!$L$2:$L$186,0)),"")</f>
        <v/>
      </c>
      <c r="L102" s="15">
        <f>IFERROR(INDEX(計算用!$M$2:$M$186,MATCH("女赤"&amp;$J102,計算用!$L$2:$L$186,0)),"")</f>
        <v/>
      </c>
      <c r="M102" s="16">
        <f>IFERROR(INDEX(計算用!$G$2:$G$186,MATCH("女赤"&amp;$J102,計算用!$L$2:$L$186,0)),"")</f>
        <v/>
      </c>
      <c r="N102" s="15" t="n"/>
      <c r="O102" s="15">
        <f>IFERROR(INDEX(計算用!$D$2:$D$186,MATCH("女白"&amp;$J102,計算用!$L$2:$L$186,0)),"")</f>
        <v/>
      </c>
      <c r="P102" s="15">
        <f>IFERROR(INDEX(計算用!$M$2:$M$186,MATCH("女白"&amp;$J102,計算用!$L$2:$L$186,0)),"")</f>
        <v/>
      </c>
      <c r="Q102" s="16">
        <f>IFERROR(INDEX(計算用!$G$2:$G$186,MATCH("女白"&amp;$J102,計算用!$L$2:$L$186,0)),"")</f>
        <v/>
      </c>
    </row>
    <row r="103">
      <c r="A103" s="15">
        <f>IF(ROW()-3&lt;=MAX(計算用!$Q$2,計算用!$Q$3),ROW()-3,"")</f>
        <v/>
      </c>
      <c r="B103" s="15">
        <f>IFERROR(INDEX(計算用!$D$2:$D$186,MATCH("男赤"&amp;$A103,計算用!$L$2:$L$186,0)),"")</f>
        <v/>
      </c>
      <c r="C103" s="15">
        <f>IFERROR(INDEX(計算用!$M$2:$M$186,MATCH("男赤"&amp;$A103,計算用!$L$2:$L$186,0)),"")</f>
        <v/>
      </c>
      <c r="D103" s="16">
        <f>IFERROR(INDEX(計算用!$G$2:$G$186,MATCH("男赤"&amp;$A103,計算用!$L$2:$L$186,0)),"")</f>
        <v/>
      </c>
      <c r="E103" s="15" t="n"/>
      <c r="F103" s="15">
        <f>IFERROR(INDEX(計算用!$D$2:$D$186,MATCH("男白"&amp;$A103,計算用!$L$2:$L$186,0)),"")</f>
        <v/>
      </c>
      <c r="G103" s="15">
        <f>IFERROR(INDEX(計算用!$M$2:$M$186,MATCH("男白"&amp;$A103,計算用!$L$2:$L$186,0)),"")</f>
        <v/>
      </c>
      <c r="H103" s="16">
        <f>IFERROR(INDEX(計算用!$G$2:$G$186,MATCH("男白"&amp;$A103,計算用!$L$2:$L$186,0)),"")</f>
        <v/>
      </c>
      <c r="I103" s="15" t="n"/>
      <c r="J103" s="15">
        <f>IF(ROW()-3&lt;=MAX(計算用!$Q$4,計算用!$Q$5),ROW()-3,"")</f>
        <v/>
      </c>
      <c r="K103" s="15">
        <f>IFERROR(INDEX(計算用!$D$2:$D$186,MATCH("女赤"&amp;$J103,計算用!$L$2:$L$186,0)),"")</f>
        <v/>
      </c>
      <c r="L103" s="15">
        <f>IFERROR(INDEX(計算用!$M$2:$M$186,MATCH("女赤"&amp;$J103,計算用!$L$2:$L$186,0)),"")</f>
        <v/>
      </c>
      <c r="M103" s="16">
        <f>IFERROR(INDEX(計算用!$G$2:$G$186,MATCH("女赤"&amp;$J103,計算用!$L$2:$L$186,0)),"")</f>
        <v/>
      </c>
      <c r="N103" s="15" t="n"/>
      <c r="O103" s="15">
        <f>IFERROR(INDEX(計算用!$D$2:$D$186,MATCH("女白"&amp;$J103,計算用!$L$2:$L$186,0)),"")</f>
        <v/>
      </c>
      <c r="P103" s="15">
        <f>IFERROR(INDEX(計算用!$M$2:$M$186,MATCH("女白"&amp;$J103,計算用!$L$2:$L$186,0)),"")</f>
        <v/>
      </c>
      <c r="Q103" s="16">
        <f>IFERROR(INDEX(計算用!$G$2:$G$186,MATCH("女白"&amp;$J103,計算用!$L$2:$L$186,0)),"")</f>
        <v/>
      </c>
    </row>
    <row r="104">
      <c r="A104" s="15">
        <f>IF(ROW()-3&lt;=MAX(計算用!$Q$2,計算用!$Q$3),ROW()-3,"")</f>
        <v/>
      </c>
      <c r="B104" s="15">
        <f>IFERROR(INDEX(計算用!$D$2:$D$186,MATCH("男赤"&amp;$A104,計算用!$L$2:$L$186,0)),"")</f>
        <v/>
      </c>
      <c r="C104" s="15">
        <f>IFERROR(INDEX(計算用!$M$2:$M$186,MATCH("男赤"&amp;$A104,計算用!$L$2:$L$186,0)),"")</f>
        <v/>
      </c>
      <c r="D104" s="16">
        <f>IFERROR(INDEX(計算用!$G$2:$G$186,MATCH("男赤"&amp;$A104,計算用!$L$2:$L$186,0)),"")</f>
        <v/>
      </c>
      <c r="E104" s="15" t="n"/>
      <c r="F104" s="15">
        <f>IFERROR(INDEX(計算用!$D$2:$D$186,MATCH("男白"&amp;$A104,計算用!$L$2:$L$186,0)),"")</f>
        <v/>
      </c>
      <c r="G104" s="15">
        <f>IFERROR(INDEX(計算用!$M$2:$M$186,MATCH("男白"&amp;$A104,計算用!$L$2:$L$186,0)),"")</f>
        <v/>
      </c>
      <c r="H104" s="16">
        <f>IFERROR(INDEX(計算用!$G$2:$G$186,MATCH("男白"&amp;$A104,計算用!$L$2:$L$186,0)),"")</f>
        <v/>
      </c>
      <c r="I104" s="15" t="n"/>
      <c r="J104" s="15">
        <f>IF(ROW()-3&lt;=MAX(計算用!$Q$4,計算用!$Q$5),ROW()-3,"")</f>
        <v/>
      </c>
      <c r="K104" s="15">
        <f>IFERROR(INDEX(計算用!$D$2:$D$186,MATCH("女赤"&amp;$J104,計算用!$L$2:$L$186,0)),"")</f>
        <v/>
      </c>
      <c r="L104" s="15">
        <f>IFERROR(INDEX(計算用!$M$2:$M$186,MATCH("女赤"&amp;$J104,計算用!$L$2:$L$186,0)),"")</f>
        <v/>
      </c>
      <c r="M104" s="16">
        <f>IFERROR(INDEX(計算用!$G$2:$G$186,MATCH("女赤"&amp;$J104,計算用!$L$2:$L$186,0)),"")</f>
        <v/>
      </c>
      <c r="N104" s="15" t="n"/>
      <c r="O104" s="15">
        <f>IFERROR(INDEX(計算用!$D$2:$D$186,MATCH("女白"&amp;$J104,計算用!$L$2:$L$186,0)),"")</f>
        <v/>
      </c>
      <c r="P104" s="15">
        <f>IFERROR(INDEX(計算用!$M$2:$M$186,MATCH("女白"&amp;$J104,計算用!$L$2:$L$186,0)),"")</f>
        <v/>
      </c>
      <c r="Q104" s="16">
        <f>IFERROR(INDEX(計算用!$G$2:$G$186,MATCH("女白"&amp;$J104,計算用!$L$2:$L$186,0)),"")</f>
        <v/>
      </c>
    </row>
    <row r="105">
      <c r="A105" s="15">
        <f>IF(ROW()-3&lt;=MAX(計算用!$Q$2,計算用!$Q$3),ROW()-3,"")</f>
        <v/>
      </c>
      <c r="B105" s="15">
        <f>IFERROR(INDEX(計算用!$D$2:$D$186,MATCH("男赤"&amp;$A105,計算用!$L$2:$L$186,0)),"")</f>
        <v/>
      </c>
      <c r="C105" s="15">
        <f>IFERROR(INDEX(計算用!$M$2:$M$186,MATCH("男赤"&amp;$A105,計算用!$L$2:$L$186,0)),"")</f>
        <v/>
      </c>
      <c r="D105" s="16">
        <f>IFERROR(INDEX(計算用!$G$2:$G$186,MATCH("男赤"&amp;$A105,計算用!$L$2:$L$186,0)),"")</f>
        <v/>
      </c>
      <c r="E105" s="15" t="n"/>
      <c r="F105" s="15">
        <f>IFERROR(INDEX(計算用!$D$2:$D$186,MATCH("男白"&amp;$A105,計算用!$L$2:$L$186,0)),"")</f>
        <v/>
      </c>
      <c r="G105" s="15">
        <f>IFERROR(INDEX(計算用!$M$2:$M$186,MATCH("男白"&amp;$A105,計算用!$L$2:$L$186,0)),"")</f>
        <v/>
      </c>
      <c r="H105" s="16">
        <f>IFERROR(INDEX(計算用!$G$2:$G$186,MATCH("男白"&amp;$A105,計算用!$L$2:$L$186,0)),"")</f>
        <v/>
      </c>
      <c r="I105" s="15" t="n"/>
      <c r="J105" s="15">
        <f>IF(ROW()-3&lt;=MAX(計算用!$Q$4,計算用!$Q$5),ROW()-3,"")</f>
        <v/>
      </c>
      <c r="K105" s="15">
        <f>IFERROR(INDEX(計算用!$D$2:$D$186,MATCH("女赤"&amp;$J105,計算用!$L$2:$L$186,0)),"")</f>
        <v/>
      </c>
      <c r="L105" s="15">
        <f>IFERROR(INDEX(計算用!$M$2:$M$186,MATCH("女赤"&amp;$J105,計算用!$L$2:$L$186,0)),"")</f>
        <v/>
      </c>
      <c r="M105" s="16">
        <f>IFERROR(INDEX(計算用!$G$2:$G$186,MATCH("女赤"&amp;$J105,計算用!$L$2:$L$186,0)),"")</f>
        <v/>
      </c>
      <c r="N105" s="15" t="n"/>
      <c r="O105" s="15">
        <f>IFERROR(INDEX(計算用!$D$2:$D$186,MATCH("女白"&amp;$J105,計算用!$L$2:$L$186,0)),"")</f>
        <v/>
      </c>
      <c r="P105" s="15">
        <f>IFERROR(INDEX(計算用!$M$2:$M$186,MATCH("女白"&amp;$J105,計算用!$L$2:$L$186,0)),"")</f>
        <v/>
      </c>
      <c r="Q105" s="16">
        <f>IFERROR(INDEX(計算用!$G$2:$G$186,MATCH("女白"&amp;$J105,計算用!$L$2:$L$186,0)),"")</f>
        <v/>
      </c>
    </row>
    <row r="106">
      <c r="A106" s="15">
        <f>IF(ROW()-3&lt;=MAX(計算用!$Q$2,計算用!$Q$3),ROW()-3,"")</f>
        <v/>
      </c>
      <c r="B106" s="15">
        <f>IFERROR(INDEX(計算用!$D$2:$D$186,MATCH("男赤"&amp;$A106,計算用!$L$2:$L$186,0)),"")</f>
        <v/>
      </c>
      <c r="C106" s="15">
        <f>IFERROR(INDEX(計算用!$M$2:$M$186,MATCH("男赤"&amp;$A106,計算用!$L$2:$L$186,0)),"")</f>
        <v/>
      </c>
      <c r="D106" s="16">
        <f>IFERROR(INDEX(計算用!$G$2:$G$186,MATCH("男赤"&amp;$A106,計算用!$L$2:$L$186,0)),"")</f>
        <v/>
      </c>
      <c r="E106" s="15" t="n"/>
      <c r="F106" s="15">
        <f>IFERROR(INDEX(計算用!$D$2:$D$186,MATCH("男白"&amp;$A106,計算用!$L$2:$L$186,0)),"")</f>
        <v/>
      </c>
      <c r="G106" s="15">
        <f>IFERROR(INDEX(計算用!$M$2:$M$186,MATCH("男白"&amp;$A106,計算用!$L$2:$L$186,0)),"")</f>
        <v/>
      </c>
      <c r="H106" s="16">
        <f>IFERROR(INDEX(計算用!$G$2:$G$186,MATCH("男白"&amp;$A106,計算用!$L$2:$L$186,0)),"")</f>
        <v/>
      </c>
      <c r="I106" s="15" t="n"/>
      <c r="J106" s="15">
        <f>IF(ROW()-3&lt;=MAX(計算用!$Q$4,計算用!$Q$5),ROW()-3,"")</f>
        <v/>
      </c>
      <c r="K106" s="15">
        <f>IFERROR(INDEX(計算用!$D$2:$D$186,MATCH("女赤"&amp;$J106,計算用!$L$2:$L$186,0)),"")</f>
        <v/>
      </c>
      <c r="L106" s="15">
        <f>IFERROR(INDEX(計算用!$M$2:$M$186,MATCH("女赤"&amp;$J106,計算用!$L$2:$L$186,0)),"")</f>
        <v/>
      </c>
      <c r="M106" s="16">
        <f>IFERROR(INDEX(計算用!$G$2:$G$186,MATCH("女赤"&amp;$J106,計算用!$L$2:$L$186,0)),"")</f>
        <v/>
      </c>
      <c r="N106" s="15" t="n"/>
      <c r="O106" s="15">
        <f>IFERROR(INDEX(計算用!$D$2:$D$186,MATCH("女白"&amp;$J106,計算用!$L$2:$L$186,0)),"")</f>
        <v/>
      </c>
      <c r="P106" s="15">
        <f>IFERROR(INDEX(計算用!$M$2:$M$186,MATCH("女白"&amp;$J106,計算用!$L$2:$L$186,0)),"")</f>
        <v/>
      </c>
      <c r="Q106" s="16">
        <f>IFERROR(INDEX(計算用!$G$2:$G$186,MATCH("女白"&amp;$J106,計算用!$L$2:$L$186,0)),"")</f>
        <v/>
      </c>
    </row>
    <row r="107">
      <c r="A107" s="15">
        <f>IF(ROW()-3&lt;=MAX(計算用!$Q$2,計算用!$Q$3),ROW()-3,"")</f>
        <v/>
      </c>
      <c r="B107" s="15">
        <f>IFERROR(INDEX(計算用!$D$2:$D$186,MATCH("男赤"&amp;$A107,計算用!$L$2:$L$186,0)),"")</f>
        <v/>
      </c>
      <c r="C107" s="15">
        <f>IFERROR(INDEX(計算用!$M$2:$M$186,MATCH("男赤"&amp;$A107,計算用!$L$2:$L$186,0)),"")</f>
        <v/>
      </c>
      <c r="D107" s="16">
        <f>IFERROR(INDEX(計算用!$G$2:$G$186,MATCH("男赤"&amp;$A107,計算用!$L$2:$L$186,0)),"")</f>
        <v/>
      </c>
      <c r="E107" s="15" t="n"/>
      <c r="F107" s="15">
        <f>IFERROR(INDEX(計算用!$D$2:$D$186,MATCH("男白"&amp;$A107,計算用!$L$2:$L$186,0)),"")</f>
        <v/>
      </c>
      <c r="G107" s="15">
        <f>IFERROR(INDEX(計算用!$M$2:$M$186,MATCH("男白"&amp;$A107,計算用!$L$2:$L$186,0)),"")</f>
        <v/>
      </c>
      <c r="H107" s="16">
        <f>IFERROR(INDEX(計算用!$G$2:$G$186,MATCH("男白"&amp;$A107,計算用!$L$2:$L$186,0)),"")</f>
        <v/>
      </c>
      <c r="I107" s="15" t="n"/>
      <c r="J107" s="15">
        <f>IF(ROW()-3&lt;=MAX(計算用!$Q$4,計算用!$Q$5),ROW()-3,"")</f>
        <v/>
      </c>
      <c r="K107" s="15">
        <f>IFERROR(INDEX(計算用!$D$2:$D$186,MATCH("女赤"&amp;$J107,計算用!$L$2:$L$186,0)),"")</f>
        <v/>
      </c>
      <c r="L107" s="15">
        <f>IFERROR(INDEX(計算用!$M$2:$M$186,MATCH("女赤"&amp;$J107,計算用!$L$2:$L$186,0)),"")</f>
        <v/>
      </c>
      <c r="M107" s="16">
        <f>IFERROR(INDEX(計算用!$G$2:$G$186,MATCH("女赤"&amp;$J107,計算用!$L$2:$L$186,0)),"")</f>
        <v/>
      </c>
      <c r="N107" s="15" t="n"/>
      <c r="O107" s="15">
        <f>IFERROR(INDEX(計算用!$D$2:$D$186,MATCH("女白"&amp;$J107,計算用!$L$2:$L$186,0)),"")</f>
        <v/>
      </c>
      <c r="P107" s="15">
        <f>IFERROR(INDEX(計算用!$M$2:$M$186,MATCH("女白"&amp;$J107,計算用!$L$2:$L$186,0)),"")</f>
        <v/>
      </c>
      <c r="Q107" s="16">
        <f>IFERROR(INDEX(計算用!$G$2:$G$186,MATCH("女白"&amp;$J107,計算用!$L$2:$L$186,0)),"")</f>
        <v/>
      </c>
    </row>
    <row r="108">
      <c r="A108" s="15">
        <f>IF(ROW()-3&lt;=MAX(計算用!$Q$2,計算用!$Q$3),ROW()-3,"")</f>
        <v/>
      </c>
      <c r="B108" s="15">
        <f>IFERROR(INDEX(計算用!$D$2:$D$186,MATCH("男赤"&amp;$A108,計算用!$L$2:$L$186,0)),"")</f>
        <v/>
      </c>
      <c r="C108" s="15">
        <f>IFERROR(INDEX(計算用!$M$2:$M$186,MATCH("男赤"&amp;$A108,計算用!$L$2:$L$186,0)),"")</f>
        <v/>
      </c>
      <c r="D108" s="16">
        <f>IFERROR(INDEX(計算用!$G$2:$G$186,MATCH("男赤"&amp;$A108,計算用!$L$2:$L$186,0)),"")</f>
        <v/>
      </c>
      <c r="E108" s="15" t="n"/>
      <c r="F108" s="15">
        <f>IFERROR(INDEX(計算用!$D$2:$D$186,MATCH("男白"&amp;$A108,計算用!$L$2:$L$186,0)),"")</f>
        <v/>
      </c>
      <c r="G108" s="15">
        <f>IFERROR(INDEX(計算用!$M$2:$M$186,MATCH("男白"&amp;$A108,計算用!$L$2:$L$186,0)),"")</f>
        <v/>
      </c>
      <c r="H108" s="16">
        <f>IFERROR(INDEX(計算用!$G$2:$G$186,MATCH("男白"&amp;$A108,計算用!$L$2:$L$186,0)),"")</f>
        <v/>
      </c>
      <c r="I108" s="15" t="n"/>
      <c r="J108" s="15">
        <f>IF(ROW()-3&lt;=MAX(計算用!$Q$4,計算用!$Q$5),ROW()-3,"")</f>
        <v/>
      </c>
      <c r="K108" s="15">
        <f>IFERROR(INDEX(計算用!$D$2:$D$186,MATCH("女赤"&amp;$J108,計算用!$L$2:$L$186,0)),"")</f>
        <v/>
      </c>
      <c r="L108" s="15">
        <f>IFERROR(INDEX(計算用!$M$2:$M$186,MATCH("女赤"&amp;$J108,計算用!$L$2:$L$186,0)),"")</f>
        <v/>
      </c>
      <c r="M108" s="16">
        <f>IFERROR(INDEX(計算用!$G$2:$G$186,MATCH("女赤"&amp;$J108,計算用!$L$2:$L$186,0)),"")</f>
        <v/>
      </c>
      <c r="N108" s="15" t="n"/>
      <c r="O108" s="15">
        <f>IFERROR(INDEX(計算用!$D$2:$D$186,MATCH("女白"&amp;$J108,計算用!$L$2:$L$186,0)),"")</f>
        <v/>
      </c>
      <c r="P108" s="15">
        <f>IFERROR(INDEX(計算用!$M$2:$M$186,MATCH("女白"&amp;$J108,計算用!$L$2:$L$186,0)),"")</f>
        <v/>
      </c>
      <c r="Q108" s="16">
        <f>IFERROR(INDEX(計算用!$G$2:$G$186,MATCH("女白"&amp;$J108,計算用!$L$2:$L$186,0)),"")</f>
        <v/>
      </c>
    </row>
    <row r="109">
      <c r="A109" s="15">
        <f>IF(ROW()-3&lt;=MAX(計算用!$Q$2,計算用!$Q$3),ROW()-3,"")</f>
        <v/>
      </c>
      <c r="B109" s="15">
        <f>IFERROR(INDEX(計算用!$D$2:$D$186,MATCH("男赤"&amp;$A109,計算用!$L$2:$L$186,0)),"")</f>
        <v/>
      </c>
      <c r="C109" s="15">
        <f>IFERROR(INDEX(計算用!$M$2:$M$186,MATCH("男赤"&amp;$A109,計算用!$L$2:$L$186,0)),"")</f>
        <v/>
      </c>
      <c r="D109" s="16">
        <f>IFERROR(INDEX(計算用!$G$2:$G$186,MATCH("男赤"&amp;$A109,計算用!$L$2:$L$186,0)),"")</f>
        <v/>
      </c>
      <c r="E109" s="15" t="n"/>
      <c r="F109" s="15">
        <f>IFERROR(INDEX(計算用!$D$2:$D$186,MATCH("男白"&amp;$A109,計算用!$L$2:$L$186,0)),"")</f>
        <v/>
      </c>
      <c r="G109" s="15">
        <f>IFERROR(INDEX(計算用!$M$2:$M$186,MATCH("男白"&amp;$A109,計算用!$L$2:$L$186,0)),"")</f>
        <v/>
      </c>
      <c r="H109" s="16">
        <f>IFERROR(INDEX(計算用!$G$2:$G$186,MATCH("男白"&amp;$A109,計算用!$L$2:$L$186,0)),"")</f>
        <v/>
      </c>
      <c r="I109" s="15" t="n"/>
      <c r="J109" s="15">
        <f>IF(ROW()-3&lt;=MAX(計算用!$Q$4,計算用!$Q$5),ROW()-3,"")</f>
        <v/>
      </c>
      <c r="K109" s="15">
        <f>IFERROR(INDEX(計算用!$D$2:$D$186,MATCH("女赤"&amp;$J109,計算用!$L$2:$L$186,0)),"")</f>
        <v/>
      </c>
      <c r="L109" s="15">
        <f>IFERROR(INDEX(計算用!$M$2:$M$186,MATCH("女赤"&amp;$J109,計算用!$L$2:$L$186,0)),"")</f>
        <v/>
      </c>
      <c r="M109" s="16">
        <f>IFERROR(INDEX(計算用!$G$2:$G$186,MATCH("女赤"&amp;$J109,計算用!$L$2:$L$186,0)),"")</f>
        <v/>
      </c>
      <c r="N109" s="15" t="n"/>
      <c r="O109" s="15">
        <f>IFERROR(INDEX(計算用!$D$2:$D$186,MATCH("女白"&amp;$J109,計算用!$L$2:$L$186,0)),"")</f>
        <v/>
      </c>
      <c r="P109" s="15">
        <f>IFERROR(INDEX(計算用!$M$2:$M$186,MATCH("女白"&amp;$J109,計算用!$L$2:$L$186,0)),"")</f>
        <v/>
      </c>
      <c r="Q109" s="16">
        <f>IFERROR(INDEX(計算用!$G$2:$G$186,MATCH("女白"&amp;$J109,計算用!$L$2:$L$186,0)),"")</f>
        <v/>
      </c>
    </row>
    <row r="110">
      <c r="A110" s="15">
        <f>IF(ROW()-3&lt;=MAX(計算用!$Q$2,計算用!$Q$3),ROW()-3,"")</f>
        <v/>
      </c>
      <c r="B110" s="15">
        <f>IFERROR(INDEX(計算用!$D$2:$D$186,MATCH("男赤"&amp;$A110,計算用!$L$2:$L$186,0)),"")</f>
        <v/>
      </c>
      <c r="C110" s="15">
        <f>IFERROR(INDEX(計算用!$M$2:$M$186,MATCH("男赤"&amp;$A110,計算用!$L$2:$L$186,0)),"")</f>
        <v/>
      </c>
      <c r="D110" s="16">
        <f>IFERROR(INDEX(計算用!$G$2:$G$186,MATCH("男赤"&amp;$A110,計算用!$L$2:$L$186,0)),"")</f>
        <v/>
      </c>
      <c r="E110" s="15" t="n"/>
      <c r="F110" s="15">
        <f>IFERROR(INDEX(計算用!$D$2:$D$186,MATCH("男白"&amp;$A110,計算用!$L$2:$L$186,0)),"")</f>
        <v/>
      </c>
      <c r="G110" s="15">
        <f>IFERROR(INDEX(計算用!$M$2:$M$186,MATCH("男白"&amp;$A110,計算用!$L$2:$L$186,0)),"")</f>
        <v/>
      </c>
      <c r="H110" s="16">
        <f>IFERROR(INDEX(計算用!$G$2:$G$186,MATCH("男白"&amp;$A110,計算用!$L$2:$L$186,0)),"")</f>
        <v/>
      </c>
      <c r="I110" s="15" t="n"/>
      <c r="J110" s="15">
        <f>IF(ROW()-3&lt;=MAX(計算用!$Q$4,計算用!$Q$5),ROW()-3,"")</f>
        <v/>
      </c>
      <c r="K110" s="15">
        <f>IFERROR(INDEX(計算用!$D$2:$D$186,MATCH("女赤"&amp;$J110,計算用!$L$2:$L$186,0)),"")</f>
        <v/>
      </c>
      <c r="L110" s="15">
        <f>IFERROR(INDEX(計算用!$M$2:$M$186,MATCH("女赤"&amp;$J110,計算用!$L$2:$L$186,0)),"")</f>
        <v/>
      </c>
      <c r="M110" s="16">
        <f>IFERROR(INDEX(計算用!$G$2:$G$186,MATCH("女赤"&amp;$J110,計算用!$L$2:$L$186,0)),"")</f>
        <v/>
      </c>
      <c r="N110" s="15" t="n"/>
      <c r="O110" s="15">
        <f>IFERROR(INDEX(計算用!$D$2:$D$186,MATCH("女白"&amp;$J110,計算用!$L$2:$L$186,0)),"")</f>
        <v/>
      </c>
      <c r="P110" s="15">
        <f>IFERROR(INDEX(計算用!$M$2:$M$186,MATCH("女白"&amp;$J110,計算用!$L$2:$L$186,0)),"")</f>
        <v/>
      </c>
      <c r="Q110" s="16">
        <f>IFERROR(INDEX(計算用!$G$2:$G$186,MATCH("女白"&amp;$J110,計算用!$L$2:$L$186,0)),"")</f>
        <v/>
      </c>
    </row>
    <row r="111">
      <c r="A111" s="15">
        <f>IF(ROW()-3&lt;=MAX(計算用!$Q$2,計算用!$Q$3),ROW()-3,"")</f>
        <v/>
      </c>
      <c r="B111" s="15">
        <f>IFERROR(INDEX(計算用!$D$2:$D$186,MATCH("男赤"&amp;$A111,計算用!$L$2:$L$186,0)),"")</f>
        <v/>
      </c>
      <c r="C111" s="15">
        <f>IFERROR(INDEX(計算用!$M$2:$M$186,MATCH("男赤"&amp;$A111,計算用!$L$2:$L$186,0)),"")</f>
        <v/>
      </c>
      <c r="D111" s="16">
        <f>IFERROR(INDEX(計算用!$G$2:$G$186,MATCH("男赤"&amp;$A111,計算用!$L$2:$L$186,0)),"")</f>
        <v/>
      </c>
      <c r="E111" s="15" t="n"/>
      <c r="F111" s="15">
        <f>IFERROR(INDEX(計算用!$D$2:$D$186,MATCH("男白"&amp;$A111,計算用!$L$2:$L$186,0)),"")</f>
        <v/>
      </c>
      <c r="G111" s="15">
        <f>IFERROR(INDEX(計算用!$M$2:$M$186,MATCH("男白"&amp;$A111,計算用!$L$2:$L$186,0)),"")</f>
        <v/>
      </c>
      <c r="H111" s="16">
        <f>IFERROR(INDEX(計算用!$G$2:$G$186,MATCH("男白"&amp;$A111,計算用!$L$2:$L$186,0)),"")</f>
        <v/>
      </c>
      <c r="I111" s="15" t="n"/>
      <c r="J111" s="15">
        <f>IF(ROW()-3&lt;=MAX(計算用!$Q$4,計算用!$Q$5),ROW()-3,"")</f>
        <v/>
      </c>
      <c r="K111" s="15">
        <f>IFERROR(INDEX(計算用!$D$2:$D$186,MATCH("女赤"&amp;$J111,計算用!$L$2:$L$186,0)),"")</f>
        <v/>
      </c>
      <c r="L111" s="15">
        <f>IFERROR(INDEX(計算用!$M$2:$M$186,MATCH("女赤"&amp;$J111,計算用!$L$2:$L$186,0)),"")</f>
        <v/>
      </c>
      <c r="M111" s="16">
        <f>IFERROR(INDEX(計算用!$G$2:$G$186,MATCH("女赤"&amp;$J111,計算用!$L$2:$L$186,0)),"")</f>
        <v/>
      </c>
      <c r="N111" s="15" t="n"/>
      <c r="O111" s="15">
        <f>IFERROR(INDEX(計算用!$D$2:$D$186,MATCH("女白"&amp;$J111,計算用!$L$2:$L$186,0)),"")</f>
        <v/>
      </c>
      <c r="P111" s="15">
        <f>IFERROR(INDEX(計算用!$M$2:$M$186,MATCH("女白"&amp;$J111,計算用!$L$2:$L$186,0)),"")</f>
        <v/>
      </c>
      <c r="Q111" s="16">
        <f>IFERROR(INDEX(計算用!$G$2:$G$186,MATCH("女白"&amp;$J111,計算用!$L$2:$L$186,0)),"")</f>
        <v/>
      </c>
    </row>
    <row r="112">
      <c r="A112" s="15">
        <f>IF(ROW()-3&lt;=MAX(計算用!$Q$2,計算用!$Q$3),ROW()-3,"")</f>
        <v/>
      </c>
      <c r="B112" s="15">
        <f>IFERROR(INDEX(計算用!$D$2:$D$186,MATCH("男赤"&amp;$A112,計算用!$L$2:$L$186,0)),"")</f>
        <v/>
      </c>
      <c r="C112" s="15">
        <f>IFERROR(INDEX(計算用!$M$2:$M$186,MATCH("男赤"&amp;$A112,計算用!$L$2:$L$186,0)),"")</f>
        <v/>
      </c>
      <c r="D112" s="16">
        <f>IFERROR(INDEX(計算用!$G$2:$G$186,MATCH("男赤"&amp;$A112,計算用!$L$2:$L$186,0)),"")</f>
        <v/>
      </c>
      <c r="E112" s="15" t="n"/>
      <c r="F112" s="15">
        <f>IFERROR(INDEX(計算用!$D$2:$D$186,MATCH("男白"&amp;$A112,計算用!$L$2:$L$186,0)),"")</f>
        <v/>
      </c>
      <c r="G112" s="15">
        <f>IFERROR(INDEX(計算用!$M$2:$M$186,MATCH("男白"&amp;$A112,計算用!$L$2:$L$186,0)),"")</f>
        <v/>
      </c>
      <c r="H112" s="16">
        <f>IFERROR(INDEX(計算用!$G$2:$G$186,MATCH("男白"&amp;$A112,計算用!$L$2:$L$186,0)),"")</f>
        <v/>
      </c>
      <c r="I112" s="15" t="n"/>
      <c r="J112" s="15">
        <f>IF(ROW()-3&lt;=MAX(計算用!$Q$4,計算用!$Q$5),ROW()-3,"")</f>
        <v/>
      </c>
      <c r="K112" s="15">
        <f>IFERROR(INDEX(計算用!$D$2:$D$186,MATCH("女赤"&amp;$J112,計算用!$L$2:$L$186,0)),"")</f>
        <v/>
      </c>
      <c r="L112" s="15">
        <f>IFERROR(INDEX(計算用!$M$2:$M$186,MATCH("女赤"&amp;$J112,計算用!$L$2:$L$186,0)),"")</f>
        <v/>
      </c>
      <c r="M112" s="16">
        <f>IFERROR(INDEX(計算用!$G$2:$G$186,MATCH("女赤"&amp;$J112,計算用!$L$2:$L$186,0)),"")</f>
        <v/>
      </c>
      <c r="N112" s="15" t="n"/>
      <c r="O112" s="15">
        <f>IFERROR(INDEX(計算用!$D$2:$D$186,MATCH("女白"&amp;$J112,計算用!$L$2:$L$186,0)),"")</f>
        <v/>
      </c>
      <c r="P112" s="15">
        <f>IFERROR(INDEX(計算用!$M$2:$M$186,MATCH("女白"&amp;$J112,計算用!$L$2:$L$186,0)),"")</f>
        <v/>
      </c>
      <c r="Q112" s="16">
        <f>IFERROR(INDEX(計算用!$G$2:$G$186,MATCH("女白"&amp;$J112,計算用!$L$2:$L$186,0)),"")</f>
        <v/>
      </c>
    </row>
    <row r="113">
      <c r="A113" s="15">
        <f>IF(ROW()-3&lt;=MAX(計算用!$Q$2,計算用!$Q$3),ROW()-3,"")</f>
        <v/>
      </c>
      <c r="B113" s="15">
        <f>IFERROR(INDEX(計算用!$D$2:$D$186,MATCH("男赤"&amp;$A113,計算用!$L$2:$L$186,0)),"")</f>
        <v/>
      </c>
      <c r="C113" s="15">
        <f>IFERROR(INDEX(計算用!$M$2:$M$186,MATCH("男赤"&amp;$A113,計算用!$L$2:$L$186,0)),"")</f>
        <v/>
      </c>
      <c r="D113" s="16">
        <f>IFERROR(INDEX(計算用!$G$2:$G$186,MATCH("男赤"&amp;$A113,計算用!$L$2:$L$186,0)),"")</f>
        <v/>
      </c>
      <c r="E113" s="15" t="n"/>
      <c r="F113" s="15">
        <f>IFERROR(INDEX(計算用!$D$2:$D$186,MATCH("男白"&amp;$A113,計算用!$L$2:$L$186,0)),"")</f>
        <v/>
      </c>
      <c r="G113" s="15">
        <f>IFERROR(INDEX(計算用!$M$2:$M$186,MATCH("男白"&amp;$A113,計算用!$L$2:$L$186,0)),"")</f>
        <v/>
      </c>
      <c r="H113" s="16">
        <f>IFERROR(INDEX(計算用!$G$2:$G$186,MATCH("男白"&amp;$A113,計算用!$L$2:$L$186,0)),"")</f>
        <v/>
      </c>
      <c r="I113" s="15" t="n"/>
      <c r="J113" s="15">
        <f>IF(ROW()-3&lt;=MAX(計算用!$Q$4,計算用!$Q$5),ROW()-3,"")</f>
        <v/>
      </c>
      <c r="K113" s="15">
        <f>IFERROR(INDEX(計算用!$D$2:$D$186,MATCH("女赤"&amp;$J113,計算用!$L$2:$L$186,0)),"")</f>
        <v/>
      </c>
      <c r="L113" s="15">
        <f>IFERROR(INDEX(計算用!$M$2:$M$186,MATCH("女赤"&amp;$J113,計算用!$L$2:$L$186,0)),"")</f>
        <v/>
      </c>
      <c r="M113" s="16">
        <f>IFERROR(INDEX(計算用!$G$2:$G$186,MATCH("女赤"&amp;$J113,計算用!$L$2:$L$186,0)),"")</f>
        <v/>
      </c>
      <c r="N113" s="15" t="n"/>
      <c r="O113" s="15">
        <f>IFERROR(INDEX(計算用!$D$2:$D$186,MATCH("女白"&amp;$J113,計算用!$L$2:$L$186,0)),"")</f>
        <v/>
      </c>
      <c r="P113" s="15">
        <f>IFERROR(INDEX(計算用!$M$2:$M$186,MATCH("女白"&amp;$J113,計算用!$L$2:$L$186,0)),"")</f>
        <v/>
      </c>
      <c r="Q113" s="16">
        <f>IFERROR(INDEX(計算用!$G$2:$G$186,MATCH("女白"&amp;$J113,計算用!$L$2:$L$186,0)),"")</f>
        <v/>
      </c>
    </row>
    <row r="114">
      <c r="A114" s="15">
        <f>IF(ROW()-3&lt;=MAX(計算用!$Q$2,計算用!$Q$3),ROW()-3,"")</f>
        <v/>
      </c>
      <c r="B114" s="15">
        <f>IFERROR(INDEX(計算用!$D$2:$D$186,MATCH("男赤"&amp;$A114,計算用!$L$2:$L$186,0)),"")</f>
        <v/>
      </c>
      <c r="C114" s="15">
        <f>IFERROR(INDEX(計算用!$M$2:$M$186,MATCH("男赤"&amp;$A114,計算用!$L$2:$L$186,0)),"")</f>
        <v/>
      </c>
      <c r="D114" s="16">
        <f>IFERROR(INDEX(計算用!$G$2:$G$186,MATCH("男赤"&amp;$A114,計算用!$L$2:$L$186,0)),"")</f>
        <v/>
      </c>
      <c r="E114" s="15" t="n"/>
      <c r="F114" s="15">
        <f>IFERROR(INDEX(計算用!$D$2:$D$186,MATCH("男白"&amp;$A114,計算用!$L$2:$L$186,0)),"")</f>
        <v/>
      </c>
      <c r="G114" s="15">
        <f>IFERROR(INDEX(計算用!$M$2:$M$186,MATCH("男白"&amp;$A114,計算用!$L$2:$L$186,0)),"")</f>
        <v/>
      </c>
      <c r="H114" s="16">
        <f>IFERROR(INDEX(計算用!$G$2:$G$186,MATCH("男白"&amp;$A114,計算用!$L$2:$L$186,0)),"")</f>
        <v/>
      </c>
      <c r="I114" s="15" t="n"/>
      <c r="J114" s="15">
        <f>IF(ROW()-3&lt;=MAX(計算用!$Q$4,計算用!$Q$5),ROW()-3,"")</f>
        <v/>
      </c>
      <c r="K114" s="15">
        <f>IFERROR(INDEX(計算用!$D$2:$D$186,MATCH("女赤"&amp;$J114,計算用!$L$2:$L$186,0)),"")</f>
        <v/>
      </c>
      <c r="L114" s="15">
        <f>IFERROR(INDEX(計算用!$M$2:$M$186,MATCH("女赤"&amp;$J114,計算用!$L$2:$L$186,0)),"")</f>
        <v/>
      </c>
      <c r="M114" s="16">
        <f>IFERROR(INDEX(計算用!$G$2:$G$186,MATCH("女赤"&amp;$J114,計算用!$L$2:$L$186,0)),"")</f>
        <v/>
      </c>
      <c r="N114" s="15" t="n"/>
      <c r="O114" s="15">
        <f>IFERROR(INDEX(計算用!$D$2:$D$186,MATCH("女白"&amp;$J114,計算用!$L$2:$L$186,0)),"")</f>
        <v/>
      </c>
      <c r="P114" s="15">
        <f>IFERROR(INDEX(計算用!$M$2:$M$186,MATCH("女白"&amp;$J114,計算用!$L$2:$L$186,0)),"")</f>
        <v/>
      </c>
      <c r="Q114" s="16">
        <f>IFERROR(INDEX(計算用!$G$2:$G$186,MATCH("女白"&amp;$J114,計算用!$L$2:$L$186,0)),"")</f>
        <v/>
      </c>
    </row>
    <row r="115">
      <c r="A115" s="15">
        <f>IF(ROW()-3&lt;=MAX(計算用!$Q$2,計算用!$Q$3),ROW()-3,"")</f>
        <v/>
      </c>
      <c r="B115" s="15">
        <f>IFERROR(INDEX(計算用!$D$2:$D$186,MATCH("男赤"&amp;$A115,計算用!$L$2:$L$186,0)),"")</f>
        <v/>
      </c>
      <c r="C115" s="15">
        <f>IFERROR(INDEX(計算用!$M$2:$M$186,MATCH("男赤"&amp;$A115,計算用!$L$2:$L$186,0)),"")</f>
        <v/>
      </c>
      <c r="D115" s="16">
        <f>IFERROR(INDEX(計算用!$G$2:$G$186,MATCH("男赤"&amp;$A115,計算用!$L$2:$L$186,0)),"")</f>
        <v/>
      </c>
      <c r="E115" s="15" t="n"/>
      <c r="F115" s="15">
        <f>IFERROR(INDEX(計算用!$D$2:$D$186,MATCH("男白"&amp;$A115,計算用!$L$2:$L$186,0)),"")</f>
        <v/>
      </c>
      <c r="G115" s="15">
        <f>IFERROR(INDEX(計算用!$M$2:$M$186,MATCH("男白"&amp;$A115,計算用!$L$2:$L$186,0)),"")</f>
        <v/>
      </c>
      <c r="H115" s="16">
        <f>IFERROR(INDEX(計算用!$G$2:$G$186,MATCH("男白"&amp;$A115,計算用!$L$2:$L$186,0)),"")</f>
        <v/>
      </c>
      <c r="I115" s="15" t="n"/>
      <c r="J115" s="15">
        <f>IF(ROW()-3&lt;=MAX(計算用!$Q$4,計算用!$Q$5),ROW()-3,"")</f>
        <v/>
      </c>
      <c r="K115" s="15">
        <f>IFERROR(INDEX(計算用!$D$2:$D$186,MATCH("女赤"&amp;$J115,計算用!$L$2:$L$186,0)),"")</f>
        <v/>
      </c>
      <c r="L115" s="15">
        <f>IFERROR(INDEX(計算用!$M$2:$M$186,MATCH("女赤"&amp;$J115,計算用!$L$2:$L$186,0)),"")</f>
        <v/>
      </c>
      <c r="M115" s="16">
        <f>IFERROR(INDEX(計算用!$G$2:$G$186,MATCH("女赤"&amp;$J115,計算用!$L$2:$L$186,0)),"")</f>
        <v/>
      </c>
      <c r="N115" s="15" t="n"/>
      <c r="O115" s="15">
        <f>IFERROR(INDEX(計算用!$D$2:$D$186,MATCH("女白"&amp;$J115,計算用!$L$2:$L$186,0)),"")</f>
        <v/>
      </c>
      <c r="P115" s="15">
        <f>IFERROR(INDEX(計算用!$M$2:$M$186,MATCH("女白"&amp;$J115,計算用!$L$2:$L$186,0)),"")</f>
        <v/>
      </c>
      <c r="Q115" s="16">
        <f>IFERROR(INDEX(計算用!$G$2:$G$186,MATCH("女白"&amp;$J115,計算用!$L$2:$L$186,0)),"")</f>
        <v/>
      </c>
    </row>
    <row r="116">
      <c r="A116" s="15">
        <f>IF(ROW()-3&lt;=MAX(計算用!$Q$2,計算用!$Q$3),ROW()-3,"")</f>
        <v/>
      </c>
      <c r="B116" s="15">
        <f>IFERROR(INDEX(計算用!$D$2:$D$186,MATCH("男赤"&amp;$A116,計算用!$L$2:$L$186,0)),"")</f>
        <v/>
      </c>
      <c r="C116" s="15">
        <f>IFERROR(INDEX(計算用!$M$2:$M$186,MATCH("男赤"&amp;$A116,計算用!$L$2:$L$186,0)),"")</f>
        <v/>
      </c>
      <c r="D116" s="16">
        <f>IFERROR(INDEX(計算用!$G$2:$G$186,MATCH("男赤"&amp;$A116,計算用!$L$2:$L$186,0)),"")</f>
        <v/>
      </c>
      <c r="E116" s="15" t="n"/>
      <c r="F116" s="15">
        <f>IFERROR(INDEX(計算用!$D$2:$D$186,MATCH("男白"&amp;$A116,計算用!$L$2:$L$186,0)),"")</f>
        <v/>
      </c>
      <c r="G116" s="15">
        <f>IFERROR(INDEX(計算用!$M$2:$M$186,MATCH("男白"&amp;$A116,計算用!$L$2:$L$186,0)),"")</f>
        <v/>
      </c>
      <c r="H116" s="16">
        <f>IFERROR(INDEX(計算用!$G$2:$G$186,MATCH("男白"&amp;$A116,計算用!$L$2:$L$186,0)),"")</f>
        <v/>
      </c>
      <c r="I116" s="15" t="n"/>
      <c r="J116" s="15">
        <f>IF(ROW()-3&lt;=MAX(計算用!$Q$4,計算用!$Q$5),ROW()-3,"")</f>
        <v/>
      </c>
      <c r="K116" s="15">
        <f>IFERROR(INDEX(計算用!$D$2:$D$186,MATCH("女赤"&amp;$J116,計算用!$L$2:$L$186,0)),"")</f>
        <v/>
      </c>
      <c r="L116" s="15">
        <f>IFERROR(INDEX(計算用!$M$2:$M$186,MATCH("女赤"&amp;$J116,計算用!$L$2:$L$186,0)),"")</f>
        <v/>
      </c>
      <c r="M116" s="16">
        <f>IFERROR(INDEX(計算用!$G$2:$G$186,MATCH("女赤"&amp;$J116,計算用!$L$2:$L$186,0)),"")</f>
        <v/>
      </c>
      <c r="N116" s="15" t="n"/>
      <c r="O116" s="15">
        <f>IFERROR(INDEX(計算用!$D$2:$D$186,MATCH("女白"&amp;$J116,計算用!$L$2:$L$186,0)),"")</f>
        <v/>
      </c>
      <c r="P116" s="15">
        <f>IFERROR(INDEX(計算用!$M$2:$M$186,MATCH("女白"&amp;$J116,計算用!$L$2:$L$186,0)),"")</f>
        <v/>
      </c>
      <c r="Q116" s="16">
        <f>IFERROR(INDEX(計算用!$G$2:$G$186,MATCH("女白"&amp;$J116,計算用!$L$2:$L$186,0)),"")</f>
        <v/>
      </c>
    </row>
    <row r="117">
      <c r="A117" s="15">
        <f>IF(ROW()-3&lt;=MAX(計算用!$Q$2,計算用!$Q$3),ROW()-3,"")</f>
        <v/>
      </c>
      <c r="B117" s="15">
        <f>IFERROR(INDEX(計算用!$D$2:$D$186,MATCH("男赤"&amp;$A117,計算用!$L$2:$L$186,0)),"")</f>
        <v/>
      </c>
      <c r="C117" s="15">
        <f>IFERROR(INDEX(計算用!$M$2:$M$186,MATCH("男赤"&amp;$A117,計算用!$L$2:$L$186,0)),"")</f>
        <v/>
      </c>
      <c r="D117" s="16">
        <f>IFERROR(INDEX(計算用!$G$2:$G$186,MATCH("男赤"&amp;$A117,計算用!$L$2:$L$186,0)),"")</f>
        <v/>
      </c>
      <c r="E117" s="15" t="n"/>
      <c r="F117" s="15">
        <f>IFERROR(INDEX(計算用!$D$2:$D$186,MATCH("男白"&amp;$A117,計算用!$L$2:$L$186,0)),"")</f>
        <v/>
      </c>
      <c r="G117" s="15">
        <f>IFERROR(INDEX(計算用!$M$2:$M$186,MATCH("男白"&amp;$A117,計算用!$L$2:$L$186,0)),"")</f>
        <v/>
      </c>
      <c r="H117" s="16">
        <f>IFERROR(INDEX(計算用!$G$2:$G$186,MATCH("男白"&amp;$A117,計算用!$L$2:$L$186,0)),"")</f>
        <v/>
      </c>
      <c r="I117" s="15" t="n"/>
      <c r="J117" s="15">
        <f>IF(ROW()-3&lt;=MAX(計算用!$Q$4,計算用!$Q$5),ROW()-3,"")</f>
        <v/>
      </c>
      <c r="K117" s="15">
        <f>IFERROR(INDEX(計算用!$D$2:$D$186,MATCH("女赤"&amp;$J117,計算用!$L$2:$L$186,0)),"")</f>
        <v/>
      </c>
      <c r="L117" s="15">
        <f>IFERROR(INDEX(計算用!$M$2:$M$186,MATCH("女赤"&amp;$J117,計算用!$L$2:$L$186,0)),"")</f>
        <v/>
      </c>
      <c r="M117" s="16">
        <f>IFERROR(INDEX(計算用!$G$2:$G$186,MATCH("女赤"&amp;$J117,計算用!$L$2:$L$186,0)),"")</f>
        <v/>
      </c>
      <c r="N117" s="15" t="n"/>
      <c r="O117" s="15">
        <f>IFERROR(INDEX(計算用!$D$2:$D$186,MATCH("女白"&amp;$J117,計算用!$L$2:$L$186,0)),"")</f>
        <v/>
      </c>
      <c r="P117" s="15">
        <f>IFERROR(INDEX(計算用!$M$2:$M$186,MATCH("女白"&amp;$J117,計算用!$L$2:$L$186,0)),"")</f>
        <v/>
      </c>
      <c r="Q117" s="16">
        <f>IFERROR(INDEX(計算用!$G$2:$G$186,MATCH("女白"&amp;$J117,計算用!$L$2:$L$186,0)),"")</f>
        <v/>
      </c>
    </row>
    <row r="118">
      <c r="A118" s="15">
        <f>IF(ROW()-3&lt;=MAX(計算用!$Q$2,計算用!$Q$3),ROW()-3,"")</f>
        <v/>
      </c>
      <c r="B118" s="15">
        <f>IFERROR(INDEX(計算用!$D$2:$D$186,MATCH("男赤"&amp;$A118,計算用!$L$2:$L$186,0)),"")</f>
        <v/>
      </c>
      <c r="C118" s="15">
        <f>IFERROR(INDEX(計算用!$M$2:$M$186,MATCH("男赤"&amp;$A118,計算用!$L$2:$L$186,0)),"")</f>
        <v/>
      </c>
      <c r="D118" s="16">
        <f>IFERROR(INDEX(計算用!$G$2:$G$186,MATCH("男赤"&amp;$A118,計算用!$L$2:$L$186,0)),"")</f>
        <v/>
      </c>
      <c r="E118" s="15" t="n"/>
      <c r="F118" s="15">
        <f>IFERROR(INDEX(計算用!$D$2:$D$186,MATCH("男白"&amp;$A118,計算用!$L$2:$L$186,0)),"")</f>
        <v/>
      </c>
      <c r="G118" s="15">
        <f>IFERROR(INDEX(計算用!$M$2:$M$186,MATCH("男白"&amp;$A118,計算用!$L$2:$L$186,0)),"")</f>
        <v/>
      </c>
      <c r="H118" s="16">
        <f>IFERROR(INDEX(計算用!$G$2:$G$186,MATCH("男白"&amp;$A118,計算用!$L$2:$L$186,0)),"")</f>
        <v/>
      </c>
      <c r="I118" s="15" t="n"/>
      <c r="J118" s="15">
        <f>IF(ROW()-3&lt;=MAX(計算用!$Q$4,計算用!$Q$5),ROW()-3,"")</f>
        <v/>
      </c>
      <c r="K118" s="15">
        <f>IFERROR(INDEX(計算用!$D$2:$D$186,MATCH("女赤"&amp;$J118,計算用!$L$2:$L$186,0)),"")</f>
        <v/>
      </c>
      <c r="L118" s="15">
        <f>IFERROR(INDEX(計算用!$M$2:$M$186,MATCH("女赤"&amp;$J118,計算用!$L$2:$L$186,0)),"")</f>
        <v/>
      </c>
      <c r="M118" s="16">
        <f>IFERROR(INDEX(計算用!$G$2:$G$186,MATCH("女赤"&amp;$J118,計算用!$L$2:$L$186,0)),"")</f>
        <v/>
      </c>
      <c r="N118" s="15" t="n"/>
      <c r="O118" s="15">
        <f>IFERROR(INDEX(計算用!$D$2:$D$186,MATCH("女白"&amp;$J118,計算用!$L$2:$L$186,0)),"")</f>
        <v/>
      </c>
      <c r="P118" s="15">
        <f>IFERROR(INDEX(計算用!$M$2:$M$186,MATCH("女白"&amp;$J118,計算用!$L$2:$L$186,0)),"")</f>
        <v/>
      </c>
      <c r="Q118" s="16">
        <f>IFERROR(INDEX(計算用!$G$2:$G$186,MATCH("女白"&amp;$J118,計算用!$L$2:$L$186,0)),"")</f>
        <v/>
      </c>
    </row>
    <row r="119">
      <c r="A119" s="15">
        <f>IF(ROW()-3&lt;=MAX(計算用!$Q$2,計算用!$Q$3),ROW()-3,"")</f>
        <v/>
      </c>
      <c r="B119" s="15">
        <f>IFERROR(INDEX(計算用!$D$2:$D$186,MATCH("男赤"&amp;$A119,計算用!$L$2:$L$186,0)),"")</f>
        <v/>
      </c>
      <c r="C119" s="15">
        <f>IFERROR(INDEX(計算用!$M$2:$M$186,MATCH("男赤"&amp;$A119,計算用!$L$2:$L$186,0)),"")</f>
        <v/>
      </c>
      <c r="D119" s="16">
        <f>IFERROR(INDEX(計算用!$G$2:$G$186,MATCH("男赤"&amp;$A119,計算用!$L$2:$L$186,0)),"")</f>
        <v/>
      </c>
      <c r="E119" s="15" t="n"/>
      <c r="F119" s="15">
        <f>IFERROR(INDEX(計算用!$D$2:$D$186,MATCH("男白"&amp;$A119,計算用!$L$2:$L$186,0)),"")</f>
        <v/>
      </c>
      <c r="G119" s="15">
        <f>IFERROR(INDEX(計算用!$M$2:$M$186,MATCH("男白"&amp;$A119,計算用!$L$2:$L$186,0)),"")</f>
        <v/>
      </c>
      <c r="H119" s="16">
        <f>IFERROR(INDEX(計算用!$G$2:$G$186,MATCH("男白"&amp;$A119,計算用!$L$2:$L$186,0)),"")</f>
        <v/>
      </c>
      <c r="I119" s="15" t="n"/>
      <c r="J119" s="15">
        <f>IF(ROW()-3&lt;=MAX(計算用!$Q$4,計算用!$Q$5),ROW()-3,"")</f>
        <v/>
      </c>
      <c r="K119" s="15">
        <f>IFERROR(INDEX(計算用!$D$2:$D$186,MATCH("女赤"&amp;$J119,計算用!$L$2:$L$186,0)),"")</f>
        <v/>
      </c>
      <c r="L119" s="15">
        <f>IFERROR(INDEX(計算用!$M$2:$M$186,MATCH("女赤"&amp;$J119,計算用!$L$2:$L$186,0)),"")</f>
        <v/>
      </c>
      <c r="M119" s="16">
        <f>IFERROR(INDEX(計算用!$G$2:$G$186,MATCH("女赤"&amp;$J119,計算用!$L$2:$L$186,0)),"")</f>
        <v/>
      </c>
      <c r="N119" s="15" t="n"/>
      <c r="O119" s="15">
        <f>IFERROR(INDEX(計算用!$D$2:$D$186,MATCH("女白"&amp;$J119,計算用!$L$2:$L$186,0)),"")</f>
        <v/>
      </c>
      <c r="P119" s="15">
        <f>IFERROR(INDEX(計算用!$M$2:$M$186,MATCH("女白"&amp;$J119,計算用!$L$2:$L$186,0)),"")</f>
        <v/>
      </c>
      <c r="Q119" s="16">
        <f>IFERROR(INDEX(計算用!$G$2:$G$186,MATCH("女白"&amp;$J119,計算用!$L$2:$L$186,0)),"")</f>
        <v/>
      </c>
    </row>
    <row r="120">
      <c r="A120" s="15">
        <f>IF(ROW()-3&lt;=MAX(計算用!$Q$2,計算用!$Q$3),ROW()-3,"")</f>
        <v/>
      </c>
      <c r="B120" s="15">
        <f>IFERROR(INDEX(計算用!$D$2:$D$186,MATCH("男赤"&amp;$A120,計算用!$L$2:$L$186,0)),"")</f>
        <v/>
      </c>
      <c r="C120" s="15">
        <f>IFERROR(INDEX(計算用!$M$2:$M$186,MATCH("男赤"&amp;$A120,計算用!$L$2:$L$186,0)),"")</f>
        <v/>
      </c>
      <c r="D120" s="16">
        <f>IFERROR(INDEX(計算用!$G$2:$G$186,MATCH("男赤"&amp;$A120,計算用!$L$2:$L$186,0)),"")</f>
        <v/>
      </c>
      <c r="E120" s="15" t="n"/>
      <c r="F120" s="15">
        <f>IFERROR(INDEX(計算用!$D$2:$D$186,MATCH("男白"&amp;$A120,計算用!$L$2:$L$186,0)),"")</f>
        <v/>
      </c>
      <c r="G120" s="15">
        <f>IFERROR(INDEX(計算用!$M$2:$M$186,MATCH("男白"&amp;$A120,計算用!$L$2:$L$186,0)),"")</f>
        <v/>
      </c>
      <c r="H120" s="16">
        <f>IFERROR(INDEX(計算用!$G$2:$G$186,MATCH("男白"&amp;$A120,計算用!$L$2:$L$186,0)),"")</f>
        <v/>
      </c>
      <c r="I120" s="15" t="n"/>
      <c r="J120" s="15">
        <f>IF(ROW()-3&lt;=MAX(計算用!$Q$4,計算用!$Q$5),ROW()-3,"")</f>
        <v/>
      </c>
      <c r="K120" s="15">
        <f>IFERROR(INDEX(計算用!$D$2:$D$186,MATCH("女赤"&amp;$J120,計算用!$L$2:$L$186,0)),"")</f>
        <v/>
      </c>
      <c r="L120" s="15">
        <f>IFERROR(INDEX(計算用!$M$2:$M$186,MATCH("女赤"&amp;$J120,計算用!$L$2:$L$186,0)),"")</f>
        <v/>
      </c>
      <c r="M120" s="16">
        <f>IFERROR(INDEX(計算用!$G$2:$G$186,MATCH("女赤"&amp;$J120,計算用!$L$2:$L$186,0)),"")</f>
        <v/>
      </c>
      <c r="N120" s="15" t="n"/>
      <c r="O120" s="15">
        <f>IFERROR(INDEX(計算用!$D$2:$D$186,MATCH("女白"&amp;$J120,計算用!$L$2:$L$186,0)),"")</f>
        <v/>
      </c>
      <c r="P120" s="15">
        <f>IFERROR(INDEX(計算用!$M$2:$M$186,MATCH("女白"&amp;$J120,計算用!$L$2:$L$186,0)),"")</f>
        <v/>
      </c>
      <c r="Q120" s="16">
        <f>IFERROR(INDEX(計算用!$G$2:$G$186,MATCH("女白"&amp;$J120,計算用!$L$2:$L$186,0)),"")</f>
        <v/>
      </c>
    </row>
    <row r="121">
      <c r="A121" s="15">
        <f>IF(ROW()-3&lt;=MAX(計算用!$Q$2,計算用!$Q$3),ROW()-3,"")</f>
        <v/>
      </c>
      <c r="B121" s="15">
        <f>IFERROR(INDEX(計算用!$D$2:$D$186,MATCH("男赤"&amp;$A121,計算用!$L$2:$L$186,0)),"")</f>
        <v/>
      </c>
      <c r="C121" s="15">
        <f>IFERROR(INDEX(計算用!$M$2:$M$186,MATCH("男赤"&amp;$A121,計算用!$L$2:$L$186,0)),"")</f>
        <v/>
      </c>
      <c r="D121" s="16">
        <f>IFERROR(INDEX(計算用!$G$2:$G$186,MATCH("男赤"&amp;$A121,計算用!$L$2:$L$186,0)),"")</f>
        <v/>
      </c>
      <c r="E121" s="15" t="n"/>
      <c r="F121" s="15">
        <f>IFERROR(INDEX(計算用!$D$2:$D$186,MATCH("男白"&amp;$A121,計算用!$L$2:$L$186,0)),"")</f>
        <v/>
      </c>
      <c r="G121" s="15">
        <f>IFERROR(INDEX(計算用!$M$2:$M$186,MATCH("男白"&amp;$A121,計算用!$L$2:$L$186,0)),"")</f>
        <v/>
      </c>
      <c r="H121" s="16">
        <f>IFERROR(INDEX(計算用!$G$2:$G$186,MATCH("男白"&amp;$A121,計算用!$L$2:$L$186,0)),"")</f>
        <v/>
      </c>
      <c r="I121" s="15" t="n"/>
      <c r="J121" s="15">
        <f>IF(ROW()-3&lt;=MAX(計算用!$Q$4,計算用!$Q$5),ROW()-3,"")</f>
        <v/>
      </c>
      <c r="K121" s="15">
        <f>IFERROR(INDEX(計算用!$D$2:$D$186,MATCH("女赤"&amp;$J121,計算用!$L$2:$L$186,0)),"")</f>
        <v/>
      </c>
      <c r="L121" s="15">
        <f>IFERROR(INDEX(計算用!$M$2:$M$186,MATCH("女赤"&amp;$J121,計算用!$L$2:$L$186,0)),"")</f>
        <v/>
      </c>
      <c r="M121" s="16">
        <f>IFERROR(INDEX(計算用!$G$2:$G$186,MATCH("女赤"&amp;$J121,計算用!$L$2:$L$186,0)),"")</f>
        <v/>
      </c>
      <c r="N121" s="15" t="n"/>
      <c r="O121" s="15">
        <f>IFERROR(INDEX(計算用!$D$2:$D$186,MATCH("女白"&amp;$J121,計算用!$L$2:$L$186,0)),"")</f>
        <v/>
      </c>
      <c r="P121" s="15">
        <f>IFERROR(INDEX(計算用!$M$2:$M$186,MATCH("女白"&amp;$J121,計算用!$L$2:$L$186,0)),"")</f>
        <v/>
      </c>
      <c r="Q121" s="16">
        <f>IFERROR(INDEX(計算用!$G$2:$G$186,MATCH("女白"&amp;$J121,計算用!$L$2:$L$186,0)),"")</f>
        <v/>
      </c>
    </row>
    <row r="122">
      <c r="A122" s="15">
        <f>IF(ROW()-3&lt;=MAX(計算用!$Q$2,計算用!$Q$3),ROW()-3,"")</f>
        <v/>
      </c>
      <c r="B122" s="15">
        <f>IFERROR(INDEX(計算用!$D$2:$D$186,MATCH("男赤"&amp;$A122,計算用!$L$2:$L$186,0)),"")</f>
        <v/>
      </c>
      <c r="C122" s="15">
        <f>IFERROR(INDEX(計算用!$M$2:$M$186,MATCH("男赤"&amp;$A122,計算用!$L$2:$L$186,0)),"")</f>
        <v/>
      </c>
      <c r="D122" s="16">
        <f>IFERROR(INDEX(計算用!$G$2:$G$186,MATCH("男赤"&amp;$A122,計算用!$L$2:$L$186,0)),"")</f>
        <v/>
      </c>
      <c r="E122" s="15" t="n"/>
      <c r="F122" s="15">
        <f>IFERROR(INDEX(計算用!$D$2:$D$186,MATCH("男白"&amp;$A122,計算用!$L$2:$L$186,0)),"")</f>
        <v/>
      </c>
      <c r="G122" s="15">
        <f>IFERROR(INDEX(計算用!$M$2:$M$186,MATCH("男白"&amp;$A122,計算用!$L$2:$L$186,0)),"")</f>
        <v/>
      </c>
      <c r="H122" s="16">
        <f>IFERROR(INDEX(計算用!$G$2:$G$186,MATCH("男白"&amp;$A122,計算用!$L$2:$L$186,0)),"")</f>
        <v/>
      </c>
      <c r="I122" s="15" t="n"/>
      <c r="J122" s="15">
        <f>IF(ROW()-3&lt;=MAX(計算用!$Q$4,計算用!$Q$5),ROW()-3,"")</f>
        <v/>
      </c>
      <c r="K122" s="15">
        <f>IFERROR(INDEX(計算用!$D$2:$D$186,MATCH("女赤"&amp;$J122,計算用!$L$2:$L$186,0)),"")</f>
        <v/>
      </c>
      <c r="L122" s="15">
        <f>IFERROR(INDEX(計算用!$M$2:$M$186,MATCH("女赤"&amp;$J122,計算用!$L$2:$L$186,0)),"")</f>
        <v/>
      </c>
      <c r="M122" s="16">
        <f>IFERROR(INDEX(計算用!$G$2:$G$186,MATCH("女赤"&amp;$J122,計算用!$L$2:$L$186,0)),"")</f>
        <v/>
      </c>
      <c r="N122" s="15" t="n"/>
      <c r="O122" s="15">
        <f>IFERROR(INDEX(計算用!$D$2:$D$186,MATCH("女白"&amp;$J122,計算用!$L$2:$L$186,0)),"")</f>
        <v/>
      </c>
      <c r="P122" s="15">
        <f>IFERROR(INDEX(計算用!$M$2:$M$186,MATCH("女白"&amp;$J122,計算用!$L$2:$L$186,0)),"")</f>
        <v/>
      </c>
      <c r="Q122" s="16">
        <f>IFERROR(INDEX(計算用!$G$2:$G$186,MATCH("女白"&amp;$J122,計算用!$L$2:$L$186,0)),"")</f>
        <v/>
      </c>
    </row>
    <row r="123">
      <c r="A123" s="15">
        <f>IF(ROW()-3&lt;=MAX(計算用!$Q$2,計算用!$Q$3),ROW()-3,"")</f>
        <v/>
      </c>
      <c r="B123" s="15">
        <f>IFERROR(INDEX(計算用!$D$2:$D$186,MATCH("男赤"&amp;$A123,計算用!$L$2:$L$186,0)),"")</f>
        <v/>
      </c>
      <c r="C123" s="15">
        <f>IFERROR(INDEX(計算用!$M$2:$M$186,MATCH("男赤"&amp;$A123,計算用!$L$2:$L$186,0)),"")</f>
        <v/>
      </c>
      <c r="D123" s="16">
        <f>IFERROR(INDEX(計算用!$G$2:$G$186,MATCH("男赤"&amp;$A123,計算用!$L$2:$L$186,0)),"")</f>
        <v/>
      </c>
      <c r="E123" s="15" t="n"/>
      <c r="F123" s="15">
        <f>IFERROR(INDEX(計算用!$D$2:$D$186,MATCH("男白"&amp;$A123,計算用!$L$2:$L$186,0)),"")</f>
        <v/>
      </c>
      <c r="G123" s="15">
        <f>IFERROR(INDEX(計算用!$M$2:$M$186,MATCH("男白"&amp;$A123,計算用!$L$2:$L$186,0)),"")</f>
        <v/>
      </c>
      <c r="H123" s="16">
        <f>IFERROR(INDEX(計算用!$G$2:$G$186,MATCH("男白"&amp;$A123,計算用!$L$2:$L$186,0)),"")</f>
        <v/>
      </c>
      <c r="I123" s="15" t="n"/>
      <c r="J123" s="15">
        <f>IF(ROW()-3&lt;=MAX(計算用!$Q$4,計算用!$Q$5),ROW()-3,"")</f>
        <v/>
      </c>
      <c r="K123" s="15">
        <f>IFERROR(INDEX(計算用!$D$2:$D$186,MATCH("女赤"&amp;$J123,計算用!$L$2:$L$186,0)),"")</f>
        <v/>
      </c>
      <c r="L123" s="15">
        <f>IFERROR(INDEX(計算用!$M$2:$M$186,MATCH("女赤"&amp;$J123,計算用!$L$2:$L$186,0)),"")</f>
        <v/>
      </c>
      <c r="M123" s="16">
        <f>IFERROR(INDEX(計算用!$G$2:$G$186,MATCH("女赤"&amp;$J123,計算用!$L$2:$L$186,0)),"")</f>
        <v/>
      </c>
      <c r="N123" s="15" t="n"/>
      <c r="O123" s="15">
        <f>IFERROR(INDEX(計算用!$D$2:$D$186,MATCH("女白"&amp;$J123,計算用!$L$2:$L$186,0)),"")</f>
        <v/>
      </c>
      <c r="P123" s="15">
        <f>IFERROR(INDEX(計算用!$M$2:$M$186,MATCH("女白"&amp;$J123,計算用!$L$2:$L$186,0)),"")</f>
        <v/>
      </c>
      <c r="Q123" s="16">
        <f>IFERROR(INDEX(計算用!$G$2:$G$186,MATCH("女白"&amp;$J123,計算用!$L$2:$L$186,0)),"")</f>
        <v/>
      </c>
    </row>
    <row r="124">
      <c r="A124" s="15">
        <f>IF(ROW()-3&lt;=MAX(計算用!$Q$2,計算用!$Q$3),ROW()-3,"")</f>
        <v/>
      </c>
      <c r="B124" s="15">
        <f>IFERROR(INDEX(計算用!$D$2:$D$186,MATCH("男赤"&amp;$A124,計算用!$L$2:$L$186,0)),"")</f>
        <v/>
      </c>
      <c r="C124" s="15">
        <f>IFERROR(INDEX(計算用!$M$2:$M$186,MATCH("男赤"&amp;$A124,計算用!$L$2:$L$186,0)),"")</f>
        <v/>
      </c>
      <c r="D124" s="16">
        <f>IFERROR(INDEX(計算用!$G$2:$G$186,MATCH("男赤"&amp;$A124,計算用!$L$2:$L$186,0)),"")</f>
        <v/>
      </c>
      <c r="E124" s="15" t="n"/>
      <c r="F124" s="15">
        <f>IFERROR(INDEX(計算用!$D$2:$D$186,MATCH("男白"&amp;$A124,計算用!$L$2:$L$186,0)),"")</f>
        <v/>
      </c>
      <c r="G124" s="15">
        <f>IFERROR(INDEX(計算用!$M$2:$M$186,MATCH("男白"&amp;$A124,計算用!$L$2:$L$186,0)),"")</f>
        <v/>
      </c>
      <c r="H124" s="16">
        <f>IFERROR(INDEX(計算用!$G$2:$G$186,MATCH("男白"&amp;$A124,計算用!$L$2:$L$186,0)),"")</f>
        <v/>
      </c>
      <c r="I124" s="15" t="n"/>
      <c r="J124" s="15">
        <f>IF(ROW()-3&lt;=MAX(計算用!$Q$4,計算用!$Q$5),ROW()-3,"")</f>
        <v/>
      </c>
      <c r="K124" s="15">
        <f>IFERROR(INDEX(計算用!$D$2:$D$186,MATCH("女赤"&amp;$J124,計算用!$L$2:$L$186,0)),"")</f>
        <v/>
      </c>
      <c r="L124" s="15">
        <f>IFERROR(INDEX(計算用!$M$2:$M$186,MATCH("女赤"&amp;$J124,計算用!$L$2:$L$186,0)),"")</f>
        <v/>
      </c>
      <c r="M124" s="16">
        <f>IFERROR(INDEX(計算用!$G$2:$G$186,MATCH("女赤"&amp;$J124,計算用!$L$2:$L$186,0)),"")</f>
        <v/>
      </c>
      <c r="N124" s="15" t="n"/>
      <c r="O124" s="15">
        <f>IFERROR(INDEX(計算用!$D$2:$D$186,MATCH("女白"&amp;$J124,計算用!$L$2:$L$186,0)),"")</f>
        <v/>
      </c>
      <c r="P124" s="15">
        <f>IFERROR(INDEX(計算用!$M$2:$M$186,MATCH("女白"&amp;$J124,計算用!$L$2:$L$186,0)),"")</f>
        <v/>
      </c>
      <c r="Q124" s="16">
        <f>IFERROR(INDEX(計算用!$G$2:$G$186,MATCH("女白"&amp;$J124,計算用!$L$2:$L$186,0)),"")</f>
        <v/>
      </c>
    </row>
    <row r="125">
      <c r="A125" s="15">
        <f>IF(ROW()-3&lt;=MAX(計算用!$Q$2,計算用!$Q$3),ROW()-3,"")</f>
        <v/>
      </c>
      <c r="B125" s="15">
        <f>IFERROR(INDEX(計算用!$D$2:$D$186,MATCH("男赤"&amp;$A125,計算用!$L$2:$L$186,0)),"")</f>
        <v/>
      </c>
      <c r="C125" s="15">
        <f>IFERROR(INDEX(計算用!$M$2:$M$186,MATCH("男赤"&amp;$A125,計算用!$L$2:$L$186,0)),"")</f>
        <v/>
      </c>
      <c r="D125" s="16">
        <f>IFERROR(INDEX(計算用!$G$2:$G$186,MATCH("男赤"&amp;$A125,計算用!$L$2:$L$186,0)),"")</f>
        <v/>
      </c>
      <c r="E125" s="15" t="n"/>
      <c r="F125" s="15">
        <f>IFERROR(INDEX(計算用!$D$2:$D$186,MATCH("男白"&amp;$A125,計算用!$L$2:$L$186,0)),"")</f>
        <v/>
      </c>
      <c r="G125" s="15">
        <f>IFERROR(INDEX(計算用!$M$2:$M$186,MATCH("男白"&amp;$A125,計算用!$L$2:$L$186,0)),"")</f>
        <v/>
      </c>
      <c r="H125" s="16">
        <f>IFERROR(INDEX(計算用!$G$2:$G$186,MATCH("男白"&amp;$A125,計算用!$L$2:$L$186,0)),"")</f>
        <v/>
      </c>
      <c r="I125" s="15" t="n"/>
      <c r="J125" s="15">
        <f>IF(ROW()-3&lt;=MAX(計算用!$Q$4,計算用!$Q$5),ROW()-3,"")</f>
        <v/>
      </c>
      <c r="K125" s="15">
        <f>IFERROR(INDEX(計算用!$D$2:$D$186,MATCH("女赤"&amp;$J125,計算用!$L$2:$L$186,0)),"")</f>
        <v/>
      </c>
      <c r="L125" s="15">
        <f>IFERROR(INDEX(計算用!$M$2:$M$186,MATCH("女赤"&amp;$J125,計算用!$L$2:$L$186,0)),"")</f>
        <v/>
      </c>
      <c r="M125" s="16">
        <f>IFERROR(INDEX(計算用!$G$2:$G$186,MATCH("女赤"&amp;$J125,計算用!$L$2:$L$186,0)),"")</f>
        <v/>
      </c>
      <c r="N125" s="15" t="n"/>
      <c r="O125" s="15">
        <f>IFERROR(INDEX(計算用!$D$2:$D$186,MATCH("女白"&amp;$J125,計算用!$L$2:$L$186,0)),"")</f>
        <v/>
      </c>
      <c r="P125" s="15">
        <f>IFERROR(INDEX(計算用!$M$2:$M$186,MATCH("女白"&amp;$J125,計算用!$L$2:$L$186,0)),"")</f>
        <v/>
      </c>
      <c r="Q125" s="16">
        <f>IFERROR(INDEX(計算用!$G$2:$G$186,MATCH("女白"&amp;$J125,計算用!$L$2:$L$186,0)),"")</f>
        <v/>
      </c>
    </row>
    <row r="126">
      <c r="A126" s="15">
        <f>IF(ROW()-3&lt;=MAX(計算用!$Q$2,計算用!$Q$3),ROW()-3,"")</f>
        <v/>
      </c>
      <c r="B126" s="15">
        <f>IFERROR(INDEX(計算用!$D$2:$D$186,MATCH("男赤"&amp;$A126,計算用!$L$2:$L$186,0)),"")</f>
        <v/>
      </c>
      <c r="C126" s="15">
        <f>IFERROR(INDEX(計算用!$M$2:$M$186,MATCH("男赤"&amp;$A126,計算用!$L$2:$L$186,0)),"")</f>
        <v/>
      </c>
      <c r="D126" s="16">
        <f>IFERROR(INDEX(計算用!$G$2:$G$186,MATCH("男赤"&amp;$A126,計算用!$L$2:$L$186,0)),"")</f>
        <v/>
      </c>
      <c r="E126" s="15" t="n"/>
      <c r="F126" s="15">
        <f>IFERROR(INDEX(計算用!$D$2:$D$186,MATCH("男白"&amp;$A126,計算用!$L$2:$L$186,0)),"")</f>
        <v/>
      </c>
      <c r="G126" s="15">
        <f>IFERROR(INDEX(計算用!$M$2:$M$186,MATCH("男白"&amp;$A126,計算用!$L$2:$L$186,0)),"")</f>
        <v/>
      </c>
      <c r="H126" s="16">
        <f>IFERROR(INDEX(計算用!$G$2:$G$186,MATCH("男白"&amp;$A126,計算用!$L$2:$L$186,0)),"")</f>
        <v/>
      </c>
      <c r="I126" s="15" t="n"/>
      <c r="J126" s="15">
        <f>IF(ROW()-3&lt;=MAX(計算用!$Q$4,計算用!$Q$5),ROW()-3,"")</f>
        <v/>
      </c>
      <c r="K126" s="15">
        <f>IFERROR(INDEX(計算用!$D$2:$D$186,MATCH("女赤"&amp;$J126,計算用!$L$2:$L$186,0)),"")</f>
        <v/>
      </c>
      <c r="L126" s="15">
        <f>IFERROR(INDEX(計算用!$M$2:$M$186,MATCH("女赤"&amp;$J126,計算用!$L$2:$L$186,0)),"")</f>
        <v/>
      </c>
      <c r="M126" s="16">
        <f>IFERROR(INDEX(計算用!$G$2:$G$186,MATCH("女赤"&amp;$J126,計算用!$L$2:$L$186,0)),"")</f>
        <v/>
      </c>
      <c r="N126" s="15" t="n"/>
      <c r="O126" s="15">
        <f>IFERROR(INDEX(計算用!$D$2:$D$186,MATCH("女白"&amp;$J126,計算用!$L$2:$L$186,0)),"")</f>
        <v/>
      </c>
      <c r="P126" s="15">
        <f>IFERROR(INDEX(計算用!$M$2:$M$186,MATCH("女白"&amp;$J126,計算用!$L$2:$L$186,0)),"")</f>
        <v/>
      </c>
      <c r="Q126" s="16">
        <f>IFERROR(INDEX(計算用!$G$2:$G$186,MATCH("女白"&amp;$J126,計算用!$L$2:$L$186,0)),"")</f>
        <v/>
      </c>
    </row>
    <row r="127">
      <c r="A127" s="15">
        <f>IF(ROW()-3&lt;=MAX(計算用!$Q$2,計算用!$Q$3),ROW()-3,"")</f>
        <v/>
      </c>
      <c r="B127" s="15">
        <f>IFERROR(INDEX(計算用!$D$2:$D$186,MATCH("男赤"&amp;$A127,計算用!$L$2:$L$186,0)),"")</f>
        <v/>
      </c>
      <c r="C127" s="15">
        <f>IFERROR(INDEX(計算用!$M$2:$M$186,MATCH("男赤"&amp;$A127,計算用!$L$2:$L$186,0)),"")</f>
        <v/>
      </c>
      <c r="D127" s="16">
        <f>IFERROR(INDEX(計算用!$G$2:$G$186,MATCH("男赤"&amp;$A127,計算用!$L$2:$L$186,0)),"")</f>
        <v/>
      </c>
      <c r="E127" s="15" t="n"/>
      <c r="F127" s="15">
        <f>IFERROR(INDEX(計算用!$D$2:$D$186,MATCH("男白"&amp;$A127,計算用!$L$2:$L$186,0)),"")</f>
        <v/>
      </c>
      <c r="G127" s="15">
        <f>IFERROR(INDEX(計算用!$M$2:$M$186,MATCH("男白"&amp;$A127,計算用!$L$2:$L$186,0)),"")</f>
        <v/>
      </c>
      <c r="H127" s="16">
        <f>IFERROR(INDEX(計算用!$G$2:$G$186,MATCH("男白"&amp;$A127,計算用!$L$2:$L$186,0)),"")</f>
        <v/>
      </c>
      <c r="I127" s="15" t="n"/>
      <c r="J127" s="15">
        <f>IF(ROW()-3&lt;=MAX(計算用!$Q$4,計算用!$Q$5),ROW()-3,"")</f>
        <v/>
      </c>
      <c r="K127" s="15">
        <f>IFERROR(INDEX(計算用!$D$2:$D$186,MATCH("女赤"&amp;$J127,計算用!$L$2:$L$186,0)),"")</f>
        <v/>
      </c>
      <c r="L127" s="15">
        <f>IFERROR(INDEX(計算用!$M$2:$M$186,MATCH("女赤"&amp;$J127,計算用!$L$2:$L$186,0)),"")</f>
        <v/>
      </c>
      <c r="M127" s="16">
        <f>IFERROR(INDEX(計算用!$G$2:$G$186,MATCH("女赤"&amp;$J127,計算用!$L$2:$L$186,0)),"")</f>
        <v/>
      </c>
      <c r="N127" s="15" t="n"/>
      <c r="O127" s="15">
        <f>IFERROR(INDEX(計算用!$D$2:$D$186,MATCH("女白"&amp;$J127,計算用!$L$2:$L$186,0)),"")</f>
        <v/>
      </c>
      <c r="P127" s="15">
        <f>IFERROR(INDEX(計算用!$M$2:$M$186,MATCH("女白"&amp;$J127,計算用!$L$2:$L$186,0)),"")</f>
        <v/>
      </c>
      <c r="Q127" s="16">
        <f>IFERROR(INDEX(計算用!$G$2:$G$186,MATCH("女白"&amp;$J127,計算用!$L$2:$L$186,0)),"")</f>
        <v/>
      </c>
    </row>
    <row r="128">
      <c r="A128" s="15">
        <f>IF(ROW()-3&lt;=MAX(計算用!$Q$2,計算用!$Q$3),ROW()-3,"")</f>
        <v/>
      </c>
      <c r="B128" s="15">
        <f>IFERROR(INDEX(計算用!$D$2:$D$186,MATCH("男赤"&amp;$A128,計算用!$L$2:$L$186,0)),"")</f>
        <v/>
      </c>
      <c r="C128" s="15">
        <f>IFERROR(INDEX(計算用!$M$2:$M$186,MATCH("男赤"&amp;$A128,計算用!$L$2:$L$186,0)),"")</f>
        <v/>
      </c>
      <c r="D128" s="16">
        <f>IFERROR(INDEX(計算用!$G$2:$G$186,MATCH("男赤"&amp;$A128,計算用!$L$2:$L$186,0)),"")</f>
        <v/>
      </c>
      <c r="E128" s="15" t="n"/>
      <c r="F128" s="15">
        <f>IFERROR(INDEX(計算用!$D$2:$D$186,MATCH("男白"&amp;$A128,計算用!$L$2:$L$186,0)),"")</f>
        <v/>
      </c>
      <c r="G128" s="15">
        <f>IFERROR(INDEX(計算用!$M$2:$M$186,MATCH("男白"&amp;$A128,計算用!$L$2:$L$186,0)),"")</f>
        <v/>
      </c>
      <c r="H128" s="16">
        <f>IFERROR(INDEX(計算用!$G$2:$G$186,MATCH("男白"&amp;$A128,計算用!$L$2:$L$186,0)),"")</f>
        <v/>
      </c>
      <c r="I128" s="15" t="n"/>
      <c r="J128" s="15">
        <f>IF(ROW()-3&lt;=MAX(計算用!$Q$4,計算用!$Q$5),ROW()-3,"")</f>
        <v/>
      </c>
      <c r="K128" s="15">
        <f>IFERROR(INDEX(計算用!$D$2:$D$186,MATCH("女赤"&amp;$J128,計算用!$L$2:$L$186,0)),"")</f>
        <v/>
      </c>
      <c r="L128" s="15">
        <f>IFERROR(INDEX(計算用!$M$2:$M$186,MATCH("女赤"&amp;$J128,計算用!$L$2:$L$186,0)),"")</f>
        <v/>
      </c>
      <c r="M128" s="16">
        <f>IFERROR(INDEX(計算用!$G$2:$G$186,MATCH("女赤"&amp;$J128,計算用!$L$2:$L$186,0)),"")</f>
        <v/>
      </c>
      <c r="N128" s="15" t="n"/>
      <c r="O128" s="15">
        <f>IFERROR(INDEX(計算用!$D$2:$D$186,MATCH("女白"&amp;$J128,計算用!$L$2:$L$186,0)),"")</f>
        <v/>
      </c>
      <c r="P128" s="15">
        <f>IFERROR(INDEX(計算用!$M$2:$M$186,MATCH("女白"&amp;$J128,計算用!$L$2:$L$186,0)),"")</f>
        <v/>
      </c>
      <c r="Q128" s="16">
        <f>IFERROR(INDEX(計算用!$G$2:$G$186,MATCH("女白"&amp;$J128,計算用!$L$2:$L$186,0)),"")</f>
        <v/>
      </c>
    </row>
    <row r="129">
      <c r="A129" s="15">
        <f>IF(ROW()-3&lt;=MAX(計算用!$Q$2,計算用!$Q$3),ROW()-3,"")</f>
        <v/>
      </c>
      <c r="B129" s="15">
        <f>IFERROR(INDEX(計算用!$D$2:$D$186,MATCH("男赤"&amp;$A129,計算用!$L$2:$L$186,0)),"")</f>
        <v/>
      </c>
      <c r="C129" s="15">
        <f>IFERROR(INDEX(計算用!$M$2:$M$186,MATCH("男赤"&amp;$A129,計算用!$L$2:$L$186,0)),"")</f>
        <v/>
      </c>
      <c r="D129" s="16">
        <f>IFERROR(INDEX(計算用!$G$2:$G$186,MATCH("男赤"&amp;$A129,計算用!$L$2:$L$186,0)),"")</f>
        <v/>
      </c>
      <c r="E129" s="15" t="n"/>
      <c r="F129" s="15">
        <f>IFERROR(INDEX(計算用!$D$2:$D$186,MATCH("男白"&amp;$A129,計算用!$L$2:$L$186,0)),"")</f>
        <v/>
      </c>
      <c r="G129" s="15">
        <f>IFERROR(INDEX(計算用!$M$2:$M$186,MATCH("男白"&amp;$A129,計算用!$L$2:$L$186,0)),"")</f>
        <v/>
      </c>
      <c r="H129" s="16">
        <f>IFERROR(INDEX(計算用!$G$2:$G$186,MATCH("男白"&amp;$A129,計算用!$L$2:$L$186,0)),"")</f>
        <v/>
      </c>
      <c r="I129" s="15" t="n"/>
      <c r="J129" s="15">
        <f>IF(ROW()-3&lt;=MAX(計算用!$Q$4,計算用!$Q$5),ROW()-3,"")</f>
        <v/>
      </c>
      <c r="K129" s="15">
        <f>IFERROR(INDEX(計算用!$D$2:$D$186,MATCH("女赤"&amp;$J129,計算用!$L$2:$L$186,0)),"")</f>
        <v/>
      </c>
      <c r="L129" s="15">
        <f>IFERROR(INDEX(計算用!$M$2:$M$186,MATCH("女赤"&amp;$J129,計算用!$L$2:$L$186,0)),"")</f>
        <v/>
      </c>
      <c r="M129" s="16">
        <f>IFERROR(INDEX(計算用!$G$2:$G$186,MATCH("女赤"&amp;$J129,計算用!$L$2:$L$186,0)),"")</f>
        <v/>
      </c>
      <c r="N129" s="15" t="n"/>
      <c r="O129" s="15">
        <f>IFERROR(INDEX(計算用!$D$2:$D$186,MATCH("女白"&amp;$J129,計算用!$L$2:$L$186,0)),"")</f>
        <v/>
      </c>
      <c r="P129" s="15">
        <f>IFERROR(INDEX(計算用!$M$2:$M$186,MATCH("女白"&amp;$J129,計算用!$L$2:$L$186,0)),"")</f>
        <v/>
      </c>
      <c r="Q129" s="16">
        <f>IFERROR(INDEX(計算用!$G$2:$G$186,MATCH("女白"&amp;$J129,計算用!$L$2:$L$186,0)),"")</f>
        <v/>
      </c>
    </row>
    <row r="130">
      <c r="A130" s="15">
        <f>IF(ROW()-3&lt;=MAX(計算用!$Q$2,計算用!$Q$3),ROW()-3,"")</f>
        <v/>
      </c>
      <c r="B130" s="15">
        <f>IFERROR(INDEX(計算用!$D$2:$D$186,MATCH("男赤"&amp;$A130,計算用!$L$2:$L$186,0)),"")</f>
        <v/>
      </c>
      <c r="C130" s="15">
        <f>IFERROR(INDEX(計算用!$M$2:$M$186,MATCH("男赤"&amp;$A130,計算用!$L$2:$L$186,0)),"")</f>
        <v/>
      </c>
      <c r="D130" s="16">
        <f>IFERROR(INDEX(計算用!$G$2:$G$186,MATCH("男赤"&amp;$A130,計算用!$L$2:$L$186,0)),"")</f>
        <v/>
      </c>
      <c r="E130" s="15" t="n"/>
      <c r="F130" s="15">
        <f>IFERROR(INDEX(計算用!$D$2:$D$186,MATCH("男白"&amp;$A130,計算用!$L$2:$L$186,0)),"")</f>
        <v/>
      </c>
      <c r="G130" s="15">
        <f>IFERROR(INDEX(計算用!$M$2:$M$186,MATCH("男白"&amp;$A130,計算用!$L$2:$L$186,0)),"")</f>
        <v/>
      </c>
      <c r="H130" s="16">
        <f>IFERROR(INDEX(計算用!$G$2:$G$186,MATCH("男白"&amp;$A130,計算用!$L$2:$L$186,0)),"")</f>
        <v/>
      </c>
      <c r="I130" s="15" t="n"/>
      <c r="J130" s="15">
        <f>IF(ROW()-3&lt;=MAX(計算用!$Q$4,計算用!$Q$5),ROW()-3,"")</f>
        <v/>
      </c>
      <c r="K130" s="15">
        <f>IFERROR(INDEX(計算用!$D$2:$D$186,MATCH("女赤"&amp;$J130,計算用!$L$2:$L$186,0)),"")</f>
        <v/>
      </c>
      <c r="L130" s="15">
        <f>IFERROR(INDEX(計算用!$M$2:$M$186,MATCH("女赤"&amp;$J130,計算用!$L$2:$L$186,0)),"")</f>
        <v/>
      </c>
      <c r="M130" s="16">
        <f>IFERROR(INDEX(計算用!$G$2:$G$186,MATCH("女赤"&amp;$J130,計算用!$L$2:$L$186,0)),"")</f>
        <v/>
      </c>
      <c r="N130" s="15" t="n"/>
      <c r="O130" s="15">
        <f>IFERROR(INDEX(計算用!$D$2:$D$186,MATCH("女白"&amp;$J130,計算用!$L$2:$L$186,0)),"")</f>
        <v/>
      </c>
      <c r="P130" s="15">
        <f>IFERROR(INDEX(計算用!$M$2:$M$186,MATCH("女白"&amp;$J130,計算用!$L$2:$L$186,0)),"")</f>
        <v/>
      </c>
      <c r="Q130" s="16">
        <f>IFERROR(INDEX(計算用!$G$2:$G$186,MATCH("女白"&amp;$J130,計算用!$L$2:$L$186,0)),"")</f>
        <v/>
      </c>
    </row>
    <row r="131">
      <c r="A131" s="15">
        <f>IF(ROW()-3&lt;=MAX(計算用!$Q$2,計算用!$Q$3),ROW()-3,"")</f>
        <v/>
      </c>
      <c r="B131" s="15">
        <f>IFERROR(INDEX(計算用!$D$2:$D$186,MATCH("男赤"&amp;$A131,計算用!$L$2:$L$186,0)),"")</f>
        <v/>
      </c>
      <c r="C131" s="15">
        <f>IFERROR(INDEX(計算用!$M$2:$M$186,MATCH("男赤"&amp;$A131,計算用!$L$2:$L$186,0)),"")</f>
        <v/>
      </c>
      <c r="D131" s="16">
        <f>IFERROR(INDEX(計算用!$G$2:$G$186,MATCH("男赤"&amp;$A131,計算用!$L$2:$L$186,0)),"")</f>
        <v/>
      </c>
      <c r="E131" s="15" t="n"/>
      <c r="F131" s="15">
        <f>IFERROR(INDEX(計算用!$D$2:$D$186,MATCH("男白"&amp;$A131,計算用!$L$2:$L$186,0)),"")</f>
        <v/>
      </c>
      <c r="G131" s="15">
        <f>IFERROR(INDEX(計算用!$M$2:$M$186,MATCH("男白"&amp;$A131,計算用!$L$2:$L$186,0)),"")</f>
        <v/>
      </c>
      <c r="H131" s="16">
        <f>IFERROR(INDEX(計算用!$G$2:$G$186,MATCH("男白"&amp;$A131,計算用!$L$2:$L$186,0)),"")</f>
        <v/>
      </c>
      <c r="I131" s="15" t="n"/>
      <c r="J131" s="15">
        <f>IF(ROW()-3&lt;=MAX(計算用!$Q$4,計算用!$Q$5),ROW()-3,"")</f>
        <v/>
      </c>
      <c r="K131" s="15">
        <f>IFERROR(INDEX(計算用!$D$2:$D$186,MATCH("女赤"&amp;$J131,計算用!$L$2:$L$186,0)),"")</f>
        <v/>
      </c>
      <c r="L131" s="15">
        <f>IFERROR(INDEX(計算用!$M$2:$M$186,MATCH("女赤"&amp;$J131,計算用!$L$2:$L$186,0)),"")</f>
        <v/>
      </c>
      <c r="M131" s="16">
        <f>IFERROR(INDEX(計算用!$G$2:$G$186,MATCH("女赤"&amp;$J131,計算用!$L$2:$L$186,0)),"")</f>
        <v/>
      </c>
      <c r="N131" s="15" t="n"/>
      <c r="O131" s="15">
        <f>IFERROR(INDEX(計算用!$D$2:$D$186,MATCH("女白"&amp;$J131,計算用!$L$2:$L$186,0)),"")</f>
        <v/>
      </c>
      <c r="P131" s="15">
        <f>IFERROR(INDEX(計算用!$M$2:$M$186,MATCH("女白"&amp;$J131,計算用!$L$2:$L$186,0)),"")</f>
        <v/>
      </c>
      <c r="Q131" s="16">
        <f>IFERROR(INDEX(計算用!$G$2:$G$186,MATCH("女白"&amp;$J131,計算用!$L$2:$L$186,0)),"")</f>
        <v/>
      </c>
    </row>
    <row r="132">
      <c r="A132" s="15">
        <f>IF(ROW()-3&lt;=MAX(計算用!$Q$2,計算用!$Q$3),ROW()-3,"")</f>
        <v/>
      </c>
      <c r="B132" s="15">
        <f>IFERROR(INDEX(計算用!$D$2:$D$186,MATCH("男赤"&amp;$A132,計算用!$L$2:$L$186,0)),"")</f>
        <v/>
      </c>
      <c r="C132" s="15">
        <f>IFERROR(INDEX(計算用!$M$2:$M$186,MATCH("男赤"&amp;$A132,計算用!$L$2:$L$186,0)),"")</f>
        <v/>
      </c>
      <c r="D132" s="16">
        <f>IFERROR(INDEX(計算用!$G$2:$G$186,MATCH("男赤"&amp;$A132,計算用!$L$2:$L$186,0)),"")</f>
        <v/>
      </c>
      <c r="E132" s="15" t="n"/>
      <c r="F132" s="15">
        <f>IFERROR(INDEX(計算用!$D$2:$D$186,MATCH("男白"&amp;$A132,計算用!$L$2:$L$186,0)),"")</f>
        <v/>
      </c>
      <c r="G132" s="15">
        <f>IFERROR(INDEX(計算用!$M$2:$M$186,MATCH("男白"&amp;$A132,計算用!$L$2:$L$186,0)),"")</f>
        <v/>
      </c>
      <c r="H132" s="16">
        <f>IFERROR(INDEX(計算用!$G$2:$G$186,MATCH("男白"&amp;$A132,計算用!$L$2:$L$186,0)),"")</f>
        <v/>
      </c>
      <c r="I132" s="15" t="n"/>
      <c r="J132" s="15">
        <f>IF(ROW()-3&lt;=MAX(計算用!$Q$4,計算用!$Q$5),ROW()-3,"")</f>
        <v/>
      </c>
      <c r="K132" s="15">
        <f>IFERROR(INDEX(計算用!$D$2:$D$186,MATCH("女赤"&amp;$J132,計算用!$L$2:$L$186,0)),"")</f>
        <v/>
      </c>
      <c r="L132" s="15">
        <f>IFERROR(INDEX(計算用!$M$2:$M$186,MATCH("女赤"&amp;$J132,計算用!$L$2:$L$186,0)),"")</f>
        <v/>
      </c>
      <c r="M132" s="16">
        <f>IFERROR(INDEX(計算用!$G$2:$G$186,MATCH("女赤"&amp;$J132,計算用!$L$2:$L$186,0)),"")</f>
        <v/>
      </c>
      <c r="N132" s="15" t="n"/>
      <c r="O132" s="15">
        <f>IFERROR(INDEX(計算用!$D$2:$D$186,MATCH("女白"&amp;$J132,計算用!$L$2:$L$186,0)),"")</f>
        <v/>
      </c>
      <c r="P132" s="15">
        <f>IFERROR(INDEX(計算用!$M$2:$M$186,MATCH("女白"&amp;$J132,計算用!$L$2:$L$186,0)),"")</f>
        <v/>
      </c>
      <c r="Q132" s="16">
        <f>IFERROR(INDEX(計算用!$G$2:$G$186,MATCH("女白"&amp;$J132,計算用!$L$2:$L$186,0)),"")</f>
        <v/>
      </c>
    </row>
    <row r="133">
      <c r="A133" s="15">
        <f>IF(ROW()-3&lt;=MAX(計算用!$Q$2,計算用!$Q$3),ROW()-3,"")</f>
        <v/>
      </c>
      <c r="B133" s="15">
        <f>IFERROR(INDEX(計算用!$D$2:$D$186,MATCH("男赤"&amp;$A133,計算用!$L$2:$L$186,0)),"")</f>
        <v/>
      </c>
      <c r="C133" s="15">
        <f>IFERROR(INDEX(計算用!$M$2:$M$186,MATCH("男赤"&amp;$A133,計算用!$L$2:$L$186,0)),"")</f>
        <v/>
      </c>
      <c r="D133" s="16">
        <f>IFERROR(INDEX(計算用!$G$2:$G$186,MATCH("男赤"&amp;$A133,計算用!$L$2:$L$186,0)),"")</f>
        <v/>
      </c>
      <c r="E133" s="15" t="n"/>
      <c r="F133" s="15">
        <f>IFERROR(INDEX(計算用!$D$2:$D$186,MATCH("男白"&amp;$A133,計算用!$L$2:$L$186,0)),"")</f>
        <v/>
      </c>
      <c r="G133" s="15">
        <f>IFERROR(INDEX(計算用!$M$2:$M$186,MATCH("男白"&amp;$A133,計算用!$L$2:$L$186,0)),"")</f>
        <v/>
      </c>
      <c r="H133" s="16">
        <f>IFERROR(INDEX(計算用!$G$2:$G$186,MATCH("男白"&amp;$A133,計算用!$L$2:$L$186,0)),"")</f>
        <v/>
      </c>
      <c r="I133" s="15" t="n"/>
      <c r="J133" s="15">
        <f>IF(ROW()-3&lt;=MAX(計算用!$Q$4,計算用!$Q$5),ROW()-3,"")</f>
        <v/>
      </c>
      <c r="K133" s="15">
        <f>IFERROR(INDEX(計算用!$D$2:$D$186,MATCH("女赤"&amp;$J133,計算用!$L$2:$L$186,0)),"")</f>
        <v/>
      </c>
      <c r="L133" s="15">
        <f>IFERROR(INDEX(計算用!$M$2:$M$186,MATCH("女赤"&amp;$J133,計算用!$L$2:$L$186,0)),"")</f>
        <v/>
      </c>
      <c r="M133" s="16">
        <f>IFERROR(INDEX(計算用!$G$2:$G$186,MATCH("女赤"&amp;$J133,計算用!$L$2:$L$186,0)),"")</f>
        <v/>
      </c>
      <c r="N133" s="15" t="n"/>
      <c r="O133" s="15">
        <f>IFERROR(INDEX(計算用!$D$2:$D$186,MATCH("女白"&amp;$J133,計算用!$L$2:$L$186,0)),"")</f>
        <v/>
      </c>
      <c r="P133" s="15">
        <f>IFERROR(INDEX(計算用!$M$2:$M$186,MATCH("女白"&amp;$J133,計算用!$L$2:$L$186,0)),"")</f>
        <v/>
      </c>
      <c r="Q133" s="16">
        <f>IFERROR(INDEX(計算用!$G$2:$G$186,MATCH("女白"&amp;$J133,計算用!$L$2:$L$186,0)),"")</f>
        <v/>
      </c>
    </row>
    <row r="134">
      <c r="A134" s="15">
        <f>IF(ROW()-3&lt;=MAX(計算用!$Q$2,計算用!$Q$3),ROW()-3,"")</f>
        <v/>
      </c>
      <c r="B134" s="15">
        <f>IFERROR(INDEX(計算用!$D$2:$D$186,MATCH("男赤"&amp;$A134,計算用!$L$2:$L$186,0)),"")</f>
        <v/>
      </c>
      <c r="C134" s="15">
        <f>IFERROR(INDEX(計算用!$M$2:$M$186,MATCH("男赤"&amp;$A134,計算用!$L$2:$L$186,0)),"")</f>
        <v/>
      </c>
      <c r="D134" s="16">
        <f>IFERROR(INDEX(計算用!$G$2:$G$186,MATCH("男赤"&amp;$A134,計算用!$L$2:$L$186,0)),"")</f>
        <v/>
      </c>
      <c r="E134" s="15" t="n"/>
      <c r="F134" s="15">
        <f>IFERROR(INDEX(計算用!$D$2:$D$186,MATCH("男白"&amp;$A134,計算用!$L$2:$L$186,0)),"")</f>
        <v/>
      </c>
      <c r="G134" s="15">
        <f>IFERROR(INDEX(計算用!$M$2:$M$186,MATCH("男白"&amp;$A134,計算用!$L$2:$L$186,0)),"")</f>
        <v/>
      </c>
      <c r="H134" s="16">
        <f>IFERROR(INDEX(計算用!$G$2:$G$186,MATCH("男白"&amp;$A134,計算用!$L$2:$L$186,0)),"")</f>
        <v/>
      </c>
      <c r="I134" s="15" t="n"/>
      <c r="J134" s="15">
        <f>IF(ROW()-3&lt;=MAX(計算用!$Q$4,計算用!$Q$5),ROW()-3,"")</f>
        <v/>
      </c>
      <c r="K134" s="15">
        <f>IFERROR(INDEX(計算用!$D$2:$D$186,MATCH("女赤"&amp;$J134,計算用!$L$2:$L$186,0)),"")</f>
        <v/>
      </c>
      <c r="L134" s="15">
        <f>IFERROR(INDEX(計算用!$M$2:$M$186,MATCH("女赤"&amp;$J134,計算用!$L$2:$L$186,0)),"")</f>
        <v/>
      </c>
      <c r="M134" s="16">
        <f>IFERROR(INDEX(計算用!$G$2:$G$186,MATCH("女赤"&amp;$J134,計算用!$L$2:$L$186,0)),"")</f>
        <v/>
      </c>
      <c r="N134" s="15" t="n"/>
      <c r="O134" s="15">
        <f>IFERROR(INDEX(計算用!$D$2:$D$186,MATCH("女白"&amp;$J134,計算用!$L$2:$L$186,0)),"")</f>
        <v/>
      </c>
      <c r="P134" s="15">
        <f>IFERROR(INDEX(計算用!$M$2:$M$186,MATCH("女白"&amp;$J134,計算用!$L$2:$L$186,0)),"")</f>
        <v/>
      </c>
      <c r="Q134" s="16">
        <f>IFERROR(INDEX(計算用!$G$2:$G$186,MATCH("女白"&amp;$J134,計算用!$L$2:$L$186,0)),"")</f>
        <v/>
      </c>
    </row>
    <row r="135">
      <c r="A135" s="15">
        <f>IF(ROW()-3&lt;=MAX(計算用!$Q$2,計算用!$Q$3),ROW()-3,"")</f>
        <v/>
      </c>
      <c r="B135" s="15">
        <f>IFERROR(INDEX(計算用!$D$2:$D$186,MATCH("男赤"&amp;$A135,計算用!$L$2:$L$186,0)),"")</f>
        <v/>
      </c>
      <c r="C135" s="15">
        <f>IFERROR(INDEX(計算用!$M$2:$M$186,MATCH("男赤"&amp;$A135,計算用!$L$2:$L$186,0)),"")</f>
        <v/>
      </c>
      <c r="D135" s="16">
        <f>IFERROR(INDEX(計算用!$G$2:$G$186,MATCH("男赤"&amp;$A135,計算用!$L$2:$L$186,0)),"")</f>
        <v/>
      </c>
      <c r="E135" s="15" t="n"/>
      <c r="F135" s="15">
        <f>IFERROR(INDEX(計算用!$D$2:$D$186,MATCH("男白"&amp;$A135,計算用!$L$2:$L$186,0)),"")</f>
        <v/>
      </c>
      <c r="G135" s="15">
        <f>IFERROR(INDEX(計算用!$M$2:$M$186,MATCH("男白"&amp;$A135,計算用!$L$2:$L$186,0)),"")</f>
        <v/>
      </c>
      <c r="H135" s="16">
        <f>IFERROR(INDEX(計算用!$G$2:$G$186,MATCH("男白"&amp;$A135,計算用!$L$2:$L$186,0)),"")</f>
        <v/>
      </c>
      <c r="I135" s="15" t="n"/>
      <c r="J135" s="15">
        <f>IF(ROW()-3&lt;=MAX(計算用!$Q$4,計算用!$Q$5),ROW()-3,"")</f>
        <v/>
      </c>
      <c r="K135" s="15">
        <f>IFERROR(INDEX(計算用!$D$2:$D$186,MATCH("女赤"&amp;$J135,計算用!$L$2:$L$186,0)),"")</f>
        <v/>
      </c>
      <c r="L135" s="15">
        <f>IFERROR(INDEX(計算用!$M$2:$M$186,MATCH("女赤"&amp;$J135,計算用!$L$2:$L$186,0)),"")</f>
        <v/>
      </c>
      <c r="M135" s="16">
        <f>IFERROR(INDEX(計算用!$G$2:$G$186,MATCH("女赤"&amp;$J135,計算用!$L$2:$L$186,0)),"")</f>
        <v/>
      </c>
      <c r="N135" s="15" t="n"/>
      <c r="O135" s="15">
        <f>IFERROR(INDEX(計算用!$D$2:$D$186,MATCH("女白"&amp;$J135,計算用!$L$2:$L$186,0)),"")</f>
        <v/>
      </c>
      <c r="P135" s="15">
        <f>IFERROR(INDEX(計算用!$M$2:$M$186,MATCH("女白"&amp;$J135,計算用!$L$2:$L$186,0)),"")</f>
        <v/>
      </c>
      <c r="Q135" s="16">
        <f>IFERROR(INDEX(計算用!$G$2:$G$186,MATCH("女白"&amp;$J135,計算用!$L$2:$L$186,0)),"")</f>
        <v/>
      </c>
    </row>
    <row r="136">
      <c r="A136" s="15">
        <f>IF(ROW()-3&lt;=MAX(計算用!$Q$2,計算用!$Q$3),ROW()-3,"")</f>
        <v/>
      </c>
      <c r="B136" s="15">
        <f>IFERROR(INDEX(計算用!$D$2:$D$186,MATCH("男赤"&amp;$A136,計算用!$L$2:$L$186,0)),"")</f>
        <v/>
      </c>
      <c r="C136" s="15">
        <f>IFERROR(INDEX(計算用!$M$2:$M$186,MATCH("男赤"&amp;$A136,計算用!$L$2:$L$186,0)),"")</f>
        <v/>
      </c>
      <c r="D136" s="16">
        <f>IFERROR(INDEX(計算用!$G$2:$G$186,MATCH("男赤"&amp;$A136,計算用!$L$2:$L$186,0)),"")</f>
        <v/>
      </c>
      <c r="E136" s="15" t="n"/>
      <c r="F136" s="15">
        <f>IFERROR(INDEX(計算用!$D$2:$D$186,MATCH("男白"&amp;$A136,計算用!$L$2:$L$186,0)),"")</f>
        <v/>
      </c>
      <c r="G136" s="15">
        <f>IFERROR(INDEX(計算用!$M$2:$M$186,MATCH("男白"&amp;$A136,計算用!$L$2:$L$186,0)),"")</f>
        <v/>
      </c>
      <c r="H136" s="16">
        <f>IFERROR(INDEX(計算用!$G$2:$G$186,MATCH("男白"&amp;$A136,計算用!$L$2:$L$186,0)),"")</f>
        <v/>
      </c>
      <c r="I136" s="15" t="n"/>
      <c r="J136" s="15">
        <f>IF(ROW()-3&lt;=MAX(計算用!$Q$4,計算用!$Q$5),ROW()-3,"")</f>
        <v/>
      </c>
      <c r="K136" s="15">
        <f>IFERROR(INDEX(計算用!$D$2:$D$186,MATCH("女赤"&amp;$J136,計算用!$L$2:$L$186,0)),"")</f>
        <v/>
      </c>
      <c r="L136" s="15">
        <f>IFERROR(INDEX(計算用!$M$2:$M$186,MATCH("女赤"&amp;$J136,計算用!$L$2:$L$186,0)),"")</f>
        <v/>
      </c>
      <c r="M136" s="16">
        <f>IFERROR(INDEX(計算用!$G$2:$G$186,MATCH("女赤"&amp;$J136,計算用!$L$2:$L$186,0)),"")</f>
        <v/>
      </c>
      <c r="N136" s="15" t="n"/>
      <c r="O136" s="15">
        <f>IFERROR(INDEX(計算用!$D$2:$D$186,MATCH("女白"&amp;$J136,計算用!$L$2:$L$186,0)),"")</f>
        <v/>
      </c>
      <c r="P136" s="15">
        <f>IFERROR(INDEX(計算用!$M$2:$M$186,MATCH("女白"&amp;$J136,計算用!$L$2:$L$186,0)),"")</f>
        <v/>
      </c>
      <c r="Q136" s="16">
        <f>IFERROR(INDEX(計算用!$G$2:$G$186,MATCH("女白"&amp;$J136,計算用!$L$2:$L$186,0)),"")</f>
        <v/>
      </c>
    </row>
    <row r="137">
      <c r="A137" s="15">
        <f>IF(ROW()-3&lt;=MAX(計算用!$Q$2,計算用!$Q$3),ROW()-3,"")</f>
        <v/>
      </c>
      <c r="B137" s="15">
        <f>IFERROR(INDEX(計算用!$D$2:$D$186,MATCH("男赤"&amp;$A137,計算用!$L$2:$L$186,0)),"")</f>
        <v/>
      </c>
      <c r="C137" s="15">
        <f>IFERROR(INDEX(計算用!$M$2:$M$186,MATCH("男赤"&amp;$A137,計算用!$L$2:$L$186,0)),"")</f>
        <v/>
      </c>
      <c r="D137" s="16">
        <f>IFERROR(INDEX(計算用!$G$2:$G$186,MATCH("男赤"&amp;$A137,計算用!$L$2:$L$186,0)),"")</f>
        <v/>
      </c>
      <c r="E137" s="15" t="n"/>
      <c r="F137" s="15">
        <f>IFERROR(INDEX(計算用!$D$2:$D$186,MATCH("男白"&amp;$A137,計算用!$L$2:$L$186,0)),"")</f>
        <v/>
      </c>
      <c r="G137" s="15">
        <f>IFERROR(INDEX(計算用!$M$2:$M$186,MATCH("男白"&amp;$A137,計算用!$L$2:$L$186,0)),"")</f>
        <v/>
      </c>
      <c r="H137" s="16">
        <f>IFERROR(INDEX(計算用!$G$2:$G$186,MATCH("男白"&amp;$A137,計算用!$L$2:$L$186,0)),"")</f>
        <v/>
      </c>
      <c r="I137" s="15" t="n"/>
      <c r="J137" s="15">
        <f>IF(ROW()-3&lt;=MAX(計算用!$Q$4,計算用!$Q$5),ROW()-3,"")</f>
        <v/>
      </c>
      <c r="K137" s="15">
        <f>IFERROR(INDEX(計算用!$D$2:$D$186,MATCH("女赤"&amp;$J137,計算用!$L$2:$L$186,0)),"")</f>
        <v/>
      </c>
      <c r="L137" s="15">
        <f>IFERROR(INDEX(計算用!$M$2:$M$186,MATCH("女赤"&amp;$J137,計算用!$L$2:$L$186,0)),"")</f>
        <v/>
      </c>
      <c r="M137" s="16">
        <f>IFERROR(INDEX(計算用!$G$2:$G$186,MATCH("女赤"&amp;$J137,計算用!$L$2:$L$186,0)),"")</f>
        <v/>
      </c>
      <c r="N137" s="15" t="n"/>
      <c r="O137" s="15">
        <f>IFERROR(INDEX(計算用!$D$2:$D$186,MATCH("女白"&amp;$J137,計算用!$L$2:$L$186,0)),"")</f>
        <v/>
      </c>
      <c r="P137" s="15">
        <f>IFERROR(INDEX(計算用!$M$2:$M$186,MATCH("女白"&amp;$J137,計算用!$L$2:$L$186,0)),"")</f>
        <v/>
      </c>
      <c r="Q137" s="16">
        <f>IFERROR(INDEX(計算用!$G$2:$G$186,MATCH("女白"&amp;$J137,計算用!$L$2:$L$186,0)),"")</f>
        <v/>
      </c>
    </row>
    <row r="138">
      <c r="A138" s="15">
        <f>IF(ROW()-3&lt;=MAX(計算用!$Q$2,計算用!$Q$3),ROW()-3,"")</f>
        <v/>
      </c>
      <c r="B138" s="15">
        <f>IFERROR(INDEX(計算用!$D$2:$D$186,MATCH("男赤"&amp;$A138,計算用!$L$2:$L$186,0)),"")</f>
        <v/>
      </c>
      <c r="C138" s="15">
        <f>IFERROR(INDEX(計算用!$M$2:$M$186,MATCH("男赤"&amp;$A138,計算用!$L$2:$L$186,0)),"")</f>
        <v/>
      </c>
      <c r="D138" s="16">
        <f>IFERROR(INDEX(計算用!$G$2:$G$186,MATCH("男赤"&amp;$A138,計算用!$L$2:$L$186,0)),"")</f>
        <v/>
      </c>
      <c r="E138" s="15" t="n"/>
      <c r="F138" s="15">
        <f>IFERROR(INDEX(計算用!$D$2:$D$186,MATCH("男白"&amp;$A138,計算用!$L$2:$L$186,0)),"")</f>
        <v/>
      </c>
      <c r="G138" s="15">
        <f>IFERROR(INDEX(計算用!$M$2:$M$186,MATCH("男白"&amp;$A138,計算用!$L$2:$L$186,0)),"")</f>
        <v/>
      </c>
      <c r="H138" s="16">
        <f>IFERROR(INDEX(計算用!$G$2:$G$186,MATCH("男白"&amp;$A138,計算用!$L$2:$L$186,0)),"")</f>
        <v/>
      </c>
      <c r="I138" s="15" t="n"/>
      <c r="J138" s="15">
        <f>IF(ROW()-3&lt;=MAX(計算用!$Q$4,計算用!$Q$5),ROW()-3,"")</f>
        <v/>
      </c>
      <c r="K138" s="15">
        <f>IFERROR(INDEX(計算用!$D$2:$D$186,MATCH("女赤"&amp;$J138,計算用!$L$2:$L$186,0)),"")</f>
        <v/>
      </c>
      <c r="L138" s="15">
        <f>IFERROR(INDEX(計算用!$M$2:$M$186,MATCH("女赤"&amp;$J138,計算用!$L$2:$L$186,0)),"")</f>
        <v/>
      </c>
      <c r="M138" s="16">
        <f>IFERROR(INDEX(計算用!$G$2:$G$186,MATCH("女赤"&amp;$J138,計算用!$L$2:$L$186,0)),"")</f>
        <v/>
      </c>
      <c r="N138" s="15" t="n"/>
      <c r="O138" s="15">
        <f>IFERROR(INDEX(計算用!$D$2:$D$186,MATCH("女白"&amp;$J138,計算用!$L$2:$L$186,0)),"")</f>
        <v/>
      </c>
      <c r="P138" s="15">
        <f>IFERROR(INDEX(計算用!$M$2:$M$186,MATCH("女白"&amp;$J138,計算用!$L$2:$L$186,0)),"")</f>
        <v/>
      </c>
      <c r="Q138" s="16">
        <f>IFERROR(INDEX(計算用!$G$2:$G$186,MATCH("女白"&amp;$J138,計算用!$L$2:$L$186,0)),"")</f>
        <v/>
      </c>
    </row>
    <row r="139">
      <c r="A139" s="15">
        <f>IF(ROW()-3&lt;=MAX(計算用!$Q$2,計算用!$Q$3),ROW()-3,"")</f>
        <v/>
      </c>
      <c r="B139" s="15">
        <f>IFERROR(INDEX(計算用!$D$2:$D$186,MATCH("男赤"&amp;$A139,計算用!$L$2:$L$186,0)),"")</f>
        <v/>
      </c>
      <c r="C139" s="15">
        <f>IFERROR(INDEX(計算用!$M$2:$M$186,MATCH("男赤"&amp;$A139,計算用!$L$2:$L$186,0)),"")</f>
        <v/>
      </c>
      <c r="D139" s="16">
        <f>IFERROR(INDEX(計算用!$G$2:$G$186,MATCH("男赤"&amp;$A139,計算用!$L$2:$L$186,0)),"")</f>
        <v/>
      </c>
      <c r="E139" s="15" t="n"/>
      <c r="F139" s="15">
        <f>IFERROR(INDEX(計算用!$D$2:$D$186,MATCH("男白"&amp;$A139,計算用!$L$2:$L$186,0)),"")</f>
        <v/>
      </c>
      <c r="G139" s="15">
        <f>IFERROR(INDEX(計算用!$M$2:$M$186,MATCH("男白"&amp;$A139,計算用!$L$2:$L$186,0)),"")</f>
        <v/>
      </c>
      <c r="H139" s="16">
        <f>IFERROR(INDEX(計算用!$G$2:$G$186,MATCH("男白"&amp;$A139,計算用!$L$2:$L$186,0)),"")</f>
        <v/>
      </c>
      <c r="I139" s="15" t="n"/>
      <c r="J139" s="15">
        <f>IF(ROW()-3&lt;=MAX(計算用!$Q$4,計算用!$Q$5),ROW()-3,"")</f>
        <v/>
      </c>
      <c r="K139" s="15">
        <f>IFERROR(INDEX(計算用!$D$2:$D$186,MATCH("女赤"&amp;$J139,計算用!$L$2:$L$186,0)),"")</f>
        <v/>
      </c>
      <c r="L139" s="15">
        <f>IFERROR(INDEX(計算用!$M$2:$M$186,MATCH("女赤"&amp;$J139,計算用!$L$2:$L$186,0)),"")</f>
        <v/>
      </c>
      <c r="M139" s="16">
        <f>IFERROR(INDEX(計算用!$G$2:$G$186,MATCH("女赤"&amp;$J139,計算用!$L$2:$L$186,0)),"")</f>
        <v/>
      </c>
      <c r="N139" s="15" t="n"/>
      <c r="O139" s="15">
        <f>IFERROR(INDEX(計算用!$D$2:$D$186,MATCH("女白"&amp;$J139,計算用!$L$2:$L$186,0)),"")</f>
        <v/>
      </c>
      <c r="P139" s="15">
        <f>IFERROR(INDEX(計算用!$M$2:$M$186,MATCH("女白"&amp;$J139,計算用!$L$2:$L$186,0)),"")</f>
        <v/>
      </c>
      <c r="Q139" s="16">
        <f>IFERROR(INDEX(計算用!$G$2:$G$186,MATCH("女白"&amp;$J139,計算用!$L$2:$L$186,0)),"")</f>
        <v/>
      </c>
    </row>
    <row r="140">
      <c r="A140" s="15">
        <f>IF(ROW()-3&lt;=MAX(計算用!$Q$2,計算用!$Q$3),ROW()-3,"")</f>
        <v/>
      </c>
      <c r="B140" s="15">
        <f>IFERROR(INDEX(計算用!$D$2:$D$186,MATCH("男赤"&amp;$A140,計算用!$L$2:$L$186,0)),"")</f>
        <v/>
      </c>
      <c r="C140" s="15">
        <f>IFERROR(INDEX(計算用!$M$2:$M$186,MATCH("男赤"&amp;$A140,計算用!$L$2:$L$186,0)),"")</f>
        <v/>
      </c>
      <c r="D140" s="16">
        <f>IFERROR(INDEX(計算用!$G$2:$G$186,MATCH("男赤"&amp;$A140,計算用!$L$2:$L$186,0)),"")</f>
        <v/>
      </c>
      <c r="E140" s="15" t="n"/>
      <c r="F140" s="15">
        <f>IFERROR(INDEX(計算用!$D$2:$D$186,MATCH("男白"&amp;$A140,計算用!$L$2:$L$186,0)),"")</f>
        <v/>
      </c>
      <c r="G140" s="15">
        <f>IFERROR(INDEX(計算用!$M$2:$M$186,MATCH("男白"&amp;$A140,計算用!$L$2:$L$186,0)),"")</f>
        <v/>
      </c>
      <c r="H140" s="16">
        <f>IFERROR(INDEX(計算用!$G$2:$G$186,MATCH("男白"&amp;$A140,計算用!$L$2:$L$186,0)),"")</f>
        <v/>
      </c>
      <c r="I140" s="15" t="n"/>
      <c r="J140" s="15">
        <f>IF(ROW()-3&lt;=MAX(計算用!$Q$4,計算用!$Q$5),ROW()-3,"")</f>
        <v/>
      </c>
      <c r="K140" s="15">
        <f>IFERROR(INDEX(計算用!$D$2:$D$186,MATCH("女赤"&amp;$J140,計算用!$L$2:$L$186,0)),"")</f>
        <v/>
      </c>
      <c r="L140" s="15">
        <f>IFERROR(INDEX(計算用!$M$2:$M$186,MATCH("女赤"&amp;$J140,計算用!$L$2:$L$186,0)),"")</f>
        <v/>
      </c>
      <c r="M140" s="16">
        <f>IFERROR(INDEX(計算用!$G$2:$G$186,MATCH("女赤"&amp;$J140,計算用!$L$2:$L$186,0)),"")</f>
        <v/>
      </c>
      <c r="N140" s="15" t="n"/>
      <c r="O140" s="15">
        <f>IFERROR(INDEX(計算用!$D$2:$D$186,MATCH("女白"&amp;$J140,計算用!$L$2:$L$186,0)),"")</f>
        <v/>
      </c>
      <c r="P140" s="15">
        <f>IFERROR(INDEX(計算用!$M$2:$M$186,MATCH("女白"&amp;$J140,計算用!$L$2:$L$186,0)),"")</f>
        <v/>
      </c>
      <c r="Q140" s="16">
        <f>IFERROR(INDEX(計算用!$G$2:$G$186,MATCH("女白"&amp;$J140,計算用!$L$2:$L$186,0)),"")</f>
        <v/>
      </c>
    </row>
    <row r="141">
      <c r="A141" s="15">
        <f>IF(ROW()-3&lt;=MAX(計算用!$Q$2,計算用!$Q$3),ROW()-3,"")</f>
        <v/>
      </c>
      <c r="B141" s="15">
        <f>IFERROR(INDEX(計算用!$D$2:$D$186,MATCH("男赤"&amp;$A141,計算用!$L$2:$L$186,0)),"")</f>
        <v/>
      </c>
      <c r="C141" s="15">
        <f>IFERROR(INDEX(計算用!$M$2:$M$186,MATCH("男赤"&amp;$A141,計算用!$L$2:$L$186,0)),"")</f>
        <v/>
      </c>
      <c r="D141" s="16">
        <f>IFERROR(INDEX(計算用!$G$2:$G$186,MATCH("男赤"&amp;$A141,計算用!$L$2:$L$186,0)),"")</f>
        <v/>
      </c>
      <c r="E141" s="15" t="n"/>
      <c r="F141" s="15">
        <f>IFERROR(INDEX(計算用!$D$2:$D$186,MATCH("男白"&amp;$A141,計算用!$L$2:$L$186,0)),"")</f>
        <v/>
      </c>
      <c r="G141" s="15">
        <f>IFERROR(INDEX(計算用!$M$2:$M$186,MATCH("男白"&amp;$A141,計算用!$L$2:$L$186,0)),"")</f>
        <v/>
      </c>
      <c r="H141" s="16">
        <f>IFERROR(INDEX(計算用!$G$2:$G$186,MATCH("男白"&amp;$A141,計算用!$L$2:$L$186,0)),"")</f>
        <v/>
      </c>
      <c r="I141" s="15" t="n"/>
      <c r="J141" s="15">
        <f>IF(ROW()-3&lt;=MAX(計算用!$Q$4,計算用!$Q$5),ROW()-3,"")</f>
        <v/>
      </c>
      <c r="K141" s="15">
        <f>IFERROR(INDEX(計算用!$D$2:$D$186,MATCH("女赤"&amp;$J141,計算用!$L$2:$L$186,0)),"")</f>
        <v/>
      </c>
      <c r="L141" s="15">
        <f>IFERROR(INDEX(計算用!$M$2:$M$186,MATCH("女赤"&amp;$J141,計算用!$L$2:$L$186,0)),"")</f>
        <v/>
      </c>
      <c r="M141" s="16">
        <f>IFERROR(INDEX(計算用!$G$2:$G$186,MATCH("女赤"&amp;$J141,計算用!$L$2:$L$186,0)),"")</f>
        <v/>
      </c>
      <c r="N141" s="15" t="n"/>
      <c r="O141" s="15">
        <f>IFERROR(INDEX(計算用!$D$2:$D$186,MATCH("女白"&amp;$J141,計算用!$L$2:$L$186,0)),"")</f>
        <v/>
      </c>
      <c r="P141" s="15">
        <f>IFERROR(INDEX(計算用!$M$2:$M$186,MATCH("女白"&amp;$J141,計算用!$L$2:$L$186,0)),"")</f>
        <v/>
      </c>
      <c r="Q141" s="16">
        <f>IFERROR(INDEX(計算用!$G$2:$G$186,MATCH("女白"&amp;$J141,計算用!$L$2:$L$186,0)),"")</f>
        <v/>
      </c>
    </row>
    <row r="142">
      <c r="A142" s="15">
        <f>IF(ROW()-3&lt;=MAX(計算用!$Q$2,計算用!$Q$3),ROW()-3,"")</f>
        <v/>
      </c>
      <c r="B142" s="15">
        <f>IFERROR(INDEX(計算用!$D$2:$D$186,MATCH("男赤"&amp;$A142,計算用!$L$2:$L$186,0)),"")</f>
        <v/>
      </c>
      <c r="C142" s="15">
        <f>IFERROR(INDEX(計算用!$M$2:$M$186,MATCH("男赤"&amp;$A142,計算用!$L$2:$L$186,0)),"")</f>
        <v/>
      </c>
      <c r="D142" s="16">
        <f>IFERROR(INDEX(計算用!$G$2:$G$186,MATCH("男赤"&amp;$A142,計算用!$L$2:$L$186,0)),"")</f>
        <v/>
      </c>
      <c r="E142" s="15" t="n"/>
      <c r="F142" s="15">
        <f>IFERROR(INDEX(計算用!$D$2:$D$186,MATCH("男白"&amp;$A142,計算用!$L$2:$L$186,0)),"")</f>
        <v/>
      </c>
      <c r="G142" s="15">
        <f>IFERROR(INDEX(計算用!$M$2:$M$186,MATCH("男白"&amp;$A142,計算用!$L$2:$L$186,0)),"")</f>
        <v/>
      </c>
      <c r="H142" s="16">
        <f>IFERROR(INDEX(計算用!$G$2:$G$186,MATCH("男白"&amp;$A142,計算用!$L$2:$L$186,0)),"")</f>
        <v/>
      </c>
      <c r="I142" s="15" t="n"/>
      <c r="J142" s="15">
        <f>IF(ROW()-3&lt;=MAX(計算用!$Q$4,計算用!$Q$5),ROW()-3,"")</f>
        <v/>
      </c>
      <c r="K142" s="15">
        <f>IFERROR(INDEX(計算用!$D$2:$D$186,MATCH("女赤"&amp;$J142,計算用!$L$2:$L$186,0)),"")</f>
        <v/>
      </c>
      <c r="L142" s="15">
        <f>IFERROR(INDEX(計算用!$M$2:$M$186,MATCH("女赤"&amp;$J142,計算用!$L$2:$L$186,0)),"")</f>
        <v/>
      </c>
      <c r="M142" s="16">
        <f>IFERROR(INDEX(計算用!$G$2:$G$186,MATCH("女赤"&amp;$J142,計算用!$L$2:$L$186,0)),"")</f>
        <v/>
      </c>
      <c r="N142" s="15" t="n"/>
      <c r="O142" s="15">
        <f>IFERROR(INDEX(計算用!$D$2:$D$186,MATCH("女白"&amp;$J142,計算用!$L$2:$L$186,0)),"")</f>
        <v/>
      </c>
      <c r="P142" s="15">
        <f>IFERROR(INDEX(計算用!$M$2:$M$186,MATCH("女白"&amp;$J142,計算用!$L$2:$L$186,0)),"")</f>
        <v/>
      </c>
      <c r="Q142" s="16">
        <f>IFERROR(INDEX(計算用!$G$2:$G$186,MATCH("女白"&amp;$J142,計算用!$L$2:$L$186,0)),"")</f>
        <v/>
      </c>
    </row>
    <row r="143">
      <c r="A143" s="15">
        <f>IF(ROW()-3&lt;=MAX(計算用!$Q$2,計算用!$Q$3),ROW()-3,"")</f>
        <v/>
      </c>
      <c r="B143" s="15">
        <f>IFERROR(INDEX(計算用!$D$2:$D$186,MATCH("男赤"&amp;$A143,計算用!$L$2:$L$186,0)),"")</f>
        <v/>
      </c>
      <c r="C143" s="15">
        <f>IFERROR(INDEX(計算用!$M$2:$M$186,MATCH("男赤"&amp;$A143,計算用!$L$2:$L$186,0)),"")</f>
        <v/>
      </c>
      <c r="D143" s="16">
        <f>IFERROR(INDEX(計算用!$G$2:$G$186,MATCH("男赤"&amp;$A143,計算用!$L$2:$L$186,0)),"")</f>
        <v/>
      </c>
      <c r="E143" s="15" t="n"/>
      <c r="F143" s="15">
        <f>IFERROR(INDEX(計算用!$D$2:$D$186,MATCH("男白"&amp;$A143,計算用!$L$2:$L$186,0)),"")</f>
        <v/>
      </c>
      <c r="G143" s="15">
        <f>IFERROR(INDEX(計算用!$M$2:$M$186,MATCH("男白"&amp;$A143,計算用!$L$2:$L$186,0)),"")</f>
        <v/>
      </c>
      <c r="H143" s="16">
        <f>IFERROR(INDEX(計算用!$G$2:$G$186,MATCH("男白"&amp;$A143,計算用!$L$2:$L$186,0)),"")</f>
        <v/>
      </c>
      <c r="I143" s="15" t="n"/>
      <c r="J143" s="15">
        <f>IF(ROW()-3&lt;=MAX(計算用!$Q$4,計算用!$Q$5),ROW()-3,"")</f>
        <v/>
      </c>
      <c r="K143" s="15">
        <f>IFERROR(INDEX(計算用!$D$2:$D$186,MATCH("女赤"&amp;$J143,計算用!$L$2:$L$186,0)),"")</f>
        <v/>
      </c>
      <c r="L143" s="15">
        <f>IFERROR(INDEX(計算用!$M$2:$M$186,MATCH("女赤"&amp;$J143,計算用!$L$2:$L$186,0)),"")</f>
        <v/>
      </c>
      <c r="M143" s="16">
        <f>IFERROR(INDEX(計算用!$G$2:$G$186,MATCH("女赤"&amp;$J143,計算用!$L$2:$L$186,0)),"")</f>
        <v/>
      </c>
      <c r="N143" s="15" t="n"/>
      <c r="O143" s="15">
        <f>IFERROR(INDEX(計算用!$D$2:$D$186,MATCH("女白"&amp;$J143,計算用!$L$2:$L$186,0)),"")</f>
        <v/>
      </c>
      <c r="P143" s="15">
        <f>IFERROR(INDEX(計算用!$M$2:$M$186,MATCH("女白"&amp;$J143,計算用!$L$2:$L$186,0)),"")</f>
        <v/>
      </c>
      <c r="Q143" s="16">
        <f>IFERROR(INDEX(計算用!$G$2:$G$186,MATCH("女白"&amp;$J143,計算用!$L$2:$L$186,0)),"")</f>
        <v/>
      </c>
    </row>
    <row r="144">
      <c r="A144" s="15">
        <f>IF(ROW()-3&lt;=MAX(計算用!$Q$2,計算用!$Q$3),ROW()-3,"")</f>
        <v/>
      </c>
      <c r="B144" s="15">
        <f>IFERROR(INDEX(計算用!$D$2:$D$186,MATCH("男赤"&amp;$A144,計算用!$L$2:$L$186,0)),"")</f>
        <v/>
      </c>
      <c r="C144" s="15">
        <f>IFERROR(INDEX(計算用!$M$2:$M$186,MATCH("男赤"&amp;$A144,計算用!$L$2:$L$186,0)),"")</f>
        <v/>
      </c>
      <c r="D144" s="16">
        <f>IFERROR(INDEX(計算用!$G$2:$G$186,MATCH("男赤"&amp;$A144,計算用!$L$2:$L$186,0)),"")</f>
        <v/>
      </c>
      <c r="E144" s="15" t="n"/>
      <c r="F144" s="15">
        <f>IFERROR(INDEX(計算用!$D$2:$D$186,MATCH("男白"&amp;$A144,計算用!$L$2:$L$186,0)),"")</f>
        <v/>
      </c>
      <c r="G144" s="15">
        <f>IFERROR(INDEX(計算用!$M$2:$M$186,MATCH("男白"&amp;$A144,計算用!$L$2:$L$186,0)),"")</f>
        <v/>
      </c>
      <c r="H144" s="16">
        <f>IFERROR(INDEX(計算用!$G$2:$G$186,MATCH("男白"&amp;$A144,計算用!$L$2:$L$186,0)),"")</f>
        <v/>
      </c>
      <c r="I144" s="15" t="n"/>
      <c r="J144" s="15">
        <f>IF(ROW()-3&lt;=MAX(計算用!$Q$4,計算用!$Q$5),ROW()-3,"")</f>
        <v/>
      </c>
      <c r="K144" s="15">
        <f>IFERROR(INDEX(計算用!$D$2:$D$186,MATCH("女赤"&amp;$J144,計算用!$L$2:$L$186,0)),"")</f>
        <v/>
      </c>
      <c r="L144" s="15">
        <f>IFERROR(INDEX(計算用!$M$2:$M$186,MATCH("女赤"&amp;$J144,計算用!$L$2:$L$186,0)),"")</f>
        <v/>
      </c>
      <c r="M144" s="16">
        <f>IFERROR(INDEX(計算用!$G$2:$G$186,MATCH("女赤"&amp;$J144,計算用!$L$2:$L$186,0)),"")</f>
        <v/>
      </c>
      <c r="N144" s="15" t="n"/>
      <c r="O144" s="15">
        <f>IFERROR(INDEX(計算用!$D$2:$D$186,MATCH("女白"&amp;$J144,計算用!$L$2:$L$186,0)),"")</f>
        <v/>
      </c>
      <c r="P144" s="15">
        <f>IFERROR(INDEX(計算用!$M$2:$M$186,MATCH("女白"&amp;$J144,計算用!$L$2:$L$186,0)),"")</f>
        <v/>
      </c>
      <c r="Q144" s="16">
        <f>IFERROR(INDEX(計算用!$G$2:$G$186,MATCH("女白"&amp;$J144,計算用!$L$2:$L$186,0)),"")</f>
        <v/>
      </c>
    </row>
    <row r="145">
      <c r="A145" s="15">
        <f>IF(ROW()-3&lt;=MAX(計算用!$Q$2,計算用!$Q$3),ROW()-3,"")</f>
        <v/>
      </c>
      <c r="B145" s="15">
        <f>IFERROR(INDEX(計算用!$D$2:$D$186,MATCH("男赤"&amp;$A145,計算用!$L$2:$L$186,0)),"")</f>
        <v/>
      </c>
      <c r="C145" s="15">
        <f>IFERROR(INDEX(計算用!$M$2:$M$186,MATCH("男赤"&amp;$A145,計算用!$L$2:$L$186,0)),"")</f>
        <v/>
      </c>
      <c r="D145" s="16">
        <f>IFERROR(INDEX(計算用!$G$2:$G$186,MATCH("男赤"&amp;$A145,計算用!$L$2:$L$186,0)),"")</f>
        <v/>
      </c>
      <c r="E145" s="15" t="n"/>
      <c r="F145" s="15">
        <f>IFERROR(INDEX(計算用!$D$2:$D$186,MATCH("男白"&amp;$A145,計算用!$L$2:$L$186,0)),"")</f>
        <v/>
      </c>
      <c r="G145" s="15">
        <f>IFERROR(INDEX(計算用!$M$2:$M$186,MATCH("男白"&amp;$A145,計算用!$L$2:$L$186,0)),"")</f>
        <v/>
      </c>
      <c r="H145" s="16">
        <f>IFERROR(INDEX(計算用!$G$2:$G$186,MATCH("男白"&amp;$A145,計算用!$L$2:$L$186,0)),"")</f>
        <v/>
      </c>
      <c r="I145" s="15" t="n"/>
      <c r="J145" s="15">
        <f>IF(ROW()-3&lt;=MAX(計算用!$Q$4,計算用!$Q$5),ROW()-3,"")</f>
        <v/>
      </c>
      <c r="K145" s="15">
        <f>IFERROR(INDEX(計算用!$D$2:$D$186,MATCH("女赤"&amp;$J145,計算用!$L$2:$L$186,0)),"")</f>
        <v/>
      </c>
      <c r="L145" s="15">
        <f>IFERROR(INDEX(計算用!$M$2:$M$186,MATCH("女赤"&amp;$J145,計算用!$L$2:$L$186,0)),"")</f>
        <v/>
      </c>
      <c r="M145" s="16">
        <f>IFERROR(INDEX(計算用!$G$2:$G$186,MATCH("女赤"&amp;$J145,計算用!$L$2:$L$186,0)),"")</f>
        <v/>
      </c>
      <c r="N145" s="15" t="n"/>
      <c r="O145" s="15">
        <f>IFERROR(INDEX(計算用!$D$2:$D$186,MATCH("女白"&amp;$J145,計算用!$L$2:$L$186,0)),"")</f>
        <v/>
      </c>
      <c r="P145" s="15">
        <f>IFERROR(INDEX(計算用!$M$2:$M$186,MATCH("女白"&amp;$J145,計算用!$L$2:$L$186,0)),"")</f>
        <v/>
      </c>
      <c r="Q145" s="16">
        <f>IFERROR(INDEX(計算用!$G$2:$G$186,MATCH("女白"&amp;$J145,計算用!$L$2:$L$186,0)),"")</f>
        <v/>
      </c>
    </row>
    <row r="146">
      <c r="A146" s="15">
        <f>IF(ROW()-3&lt;=MAX(計算用!$Q$2,計算用!$Q$3),ROW()-3,"")</f>
        <v/>
      </c>
      <c r="B146" s="15">
        <f>IFERROR(INDEX(計算用!$D$2:$D$186,MATCH("男赤"&amp;$A146,計算用!$L$2:$L$186,0)),"")</f>
        <v/>
      </c>
      <c r="C146" s="15">
        <f>IFERROR(INDEX(計算用!$M$2:$M$186,MATCH("男赤"&amp;$A146,計算用!$L$2:$L$186,0)),"")</f>
        <v/>
      </c>
      <c r="D146" s="16">
        <f>IFERROR(INDEX(計算用!$G$2:$G$186,MATCH("男赤"&amp;$A146,計算用!$L$2:$L$186,0)),"")</f>
        <v/>
      </c>
      <c r="E146" s="15" t="n"/>
      <c r="F146" s="15">
        <f>IFERROR(INDEX(計算用!$D$2:$D$186,MATCH("男白"&amp;$A146,計算用!$L$2:$L$186,0)),"")</f>
        <v/>
      </c>
      <c r="G146" s="15">
        <f>IFERROR(INDEX(計算用!$M$2:$M$186,MATCH("男白"&amp;$A146,計算用!$L$2:$L$186,0)),"")</f>
        <v/>
      </c>
      <c r="H146" s="16">
        <f>IFERROR(INDEX(計算用!$G$2:$G$186,MATCH("男白"&amp;$A146,計算用!$L$2:$L$186,0)),"")</f>
        <v/>
      </c>
      <c r="I146" s="15" t="n"/>
      <c r="J146" s="15">
        <f>IF(ROW()-3&lt;=MAX(計算用!$Q$4,計算用!$Q$5),ROW()-3,"")</f>
        <v/>
      </c>
      <c r="K146" s="15">
        <f>IFERROR(INDEX(計算用!$D$2:$D$186,MATCH("女赤"&amp;$J146,計算用!$L$2:$L$186,0)),"")</f>
        <v/>
      </c>
      <c r="L146" s="15">
        <f>IFERROR(INDEX(計算用!$M$2:$M$186,MATCH("女赤"&amp;$J146,計算用!$L$2:$L$186,0)),"")</f>
        <v/>
      </c>
      <c r="M146" s="16">
        <f>IFERROR(INDEX(計算用!$G$2:$G$186,MATCH("女赤"&amp;$J146,計算用!$L$2:$L$186,0)),"")</f>
        <v/>
      </c>
      <c r="N146" s="15" t="n"/>
      <c r="O146" s="15">
        <f>IFERROR(INDEX(計算用!$D$2:$D$186,MATCH("女白"&amp;$J146,計算用!$L$2:$L$186,0)),"")</f>
        <v/>
      </c>
      <c r="P146" s="15">
        <f>IFERROR(INDEX(計算用!$M$2:$M$186,MATCH("女白"&amp;$J146,計算用!$L$2:$L$186,0)),"")</f>
        <v/>
      </c>
      <c r="Q146" s="16">
        <f>IFERROR(INDEX(計算用!$G$2:$G$186,MATCH("女白"&amp;$J146,計算用!$L$2:$L$186,0)),"")</f>
        <v/>
      </c>
    </row>
    <row r="147">
      <c r="A147" s="15">
        <f>IF(ROW()-3&lt;=MAX(計算用!$Q$2,計算用!$Q$3),ROW()-3,"")</f>
        <v/>
      </c>
      <c r="B147" s="15">
        <f>IFERROR(INDEX(計算用!$D$2:$D$186,MATCH("男赤"&amp;$A147,計算用!$L$2:$L$186,0)),"")</f>
        <v/>
      </c>
      <c r="C147" s="15">
        <f>IFERROR(INDEX(計算用!$M$2:$M$186,MATCH("男赤"&amp;$A147,計算用!$L$2:$L$186,0)),"")</f>
        <v/>
      </c>
      <c r="D147" s="16">
        <f>IFERROR(INDEX(計算用!$G$2:$G$186,MATCH("男赤"&amp;$A147,計算用!$L$2:$L$186,0)),"")</f>
        <v/>
      </c>
      <c r="E147" s="15" t="n"/>
      <c r="F147" s="15">
        <f>IFERROR(INDEX(計算用!$D$2:$D$186,MATCH("男白"&amp;$A147,計算用!$L$2:$L$186,0)),"")</f>
        <v/>
      </c>
      <c r="G147" s="15">
        <f>IFERROR(INDEX(計算用!$M$2:$M$186,MATCH("男白"&amp;$A147,計算用!$L$2:$L$186,0)),"")</f>
        <v/>
      </c>
      <c r="H147" s="16">
        <f>IFERROR(INDEX(計算用!$G$2:$G$186,MATCH("男白"&amp;$A147,計算用!$L$2:$L$186,0)),"")</f>
        <v/>
      </c>
      <c r="I147" s="15" t="n"/>
      <c r="J147" s="15">
        <f>IF(ROW()-3&lt;=MAX(計算用!$Q$4,計算用!$Q$5),ROW()-3,"")</f>
        <v/>
      </c>
      <c r="K147" s="15">
        <f>IFERROR(INDEX(計算用!$D$2:$D$186,MATCH("女赤"&amp;$J147,計算用!$L$2:$L$186,0)),"")</f>
        <v/>
      </c>
      <c r="L147" s="15">
        <f>IFERROR(INDEX(計算用!$M$2:$M$186,MATCH("女赤"&amp;$J147,計算用!$L$2:$L$186,0)),"")</f>
        <v/>
      </c>
      <c r="M147" s="16">
        <f>IFERROR(INDEX(計算用!$G$2:$G$186,MATCH("女赤"&amp;$J147,計算用!$L$2:$L$186,0)),"")</f>
        <v/>
      </c>
      <c r="N147" s="15" t="n"/>
      <c r="O147" s="15">
        <f>IFERROR(INDEX(計算用!$D$2:$D$186,MATCH("女白"&amp;$J147,計算用!$L$2:$L$186,0)),"")</f>
        <v/>
      </c>
      <c r="P147" s="15">
        <f>IFERROR(INDEX(計算用!$M$2:$M$186,MATCH("女白"&amp;$J147,計算用!$L$2:$L$186,0)),"")</f>
        <v/>
      </c>
      <c r="Q147" s="16">
        <f>IFERROR(INDEX(計算用!$G$2:$G$186,MATCH("女白"&amp;$J147,計算用!$L$2:$L$186,0)),"")</f>
        <v/>
      </c>
    </row>
    <row r="148">
      <c r="A148" s="15">
        <f>IF(ROW()-3&lt;=MAX(計算用!$Q$2,計算用!$Q$3),ROW()-3,"")</f>
        <v/>
      </c>
      <c r="B148" s="15">
        <f>IFERROR(INDEX(計算用!$D$2:$D$186,MATCH("男赤"&amp;$A148,計算用!$L$2:$L$186,0)),"")</f>
        <v/>
      </c>
      <c r="C148" s="15">
        <f>IFERROR(INDEX(計算用!$M$2:$M$186,MATCH("男赤"&amp;$A148,計算用!$L$2:$L$186,0)),"")</f>
        <v/>
      </c>
      <c r="D148" s="16">
        <f>IFERROR(INDEX(計算用!$G$2:$G$186,MATCH("男赤"&amp;$A148,計算用!$L$2:$L$186,0)),"")</f>
        <v/>
      </c>
      <c r="E148" s="15" t="n"/>
      <c r="F148" s="15">
        <f>IFERROR(INDEX(計算用!$D$2:$D$186,MATCH("男白"&amp;$A148,計算用!$L$2:$L$186,0)),"")</f>
        <v/>
      </c>
      <c r="G148" s="15">
        <f>IFERROR(INDEX(計算用!$M$2:$M$186,MATCH("男白"&amp;$A148,計算用!$L$2:$L$186,0)),"")</f>
        <v/>
      </c>
      <c r="H148" s="16">
        <f>IFERROR(INDEX(計算用!$G$2:$G$186,MATCH("男白"&amp;$A148,計算用!$L$2:$L$186,0)),"")</f>
        <v/>
      </c>
      <c r="I148" s="15" t="n"/>
      <c r="J148" s="15">
        <f>IF(ROW()-3&lt;=MAX(計算用!$Q$4,計算用!$Q$5),ROW()-3,"")</f>
        <v/>
      </c>
      <c r="K148" s="15">
        <f>IFERROR(INDEX(計算用!$D$2:$D$186,MATCH("女赤"&amp;$J148,計算用!$L$2:$L$186,0)),"")</f>
        <v/>
      </c>
      <c r="L148" s="15">
        <f>IFERROR(INDEX(計算用!$M$2:$M$186,MATCH("女赤"&amp;$J148,計算用!$L$2:$L$186,0)),"")</f>
        <v/>
      </c>
      <c r="M148" s="16">
        <f>IFERROR(INDEX(計算用!$G$2:$G$186,MATCH("女赤"&amp;$J148,計算用!$L$2:$L$186,0)),"")</f>
        <v/>
      </c>
      <c r="N148" s="15" t="n"/>
      <c r="O148" s="15">
        <f>IFERROR(INDEX(計算用!$D$2:$D$186,MATCH("女白"&amp;$J148,計算用!$L$2:$L$186,0)),"")</f>
        <v/>
      </c>
      <c r="P148" s="15">
        <f>IFERROR(INDEX(計算用!$M$2:$M$186,MATCH("女白"&amp;$J148,計算用!$L$2:$L$186,0)),"")</f>
        <v/>
      </c>
      <c r="Q148" s="16">
        <f>IFERROR(INDEX(計算用!$G$2:$G$186,MATCH("女白"&amp;$J148,計算用!$L$2:$L$186,0)),"")</f>
        <v/>
      </c>
    </row>
    <row r="149">
      <c r="A149" s="15">
        <f>IF(ROW()-3&lt;=MAX(計算用!$Q$2,計算用!$Q$3),ROW()-3,"")</f>
        <v/>
      </c>
      <c r="B149" s="15">
        <f>IFERROR(INDEX(計算用!$D$2:$D$186,MATCH("男赤"&amp;$A149,計算用!$L$2:$L$186,0)),"")</f>
        <v/>
      </c>
      <c r="C149" s="15">
        <f>IFERROR(INDEX(計算用!$M$2:$M$186,MATCH("男赤"&amp;$A149,計算用!$L$2:$L$186,0)),"")</f>
        <v/>
      </c>
      <c r="D149" s="16">
        <f>IFERROR(INDEX(計算用!$G$2:$G$186,MATCH("男赤"&amp;$A149,計算用!$L$2:$L$186,0)),"")</f>
        <v/>
      </c>
      <c r="E149" s="15" t="n"/>
      <c r="F149" s="15">
        <f>IFERROR(INDEX(計算用!$D$2:$D$186,MATCH("男白"&amp;$A149,計算用!$L$2:$L$186,0)),"")</f>
        <v/>
      </c>
      <c r="G149" s="15">
        <f>IFERROR(INDEX(計算用!$M$2:$M$186,MATCH("男白"&amp;$A149,計算用!$L$2:$L$186,0)),"")</f>
        <v/>
      </c>
      <c r="H149" s="16">
        <f>IFERROR(INDEX(計算用!$G$2:$G$186,MATCH("男白"&amp;$A149,計算用!$L$2:$L$186,0)),"")</f>
        <v/>
      </c>
      <c r="I149" s="15" t="n"/>
      <c r="J149" s="15">
        <f>IF(ROW()-3&lt;=MAX(計算用!$Q$4,計算用!$Q$5),ROW()-3,"")</f>
        <v/>
      </c>
      <c r="K149" s="15">
        <f>IFERROR(INDEX(計算用!$D$2:$D$186,MATCH("女赤"&amp;$J149,計算用!$L$2:$L$186,0)),"")</f>
        <v/>
      </c>
      <c r="L149" s="15">
        <f>IFERROR(INDEX(計算用!$M$2:$M$186,MATCH("女赤"&amp;$J149,計算用!$L$2:$L$186,0)),"")</f>
        <v/>
      </c>
      <c r="M149" s="16">
        <f>IFERROR(INDEX(計算用!$G$2:$G$186,MATCH("女赤"&amp;$J149,計算用!$L$2:$L$186,0)),"")</f>
        <v/>
      </c>
      <c r="N149" s="15" t="n"/>
      <c r="O149" s="15">
        <f>IFERROR(INDEX(計算用!$D$2:$D$186,MATCH("女白"&amp;$J149,計算用!$L$2:$L$186,0)),"")</f>
        <v/>
      </c>
      <c r="P149" s="15">
        <f>IFERROR(INDEX(計算用!$M$2:$M$186,MATCH("女白"&amp;$J149,計算用!$L$2:$L$186,0)),"")</f>
        <v/>
      </c>
      <c r="Q149" s="16">
        <f>IFERROR(INDEX(計算用!$G$2:$G$186,MATCH("女白"&amp;$J149,計算用!$L$2:$L$186,0)),"")</f>
        <v/>
      </c>
    </row>
    <row r="150">
      <c r="A150" s="15">
        <f>IF(ROW()-3&lt;=MAX(計算用!$Q$2,計算用!$Q$3),ROW()-3,"")</f>
        <v/>
      </c>
      <c r="B150" s="15">
        <f>IFERROR(INDEX(計算用!$D$2:$D$186,MATCH("男赤"&amp;$A150,計算用!$L$2:$L$186,0)),"")</f>
        <v/>
      </c>
      <c r="C150" s="15">
        <f>IFERROR(INDEX(計算用!$M$2:$M$186,MATCH("男赤"&amp;$A150,計算用!$L$2:$L$186,0)),"")</f>
        <v/>
      </c>
      <c r="D150" s="16">
        <f>IFERROR(INDEX(計算用!$G$2:$G$186,MATCH("男赤"&amp;$A150,計算用!$L$2:$L$186,0)),"")</f>
        <v/>
      </c>
      <c r="E150" s="15" t="n"/>
      <c r="F150" s="15">
        <f>IFERROR(INDEX(計算用!$D$2:$D$186,MATCH("男白"&amp;$A150,計算用!$L$2:$L$186,0)),"")</f>
        <v/>
      </c>
      <c r="G150" s="15">
        <f>IFERROR(INDEX(計算用!$M$2:$M$186,MATCH("男白"&amp;$A150,計算用!$L$2:$L$186,0)),"")</f>
        <v/>
      </c>
      <c r="H150" s="16">
        <f>IFERROR(INDEX(計算用!$G$2:$G$186,MATCH("男白"&amp;$A150,計算用!$L$2:$L$186,0)),"")</f>
        <v/>
      </c>
      <c r="I150" s="15" t="n"/>
      <c r="J150" s="15">
        <f>IF(ROW()-3&lt;=MAX(計算用!$Q$4,計算用!$Q$5),ROW()-3,"")</f>
        <v/>
      </c>
      <c r="K150" s="15">
        <f>IFERROR(INDEX(計算用!$D$2:$D$186,MATCH("女赤"&amp;$J150,計算用!$L$2:$L$186,0)),"")</f>
        <v/>
      </c>
      <c r="L150" s="15">
        <f>IFERROR(INDEX(計算用!$M$2:$M$186,MATCH("女赤"&amp;$J150,計算用!$L$2:$L$186,0)),"")</f>
        <v/>
      </c>
      <c r="M150" s="16">
        <f>IFERROR(INDEX(計算用!$G$2:$G$186,MATCH("女赤"&amp;$J150,計算用!$L$2:$L$186,0)),"")</f>
        <v/>
      </c>
      <c r="N150" s="15" t="n"/>
      <c r="O150" s="15">
        <f>IFERROR(INDEX(計算用!$D$2:$D$186,MATCH("女白"&amp;$J150,計算用!$L$2:$L$186,0)),"")</f>
        <v/>
      </c>
      <c r="P150" s="15">
        <f>IFERROR(INDEX(計算用!$M$2:$M$186,MATCH("女白"&amp;$J150,計算用!$L$2:$L$186,0)),"")</f>
        <v/>
      </c>
      <c r="Q150" s="16">
        <f>IFERROR(INDEX(計算用!$G$2:$G$186,MATCH("女白"&amp;$J150,計算用!$L$2:$L$186,0)),"")</f>
        <v/>
      </c>
    </row>
    <row r="151">
      <c r="A151" s="15">
        <f>IF(ROW()-3&lt;=MAX(計算用!$Q$2,計算用!$Q$3),ROW()-3,"")</f>
        <v/>
      </c>
      <c r="B151" s="15">
        <f>IFERROR(INDEX(計算用!$D$2:$D$186,MATCH("男赤"&amp;$A151,計算用!$L$2:$L$186,0)),"")</f>
        <v/>
      </c>
      <c r="C151" s="15">
        <f>IFERROR(INDEX(計算用!$M$2:$M$186,MATCH("男赤"&amp;$A151,計算用!$L$2:$L$186,0)),"")</f>
        <v/>
      </c>
      <c r="D151" s="16">
        <f>IFERROR(INDEX(計算用!$G$2:$G$186,MATCH("男赤"&amp;$A151,計算用!$L$2:$L$186,0)),"")</f>
        <v/>
      </c>
      <c r="E151" s="15" t="n"/>
      <c r="F151" s="15">
        <f>IFERROR(INDEX(計算用!$D$2:$D$186,MATCH("男白"&amp;$A151,計算用!$L$2:$L$186,0)),"")</f>
        <v/>
      </c>
      <c r="G151" s="15">
        <f>IFERROR(INDEX(計算用!$M$2:$M$186,MATCH("男白"&amp;$A151,計算用!$L$2:$L$186,0)),"")</f>
        <v/>
      </c>
      <c r="H151" s="16">
        <f>IFERROR(INDEX(計算用!$G$2:$G$186,MATCH("男白"&amp;$A151,計算用!$L$2:$L$186,0)),"")</f>
        <v/>
      </c>
      <c r="I151" s="15" t="n"/>
      <c r="J151" s="15">
        <f>IF(ROW()-3&lt;=MAX(計算用!$Q$4,計算用!$Q$5),ROW()-3,"")</f>
        <v/>
      </c>
      <c r="K151" s="15">
        <f>IFERROR(INDEX(計算用!$D$2:$D$186,MATCH("女赤"&amp;$J151,計算用!$L$2:$L$186,0)),"")</f>
        <v/>
      </c>
      <c r="L151" s="15">
        <f>IFERROR(INDEX(計算用!$M$2:$M$186,MATCH("女赤"&amp;$J151,計算用!$L$2:$L$186,0)),"")</f>
        <v/>
      </c>
      <c r="M151" s="16">
        <f>IFERROR(INDEX(計算用!$G$2:$G$186,MATCH("女赤"&amp;$J151,計算用!$L$2:$L$186,0)),"")</f>
        <v/>
      </c>
      <c r="N151" s="15" t="n"/>
      <c r="O151" s="15">
        <f>IFERROR(INDEX(計算用!$D$2:$D$186,MATCH("女白"&amp;$J151,計算用!$L$2:$L$186,0)),"")</f>
        <v/>
      </c>
      <c r="P151" s="15">
        <f>IFERROR(INDEX(計算用!$M$2:$M$186,MATCH("女白"&amp;$J151,計算用!$L$2:$L$186,0)),"")</f>
        <v/>
      </c>
      <c r="Q151" s="16">
        <f>IFERROR(INDEX(計算用!$G$2:$G$186,MATCH("女白"&amp;$J151,計算用!$L$2:$L$186,0)),"")</f>
        <v/>
      </c>
    </row>
    <row r="152">
      <c r="A152" s="15">
        <f>IF(ROW()-3&lt;=MAX(計算用!$Q$2,計算用!$Q$3),ROW()-3,"")</f>
        <v/>
      </c>
      <c r="B152" s="15">
        <f>IFERROR(INDEX(計算用!$D$2:$D$186,MATCH("男赤"&amp;$A152,計算用!$L$2:$L$186,0)),"")</f>
        <v/>
      </c>
      <c r="C152" s="15">
        <f>IFERROR(INDEX(計算用!$M$2:$M$186,MATCH("男赤"&amp;$A152,計算用!$L$2:$L$186,0)),"")</f>
        <v/>
      </c>
      <c r="D152" s="16">
        <f>IFERROR(INDEX(計算用!$G$2:$G$186,MATCH("男赤"&amp;$A152,計算用!$L$2:$L$186,0)),"")</f>
        <v/>
      </c>
      <c r="E152" s="15" t="n"/>
      <c r="F152" s="15">
        <f>IFERROR(INDEX(計算用!$D$2:$D$186,MATCH("男白"&amp;$A152,計算用!$L$2:$L$186,0)),"")</f>
        <v/>
      </c>
      <c r="G152" s="15">
        <f>IFERROR(INDEX(計算用!$M$2:$M$186,MATCH("男白"&amp;$A152,計算用!$L$2:$L$186,0)),"")</f>
        <v/>
      </c>
      <c r="H152" s="16">
        <f>IFERROR(INDEX(計算用!$G$2:$G$186,MATCH("男白"&amp;$A152,計算用!$L$2:$L$186,0)),"")</f>
        <v/>
      </c>
      <c r="I152" s="15" t="n"/>
      <c r="J152" s="15">
        <f>IF(ROW()-3&lt;=MAX(計算用!$Q$4,計算用!$Q$5),ROW()-3,"")</f>
        <v/>
      </c>
      <c r="K152" s="15">
        <f>IFERROR(INDEX(計算用!$D$2:$D$186,MATCH("女赤"&amp;$J152,計算用!$L$2:$L$186,0)),"")</f>
        <v/>
      </c>
      <c r="L152" s="15">
        <f>IFERROR(INDEX(計算用!$M$2:$M$186,MATCH("女赤"&amp;$J152,計算用!$L$2:$L$186,0)),"")</f>
        <v/>
      </c>
      <c r="M152" s="16">
        <f>IFERROR(INDEX(計算用!$G$2:$G$186,MATCH("女赤"&amp;$J152,計算用!$L$2:$L$186,0)),"")</f>
        <v/>
      </c>
      <c r="N152" s="15" t="n"/>
      <c r="O152" s="15">
        <f>IFERROR(INDEX(計算用!$D$2:$D$186,MATCH("女白"&amp;$J152,計算用!$L$2:$L$186,0)),"")</f>
        <v/>
      </c>
      <c r="P152" s="15">
        <f>IFERROR(INDEX(計算用!$M$2:$M$186,MATCH("女白"&amp;$J152,計算用!$L$2:$L$186,0)),"")</f>
        <v/>
      </c>
      <c r="Q152" s="16">
        <f>IFERROR(INDEX(計算用!$G$2:$G$186,MATCH("女白"&amp;$J152,計算用!$L$2:$L$186,0)),"")</f>
        <v/>
      </c>
    </row>
    <row r="153">
      <c r="A153" s="15">
        <f>IF(ROW()-3&lt;=MAX(計算用!$Q$2,計算用!$Q$3),ROW()-3,"")</f>
        <v/>
      </c>
      <c r="B153" s="15">
        <f>IFERROR(INDEX(計算用!$D$2:$D$186,MATCH("男赤"&amp;$A153,計算用!$L$2:$L$186,0)),"")</f>
        <v/>
      </c>
      <c r="C153" s="15">
        <f>IFERROR(INDEX(計算用!$M$2:$M$186,MATCH("男赤"&amp;$A153,計算用!$L$2:$L$186,0)),"")</f>
        <v/>
      </c>
      <c r="D153" s="16">
        <f>IFERROR(INDEX(計算用!$G$2:$G$186,MATCH("男赤"&amp;$A153,計算用!$L$2:$L$186,0)),"")</f>
        <v/>
      </c>
      <c r="E153" s="15" t="n"/>
      <c r="F153" s="15">
        <f>IFERROR(INDEX(計算用!$D$2:$D$186,MATCH("男白"&amp;$A153,計算用!$L$2:$L$186,0)),"")</f>
        <v/>
      </c>
      <c r="G153" s="15">
        <f>IFERROR(INDEX(計算用!$M$2:$M$186,MATCH("男白"&amp;$A153,計算用!$L$2:$L$186,0)),"")</f>
        <v/>
      </c>
      <c r="H153" s="16">
        <f>IFERROR(INDEX(計算用!$G$2:$G$186,MATCH("男白"&amp;$A153,計算用!$L$2:$L$186,0)),"")</f>
        <v/>
      </c>
      <c r="I153" s="15" t="n"/>
      <c r="J153" s="15">
        <f>IF(ROW()-3&lt;=MAX(計算用!$Q$4,計算用!$Q$5),ROW()-3,"")</f>
        <v/>
      </c>
      <c r="K153" s="15">
        <f>IFERROR(INDEX(計算用!$D$2:$D$186,MATCH("女赤"&amp;$J153,計算用!$L$2:$L$186,0)),"")</f>
        <v/>
      </c>
      <c r="L153" s="15">
        <f>IFERROR(INDEX(計算用!$M$2:$M$186,MATCH("女赤"&amp;$J153,計算用!$L$2:$L$186,0)),"")</f>
        <v/>
      </c>
      <c r="M153" s="16">
        <f>IFERROR(INDEX(計算用!$G$2:$G$186,MATCH("女赤"&amp;$J153,計算用!$L$2:$L$186,0)),"")</f>
        <v/>
      </c>
      <c r="N153" s="15" t="n"/>
      <c r="O153" s="15">
        <f>IFERROR(INDEX(計算用!$D$2:$D$186,MATCH("女白"&amp;$J153,計算用!$L$2:$L$186,0)),"")</f>
        <v/>
      </c>
      <c r="P153" s="15">
        <f>IFERROR(INDEX(計算用!$M$2:$M$186,MATCH("女白"&amp;$J153,計算用!$L$2:$L$186,0)),"")</f>
        <v/>
      </c>
      <c r="Q153" s="16">
        <f>IFERROR(INDEX(計算用!$G$2:$G$186,MATCH("女白"&amp;$J153,計算用!$L$2:$L$186,0)),"")</f>
        <v/>
      </c>
    </row>
    <row r="154">
      <c r="A154" s="15">
        <f>IF(ROW()-3&lt;=MAX(計算用!$Q$2,計算用!$Q$3),ROW()-3,"")</f>
        <v/>
      </c>
      <c r="B154" s="15">
        <f>IFERROR(INDEX(計算用!$D$2:$D$186,MATCH("男赤"&amp;$A154,計算用!$L$2:$L$186,0)),"")</f>
        <v/>
      </c>
      <c r="C154" s="15">
        <f>IFERROR(INDEX(計算用!$M$2:$M$186,MATCH("男赤"&amp;$A154,計算用!$L$2:$L$186,0)),"")</f>
        <v/>
      </c>
      <c r="D154" s="16">
        <f>IFERROR(INDEX(計算用!$G$2:$G$186,MATCH("男赤"&amp;$A154,計算用!$L$2:$L$186,0)),"")</f>
        <v/>
      </c>
      <c r="E154" s="15" t="n"/>
      <c r="F154" s="15">
        <f>IFERROR(INDEX(計算用!$D$2:$D$186,MATCH("男白"&amp;$A154,計算用!$L$2:$L$186,0)),"")</f>
        <v/>
      </c>
      <c r="G154" s="15">
        <f>IFERROR(INDEX(計算用!$M$2:$M$186,MATCH("男白"&amp;$A154,計算用!$L$2:$L$186,0)),"")</f>
        <v/>
      </c>
      <c r="H154" s="16">
        <f>IFERROR(INDEX(計算用!$G$2:$G$186,MATCH("男白"&amp;$A154,計算用!$L$2:$L$186,0)),"")</f>
        <v/>
      </c>
      <c r="I154" s="15" t="n"/>
      <c r="J154" s="15">
        <f>IF(ROW()-3&lt;=MAX(計算用!$Q$4,計算用!$Q$5),ROW()-3,"")</f>
        <v/>
      </c>
      <c r="K154" s="15">
        <f>IFERROR(INDEX(計算用!$D$2:$D$186,MATCH("女赤"&amp;$J154,計算用!$L$2:$L$186,0)),"")</f>
        <v/>
      </c>
      <c r="L154" s="15">
        <f>IFERROR(INDEX(計算用!$M$2:$M$186,MATCH("女赤"&amp;$J154,計算用!$L$2:$L$186,0)),"")</f>
        <v/>
      </c>
      <c r="M154" s="16">
        <f>IFERROR(INDEX(計算用!$G$2:$G$186,MATCH("女赤"&amp;$J154,計算用!$L$2:$L$186,0)),"")</f>
        <v/>
      </c>
      <c r="N154" s="15" t="n"/>
      <c r="O154" s="15">
        <f>IFERROR(INDEX(計算用!$D$2:$D$186,MATCH("女白"&amp;$J154,計算用!$L$2:$L$186,0)),"")</f>
        <v/>
      </c>
      <c r="P154" s="15">
        <f>IFERROR(INDEX(計算用!$M$2:$M$186,MATCH("女白"&amp;$J154,計算用!$L$2:$L$186,0)),"")</f>
        <v/>
      </c>
      <c r="Q154" s="16">
        <f>IFERROR(INDEX(計算用!$G$2:$G$186,MATCH("女白"&amp;$J154,計算用!$L$2:$L$186,0)),"")</f>
        <v/>
      </c>
    </row>
    <row r="155">
      <c r="A155" s="15">
        <f>IF(ROW()-3&lt;=MAX(計算用!$Q$2,計算用!$Q$3),ROW()-3,"")</f>
        <v/>
      </c>
      <c r="B155" s="15">
        <f>IFERROR(INDEX(計算用!$D$2:$D$186,MATCH("男赤"&amp;$A155,計算用!$L$2:$L$186,0)),"")</f>
        <v/>
      </c>
      <c r="C155" s="15">
        <f>IFERROR(INDEX(計算用!$M$2:$M$186,MATCH("男赤"&amp;$A155,計算用!$L$2:$L$186,0)),"")</f>
        <v/>
      </c>
      <c r="D155" s="16">
        <f>IFERROR(INDEX(計算用!$G$2:$G$186,MATCH("男赤"&amp;$A155,計算用!$L$2:$L$186,0)),"")</f>
        <v/>
      </c>
      <c r="E155" s="15" t="n"/>
      <c r="F155" s="15">
        <f>IFERROR(INDEX(計算用!$D$2:$D$186,MATCH("男白"&amp;$A155,計算用!$L$2:$L$186,0)),"")</f>
        <v/>
      </c>
      <c r="G155" s="15">
        <f>IFERROR(INDEX(計算用!$M$2:$M$186,MATCH("男白"&amp;$A155,計算用!$L$2:$L$186,0)),"")</f>
        <v/>
      </c>
      <c r="H155" s="16">
        <f>IFERROR(INDEX(計算用!$G$2:$G$186,MATCH("男白"&amp;$A155,計算用!$L$2:$L$186,0)),"")</f>
        <v/>
      </c>
      <c r="I155" s="15" t="n"/>
      <c r="J155" s="15">
        <f>IF(ROW()-3&lt;=MAX(計算用!$Q$4,計算用!$Q$5),ROW()-3,"")</f>
        <v/>
      </c>
      <c r="K155" s="15">
        <f>IFERROR(INDEX(計算用!$D$2:$D$186,MATCH("女赤"&amp;$J155,計算用!$L$2:$L$186,0)),"")</f>
        <v/>
      </c>
      <c r="L155" s="15">
        <f>IFERROR(INDEX(計算用!$M$2:$M$186,MATCH("女赤"&amp;$J155,計算用!$L$2:$L$186,0)),"")</f>
        <v/>
      </c>
      <c r="M155" s="16">
        <f>IFERROR(INDEX(計算用!$G$2:$G$186,MATCH("女赤"&amp;$J155,計算用!$L$2:$L$186,0)),"")</f>
        <v/>
      </c>
      <c r="N155" s="15" t="n"/>
      <c r="O155" s="15">
        <f>IFERROR(INDEX(計算用!$D$2:$D$186,MATCH("女白"&amp;$J155,計算用!$L$2:$L$186,0)),"")</f>
        <v/>
      </c>
      <c r="P155" s="15">
        <f>IFERROR(INDEX(計算用!$M$2:$M$186,MATCH("女白"&amp;$J155,計算用!$L$2:$L$186,0)),"")</f>
        <v/>
      </c>
      <c r="Q155" s="16">
        <f>IFERROR(INDEX(計算用!$G$2:$G$186,MATCH("女白"&amp;$J155,計算用!$L$2:$L$186,0)),"")</f>
        <v/>
      </c>
    </row>
    <row r="156">
      <c r="A156" s="15">
        <f>IF(ROW()-3&lt;=MAX(計算用!$Q$2,計算用!$Q$3),ROW()-3,"")</f>
        <v/>
      </c>
      <c r="B156" s="15">
        <f>IFERROR(INDEX(計算用!$D$2:$D$186,MATCH("男赤"&amp;$A156,計算用!$L$2:$L$186,0)),"")</f>
        <v/>
      </c>
      <c r="C156" s="15">
        <f>IFERROR(INDEX(計算用!$M$2:$M$186,MATCH("男赤"&amp;$A156,計算用!$L$2:$L$186,0)),"")</f>
        <v/>
      </c>
      <c r="D156" s="16">
        <f>IFERROR(INDEX(計算用!$G$2:$G$186,MATCH("男赤"&amp;$A156,計算用!$L$2:$L$186,0)),"")</f>
        <v/>
      </c>
      <c r="E156" s="15" t="n"/>
      <c r="F156" s="15">
        <f>IFERROR(INDEX(計算用!$D$2:$D$186,MATCH("男白"&amp;$A156,計算用!$L$2:$L$186,0)),"")</f>
        <v/>
      </c>
      <c r="G156" s="15">
        <f>IFERROR(INDEX(計算用!$M$2:$M$186,MATCH("男白"&amp;$A156,計算用!$L$2:$L$186,0)),"")</f>
        <v/>
      </c>
      <c r="H156" s="16">
        <f>IFERROR(INDEX(計算用!$G$2:$G$186,MATCH("男白"&amp;$A156,計算用!$L$2:$L$186,0)),"")</f>
        <v/>
      </c>
      <c r="I156" s="15" t="n"/>
      <c r="J156" s="15">
        <f>IF(ROW()-3&lt;=MAX(計算用!$Q$4,計算用!$Q$5),ROW()-3,"")</f>
        <v/>
      </c>
      <c r="K156" s="15">
        <f>IFERROR(INDEX(計算用!$D$2:$D$186,MATCH("女赤"&amp;$J156,計算用!$L$2:$L$186,0)),"")</f>
        <v/>
      </c>
      <c r="L156" s="15">
        <f>IFERROR(INDEX(計算用!$M$2:$M$186,MATCH("女赤"&amp;$J156,計算用!$L$2:$L$186,0)),"")</f>
        <v/>
      </c>
      <c r="M156" s="16">
        <f>IFERROR(INDEX(計算用!$G$2:$G$186,MATCH("女赤"&amp;$J156,計算用!$L$2:$L$186,0)),"")</f>
        <v/>
      </c>
      <c r="N156" s="15" t="n"/>
      <c r="O156" s="15">
        <f>IFERROR(INDEX(計算用!$D$2:$D$186,MATCH("女白"&amp;$J156,計算用!$L$2:$L$186,0)),"")</f>
        <v/>
      </c>
      <c r="P156" s="15">
        <f>IFERROR(INDEX(計算用!$M$2:$M$186,MATCH("女白"&amp;$J156,計算用!$L$2:$L$186,0)),"")</f>
        <v/>
      </c>
      <c r="Q156" s="16">
        <f>IFERROR(INDEX(計算用!$G$2:$G$186,MATCH("女白"&amp;$J156,計算用!$L$2:$L$186,0)),"")</f>
        <v/>
      </c>
    </row>
    <row r="157">
      <c r="A157" s="15">
        <f>IF(ROW()-3&lt;=MAX(計算用!$Q$2,計算用!$Q$3),ROW()-3,"")</f>
        <v/>
      </c>
      <c r="B157" s="15">
        <f>IFERROR(INDEX(計算用!$D$2:$D$186,MATCH("男赤"&amp;$A157,計算用!$L$2:$L$186,0)),"")</f>
        <v/>
      </c>
      <c r="C157" s="15">
        <f>IFERROR(INDEX(計算用!$M$2:$M$186,MATCH("男赤"&amp;$A157,計算用!$L$2:$L$186,0)),"")</f>
        <v/>
      </c>
      <c r="D157" s="16">
        <f>IFERROR(INDEX(計算用!$G$2:$G$186,MATCH("男赤"&amp;$A157,計算用!$L$2:$L$186,0)),"")</f>
        <v/>
      </c>
      <c r="E157" s="15" t="n"/>
      <c r="F157" s="15">
        <f>IFERROR(INDEX(計算用!$D$2:$D$186,MATCH("男白"&amp;$A157,計算用!$L$2:$L$186,0)),"")</f>
        <v/>
      </c>
      <c r="G157" s="15">
        <f>IFERROR(INDEX(計算用!$M$2:$M$186,MATCH("男白"&amp;$A157,計算用!$L$2:$L$186,0)),"")</f>
        <v/>
      </c>
      <c r="H157" s="16">
        <f>IFERROR(INDEX(計算用!$G$2:$G$186,MATCH("男白"&amp;$A157,計算用!$L$2:$L$186,0)),"")</f>
        <v/>
      </c>
      <c r="I157" s="15" t="n"/>
      <c r="J157" s="15">
        <f>IF(ROW()-3&lt;=MAX(計算用!$Q$4,計算用!$Q$5),ROW()-3,"")</f>
        <v/>
      </c>
      <c r="K157" s="15">
        <f>IFERROR(INDEX(計算用!$D$2:$D$186,MATCH("女赤"&amp;$J157,計算用!$L$2:$L$186,0)),"")</f>
        <v/>
      </c>
      <c r="L157" s="15">
        <f>IFERROR(INDEX(計算用!$M$2:$M$186,MATCH("女赤"&amp;$J157,計算用!$L$2:$L$186,0)),"")</f>
        <v/>
      </c>
      <c r="M157" s="16">
        <f>IFERROR(INDEX(計算用!$G$2:$G$186,MATCH("女赤"&amp;$J157,計算用!$L$2:$L$186,0)),"")</f>
        <v/>
      </c>
      <c r="N157" s="15" t="n"/>
      <c r="O157" s="15">
        <f>IFERROR(INDEX(計算用!$D$2:$D$186,MATCH("女白"&amp;$J157,計算用!$L$2:$L$186,0)),"")</f>
        <v/>
      </c>
      <c r="P157" s="15">
        <f>IFERROR(INDEX(計算用!$M$2:$M$186,MATCH("女白"&amp;$J157,計算用!$L$2:$L$186,0)),"")</f>
        <v/>
      </c>
      <c r="Q157" s="16">
        <f>IFERROR(INDEX(計算用!$G$2:$G$186,MATCH("女白"&amp;$J157,計算用!$L$2:$L$186,0)),"")</f>
        <v/>
      </c>
    </row>
    <row r="158">
      <c r="A158" s="15">
        <f>IF(ROW()-3&lt;=MAX(計算用!$Q$2,計算用!$Q$3),ROW()-3,"")</f>
        <v/>
      </c>
      <c r="B158" s="15">
        <f>IFERROR(INDEX(計算用!$D$2:$D$186,MATCH("男赤"&amp;$A158,計算用!$L$2:$L$186,0)),"")</f>
        <v/>
      </c>
      <c r="C158" s="15">
        <f>IFERROR(INDEX(計算用!$M$2:$M$186,MATCH("男赤"&amp;$A158,計算用!$L$2:$L$186,0)),"")</f>
        <v/>
      </c>
      <c r="D158" s="16">
        <f>IFERROR(INDEX(計算用!$G$2:$G$186,MATCH("男赤"&amp;$A158,計算用!$L$2:$L$186,0)),"")</f>
        <v/>
      </c>
      <c r="E158" s="15" t="n"/>
      <c r="F158" s="15">
        <f>IFERROR(INDEX(計算用!$D$2:$D$186,MATCH("男白"&amp;$A158,計算用!$L$2:$L$186,0)),"")</f>
        <v/>
      </c>
      <c r="G158" s="15">
        <f>IFERROR(INDEX(計算用!$M$2:$M$186,MATCH("男白"&amp;$A158,計算用!$L$2:$L$186,0)),"")</f>
        <v/>
      </c>
      <c r="H158" s="16">
        <f>IFERROR(INDEX(計算用!$G$2:$G$186,MATCH("男白"&amp;$A158,計算用!$L$2:$L$186,0)),"")</f>
        <v/>
      </c>
      <c r="I158" s="15" t="n"/>
      <c r="J158" s="15">
        <f>IF(ROW()-3&lt;=MAX(計算用!$Q$4,計算用!$Q$5),ROW()-3,"")</f>
        <v/>
      </c>
      <c r="K158" s="15">
        <f>IFERROR(INDEX(計算用!$D$2:$D$186,MATCH("女赤"&amp;$J158,計算用!$L$2:$L$186,0)),"")</f>
        <v/>
      </c>
      <c r="L158" s="15">
        <f>IFERROR(INDEX(計算用!$M$2:$M$186,MATCH("女赤"&amp;$J158,計算用!$L$2:$L$186,0)),"")</f>
        <v/>
      </c>
      <c r="M158" s="16">
        <f>IFERROR(INDEX(計算用!$G$2:$G$186,MATCH("女赤"&amp;$J158,計算用!$L$2:$L$186,0)),"")</f>
        <v/>
      </c>
      <c r="N158" s="15" t="n"/>
      <c r="O158" s="15">
        <f>IFERROR(INDEX(計算用!$D$2:$D$186,MATCH("女白"&amp;$J158,計算用!$L$2:$L$186,0)),"")</f>
        <v/>
      </c>
      <c r="P158" s="15">
        <f>IFERROR(INDEX(計算用!$M$2:$M$186,MATCH("女白"&amp;$J158,計算用!$L$2:$L$186,0)),"")</f>
        <v/>
      </c>
      <c r="Q158" s="16">
        <f>IFERROR(INDEX(計算用!$G$2:$G$186,MATCH("女白"&amp;$J158,計算用!$L$2:$L$186,0)),"")</f>
        <v/>
      </c>
    </row>
    <row r="159">
      <c r="A159" s="15">
        <f>IF(ROW()-3&lt;=MAX(計算用!$Q$2,計算用!$Q$3),ROW()-3,"")</f>
        <v/>
      </c>
      <c r="B159" s="15">
        <f>IFERROR(INDEX(計算用!$D$2:$D$186,MATCH("男赤"&amp;$A159,計算用!$L$2:$L$186,0)),"")</f>
        <v/>
      </c>
      <c r="C159" s="15">
        <f>IFERROR(INDEX(計算用!$M$2:$M$186,MATCH("男赤"&amp;$A159,計算用!$L$2:$L$186,0)),"")</f>
        <v/>
      </c>
      <c r="D159" s="16">
        <f>IFERROR(INDEX(計算用!$G$2:$G$186,MATCH("男赤"&amp;$A159,計算用!$L$2:$L$186,0)),"")</f>
        <v/>
      </c>
      <c r="E159" s="15" t="n"/>
      <c r="F159" s="15">
        <f>IFERROR(INDEX(計算用!$D$2:$D$186,MATCH("男白"&amp;$A159,計算用!$L$2:$L$186,0)),"")</f>
        <v/>
      </c>
      <c r="G159" s="15">
        <f>IFERROR(INDEX(計算用!$M$2:$M$186,MATCH("男白"&amp;$A159,計算用!$L$2:$L$186,0)),"")</f>
        <v/>
      </c>
      <c r="H159" s="16">
        <f>IFERROR(INDEX(計算用!$G$2:$G$186,MATCH("男白"&amp;$A159,計算用!$L$2:$L$186,0)),"")</f>
        <v/>
      </c>
      <c r="I159" s="15" t="n"/>
      <c r="J159" s="15">
        <f>IF(ROW()-3&lt;=MAX(計算用!$Q$4,計算用!$Q$5),ROW()-3,"")</f>
        <v/>
      </c>
      <c r="K159" s="15">
        <f>IFERROR(INDEX(計算用!$D$2:$D$186,MATCH("女赤"&amp;$J159,計算用!$L$2:$L$186,0)),"")</f>
        <v/>
      </c>
      <c r="L159" s="15">
        <f>IFERROR(INDEX(計算用!$M$2:$M$186,MATCH("女赤"&amp;$J159,計算用!$L$2:$L$186,0)),"")</f>
        <v/>
      </c>
      <c r="M159" s="16">
        <f>IFERROR(INDEX(計算用!$G$2:$G$186,MATCH("女赤"&amp;$J159,計算用!$L$2:$L$186,0)),"")</f>
        <v/>
      </c>
      <c r="N159" s="15" t="n"/>
      <c r="O159" s="15">
        <f>IFERROR(INDEX(計算用!$D$2:$D$186,MATCH("女白"&amp;$J159,計算用!$L$2:$L$186,0)),"")</f>
        <v/>
      </c>
      <c r="P159" s="15">
        <f>IFERROR(INDEX(計算用!$M$2:$M$186,MATCH("女白"&amp;$J159,計算用!$L$2:$L$186,0)),"")</f>
        <v/>
      </c>
      <c r="Q159" s="16">
        <f>IFERROR(INDEX(計算用!$G$2:$G$186,MATCH("女白"&amp;$J159,計算用!$L$2:$L$186,0)),"")</f>
        <v/>
      </c>
    </row>
    <row r="160">
      <c r="A160" s="15">
        <f>IF(ROW()-3&lt;=MAX(計算用!$Q$2,計算用!$Q$3),ROW()-3,"")</f>
        <v/>
      </c>
      <c r="B160" s="15">
        <f>IFERROR(INDEX(計算用!$D$2:$D$186,MATCH("男赤"&amp;$A160,計算用!$L$2:$L$186,0)),"")</f>
        <v/>
      </c>
      <c r="C160" s="15">
        <f>IFERROR(INDEX(計算用!$M$2:$M$186,MATCH("男赤"&amp;$A160,計算用!$L$2:$L$186,0)),"")</f>
        <v/>
      </c>
      <c r="D160" s="16">
        <f>IFERROR(INDEX(計算用!$G$2:$G$186,MATCH("男赤"&amp;$A160,計算用!$L$2:$L$186,0)),"")</f>
        <v/>
      </c>
      <c r="E160" s="15" t="n"/>
      <c r="F160" s="15">
        <f>IFERROR(INDEX(計算用!$D$2:$D$186,MATCH("男白"&amp;$A160,計算用!$L$2:$L$186,0)),"")</f>
        <v/>
      </c>
      <c r="G160" s="15">
        <f>IFERROR(INDEX(計算用!$M$2:$M$186,MATCH("男白"&amp;$A160,計算用!$L$2:$L$186,0)),"")</f>
        <v/>
      </c>
      <c r="H160" s="16">
        <f>IFERROR(INDEX(計算用!$G$2:$G$186,MATCH("男白"&amp;$A160,計算用!$L$2:$L$186,0)),"")</f>
        <v/>
      </c>
      <c r="I160" s="15" t="n"/>
      <c r="J160" s="15">
        <f>IF(ROW()-3&lt;=MAX(計算用!$Q$4,計算用!$Q$5),ROW()-3,"")</f>
        <v/>
      </c>
      <c r="K160" s="15">
        <f>IFERROR(INDEX(計算用!$D$2:$D$186,MATCH("女赤"&amp;$J160,計算用!$L$2:$L$186,0)),"")</f>
        <v/>
      </c>
      <c r="L160" s="15">
        <f>IFERROR(INDEX(計算用!$M$2:$M$186,MATCH("女赤"&amp;$J160,計算用!$L$2:$L$186,0)),"")</f>
        <v/>
      </c>
      <c r="M160" s="16">
        <f>IFERROR(INDEX(計算用!$G$2:$G$186,MATCH("女赤"&amp;$J160,計算用!$L$2:$L$186,0)),"")</f>
        <v/>
      </c>
      <c r="N160" s="15" t="n"/>
      <c r="O160" s="15">
        <f>IFERROR(INDEX(計算用!$D$2:$D$186,MATCH("女白"&amp;$J160,計算用!$L$2:$L$186,0)),"")</f>
        <v/>
      </c>
      <c r="P160" s="15">
        <f>IFERROR(INDEX(計算用!$M$2:$M$186,MATCH("女白"&amp;$J160,計算用!$L$2:$L$186,0)),"")</f>
        <v/>
      </c>
      <c r="Q160" s="16">
        <f>IFERROR(INDEX(計算用!$G$2:$G$186,MATCH("女白"&amp;$J160,計算用!$L$2:$L$186,0)),"")</f>
        <v/>
      </c>
    </row>
    <row r="161">
      <c r="A161" s="15">
        <f>IF(ROW()-3&lt;=MAX(計算用!$Q$2,計算用!$Q$3),ROW()-3,"")</f>
        <v/>
      </c>
      <c r="B161" s="15">
        <f>IFERROR(INDEX(計算用!$D$2:$D$186,MATCH("男赤"&amp;$A161,計算用!$L$2:$L$186,0)),"")</f>
        <v/>
      </c>
      <c r="C161" s="15">
        <f>IFERROR(INDEX(計算用!$M$2:$M$186,MATCH("男赤"&amp;$A161,計算用!$L$2:$L$186,0)),"")</f>
        <v/>
      </c>
      <c r="D161" s="16">
        <f>IFERROR(INDEX(計算用!$G$2:$G$186,MATCH("男赤"&amp;$A161,計算用!$L$2:$L$186,0)),"")</f>
        <v/>
      </c>
      <c r="E161" s="15" t="n"/>
      <c r="F161" s="15">
        <f>IFERROR(INDEX(計算用!$D$2:$D$186,MATCH("男白"&amp;$A161,計算用!$L$2:$L$186,0)),"")</f>
        <v/>
      </c>
      <c r="G161" s="15">
        <f>IFERROR(INDEX(計算用!$M$2:$M$186,MATCH("男白"&amp;$A161,計算用!$L$2:$L$186,0)),"")</f>
        <v/>
      </c>
      <c r="H161" s="16">
        <f>IFERROR(INDEX(計算用!$G$2:$G$186,MATCH("男白"&amp;$A161,計算用!$L$2:$L$186,0)),"")</f>
        <v/>
      </c>
      <c r="I161" s="15" t="n"/>
      <c r="J161" s="15">
        <f>IF(ROW()-3&lt;=MAX(計算用!$Q$4,計算用!$Q$5),ROW()-3,"")</f>
        <v/>
      </c>
      <c r="K161" s="15">
        <f>IFERROR(INDEX(計算用!$D$2:$D$186,MATCH("女赤"&amp;$J161,計算用!$L$2:$L$186,0)),"")</f>
        <v/>
      </c>
      <c r="L161" s="15">
        <f>IFERROR(INDEX(計算用!$M$2:$M$186,MATCH("女赤"&amp;$J161,計算用!$L$2:$L$186,0)),"")</f>
        <v/>
      </c>
      <c r="M161" s="16">
        <f>IFERROR(INDEX(計算用!$G$2:$G$186,MATCH("女赤"&amp;$J161,計算用!$L$2:$L$186,0)),"")</f>
        <v/>
      </c>
      <c r="N161" s="15" t="n"/>
      <c r="O161" s="15">
        <f>IFERROR(INDEX(計算用!$D$2:$D$186,MATCH("女白"&amp;$J161,計算用!$L$2:$L$186,0)),"")</f>
        <v/>
      </c>
      <c r="P161" s="15">
        <f>IFERROR(INDEX(計算用!$M$2:$M$186,MATCH("女白"&amp;$J161,計算用!$L$2:$L$186,0)),"")</f>
        <v/>
      </c>
      <c r="Q161" s="16">
        <f>IFERROR(INDEX(計算用!$G$2:$G$186,MATCH("女白"&amp;$J161,計算用!$L$2:$L$186,0)),"")</f>
        <v/>
      </c>
    </row>
    <row r="162">
      <c r="A162" s="15">
        <f>IF(ROW()-3&lt;=MAX(計算用!$Q$2,計算用!$Q$3),ROW()-3,"")</f>
        <v/>
      </c>
      <c r="B162" s="15">
        <f>IFERROR(INDEX(計算用!$D$2:$D$186,MATCH("男赤"&amp;$A162,計算用!$L$2:$L$186,0)),"")</f>
        <v/>
      </c>
      <c r="C162" s="15">
        <f>IFERROR(INDEX(計算用!$M$2:$M$186,MATCH("男赤"&amp;$A162,計算用!$L$2:$L$186,0)),"")</f>
        <v/>
      </c>
      <c r="D162" s="16">
        <f>IFERROR(INDEX(計算用!$G$2:$G$186,MATCH("男赤"&amp;$A162,計算用!$L$2:$L$186,0)),"")</f>
        <v/>
      </c>
      <c r="E162" s="15" t="n"/>
      <c r="F162" s="15">
        <f>IFERROR(INDEX(計算用!$D$2:$D$186,MATCH("男白"&amp;$A162,計算用!$L$2:$L$186,0)),"")</f>
        <v/>
      </c>
      <c r="G162" s="15">
        <f>IFERROR(INDEX(計算用!$M$2:$M$186,MATCH("男白"&amp;$A162,計算用!$L$2:$L$186,0)),"")</f>
        <v/>
      </c>
      <c r="H162" s="16">
        <f>IFERROR(INDEX(計算用!$G$2:$G$186,MATCH("男白"&amp;$A162,計算用!$L$2:$L$186,0)),"")</f>
        <v/>
      </c>
      <c r="I162" s="15" t="n"/>
      <c r="J162" s="15">
        <f>IF(ROW()-3&lt;=MAX(計算用!$Q$4,計算用!$Q$5),ROW()-3,"")</f>
        <v/>
      </c>
      <c r="K162" s="15">
        <f>IFERROR(INDEX(計算用!$D$2:$D$186,MATCH("女赤"&amp;$J162,計算用!$L$2:$L$186,0)),"")</f>
        <v/>
      </c>
      <c r="L162" s="15">
        <f>IFERROR(INDEX(計算用!$M$2:$M$186,MATCH("女赤"&amp;$J162,計算用!$L$2:$L$186,0)),"")</f>
        <v/>
      </c>
      <c r="M162" s="16">
        <f>IFERROR(INDEX(計算用!$G$2:$G$186,MATCH("女赤"&amp;$J162,計算用!$L$2:$L$186,0)),"")</f>
        <v/>
      </c>
      <c r="N162" s="15" t="n"/>
      <c r="O162" s="15">
        <f>IFERROR(INDEX(計算用!$D$2:$D$186,MATCH("女白"&amp;$J162,計算用!$L$2:$L$186,0)),"")</f>
        <v/>
      </c>
      <c r="P162" s="15">
        <f>IFERROR(INDEX(計算用!$M$2:$M$186,MATCH("女白"&amp;$J162,計算用!$L$2:$L$186,0)),"")</f>
        <v/>
      </c>
      <c r="Q162" s="16">
        <f>IFERROR(INDEX(計算用!$G$2:$G$186,MATCH("女白"&amp;$J162,計算用!$L$2:$L$186,0)),"")</f>
        <v/>
      </c>
    </row>
    <row r="163">
      <c r="A163" s="15">
        <f>IF(ROW()-3&lt;=MAX(計算用!$Q$2,計算用!$Q$3),ROW()-3,"")</f>
        <v/>
      </c>
      <c r="B163" s="15">
        <f>IFERROR(INDEX(計算用!$D$2:$D$186,MATCH("男赤"&amp;$A163,計算用!$L$2:$L$186,0)),"")</f>
        <v/>
      </c>
      <c r="C163" s="15">
        <f>IFERROR(INDEX(計算用!$M$2:$M$186,MATCH("男赤"&amp;$A163,計算用!$L$2:$L$186,0)),"")</f>
        <v/>
      </c>
      <c r="D163" s="16">
        <f>IFERROR(INDEX(計算用!$G$2:$G$186,MATCH("男赤"&amp;$A163,計算用!$L$2:$L$186,0)),"")</f>
        <v/>
      </c>
      <c r="E163" s="15" t="n"/>
      <c r="F163" s="15">
        <f>IFERROR(INDEX(計算用!$D$2:$D$186,MATCH("男白"&amp;$A163,計算用!$L$2:$L$186,0)),"")</f>
        <v/>
      </c>
      <c r="G163" s="15">
        <f>IFERROR(INDEX(計算用!$M$2:$M$186,MATCH("男白"&amp;$A163,計算用!$L$2:$L$186,0)),"")</f>
        <v/>
      </c>
      <c r="H163" s="16">
        <f>IFERROR(INDEX(計算用!$G$2:$G$186,MATCH("男白"&amp;$A163,計算用!$L$2:$L$186,0)),"")</f>
        <v/>
      </c>
      <c r="I163" s="15" t="n"/>
      <c r="J163" s="15">
        <f>IF(ROW()-3&lt;=MAX(計算用!$Q$4,計算用!$Q$5),ROW()-3,"")</f>
        <v/>
      </c>
      <c r="K163" s="15">
        <f>IFERROR(INDEX(計算用!$D$2:$D$186,MATCH("女赤"&amp;$J163,計算用!$L$2:$L$186,0)),"")</f>
        <v/>
      </c>
      <c r="L163" s="15">
        <f>IFERROR(INDEX(計算用!$M$2:$M$186,MATCH("女赤"&amp;$J163,計算用!$L$2:$L$186,0)),"")</f>
        <v/>
      </c>
      <c r="M163" s="16">
        <f>IFERROR(INDEX(計算用!$G$2:$G$186,MATCH("女赤"&amp;$J163,計算用!$L$2:$L$186,0)),"")</f>
        <v/>
      </c>
      <c r="N163" s="15" t="n"/>
      <c r="O163" s="15">
        <f>IFERROR(INDEX(計算用!$D$2:$D$186,MATCH("女白"&amp;$J163,計算用!$L$2:$L$186,0)),"")</f>
        <v/>
      </c>
      <c r="P163" s="15">
        <f>IFERROR(INDEX(計算用!$M$2:$M$186,MATCH("女白"&amp;$J163,計算用!$L$2:$L$186,0)),"")</f>
        <v/>
      </c>
      <c r="Q163" s="16">
        <f>IFERROR(INDEX(計算用!$G$2:$G$186,MATCH("女白"&amp;$J163,計算用!$L$2:$L$186,0)),"")</f>
        <v/>
      </c>
    </row>
    <row r="164">
      <c r="A164" s="15">
        <f>IF(ROW()-3&lt;=MAX(計算用!$Q$2,計算用!$Q$3),ROW()-3,"")</f>
        <v/>
      </c>
      <c r="B164" s="15">
        <f>IFERROR(INDEX(計算用!$D$2:$D$186,MATCH("男赤"&amp;$A164,計算用!$L$2:$L$186,0)),"")</f>
        <v/>
      </c>
      <c r="C164" s="15">
        <f>IFERROR(INDEX(計算用!$M$2:$M$186,MATCH("男赤"&amp;$A164,計算用!$L$2:$L$186,0)),"")</f>
        <v/>
      </c>
      <c r="D164" s="16">
        <f>IFERROR(INDEX(計算用!$G$2:$G$186,MATCH("男赤"&amp;$A164,計算用!$L$2:$L$186,0)),"")</f>
        <v/>
      </c>
      <c r="E164" s="15" t="n"/>
      <c r="F164" s="15">
        <f>IFERROR(INDEX(計算用!$D$2:$D$186,MATCH("男白"&amp;$A164,計算用!$L$2:$L$186,0)),"")</f>
        <v/>
      </c>
      <c r="G164" s="15">
        <f>IFERROR(INDEX(計算用!$M$2:$M$186,MATCH("男白"&amp;$A164,計算用!$L$2:$L$186,0)),"")</f>
        <v/>
      </c>
      <c r="H164" s="16">
        <f>IFERROR(INDEX(計算用!$G$2:$G$186,MATCH("男白"&amp;$A164,計算用!$L$2:$L$186,0)),"")</f>
        <v/>
      </c>
      <c r="I164" s="15" t="n"/>
      <c r="J164" s="15">
        <f>IF(ROW()-3&lt;=MAX(計算用!$Q$4,計算用!$Q$5),ROW()-3,"")</f>
        <v/>
      </c>
      <c r="K164" s="15">
        <f>IFERROR(INDEX(計算用!$D$2:$D$186,MATCH("女赤"&amp;$J164,計算用!$L$2:$L$186,0)),"")</f>
        <v/>
      </c>
      <c r="L164" s="15">
        <f>IFERROR(INDEX(計算用!$M$2:$M$186,MATCH("女赤"&amp;$J164,計算用!$L$2:$L$186,0)),"")</f>
        <v/>
      </c>
      <c r="M164" s="16">
        <f>IFERROR(INDEX(計算用!$G$2:$G$186,MATCH("女赤"&amp;$J164,計算用!$L$2:$L$186,0)),"")</f>
        <v/>
      </c>
      <c r="N164" s="15" t="n"/>
      <c r="O164" s="15">
        <f>IFERROR(INDEX(計算用!$D$2:$D$186,MATCH("女白"&amp;$J164,計算用!$L$2:$L$186,0)),"")</f>
        <v/>
      </c>
      <c r="P164" s="15">
        <f>IFERROR(INDEX(計算用!$M$2:$M$186,MATCH("女白"&amp;$J164,計算用!$L$2:$L$186,0)),"")</f>
        <v/>
      </c>
      <c r="Q164" s="16">
        <f>IFERROR(INDEX(計算用!$G$2:$G$186,MATCH("女白"&amp;$J164,計算用!$L$2:$L$186,0)),"")</f>
        <v/>
      </c>
    </row>
    <row r="165">
      <c r="A165" s="15">
        <f>IF(ROW()-3&lt;=MAX(計算用!$Q$2,計算用!$Q$3),ROW()-3,"")</f>
        <v/>
      </c>
      <c r="B165" s="15">
        <f>IFERROR(INDEX(計算用!$D$2:$D$186,MATCH("男赤"&amp;$A165,計算用!$L$2:$L$186,0)),"")</f>
        <v/>
      </c>
      <c r="C165" s="15">
        <f>IFERROR(INDEX(計算用!$M$2:$M$186,MATCH("男赤"&amp;$A165,計算用!$L$2:$L$186,0)),"")</f>
        <v/>
      </c>
      <c r="D165" s="16">
        <f>IFERROR(INDEX(計算用!$G$2:$G$186,MATCH("男赤"&amp;$A165,計算用!$L$2:$L$186,0)),"")</f>
        <v/>
      </c>
      <c r="E165" s="15" t="n"/>
      <c r="F165" s="15">
        <f>IFERROR(INDEX(計算用!$D$2:$D$186,MATCH("男白"&amp;$A165,計算用!$L$2:$L$186,0)),"")</f>
        <v/>
      </c>
      <c r="G165" s="15">
        <f>IFERROR(INDEX(計算用!$M$2:$M$186,MATCH("男白"&amp;$A165,計算用!$L$2:$L$186,0)),"")</f>
        <v/>
      </c>
      <c r="H165" s="16">
        <f>IFERROR(INDEX(計算用!$G$2:$G$186,MATCH("男白"&amp;$A165,計算用!$L$2:$L$186,0)),"")</f>
        <v/>
      </c>
      <c r="I165" s="15" t="n"/>
      <c r="J165" s="15">
        <f>IF(ROW()-3&lt;=MAX(計算用!$Q$4,計算用!$Q$5),ROW()-3,"")</f>
        <v/>
      </c>
      <c r="K165" s="15">
        <f>IFERROR(INDEX(計算用!$D$2:$D$186,MATCH("女赤"&amp;$J165,計算用!$L$2:$L$186,0)),"")</f>
        <v/>
      </c>
      <c r="L165" s="15">
        <f>IFERROR(INDEX(計算用!$M$2:$M$186,MATCH("女赤"&amp;$J165,計算用!$L$2:$L$186,0)),"")</f>
        <v/>
      </c>
      <c r="M165" s="16">
        <f>IFERROR(INDEX(計算用!$G$2:$G$186,MATCH("女赤"&amp;$J165,計算用!$L$2:$L$186,0)),"")</f>
        <v/>
      </c>
      <c r="N165" s="15" t="n"/>
      <c r="O165" s="15">
        <f>IFERROR(INDEX(計算用!$D$2:$D$186,MATCH("女白"&amp;$J165,計算用!$L$2:$L$186,0)),"")</f>
        <v/>
      </c>
      <c r="P165" s="15">
        <f>IFERROR(INDEX(計算用!$M$2:$M$186,MATCH("女白"&amp;$J165,計算用!$L$2:$L$186,0)),"")</f>
        <v/>
      </c>
      <c r="Q165" s="16">
        <f>IFERROR(INDEX(計算用!$G$2:$G$186,MATCH("女白"&amp;$J165,計算用!$L$2:$L$186,0)),"")</f>
        <v/>
      </c>
    </row>
    <row r="166">
      <c r="A166" s="15">
        <f>IF(ROW()-3&lt;=MAX(計算用!$Q$2,計算用!$Q$3),ROW()-3,"")</f>
        <v/>
      </c>
      <c r="B166" s="15">
        <f>IFERROR(INDEX(計算用!$D$2:$D$186,MATCH("男赤"&amp;$A166,計算用!$L$2:$L$186,0)),"")</f>
        <v/>
      </c>
      <c r="C166" s="15">
        <f>IFERROR(INDEX(計算用!$M$2:$M$186,MATCH("男赤"&amp;$A166,計算用!$L$2:$L$186,0)),"")</f>
        <v/>
      </c>
      <c r="D166" s="16">
        <f>IFERROR(INDEX(計算用!$G$2:$G$186,MATCH("男赤"&amp;$A166,計算用!$L$2:$L$186,0)),"")</f>
        <v/>
      </c>
      <c r="E166" s="15" t="n"/>
      <c r="F166" s="15">
        <f>IFERROR(INDEX(計算用!$D$2:$D$186,MATCH("男白"&amp;$A166,計算用!$L$2:$L$186,0)),"")</f>
        <v/>
      </c>
      <c r="G166" s="15">
        <f>IFERROR(INDEX(計算用!$M$2:$M$186,MATCH("男白"&amp;$A166,計算用!$L$2:$L$186,0)),"")</f>
        <v/>
      </c>
      <c r="H166" s="16">
        <f>IFERROR(INDEX(計算用!$G$2:$G$186,MATCH("男白"&amp;$A166,計算用!$L$2:$L$186,0)),"")</f>
        <v/>
      </c>
      <c r="I166" s="15" t="n"/>
      <c r="J166" s="15">
        <f>IF(ROW()-3&lt;=MAX(計算用!$Q$4,計算用!$Q$5),ROW()-3,"")</f>
        <v/>
      </c>
      <c r="K166" s="15">
        <f>IFERROR(INDEX(計算用!$D$2:$D$186,MATCH("女赤"&amp;$J166,計算用!$L$2:$L$186,0)),"")</f>
        <v/>
      </c>
      <c r="L166" s="15">
        <f>IFERROR(INDEX(計算用!$M$2:$M$186,MATCH("女赤"&amp;$J166,計算用!$L$2:$L$186,0)),"")</f>
        <v/>
      </c>
      <c r="M166" s="16">
        <f>IFERROR(INDEX(計算用!$G$2:$G$186,MATCH("女赤"&amp;$J166,計算用!$L$2:$L$186,0)),"")</f>
        <v/>
      </c>
      <c r="N166" s="15" t="n"/>
      <c r="O166" s="15">
        <f>IFERROR(INDEX(計算用!$D$2:$D$186,MATCH("女白"&amp;$J166,計算用!$L$2:$L$186,0)),"")</f>
        <v/>
      </c>
      <c r="P166" s="15">
        <f>IFERROR(INDEX(計算用!$M$2:$M$186,MATCH("女白"&amp;$J166,計算用!$L$2:$L$186,0)),"")</f>
        <v/>
      </c>
      <c r="Q166" s="16">
        <f>IFERROR(INDEX(計算用!$G$2:$G$186,MATCH("女白"&amp;$J166,計算用!$L$2:$L$186,0)),"")</f>
        <v/>
      </c>
    </row>
    <row r="167">
      <c r="A167" s="15">
        <f>IF(ROW()-3&lt;=MAX(計算用!$Q$2,計算用!$Q$3),ROW()-3,"")</f>
        <v/>
      </c>
      <c r="B167" s="15">
        <f>IFERROR(INDEX(計算用!$D$2:$D$186,MATCH("男赤"&amp;$A167,計算用!$L$2:$L$186,0)),"")</f>
        <v/>
      </c>
      <c r="C167" s="15">
        <f>IFERROR(INDEX(計算用!$M$2:$M$186,MATCH("男赤"&amp;$A167,計算用!$L$2:$L$186,0)),"")</f>
        <v/>
      </c>
      <c r="D167" s="16">
        <f>IFERROR(INDEX(計算用!$G$2:$G$186,MATCH("男赤"&amp;$A167,計算用!$L$2:$L$186,0)),"")</f>
        <v/>
      </c>
      <c r="E167" s="15" t="n"/>
      <c r="F167" s="15">
        <f>IFERROR(INDEX(計算用!$D$2:$D$186,MATCH("男白"&amp;$A167,計算用!$L$2:$L$186,0)),"")</f>
        <v/>
      </c>
      <c r="G167" s="15">
        <f>IFERROR(INDEX(計算用!$M$2:$M$186,MATCH("男白"&amp;$A167,計算用!$L$2:$L$186,0)),"")</f>
        <v/>
      </c>
      <c r="H167" s="16">
        <f>IFERROR(INDEX(計算用!$G$2:$G$186,MATCH("男白"&amp;$A167,計算用!$L$2:$L$186,0)),"")</f>
        <v/>
      </c>
      <c r="I167" s="15" t="n"/>
      <c r="J167" s="15">
        <f>IF(ROW()-3&lt;=MAX(計算用!$Q$4,計算用!$Q$5),ROW()-3,"")</f>
        <v/>
      </c>
      <c r="K167" s="15">
        <f>IFERROR(INDEX(計算用!$D$2:$D$186,MATCH("女赤"&amp;$J167,計算用!$L$2:$L$186,0)),"")</f>
        <v/>
      </c>
      <c r="L167" s="15">
        <f>IFERROR(INDEX(計算用!$M$2:$M$186,MATCH("女赤"&amp;$J167,計算用!$L$2:$L$186,0)),"")</f>
        <v/>
      </c>
      <c r="M167" s="16">
        <f>IFERROR(INDEX(計算用!$G$2:$G$186,MATCH("女赤"&amp;$J167,計算用!$L$2:$L$186,0)),"")</f>
        <v/>
      </c>
      <c r="N167" s="15" t="n"/>
      <c r="O167" s="15">
        <f>IFERROR(INDEX(計算用!$D$2:$D$186,MATCH("女白"&amp;$J167,計算用!$L$2:$L$186,0)),"")</f>
        <v/>
      </c>
      <c r="P167" s="15">
        <f>IFERROR(INDEX(計算用!$M$2:$M$186,MATCH("女白"&amp;$J167,計算用!$L$2:$L$186,0)),"")</f>
        <v/>
      </c>
      <c r="Q167" s="16">
        <f>IFERROR(INDEX(計算用!$G$2:$G$186,MATCH("女白"&amp;$J167,計算用!$L$2:$L$186,0)),"")</f>
        <v/>
      </c>
    </row>
    <row r="168">
      <c r="A168" s="15">
        <f>IF(ROW()-3&lt;=MAX(計算用!$Q$2,計算用!$Q$3),ROW()-3,"")</f>
        <v/>
      </c>
      <c r="B168" s="15">
        <f>IFERROR(INDEX(計算用!$D$2:$D$186,MATCH("男赤"&amp;$A168,計算用!$L$2:$L$186,0)),"")</f>
        <v/>
      </c>
      <c r="C168" s="15">
        <f>IFERROR(INDEX(計算用!$M$2:$M$186,MATCH("男赤"&amp;$A168,計算用!$L$2:$L$186,0)),"")</f>
        <v/>
      </c>
      <c r="D168" s="16">
        <f>IFERROR(INDEX(計算用!$G$2:$G$186,MATCH("男赤"&amp;$A168,計算用!$L$2:$L$186,0)),"")</f>
        <v/>
      </c>
      <c r="E168" s="15" t="n"/>
      <c r="F168" s="15">
        <f>IFERROR(INDEX(計算用!$D$2:$D$186,MATCH("男白"&amp;$A168,計算用!$L$2:$L$186,0)),"")</f>
        <v/>
      </c>
      <c r="G168" s="15">
        <f>IFERROR(INDEX(計算用!$M$2:$M$186,MATCH("男白"&amp;$A168,計算用!$L$2:$L$186,0)),"")</f>
        <v/>
      </c>
      <c r="H168" s="16">
        <f>IFERROR(INDEX(計算用!$G$2:$G$186,MATCH("男白"&amp;$A168,計算用!$L$2:$L$186,0)),"")</f>
        <v/>
      </c>
      <c r="I168" s="15" t="n"/>
      <c r="J168" s="15">
        <f>IF(ROW()-3&lt;=MAX(計算用!$Q$4,計算用!$Q$5),ROW()-3,"")</f>
        <v/>
      </c>
      <c r="K168" s="15">
        <f>IFERROR(INDEX(計算用!$D$2:$D$186,MATCH("女赤"&amp;$J168,計算用!$L$2:$L$186,0)),"")</f>
        <v/>
      </c>
      <c r="L168" s="15">
        <f>IFERROR(INDEX(計算用!$M$2:$M$186,MATCH("女赤"&amp;$J168,計算用!$L$2:$L$186,0)),"")</f>
        <v/>
      </c>
      <c r="M168" s="16">
        <f>IFERROR(INDEX(計算用!$G$2:$G$186,MATCH("女赤"&amp;$J168,計算用!$L$2:$L$186,0)),"")</f>
        <v/>
      </c>
      <c r="N168" s="15" t="n"/>
      <c r="O168" s="15">
        <f>IFERROR(INDEX(計算用!$D$2:$D$186,MATCH("女白"&amp;$J168,計算用!$L$2:$L$186,0)),"")</f>
        <v/>
      </c>
      <c r="P168" s="15">
        <f>IFERROR(INDEX(計算用!$M$2:$M$186,MATCH("女白"&amp;$J168,計算用!$L$2:$L$186,0)),"")</f>
        <v/>
      </c>
      <c r="Q168" s="16">
        <f>IFERROR(INDEX(計算用!$G$2:$G$186,MATCH("女白"&amp;$J168,計算用!$L$2:$L$186,0)),"")</f>
        <v/>
      </c>
    </row>
    <row r="169">
      <c r="A169" s="15">
        <f>IF(ROW()-3&lt;=MAX(計算用!$Q$2,計算用!$Q$3),ROW()-3,"")</f>
        <v/>
      </c>
      <c r="B169" s="15">
        <f>IFERROR(INDEX(計算用!$D$2:$D$186,MATCH("男赤"&amp;$A169,計算用!$L$2:$L$186,0)),"")</f>
        <v/>
      </c>
      <c r="C169" s="15">
        <f>IFERROR(INDEX(計算用!$M$2:$M$186,MATCH("男赤"&amp;$A169,計算用!$L$2:$L$186,0)),"")</f>
        <v/>
      </c>
      <c r="D169" s="16">
        <f>IFERROR(INDEX(計算用!$G$2:$G$186,MATCH("男赤"&amp;$A169,計算用!$L$2:$L$186,0)),"")</f>
        <v/>
      </c>
      <c r="E169" s="15" t="n"/>
      <c r="F169" s="15">
        <f>IFERROR(INDEX(計算用!$D$2:$D$186,MATCH("男白"&amp;$A169,計算用!$L$2:$L$186,0)),"")</f>
        <v/>
      </c>
      <c r="G169" s="15">
        <f>IFERROR(INDEX(計算用!$M$2:$M$186,MATCH("男白"&amp;$A169,計算用!$L$2:$L$186,0)),"")</f>
        <v/>
      </c>
      <c r="H169" s="16">
        <f>IFERROR(INDEX(計算用!$G$2:$G$186,MATCH("男白"&amp;$A169,計算用!$L$2:$L$186,0)),"")</f>
        <v/>
      </c>
      <c r="I169" s="15" t="n"/>
      <c r="J169" s="15">
        <f>IF(ROW()-3&lt;=MAX(計算用!$Q$4,計算用!$Q$5),ROW()-3,"")</f>
        <v/>
      </c>
      <c r="K169" s="15">
        <f>IFERROR(INDEX(計算用!$D$2:$D$186,MATCH("女赤"&amp;$J169,計算用!$L$2:$L$186,0)),"")</f>
        <v/>
      </c>
      <c r="L169" s="15">
        <f>IFERROR(INDEX(計算用!$M$2:$M$186,MATCH("女赤"&amp;$J169,計算用!$L$2:$L$186,0)),"")</f>
        <v/>
      </c>
      <c r="M169" s="16">
        <f>IFERROR(INDEX(計算用!$G$2:$G$186,MATCH("女赤"&amp;$J169,計算用!$L$2:$L$186,0)),"")</f>
        <v/>
      </c>
      <c r="N169" s="15" t="n"/>
      <c r="O169" s="15">
        <f>IFERROR(INDEX(計算用!$D$2:$D$186,MATCH("女白"&amp;$J169,計算用!$L$2:$L$186,0)),"")</f>
        <v/>
      </c>
      <c r="P169" s="15">
        <f>IFERROR(INDEX(計算用!$M$2:$M$186,MATCH("女白"&amp;$J169,計算用!$L$2:$L$186,0)),"")</f>
        <v/>
      </c>
      <c r="Q169" s="16">
        <f>IFERROR(INDEX(計算用!$G$2:$G$186,MATCH("女白"&amp;$J169,計算用!$L$2:$L$186,0)),"")</f>
        <v/>
      </c>
    </row>
    <row r="170">
      <c r="A170" s="15">
        <f>IF(ROW()-3&lt;=MAX(計算用!$Q$2,計算用!$Q$3),ROW()-3,"")</f>
        <v/>
      </c>
      <c r="B170" s="15">
        <f>IFERROR(INDEX(計算用!$D$2:$D$186,MATCH("男赤"&amp;$A170,計算用!$L$2:$L$186,0)),"")</f>
        <v/>
      </c>
      <c r="C170" s="15">
        <f>IFERROR(INDEX(計算用!$M$2:$M$186,MATCH("男赤"&amp;$A170,計算用!$L$2:$L$186,0)),"")</f>
        <v/>
      </c>
      <c r="D170" s="16">
        <f>IFERROR(INDEX(計算用!$G$2:$G$186,MATCH("男赤"&amp;$A170,計算用!$L$2:$L$186,0)),"")</f>
        <v/>
      </c>
      <c r="E170" s="15" t="n"/>
      <c r="F170" s="15">
        <f>IFERROR(INDEX(計算用!$D$2:$D$186,MATCH("男白"&amp;$A170,計算用!$L$2:$L$186,0)),"")</f>
        <v/>
      </c>
      <c r="G170" s="15">
        <f>IFERROR(INDEX(計算用!$M$2:$M$186,MATCH("男白"&amp;$A170,計算用!$L$2:$L$186,0)),"")</f>
        <v/>
      </c>
      <c r="H170" s="16">
        <f>IFERROR(INDEX(計算用!$G$2:$G$186,MATCH("男白"&amp;$A170,計算用!$L$2:$L$186,0)),"")</f>
        <v/>
      </c>
      <c r="I170" s="15" t="n"/>
      <c r="J170" s="15">
        <f>IF(ROW()-3&lt;=MAX(計算用!$Q$4,計算用!$Q$5),ROW()-3,"")</f>
        <v/>
      </c>
      <c r="K170" s="15">
        <f>IFERROR(INDEX(計算用!$D$2:$D$186,MATCH("女赤"&amp;$J170,計算用!$L$2:$L$186,0)),"")</f>
        <v/>
      </c>
      <c r="L170" s="15">
        <f>IFERROR(INDEX(計算用!$M$2:$M$186,MATCH("女赤"&amp;$J170,計算用!$L$2:$L$186,0)),"")</f>
        <v/>
      </c>
      <c r="M170" s="16">
        <f>IFERROR(INDEX(計算用!$G$2:$G$186,MATCH("女赤"&amp;$J170,計算用!$L$2:$L$186,0)),"")</f>
        <v/>
      </c>
      <c r="N170" s="15" t="n"/>
      <c r="O170" s="15">
        <f>IFERROR(INDEX(計算用!$D$2:$D$186,MATCH("女白"&amp;$J170,計算用!$L$2:$L$186,0)),"")</f>
        <v/>
      </c>
      <c r="P170" s="15">
        <f>IFERROR(INDEX(計算用!$M$2:$M$186,MATCH("女白"&amp;$J170,計算用!$L$2:$L$186,0)),"")</f>
        <v/>
      </c>
      <c r="Q170" s="16">
        <f>IFERROR(INDEX(計算用!$G$2:$G$186,MATCH("女白"&amp;$J170,計算用!$L$2:$L$186,0)),"")</f>
        <v/>
      </c>
    </row>
    <row r="171">
      <c r="A171" s="15">
        <f>IF(ROW()-3&lt;=MAX(計算用!$Q$2,計算用!$Q$3),ROW()-3,"")</f>
        <v/>
      </c>
      <c r="B171" s="15">
        <f>IFERROR(INDEX(計算用!$D$2:$D$186,MATCH("男赤"&amp;$A171,計算用!$L$2:$L$186,0)),"")</f>
        <v/>
      </c>
      <c r="C171" s="15">
        <f>IFERROR(INDEX(計算用!$M$2:$M$186,MATCH("男赤"&amp;$A171,計算用!$L$2:$L$186,0)),"")</f>
        <v/>
      </c>
      <c r="D171" s="16">
        <f>IFERROR(INDEX(計算用!$G$2:$G$186,MATCH("男赤"&amp;$A171,計算用!$L$2:$L$186,0)),"")</f>
        <v/>
      </c>
      <c r="E171" s="15" t="n"/>
      <c r="F171" s="15">
        <f>IFERROR(INDEX(計算用!$D$2:$D$186,MATCH("男白"&amp;$A171,計算用!$L$2:$L$186,0)),"")</f>
        <v/>
      </c>
      <c r="G171" s="15">
        <f>IFERROR(INDEX(計算用!$M$2:$M$186,MATCH("男白"&amp;$A171,計算用!$L$2:$L$186,0)),"")</f>
        <v/>
      </c>
      <c r="H171" s="16">
        <f>IFERROR(INDEX(計算用!$G$2:$G$186,MATCH("男白"&amp;$A171,計算用!$L$2:$L$186,0)),"")</f>
        <v/>
      </c>
      <c r="I171" s="15" t="n"/>
      <c r="J171" s="15">
        <f>IF(ROW()-3&lt;=MAX(計算用!$Q$4,計算用!$Q$5),ROW()-3,"")</f>
        <v/>
      </c>
      <c r="K171" s="15">
        <f>IFERROR(INDEX(計算用!$D$2:$D$186,MATCH("女赤"&amp;$J171,計算用!$L$2:$L$186,0)),"")</f>
        <v/>
      </c>
      <c r="L171" s="15">
        <f>IFERROR(INDEX(計算用!$M$2:$M$186,MATCH("女赤"&amp;$J171,計算用!$L$2:$L$186,0)),"")</f>
        <v/>
      </c>
      <c r="M171" s="16">
        <f>IFERROR(INDEX(計算用!$G$2:$G$186,MATCH("女赤"&amp;$J171,計算用!$L$2:$L$186,0)),"")</f>
        <v/>
      </c>
      <c r="N171" s="15" t="n"/>
      <c r="O171" s="15">
        <f>IFERROR(INDEX(計算用!$D$2:$D$186,MATCH("女白"&amp;$J171,計算用!$L$2:$L$186,0)),"")</f>
        <v/>
      </c>
      <c r="P171" s="15">
        <f>IFERROR(INDEX(計算用!$M$2:$M$186,MATCH("女白"&amp;$J171,計算用!$L$2:$L$186,0)),"")</f>
        <v/>
      </c>
      <c r="Q171" s="16">
        <f>IFERROR(INDEX(計算用!$G$2:$G$186,MATCH("女白"&amp;$J171,計算用!$L$2:$L$186,0)),"")</f>
        <v/>
      </c>
    </row>
    <row r="172">
      <c r="A172" s="15">
        <f>IF(ROW()-3&lt;=MAX(計算用!$Q$2,計算用!$Q$3),ROW()-3,"")</f>
        <v/>
      </c>
      <c r="B172" s="15">
        <f>IFERROR(INDEX(計算用!$D$2:$D$186,MATCH("男赤"&amp;$A172,計算用!$L$2:$L$186,0)),"")</f>
        <v/>
      </c>
      <c r="C172" s="15">
        <f>IFERROR(INDEX(計算用!$M$2:$M$186,MATCH("男赤"&amp;$A172,計算用!$L$2:$L$186,0)),"")</f>
        <v/>
      </c>
      <c r="D172" s="16">
        <f>IFERROR(INDEX(計算用!$G$2:$G$186,MATCH("男赤"&amp;$A172,計算用!$L$2:$L$186,0)),"")</f>
        <v/>
      </c>
      <c r="E172" s="15" t="n"/>
      <c r="F172" s="15">
        <f>IFERROR(INDEX(計算用!$D$2:$D$186,MATCH("男白"&amp;$A172,計算用!$L$2:$L$186,0)),"")</f>
        <v/>
      </c>
      <c r="G172" s="15">
        <f>IFERROR(INDEX(計算用!$M$2:$M$186,MATCH("男白"&amp;$A172,計算用!$L$2:$L$186,0)),"")</f>
        <v/>
      </c>
      <c r="H172" s="16">
        <f>IFERROR(INDEX(計算用!$G$2:$G$186,MATCH("男白"&amp;$A172,計算用!$L$2:$L$186,0)),"")</f>
        <v/>
      </c>
      <c r="I172" s="15" t="n"/>
      <c r="J172" s="15">
        <f>IF(ROW()-3&lt;=MAX(計算用!$Q$4,計算用!$Q$5),ROW()-3,"")</f>
        <v/>
      </c>
      <c r="K172" s="15">
        <f>IFERROR(INDEX(計算用!$D$2:$D$186,MATCH("女赤"&amp;$J172,計算用!$L$2:$L$186,0)),"")</f>
        <v/>
      </c>
      <c r="L172" s="15">
        <f>IFERROR(INDEX(計算用!$M$2:$M$186,MATCH("女赤"&amp;$J172,計算用!$L$2:$L$186,0)),"")</f>
        <v/>
      </c>
      <c r="M172" s="16">
        <f>IFERROR(INDEX(計算用!$G$2:$G$186,MATCH("女赤"&amp;$J172,計算用!$L$2:$L$186,0)),"")</f>
        <v/>
      </c>
      <c r="N172" s="15" t="n"/>
      <c r="O172" s="15">
        <f>IFERROR(INDEX(計算用!$D$2:$D$186,MATCH("女白"&amp;$J172,計算用!$L$2:$L$186,0)),"")</f>
        <v/>
      </c>
      <c r="P172" s="15">
        <f>IFERROR(INDEX(計算用!$M$2:$M$186,MATCH("女白"&amp;$J172,計算用!$L$2:$L$186,0)),"")</f>
        <v/>
      </c>
      <c r="Q172" s="16">
        <f>IFERROR(INDEX(計算用!$G$2:$G$186,MATCH("女白"&amp;$J172,計算用!$L$2:$L$186,0)),"")</f>
        <v/>
      </c>
    </row>
    <row r="173">
      <c r="A173" s="15">
        <f>IF(ROW()-3&lt;=MAX(計算用!$Q$2,計算用!$Q$3),ROW()-3,"")</f>
        <v/>
      </c>
      <c r="B173" s="15">
        <f>IFERROR(INDEX(計算用!$D$2:$D$186,MATCH("男赤"&amp;$A173,計算用!$L$2:$L$186,0)),"")</f>
        <v/>
      </c>
      <c r="C173" s="15">
        <f>IFERROR(INDEX(計算用!$M$2:$M$186,MATCH("男赤"&amp;$A173,計算用!$L$2:$L$186,0)),"")</f>
        <v/>
      </c>
      <c r="D173" s="16">
        <f>IFERROR(INDEX(計算用!$G$2:$G$186,MATCH("男赤"&amp;$A173,計算用!$L$2:$L$186,0)),"")</f>
        <v/>
      </c>
      <c r="E173" s="15" t="n"/>
      <c r="F173" s="15">
        <f>IFERROR(INDEX(計算用!$D$2:$D$186,MATCH("男白"&amp;$A173,計算用!$L$2:$L$186,0)),"")</f>
        <v/>
      </c>
      <c r="G173" s="15">
        <f>IFERROR(INDEX(計算用!$M$2:$M$186,MATCH("男白"&amp;$A173,計算用!$L$2:$L$186,0)),"")</f>
        <v/>
      </c>
      <c r="H173" s="16">
        <f>IFERROR(INDEX(計算用!$G$2:$G$186,MATCH("男白"&amp;$A173,計算用!$L$2:$L$186,0)),"")</f>
        <v/>
      </c>
      <c r="I173" s="15" t="n"/>
      <c r="J173" s="15">
        <f>IF(ROW()-3&lt;=MAX(計算用!$Q$4,計算用!$Q$5),ROW()-3,"")</f>
        <v/>
      </c>
      <c r="K173" s="15">
        <f>IFERROR(INDEX(計算用!$D$2:$D$186,MATCH("女赤"&amp;$J173,計算用!$L$2:$L$186,0)),"")</f>
        <v/>
      </c>
      <c r="L173" s="15">
        <f>IFERROR(INDEX(計算用!$M$2:$M$186,MATCH("女赤"&amp;$J173,計算用!$L$2:$L$186,0)),"")</f>
        <v/>
      </c>
      <c r="M173" s="16">
        <f>IFERROR(INDEX(計算用!$G$2:$G$186,MATCH("女赤"&amp;$J173,計算用!$L$2:$L$186,0)),"")</f>
        <v/>
      </c>
      <c r="N173" s="15" t="n"/>
      <c r="O173" s="15">
        <f>IFERROR(INDEX(計算用!$D$2:$D$186,MATCH("女白"&amp;$J173,計算用!$L$2:$L$186,0)),"")</f>
        <v/>
      </c>
      <c r="P173" s="15">
        <f>IFERROR(INDEX(計算用!$M$2:$M$186,MATCH("女白"&amp;$J173,計算用!$L$2:$L$186,0)),"")</f>
        <v/>
      </c>
      <c r="Q173" s="16">
        <f>IFERROR(INDEX(計算用!$G$2:$G$186,MATCH("女白"&amp;$J173,計算用!$L$2:$L$186,0)),"")</f>
        <v/>
      </c>
    </row>
    <row r="174">
      <c r="A174" s="15">
        <f>IF(ROW()-3&lt;=MAX(計算用!$Q$2,計算用!$Q$3),ROW()-3,"")</f>
        <v/>
      </c>
      <c r="B174" s="15">
        <f>IFERROR(INDEX(計算用!$D$2:$D$186,MATCH("男赤"&amp;$A174,計算用!$L$2:$L$186,0)),"")</f>
        <v/>
      </c>
      <c r="C174" s="15">
        <f>IFERROR(INDEX(計算用!$M$2:$M$186,MATCH("男赤"&amp;$A174,計算用!$L$2:$L$186,0)),"")</f>
        <v/>
      </c>
      <c r="D174" s="16">
        <f>IFERROR(INDEX(計算用!$G$2:$G$186,MATCH("男赤"&amp;$A174,計算用!$L$2:$L$186,0)),"")</f>
        <v/>
      </c>
      <c r="E174" s="15" t="n"/>
      <c r="F174" s="15">
        <f>IFERROR(INDEX(計算用!$D$2:$D$186,MATCH("男白"&amp;$A174,計算用!$L$2:$L$186,0)),"")</f>
        <v/>
      </c>
      <c r="G174" s="15">
        <f>IFERROR(INDEX(計算用!$M$2:$M$186,MATCH("男白"&amp;$A174,計算用!$L$2:$L$186,0)),"")</f>
        <v/>
      </c>
      <c r="H174" s="16">
        <f>IFERROR(INDEX(計算用!$G$2:$G$186,MATCH("男白"&amp;$A174,計算用!$L$2:$L$186,0)),"")</f>
        <v/>
      </c>
      <c r="I174" s="15" t="n"/>
      <c r="J174" s="15">
        <f>IF(ROW()-3&lt;=MAX(計算用!$Q$4,計算用!$Q$5),ROW()-3,"")</f>
        <v/>
      </c>
      <c r="K174" s="15">
        <f>IFERROR(INDEX(計算用!$D$2:$D$186,MATCH("女赤"&amp;$J174,計算用!$L$2:$L$186,0)),"")</f>
        <v/>
      </c>
      <c r="L174" s="15">
        <f>IFERROR(INDEX(計算用!$M$2:$M$186,MATCH("女赤"&amp;$J174,計算用!$L$2:$L$186,0)),"")</f>
        <v/>
      </c>
      <c r="M174" s="16">
        <f>IFERROR(INDEX(計算用!$G$2:$G$186,MATCH("女赤"&amp;$J174,計算用!$L$2:$L$186,0)),"")</f>
        <v/>
      </c>
      <c r="N174" s="15" t="n"/>
      <c r="O174" s="15">
        <f>IFERROR(INDEX(計算用!$D$2:$D$186,MATCH("女白"&amp;$J174,計算用!$L$2:$L$186,0)),"")</f>
        <v/>
      </c>
      <c r="P174" s="15">
        <f>IFERROR(INDEX(計算用!$M$2:$M$186,MATCH("女白"&amp;$J174,計算用!$L$2:$L$186,0)),"")</f>
        <v/>
      </c>
      <c r="Q174" s="16">
        <f>IFERROR(INDEX(計算用!$G$2:$G$186,MATCH("女白"&amp;$J174,計算用!$L$2:$L$186,0)),"")</f>
        <v/>
      </c>
    </row>
    <row r="175">
      <c r="A175" s="15">
        <f>IF(ROW()-3&lt;=MAX(計算用!$Q$2,計算用!$Q$3),ROW()-3,"")</f>
        <v/>
      </c>
      <c r="B175" s="15">
        <f>IFERROR(INDEX(計算用!$D$2:$D$186,MATCH("男赤"&amp;$A175,計算用!$L$2:$L$186,0)),"")</f>
        <v/>
      </c>
      <c r="C175" s="15">
        <f>IFERROR(INDEX(計算用!$M$2:$M$186,MATCH("男赤"&amp;$A175,計算用!$L$2:$L$186,0)),"")</f>
        <v/>
      </c>
      <c r="D175" s="16">
        <f>IFERROR(INDEX(計算用!$G$2:$G$186,MATCH("男赤"&amp;$A175,計算用!$L$2:$L$186,0)),"")</f>
        <v/>
      </c>
      <c r="E175" s="15" t="n"/>
      <c r="F175" s="15">
        <f>IFERROR(INDEX(計算用!$D$2:$D$186,MATCH("男白"&amp;$A175,計算用!$L$2:$L$186,0)),"")</f>
        <v/>
      </c>
      <c r="G175" s="15">
        <f>IFERROR(INDEX(計算用!$M$2:$M$186,MATCH("男白"&amp;$A175,計算用!$L$2:$L$186,0)),"")</f>
        <v/>
      </c>
      <c r="H175" s="16">
        <f>IFERROR(INDEX(計算用!$G$2:$G$186,MATCH("男白"&amp;$A175,計算用!$L$2:$L$186,0)),"")</f>
        <v/>
      </c>
      <c r="I175" s="15" t="n"/>
      <c r="J175" s="15">
        <f>IF(ROW()-3&lt;=MAX(計算用!$Q$4,計算用!$Q$5),ROW()-3,"")</f>
        <v/>
      </c>
      <c r="K175" s="15">
        <f>IFERROR(INDEX(計算用!$D$2:$D$186,MATCH("女赤"&amp;$J175,計算用!$L$2:$L$186,0)),"")</f>
        <v/>
      </c>
      <c r="L175" s="15">
        <f>IFERROR(INDEX(計算用!$M$2:$M$186,MATCH("女赤"&amp;$J175,計算用!$L$2:$L$186,0)),"")</f>
        <v/>
      </c>
      <c r="M175" s="16">
        <f>IFERROR(INDEX(計算用!$G$2:$G$186,MATCH("女赤"&amp;$J175,計算用!$L$2:$L$186,0)),"")</f>
        <v/>
      </c>
      <c r="N175" s="15" t="n"/>
      <c r="O175" s="15">
        <f>IFERROR(INDEX(計算用!$D$2:$D$186,MATCH("女白"&amp;$J175,計算用!$L$2:$L$186,0)),"")</f>
        <v/>
      </c>
      <c r="P175" s="15">
        <f>IFERROR(INDEX(計算用!$M$2:$M$186,MATCH("女白"&amp;$J175,計算用!$L$2:$L$186,0)),"")</f>
        <v/>
      </c>
      <c r="Q175" s="16">
        <f>IFERROR(INDEX(計算用!$G$2:$G$186,MATCH("女白"&amp;$J175,計算用!$L$2:$L$186,0)),"")</f>
        <v/>
      </c>
    </row>
    <row r="176">
      <c r="A176" s="15">
        <f>IF(ROW()-3&lt;=MAX(計算用!$Q$2,計算用!$Q$3),ROW()-3,"")</f>
        <v/>
      </c>
      <c r="B176" s="15">
        <f>IFERROR(INDEX(計算用!$D$2:$D$186,MATCH("男赤"&amp;$A176,計算用!$L$2:$L$186,0)),"")</f>
        <v/>
      </c>
      <c r="C176" s="15">
        <f>IFERROR(INDEX(計算用!$M$2:$M$186,MATCH("男赤"&amp;$A176,計算用!$L$2:$L$186,0)),"")</f>
        <v/>
      </c>
      <c r="D176" s="16">
        <f>IFERROR(INDEX(計算用!$G$2:$G$186,MATCH("男赤"&amp;$A176,計算用!$L$2:$L$186,0)),"")</f>
        <v/>
      </c>
      <c r="E176" s="15" t="n"/>
      <c r="F176" s="15">
        <f>IFERROR(INDEX(計算用!$D$2:$D$186,MATCH("男白"&amp;$A176,計算用!$L$2:$L$186,0)),"")</f>
        <v/>
      </c>
      <c r="G176" s="15">
        <f>IFERROR(INDEX(計算用!$M$2:$M$186,MATCH("男白"&amp;$A176,計算用!$L$2:$L$186,0)),"")</f>
        <v/>
      </c>
      <c r="H176" s="16">
        <f>IFERROR(INDEX(計算用!$G$2:$G$186,MATCH("男白"&amp;$A176,計算用!$L$2:$L$186,0)),"")</f>
        <v/>
      </c>
      <c r="I176" s="15" t="n"/>
      <c r="J176" s="15">
        <f>IF(ROW()-3&lt;=MAX(計算用!$Q$4,計算用!$Q$5),ROW()-3,"")</f>
        <v/>
      </c>
      <c r="K176" s="15">
        <f>IFERROR(INDEX(計算用!$D$2:$D$186,MATCH("女赤"&amp;$J176,計算用!$L$2:$L$186,0)),"")</f>
        <v/>
      </c>
      <c r="L176" s="15">
        <f>IFERROR(INDEX(計算用!$M$2:$M$186,MATCH("女赤"&amp;$J176,計算用!$L$2:$L$186,0)),"")</f>
        <v/>
      </c>
      <c r="M176" s="16">
        <f>IFERROR(INDEX(計算用!$G$2:$G$186,MATCH("女赤"&amp;$J176,計算用!$L$2:$L$186,0)),"")</f>
        <v/>
      </c>
      <c r="N176" s="15" t="n"/>
      <c r="O176" s="15">
        <f>IFERROR(INDEX(計算用!$D$2:$D$186,MATCH("女白"&amp;$J176,計算用!$L$2:$L$186,0)),"")</f>
        <v/>
      </c>
      <c r="P176" s="15">
        <f>IFERROR(INDEX(計算用!$M$2:$M$186,MATCH("女白"&amp;$J176,計算用!$L$2:$L$186,0)),"")</f>
        <v/>
      </c>
      <c r="Q176" s="16">
        <f>IFERROR(INDEX(計算用!$G$2:$G$186,MATCH("女白"&amp;$J176,計算用!$L$2:$L$186,0)),"")</f>
        <v/>
      </c>
    </row>
    <row r="177">
      <c r="A177" s="15">
        <f>IF(ROW()-3&lt;=MAX(計算用!$Q$2,計算用!$Q$3),ROW()-3,"")</f>
        <v/>
      </c>
      <c r="B177" s="15">
        <f>IFERROR(INDEX(計算用!$D$2:$D$186,MATCH("男赤"&amp;$A177,計算用!$L$2:$L$186,0)),"")</f>
        <v/>
      </c>
      <c r="C177" s="15">
        <f>IFERROR(INDEX(計算用!$M$2:$M$186,MATCH("男赤"&amp;$A177,計算用!$L$2:$L$186,0)),"")</f>
        <v/>
      </c>
      <c r="D177" s="16">
        <f>IFERROR(INDEX(計算用!$G$2:$G$186,MATCH("男赤"&amp;$A177,計算用!$L$2:$L$186,0)),"")</f>
        <v/>
      </c>
      <c r="E177" s="15" t="n"/>
      <c r="F177" s="15">
        <f>IFERROR(INDEX(計算用!$D$2:$D$186,MATCH("男白"&amp;$A177,計算用!$L$2:$L$186,0)),"")</f>
        <v/>
      </c>
      <c r="G177" s="15">
        <f>IFERROR(INDEX(計算用!$M$2:$M$186,MATCH("男白"&amp;$A177,計算用!$L$2:$L$186,0)),"")</f>
        <v/>
      </c>
      <c r="H177" s="16">
        <f>IFERROR(INDEX(計算用!$G$2:$G$186,MATCH("男白"&amp;$A177,計算用!$L$2:$L$186,0)),"")</f>
        <v/>
      </c>
      <c r="I177" s="15" t="n"/>
      <c r="J177" s="15">
        <f>IF(ROW()-3&lt;=MAX(計算用!$Q$4,計算用!$Q$5),ROW()-3,"")</f>
        <v/>
      </c>
      <c r="K177" s="15">
        <f>IFERROR(INDEX(計算用!$D$2:$D$186,MATCH("女赤"&amp;$J177,計算用!$L$2:$L$186,0)),"")</f>
        <v/>
      </c>
      <c r="L177" s="15">
        <f>IFERROR(INDEX(計算用!$M$2:$M$186,MATCH("女赤"&amp;$J177,計算用!$L$2:$L$186,0)),"")</f>
        <v/>
      </c>
      <c r="M177" s="16">
        <f>IFERROR(INDEX(計算用!$G$2:$G$186,MATCH("女赤"&amp;$J177,計算用!$L$2:$L$186,0)),"")</f>
        <v/>
      </c>
      <c r="N177" s="15" t="n"/>
      <c r="O177" s="15">
        <f>IFERROR(INDEX(計算用!$D$2:$D$186,MATCH("女白"&amp;$J177,計算用!$L$2:$L$186,0)),"")</f>
        <v/>
      </c>
      <c r="P177" s="15">
        <f>IFERROR(INDEX(計算用!$M$2:$M$186,MATCH("女白"&amp;$J177,計算用!$L$2:$L$186,0)),"")</f>
        <v/>
      </c>
      <c r="Q177" s="16">
        <f>IFERROR(INDEX(計算用!$G$2:$G$186,MATCH("女白"&amp;$J177,計算用!$L$2:$L$186,0)),"")</f>
        <v/>
      </c>
    </row>
    <row r="178">
      <c r="A178" s="15">
        <f>IF(ROW()-3&lt;=MAX(計算用!$Q$2,計算用!$Q$3),ROW()-3,"")</f>
        <v/>
      </c>
      <c r="B178" s="15">
        <f>IFERROR(INDEX(計算用!$D$2:$D$186,MATCH("男赤"&amp;$A178,計算用!$L$2:$L$186,0)),"")</f>
        <v/>
      </c>
      <c r="C178" s="15">
        <f>IFERROR(INDEX(計算用!$M$2:$M$186,MATCH("男赤"&amp;$A178,計算用!$L$2:$L$186,0)),"")</f>
        <v/>
      </c>
      <c r="D178" s="16">
        <f>IFERROR(INDEX(計算用!$G$2:$G$186,MATCH("男赤"&amp;$A178,計算用!$L$2:$L$186,0)),"")</f>
        <v/>
      </c>
      <c r="E178" s="15" t="n"/>
      <c r="F178" s="15">
        <f>IFERROR(INDEX(計算用!$D$2:$D$186,MATCH("男白"&amp;$A178,計算用!$L$2:$L$186,0)),"")</f>
        <v/>
      </c>
      <c r="G178" s="15">
        <f>IFERROR(INDEX(計算用!$M$2:$M$186,MATCH("男白"&amp;$A178,計算用!$L$2:$L$186,0)),"")</f>
        <v/>
      </c>
      <c r="H178" s="16">
        <f>IFERROR(INDEX(計算用!$G$2:$G$186,MATCH("男白"&amp;$A178,計算用!$L$2:$L$186,0)),"")</f>
        <v/>
      </c>
      <c r="I178" s="15" t="n"/>
      <c r="J178" s="15">
        <f>IF(ROW()-3&lt;=MAX(計算用!$Q$4,計算用!$Q$5),ROW()-3,"")</f>
        <v/>
      </c>
      <c r="K178" s="15">
        <f>IFERROR(INDEX(計算用!$D$2:$D$186,MATCH("女赤"&amp;$J178,計算用!$L$2:$L$186,0)),"")</f>
        <v/>
      </c>
      <c r="L178" s="15">
        <f>IFERROR(INDEX(計算用!$M$2:$M$186,MATCH("女赤"&amp;$J178,計算用!$L$2:$L$186,0)),"")</f>
        <v/>
      </c>
      <c r="M178" s="16">
        <f>IFERROR(INDEX(計算用!$G$2:$G$186,MATCH("女赤"&amp;$J178,計算用!$L$2:$L$186,0)),"")</f>
        <v/>
      </c>
      <c r="N178" s="15" t="n"/>
      <c r="O178" s="15">
        <f>IFERROR(INDEX(計算用!$D$2:$D$186,MATCH("女白"&amp;$J178,計算用!$L$2:$L$186,0)),"")</f>
        <v/>
      </c>
      <c r="P178" s="15">
        <f>IFERROR(INDEX(計算用!$M$2:$M$186,MATCH("女白"&amp;$J178,計算用!$L$2:$L$186,0)),"")</f>
        <v/>
      </c>
      <c r="Q178" s="16">
        <f>IFERROR(INDEX(計算用!$G$2:$G$186,MATCH("女白"&amp;$J178,計算用!$L$2:$L$186,0)),"")</f>
        <v/>
      </c>
    </row>
    <row r="179">
      <c r="A179" s="15">
        <f>IF(ROW()-3&lt;=MAX(計算用!$Q$2,計算用!$Q$3),ROW()-3,"")</f>
        <v/>
      </c>
      <c r="B179" s="15">
        <f>IFERROR(INDEX(計算用!$D$2:$D$186,MATCH("男赤"&amp;$A179,計算用!$L$2:$L$186,0)),"")</f>
        <v/>
      </c>
      <c r="C179" s="15">
        <f>IFERROR(INDEX(計算用!$M$2:$M$186,MATCH("男赤"&amp;$A179,計算用!$L$2:$L$186,0)),"")</f>
        <v/>
      </c>
      <c r="D179" s="16">
        <f>IFERROR(INDEX(計算用!$G$2:$G$186,MATCH("男赤"&amp;$A179,計算用!$L$2:$L$186,0)),"")</f>
        <v/>
      </c>
      <c r="E179" s="15" t="n"/>
      <c r="F179" s="15">
        <f>IFERROR(INDEX(計算用!$D$2:$D$186,MATCH("男白"&amp;$A179,計算用!$L$2:$L$186,0)),"")</f>
        <v/>
      </c>
      <c r="G179" s="15">
        <f>IFERROR(INDEX(計算用!$M$2:$M$186,MATCH("男白"&amp;$A179,計算用!$L$2:$L$186,0)),"")</f>
        <v/>
      </c>
      <c r="H179" s="16">
        <f>IFERROR(INDEX(計算用!$G$2:$G$186,MATCH("男白"&amp;$A179,計算用!$L$2:$L$186,0)),"")</f>
        <v/>
      </c>
      <c r="I179" s="15" t="n"/>
      <c r="J179" s="15">
        <f>IF(ROW()-3&lt;=MAX(計算用!$Q$4,計算用!$Q$5),ROW()-3,"")</f>
        <v/>
      </c>
      <c r="K179" s="15">
        <f>IFERROR(INDEX(計算用!$D$2:$D$186,MATCH("女赤"&amp;$J179,計算用!$L$2:$L$186,0)),"")</f>
        <v/>
      </c>
      <c r="L179" s="15">
        <f>IFERROR(INDEX(計算用!$M$2:$M$186,MATCH("女赤"&amp;$J179,計算用!$L$2:$L$186,0)),"")</f>
        <v/>
      </c>
      <c r="M179" s="16">
        <f>IFERROR(INDEX(計算用!$G$2:$G$186,MATCH("女赤"&amp;$J179,計算用!$L$2:$L$186,0)),"")</f>
        <v/>
      </c>
      <c r="N179" s="15" t="n"/>
      <c r="O179" s="15">
        <f>IFERROR(INDEX(計算用!$D$2:$D$186,MATCH("女白"&amp;$J179,計算用!$L$2:$L$186,0)),"")</f>
        <v/>
      </c>
      <c r="P179" s="15">
        <f>IFERROR(INDEX(計算用!$M$2:$M$186,MATCH("女白"&amp;$J179,計算用!$L$2:$L$186,0)),"")</f>
        <v/>
      </c>
      <c r="Q179" s="16">
        <f>IFERROR(INDEX(計算用!$G$2:$G$186,MATCH("女白"&amp;$J179,計算用!$L$2:$L$186,0)),"")</f>
        <v/>
      </c>
    </row>
    <row r="180">
      <c r="A180" s="15">
        <f>IF(ROW()-3&lt;=MAX(計算用!$Q$2,計算用!$Q$3),ROW()-3,"")</f>
        <v/>
      </c>
      <c r="B180" s="15">
        <f>IFERROR(INDEX(計算用!$D$2:$D$186,MATCH("男赤"&amp;$A180,計算用!$L$2:$L$186,0)),"")</f>
        <v/>
      </c>
      <c r="C180" s="15">
        <f>IFERROR(INDEX(計算用!$M$2:$M$186,MATCH("男赤"&amp;$A180,計算用!$L$2:$L$186,0)),"")</f>
        <v/>
      </c>
      <c r="D180" s="16">
        <f>IFERROR(INDEX(計算用!$G$2:$G$186,MATCH("男赤"&amp;$A180,計算用!$L$2:$L$186,0)),"")</f>
        <v/>
      </c>
      <c r="E180" s="15" t="n"/>
      <c r="F180" s="15">
        <f>IFERROR(INDEX(計算用!$D$2:$D$186,MATCH("男白"&amp;$A180,計算用!$L$2:$L$186,0)),"")</f>
        <v/>
      </c>
      <c r="G180" s="15">
        <f>IFERROR(INDEX(計算用!$M$2:$M$186,MATCH("男白"&amp;$A180,計算用!$L$2:$L$186,0)),"")</f>
        <v/>
      </c>
      <c r="H180" s="16">
        <f>IFERROR(INDEX(計算用!$G$2:$G$186,MATCH("男白"&amp;$A180,計算用!$L$2:$L$186,0)),"")</f>
        <v/>
      </c>
      <c r="I180" s="15" t="n"/>
      <c r="J180" s="15">
        <f>IF(ROW()-3&lt;=MAX(計算用!$Q$4,計算用!$Q$5),ROW()-3,"")</f>
        <v/>
      </c>
      <c r="K180" s="15">
        <f>IFERROR(INDEX(計算用!$D$2:$D$186,MATCH("女赤"&amp;$J180,計算用!$L$2:$L$186,0)),"")</f>
        <v/>
      </c>
      <c r="L180" s="15">
        <f>IFERROR(INDEX(計算用!$M$2:$M$186,MATCH("女赤"&amp;$J180,計算用!$L$2:$L$186,0)),"")</f>
        <v/>
      </c>
      <c r="M180" s="16">
        <f>IFERROR(INDEX(計算用!$G$2:$G$186,MATCH("女赤"&amp;$J180,計算用!$L$2:$L$186,0)),"")</f>
        <v/>
      </c>
      <c r="N180" s="15" t="n"/>
      <c r="O180" s="15">
        <f>IFERROR(INDEX(計算用!$D$2:$D$186,MATCH("女白"&amp;$J180,計算用!$L$2:$L$186,0)),"")</f>
        <v/>
      </c>
      <c r="P180" s="15">
        <f>IFERROR(INDEX(計算用!$M$2:$M$186,MATCH("女白"&amp;$J180,計算用!$L$2:$L$186,0)),"")</f>
        <v/>
      </c>
      <c r="Q180" s="16">
        <f>IFERROR(INDEX(計算用!$G$2:$G$186,MATCH("女白"&amp;$J180,計算用!$L$2:$L$186,0)),"")</f>
        <v/>
      </c>
    </row>
    <row r="181">
      <c r="A181" s="15">
        <f>IF(ROW()-3&lt;=MAX(計算用!$Q$2,計算用!$Q$3),ROW()-3,"")</f>
        <v/>
      </c>
      <c r="B181" s="15">
        <f>IFERROR(INDEX(計算用!$D$2:$D$186,MATCH("男赤"&amp;$A181,計算用!$L$2:$L$186,0)),"")</f>
        <v/>
      </c>
      <c r="C181" s="15">
        <f>IFERROR(INDEX(計算用!$M$2:$M$186,MATCH("男赤"&amp;$A181,計算用!$L$2:$L$186,0)),"")</f>
        <v/>
      </c>
      <c r="D181" s="16">
        <f>IFERROR(INDEX(計算用!$G$2:$G$186,MATCH("男赤"&amp;$A181,計算用!$L$2:$L$186,0)),"")</f>
        <v/>
      </c>
      <c r="E181" s="15" t="n"/>
      <c r="F181" s="15">
        <f>IFERROR(INDEX(計算用!$D$2:$D$186,MATCH("男白"&amp;$A181,計算用!$L$2:$L$186,0)),"")</f>
        <v/>
      </c>
      <c r="G181" s="15">
        <f>IFERROR(INDEX(計算用!$M$2:$M$186,MATCH("男白"&amp;$A181,計算用!$L$2:$L$186,0)),"")</f>
        <v/>
      </c>
      <c r="H181" s="16">
        <f>IFERROR(INDEX(計算用!$G$2:$G$186,MATCH("男白"&amp;$A181,計算用!$L$2:$L$186,0)),"")</f>
        <v/>
      </c>
      <c r="I181" s="15" t="n"/>
      <c r="J181" s="15">
        <f>IF(ROW()-3&lt;=MAX(計算用!$Q$4,計算用!$Q$5),ROW()-3,"")</f>
        <v/>
      </c>
      <c r="K181" s="15">
        <f>IFERROR(INDEX(計算用!$D$2:$D$186,MATCH("女赤"&amp;$J181,計算用!$L$2:$L$186,0)),"")</f>
        <v/>
      </c>
      <c r="L181" s="15">
        <f>IFERROR(INDEX(計算用!$M$2:$M$186,MATCH("女赤"&amp;$J181,計算用!$L$2:$L$186,0)),"")</f>
        <v/>
      </c>
      <c r="M181" s="16">
        <f>IFERROR(INDEX(計算用!$G$2:$G$186,MATCH("女赤"&amp;$J181,計算用!$L$2:$L$186,0)),"")</f>
        <v/>
      </c>
      <c r="N181" s="15" t="n"/>
      <c r="O181" s="15">
        <f>IFERROR(INDEX(計算用!$D$2:$D$186,MATCH("女白"&amp;$J181,計算用!$L$2:$L$186,0)),"")</f>
        <v/>
      </c>
      <c r="P181" s="15">
        <f>IFERROR(INDEX(計算用!$M$2:$M$186,MATCH("女白"&amp;$J181,計算用!$L$2:$L$186,0)),"")</f>
        <v/>
      </c>
      <c r="Q181" s="16">
        <f>IFERROR(INDEX(計算用!$G$2:$G$186,MATCH("女白"&amp;$J181,計算用!$L$2:$L$186,0)),"")</f>
        <v/>
      </c>
    </row>
    <row r="182">
      <c r="A182" s="15">
        <f>IF(ROW()-3&lt;=MAX(計算用!$Q$2,計算用!$Q$3),ROW()-3,"")</f>
        <v/>
      </c>
      <c r="B182" s="15">
        <f>IFERROR(INDEX(計算用!$D$2:$D$186,MATCH("男赤"&amp;$A182,計算用!$L$2:$L$186,0)),"")</f>
        <v/>
      </c>
      <c r="C182" s="15">
        <f>IFERROR(INDEX(計算用!$M$2:$M$186,MATCH("男赤"&amp;$A182,計算用!$L$2:$L$186,0)),"")</f>
        <v/>
      </c>
      <c r="D182" s="16">
        <f>IFERROR(INDEX(計算用!$G$2:$G$186,MATCH("男赤"&amp;$A182,計算用!$L$2:$L$186,0)),"")</f>
        <v/>
      </c>
      <c r="E182" s="15" t="n"/>
      <c r="F182" s="15">
        <f>IFERROR(INDEX(計算用!$D$2:$D$186,MATCH("男白"&amp;$A182,計算用!$L$2:$L$186,0)),"")</f>
        <v/>
      </c>
      <c r="G182" s="15">
        <f>IFERROR(INDEX(計算用!$M$2:$M$186,MATCH("男白"&amp;$A182,計算用!$L$2:$L$186,0)),"")</f>
        <v/>
      </c>
      <c r="H182" s="16">
        <f>IFERROR(INDEX(計算用!$G$2:$G$186,MATCH("男白"&amp;$A182,計算用!$L$2:$L$186,0)),"")</f>
        <v/>
      </c>
      <c r="I182" s="15" t="n"/>
      <c r="J182" s="15">
        <f>IF(ROW()-3&lt;=MAX(計算用!$Q$4,計算用!$Q$5),ROW()-3,"")</f>
        <v/>
      </c>
      <c r="K182" s="15">
        <f>IFERROR(INDEX(計算用!$D$2:$D$186,MATCH("女赤"&amp;$J182,計算用!$L$2:$L$186,0)),"")</f>
        <v/>
      </c>
      <c r="L182" s="15">
        <f>IFERROR(INDEX(計算用!$M$2:$M$186,MATCH("女赤"&amp;$J182,計算用!$L$2:$L$186,0)),"")</f>
        <v/>
      </c>
      <c r="M182" s="16">
        <f>IFERROR(INDEX(計算用!$G$2:$G$186,MATCH("女赤"&amp;$J182,計算用!$L$2:$L$186,0)),"")</f>
        <v/>
      </c>
      <c r="N182" s="15" t="n"/>
      <c r="O182" s="15">
        <f>IFERROR(INDEX(計算用!$D$2:$D$186,MATCH("女白"&amp;$J182,計算用!$L$2:$L$186,0)),"")</f>
        <v/>
      </c>
      <c r="P182" s="15">
        <f>IFERROR(INDEX(計算用!$M$2:$M$186,MATCH("女白"&amp;$J182,計算用!$L$2:$L$186,0)),"")</f>
        <v/>
      </c>
      <c r="Q182" s="16">
        <f>IFERROR(INDEX(計算用!$G$2:$G$186,MATCH("女白"&amp;$J182,計算用!$L$2:$L$186,0)),"")</f>
        <v/>
      </c>
    </row>
    <row r="183">
      <c r="A183" s="15">
        <f>IF(ROW()-3&lt;=MAX(計算用!$Q$2,計算用!$Q$3),ROW()-3,"")</f>
        <v/>
      </c>
      <c r="B183" s="15">
        <f>IFERROR(INDEX(計算用!$D$2:$D$186,MATCH("男赤"&amp;$A183,計算用!$L$2:$L$186,0)),"")</f>
        <v/>
      </c>
      <c r="C183" s="15">
        <f>IFERROR(INDEX(計算用!$M$2:$M$186,MATCH("男赤"&amp;$A183,計算用!$L$2:$L$186,0)),"")</f>
        <v/>
      </c>
      <c r="D183" s="16">
        <f>IFERROR(INDEX(計算用!$G$2:$G$186,MATCH("男赤"&amp;$A183,計算用!$L$2:$L$186,0)),"")</f>
        <v/>
      </c>
      <c r="E183" s="15" t="n"/>
      <c r="F183" s="15">
        <f>IFERROR(INDEX(計算用!$D$2:$D$186,MATCH("男白"&amp;$A183,計算用!$L$2:$L$186,0)),"")</f>
        <v/>
      </c>
      <c r="G183" s="15">
        <f>IFERROR(INDEX(計算用!$M$2:$M$186,MATCH("男白"&amp;$A183,計算用!$L$2:$L$186,0)),"")</f>
        <v/>
      </c>
      <c r="H183" s="16">
        <f>IFERROR(INDEX(計算用!$G$2:$G$186,MATCH("男白"&amp;$A183,計算用!$L$2:$L$186,0)),"")</f>
        <v/>
      </c>
      <c r="I183" s="15" t="n"/>
      <c r="J183" s="15">
        <f>IF(ROW()-3&lt;=MAX(計算用!$Q$4,計算用!$Q$5),ROW()-3,"")</f>
        <v/>
      </c>
      <c r="K183" s="15">
        <f>IFERROR(INDEX(計算用!$D$2:$D$186,MATCH("女赤"&amp;$J183,計算用!$L$2:$L$186,0)),"")</f>
        <v/>
      </c>
      <c r="L183" s="15">
        <f>IFERROR(INDEX(計算用!$M$2:$M$186,MATCH("女赤"&amp;$J183,計算用!$L$2:$L$186,0)),"")</f>
        <v/>
      </c>
      <c r="M183" s="16">
        <f>IFERROR(INDEX(計算用!$G$2:$G$186,MATCH("女赤"&amp;$J183,計算用!$L$2:$L$186,0)),"")</f>
        <v/>
      </c>
      <c r="N183" s="15" t="n"/>
      <c r="O183" s="15">
        <f>IFERROR(INDEX(計算用!$D$2:$D$186,MATCH("女白"&amp;$J183,計算用!$L$2:$L$186,0)),"")</f>
        <v/>
      </c>
      <c r="P183" s="15">
        <f>IFERROR(INDEX(計算用!$M$2:$M$186,MATCH("女白"&amp;$J183,計算用!$L$2:$L$186,0)),"")</f>
        <v/>
      </c>
      <c r="Q183" s="16">
        <f>IFERROR(INDEX(計算用!$G$2:$G$186,MATCH("女白"&amp;$J183,計算用!$L$2:$L$186,0)),"")</f>
        <v/>
      </c>
    </row>
    <row r="184">
      <c r="A184" s="15">
        <f>IF(ROW()-3&lt;=MAX(計算用!$Q$2,計算用!$Q$3),ROW()-3,"")</f>
        <v/>
      </c>
      <c r="B184" s="15">
        <f>IFERROR(INDEX(計算用!$D$2:$D$186,MATCH("男赤"&amp;$A184,計算用!$L$2:$L$186,0)),"")</f>
        <v/>
      </c>
      <c r="C184" s="15">
        <f>IFERROR(INDEX(計算用!$M$2:$M$186,MATCH("男赤"&amp;$A184,計算用!$L$2:$L$186,0)),"")</f>
        <v/>
      </c>
      <c r="D184" s="16">
        <f>IFERROR(INDEX(計算用!$G$2:$G$186,MATCH("男赤"&amp;$A184,計算用!$L$2:$L$186,0)),"")</f>
        <v/>
      </c>
      <c r="E184" s="15" t="n"/>
      <c r="F184" s="15">
        <f>IFERROR(INDEX(計算用!$D$2:$D$186,MATCH("男白"&amp;$A184,計算用!$L$2:$L$186,0)),"")</f>
        <v/>
      </c>
      <c r="G184" s="15">
        <f>IFERROR(INDEX(計算用!$M$2:$M$186,MATCH("男白"&amp;$A184,計算用!$L$2:$L$186,0)),"")</f>
        <v/>
      </c>
      <c r="H184" s="16">
        <f>IFERROR(INDEX(計算用!$G$2:$G$186,MATCH("男白"&amp;$A184,計算用!$L$2:$L$186,0)),"")</f>
        <v/>
      </c>
      <c r="I184" s="15" t="n"/>
      <c r="J184" s="15">
        <f>IF(ROW()-3&lt;=MAX(計算用!$Q$4,計算用!$Q$5),ROW()-3,"")</f>
        <v/>
      </c>
      <c r="K184" s="15">
        <f>IFERROR(INDEX(計算用!$D$2:$D$186,MATCH("女赤"&amp;$J184,計算用!$L$2:$L$186,0)),"")</f>
        <v/>
      </c>
      <c r="L184" s="15">
        <f>IFERROR(INDEX(計算用!$M$2:$M$186,MATCH("女赤"&amp;$J184,計算用!$L$2:$L$186,0)),"")</f>
        <v/>
      </c>
      <c r="M184" s="16">
        <f>IFERROR(INDEX(計算用!$G$2:$G$186,MATCH("女赤"&amp;$J184,計算用!$L$2:$L$186,0)),"")</f>
        <v/>
      </c>
      <c r="N184" s="15" t="n"/>
      <c r="O184" s="15">
        <f>IFERROR(INDEX(計算用!$D$2:$D$186,MATCH("女白"&amp;$J184,計算用!$L$2:$L$186,0)),"")</f>
        <v/>
      </c>
      <c r="P184" s="15">
        <f>IFERROR(INDEX(計算用!$M$2:$M$186,MATCH("女白"&amp;$J184,計算用!$L$2:$L$186,0)),"")</f>
        <v/>
      </c>
      <c r="Q184" s="16">
        <f>IFERROR(INDEX(計算用!$G$2:$G$186,MATCH("女白"&amp;$J184,計算用!$L$2:$L$186,0)),"")</f>
        <v/>
      </c>
    </row>
    <row r="185">
      <c r="A185" s="15">
        <f>IF(ROW()-3&lt;=MAX(計算用!$Q$2,計算用!$Q$3),ROW()-3,"")</f>
        <v/>
      </c>
      <c r="B185" s="15">
        <f>IFERROR(INDEX(計算用!$D$2:$D$186,MATCH("男赤"&amp;$A185,計算用!$L$2:$L$186,0)),"")</f>
        <v/>
      </c>
      <c r="C185" s="15">
        <f>IFERROR(INDEX(計算用!$M$2:$M$186,MATCH("男赤"&amp;$A185,計算用!$L$2:$L$186,0)),"")</f>
        <v/>
      </c>
      <c r="D185" s="16">
        <f>IFERROR(INDEX(計算用!$G$2:$G$186,MATCH("男赤"&amp;$A185,計算用!$L$2:$L$186,0)),"")</f>
        <v/>
      </c>
      <c r="E185" s="15" t="n"/>
      <c r="F185" s="15">
        <f>IFERROR(INDEX(計算用!$D$2:$D$186,MATCH("男白"&amp;$A185,計算用!$L$2:$L$186,0)),"")</f>
        <v/>
      </c>
      <c r="G185" s="15">
        <f>IFERROR(INDEX(計算用!$M$2:$M$186,MATCH("男白"&amp;$A185,計算用!$L$2:$L$186,0)),"")</f>
        <v/>
      </c>
      <c r="H185" s="16">
        <f>IFERROR(INDEX(計算用!$G$2:$G$186,MATCH("男白"&amp;$A185,計算用!$L$2:$L$186,0)),"")</f>
        <v/>
      </c>
      <c r="I185" s="15" t="n"/>
      <c r="J185" s="15">
        <f>IF(ROW()-3&lt;=MAX(計算用!$Q$4,計算用!$Q$5),ROW()-3,"")</f>
        <v/>
      </c>
      <c r="K185" s="15">
        <f>IFERROR(INDEX(計算用!$D$2:$D$186,MATCH("女赤"&amp;$J185,計算用!$L$2:$L$186,0)),"")</f>
        <v/>
      </c>
      <c r="L185" s="15">
        <f>IFERROR(INDEX(計算用!$M$2:$M$186,MATCH("女赤"&amp;$J185,計算用!$L$2:$L$186,0)),"")</f>
        <v/>
      </c>
      <c r="M185" s="16">
        <f>IFERROR(INDEX(計算用!$G$2:$G$186,MATCH("女赤"&amp;$J185,計算用!$L$2:$L$186,0)),"")</f>
        <v/>
      </c>
      <c r="N185" s="15" t="n"/>
      <c r="O185" s="15">
        <f>IFERROR(INDEX(計算用!$D$2:$D$186,MATCH("女白"&amp;$J185,計算用!$L$2:$L$186,0)),"")</f>
        <v/>
      </c>
      <c r="P185" s="15">
        <f>IFERROR(INDEX(計算用!$M$2:$M$186,MATCH("女白"&amp;$J185,計算用!$L$2:$L$186,0)),"")</f>
        <v/>
      </c>
      <c r="Q185" s="16">
        <f>IFERROR(INDEX(計算用!$G$2:$G$186,MATCH("女白"&amp;$J185,計算用!$L$2:$L$186,0)),"")</f>
        <v/>
      </c>
    </row>
    <row r="186">
      <c r="A186" s="15">
        <f>IF(ROW()-3&lt;=MAX(計算用!$Q$2,計算用!$Q$3),ROW()-3,"")</f>
        <v/>
      </c>
      <c r="B186" s="15">
        <f>IFERROR(INDEX(計算用!$D$2:$D$186,MATCH("男赤"&amp;$A186,計算用!$L$2:$L$186,0)),"")</f>
        <v/>
      </c>
      <c r="C186" s="15">
        <f>IFERROR(INDEX(計算用!$M$2:$M$186,MATCH("男赤"&amp;$A186,計算用!$L$2:$L$186,0)),"")</f>
        <v/>
      </c>
      <c r="D186" s="16">
        <f>IFERROR(INDEX(計算用!$G$2:$G$186,MATCH("男赤"&amp;$A186,計算用!$L$2:$L$186,0)),"")</f>
        <v/>
      </c>
      <c r="E186" s="15" t="n"/>
      <c r="F186" s="15">
        <f>IFERROR(INDEX(計算用!$D$2:$D$186,MATCH("男白"&amp;$A186,計算用!$L$2:$L$186,0)),"")</f>
        <v/>
      </c>
      <c r="G186" s="15">
        <f>IFERROR(INDEX(計算用!$M$2:$M$186,MATCH("男白"&amp;$A186,計算用!$L$2:$L$186,0)),"")</f>
        <v/>
      </c>
      <c r="H186" s="16">
        <f>IFERROR(INDEX(計算用!$G$2:$G$186,MATCH("男白"&amp;$A186,計算用!$L$2:$L$186,0)),"")</f>
        <v/>
      </c>
      <c r="I186" s="15" t="n"/>
      <c r="J186" s="15">
        <f>IF(ROW()-3&lt;=MAX(計算用!$Q$4,計算用!$Q$5),ROW()-3,"")</f>
        <v/>
      </c>
      <c r="K186" s="15">
        <f>IFERROR(INDEX(計算用!$D$2:$D$186,MATCH("女赤"&amp;$J186,計算用!$L$2:$L$186,0)),"")</f>
        <v/>
      </c>
      <c r="L186" s="15">
        <f>IFERROR(INDEX(計算用!$M$2:$M$186,MATCH("女赤"&amp;$J186,計算用!$L$2:$L$186,0)),"")</f>
        <v/>
      </c>
      <c r="M186" s="16">
        <f>IFERROR(INDEX(計算用!$G$2:$G$186,MATCH("女赤"&amp;$J186,計算用!$L$2:$L$186,0)),"")</f>
        <v/>
      </c>
      <c r="N186" s="15" t="n"/>
      <c r="O186" s="15">
        <f>IFERROR(INDEX(計算用!$D$2:$D$186,MATCH("女白"&amp;$J186,計算用!$L$2:$L$186,0)),"")</f>
        <v/>
      </c>
      <c r="P186" s="15">
        <f>IFERROR(INDEX(計算用!$M$2:$M$186,MATCH("女白"&amp;$J186,計算用!$L$2:$L$186,0)),"")</f>
        <v/>
      </c>
      <c r="Q186" s="16">
        <f>IFERROR(INDEX(計算用!$G$2:$G$186,MATCH("女白"&amp;$J186,計算用!$L$2:$L$186,0)),"")</f>
        <v/>
      </c>
    </row>
    <row r="187">
      <c r="A187" s="15">
        <f>IF(ROW()-3&lt;=MAX(計算用!$Q$2,計算用!$Q$3),ROW()-3,"")</f>
        <v/>
      </c>
      <c r="B187" s="15">
        <f>IFERROR(INDEX(計算用!$D$2:$D$186,MATCH("男赤"&amp;$A187,計算用!$L$2:$L$186,0)),"")</f>
        <v/>
      </c>
      <c r="C187" s="15">
        <f>IFERROR(INDEX(計算用!$M$2:$M$186,MATCH("男赤"&amp;$A187,計算用!$L$2:$L$186,0)),"")</f>
        <v/>
      </c>
      <c r="D187" s="16">
        <f>IFERROR(INDEX(計算用!$G$2:$G$186,MATCH("男赤"&amp;$A187,計算用!$L$2:$L$186,0)),"")</f>
        <v/>
      </c>
      <c r="E187" s="15" t="n"/>
      <c r="F187" s="15">
        <f>IFERROR(INDEX(計算用!$D$2:$D$186,MATCH("男白"&amp;$A187,計算用!$L$2:$L$186,0)),"")</f>
        <v/>
      </c>
      <c r="G187" s="15">
        <f>IFERROR(INDEX(計算用!$M$2:$M$186,MATCH("男白"&amp;$A187,計算用!$L$2:$L$186,0)),"")</f>
        <v/>
      </c>
      <c r="H187" s="16">
        <f>IFERROR(INDEX(計算用!$G$2:$G$186,MATCH("男白"&amp;$A187,計算用!$L$2:$L$186,0)),"")</f>
        <v/>
      </c>
      <c r="I187" s="15" t="n"/>
      <c r="J187" s="15">
        <f>IF(ROW()-3&lt;=MAX(計算用!$Q$4,計算用!$Q$5),ROW()-3,"")</f>
        <v/>
      </c>
      <c r="K187" s="15">
        <f>IFERROR(INDEX(計算用!$D$2:$D$186,MATCH("女赤"&amp;$J187,計算用!$L$2:$L$186,0)),"")</f>
        <v/>
      </c>
      <c r="L187" s="15">
        <f>IFERROR(INDEX(計算用!$M$2:$M$186,MATCH("女赤"&amp;$J187,計算用!$L$2:$L$186,0)),"")</f>
        <v/>
      </c>
      <c r="M187" s="16">
        <f>IFERROR(INDEX(計算用!$G$2:$G$186,MATCH("女赤"&amp;$J187,計算用!$L$2:$L$186,0)),"")</f>
        <v/>
      </c>
      <c r="N187" s="15" t="n"/>
      <c r="O187" s="15">
        <f>IFERROR(INDEX(計算用!$D$2:$D$186,MATCH("女白"&amp;$J187,計算用!$L$2:$L$186,0)),"")</f>
        <v/>
      </c>
      <c r="P187" s="15">
        <f>IFERROR(INDEX(計算用!$M$2:$M$186,MATCH("女白"&amp;$J187,計算用!$L$2:$L$186,0)),"")</f>
        <v/>
      </c>
      <c r="Q187" s="16">
        <f>IFERROR(INDEX(計算用!$G$2:$G$186,MATCH("女白"&amp;$J187,計算用!$L$2:$L$186,0)),"")</f>
        <v/>
      </c>
    </row>
    <row r="188">
      <c r="A188" s="15">
        <f>IF(ROW()-3&lt;=MAX(計算用!$Q$2,計算用!$Q$3),ROW()-3,"")</f>
        <v/>
      </c>
      <c r="B188" s="15">
        <f>IFERROR(INDEX(計算用!$D$2:$D$186,MATCH("男赤"&amp;$A188,計算用!$L$2:$L$186,0)),"")</f>
        <v/>
      </c>
      <c r="C188" s="15">
        <f>IFERROR(INDEX(計算用!$M$2:$M$186,MATCH("男赤"&amp;$A188,計算用!$L$2:$L$186,0)),"")</f>
        <v/>
      </c>
      <c r="D188" s="16">
        <f>IFERROR(INDEX(計算用!$G$2:$G$186,MATCH("男赤"&amp;$A188,計算用!$L$2:$L$186,0)),"")</f>
        <v/>
      </c>
      <c r="E188" s="15" t="n"/>
      <c r="F188" s="15">
        <f>IFERROR(INDEX(計算用!$D$2:$D$186,MATCH("男白"&amp;$A188,計算用!$L$2:$L$186,0)),"")</f>
        <v/>
      </c>
      <c r="G188" s="15">
        <f>IFERROR(INDEX(計算用!$M$2:$M$186,MATCH("男白"&amp;$A188,計算用!$L$2:$L$186,0)),"")</f>
        <v/>
      </c>
      <c r="H188" s="16">
        <f>IFERROR(INDEX(計算用!$G$2:$G$186,MATCH("男白"&amp;$A188,計算用!$L$2:$L$186,0)),"")</f>
        <v/>
      </c>
      <c r="I188" s="15" t="n"/>
      <c r="J188" s="15">
        <f>IF(ROW()-3&lt;=MAX(計算用!$Q$4,計算用!$Q$5),ROW()-3,"")</f>
        <v/>
      </c>
      <c r="K188" s="15">
        <f>IFERROR(INDEX(計算用!$D$2:$D$186,MATCH("女赤"&amp;$J188,計算用!$L$2:$L$186,0)),"")</f>
        <v/>
      </c>
      <c r="L188" s="15">
        <f>IFERROR(INDEX(計算用!$M$2:$M$186,MATCH("女赤"&amp;$J188,計算用!$L$2:$L$186,0)),"")</f>
        <v/>
      </c>
      <c r="M188" s="16">
        <f>IFERROR(INDEX(計算用!$G$2:$G$186,MATCH("女赤"&amp;$J188,計算用!$L$2:$L$186,0)),"")</f>
        <v/>
      </c>
      <c r="N188" s="15" t="n"/>
      <c r="O188" s="15">
        <f>IFERROR(INDEX(計算用!$D$2:$D$186,MATCH("女白"&amp;$J188,計算用!$L$2:$L$186,0)),"")</f>
        <v/>
      </c>
      <c r="P188" s="15">
        <f>IFERROR(INDEX(計算用!$M$2:$M$186,MATCH("女白"&amp;$J188,計算用!$L$2:$L$186,0)),"")</f>
        <v/>
      </c>
      <c r="Q188" s="16">
        <f>IFERROR(INDEX(計算用!$G$2:$G$186,MATCH("女白"&amp;$J188,計算用!$L$2:$L$186,0)),"")</f>
        <v/>
      </c>
    </row>
  </sheetData>
  <conditionalFormatting sqref="A4:D188">
    <cfRule type="expression" priority="1" dxfId="0">
      <formula>$A4&lt;&gt;""</formula>
    </cfRule>
  </conditionalFormatting>
  <conditionalFormatting sqref="E4:E188">
    <cfRule type="expression" priority="5" dxfId="3">
      <formula>$A4&lt;&gt;""</formula>
    </cfRule>
  </conditionalFormatting>
  <conditionalFormatting sqref="F4:H188">
    <cfRule type="expression" priority="2" dxfId="0">
      <formula>$A4&lt;&gt;""</formula>
    </cfRule>
  </conditionalFormatting>
  <conditionalFormatting sqref="J4:M188">
    <cfRule type="expression" priority="3" dxfId="0">
      <formula>$J4&lt;&gt;""</formula>
    </cfRule>
  </conditionalFormatting>
  <conditionalFormatting sqref="N4:N188">
    <cfRule type="expression" priority="6" dxfId="3">
      <formula>$J4&lt;&gt;""</formula>
    </cfRule>
  </conditionalFormatting>
  <conditionalFormatting sqref="O4:Q188">
    <cfRule type="expression" priority="4" dxfId="0">
      <formula>$J4&lt;&gt;""</formula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E53"/>
  <sheetViews>
    <sheetView workbookViewId="0">
      <selection activeCell="A1" sqref="A1"/>
    </sheetView>
  </sheetViews>
  <sheetFormatPr baseColWidth="8" defaultRowHeight="15"/>
  <cols>
    <col width="5" customWidth="1" style="11" min="1" max="1"/>
    <col width="5" customWidth="1" style="11" min="2" max="2"/>
    <col width="9" customWidth="1" style="11" min="3" max="3"/>
    <col width="13" customWidth="1" style="11" min="4" max="4"/>
    <col width="5" customWidth="1" style="11" min="5" max="5"/>
    <col width="4" customWidth="1" style="11" min="6" max="6"/>
    <col width="13" customWidth="1" style="11" min="7" max="7"/>
    <col width="5" customWidth="1" style="11" min="8" max="8"/>
    <col width="4" customWidth="1" style="11" min="9" max="9"/>
    <col width="13" customWidth="1" style="11" min="10" max="10"/>
    <col width="5" customWidth="1" style="11" min="11" max="11"/>
    <col width="4" customWidth="1" style="11" min="12" max="12"/>
    <col width="13" customWidth="1" style="11" min="13" max="13"/>
    <col width="5" customWidth="1" style="11" min="14" max="14"/>
    <col width="4" customWidth="1" style="11" min="15" max="15"/>
    <col width="2" customWidth="1" style="11" min="16" max="16"/>
    <col width="5" customWidth="1" style="11" min="17" max="17"/>
    <col width="5" customWidth="1" style="11" min="18" max="18"/>
    <col width="9" customWidth="1" style="11" min="19" max="19"/>
    <col width="13" customWidth="1" style="11" min="20" max="20"/>
    <col width="5" customWidth="1" style="11" min="21" max="21"/>
    <col width="4" customWidth="1" style="11" min="22" max="22"/>
    <col width="13" customWidth="1" style="11" min="23" max="23"/>
    <col width="5" customWidth="1" style="11" min="24" max="24"/>
    <col width="4" customWidth="1" style="11" min="25" max="25"/>
    <col width="13" customWidth="1" style="11" min="26" max="26"/>
    <col width="5" customWidth="1" style="11" min="27" max="27"/>
    <col width="4" customWidth="1" style="11" min="28" max="28"/>
    <col width="13" customWidth="1" style="11" min="29" max="29"/>
    <col width="5" customWidth="1" style="11" min="30" max="30"/>
    <col width="4" customWidth="1" style="11" min="31" max="31"/>
  </cols>
  <sheetData>
    <row r="1">
      <c r="A1" s="23" t="inlineStr">
        <is>
          <t>男子</t>
        </is>
      </c>
      <c r="D1" s="24">
        <f>IF(SUMPRODUCT((計算用!$T$2:$T$51&gt;0)*(((計算用!$T$2:$T$51&lt;&gt;4)+(計算用!$W$2:$W$51&lt;&gt;2))&gt;0))&gt;0,"※黄色の組は、人数の都合で調整した組です","")</f>
        <v/>
      </c>
      <c r="Q1" s="23" t="inlineStr">
        <is>
          <t>女子</t>
        </is>
      </c>
      <c r="T1" s="24">
        <f>IF(SUMPRODUCT((計算用!$AC$2:$AC$51&gt;0)*(((計算用!$AC$2:$AC$51&lt;&gt;4)+(計算用!$AF$2:$AF$51&lt;&gt;2))&gt;0))&gt;0,"※黄色の組は、人数の都合で調整した組です","")</f>
        <v/>
      </c>
    </row>
    <row r="2">
      <c r="A2" s="25" t="inlineStr">
        <is>
          <t>組</t>
        </is>
      </c>
      <c r="B2" s="25" t="inlineStr">
        <is>
          <t>人数</t>
        </is>
      </c>
      <c r="C2" s="25" t="inlineStr">
        <is>
          <t>内訳</t>
        </is>
      </c>
      <c r="D2" s="25" t="inlineStr">
        <is>
          <t>1人目</t>
        </is>
      </c>
      <c r="E2" s="25" t="n"/>
      <c r="F2" s="25" t="n"/>
      <c r="G2" s="25" t="inlineStr">
        <is>
          <t>2人目</t>
        </is>
      </c>
      <c r="H2" s="25" t="n"/>
      <c r="I2" s="25" t="n"/>
      <c r="J2" s="25" t="inlineStr">
        <is>
          <t>3人目</t>
        </is>
      </c>
      <c r="K2" s="25" t="n"/>
      <c r="L2" s="25" t="n"/>
      <c r="M2" s="25" t="inlineStr">
        <is>
          <t>4人目</t>
        </is>
      </c>
      <c r="N2" s="25" t="n"/>
      <c r="O2" s="25" t="n"/>
      <c r="Q2" s="25" t="inlineStr">
        <is>
          <t>組</t>
        </is>
      </c>
      <c r="R2" s="25" t="inlineStr">
        <is>
          <t>人数</t>
        </is>
      </c>
      <c r="S2" s="25" t="inlineStr">
        <is>
          <t>内訳</t>
        </is>
      </c>
      <c r="T2" s="25" t="inlineStr">
        <is>
          <t>1人目</t>
        </is>
      </c>
      <c r="U2" s="25" t="n"/>
      <c r="V2" s="25" t="n"/>
      <c r="W2" s="25" t="inlineStr">
        <is>
          <t>2人目</t>
        </is>
      </c>
      <c r="X2" s="25" t="n"/>
      <c r="Y2" s="25" t="n"/>
      <c r="Z2" s="25" t="inlineStr">
        <is>
          <t>3人目</t>
        </is>
      </c>
      <c r="AA2" s="25" t="n"/>
      <c r="AB2" s="25" t="n"/>
      <c r="AC2" s="25" t="inlineStr">
        <is>
          <t>4人目</t>
        </is>
      </c>
      <c r="AD2" s="25" t="n"/>
      <c r="AE2" s="25" t="n"/>
    </row>
    <row r="3">
      <c r="A3" s="25" t="n"/>
      <c r="B3" s="25" t="n"/>
      <c r="C3" s="25" t="n"/>
      <c r="D3" s="25" t="inlineStr">
        <is>
          <t>名前</t>
        </is>
      </c>
      <c r="E3" s="25" t="inlineStr">
        <is>
          <t>クラス</t>
        </is>
      </c>
      <c r="F3" s="25" t="inlineStr">
        <is>
          <t>色</t>
        </is>
      </c>
      <c r="G3" s="25" t="inlineStr">
        <is>
          <t>名前</t>
        </is>
      </c>
      <c r="H3" s="25" t="inlineStr">
        <is>
          <t>クラス</t>
        </is>
      </c>
      <c r="I3" s="25" t="inlineStr">
        <is>
          <t>色</t>
        </is>
      </c>
      <c r="J3" s="25" t="inlineStr">
        <is>
          <t>名前</t>
        </is>
      </c>
      <c r="K3" s="25" t="inlineStr">
        <is>
          <t>クラス</t>
        </is>
      </c>
      <c r="L3" s="25" t="inlineStr">
        <is>
          <t>色</t>
        </is>
      </c>
      <c r="M3" s="25" t="inlineStr">
        <is>
          <t>名前</t>
        </is>
      </c>
      <c r="N3" s="25" t="inlineStr">
        <is>
          <t>クラス</t>
        </is>
      </c>
      <c r="O3" s="25" t="inlineStr">
        <is>
          <t>色</t>
        </is>
      </c>
      <c r="Q3" s="25" t="n"/>
      <c r="R3" s="25" t="n"/>
      <c r="S3" s="25" t="n"/>
      <c r="T3" s="25" t="inlineStr">
        <is>
          <t>名前</t>
        </is>
      </c>
      <c r="U3" s="25" t="inlineStr">
        <is>
          <t>クラス</t>
        </is>
      </c>
      <c r="V3" s="25" t="inlineStr">
        <is>
          <t>色</t>
        </is>
      </c>
      <c r="W3" s="25" t="inlineStr">
        <is>
          <t>名前</t>
        </is>
      </c>
      <c r="X3" s="25" t="inlineStr">
        <is>
          <t>クラス</t>
        </is>
      </c>
      <c r="Y3" s="25" t="inlineStr">
        <is>
          <t>色</t>
        </is>
      </c>
      <c r="Z3" s="25" t="inlineStr">
        <is>
          <t>名前</t>
        </is>
      </c>
      <c r="AA3" s="25" t="inlineStr">
        <is>
          <t>クラス</t>
        </is>
      </c>
      <c r="AB3" s="25" t="inlineStr">
        <is>
          <t>色</t>
        </is>
      </c>
      <c r="AC3" s="25" t="inlineStr">
        <is>
          <t>名前</t>
        </is>
      </c>
      <c r="AD3" s="25" t="inlineStr">
        <is>
          <t>クラス</t>
        </is>
      </c>
      <c r="AE3" s="25" t="inlineStr">
        <is>
          <t>色</t>
        </is>
      </c>
    </row>
    <row r="4">
      <c r="A4" s="26">
        <f>IF(ROW()-3&lt;=計算用!$Q$9,ROW()-3,"")</f>
        <v/>
      </c>
      <c r="B4" s="26">
        <f>IF($A4="","",INDEX(計算用!$T$2:$T$51,$A4))</f>
        <v/>
      </c>
      <c r="C4" s="26">
        <f>IF($A4="","","赤"&amp;INDEX(計算用!$W$2:$W$51,$A4)&amp;"白"&amp;INDEX(計算用!$X$2:$X$51,$A4))</f>
        <v/>
      </c>
      <c r="D4">
        <f>IF($A4="","",IFERROR(INDEX(計算用!$D$2:$D$186,MATCH("男"&amp;$A4&amp;"-1",計算用!$AN$2:$AN$186,0)),""))</f>
        <v/>
      </c>
      <c r="E4" s="26">
        <f>IF($A4="","",IFERROR(INDEX(計算用!$M$2:$M$186,MATCH("男"&amp;$A4&amp;"-1",計算用!$AN$2:$AN$186,0)),""))</f>
        <v/>
      </c>
      <c r="F4" s="26">
        <f>IF($A4="","",IFERROR(INDEX(計算用!$I$2:$I$186,MATCH("男"&amp;$A4&amp;"-1",計算用!$AN$2:$AN$186,0)),""))</f>
        <v/>
      </c>
      <c r="G4">
        <f>IF($A4="","",IFERROR(INDEX(計算用!$D$2:$D$186,MATCH("男"&amp;$A4&amp;"-2",計算用!$AN$2:$AN$186,0)),""))</f>
        <v/>
      </c>
      <c r="H4" s="26">
        <f>IF($A4="","",IFERROR(INDEX(計算用!$M$2:$M$186,MATCH("男"&amp;$A4&amp;"-2",計算用!$AN$2:$AN$186,0)),""))</f>
        <v/>
      </c>
      <c r="I4" s="26">
        <f>IF($A4="","",IFERROR(INDEX(計算用!$I$2:$I$186,MATCH("男"&amp;$A4&amp;"-2",計算用!$AN$2:$AN$186,0)),""))</f>
        <v/>
      </c>
      <c r="J4">
        <f>IF($A4="","",IFERROR(INDEX(計算用!$D$2:$D$186,MATCH("男"&amp;$A4&amp;"-3",計算用!$AN$2:$AN$186,0)),""))</f>
        <v/>
      </c>
      <c r="K4" s="26">
        <f>IF($A4="","",IFERROR(INDEX(計算用!$M$2:$M$186,MATCH("男"&amp;$A4&amp;"-3",計算用!$AN$2:$AN$186,0)),""))</f>
        <v/>
      </c>
      <c r="L4" s="26">
        <f>IF($A4="","",IFERROR(INDEX(計算用!$I$2:$I$186,MATCH("男"&amp;$A4&amp;"-3",計算用!$AN$2:$AN$186,0)),""))</f>
        <v/>
      </c>
      <c r="M4">
        <f>IF($A4="","",IFERROR(INDEX(計算用!$D$2:$D$186,MATCH("男"&amp;$A4&amp;"-4",計算用!$AN$2:$AN$186,0)),""))</f>
        <v/>
      </c>
      <c r="N4" s="26">
        <f>IF($A4="","",IFERROR(INDEX(計算用!$M$2:$M$186,MATCH("男"&amp;$A4&amp;"-4",計算用!$AN$2:$AN$186,0)),""))</f>
        <v/>
      </c>
      <c r="O4" s="26">
        <f>IF($A4="","",IFERROR(INDEX(計算用!$I$2:$I$186,MATCH("男"&amp;$A4&amp;"-4",計算用!$AN$2:$AN$186,0)),""))</f>
        <v/>
      </c>
      <c r="Q4" s="26">
        <f>IF(ROW()-3&lt;=計算用!$Q$11,ROW()-3,"")</f>
        <v/>
      </c>
      <c r="R4" s="26">
        <f>IF($Q4="","",INDEX(計算用!$AC$2:$AC$51,$Q4))</f>
        <v/>
      </c>
      <c r="S4" s="26">
        <f>IF($Q4="","","赤"&amp;INDEX(計算用!$AF$2:$AF$51,$Q4)&amp;"白"&amp;INDEX(計算用!$AG$2:$AG$51,$Q4))</f>
        <v/>
      </c>
      <c r="T4">
        <f>IF($Q4="","",IFERROR(INDEX(計算用!$D$2:$D$186,MATCH("女"&amp;$Q4&amp;"-1",計算用!$AN$2:$AN$186,0)),""))</f>
        <v/>
      </c>
      <c r="U4" s="26">
        <f>IF($Q4="","",IFERROR(INDEX(計算用!$M$2:$M$186,MATCH("女"&amp;$Q4&amp;"-1",計算用!$AN$2:$AN$186,0)),""))</f>
        <v/>
      </c>
      <c r="V4" s="26">
        <f>IF($Q4="","",IFERROR(INDEX(計算用!$I$2:$I$186,MATCH("女"&amp;$Q4&amp;"-1",計算用!$AN$2:$AN$186,0)),""))</f>
        <v/>
      </c>
      <c r="W4">
        <f>IF($Q4="","",IFERROR(INDEX(計算用!$D$2:$D$186,MATCH("女"&amp;$Q4&amp;"-2",計算用!$AN$2:$AN$186,0)),""))</f>
        <v/>
      </c>
      <c r="X4" s="26">
        <f>IF($Q4="","",IFERROR(INDEX(計算用!$M$2:$M$186,MATCH("女"&amp;$Q4&amp;"-2",計算用!$AN$2:$AN$186,0)),""))</f>
        <v/>
      </c>
      <c r="Y4" s="26">
        <f>IF($Q4="","",IFERROR(INDEX(計算用!$I$2:$I$186,MATCH("女"&amp;$Q4&amp;"-2",計算用!$AN$2:$AN$186,0)),""))</f>
        <v/>
      </c>
      <c r="Z4">
        <f>IF($Q4="","",IFERROR(INDEX(計算用!$D$2:$D$186,MATCH("女"&amp;$Q4&amp;"-3",計算用!$AN$2:$AN$186,0)),""))</f>
        <v/>
      </c>
      <c r="AA4" s="26">
        <f>IF($Q4="","",IFERROR(INDEX(計算用!$M$2:$M$186,MATCH("女"&amp;$Q4&amp;"-3",計算用!$AN$2:$AN$186,0)),""))</f>
        <v/>
      </c>
      <c r="AB4" s="26">
        <f>IF($Q4="","",IFERROR(INDEX(計算用!$I$2:$I$186,MATCH("女"&amp;$Q4&amp;"-3",計算用!$AN$2:$AN$186,0)),""))</f>
        <v/>
      </c>
      <c r="AC4">
        <f>IF($Q4="","",IFERROR(INDEX(計算用!$D$2:$D$186,MATCH("女"&amp;$Q4&amp;"-4",計算用!$AN$2:$AN$186,0)),""))</f>
        <v/>
      </c>
      <c r="AD4" s="26">
        <f>IF($Q4="","",IFERROR(INDEX(計算用!$M$2:$M$186,MATCH("女"&amp;$Q4&amp;"-4",計算用!$AN$2:$AN$186,0)),""))</f>
        <v/>
      </c>
      <c r="AE4" s="26">
        <f>IF($Q4="","",IFERROR(INDEX(計算用!$I$2:$I$186,MATCH("女"&amp;$Q4&amp;"-4",計算用!$AN$2:$AN$186,0)),""))</f>
        <v/>
      </c>
    </row>
    <row r="5">
      <c r="A5" s="26">
        <f>IF(ROW()-3&lt;=計算用!$Q$9,ROW()-3,"")</f>
        <v/>
      </c>
      <c r="B5" s="26">
        <f>IF($A5="","",INDEX(計算用!$T$2:$T$51,$A5))</f>
        <v/>
      </c>
      <c r="C5" s="26">
        <f>IF($A5="","","赤"&amp;INDEX(計算用!$W$2:$W$51,$A5)&amp;"白"&amp;INDEX(計算用!$X$2:$X$51,$A5))</f>
        <v/>
      </c>
      <c r="D5">
        <f>IF($A5="","",IFERROR(INDEX(計算用!$D$2:$D$186,MATCH("男"&amp;$A5&amp;"-1",計算用!$AN$2:$AN$186,0)),""))</f>
        <v/>
      </c>
      <c r="E5" s="26">
        <f>IF($A5="","",IFERROR(INDEX(計算用!$M$2:$M$186,MATCH("男"&amp;$A5&amp;"-1",計算用!$AN$2:$AN$186,0)),""))</f>
        <v/>
      </c>
      <c r="F5" s="26">
        <f>IF($A5="","",IFERROR(INDEX(計算用!$I$2:$I$186,MATCH("男"&amp;$A5&amp;"-1",計算用!$AN$2:$AN$186,0)),""))</f>
        <v/>
      </c>
      <c r="G5">
        <f>IF($A5="","",IFERROR(INDEX(計算用!$D$2:$D$186,MATCH("男"&amp;$A5&amp;"-2",計算用!$AN$2:$AN$186,0)),""))</f>
        <v/>
      </c>
      <c r="H5" s="26">
        <f>IF($A5="","",IFERROR(INDEX(計算用!$M$2:$M$186,MATCH("男"&amp;$A5&amp;"-2",計算用!$AN$2:$AN$186,0)),""))</f>
        <v/>
      </c>
      <c r="I5" s="26">
        <f>IF($A5="","",IFERROR(INDEX(計算用!$I$2:$I$186,MATCH("男"&amp;$A5&amp;"-2",計算用!$AN$2:$AN$186,0)),""))</f>
        <v/>
      </c>
      <c r="J5">
        <f>IF($A5="","",IFERROR(INDEX(計算用!$D$2:$D$186,MATCH("男"&amp;$A5&amp;"-3",計算用!$AN$2:$AN$186,0)),""))</f>
        <v/>
      </c>
      <c r="K5" s="26">
        <f>IF($A5="","",IFERROR(INDEX(計算用!$M$2:$M$186,MATCH("男"&amp;$A5&amp;"-3",計算用!$AN$2:$AN$186,0)),""))</f>
        <v/>
      </c>
      <c r="L5" s="26">
        <f>IF($A5="","",IFERROR(INDEX(計算用!$I$2:$I$186,MATCH("男"&amp;$A5&amp;"-3",計算用!$AN$2:$AN$186,0)),""))</f>
        <v/>
      </c>
      <c r="M5">
        <f>IF($A5="","",IFERROR(INDEX(計算用!$D$2:$D$186,MATCH("男"&amp;$A5&amp;"-4",計算用!$AN$2:$AN$186,0)),""))</f>
        <v/>
      </c>
      <c r="N5" s="26">
        <f>IF($A5="","",IFERROR(INDEX(計算用!$M$2:$M$186,MATCH("男"&amp;$A5&amp;"-4",計算用!$AN$2:$AN$186,0)),""))</f>
        <v/>
      </c>
      <c r="O5" s="26">
        <f>IF($A5="","",IFERROR(INDEX(計算用!$I$2:$I$186,MATCH("男"&amp;$A5&amp;"-4",計算用!$AN$2:$AN$186,0)),""))</f>
        <v/>
      </c>
      <c r="Q5" s="26">
        <f>IF(ROW()-3&lt;=計算用!$Q$11,ROW()-3,"")</f>
        <v/>
      </c>
      <c r="R5" s="26">
        <f>IF($Q5="","",INDEX(計算用!$AC$2:$AC$51,$Q5))</f>
        <v/>
      </c>
      <c r="S5" s="26">
        <f>IF($Q5="","","赤"&amp;INDEX(計算用!$AF$2:$AF$51,$Q5)&amp;"白"&amp;INDEX(計算用!$AG$2:$AG$51,$Q5))</f>
        <v/>
      </c>
      <c r="T5">
        <f>IF($Q5="","",IFERROR(INDEX(計算用!$D$2:$D$186,MATCH("女"&amp;$Q5&amp;"-1",計算用!$AN$2:$AN$186,0)),""))</f>
        <v/>
      </c>
      <c r="U5" s="26">
        <f>IF($Q5="","",IFERROR(INDEX(計算用!$M$2:$M$186,MATCH("女"&amp;$Q5&amp;"-1",計算用!$AN$2:$AN$186,0)),""))</f>
        <v/>
      </c>
      <c r="V5" s="26">
        <f>IF($Q5="","",IFERROR(INDEX(計算用!$I$2:$I$186,MATCH("女"&amp;$Q5&amp;"-1",計算用!$AN$2:$AN$186,0)),""))</f>
        <v/>
      </c>
      <c r="W5">
        <f>IF($Q5="","",IFERROR(INDEX(計算用!$D$2:$D$186,MATCH("女"&amp;$Q5&amp;"-2",計算用!$AN$2:$AN$186,0)),""))</f>
        <v/>
      </c>
      <c r="X5" s="26">
        <f>IF($Q5="","",IFERROR(INDEX(計算用!$M$2:$M$186,MATCH("女"&amp;$Q5&amp;"-2",計算用!$AN$2:$AN$186,0)),""))</f>
        <v/>
      </c>
      <c r="Y5" s="26">
        <f>IF($Q5="","",IFERROR(INDEX(計算用!$I$2:$I$186,MATCH("女"&amp;$Q5&amp;"-2",計算用!$AN$2:$AN$186,0)),""))</f>
        <v/>
      </c>
      <c r="Z5">
        <f>IF($Q5="","",IFERROR(INDEX(計算用!$D$2:$D$186,MATCH("女"&amp;$Q5&amp;"-3",計算用!$AN$2:$AN$186,0)),""))</f>
        <v/>
      </c>
      <c r="AA5" s="26">
        <f>IF($Q5="","",IFERROR(INDEX(計算用!$M$2:$M$186,MATCH("女"&amp;$Q5&amp;"-3",計算用!$AN$2:$AN$186,0)),""))</f>
        <v/>
      </c>
      <c r="AB5" s="26">
        <f>IF($Q5="","",IFERROR(INDEX(計算用!$I$2:$I$186,MATCH("女"&amp;$Q5&amp;"-3",計算用!$AN$2:$AN$186,0)),""))</f>
        <v/>
      </c>
      <c r="AC5">
        <f>IF($Q5="","",IFERROR(INDEX(計算用!$D$2:$D$186,MATCH("女"&amp;$Q5&amp;"-4",計算用!$AN$2:$AN$186,0)),""))</f>
        <v/>
      </c>
      <c r="AD5" s="26">
        <f>IF($Q5="","",IFERROR(INDEX(計算用!$M$2:$M$186,MATCH("女"&amp;$Q5&amp;"-4",計算用!$AN$2:$AN$186,0)),""))</f>
        <v/>
      </c>
      <c r="AE5" s="26">
        <f>IF($Q5="","",IFERROR(INDEX(計算用!$I$2:$I$186,MATCH("女"&amp;$Q5&amp;"-4",計算用!$AN$2:$AN$186,0)),""))</f>
        <v/>
      </c>
    </row>
    <row r="6">
      <c r="A6" s="26">
        <f>IF(ROW()-3&lt;=計算用!$Q$9,ROW()-3,"")</f>
        <v/>
      </c>
      <c r="B6" s="26">
        <f>IF($A6="","",INDEX(計算用!$T$2:$T$51,$A6))</f>
        <v/>
      </c>
      <c r="C6" s="26">
        <f>IF($A6="","","赤"&amp;INDEX(計算用!$W$2:$W$51,$A6)&amp;"白"&amp;INDEX(計算用!$X$2:$X$51,$A6))</f>
        <v/>
      </c>
      <c r="D6">
        <f>IF($A6="","",IFERROR(INDEX(計算用!$D$2:$D$186,MATCH("男"&amp;$A6&amp;"-1",計算用!$AN$2:$AN$186,0)),""))</f>
        <v/>
      </c>
      <c r="E6" s="26">
        <f>IF($A6="","",IFERROR(INDEX(計算用!$M$2:$M$186,MATCH("男"&amp;$A6&amp;"-1",計算用!$AN$2:$AN$186,0)),""))</f>
        <v/>
      </c>
      <c r="F6" s="26">
        <f>IF($A6="","",IFERROR(INDEX(計算用!$I$2:$I$186,MATCH("男"&amp;$A6&amp;"-1",計算用!$AN$2:$AN$186,0)),""))</f>
        <v/>
      </c>
      <c r="G6">
        <f>IF($A6="","",IFERROR(INDEX(計算用!$D$2:$D$186,MATCH("男"&amp;$A6&amp;"-2",計算用!$AN$2:$AN$186,0)),""))</f>
        <v/>
      </c>
      <c r="H6" s="26">
        <f>IF($A6="","",IFERROR(INDEX(計算用!$M$2:$M$186,MATCH("男"&amp;$A6&amp;"-2",計算用!$AN$2:$AN$186,0)),""))</f>
        <v/>
      </c>
      <c r="I6" s="26">
        <f>IF($A6="","",IFERROR(INDEX(計算用!$I$2:$I$186,MATCH("男"&amp;$A6&amp;"-2",計算用!$AN$2:$AN$186,0)),""))</f>
        <v/>
      </c>
      <c r="J6">
        <f>IF($A6="","",IFERROR(INDEX(計算用!$D$2:$D$186,MATCH("男"&amp;$A6&amp;"-3",計算用!$AN$2:$AN$186,0)),""))</f>
        <v/>
      </c>
      <c r="K6" s="26">
        <f>IF($A6="","",IFERROR(INDEX(計算用!$M$2:$M$186,MATCH("男"&amp;$A6&amp;"-3",計算用!$AN$2:$AN$186,0)),""))</f>
        <v/>
      </c>
      <c r="L6" s="26">
        <f>IF($A6="","",IFERROR(INDEX(計算用!$I$2:$I$186,MATCH("男"&amp;$A6&amp;"-3",計算用!$AN$2:$AN$186,0)),""))</f>
        <v/>
      </c>
      <c r="M6">
        <f>IF($A6="","",IFERROR(INDEX(計算用!$D$2:$D$186,MATCH("男"&amp;$A6&amp;"-4",計算用!$AN$2:$AN$186,0)),""))</f>
        <v/>
      </c>
      <c r="N6" s="26">
        <f>IF($A6="","",IFERROR(INDEX(計算用!$M$2:$M$186,MATCH("男"&amp;$A6&amp;"-4",計算用!$AN$2:$AN$186,0)),""))</f>
        <v/>
      </c>
      <c r="O6" s="26">
        <f>IF($A6="","",IFERROR(INDEX(計算用!$I$2:$I$186,MATCH("男"&amp;$A6&amp;"-4",計算用!$AN$2:$AN$186,0)),""))</f>
        <v/>
      </c>
      <c r="Q6" s="26">
        <f>IF(ROW()-3&lt;=計算用!$Q$11,ROW()-3,"")</f>
        <v/>
      </c>
      <c r="R6" s="26">
        <f>IF($Q6="","",INDEX(計算用!$AC$2:$AC$51,$Q6))</f>
        <v/>
      </c>
      <c r="S6" s="26">
        <f>IF($Q6="","","赤"&amp;INDEX(計算用!$AF$2:$AF$51,$Q6)&amp;"白"&amp;INDEX(計算用!$AG$2:$AG$51,$Q6))</f>
        <v/>
      </c>
      <c r="T6">
        <f>IF($Q6="","",IFERROR(INDEX(計算用!$D$2:$D$186,MATCH("女"&amp;$Q6&amp;"-1",計算用!$AN$2:$AN$186,0)),""))</f>
        <v/>
      </c>
      <c r="U6" s="26">
        <f>IF($Q6="","",IFERROR(INDEX(計算用!$M$2:$M$186,MATCH("女"&amp;$Q6&amp;"-1",計算用!$AN$2:$AN$186,0)),""))</f>
        <v/>
      </c>
      <c r="V6" s="26">
        <f>IF($Q6="","",IFERROR(INDEX(計算用!$I$2:$I$186,MATCH("女"&amp;$Q6&amp;"-1",計算用!$AN$2:$AN$186,0)),""))</f>
        <v/>
      </c>
      <c r="W6">
        <f>IF($Q6="","",IFERROR(INDEX(計算用!$D$2:$D$186,MATCH("女"&amp;$Q6&amp;"-2",計算用!$AN$2:$AN$186,0)),""))</f>
        <v/>
      </c>
      <c r="X6" s="26">
        <f>IF($Q6="","",IFERROR(INDEX(計算用!$M$2:$M$186,MATCH("女"&amp;$Q6&amp;"-2",計算用!$AN$2:$AN$186,0)),""))</f>
        <v/>
      </c>
      <c r="Y6" s="26">
        <f>IF($Q6="","",IFERROR(INDEX(計算用!$I$2:$I$186,MATCH("女"&amp;$Q6&amp;"-2",計算用!$AN$2:$AN$186,0)),""))</f>
        <v/>
      </c>
      <c r="Z6">
        <f>IF($Q6="","",IFERROR(INDEX(計算用!$D$2:$D$186,MATCH("女"&amp;$Q6&amp;"-3",計算用!$AN$2:$AN$186,0)),""))</f>
        <v/>
      </c>
      <c r="AA6" s="26">
        <f>IF($Q6="","",IFERROR(INDEX(計算用!$M$2:$M$186,MATCH("女"&amp;$Q6&amp;"-3",計算用!$AN$2:$AN$186,0)),""))</f>
        <v/>
      </c>
      <c r="AB6" s="26">
        <f>IF($Q6="","",IFERROR(INDEX(計算用!$I$2:$I$186,MATCH("女"&amp;$Q6&amp;"-3",計算用!$AN$2:$AN$186,0)),""))</f>
        <v/>
      </c>
      <c r="AC6">
        <f>IF($Q6="","",IFERROR(INDEX(計算用!$D$2:$D$186,MATCH("女"&amp;$Q6&amp;"-4",計算用!$AN$2:$AN$186,0)),""))</f>
        <v/>
      </c>
      <c r="AD6" s="26">
        <f>IF($Q6="","",IFERROR(INDEX(計算用!$M$2:$M$186,MATCH("女"&amp;$Q6&amp;"-4",計算用!$AN$2:$AN$186,0)),""))</f>
        <v/>
      </c>
      <c r="AE6" s="26">
        <f>IF($Q6="","",IFERROR(INDEX(計算用!$I$2:$I$186,MATCH("女"&amp;$Q6&amp;"-4",計算用!$AN$2:$AN$186,0)),""))</f>
        <v/>
      </c>
    </row>
    <row r="7">
      <c r="A7" s="26">
        <f>IF(ROW()-3&lt;=計算用!$Q$9,ROW()-3,"")</f>
        <v/>
      </c>
      <c r="B7" s="26">
        <f>IF($A7="","",INDEX(計算用!$T$2:$T$51,$A7))</f>
        <v/>
      </c>
      <c r="C7" s="26">
        <f>IF($A7="","","赤"&amp;INDEX(計算用!$W$2:$W$51,$A7)&amp;"白"&amp;INDEX(計算用!$X$2:$X$51,$A7))</f>
        <v/>
      </c>
      <c r="D7">
        <f>IF($A7="","",IFERROR(INDEX(計算用!$D$2:$D$186,MATCH("男"&amp;$A7&amp;"-1",計算用!$AN$2:$AN$186,0)),""))</f>
        <v/>
      </c>
      <c r="E7" s="26">
        <f>IF($A7="","",IFERROR(INDEX(計算用!$M$2:$M$186,MATCH("男"&amp;$A7&amp;"-1",計算用!$AN$2:$AN$186,0)),""))</f>
        <v/>
      </c>
      <c r="F7" s="26">
        <f>IF($A7="","",IFERROR(INDEX(計算用!$I$2:$I$186,MATCH("男"&amp;$A7&amp;"-1",計算用!$AN$2:$AN$186,0)),""))</f>
        <v/>
      </c>
      <c r="G7">
        <f>IF($A7="","",IFERROR(INDEX(計算用!$D$2:$D$186,MATCH("男"&amp;$A7&amp;"-2",計算用!$AN$2:$AN$186,0)),""))</f>
        <v/>
      </c>
      <c r="H7" s="26">
        <f>IF($A7="","",IFERROR(INDEX(計算用!$M$2:$M$186,MATCH("男"&amp;$A7&amp;"-2",計算用!$AN$2:$AN$186,0)),""))</f>
        <v/>
      </c>
      <c r="I7" s="26">
        <f>IF($A7="","",IFERROR(INDEX(計算用!$I$2:$I$186,MATCH("男"&amp;$A7&amp;"-2",計算用!$AN$2:$AN$186,0)),""))</f>
        <v/>
      </c>
      <c r="J7">
        <f>IF($A7="","",IFERROR(INDEX(計算用!$D$2:$D$186,MATCH("男"&amp;$A7&amp;"-3",計算用!$AN$2:$AN$186,0)),""))</f>
        <v/>
      </c>
      <c r="K7" s="26">
        <f>IF($A7="","",IFERROR(INDEX(計算用!$M$2:$M$186,MATCH("男"&amp;$A7&amp;"-3",計算用!$AN$2:$AN$186,0)),""))</f>
        <v/>
      </c>
      <c r="L7" s="26">
        <f>IF($A7="","",IFERROR(INDEX(計算用!$I$2:$I$186,MATCH("男"&amp;$A7&amp;"-3",計算用!$AN$2:$AN$186,0)),""))</f>
        <v/>
      </c>
      <c r="M7">
        <f>IF($A7="","",IFERROR(INDEX(計算用!$D$2:$D$186,MATCH("男"&amp;$A7&amp;"-4",計算用!$AN$2:$AN$186,0)),""))</f>
        <v/>
      </c>
      <c r="N7" s="26">
        <f>IF($A7="","",IFERROR(INDEX(計算用!$M$2:$M$186,MATCH("男"&amp;$A7&amp;"-4",計算用!$AN$2:$AN$186,0)),""))</f>
        <v/>
      </c>
      <c r="O7" s="26">
        <f>IF($A7="","",IFERROR(INDEX(計算用!$I$2:$I$186,MATCH("男"&amp;$A7&amp;"-4",計算用!$AN$2:$AN$186,0)),""))</f>
        <v/>
      </c>
      <c r="Q7" s="26">
        <f>IF(ROW()-3&lt;=計算用!$Q$11,ROW()-3,"")</f>
        <v/>
      </c>
      <c r="R7" s="26">
        <f>IF($Q7="","",INDEX(計算用!$AC$2:$AC$51,$Q7))</f>
        <v/>
      </c>
      <c r="S7" s="26">
        <f>IF($Q7="","","赤"&amp;INDEX(計算用!$AF$2:$AF$51,$Q7)&amp;"白"&amp;INDEX(計算用!$AG$2:$AG$51,$Q7))</f>
        <v/>
      </c>
      <c r="T7">
        <f>IF($Q7="","",IFERROR(INDEX(計算用!$D$2:$D$186,MATCH("女"&amp;$Q7&amp;"-1",計算用!$AN$2:$AN$186,0)),""))</f>
        <v/>
      </c>
      <c r="U7" s="26">
        <f>IF($Q7="","",IFERROR(INDEX(計算用!$M$2:$M$186,MATCH("女"&amp;$Q7&amp;"-1",計算用!$AN$2:$AN$186,0)),""))</f>
        <v/>
      </c>
      <c r="V7" s="26">
        <f>IF($Q7="","",IFERROR(INDEX(計算用!$I$2:$I$186,MATCH("女"&amp;$Q7&amp;"-1",計算用!$AN$2:$AN$186,0)),""))</f>
        <v/>
      </c>
      <c r="W7">
        <f>IF($Q7="","",IFERROR(INDEX(計算用!$D$2:$D$186,MATCH("女"&amp;$Q7&amp;"-2",計算用!$AN$2:$AN$186,0)),""))</f>
        <v/>
      </c>
      <c r="X7" s="26">
        <f>IF($Q7="","",IFERROR(INDEX(計算用!$M$2:$M$186,MATCH("女"&amp;$Q7&amp;"-2",計算用!$AN$2:$AN$186,0)),""))</f>
        <v/>
      </c>
      <c r="Y7" s="26">
        <f>IF($Q7="","",IFERROR(INDEX(計算用!$I$2:$I$186,MATCH("女"&amp;$Q7&amp;"-2",計算用!$AN$2:$AN$186,0)),""))</f>
        <v/>
      </c>
      <c r="Z7">
        <f>IF($Q7="","",IFERROR(INDEX(計算用!$D$2:$D$186,MATCH("女"&amp;$Q7&amp;"-3",計算用!$AN$2:$AN$186,0)),""))</f>
        <v/>
      </c>
      <c r="AA7" s="26">
        <f>IF($Q7="","",IFERROR(INDEX(計算用!$M$2:$M$186,MATCH("女"&amp;$Q7&amp;"-3",計算用!$AN$2:$AN$186,0)),""))</f>
        <v/>
      </c>
      <c r="AB7" s="26">
        <f>IF($Q7="","",IFERROR(INDEX(計算用!$I$2:$I$186,MATCH("女"&amp;$Q7&amp;"-3",計算用!$AN$2:$AN$186,0)),""))</f>
        <v/>
      </c>
      <c r="AC7">
        <f>IF($Q7="","",IFERROR(INDEX(計算用!$D$2:$D$186,MATCH("女"&amp;$Q7&amp;"-4",計算用!$AN$2:$AN$186,0)),""))</f>
        <v/>
      </c>
      <c r="AD7" s="26">
        <f>IF($Q7="","",IFERROR(INDEX(計算用!$M$2:$M$186,MATCH("女"&amp;$Q7&amp;"-4",計算用!$AN$2:$AN$186,0)),""))</f>
        <v/>
      </c>
      <c r="AE7" s="26">
        <f>IF($Q7="","",IFERROR(INDEX(計算用!$I$2:$I$186,MATCH("女"&amp;$Q7&amp;"-4",計算用!$AN$2:$AN$186,0)),""))</f>
        <v/>
      </c>
    </row>
    <row r="8">
      <c r="A8" s="26">
        <f>IF(ROW()-3&lt;=計算用!$Q$9,ROW()-3,"")</f>
        <v/>
      </c>
      <c r="B8" s="26">
        <f>IF($A8="","",INDEX(計算用!$T$2:$T$51,$A8))</f>
        <v/>
      </c>
      <c r="C8" s="26">
        <f>IF($A8="","","赤"&amp;INDEX(計算用!$W$2:$W$51,$A8)&amp;"白"&amp;INDEX(計算用!$X$2:$X$51,$A8))</f>
        <v/>
      </c>
      <c r="D8">
        <f>IF($A8="","",IFERROR(INDEX(計算用!$D$2:$D$186,MATCH("男"&amp;$A8&amp;"-1",計算用!$AN$2:$AN$186,0)),""))</f>
        <v/>
      </c>
      <c r="E8" s="26">
        <f>IF($A8="","",IFERROR(INDEX(計算用!$M$2:$M$186,MATCH("男"&amp;$A8&amp;"-1",計算用!$AN$2:$AN$186,0)),""))</f>
        <v/>
      </c>
      <c r="F8" s="26">
        <f>IF($A8="","",IFERROR(INDEX(計算用!$I$2:$I$186,MATCH("男"&amp;$A8&amp;"-1",計算用!$AN$2:$AN$186,0)),""))</f>
        <v/>
      </c>
      <c r="G8">
        <f>IF($A8="","",IFERROR(INDEX(計算用!$D$2:$D$186,MATCH("男"&amp;$A8&amp;"-2",計算用!$AN$2:$AN$186,0)),""))</f>
        <v/>
      </c>
      <c r="H8" s="26">
        <f>IF($A8="","",IFERROR(INDEX(計算用!$M$2:$M$186,MATCH("男"&amp;$A8&amp;"-2",計算用!$AN$2:$AN$186,0)),""))</f>
        <v/>
      </c>
      <c r="I8" s="26">
        <f>IF($A8="","",IFERROR(INDEX(計算用!$I$2:$I$186,MATCH("男"&amp;$A8&amp;"-2",計算用!$AN$2:$AN$186,0)),""))</f>
        <v/>
      </c>
      <c r="J8">
        <f>IF($A8="","",IFERROR(INDEX(計算用!$D$2:$D$186,MATCH("男"&amp;$A8&amp;"-3",計算用!$AN$2:$AN$186,0)),""))</f>
        <v/>
      </c>
      <c r="K8" s="26">
        <f>IF($A8="","",IFERROR(INDEX(計算用!$M$2:$M$186,MATCH("男"&amp;$A8&amp;"-3",計算用!$AN$2:$AN$186,0)),""))</f>
        <v/>
      </c>
      <c r="L8" s="26">
        <f>IF($A8="","",IFERROR(INDEX(計算用!$I$2:$I$186,MATCH("男"&amp;$A8&amp;"-3",計算用!$AN$2:$AN$186,0)),""))</f>
        <v/>
      </c>
      <c r="M8">
        <f>IF($A8="","",IFERROR(INDEX(計算用!$D$2:$D$186,MATCH("男"&amp;$A8&amp;"-4",計算用!$AN$2:$AN$186,0)),""))</f>
        <v/>
      </c>
      <c r="N8" s="26">
        <f>IF($A8="","",IFERROR(INDEX(計算用!$M$2:$M$186,MATCH("男"&amp;$A8&amp;"-4",計算用!$AN$2:$AN$186,0)),""))</f>
        <v/>
      </c>
      <c r="O8" s="26">
        <f>IF($A8="","",IFERROR(INDEX(計算用!$I$2:$I$186,MATCH("男"&amp;$A8&amp;"-4",計算用!$AN$2:$AN$186,0)),""))</f>
        <v/>
      </c>
      <c r="Q8" s="26">
        <f>IF(ROW()-3&lt;=計算用!$Q$11,ROW()-3,"")</f>
        <v/>
      </c>
      <c r="R8" s="26">
        <f>IF($Q8="","",INDEX(計算用!$AC$2:$AC$51,$Q8))</f>
        <v/>
      </c>
      <c r="S8" s="26">
        <f>IF($Q8="","","赤"&amp;INDEX(計算用!$AF$2:$AF$51,$Q8)&amp;"白"&amp;INDEX(計算用!$AG$2:$AG$51,$Q8))</f>
        <v/>
      </c>
      <c r="T8">
        <f>IF($Q8="","",IFERROR(INDEX(計算用!$D$2:$D$186,MATCH("女"&amp;$Q8&amp;"-1",計算用!$AN$2:$AN$186,0)),""))</f>
        <v/>
      </c>
      <c r="U8" s="26">
        <f>IF($Q8="","",IFERROR(INDEX(計算用!$M$2:$M$186,MATCH("女"&amp;$Q8&amp;"-1",計算用!$AN$2:$AN$186,0)),""))</f>
        <v/>
      </c>
      <c r="V8" s="26">
        <f>IF($Q8="","",IFERROR(INDEX(計算用!$I$2:$I$186,MATCH("女"&amp;$Q8&amp;"-1",計算用!$AN$2:$AN$186,0)),""))</f>
        <v/>
      </c>
      <c r="W8">
        <f>IF($Q8="","",IFERROR(INDEX(計算用!$D$2:$D$186,MATCH("女"&amp;$Q8&amp;"-2",計算用!$AN$2:$AN$186,0)),""))</f>
        <v/>
      </c>
      <c r="X8" s="26">
        <f>IF($Q8="","",IFERROR(INDEX(計算用!$M$2:$M$186,MATCH("女"&amp;$Q8&amp;"-2",計算用!$AN$2:$AN$186,0)),""))</f>
        <v/>
      </c>
      <c r="Y8" s="26">
        <f>IF($Q8="","",IFERROR(INDEX(計算用!$I$2:$I$186,MATCH("女"&amp;$Q8&amp;"-2",計算用!$AN$2:$AN$186,0)),""))</f>
        <v/>
      </c>
      <c r="Z8">
        <f>IF($Q8="","",IFERROR(INDEX(計算用!$D$2:$D$186,MATCH("女"&amp;$Q8&amp;"-3",計算用!$AN$2:$AN$186,0)),""))</f>
        <v/>
      </c>
      <c r="AA8" s="26">
        <f>IF($Q8="","",IFERROR(INDEX(計算用!$M$2:$M$186,MATCH("女"&amp;$Q8&amp;"-3",計算用!$AN$2:$AN$186,0)),""))</f>
        <v/>
      </c>
      <c r="AB8" s="26">
        <f>IF($Q8="","",IFERROR(INDEX(計算用!$I$2:$I$186,MATCH("女"&amp;$Q8&amp;"-3",計算用!$AN$2:$AN$186,0)),""))</f>
        <v/>
      </c>
      <c r="AC8">
        <f>IF($Q8="","",IFERROR(INDEX(計算用!$D$2:$D$186,MATCH("女"&amp;$Q8&amp;"-4",計算用!$AN$2:$AN$186,0)),""))</f>
        <v/>
      </c>
      <c r="AD8" s="26">
        <f>IF($Q8="","",IFERROR(INDEX(計算用!$M$2:$M$186,MATCH("女"&amp;$Q8&amp;"-4",計算用!$AN$2:$AN$186,0)),""))</f>
        <v/>
      </c>
      <c r="AE8" s="26">
        <f>IF($Q8="","",IFERROR(INDEX(計算用!$I$2:$I$186,MATCH("女"&amp;$Q8&amp;"-4",計算用!$AN$2:$AN$186,0)),""))</f>
        <v/>
      </c>
    </row>
    <row r="9">
      <c r="A9" s="26">
        <f>IF(ROW()-3&lt;=計算用!$Q$9,ROW()-3,"")</f>
        <v/>
      </c>
      <c r="B9" s="26">
        <f>IF($A9="","",INDEX(計算用!$T$2:$T$51,$A9))</f>
        <v/>
      </c>
      <c r="C9" s="26">
        <f>IF($A9="","","赤"&amp;INDEX(計算用!$W$2:$W$51,$A9)&amp;"白"&amp;INDEX(計算用!$X$2:$X$51,$A9))</f>
        <v/>
      </c>
      <c r="D9">
        <f>IF($A9="","",IFERROR(INDEX(計算用!$D$2:$D$186,MATCH("男"&amp;$A9&amp;"-1",計算用!$AN$2:$AN$186,0)),""))</f>
        <v/>
      </c>
      <c r="E9" s="26">
        <f>IF($A9="","",IFERROR(INDEX(計算用!$M$2:$M$186,MATCH("男"&amp;$A9&amp;"-1",計算用!$AN$2:$AN$186,0)),""))</f>
        <v/>
      </c>
      <c r="F9" s="26">
        <f>IF($A9="","",IFERROR(INDEX(計算用!$I$2:$I$186,MATCH("男"&amp;$A9&amp;"-1",計算用!$AN$2:$AN$186,0)),""))</f>
        <v/>
      </c>
      <c r="G9">
        <f>IF($A9="","",IFERROR(INDEX(計算用!$D$2:$D$186,MATCH("男"&amp;$A9&amp;"-2",計算用!$AN$2:$AN$186,0)),""))</f>
        <v/>
      </c>
      <c r="H9" s="26">
        <f>IF($A9="","",IFERROR(INDEX(計算用!$M$2:$M$186,MATCH("男"&amp;$A9&amp;"-2",計算用!$AN$2:$AN$186,0)),""))</f>
        <v/>
      </c>
      <c r="I9" s="26">
        <f>IF($A9="","",IFERROR(INDEX(計算用!$I$2:$I$186,MATCH("男"&amp;$A9&amp;"-2",計算用!$AN$2:$AN$186,0)),""))</f>
        <v/>
      </c>
      <c r="J9">
        <f>IF($A9="","",IFERROR(INDEX(計算用!$D$2:$D$186,MATCH("男"&amp;$A9&amp;"-3",計算用!$AN$2:$AN$186,0)),""))</f>
        <v/>
      </c>
      <c r="K9" s="26">
        <f>IF($A9="","",IFERROR(INDEX(計算用!$M$2:$M$186,MATCH("男"&amp;$A9&amp;"-3",計算用!$AN$2:$AN$186,0)),""))</f>
        <v/>
      </c>
      <c r="L9" s="26">
        <f>IF($A9="","",IFERROR(INDEX(計算用!$I$2:$I$186,MATCH("男"&amp;$A9&amp;"-3",計算用!$AN$2:$AN$186,0)),""))</f>
        <v/>
      </c>
      <c r="M9">
        <f>IF($A9="","",IFERROR(INDEX(計算用!$D$2:$D$186,MATCH("男"&amp;$A9&amp;"-4",計算用!$AN$2:$AN$186,0)),""))</f>
        <v/>
      </c>
      <c r="N9" s="26">
        <f>IF($A9="","",IFERROR(INDEX(計算用!$M$2:$M$186,MATCH("男"&amp;$A9&amp;"-4",計算用!$AN$2:$AN$186,0)),""))</f>
        <v/>
      </c>
      <c r="O9" s="26">
        <f>IF($A9="","",IFERROR(INDEX(計算用!$I$2:$I$186,MATCH("男"&amp;$A9&amp;"-4",計算用!$AN$2:$AN$186,0)),""))</f>
        <v/>
      </c>
      <c r="Q9" s="26">
        <f>IF(ROW()-3&lt;=計算用!$Q$11,ROW()-3,"")</f>
        <v/>
      </c>
      <c r="R9" s="26">
        <f>IF($Q9="","",INDEX(計算用!$AC$2:$AC$51,$Q9))</f>
        <v/>
      </c>
      <c r="S9" s="26">
        <f>IF($Q9="","","赤"&amp;INDEX(計算用!$AF$2:$AF$51,$Q9)&amp;"白"&amp;INDEX(計算用!$AG$2:$AG$51,$Q9))</f>
        <v/>
      </c>
      <c r="T9">
        <f>IF($Q9="","",IFERROR(INDEX(計算用!$D$2:$D$186,MATCH("女"&amp;$Q9&amp;"-1",計算用!$AN$2:$AN$186,0)),""))</f>
        <v/>
      </c>
      <c r="U9" s="26">
        <f>IF($Q9="","",IFERROR(INDEX(計算用!$M$2:$M$186,MATCH("女"&amp;$Q9&amp;"-1",計算用!$AN$2:$AN$186,0)),""))</f>
        <v/>
      </c>
      <c r="V9" s="26">
        <f>IF($Q9="","",IFERROR(INDEX(計算用!$I$2:$I$186,MATCH("女"&amp;$Q9&amp;"-1",計算用!$AN$2:$AN$186,0)),""))</f>
        <v/>
      </c>
      <c r="W9">
        <f>IF($Q9="","",IFERROR(INDEX(計算用!$D$2:$D$186,MATCH("女"&amp;$Q9&amp;"-2",計算用!$AN$2:$AN$186,0)),""))</f>
        <v/>
      </c>
      <c r="X9" s="26">
        <f>IF($Q9="","",IFERROR(INDEX(計算用!$M$2:$M$186,MATCH("女"&amp;$Q9&amp;"-2",計算用!$AN$2:$AN$186,0)),""))</f>
        <v/>
      </c>
      <c r="Y9" s="26">
        <f>IF($Q9="","",IFERROR(INDEX(計算用!$I$2:$I$186,MATCH("女"&amp;$Q9&amp;"-2",計算用!$AN$2:$AN$186,0)),""))</f>
        <v/>
      </c>
      <c r="Z9">
        <f>IF($Q9="","",IFERROR(INDEX(計算用!$D$2:$D$186,MATCH("女"&amp;$Q9&amp;"-3",計算用!$AN$2:$AN$186,0)),""))</f>
        <v/>
      </c>
      <c r="AA9" s="26">
        <f>IF($Q9="","",IFERROR(INDEX(計算用!$M$2:$M$186,MATCH("女"&amp;$Q9&amp;"-3",計算用!$AN$2:$AN$186,0)),""))</f>
        <v/>
      </c>
      <c r="AB9" s="26">
        <f>IF($Q9="","",IFERROR(INDEX(計算用!$I$2:$I$186,MATCH("女"&amp;$Q9&amp;"-3",計算用!$AN$2:$AN$186,0)),""))</f>
        <v/>
      </c>
      <c r="AC9">
        <f>IF($Q9="","",IFERROR(INDEX(計算用!$D$2:$D$186,MATCH("女"&amp;$Q9&amp;"-4",計算用!$AN$2:$AN$186,0)),""))</f>
        <v/>
      </c>
      <c r="AD9" s="26">
        <f>IF($Q9="","",IFERROR(INDEX(計算用!$M$2:$M$186,MATCH("女"&amp;$Q9&amp;"-4",計算用!$AN$2:$AN$186,0)),""))</f>
        <v/>
      </c>
      <c r="AE9" s="26">
        <f>IF($Q9="","",IFERROR(INDEX(計算用!$I$2:$I$186,MATCH("女"&amp;$Q9&amp;"-4",計算用!$AN$2:$AN$186,0)),""))</f>
        <v/>
      </c>
    </row>
    <row r="10">
      <c r="A10" s="26">
        <f>IF(ROW()-3&lt;=計算用!$Q$9,ROW()-3,"")</f>
        <v/>
      </c>
      <c r="B10" s="26">
        <f>IF($A10="","",INDEX(計算用!$T$2:$T$51,$A10))</f>
        <v/>
      </c>
      <c r="C10" s="26">
        <f>IF($A10="","","赤"&amp;INDEX(計算用!$W$2:$W$51,$A10)&amp;"白"&amp;INDEX(計算用!$X$2:$X$51,$A10))</f>
        <v/>
      </c>
      <c r="D10">
        <f>IF($A10="","",IFERROR(INDEX(計算用!$D$2:$D$186,MATCH("男"&amp;$A10&amp;"-1",計算用!$AN$2:$AN$186,0)),""))</f>
        <v/>
      </c>
      <c r="E10" s="26">
        <f>IF($A10="","",IFERROR(INDEX(計算用!$M$2:$M$186,MATCH("男"&amp;$A10&amp;"-1",計算用!$AN$2:$AN$186,0)),""))</f>
        <v/>
      </c>
      <c r="F10" s="26">
        <f>IF($A10="","",IFERROR(INDEX(計算用!$I$2:$I$186,MATCH("男"&amp;$A10&amp;"-1",計算用!$AN$2:$AN$186,0)),""))</f>
        <v/>
      </c>
      <c r="G10">
        <f>IF($A10="","",IFERROR(INDEX(計算用!$D$2:$D$186,MATCH("男"&amp;$A10&amp;"-2",計算用!$AN$2:$AN$186,0)),""))</f>
        <v/>
      </c>
      <c r="H10" s="26">
        <f>IF($A10="","",IFERROR(INDEX(計算用!$M$2:$M$186,MATCH("男"&amp;$A10&amp;"-2",計算用!$AN$2:$AN$186,0)),""))</f>
        <v/>
      </c>
      <c r="I10" s="26">
        <f>IF($A10="","",IFERROR(INDEX(計算用!$I$2:$I$186,MATCH("男"&amp;$A10&amp;"-2",計算用!$AN$2:$AN$186,0)),""))</f>
        <v/>
      </c>
      <c r="J10">
        <f>IF($A10="","",IFERROR(INDEX(計算用!$D$2:$D$186,MATCH("男"&amp;$A10&amp;"-3",計算用!$AN$2:$AN$186,0)),""))</f>
        <v/>
      </c>
      <c r="K10" s="26">
        <f>IF($A10="","",IFERROR(INDEX(計算用!$M$2:$M$186,MATCH("男"&amp;$A10&amp;"-3",計算用!$AN$2:$AN$186,0)),""))</f>
        <v/>
      </c>
      <c r="L10" s="26">
        <f>IF($A10="","",IFERROR(INDEX(計算用!$I$2:$I$186,MATCH("男"&amp;$A10&amp;"-3",計算用!$AN$2:$AN$186,0)),""))</f>
        <v/>
      </c>
      <c r="M10">
        <f>IF($A10="","",IFERROR(INDEX(計算用!$D$2:$D$186,MATCH("男"&amp;$A10&amp;"-4",計算用!$AN$2:$AN$186,0)),""))</f>
        <v/>
      </c>
      <c r="N10" s="26">
        <f>IF($A10="","",IFERROR(INDEX(計算用!$M$2:$M$186,MATCH("男"&amp;$A10&amp;"-4",計算用!$AN$2:$AN$186,0)),""))</f>
        <v/>
      </c>
      <c r="O10" s="26">
        <f>IF($A10="","",IFERROR(INDEX(計算用!$I$2:$I$186,MATCH("男"&amp;$A10&amp;"-4",計算用!$AN$2:$AN$186,0)),""))</f>
        <v/>
      </c>
      <c r="Q10" s="26">
        <f>IF(ROW()-3&lt;=計算用!$Q$11,ROW()-3,"")</f>
        <v/>
      </c>
      <c r="R10" s="26">
        <f>IF($Q10="","",INDEX(計算用!$AC$2:$AC$51,$Q10))</f>
        <v/>
      </c>
      <c r="S10" s="26">
        <f>IF($Q10="","","赤"&amp;INDEX(計算用!$AF$2:$AF$51,$Q10)&amp;"白"&amp;INDEX(計算用!$AG$2:$AG$51,$Q10))</f>
        <v/>
      </c>
      <c r="T10">
        <f>IF($Q10="","",IFERROR(INDEX(計算用!$D$2:$D$186,MATCH("女"&amp;$Q10&amp;"-1",計算用!$AN$2:$AN$186,0)),""))</f>
        <v/>
      </c>
      <c r="U10" s="26">
        <f>IF($Q10="","",IFERROR(INDEX(計算用!$M$2:$M$186,MATCH("女"&amp;$Q10&amp;"-1",計算用!$AN$2:$AN$186,0)),""))</f>
        <v/>
      </c>
      <c r="V10" s="26">
        <f>IF($Q10="","",IFERROR(INDEX(計算用!$I$2:$I$186,MATCH("女"&amp;$Q10&amp;"-1",計算用!$AN$2:$AN$186,0)),""))</f>
        <v/>
      </c>
      <c r="W10">
        <f>IF($Q10="","",IFERROR(INDEX(計算用!$D$2:$D$186,MATCH("女"&amp;$Q10&amp;"-2",計算用!$AN$2:$AN$186,0)),""))</f>
        <v/>
      </c>
      <c r="X10" s="26">
        <f>IF($Q10="","",IFERROR(INDEX(計算用!$M$2:$M$186,MATCH("女"&amp;$Q10&amp;"-2",計算用!$AN$2:$AN$186,0)),""))</f>
        <v/>
      </c>
      <c r="Y10" s="26">
        <f>IF($Q10="","",IFERROR(INDEX(計算用!$I$2:$I$186,MATCH("女"&amp;$Q10&amp;"-2",計算用!$AN$2:$AN$186,0)),""))</f>
        <v/>
      </c>
      <c r="Z10">
        <f>IF($Q10="","",IFERROR(INDEX(計算用!$D$2:$D$186,MATCH("女"&amp;$Q10&amp;"-3",計算用!$AN$2:$AN$186,0)),""))</f>
        <v/>
      </c>
      <c r="AA10" s="26">
        <f>IF($Q10="","",IFERROR(INDEX(計算用!$M$2:$M$186,MATCH("女"&amp;$Q10&amp;"-3",計算用!$AN$2:$AN$186,0)),""))</f>
        <v/>
      </c>
      <c r="AB10" s="26">
        <f>IF($Q10="","",IFERROR(INDEX(計算用!$I$2:$I$186,MATCH("女"&amp;$Q10&amp;"-3",計算用!$AN$2:$AN$186,0)),""))</f>
        <v/>
      </c>
      <c r="AC10">
        <f>IF($Q10="","",IFERROR(INDEX(計算用!$D$2:$D$186,MATCH("女"&amp;$Q10&amp;"-4",計算用!$AN$2:$AN$186,0)),""))</f>
        <v/>
      </c>
      <c r="AD10" s="26">
        <f>IF($Q10="","",IFERROR(INDEX(計算用!$M$2:$M$186,MATCH("女"&amp;$Q10&amp;"-4",計算用!$AN$2:$AN$186,0)),""))</f>
        <v/>
      </c>
      <c r="AE10" s="26">
        <f>IF($Q10="","",IFERROR(INDEX(計算用!$I$2:$I$186,MATCH("女"&amp;$Q10&amp;"-4",計算用!$AN$2:$AN$186,0)),""))</f>
        <v/>
      </c>
    </row>
    <row r="11">
      <c r="A11" s="26">
        <f>IF(ROW()-3&lt;=計算用!$Q$9,ROW()-3,"")</f>
        <v/>
      </c>
      <c r="B11" s="26">
        <f>IF($A11="","",INDEX(計算用!$T$2:$T$51,$A11))</f>
        <v/>
      </c>
      <c r="C11" s="26">
        <f>IF($A11="","","赤"&amp;INDEX(計算用!$W$2:$W$51,$A11)&amp;"白"&amp;INDEX(計算用!$X$2:$X$51,$A11))</f>
        <v/>
      </c>
      <c r="D11">
        <f>IF($A11="","",IFERROR(INDEX(計算用!$D$2:$D$186,MATCH("男"&amp;$A11&amp;"-1",計算用!$AN$2:$AN$186,0)),""))</f>
        <v/>
      </c>
      <c r="E11" s="26">
        <f>IF($A11="","",IFERROR(INDEX(計算用!$M$2:$M$186,MATCH("男"&amp;$A11&amp;"-1",計算用!$AN$2:$AN$186,0)),""))</f>
        <v/>
      </c>
      <c r="F11" s="26">
        <f>IF($A11="","",IFERROR(INDEX(計算用!$I$2:$I$186,MATCH("男"&amp;$A11&amp;"-1",計算用!$AN$2:$AN$186,0)),""))</f>
        <v/>
      </c>
      <c r="G11">
        <f>IF($A11="","",IFERROR(INDEX(計算用!$D$2:$D$186,MATCH("男"&amp;$A11&amp;"-2",計算用!$AN$2:$AN$186,0)),""))</f>
        <v/>
      </c>
      <c r="H11" s="26">
        <f>IF($A11="","",IFERROR(INDEX(計算用!$M$2:$M$186,MATCH("男"&amp;$A11&amp;"-2",計算用!$AN$2:$AN$186,0)),""))</f>
        <v/>
      </c>
      <c r="I11" s="26">
        <f>IF($A11="","",IFERROR(INDEX(計算用!$I$2:$I$186,MATCH("男"&amp;$A11&amp;"-2",計算用!$AN$2:$AN$186,0)),""))</f>
        <v/>
      </c>
      <c r="J11">
        <f>IF($A11="","",IFERROR(INDEX(計算用!$D$2:$D$186,MATCH("男"&amp;$A11&amp;"-3",計算用!$AN$2:$AN$186,0)),""))</f>
        <v/>
      </c>
      <c r="K11" s="26">
        <f>IF($A11="","",IFERROR(INDEX(計算用!$M$2:$M$186,MATCH("男"&amp;$A11&amp;"-3",計算用!$AN$2:$AN$186,0)),""))</f>
        <v/>
      </c>
      <c r="L11" s="26">
        <f>IF($A11="","",IFERROR(INDEX(計算用!$I$2:$I$186,MATCH("男"&amp;$A11&amp;"-3",計算用!$AN$2:$AN$186,0)),""))</f>
        <v/>
      </c>
      <c r="M11">
        <f>IF($A11="","",IFERROR(INDEX(計算用!$D$2:$D$186,MATCH("男"&amp;$A11&amp;"-4",計算用!$AN$2:$AN$186,0)),""))</f>
        <v/>
      </c>
      <c r="N11" s="26">
        <f>IF($A11="","",IFERROR(INDEX(計算用!$M$2:$M$186,MATCH("男"&amp;$A11&amp;"-4",計算用!$AN$2:$AN$186,0)),""))</f>
        <v/>
      </c>
      <c r="O11" s="26">
        <f>IF($A11="","",IFERROR(INDEX(計算用!$I$2:$I$186,MATCH("男"&amp;$A11&amp;"-4",計算用!$AN$2:$AN$186,0)),""))</f>
        <v/>
      </c>
      <c r="Q11" s="26">
        <f>IF(ROW()-3&lt;=計算用!$Q$11,ROW()-3,"")</f>
        <v/>
      </c>
      <c r="R11" s="26">
        <f>IF($Q11="","",INDEX(計算用!$AC$2:$AC$51,$Q11))</f>
        <v/>
      </c>
      <c r="S11" s="26">
        <f>IF($Q11="","","赤"&amp;INDEX(計算用!$AF$2:$AF$51,$Q11)&amp;"白"&amp;INDEX(計算用!$AG$2:$AG$51,$Q11))</f>
        <v/>
      </c>
      <c r="T11">
        <f>IF($Q11="","",IFERROR(INDEX(計算用!$D$2:$D$186,MATCH("女"&amp;$Q11&amp;"-1",計算用!$AN$2:$AN$186,0)),""))</f>
        <v/>
      </c>
      <c r="U11" s="26">
        <f>IF($Q11="","",IFERROR(INDEX(計算用!$M$2:$M$186,MATCH("女"&amp;$Q11&amp;"-1",計算用!$AN$2:$AN$186,0)),""))</f>
        <v/>
      </c>
      <c r="V11" s="26">
        <f>IF($Q11="","",IFERROR(INDEX(計算用!$I$2:$I$186,MATCH("女"&amp;$Q11&amp;"-1",計算用!$AN$2:$AN$186,0)),""))</f>
        <v/>
      </c>
      <c r="W11">
        <f>IF($Q11="","",IFERROR(INDEX(計算用!$D$2:$D$186,MATCH("女"&amp;$Q11&amp;"-2",計算用!$AN$2:$AN$186,0)),""))</f>
        <v/>
      </c>
      <c r="X11" s="26">
        <f>IF($Q11="","",IFERROR(INDEX(計算用!$M$2:$M$186,MATCH("女"&amp;$Q11&amp;"-2",計算用!$AN$2:$AN$186,0)),""))</f>
        <v/>
      </c>
      <c r="Y11" s="26">
        <f>IF($Q11="","",IFERROR(INDEX(計算用!$I$2:$I$186,MATCH("女"&amp;$Q11&amp;"-2",計算用!$AN$2:$AN$186,0)),""))</f>
        <v/>
      </c>
      <c r="Z11">
        <f>IF($Q11="","",IFERROR(INDEX(計算用!$D$2:$D$186,MATCH("女"&amp;$Q11&amp;"-3",計算用!$AN$2:$AN$186,0)),""))</f>
        <v/>
      </c>
      <c r="AA11" s="26">
        <f>IF($Q11="","",IFERROR(INDEX(計算用!$M$2:$M$186,MATCH("女"&amp;$Q11&amp;"-3",計算用!$AN$2:$AN$186,0)),""))</f>
        <v/>
      </c>
      <c r="AB11" s="26">
        <f>IF($Q11="","",IFERROR(INDEX(計算用!$I$2:$I$186,MATCH("女"&amp;$Q11&amp;"-3",計算用!$AN$2:$AN$186,0)),""))</f>
        <v/>
      </c>
      <c r="AC11">
        <f>IF($Q11="","",IFERROR(INDEX(計算用!$D$2:$D$186,MATCH("女"&amp;$Q11&amp;"-4",計算用!$AN$2:$AN$186,0)),""))</f>
        <v/>
      </c>
      <c r="AD11" s="26">
        <f>IF($Q11="","",IFERROR(INDEX(計算用!$M$2:$M$186,MATCH("女"&amp;$Q11&amp;"-4",計算用!$AN$2:$AN$186,0)),""))</f>
        <v/>
      </c>
      <c r="AE11" s="26">
        <f>IF($Q11="","",IFERROR(INDEX(計算用!$I$2:$I$186,MATCH("女"&amp;$Q11&amp;"-4",計算用!$AN$2:$AN$186,0)),""))</f>
        <v/>
      </c>
    </row>
    <row r="12">
      <c r="A12" s="26">
        <f>IF(ROW()-3&lt;=計算用!$Q$9,ROW()-3,"")</f>
        <v/>
      </c>
      <c r="B12" s="26">
        <f>IF($A12="","",INDEX(計算用!$T$2:$T$51,$A12))</f>
        <v/>
      </c>
      <c r="C12" s="26">
        <f>IF($A12="","","赤"&amp;INDEX(計算用!$W$2:$W$51,$A12)&amp;"白"&amp;INDEX(計算用!$X$2:$X$51,$A12))</f>
        <v/>
      </c>
      <c r="D12">
        <f>IF($A12="","",IFERROR(INDEX(計算用!$D$2:$D$186,MATCH("男"&amp;$A12&amp;"-1",計算用!$AN$2:$AN$186,0)),""))</f>
        <v/>
      </c>
      <c r="E12" s="26">
        <f>IF($A12="","",IFERROR(INDEX(計算用!$M$2:$M$186,MATCH("男"&amp;$A12&amp;"-1",計算用!$AN$2:$AN$186,0)),""))</f>
        <v/>
      </c>
      <c r="F12" s="26">
        <f>IF($A12="","",IFERROR(INDEX(計算用!$I$2:$I$186,MATCH("男"&amp;$A12&amp;"-1",計算用!$AN$2:$AN$186,0)),""))</f>
        <v/>
      </c>
      <c r="G12">
        <f>IF($A12="","",IFERROR(INDEX(計算用!$D$2:$D$186,MATCH("男"&amp;$A12&amp;"-2",計算用!$AN$2:$AN$186,0)),""))</f>
        <v/>
      </c>
      <c r="H12" s="26">
        <f>IF($A12="","",IFERROR(INDEX(計算用!$M$2:$M$186,MATCH("男"&amp;$A12&amp;"-2",計算用!$AN$2:$AN$186,0)),""))</f>
        <v/>
      </c>
      <c r="I12" s="26">
        <f>IF($A12="","",IFERROR(INDEX(計算用!$I$2:$I$186,MATCH("男"&amp;$A12&amp;"-2",計算用!$AN$2:$AN$186,0)),""))</f>
        <v/>
      </c>
      <c r="J12">
        <f>IF($A12="","",IFERROR(INDEX(計算用!$D$2:$D$186,MATCH("男"&amp;$A12&amp;"-3",計算用!$AN$2:$AN$186,0)),""))</f>
        <v/>
      </c>
      <c r="K12" s="26">
        <f>IF($A12="","",IFERROR(INDEX(計算用!$M$2:$M$186,MATCH("男"&amp;$A12&amp;"-3",計算用!$AN$2:$AN$186,0)),""))</f>
        <v/>
      </c>
      <c r="L12" s="26">
        <f>IF($A12="","",IFERROR(INDEX(計算用!$I$2:$I$186,MATCH("男"&amp;$A12&amp;"-3",計算用!$AN$2:$AN$186,0)),""))</f>
        <v/>
      </c>
      <c r="M12">
        <f>IF($A12="","",IFERROR(INDEX(計算用!$D$2:$D$186,MATCH("男"&amp;$A12&amp;"-4",計算用!$AN$2:$AN$186,0)),""))</f>
        <v/>
      </c>
      <c r="N12" s="26">
        <f>IF($A12="","",IFERROR(INDEX(計算用!$M$2:$M$186,MATCH("男"&amp;$A12&amp;"-4",計算用!$AN$2:$AN$186,0)),""))</f>
        <v/>
      </c>
      <c r="O12" s="26">
        <f>IF($A12="","",IFERROR(INDEX(計算用!$I$2:$I$186,MATCH("男"&amp;$A12&amp;"-4",計算用!$AN$2:$AN$186,0)),""))</f>
        <v/>
      </c>
      <c r="Q12" s="26">
        <f>IF(ROW()-3&lt;=計算用!$Q$11,ROW()-3,"")</f>
        <v/>
      </c>
      <c r="R12" s="26">
        <f>IF($Q12="","",INDEX(計算用!$AC$2:$AC$51,$Q12))</f>
        <v/>
      </c>
      <c r="S12" s="26">
        <f>IF($Q12="","","赤"&amp;INDEX(計算用!$AF$2:$AF$51,$Q12)&amp;"白"&amp;INDEX(計算用!$AG$2:$AG$51,$Q12))</f>
        <v/>
      </c>
      <c r="T12">
        <f>IF($Q12="","",IFERROR(INDEX(計算用!$D$2:$D$186,MATCH("女"&amp;$Q12&amp;"-1",計算用!$AN$2:$AN$186,0)),""))</f>
        <v/>
      </c>
      <c r="U12" s="26">
        <f>IF($Q12="","",IFERROR(INDEX(計算用!$M$2:$M$186,MATCH("女"&amp;$Q12&amp;"-1",計算用!$AN$2:$AN$186,0)),""))</f>
        <v/>
      </c>
      <c r="V12" s="26">
        <f>IF($Q12="","",IFERROR(INDEX(計算用!$I$2:$I$186,MATCH("女"&amp;$Q12&amp;"-1",計算用!$AN$2:$AN$186,0)),""))</f>
        <v/>
      </c>
      <c r="W12">
        <f>IF($Q12="","",IFERROR(INDEX(計算用!$D$2:$D$186,MATCH("女"&amp;$Q12&amp;"-2",計算用!$AN$2:$AN$186,0)),""))</f>
        <v/>
      </c>
      <c r="X12" s="26">
        <f>IF($Q12="","",IFERROR(INDEX(計算用!$M$2:$M$186,MATCH("女"&amp;$Q12&amp;"-2",計算用!$AN$2:$AN$186,0)),""))</f>
        <v/>
      </c>
      <c r="Y12" s="26">
        <f>IF($Q12="","",IFERROR(INDEX(計算用!$I$2:$I$186,MATCH("女"&amp;$Q12&amp;"-2",計算用!$AN$2:$AN$186,0)),""))</f>
        <v/>
      </c>
      <c r="Z12">
        <f>IF($Q12="","",IFERROR(INDEX(計算用!$D$2:$D$186,MATCH("女"&amp;$Q12&amp;"-3",計算用!$AN$2:$AN$186,0)),""))</f>
        <v/>
      </c>
      <c r="AA12" s="26">
        <f>IF($Q12="","",IFERROR(INDEX(計算用!$M$2:$M$186,MATCH("女"&amp;$Q12&amp;"-3",計算用!$AN$2:$AN$186,0)),""))</f>
        <v/>
      </c>
      <c r="AB12" s="26">
        <f>IF($Q12="","",IFERROR(INDEX(計算用!$I$2:$I$186,MATCH("女"&amp;$Q12&amp;"-3",計算用!$AN$2:$AN$186,0)),""))</f>
        <v/>
      </c>
      <c r="AC12">
        <f>IF($Q12="","",IFERROR(INDEX(計算用!$D$2:$D$186,MATCH("女"&amp;$Q12&amp;"-4",計算用!$AN$2:$AN$186,0)),""))</f>
        <v/>
      </c>
      <c r="AD12" s="26">
        <f>IF($Q12="","",IFERROR(INDEX(計算用!$M$2:$M$186,MATCH("女"&amp;$Q12&amp;"-4",計算用!$AN$2:$AN$186,0)),""))</f>
        <v/>
      </c>
      <c r="AE12" s="26">
        <f>IF($Q12="","",IFERROR(INDEX(計算用!$I$2:$I$186,MATCH("女"&amp;$Q12&amp;"-4",計算用!$AN$2:$AN$186,0)),""))</f>
        <v/>
      </c>
    </row>
    <row r="13">
      <c r="A13" s="26">
        <f>IF(ROW()-3&lt;=計算用!$Q$9,ROW()-3,"")</f>
        <v/>
      </c>
      <c r="B13" s="26">
        <f>IF($A13="","",INDEX(計算用!$T$2:$T$51,$A13))</f>
        <v/>
      </c>
      <c r="C13" s="26">
        <f>IF($A13="","","赤"&amp;INDEX(計算用!$W$2:$W$51,$A13)&amp;"白"&amp;INDEX(計算用!$X$2:$X$51,$A13))</f>
        <v/>
      </c>
      <c r="D13">
        <f>IF($A13="","",IFERROR(INDEX(計算用!$D$2:$D$186,MATCH("男"&amp;$A13&amp;"-1",計算用!$AN$2:$AN$186,0)),""))</f>
        <v/>
      </c>
      <c r="E13" s="26">
        <f>IF($A13="","",IFERROR(INDEX(計算用!$M$2:$M$186,MATCH("男"&amp;$A13&amp;"-1",計算用!$AN$2:$AN$186,0)),""))</f>
        <v/>
      </c>
      <c r="F13" s="26">
        <f>IF($A13="","",IFERROR(INDEX(計算用!$I$2:$I$186,MATCH("男"&amp;$A13&amp;"-1",計算用!$AN$2:$AN$186,0)),""))</f>
        <v/>
      </c>
      <c r="G13">
        <f>IF($A13="","",IFERROR(INDEX(計算用!$D$2:$D$186,MATCH("男"&amp;$A13&amp;"-2",計算用!$AN$2:$AN$186,0)),""))</f>
        <v/>
      </c>
      <c r="H13" s="26">
        <f>IF($A13="","",IFERROR(INDEX(計算用!$M$2:$M$186,MATCH("男"&amp;$A13&amp;"-2",計算用!$AN$2:$AN$186,0)),""))</f>
        <v/>
      </c>
      <c r="I13" s="26">
        <f>IF($A13="","",IFERROR(INDEX(計算用!$I$2:$I$186,MATCH("男"&amp;$A13&amp;"-2",計算用!$AN$2:$AN$186,0)),""))</f>
        <v/>
      </c>
      <c r="J13">
        <f>IF($A13="","",IFERROR(INDEX(計算用!$D$2:$D$186,MATCH("男"&amp;$A13&amp;"-3",計算用!$AN$2:$AN$186,0)),""))</f>
        <v/>
      </c>
      <c r="K13" s="26">
        <f>IF($A13="","",IFERROR(INDEX(計算用!$M$2:$M$186,MATCH("男"&amp;$A13&amp;"-3",計算用!$AN$2:$AN$186,0)),""))</f>
        <v/>
      </c>
      <c r="L13" s="26">
        <f>IF($A13="","",IFERROR(INDEX(計算用!$I$2:$I$186,MATCH("男"&amp;$A13&amp;"-3",計算用!$AN$2:$AN$186,0)),""))</f>
        <v/>
      </c>
      <c r="M13">
        <f>IF($A13="","",IFERROR(INDEX(計算用!$D$2:$D$186,MATCH("男"&amp;$A13&amp;"-4",計算用!$AN$2:$AN$186,0)),""))</f>
        <v/>
      </c>
      <c r="N13" s="26">
        <f>IF($A13="","",IFERROR(INDEX(計算用!$M$2:$M$186,MATCH("男"&amp;$A13&amp;"-4",計算用!$AN$2:$AN$186,0)),""))</f>
        <v/>
      </c>
      <c r="O13" s="26">
        <f>IF($A13="","",IFERROR(INDEX(計算用!$I$2:$I$186,MATCH("男"&amp;$A13&amp;"-4",計算用!$AN$2:$AN$186,0)),""))</f>
        <v/>
      </c>
      <c r="Q13" s="26">
        <f>IF(ROW()-3&lt;=計算用!$Q$11,ROW()-3,"")</f>
        <v/>
      </c>
      <c r="R13" s="26">
        <f>IF($Q13="","",INDEX(計算用!$AC$2:$AC$51,$Q13))</f>
        <v/>
      </c>
      <c r="S13" s="26">
        <f>IF($Q13="","","赤"&amp;INDEX(計算用!$AF$2:$AF$51,$Q13)&amp;"白"&amp;INDEX(計算用!$AG$2:$AG$51,$Q13))</f>
        <v/>
      </c>
      <c r="T13">
        <f>IF($Q13="","",IFERROR(INDEX(計算用!$D$2:$D$186,MATCH("女"&amp;$Q13&amp;"-1",計算用!$AN$2:$AN$186,0)),""))</f>
        <v/>
      </c>
      <c r="U13" s="26">
        <f>IF($Q13="","",IFERROR(INDEX(計算用!$M$2:$M$186,MATCH("女"&amp;$Q13&amp;"-1",計算用!$AN$2:$AN$186,0)),""))</f>
        <v/>
      </c>
      <c r="V13" s="26">
        <f>IF($Q13="","",IFERROR(INDEX(計算用!$I$2:$I$186,MATCH("女"&amp;$Q13&amp;"-1",計算用!$AN$2:$AN$186,0)),""))</f>
        <v/>
      </c>
      <c r="W13">
        <f>IF($Q13="","",IFERROR(INDEX(計算用!$D$2:$D$186,MATCH("女"&amp;$Q13&amp;"-2",計算用!$AN$2:$AN$186,0)),""))</f>
        <v/>
      </c>
      <c r="X13" s="26">
        <f>IF($Q13="","",IFERROR(INDEX(計算用!$M$2:$M$186,MATCH("女"&amp;$Q13&amp;"-2",計算用!$AN$2:$AN$186,0)),""))</f>
        <v/>
      </c>
      <c r="Y13" s="26">
        <f>IF($Q13="","",IFERROR(INDEX(計算用!$I$2:$I$186,MATCH("女"&amp;$Q13&amp;"-2",計算用!$AN$2:$AN$186,0)),""))</f>
        <v/>
      </c>
      <c r="Z13">
        <f>IF($Q13="","",IFERROR(INDEX(計算用!$D$2:$D$186,MATCH("女"&amp;$Q13&amp;"-3",計算用!$AN$2:$AN$186,0)),""))</f>
        <v/>
      </c>
      <c r="AA13" s="26">
        <f>IF($Q13="","",IFERROR(INDEX(計算用!$M$2:$M$186,MATCH("女"&amp;$Q13&amp;"-3",計算用!$AN$2:$AN$186,0)),""))</f>
        <v/>
      </c>
      <c r="AB13" s="26">
        <f>IF($Q13="","",IFERROR(INDEX(計算用!$I$2:$I$186,MATCH("女"&amp;$Q13&amp;"-3",計算用!$AN$2:$AN$186,0)),""))</f>
        <v/>
      </c>
      <c r="AC13">
        <f>IF($Q13="","",IFERROR(INDEX(計算用!$D$2:$D$186,MATCH("女"&amp;$Q13&amp;"-4",計算用!$AN$2:$AN$186,0)),""))</f>
        <v/>
      </c>
      <c r="AD13" s="26">
        <f>IF($Q13="","",IFERROR(INDEX(計算用!$M$2:$M$186,MATCH("女"&amp;$Q13&amp;"-4",計算用!$AN$2:$AN$186,0)),""))</f>
        <v/>
      </c>
      <c r="AE13" s="26">
        <f>IF($Q13="","",IFERROR(INDEX(計算用!$I$2:$I$186,MATCH("女"&amp;$Q13&amp;"-4",計算用!$AN$2:$AN$186,0)),""))</f>
        <v/>
      </c>
    </row>
    <row r="14">
      <c r="A14" s="26">
        <f>IF(ROW()-3&lt;=計算用!$Q$9,ROW()-3,"")</f>
        <v/>
      </c>
      <c r="B14" s="26">
        <f>IF($A14="","",INDEX(計算用!$T$2:$T$51,$A14))</f>
        <v/>
      </c>
      <c r="C14" s="26">
        <f>IF($A14="","","赤"&amp;INDEX(計算用!$W$2:$W$51,$A14)&amp;"白"&amp;INDEX(計算用!$X$2:$X$51,$A14))</f>
        <v/>
      </c>
      <c r="D14">
        <f>IF($A14="","",IFERROR(INDEX(計算用!$D$2:$D$186,MATCH("男"&amp;$A14&amp;"-1",計算用!$AN$2:$AN$186,0)),""))</f>
        <v/>
      </c>
      <c r="E14" s="26">
        <f>IF($A14="","",IFERROR(INDEX(計算用!$M$2:$M$186,MATCH("男"&amp;$A14&amp;"-1",計算用!$AN$2:$AN$186,0)),""))</f>
        <v/>
      </c>
      <c r="F14" s="26">
        <f>IF($A14="","",IFERROR(INDEX(計算用!$I$2:$I$186,MATCH("男"&amp;$A14&amp;"-1",計算用!$AN$2:$AN$186,0)),""))</f>
        <v/>
      </c>
      <c r="G14">
        <f>IF($A14="","",IFERROR(INDEX(計算用!$D$2:$D$186,MATCH("男"&amp;$A14&amp;"-2",計算用!$AN$2:$AN$186,0)),""))</f>
        <v/>
      </c>
      <c r="H14" s="26">
        <f>IF($A14="","",IFERROR(INDEX(計算用!$M$2:$M$186,MATCH("男"&amp;$A14&amp;"-2",計算用!$AN$2:$AN$186,0)),""))</f>
        <v/>
      </c>
      <c r="I14" s="26">
        <f>IF($A14="","",IFERROR(INDEX(計算用!$I$2:$I$186,MATCH("男"&amp;$A14&amp;"-2",計算用!$AN$2:$AN$186,0)),""))</f>
        <v/>
      </c>
      <c r="J14">
        <f>IF($A14="","",IFERROR(INDEX(計算用!$D$2:$D$186,MATCH("男"&amp;$A14&amp;"-3",計算用!$AN$2:$AN$186,0)),""))</f>
        <v/>
      </c>
      <c r="K14" s="26">
        <f>IF($A14="","",IFERROR(INDEX(計算用!$M$2:$M$186,MATCH("男"&amp;$A14&amp;"-3",計算用!$AN$2:$AN$186,0)),""))</f>
        <v/>
      </c>
      <c r="L14" s="26">
        <f>IF($A14="","",IFERROR(INDEX(計算用!$I$2:$I$186,MATCH("男"&amp;$A14&amp;"-3",計算用!$AN$2:$AN$186,0)),""))</f>
        <v/>
      </c>
      <c r="M14">
        <f>IF($A14="","",IFERROR(INDEX(計算用!$D$2:$D$186,MATCH("男"&amp;$A14&amp;"-4",計算用!$AN$2:$AN$186,0)),""))</f>
        <v/>
      </c>
      <c r="N14" s="26">
        <f>IF($A14="","",IFERROR(INDEX(計算用!$M$2:$M$186,MATCH("男"&amp;$A14&amp;"-4",計算用!$AN$2:$AN$186,0)),""))</f>
        <v/>
      </c>
      <c r="O14" s="26">
        <f>IF($A14="","",IFERROR(INDEX(計算用!$I$2:$I$186,MATCH("男"&amp;$A14&amp;"-4",計算用!$AN$2:$AN$186,0)),""))</f>
        <v/>
      </c>
      <c r="Q14" s="26">
        <f>IF(ROW()-3&lt;=計算用!$Q$11,ROW()-3,"")</f>
        <v/>
      </c>
      <c r="R14" s="26">
        <f>IF($Q14="","",INDEX(計算用!$AC$2:$AC$51,$Q14))</f>
        <v/>
      </c>
      <c r="S14" s="26">
        <f>IF($Q14="","","赤"&amp;INDEX(計算用!$AF$2:$AF$51,$Q14)&amp;"白"&amp;INDEX(計算用!$AG$2:$AG$51,$Q14))</f>
        <v/>
      </c>
      <c r="T14">
        <f>IF($Q14="","",IFERROR(INDEX(計算用!$D$2:$D$186,MATCH("女"&amp;$Q14&amp;"-1",計算用!$AN$2:$AN$186,0)),""))</f>
        <v/>
      </c>
      <c r="U14" s="26">
        <f>IF($Q14="","",IFERROR(INDEX(計算用!$M$2:$M$186,MATCH("女"&amp;$Q14&amp;"-1",計算用!$AN$2:$AN$186,0)),""))</f>
        <v/>
      </c>
      <c r="V14" s="26">
        <f>IF($Q14="","",IFERROR(INDEX(計算用!$I$2:$I$186,MATCH("女"&amp;$Q14&amp;"-1",計算用!$AN$2:$AN$186,0)),""))</f>
        <v/>
      </c>
      <c r="W14">
        <f>IF($Q14="","",IFERROR(INDEX(計算用!$D$2:$D$186,MATCH("女"&amp;$Q14&amp;"-2",計算用!$AN$2:$AN$186,0)),""))</f>
        <v/>
      </c>
      <c r="X14" s="26">
        <f>IF($Q14="","",IFERROR(INDEX(計算用!$M$2:$M$186,MATCH("女"&amp;$Q14&amp;"-2",計算用!$AN$2:$AN$186,0)),""))</f>
        <v/>
      </c>
      <c r="Y14" s="26">
        <f>IF($Q14="","",IFERROR(INDEX(計算用!$I$2:$I$186,MATCH("女"&amp;$Q14&amp;"-2",計算用!$AN$2:$AN$186,0)),""))</f>
        <v/>
      </c>
      <c r="Z14">
        <f>IF($Q14="","",IFERROR(INDEX(計算用!$D$2:$D$186,MATCH("女"&amp;$Q14&amp;"-3",計算用!$AN$2:$AN$186,0)),""))</f>
        <v/>
      </c>
      <c r="AA14" s="26">
        <f>IF($Q14="","",IFERROR(INDEX(計算用!$M$2:$M$186,MATCH("女"&amp;$Q14&amp;"-3",計算用!$AN$2:$AN$186,0)),""))</f>
        <v/>
      </c>
      <c r="AB14" s="26">
        <f>IF($Q14="","",IFERROR(INDEX(計算用!$I$2:$I$186,MATCH("女"&amp;$Q14&amp;"-3",計算用!$AN$2:$AN$186,0)),""))</f>
        <v/>
      </c>
      <c r="AC14">
        <f>IF($Q14="","",IFERROR(INDEX(計算用!$D$2:$D$186,MATCH("女"&amp;$Q14&amp;"-4",計算用!$AN$2:$AN$186,0)),""))</f>
        <v/>
      </c>
      <c r="AD14" s="26">
        <f>IF($Q14="","",IFERROR(INDEX(計算用!$M$2:$M$186,MATCH("女"&amp;$Q14&amp;"-4",計算用!$AN$2:$AN$186,0)),""))</f>
        <v/>
      </c>
      <c r="AE14" s="26">
        <f>IF($Q14="","",IFERROR(INDEX(計算用!$I$2:$I$186,MATCH("女"&amp;$Q14&amp;"-4",計算用!$AN$2:$AN$186,0)),""))</f>
        <v/>
      </c>
    </row>
    <row r="15">
      <c r="A15" s="26">
        <f>IF(ROW()-3&lt;=計算用!$Q$9,ROW()-3,"")</f>
        <v/>
      </c>
      <c r="B15" s="26">
        <f>IF($A15="","",INDEX(計算用!$T$2:$T$51,$A15))</f>
        <v/>
      </c>
      <c r="C15" s="26">
        <f>IF($A15="","","赤"&amp;INDEX(計算用!$W$2:$W$51,$A15)&amp;"白"&amp;INDEX(計算用!$X$2:$X$51,$A15))</f>
        <v/>
      </c>
      <c r="D15">
        <f>IF($A15="","",IFERROR(INDEX(計算用!$D$2:$D$186,MATCH("男"&amp;$A15&amp;"-1",計算用!$AN$2:$AN$186,0)),""))</f>
        <v/>
      </c>
      <c r="E15" s="26">
        <f>IF($A15="","",IFERROR(INDEX(計算用!$M$2:$M$186,MATCH("男"&amp;$A15&amp;"-1",計算用!$AN$2:$AN$186,0)),""))</f>
        <v/>
      </c>
      <c r="F15" s="26">
        <f>IF($A15="","",IFERROR(INDEX(計算用!$I$2:$I$186,MATCH("男"&amp;$A15&amp;"-1",計算用!$AN$2:$AN$186,0)),""))</f>
        <v/>
      </c>
      <c r="G15">
        <f>IF($A15="","",IFERROR(INDEX(計算用!$D$2:$D$186,MATCH("男"&amp;$A15&amp;"-2",計算用!$AN$2:$AN$186,0)),""))</f>
        <v/>
      </c>
      <c r="H15" s="26">
        <f>IF($A15="","",IFERROR(INDEX(計算用!$M$2:$M$186,MATCH("男"&amp;$A15&amp;"-2",計算用!$AN$2:$AN$186,0)),""))</f>
        <v/>
      </c>
      <c r="I15" s="26">
        <f>IF($A15="","",IFERROR(INDEX(計算用!$I$2:$I$186,MATCH("男"&amp;$A15&amp;"-2",計算用!$AN$2:$AN$186,0)),""))</f>
        <v/>
      </c>
      <c r="J15">
        <f>IF($A15="","",IFERROR(INDEX(計算用!$D$2:$D$186,MATCH("男"&amp;$A15&amp;"-3",計算用!$AN$2:$AN$186,0)),""))</f>
        <v/>
      </c>
      <c r="K15" s="26">
        <f>IF($A15="","",IFERROR(INDEX(計算用!$M$2:$M$186,MATCH("男"&amp;$A15&amp;"-3",計算用!$AN$2:$AN$186,0)),""))</f>
        <v/>
      </c>
      <c r="L15" s="26">
        <f>IF($A15="","",IFERROR(INDEX(計算用!$I$2:$I$186,MATCH("男"&amp;$A15&amp;"-3",計算用!$AN$2:$AN$186,0)),""))</f>
        <v/>
      </c>
      <c r="M15">
        <f>IF($A15="","",IFERROR(INDEX(計算用!$D$2:$D$186,MATCH("男"&amp;$A15&amp;"-4",計算用!$AN$2:$AN$186,0)),""))</f>
        <v/>
      </c>
      <c r="N15" s="26">
        <f>IF($A15="","",IFERROR(INDEX(計算用!$M$2:$M$186,MATCH("男"&amp;$A15&amp;"-4",計算用!$AN$2:$AN$186,0)),""))</f>
        <v/>
      </c>
      <c r="O15" s="26">
        <f>IF($A15="","",IFERROR(INDEX(計算用!$I$2:$I$186,MATCH("男"&amp;$A15&amp;"-4",計算用!$AN$2:$AN$186,0)),""))</f>
        <v/>
      </c>
      <c r="Q15" s="26">
        <f>IF(ROW()-3&lt;=計算用!$Q$11,ROW()-3,"")</f>
        <v/>
      </c>
      <c r="R15" s="26">
        <f>IF($Q15="","",INDEX(計算用!$AC$2:$AC$51,$Q15))</f>
        <v/>
      </c>
      <c r="S15" s="26">
        <f>IF($Q15="","","赤"&amp;INDEX(計算用!$AF$2:$AF$51,$Q15)&amp;"白"&amp;INDEX(計算用!$AG$2:$AG$51,$Q15))</f>
        <v/>
      </c>
      <c r="T15">
        <f>IF($Q15="","",IFERROR(INDEX(計算用!$D$2:$D$186,MATCH("女"&amp;$Q15&amp;"-1",計算用!$AN$2:$AN$186,0)),""))</f>
        <v/>
      </c>
      <c r="U15" s="26">
        <f>IF($Q15="","",IFERROR(INDEX(計算用!$M$2:$M$186,MATCH("女"&amp;$Q15&amp;"-1",計算用!$AN$2:$AN$186,0)),""))</f>
        <v/>
      </c>
      <c r="V15" s="26">
        <f>IF($Q15="","",IFERROR(INDEX(計算用!$I$2:$I$186,MATCH("女"&amp;$Q15&amp;"-1",計算用!$AN$2:$AN$186,0)),""))</f>
        <v/>
      </c>
      <c r="W15">
        <f>IF($Q15="","",IFERROR(INDEX(計算用!$D$2:$D$186,MATCH("女"&amp;$Q15&amp;"-2",計算用!$AN$2:$AN$186,0)),""))</f>
        <v/>
      </c>
      <c r="X15" s="26">
        <f>IF($Q15="","",IFERROR(INDEX(計算用!$M$2:$M$186,MATCH("女"&amp;$Q15&amp;"-2",計算用!$AN$2:$AN$186,0)),""))</f>
        <v/>
      </c>
      <c r="Y15" s="26">
        <f>IF($Q15="","",IFERROR(INDEX(計算用!$I$2:$I$186,MATCH("女"&amp;$Q15&amp;"-2",計算用!$AN$2:$AN$186,0)),""))</f>
        <v/>
      </c>
      <c r="Z15">
        <f>IF($Q15="","",IFERROR(INDEX(計算用!$D$2:$D$186,MATCH("女"&amp;$Q15&amp;"-3",計算用!$AN$2:$AN$186,0)),""))</f>
        <v/>
      </c>
      <c r="AA15" s="26">
        <f>IF($Q15="","",IFERROR(INDEX(計算用!$M$2:$M$186,MATCH("女"&amp;$Q15&amp;"-3",計算用!$AN$2:$AN$186,0)),""))</f>
        <v/>
      </c>
      <c r="AB15" s="26">
        <f>IF($Q15="","",IFERROR(INDEX(計算用!$I$2:$I$186,MATCH("女"&amp;$Q15&amp;"-3",計算用!$AN$2:$AN$186,0)),""))</f>
        <v/>
      </c>
      <c r="AC15">
        <f>IF($Q15="","",IFERROR(INDEX(計算用!$D$2:$D$186,MATCH("女"&amp;$Q15&amp;"-4",計算用!$AN$2:$AN$186,0)),""))</f>
        <v/>
      </c>
      <c r="AD15" s="26">
        <f>IF($Q15="","",IFERROR(INDEX(計算用!$M$2:$M$186,MATCH("女"&amp;$Q15&amp;"-4",計算用!$AN$2:$AN$186,0)),""))</f>
        <v/>
      </c>
      <c r="AE15" s="26">
        <f>IF($Q15="","",IFERROR(INDEX(計算用!$I$2:$I$186,MATCH("女"&amp;$Q15&amp;"-4",計算用!$AN$2:$AN$186,0)),""))</f>
        <v/>
      </c>
    </row>
    <row r="16">
      <c r="A16" s="26">
        <f>IF(ROW()-3&lt;=計算用!$Q$9,ROW()-3,"")</f>
        <v/>
      </c>
      <c r="B16" s="26">
        <f>IF($A16="","",INDEX(計算用!$T$2:$T$51,$A16))</f>
        <v/>
      </c>
      <c r="C16" s="26">
        <f>IF($A16="","","赤"&amp;INDEX(計算用!$W$2:$W$51,$A16)&amp;"白"&amp;INDEX(計算用!$X$2:$X$51,$A16))</f>
        <v/>
      </c>
      <c r="D16">
        <f>IF($A16="","",IFERROR(INDEX(計算用!$D$2:$D$186,MATCH("男"&amp;$A16&amp;"-1",計算用!$AN$2:$AN$186,0)),""))</f>
        <v/>
      </c>
      <c r="E16" s="26">
        <f>IF($A16="","",IFERROR(INDEX(計算用!$M$2:$M$186,MATCH("男"&amp;$A16&amp;"-1",計算用!$AN$2:$AN$186,0)),""))</f>
        <v/>
      </c>
      <c r="F16" s="26">
        <f>IF($A16="","",IFERROR(INDEX(計算用!$I$2:$I$186,MATCH("男"&amp;$A16&amp;"-1",計算用!$AN$2:$AN$186,0)),""))</f>
        <v/>
      </c>
      <c r="G16">
        <f>IF($A16="","",IFERROR(INDEX(計算用!$D$2:$D$186,MATCH("男"&amp;$A16&amp;"-2",計算用!$AN$2:$AN$186,0)),""))</f>
        <v/>
      </c>
      <c r="H16" s="26">
        <f>IF($A16="","",IFERROR(INDEX(計算用!$M$2:$M$186,MATCH("男"&amp;$A16&amp;"-2",計算用!$AN$2:$AN$186,0)),""))</f>
        <v/>
      </c>
      <c r="I16" s="26">
        <f>IF($A16="","",IFERROR(INDEX(計算用!$I$2:$I$186,MATCH("男"&amp;$A16&amp;"-2",計算用!$AN$2:$AN$186,0)),""))</f>
        <v/>
      </c>
      <c r="J16">
        <f>IF($A16="","",IFERROR(INDEX(計算用!$D$2:$D$186,MATCH("男"&amp;$A16&amp;"-3",計算用!$AN$2:$AN$186,0)),""))</f>
        <v/>
      </c>
      <c r="K16" s="26">
        <f>IF($A16="","",IFERROR(INDEX(計算用!$M$2:$M$186,MATCH("男"&amp;$A16&amp;"-3",計算用!$AN$2:$AN$186,0)),""))</f>
        <v/>
      </c>
      <c r="L16" s="26">
        <f>IF($A16="","",IFERROR(INDEX(計算用!$I$2:$I$186,MATCH("男"&amp;$A16&amp;"-3",計算用!$AN$2:$AN$186,0)),""))</f>
        <v/>
      </c>
      <c r="M16">
        <f>IF($A16="","",IFERROR(INDEX(計算用!$D$2:$D$186,MATCH("男"&amp;$A16&amp;"-4",計算用!$AN$2:$AN$186,0)),""))</f>
        <v/>
      </c>
      <c r="N16" s="26">
        <f>IF($A16="","",IFERROR(INDEX(計算用!$M$2:$M$186,MATCH("男"&amp;$A16&amp;"-4",計算用!$AN$2:$AN$186,0)),""))</f>
        <v/>
      </c>
      <c r="O16" s="26">
        <f>IF($A16="","",IFERROR(INDEX(計算用!$I$2:$I$186,MATCH("男"&amp;$A16&amp;"-4",計算用!$AN$2:$AN$186,0)),""))</f>
        <v/>
      </c>
      <c r="Q16" s="26">
        <f>IF(ROW()-3&lt;=計算用!$Q$11,ROW()-3,"")</f>
        <v/>
      </c>
      <c r="R16" s="26">
        <f>IF($Q16="","",INDEX(計算用!$AC$2:$AC$51,$Q16))</f>
        <v/>
      </c>
      <c r="S16" s="26">
        <f>IF($Q16="","","赤"&amp;INDEX(計算用!$AF$2:$AF$51,$Q16)&amp;"白"&amp;INDEX(計算用!$AG$2:$AG$51,$Q16))</f>
        <v/>
      </c>
      <c r="T16">
        <f>IF($Q16="","",IFERROR(INDEX(計算用!$D$2:$D$186,MATCH("女"&amp;$Q16&amp;"-1",計算用!$AN$2:$AN$186,0)),""))</f>
        <v/>
      </c>
      <c r="U16" s="26">
        <f>IF($Q16="","",IFERROR(INDEX(計算用!$M$2:$M$186,MATCH("女"&amp;$Q16&amp;"-1",計算用!$AN$2:$AN$186,0)),""))</f>
        <v/>
      </c>
      <c r="V16" s="26">
        <f>IF($Q16="","",IFERROR(INDEX(計算用!$I$2:$I$186,MATCH("女"&amp;$Q16&amp;"-1",計算用!$AN$2:$AN$186,0)),""))</f>
        <v/>
      </c>
      <c r="W16">
        <f>IF($Q16="","",IFERROR(INDEX(計算用!$D$2:$D$186,MATCH("女"&amp;$Q16&amp;"-2",計算用!$AN$2:$AN$186,0)),""))</f>
        <v/>
      </c>
      <c r="X16" s="26">
        <f>IF($Q16="","",IFERROR(INDEX(計算用!$M$2:$M$186,MATCH("女"&amp;$Q16&amp;"-2",計算用!$AN$2:$AN$186,0)),""))</f>
        <v/>
      </c>
      <c r="Y16" s="26">
        <f>IF($Q16="","",IFERROR(INDEX(計算用!$I$2:$I$186,MATCH("女"&amp;$Q16&amp;"-2",計算用!$AN$2:$AN$186,0)),""))</f>
        <v/>
      </c>
      <c r="Z16">
        <f>IF($Q16="","",IFERROR(INDEX(計算用!$D$2:$D$186,MATCH("女"&amp;$Q16&amp;"-3",計算用!$AN$2:$AN$186,0)),""))</f>
        <v/>
      </c>
      <c r="AA16" s="26">
        <f>IF($Q16="","",IFERROR(INDEX(計算用!$M$2:$M$186,MATCH("女"&amp;$Q16&amp;"-3",計算用!$AN$2:$AN$186,0)),""))</f>
        <v/>
      </c>
      <c r="AB16" s="26">
        <f>IF($Q16="","",IFERROR(INDEX(計算用!$I$2:$I$186,MATCH("女"&amp;$Q16&amp;"-3",計算用!$AN$2:$AN$186,0)),""))</f>
        <v/>
      </c>
      <c r="AC16">
        <f>IF($Q16="","",IFERROR(INDEX(計算用!$D$2:$D$186,MATCH("女"&amp;$Q16&amp;"-4",計算用!$AN$2:$AN$186,0)),""))</f>
        <v/>
      </c>
      <c r="AD16" s="26">
        <f>IF($Q16="","",IFERROR(INDEX(計算用!$M$2:$M$186,MATCH("女"&amp;$Q16&amp;"-4",計算用!$AN$2:$AN$186,0)),""))</f>
        <v/>
      </c>
      <c r="AE16" s="26">
        <f>IF($Q16="","",IFERROR(INDEX(計算用!$I$2:$I$186,MATCH("女"&amp;$Q16&amp;"-4",計算用!$AN$2:$AN$186,0)),""))</f>
        <v/>
      </c>
    </row>
    <row r="17">
      <c r="A17" s="26">
        <f>IF(ROW()-3&lt;=計算用!$Q$9,ROW()-3,"")</f>
        <v/>
      </c>
      <c r="B17" s="26">
        <f>IF($A17="","",INDEX(計算用!$T$2:$T$51,$A17))</f>
        <v/>
      </c>
      <c r="C17" s="26">
        <f>IF($A17="","","赤"&amp;INDEX(計算用!$W$2:$W$51,$A17)&amp;"白"&amp;INDEX(計算用!$X$2:$X$51,$A17))</f>
        <v/>
      </c>
      <c r="D17">
        <f>IF($A17="","",IFERROR(INDEX(計算用!$D$2:$D$186,MATCH("男"&amp;$A17&amp;"-1",計算用!$AN$2:$AN$186,0)),""))</f>
        <v/>
      </c>
      <c r="E17" s="26">
        <f>IF($A17="","",IFERROR(INDEX(計算用!$M$2:$M$186,MATCH("男"&amp;$A17&amp;"-1",計算用!$AN$2:$AN$186,0)),""))</f>
        <v/>
      </c>
      <c r="F17" s="26">
        <f>IF($A17="","",IFERROR(INDEX(計算用!$I$2:$I$186,MATCH("男"&amp;$A17&amp;"-1",計算用!$AN$2:$AN$186,0)),""))</f>
        <v/>
      </c>
      <c r="G17">
        <f>IF($A17="","",IFERROR(INDEX(計算用!$D$2:$D$186,MATCH("男"&amp;$A17&amp;"-2",計算用!$AN$2:$AN$186,0)),""))</f>
        <v/>
      </c>
      <c r="H17" s="26">
        <f>IF($A17="","",IFERROR(INDEX(計算用!$M$2:$M$186,MATCH("男"&amp;$A17&amp;"-2",計算用!$AN$2:$AN$186,0)),""))</f>
        <v/>
      </c>
      <c r="I17" s="26">
        <f>IF($A17="","",IFERROR(INDEX(計算用!$I$2:$I$186,MATCH("男"&amp;$A17&amp;"-2",計算用!$AN$2:$AN$186,0)),""))</f>
        <v/>
      </c>
      <c r="J17">
        <f>IF($A17="","",IFERROR(INDEX(計算用!$D$2:$D$186,MATCH("男"&amp;$A17&amp;"-3",計算用!$AN$2:$AN$186,0)),""))</f>
        <v/>
      </c>
      <c r="K17" s="26">
        <f>IF($A17="","",IFERROR(INDEX(計算用!$M$2:$M$186,MATCH("男"&amp;$A17&amp;"-3",計算用!$AN$2:$AN$186,0)),""))</f>
        <v/>
      </c>
      <c r="L17" s="26">
        <f>IF($A17="","",IFERROR(INDEX(計算用!$I$2:$I$186,MATCH("男"&amp;$A17&amp;"-3",計算用!$AN$2:$AN$186,0)),""))</f>
        <v/>
      </c>
      <c r="M17">
        <f>IF($A17="","",IFERROR(INDEX(計算用!$D$2:$D$186,MATCH("男"&amp;$A17&amp;"-4",計算用!$AN$2:$AN$186,0)),""))</f>
        <v/>
      </c>
      <c r="N17" s="26">
        <f>IF($A17="","",IFERROR(INDEX(計算用!$M$2:$M$186,MATCH("男"&amp;$A17&amp;"-4",計算用!$AN$2:$AN$186,0)),""))</f>
        <v/>
      </c>
      <c r="O17" s="26">
        <f>IF($A17="","",IFERROR(INDEX(計算用!$I$2:$I$186,MATCH("男"&amp;$A17&amp;"-4",計算用!$AN$2:$AN$186,0)),""))</f>
        <v/>
      </c>
      <c r="Q17" s="26">
        <f>IF(ROW()-3&lt;=計算用!$Q$11,ROW()-3,"")</f>
        <v/>
      </c>
      <c r="R17" s="26">
        <f>IF($Q17="","",INDEX(計算用!$AC$2:$AC$51,$Q17))</f>
        <v/>
      </c>
      <c r="S17" s="26">
        <f>IF($Q17="","","赤"&amp;INDEX(計算用!$AF$2:$AF$51,$Q17)&amp;"白"&amp;INDEX(計算用!$AG$2:$AG$51,$Q17))</f>
        <v/>
      </c>
      <c r="T17">
        <f>IF($Q17="","",IFERROR(INDEX(計算用!$D$2:$D$186,MATCH("女"&amp;$Q17&amp;"-1",計算用!$AN$2:$AN$186,0)),""))</f>
        <v/>
      </c>
      <c r="U17" s="26">
        <f>IF($Q17="","",IFERROR(INDEX(計算用!$M$2:$M$186,MATCH("女"&amp;$Q17&amp;"-1",計算用!$AN$2:$AN$186,0)),""))</f>
        <v/>
      </c>
      <c r="V17" s="26">
        <f>IF($Q17="","",IFERROR(INDEX(計算用!$I$2:$I$186,MATCH("女"&amp;$Q17&amp;"-1",計算用!$AN$2:$AN$186,0)),""))</f>
        <v/>
      </c>
      <c r="W17">
        <f>IF($Q17="","",IFERROR(INDEX(計算用!$D$2:$D$186,MATCH("女"&amp;$Q17&amp;"-2",計算用!$AN$2:$AN$186,0)),""))</f>
        <v/>
      </c>
      <c r="X17" s="26">
        <f>IF($Q17="","",IFERROR(INDEX(計算用!$M$2:$M$186,MATCH("女"&amp;$Q17&amp;"-2",計算用!$AN$2:$AN$186,0)),""))</f>
        <v/>
      </c>
      <c r="Y17" s="26">
        <f>IF($Q17="","",IFERROR(INDEX(計算用!$I$2:$I$186,MATCH("女"&amp;$Q17&amp;"-2",計算用!$AN$2:$AN$186,0)),""))</f>
        <v/>
      </c>
      <c r="Z17">
        <f>IF($Q17="","",IFERROR(INDEX(計算用!$D$2:$D$186,MATCH("女"&amp;$Q17&amp;"-3",計算用!$AN$2:$AN$186,0)),""))</f>
        <v/>
      </c>
      <c r="AA17" s="26">
        <f>IF($Q17="","",IFERROR(INDEX(計算用!$M$2:$M$186,MATCH("女"&amp;$Q17&amp;"-3",計算用!$AN$2:$AN$186,0)),""))</f>
        <v/>
      </c>
      <c r="AB17" s="26">
        <f>IF($Q17="","",IFERROR(INDEX(計算用!$I$2:$I$186,MATCH("女"&amp;$Q17&amp;"-3",計算用!$AN$2:$AN$186,0)),""))</f>
        <v/>
      </c>
      <c r="AC17">
        <f>IF($Q17="","",IFERROR(INDEX(計算用!$D$2:$D$186,MATCH("女"&amp;$Q17&amp;"-4",計算用!$AN$2:$AN$186,0)),""))</f>
        <v/>
      </c>
      <c r="AD17" s="26">
        <f>IF($Q17="","",IFERROR(INDEX(計算用!$M$2:$M$186,MATCH("女"&amp;$Q17&amp;"-4",計算用!$AN$2:$AN$186,0)),""))</f>
        <v/>
      </c>
      <c r="AE17" s="26">
        <f>IF($Q17="","",IFERROR(INDEX(計算用!$I$2:$I$186,MATCH("女"&amp;$Q17&amp;"-4",計算用!$AN$2:$AN$186,0)),""))</f>
        <v/>
      </c>
    </row>
    <row r="18">
      <c r="A18" s="26">
        <f>IF(ROW()-3&lt;=計算用!$Q$9,ROW()-3,"")</f>
        <v/>
      </c>
      <c r="B18" s="26">
        <f>IF($A18="","",INDEX(計算用!$T$2:$T$51,$A18))</f>
        <v/>
      </c>
      <c r="C18" s="26">
        <f>IF($A18="","","赤"&amp;INDEX(計算用!$W$2:$W$51,$A18)&amp;"白"&amp;INDEX(計算用!$X$2:$X$51,$A18))</f>
        <v/>
      </c>
      <c r="D18">
        <f>IF($A18="","",IFERROR(INDEX(計算用!$D$2:$D$186,MATCH("男"&amp;$A18&amp;"-1",計算用!$AN$2:$AN$186,0)),""))</f>
        <v/>
      </c>
      <c r="E18" s="26">
        <f>IF($A18="","",IFERROR(INDEX(計算用!$M$2:$M$186,MATCH("男"&amp;$A18&amp;"-1",計算用!$AN$2:$AN$186,0)),""))</f>
        <v/>
      </c>
      <c r="F18" s="26">
        <f>IF($A18="","",IFERROR(INDEX(計算用!$I$2:$I$186,MATCH("男"&amp;$A18&amp;"-1",計算用!$AN$2:$AN$186,0)),""))</f>
        <v/>
      </c>
      <c r="G18">
        <f>IF($A18="","",IFERROR(INDEX(計算用!$D$2:$D$186,MATCH("男"&amp;$A18&amp;"-2",計算用!$AN$2:$AN$186,0)),""))</f>
        <v/>
      </c>
      <c r="H18" s="26">
        <f>IF($A18="","",IFERROR(INDEX(計算用!$M$2:$M$186,MATCH("男"&amp;$A18&amp;"-2",計算用!$AN$2:$AN$186,0)),""))</f>
        <v/>
      </c>
      <c r="I18" s="26">
        <f>IF($A18="","",IFERROR(INDEX(計算用!$I$2:$I$186,MATCH("男"&amp;$A18&amp;"-2",計算用!$AN$2:$AN$186,0)),""))</f>
        <v/>
      </c>
      <c r="J18">
        <f>IF($A18="","",IFERROR(INDEX(計算用!$D$2:$D$186,MATCH("男"&amp;$A18&amp;"-3",計算用!$AN$2:$AN$186,0)),""))</f>
        <v/>
      </c>
      <c r="K18" s="26">
        <f>IF($A18="","",IFERROR(INDEX(計算用!$M$2:$M$186,MATCH("男"&amp;$A18&amp;"-3",計算用!$AN$2:$AN$186,0)),""))</f>
        <v/>
      </c>
      <c r="L18" s="26">
        <f>IF($A18="","",IFERROR(INDEX(計算用!$I$2:$I$186,MATCH("男"&amp;$A18&amp;"-3",計算用!$AN$2:$AN$186,0)),""))</f>
        <v/>
      </c>
      <c r="M18">
        <f>IF($A18="","",IFERROR(INDEX(計算用!$D$2:$D$186,MATCH("男"&amp;$A18&amp;"-4",計算用!$AN$2:$AN$186,0)),""))</f>
        <v/>
      </c>
      <c r="N18" s="26">
        <f>IF($A18="","",IFERROR(INDEX(計算用!$M$2:$M$186,MATCH("男"&amp;$A18&amp;"-4",計算用!$AN$2:$AN$186,0)),""))</f>
        <v/>
      </c>
      <c r="O18" s="26">
        <f>IF($A18="","",IFERROR(INDEX(計算用!$I$2:$I$186,MATCH("男"&amp;$A18&amp;"-4",計算用!$AN$2:$AN$186,0)),""))</f>
        <v/>
      </c>
      <c r="Q18" s="26">
        <f>IF(ROW()-3&lt;=計算用!$Q$11,ROW()-3,"")</f>
        <v/>
      </c>
      <c r="R18" s="26">
        <f>IF($Q18="","",INDEX(計算用!$AC$2:$AC$51,$Q18))</f>
        <v/>
      </c>
      <c r="S18" s="26">
        <f>IF($Q18="","","赤"&amp;INDEX(計算用!$AF$2:$AF$51,$Q18)&amp;"白"&amp;INDEX(計算用!$AG$2:$AG$51,$Q18))</f>
        <v/>
      </c>
      <c r="T18">
        <f>IF($Q18="","",IFERROR(INDEX(計算用!$D$2:$D$186,MATCH("女"&amp;$Q18&amp;"-1",計算用!$AN$2:$AN$186,0)),""))</f>
        <v/>
      </c>
      <c r="U18" s="26">
        <f>IF($Q18="","",IFERROR(INDEX(計算用!$M$2:$M$186,MATCH("女"&amp;$Q18&amp;"-1",計算用!$AN$2:$AN$186,0)),""))</f>
        <v/>
      </c>
      <c r="V18" s="26">
        <f>IF($Q18="","",IFERROR(INDEX(計算用!$I$2:$I$186,MATCH("女"&amp;$Q18&amp;"-1",計算用!$AN$2:$AN$186,0)),""))</f>
        <v/>
      </c>
      <c r="W18">
        <f>IF($Q18="","",IFERROR(INDEX(計算用!$D$2:$D$186,MATCH("女"&amp;$Q18&amp;"-2",計算用!$AN$2:$AN$186,0)),""))</f>
        <v/>
      </c>
      <c r="X18" s="26">
        <f>IF($Q18="","",IFERROR(INDEX(計算用!$M$2:$M$186,MATCH("女"&amp;$Q18&amp;"-2",計算用!$AN$2:$AN$186,0)),""))</f>
        <v/>
      </c>
      <c r="Y18" s="26">
        <f>IF($Q18="","",IFERROR(INDEX(計算用!$I$2:$I$186,MATCH("女"&amp;$Q18&amp;"-2",計算用!$AN$2:$AN$186,0)),""))</f>
        <v/>
      </c>
      <c r="Z18">
        <f>IF($Q18="","",IFERROR(INDEX(計算用!$D$2:$D$186,MATCH("女"&amp;$Q18&amp;"-3",計算用!$AN$2:$AN$186,0)),""))</f>
        <v/>
      </c>
      <c r="AA18" s="26">
        <f>IF($Q18="","",IFERROR(INDEX(計算用!$M$2:$M$186,MATCH("女"&amp;$Q18&amp;"-3",計算用!$AN$2:$AN$186,0)),""))</f>
        <v/>
      </c>
      <c r="AB18" s="26">
        <f>IF($Q18="","",IFERROR(INDEX(計算用!$I$2:$I$186,MATCH("女"&amp;$Q18&amp;"-3",計算用!$AN$2:$AN$186,0)),""))</f>
        <v/>
      </c>
      <c r="AC18">
        <f>IF($Q18="","",IFERROR(INDEX(計算用!$D$2:$D$186,MATCH("女"&amp;$Q18&amp;"-4",計算用!$AN$2:$AN$186,0)),""))</f>
        <v/>
      </c>
      <c r="AD18" s="26">
        <f>IF($Q18="","",IFERROR(INDEX(計算用!$M$2:$M$186,MATCH("女"&amp;$Q18&amp;"-4",計算用!$AN$2:$AN$186,0)),""))</f>
        <v/>
      </c>
      <c r="AE18" s="26">
        <f>IF($Q18="","",IFERROR(INDEX(計算用!$I$2:$I$186,MATCH("女"&amp;$Q18&amp;"-4",計算用!$AN$2:$AN$186,0)),""))</f>
        <v/>
      </c>
    </row>
    <row r="19">
      <c r="A19" s="26">
        <f>IF(ROW()-3&lt;=計算用!$Q$9,ROW()-3,"")</f>
        <v/>
      </c>
      <c r="B19" s="26">
        <f>IF($A19="","",INDEX(計算用!$T$2:$T$51,$A19))</f>
        <v/>
      </c>
      <c r="C19" s="26">
        <f>IF($A19="","","赤"&amp;INDEX(計算用!$W$2:$W$51,$A19)&amp;"白"&amp;INDEX(計算用!$X$2:$X$51,$A19))</f>
        <v/>
      </c>
      <c r="D19">
        <f>IF($A19="","",IFERROR(INDEX(計算用!$D$2:$D$186,MATCH("男"&amp;$A19&amp;"-1",計算用!$AN$2:$AN$186,0)),""))</f>
        <v/>
      </c>
      <c r="E19" s="26">
        <f>IF($A19="","",IFERROR(INDEX(計算用!$M$2:$M$186,MATCH("男"&amp;$A19&amp;"-1",計算用!$AN$2:$AN$186,0)),""))</f>
        <v/>
      </c>
      <c r="F19" s="26">
        <f>IF($A19="","",IFERROR(INDEX(計算用!$I$2:$I$186,MATCH("男"&amp;$A19&amp;"-1",計算用!$AN$2:$AN$186,0)),""))</f>
        <v/>
      </c>
      <c r="G19">
        <f>IF($A19="","",IFERROR(INDEX(計算用!$D$2:$D$186,MATCH("男"&amp;$A19&amp;"-2",計算用!$AN$2:$AN$186,0)),""))</f>
        <v/>
      </c>
      <c r="H19" s="26">
        <f>IF($A19="","",IFERROR(INDEX(計算用!$M$2:$M$186,MATCH("男"&amp;$A19&amp;"-2",計算用!$AN$2:$AN$186,0)),""))</f>
        <v/>
      </c>
      <c r="I19" s="26">
        <f>IF($A19="","",IFERROR(INDEX(計算用!$I$2:$I$186,MATCH("男"&amp;$A19&amp;"-2",計算用!$AN$2:$AN$186,0)),""))</f>
        <v/>
      </c>
      <c r="J19">
        <f>IF($A19="","",IFERROR(INDEX(計算用!$D$2:$D$186,MATCH("男"&amp;$A19&amp;"-3",計算用!$AN$2:$AN$186,0)),""))</f>
        <v/>
      </c>
      <c r="K19" s="26">
        <f>IF($A19="","",IFERROR(INDEX(計算用!$M$2:$M$186,MATCH("男"&amp;$A19&amp;"-3",計算用!$AN$2:$AN$186,0)),""))</f>
        <v/>
      </c>
      <c r="L19" s="26">
        <f>IF($A19="","",IFERROR(INDEX(計算用!$I$2:$I$186,MATCH("男"&amp;$A19&amp;"-3",計算用!$AN$2:$AN$186,0)),""))</f>
        <v/>
      </c>
      <c r="M19">
        <f>IF($A19="","",IFERROR(INDEX(計算用!$D$2:$D$186,MATCH("男"&amp;$A19&amp;"-4",計算用!$AN$2:$AN$186,0)),""))</f>
        <v/>
      </c>
      <c r="N19" s="26">
        <f>IF($A19="","",IFERROR(INDEX(計算用!$M$2:$M$186,MATCH("男"&amp;$A19&amp;"-4",計算用!$AN$2:$AN$186,0)),""))</f>
        <v/>
      </c>
      <c r="O19" s="26">
        <f>IF($A19="","",IFERROR(INDEX(計算用!$I$2:$I$186,MATCH("男"&amp;$A19&amp;"-4",計算用!$AN$2:$AN$186,0)),""))</f>
        <v/>
      </c>
      <c r="Q19" s="26">
        <f>IF(ROW()-3&lt;=計算用!$Q$11,ROW()-3,"")</f>
        <v/>
      </c>
      <c r="R19" s="26">
        <f>IF($Q19="","",INDEX(計算用!$AC$2:$AC$51,$Q19))</f>
        <v/>
      </c>
      <c r="S19" s="26">
        <f>IF($Q19="","","赤"&amp;INDEX(計算用!$AF$2:$AF$51,$Q19)&amp;"白"&amp;INDEX(計算用!$AG$2:$AG$51,$Q19))</f>
        <v/>
      </c>
      <c r="T19">
        <f>IF($Q19="","",IFERROR(INDEX(計算用!$D$2:$D$186,MATCH("女"&amp;$Q19&amp;"-1",計算用!$AN$2:$AN$186,0)),""))</f>
        <v/>
      </c>
      <c r="U19" s="26">
        <f>IF($Q19="","",IFERROR(INDEX(計算用!$M$2:$M$186,MATCH("女"&amp;$Q19&amp;"-1",計算用!$AN$2:$AN$186,0)),""))</f>
        <v/>
      </c>
      <c r="V19" s="26">
        <f>IF($Q19="","",IFERROR(INDEX(計算用!$I$2:$I$186,MATCH("女"&amp;$Q19&amp;"-1",計算用!$AN$2:$AN$186,0)),""))</f>
        <v/>
      </c>
      <c r="W19">
        <f>IF($Q19="","",IFERROR(INDEX(計算用!$D$2:$D$186,MATCH("女"&amp;$Q19&amp;"-2",計算用!$AN$2:$AN$186,0)),""))</f>
        <v/>
      </c>
      <c r="X19" s="26">
        <f>IF($Q19="","",IFERROR(INDEX(計算用!$M$2:$M$186,MATCH("女"&amp;$Q19&amp;"-2",計算用!$AN$2:$AN$186,0)),""))</f>
        <v/>
      </c>
      <c r="Y19" s="26">
        <f>IF($Q19="","",IFERROR(INDEX(計算用!$I$2:$I$186,MATCH("女"&amp;$Q19&amp;"-2",計算用!$AN$2:$AN$186,0)),""))</f>
        <v/>
      </c>
      <c r="Z19">
        <f>IF($Q19="","",IFERROR(INDEX(計算用!$D$2:$D$186,MATCH("女"&amp;$Q19&amp;"-3",計算用!$AN$2:$AN$186,0)),""))</f>
        <v/>
      </c>
      <c r="AA19" s="26">
        <f>IF($Q19="","",IFERROR(INDEX(計算用!$M$2:$M$186,MATCH("女"&amp;$Q19&amp;"-3",計算用!$AN$2:$AN$186,0)),""))</f>
        <v/>
      </c>
      <c r="AB19" s="26">
        <f>IF($Q19="","",IFERROR(INDEX(計算用!$I$2:$I$186,MATCH("女"&amp;$Q19&amp;"-3",計算用!$AN$2:$AN$186,0)),""))</f>
        <v/>
      </c>
      <c r="AC19">
        <f>IF($Q19="","",IFERROR(INDEX(計算用!$D$2:$D$186,MATCH("女"&amp;$Q19&amp;"-4",計算用!$AN$2:$AN$186,0)),""))</f>
        <v/>
      </c>
      <c r="AD19" s="26">
        <f>IF($Q19="","",IFERROR(INDEX(計算用!$M$2:$M$186,MATCH("女"&amp;$Q19&amp;"-4",計算用!$AN$2:$AN$186,0)),""))</f>
        <v/>
      </c>
      <c r="AE19" s="26">
        <f>IF($Q19="","",IFERROR(INDEX(計算用!$I$2:$I$186,MATCH("女"&amp;$Q19&amp;"-4",計算用!$AN$2:$AN$186,0)),""))</f>
        <v/>
      </c>
    </row>
    <row r="20">
      <c r="A20" s="26">
        <f>IF(ROW()-3&lt;=計算用!$Q$9,ROW()-3,"")</f>
        <v/>
      </c>
      <c r="B20" s="26">
        <f>IF($A20="","",INDEX(計算用!$T$2:$T$51,$A20))</f>
        <v/>
      </c>
      <c r="C20" s="26">
        <f>IF($A20="","","赤"&amp;INDEX(計算用!$W$2:$W$51,$A20)&amp;"白"&amp;INDEX(計算用!$X$2:$X$51,$A20))</f>
        <v/>
      </c>
      <c r="D20">
        <f>IF($A20="","",IFERROR(INDEX(計算用!$D$2:$D$186,MATCH("男"&amp;$A20&amp;"-1",計算用!$AN$2:$AN$186,0)),""))</f>
        <v/>
      </c>
      <c r="E20" s="26">
        <f>IF($A20="","",IFERROR(INDEX(計算用!$M$2:$M$186,MATCH("男"&amp;$A20&amp;"-1",計算用!$AN$2:$AN$186,0)),""))</f>
        <v/>
      </c>
      <c r="F20" s="26">
        <f>IF($A20="","",IFERROR(INDEX(計算用!$I$2:$I$186,MATCH("男"&amp;$A20&amp;"-1",計算用!$AN$2:$AN$186,0)),""))</f>
        <v/>
      </c>
      <c r="G20">
        <f>IF($A20="","",IFERROR(INDEX(計算用!$D$2:$D$186,MATCH("男"&amp;$A20&amp;"-2",計算用!$AN$2:$AN$186,0)),""))</f>
        <v/>
      </c>
      <c r="H20" s="26">
        <f>IF($A20="","",IFERROR(INDEX(計算用!$M$2:$M$186,MATCH("男"&amp;$A20&amp;"-2",計算用!$AN$2:$AN$186,0)),""))</f>
        <v/>
      </c>
      <c r="I20" s="26">
        <f>IF($A20="","",IFERROR(INDEX(計算用!$I$2:$I$186,MATCH("男"&amp;$A20&amp;"-2",計算用!$AN$2:$AN$186,0)),""))</f>
        <v/>
      </c>
      <c r="J20">
        <f>IF($A20="","",IFERROR(INDEX(計算用!$D$2:$D$186,MATCH("男"&amp;$A20&amp;"-3",計算用!$AN$2:$AN$186,0)),""))</f>
        <v/>
      </c>
      <c r="K20" s="26">
        <f>IF($A20="","",IFERROR(INDEX(計算用!$M$2:$M$186,MATCH("男"&amp;$A20&amp;"-3",計算用!$AN$2:$AN$186,0)),""))</f>
        <v/>
      </c>
      <c r="L20" s="26">
        <f>IF($A20="","",IFERROR(INDEX(計算用!$I$2:$I$186,MATCH("男"&amp;$A20&amp;"-3",計算用!$AN$2:$AN$186,0)),""))</f>
        <v/>
      </c>
      <c r="M20">
        <f>IF($A20="","",IFERROR(INDEX(計算用!$D$2:$D$186,MATCH("男"&amp;$A20&amp;"-4",計算用!$AN$2:$AN$186,0)),""))</f>
        <v/>
      </c>
      <c r="N20" s="26">
        <f>IF($A20="","",IFERROR(INDEX(計算用!$M$2:$M$186,MATCH("男"&amp;$A20&amp;"-4",計算用!$AN$2:$AN$186,0)),""))</f>
        <v/>
      </c>
      <c r="O20" s="26">
        <f>IF($A20="","",IFERROR(INDEX(計算用!$I$2:$I$186,MATCH("男"&amp;$A20&amp;"-4",計算用!$AN$2:$AN$186,0)),""))</f>
        <v/>
      </c>
      <c r="Q20" s="26">
        <f>IF(ROW()-3&lt;=計算用!$Q$11,ROW()-3,"")</f>
        <v/>
      </c>
      <c r="R20" s="26">
        <f>IF($Q20="","",INDEX(計算用!$AC$2:$AC$51,$Q20))</f>
        <v/>
      </c>
      <c r="S20" s="26">
        <f>IF($Q20="","","赤"&amp;INDEX(計算用!$AF$2:$AF$51,$Q20)&amp;"白"&amp;INDEX(計算用!$AG$2:$AG$51,$Q20))</f>
        <v/>
      </c>
      <c r="T20">
        <f>IF($Q20="","",IFERROR(INDEX(計算用!$D$2:$D$186,MATCH("女"&amp;$Q20&amp;"-1",計算用!$AN$2:$AN$186,0)),""))</f>
        <v/>
      </c>
      <c r="U20" s="26">
        <f>IF($Q20="","",IFERROR(INDEX(計算用!$M$2:$M$186,MATCH("女"&amp;$Q20&amp;"-1",計算用!$AN$2:$AN$186,0)),""))</f>
        <v/>
      </c>
      <c r="V20" s="26">
        <f>IF($Q20="","",IFERROR(INDEX(計算用!$I$2:$I$186,MATCH("女"&amp;$Q20&amp;"-1",計算用!$AN$2:$AN$186,0)),""))</f>
        <v/>
      </c>
      <c r="W20">
        <f>IF($Q20="","",IFERROR(INDEX(計算用!$D$2:$D$186,MATCH("女"&amp;$Q20&amp;"-2",計算用!$AN$2:$AN$186,0)),""))</f>
        <v/>
      </c>
      <c r="X20" s="26">
        <f>IF($Q20="","",IFERROR(INDEX(計算用!$M$2:$M$186,MATCH("女"&amp;$Q20&amp;"-2",計算用!$AN$2:$AN$186,0)),""))</f>
        <v/>
      </c>
      <c r="Y20" s="26">
        <f>IF($Q20="","",IFERROR(INDEX(計算用!$I$2:$I$186,MATCH("女"&amp;$Q20&amp;"-2",計算用!$AN$2:$AN$186,0)),""))</f>
        <v/>
      </c>
      <c r="Z20">
        <f>IF($Q20="","",IFERROR(INDEX(計算用!$D$2:$D$186,MATCH("女"&amp;$Q20&amp;"-3",計算用!$AN$2:$AN$186,0)),""))</f>
        <v/>
      </c>
      <c r="AA20" s="26">
        <f>IF($Q20="","",IFERROR(INDEX(計算用!$M$2:$M$186,MATCH("女"&amp;$Q20&amp;"-3",計算用!$AN$2:$AN$186,0)),""))</f>
        <v/>
      </c>
      <c r="AB20" s="26">
        <f>IF($Q20="","",IFERROR(INDEX(計算用!$I$2:$I$186,MATCH("女"&amp;$Q20&amp;"-3",計算用!$AN$2:$AN$186,0)),""))</f>
        <v/>
      </c>
      <c r="AC20">
        <f>IF($Q20="","",IFERROR(INDEX(計算用!$D$2:$D$186,MATCH("女"&amp;$Q20&amp;"-4",計算用!$AN$2:$AN$186,0)),""))</f>
        <v/>
      </c>
      <c r="AD20" s="26">
        <f>IF($Q20="","",IFERROR(INDEX(計算用!$M$2:$M$186,MATCH("女"&amp;$Q20&amp;"-4",計算用!$AN$2:$AN$186,0)),""))</f>
        <v/>
      </c>
      <c r="AE20" s="26">
        <f>IF($Q20="","",IFERROR(INDEX(計算用!$I$2:$I$186,MATCH("女"&amp;$Q20&amp;"-4",計算用!$AN$2:$AN$186,0)),""))</f>
        <v/>
      </c>
    </row>
    <row r="21">
      <c r="A21" s="26">
        <f>IF(ROW()-3&lt;=計算用!$Q$9,ROW()-3,"")</f>
        <v/>
      </c>
      <c r="B21" s="26">
        <f>IF($A21="","",INDEX(計算用!$T$2:$T$51,$A21))</f>
        <v/>
      </c>
      <c r="C21" s="26">
        <f>IF($A21="","","赤"&amp;INDEX(計算用!$W$2:$W$51,$A21)&amp;"白"&amp;INDEX(計算用!$X$2:$X$51,$A21))</f>
        <v/>
      </c>
      <c r="D21">
        <f>IF($A21="","",IFERROR(INDEX(計算用!$D$2:$D$186,MATCH("男"&amp;$A21&amp;"-1",計算用!$AN$2:$AN$186,0)),""))</f>
        <v/>
      </c>
      <c r="E21" s="26">
        <f>IF($A21="","",IFERROR(INDEX(計算用!$M$2:$M$186,MATCH("男"&amp;$A21&amp;"-1",計算用!$AN$2:$AN$186,0)),""))</f>
        <v/>
      </c>
      <c r="F21" s="26">
        <f>IF($A21="","",IFERROR(INDEX(計算用!$I$2:$I$186,MATCH("男"&amp;$A21&amp;"-1",計算用!$AN$2:$AN$186,0)),""))</f>
        <v/>
      </c>
      <c r="G21">
        <f>IF($A21="","",IFERROR(INDEX(計算用!$D$2:$D$186,MATCH("男"&amp;$A21&amp;"-2",計算用!$AN$2:$AN$186,0)),""))</f>
        <v/>
      </c>
      <c r="H21" s="26">
        <f>IF($A21="","",IFERROR(INDEX(計算用!$M$2:$M$186,MATCH("男"&amp;$A21&amp;"-2",計算用!$AN$2:$AN$186,0)),""))</f>
        <v/>
      </c>
      <c r="I21" s="26">
        <f>IF($A21="","",IFERROR(INDEX(計算用!$I$2:$I$186,MATCH("男"&amp;$A21&amp;"-2",計算用!$AN$2:$AN$186,0)),""))</f>
        <v/>
      </c>
      <c r="J21">
        <f>IF($A21="","",IFERROR(INDEX(計算用!$D$2:$D$186,MATCH("男"&amp;$A21&amp;"-3",計算用!$AN$2:$AN$186,0)),""))</f>
        <v/>
      </c>
      <c r="K21" s="26">
        <f>IF($A21="","",IFERROR(INDEX(計算用!$M$2:$M$186,MATCH("男"&amp;$A21&amp;"-3",計算用!$AN$2:$AN$186,0)),""))</f>
        <v/>
      </c>
      <c r="L21" s="26">
        <f>IF($A21="","",IFERROR(INDEX(計算用!$I$2:$I$186,MATCH("男"&amp;$A21&amp;"-3",計算用!$AN$2:$AN$186,0)),""))</f>
        <v/>
      </c>
      <c r="M21">
        <f>IF($A21="","",IFERROR(INDEX(計算用!$D$2:$D$186,MATCH("男"&amp;$A21&amp;"-4",計算用!$AN$2:$AN$186,0)),""))</f>
        <v/>
      </c>
      <c r="N21" s="26">
        <f>IF($A21="","",IFERROR(INDEX(計算用!$M$2:$M$186,MATCH("男"&amp;$A21&amp;"-4",計算用!$AN$2:$AN$186,0)),""))</f>
        <v/>
      </c>
      <c r="O21" s="26">
        <f>IF($A21="","",IFERROR(INDEX(計算用!$I$2:$I$186,MATCH("男"&amp;$A21&amp;"-4",計算用!$AN$2:$AN$186,0)),""))</f>
        <v/>
      </c>
      <c r="Q21" s="26">
        <f>IF(ROW()-3&lt;=計算用!$Q$11,ROW()-3,"")</f>
        <v/>
      </c>
      <c r="R21" s="26">
        <f>IF($Q21="","",INDEX(計算用!$AC$2:$AC$51,$Q21))</f>
        <v/>
      </c>
      <c r="S21" s="26">
        <f>IF($Q21="","","赤"&amp;INDEX(計算用!$AF$2:$AF$51,$Q21)&amp;"白"&amp;INDEX(計算用!$AG$2:$AG$51,$Q21))</f>
        <v/>
      </c>
      <c r="T21">
        <f>IF($Q21="","",IFERROR(INDEX(計算用!$D$2:$D$186,MATCH("女"&amp;$Q21&amp;"-1",計算用!$AN$2:$AN$186,0)),""))</f>
        <v/>
      </c>
      <c r="U21" s="26">
        <f>IF($Q21="","",IFERROR(INDEX(計算用!$M$2:$M$186,MATCH("女"&amp;$Q21&amp;"-1",計算用!$AN$2:$AN$186,0)),""))</f>
        <v/>
      </c>
      <c r="V21" s="26">
        <f>IF($Q21="","",IFERROR(INDEX(計算用!$I$2:$I$186,MATCH("女"&amp;$Q21&amp;"-1",計算用!$AN$2:$AN$186,0)),""))</f>
        <v/>
      </c>
      <c r="W21">
        <f>IF($Q21="","",IFERROR(INDEX(計算用!$D$2:$D$186,MATCH("女"&amp;$Q21&amp;"-2",計算用!$AN$2:$AN$186,0)),""))</f>
        <v/>
      </c>
      <c r="X21" s="26">
        <f>IF($Q21="","",IFERROR(INDEX(計算用!$M$2:$M$186,MATCH("女"&amp;$Q21&amp;"-2",計算用!$AN$2:$AN$186,0)),""))</f>
        <v/>
      </c>
      <c r="Y21" s="26">
        <f>IF($Q21="","",IFERROR(INDEX(計算用!$I$2:$I$186,MATCH("女"&amp;$Q21&amp;"-2",計算用!$AN$2:$AN$186,0)),""))</f>
        <v/>
      </c>
      <c r="Z21">
        <f>IF($Q21="","",IFERROR(INDEX(計算用!$D$2:$D$186,MATCH("女"&amp;$Q21&amp;"-3",計算用!$AN$2:$AN$186,0)),""))</f>
        <v/>
      </c>
      <c r="AA21" s="26">
        <f>IF($Q21="","",IFERROR(INDEX(計算用!$M$2:$M$186,MATCH("女"&amp;$Q21&amp;"-3",計算用!$AN$2:$AN$186,0)),""))</f>
        <v/>
      </c>
      <c r="AB21" s="26">
        <f>IF($Q21="","",IFERROR(INDEX(計算用!$I$2:$I$186,MATCH("女"&amp;$Q21&amp;"-3",計算用!$AN$2:$AN$186,0)),""))</f>
        <v/>
      </c>
      <c r="AC21">
        <f>IF($Q21="","",IFERROR(INDEX(計算用!$D$2:$D$186,MATCH("女"&amp;$Q21&amp;"-4",計算用!$AN$2:$AN$186,0)),""))</f>
        <v/>
      </c>
      <c r="AD21" s="26">
        <f>IF($Q21="","",IFERROR(INDEX(計算用!$M$2:$M$186,MATCH("女"&amp;$Q21&amp;"-4",計算用!$AN$2:$AN$186,0)),""))</f>
        <v/>
      </c>
      <c r="AE21" s="26">
        <f>IF($Q21="","",IFERROR(INDEX(計算用!$I$2:$I$186,MATCH("女"&amp;$Q21&amp;"-4",計算用!$AN$2:$AN$186,0)),""))</f>
        <v/>
      </c>
    </row>
    <row r="22">
      <c r="A22" s="26">
        <f>IF(ROW()-3&lt;=計算用!$Q$9,ROW()-3,"")</f>
        <v/>
      </c>
      <c r="B22" s="26">
        <f>IF($A22="","",INDEX(計算用!$T$2:$T$51,$A22))</f>
        <v/>
      </c>
      <c r="C22" s="26">
        <f>IF($A22="","","赤"&amp;INDEX(計算用!$W$2:$W$51,$A22)&amp;"白"&amp;INDEX(計算用!$X$2:$X$51,$A22))</f>
        <v/>
      </c>
      <c r="D22">
        <f>IF($A22="","",IFERROR(INDEX(計算用!$D$2:$D$186,MATCH("男"&amp;$A22&amp;"-1",計算用!$AN$2:$AN$186,0)),""))</f>
        <v/>
      </c>
      <c r="E22" s="26">
        <f>IF($A22="","",IFERROR(INDEX(計算用!$M$2:$M$186,MATCH("男"&amp;$A22&amp;"-1",計算用!$AN$2:$AN$186,0)),""))</f>
        <v/>
      </c>
      <c r="F22" s="26">
        <f>IF($A22="","",IFERROR(INDEX(計算用!$I$2:$I$186,MATCH("男"&amp;$A22&amp;"-1",計算用!$AN$2:$AN$186,0)),""))</f>
        <v/>
      </c>
      <c r="G22">
        <f>IF($A22="","",IFERROR(INDEX(計算用!$D$2:$D$186,MATCH("男"&amp;$A22&amp;"-2",計算用!$AN$2:$AN$186,0)),""))</f>
        <v/>
      </c>
      <c r="H22" s="26">
        <f>IF($A22="","",IFERROR(INDEX(計算用!$M$2:$M$186,MATCH("男"&amp;$A22&amp;"-2",計算用!$AN$2:$AN$186,0)),""))</f>
        <v/>
      </c>
      <c r="I22" s="26">
        <f>IF($A22="","",IFERROR(INDEX(計算用!$I$2:$I$186,MATCH("男"&amp;$A22&amp;"-2",計算用!$AN$2:$AN$186,0)),""))</f>
        <v/>
      </c>
      <c r="J22">
        <f>IF($A22="","",IFERROR(INDEX(計算用!$D$2:$D$186,MATCH("男"&amp;$A22&amp;"-3",計算用!$AN$2:$AN$186,0)),""))</f>
        <v/>
      </c>
      <c r="K22" s="26">
        <f>IF($A22="","",IFERROR(INDEX(計算用!$M$2:$M$186,MATCH("男"&amp;$A22&amp;"-3",計算用!$AN$2:$AN$186,0)),""))</f>
        <v/>
      </c>
      <c r="L22" s="26">
        <f>IF($A22="","",IFERROR(INDEX(計算用!$I$2:$I$186,MATCH("男"&amp;$A22&amp;"-3",計算用!$AN$2:$AN$186,0)),""))</f>
        <v/>
      </c>
      <c r="M22">
        <f>IF($A22="","",IFERROR(INDEX(計算用!$D$2:$D$186,MATCH("男"&amp;$A22&amp;"-4",計算用!$AN$2:$AN$186,0)),""))</f>
        <v/>
      </c>
      <c r="N22" s="26">
        <f>IF($A22="","",IFERROR(INDEX(計算用!$M$2:$M$186,MATCH("男"&amp;$A22&amp;"-4",計算用!$AN$2:$AN$186,0)),""))</f>
        <v/>
      </c>
      <c r="O22" s="26">
        <f>IF($A22="","",IFERROR(INDEX(計算用!$I$2:$I$186,MATCH("男"&amp;$A22&amp;"-4",計算用!$AN$2:$AN$186,0)),""))</f>
        <v/>
      </c>
      <c r="Q22" s="26">
        <f>IF(ROW()-3&lt;=計算用!$Q$11,ROW()-3,"")</f>
        <v/>
      </c>
      <c r="R22" s="26">
        <f>IF($Q22="","",INDEX(計算用!$AC$2:$AC$51,$Q22))</f>
        <v/>
      </c>
      <c r="S22" s="26">
        <f>IF($Q22="","","赤"&amp;INDEX(計算用!$AF$2:$AF$51,$Q22)&amp;"白"&amp;INDEX(計算用!$AG$2:$AG$51,$Q22))</f>
        <v/>
      </c>
      <c r="T22">
        <f>IF($Q22="","",IFERROR(INDEX(計算用!$D$2:$D$186,MATCH("女"&amp;$Q22&amp;"-1",計算用!$AN$2:$AN$186,0)),""))</f>
        <v/>
      </c>
      <c r="U22" s="26">
        <f>IF($Q22="","",IFERROR(INDEX(計算用!$M$2:$M$186,MATCH("女"&amp;$Q22&amp;"-1",計算用!$AN$2:$AN$186,0)),""))</f>
        <v/>
      </c>
      <c r="V22" s="26">
        <f>IF($Q22="","",IFERROR(INDEX(計算用!$I$2:$I$186,MATCH("女"&amp;$Q22&amp;"-1",計算用!$AN$2:$AN$186,0)),""))</f>
        <v/>
      </c>
      <c r="W22">
        <f>IF($Q22="","",IFERROR(INDEX(計算用!$D$2:$D$186,MATCH("女"&amp;$Q22&amp;"-2",計算用!$AN$2:$AN$186,0)),""))</f>
        <v/>
      </c>
      <c r="X22" s="26">
        <f>IF($Q22="","",IFERROR(INDEX(計算用!$M$2:$M$186,MATCH("女"&amp;$Q22&amp;"-2",計算用!$AN$2:$AN$186,0)),""))</f>
        <v/>
      </c>
      <c r="Y22" s="26">
        <f>IF($Q22="","",IFERROR(INDEX(計算用!$I$2:$I$186,MATCH("女"&amp;$Q22&amp;"-2",計算用!$AN$2:$AN$186,0)),""))</f>
        <v/>
      </c>
      <c r="Z22">
        <f>IF($Q22="","",IFERROR(INDEX(計算用!$D$2:$D$186,MATCH("女"&amp;$Q22&amp;"-3",計算用!$AN$2:$AN$186,0)),""))</f>
        <v/>
      </c>
      <c r="AA22" s="26">
        <f>IF($Q22="","",IFERROR(INDEX(計算用!$M$2:$M$186,MATCH("女"&amp;$Q22&amp;"-3",計算用!$AN$2:$AN$186,0)),""))</f>
        <v/>
      </c>
      <c r="AB22" s="26">
        <f>IF($Q22="","",IFERROR(INDEX(計算用!$I$2:$I$186,MATCH("女"&amp;$Q22&amp;"-3",計算用!$AN$2:$AN$186,0)),""))</f>
        <v/>
      </c>
      <c r="AC22">
        <f>IF($Q22="","",IFERROR(INDEX(計算用!$D$2:$D$186,MATCH("女"&amp;$Q22&amp;"-4",計算用!$AN$2:$AN$186,0)),""))</f>
        <v/>
      </c>
      <c r="AD22" s="26">
        <f>IF($Q22="","",IFERROR(INDEX(計算用!$M$2:$M$186,MATCH("女"&amp;$Q22&amp;"-4",計算用!$AN$2:$AN$186,0)),""))</f>
        <v/>
      </c>
      <c r="AE22" s="26">
        <f>IF($Q22="","",IFERROR(INDEX(計算用!$I$2:$I$186,MATCH("女"&amp;$Q22&amp;"-4",計算用!$AN$2:$AN$186,0)),""))</f>
        <v/>
      </c>
    </row>
    <row r="23">
      <c r="A23" s="26">
        <f>IF(ROW()-3&lt;=計算用!$Q$9,ROW()-3,"")</f>
        <v/>
      </c>
      <c r="B23" s="26">
        <f>IF($A23="","",INDEX(計算用!$T$2:$T$51,$A23))</f>
        <v/>
      </c>
      <c r="C23" s="26">
        <f>IF($A23="","","赤"&amp;INDEX(計算用!$W$2:$W$51,$A23)&amp;"白"&amp;INDEX(計算用!$X$2:$X$51,$A23))</f>
        <v/>
      </c>
      <c r="D23">
        <f>IF($A23="","",IFERROR(INDEX(計算用!$D$2:$D$186,MATCH("男"&amp;$A23&amp;"-1",計算用!$AN$2:$AN$186,0)),""))</f>
        <v/>
      </c>
      <c r="E23" s="26">
        <f>IF($A23="","",IFERROR(INDEX(計算用!$M$2:$M$186,MATCH("男"&amp;$A23&amp;"-1",計算用!$AN$2:$AN$186,0)),""))</f>
        <v/>
      </c>
      <c r="F23" s="26">
        <f>IF($A23="","",IFERROR(INDEX(計算用!$I$2:$I$186,MATCH("男"&amp;$A23&amp;"-1",計算用!$AN$2:$AN$186,0)),""))</f>
        <v/>
      </c>
      <c r="G23">
        <f>IF($A23="","",IFERROR(INDEX(計算用!$D$2:$D$186,MATCH("男"&amp;$A23&amp;"-2",計算用!$AN$2:$AN$186,0)),""))</f>
        <v/>
      </c>
      <c r="H23" s="26">
        <f>IF($A23="","",IFERROR(INDEX(計算用!$M$2:$M$186,MATCH("男"&amp;$A23&amp;"-2",計算用!$AN$2:$AN$186,0)),""))</f>
        <v/>
      </c>
      <c r="I23" s="26">
        <f>IF($A23="","",IFERROR(INDEX(計算用!$I$2:$I$186,MATCH("男"&amp;$A23&amp;"-2",計算用!$AN$2:$AN$186,0)),""))</f>
        <v/>
      </c>
      <c r="J23">
        <f>IF($A23="","",IFERROR(INDEX(計算用!$D$2:$D$186,MATCH("男"&amp;$A23&amp;"-3",計算用!$AN$2:$AN$186,0)),""))</f>
        <v/>
      </c>
      <c r="K23" s="26">
        <f>IF($A23="","",IFERROR(INDEX(計算用!$M$2:$M$186,MATCH("男"&amp;$A23&amp;"-3",計算用!$AN$2:$AN$186,0)),""))</f>
        <v/>
      </c>
      <c r="L23" s="26">
        <f>IF($A23="","",IFERROR(INDEX(計算用!$I$2:$I$186,MATCH("男"&amp;$A23&amp;"-3",計算用!$AN$2:$AN$186,0)),""))</f>
        <v/>
      </c>
      <c r="M23">
        <f>IF($A23="","",IFERROR(INDEX(計算用!$D$2:$D$186,MATCH("男"&amp;$A23&amp;"-4",計算用!$AN$2:$AN$186,0)),""))</f>
        <v/>
      </c>
      <c r="N23" s="26">
        <f>IF($A23="","",IFERROR(INDEX(計算用!$M$2:$M$186,MATCH("男"&amp;$A23&amp;"-4",計算用!$AN$2:$AN$186,0)),""))</f>
        <v/>
      </c>
      <c r="O23" s="26">
        <f>IF($A23="","",IFERROR(INDEX(計算用!$I$2:$I$186,MATCH("男"&amp;$A23&amp;"-4",計算用!$AN$2:$AN$186,0)),""))</f>
        <v/>
      </c>
      <c r="Q23" s="26">
        <f>IF(ROW()-3&lt;=計算用!$Q$11,ROW()-3,"")</f>
        <v/>
      </c>
      <c r="R23" s="26">
        <f>IF($Q23="","",INDEX(計算用!$AC$2:$AC$51,$Q23))</f>
        <v/>
      </c>
      <c r="S23" s="26">
        <f>IF($Q23="","","赤"&amp;INDEX(計算用!$AF$2:$AF$51,$Q23)&amp;"白"&amp;INDEX(計算用!$AG$2:$AG$51,$Q23))</f>
        <v/>
      </c>
      <c r="T23">
        <f>IF($Q23="","",IFERROR(INDEX(計算用!$D$2:$D$186,MATCH("女"&amp;$Q23&amp;"-1",計算用!$AN$2:$AN$186,0)),""))</f>
        <v/>
      </c>
      <c r="U23" s="26">
        <f>IF($Q23="","",IFERROR(INDEX(計算用!$M$2:$M$186,MATCH("女"&amp;$Q23&amp;"-1",計算用!$AN$2:$AN$186,0)),""))</f>
        <v/>
      </c>
      <c r="V23" s="26">
        <f>IF($Q23="","",IFERROR(INDEX(計算用!$I$2:$I$186,MATCH("女"&amp;$Q23&amp;"-1",計算用!$AN$2:$AN$186,0)),""))</f>
        <v/>
      </c>
      <c r="W23">
        <f>IF($Q23="","",IFERROR(INDEX(計算用!$D$2:$D$186,MATCH("女"&amp;$Q23&amp;"-2",計算用!$AN$2:$AN$186,0)),""))</f>
        <v/>
      </c>
      <c r="X23" s="26">
        <f>IF($Q23="","",IFERROR(INDEX(計算用!$M$2:$M$186,MATCH("女"&amp;$Q23&amp;"-2",計算用!$AN$2:$AN$186,0)),""))</f>
        <v/>
      </c>
      <c r="Y23" s="26">
        <f>IF($Q23="","",IFERROR(INDEX(計算用!$I$2:$I$186,MATCH("女"&amp;$Q23&amp;"-2",計算用!$AN$2:$AN$186,0)),""))</f>
        <v/>
      </c>
      <c r="Z23">
        <f>IF($Q23="","",IFERROR(INDEX(計算用!$D$2:$D$186,MATCH("女"&amp;$Q23&amp;"-3",計算用!$AN$2:$AN$186,0)),""))</f>
        <v/>
      </c>
      <c r="AA23" s="26">
        <f>IF($Q23="","",IFERROR(INDEX(計算用!$M$2:$M$186,MATCH("女"&amp;$Q23&amp;"-3",計算用!$AN$2:$AN$186,0)),""))</f>
        <v/>
      </c>
      <c r="AB23" s="26">
        <f>IF($Q23="","",IFERROR(INDEX(計算用!$I$2:$I$186,MATCH("女"&amp;$Q23&amp;"-3",計算用!$AN$2:$AN$186,0)),""))</f>
        <v/>
      </c>
      <c r="AC23">
        <f>IF($Q23="","",IFERROR(INDEX(計算用!$D$2:$D$186,MATCH("女"&amp;$Q23&amp;"-4",計算用!$AN$2:$AN$186,0)),""))</f>
        <v/>
      </c>
      <c r="AD23" s="26">
        <f>IF($Q23="","",IFERROR(INDEX(計算用!$M$2:$M$186,MATCH("女"&amp;$Q23&amp;"-4",計算用!$AN$2:$AN$186,0)),""))</f>
        <v/>
      </c>
      <c r="AE23" s="26">
        <f>IF($Q23="","",IFERROR(INDEX(計算用!$I$2:$I$186,MATCH("女"&amp;$Q23&amp;"-4",計算用!$AN$2:$AN$186,0)),""))</f>
        <v/>
      </c>
    </row>
    <row r="24">
      <c r="A24" s="26">
        <f>IF(ROW()-3&lt;=計算用!$Q$9,ROW()-3,"")</f>
        <v/>
      </c>
      <c r="B24" s="26">
        <f>IF($A24="","",INDEX(計算用!$T$2:$T$51,$A24))</f>
        <v/>
      </c>
      <c r="C24" s="26">
        <f>IF($A24="","","赤"&amp;INDEX(計算用!$W$2:$W$51,$A24)&amp;"白"&amp;INDEX(計算用!$X$2:$X$51,$A24))</f>
        <v/>
      </c>
      <c r="D24">
        <f>IF($A24="","",IFERROR(INDEX(計算用!$D$2:$D$186,MATCH("男"&amp;$A24&amp;"-1",計算用!$AN$2:$AN$186,0)),""))</f>
        <v/>
      </c>
      <c r="E24" s="26">
        <f>IF($A24="","",IFERROR(INDEX(計算用!$M$2:$M$186,MATCH("男"&amp;$A24&amp;"-1",計算用!$AN$2:$AN$186,0)),""))</f>
        <v/>
      </c>
      <c r="F24" s="26">
        <f>IF($A24="","",IFERROR(INDEX(計算用!$I$2:$I$186,MATCH("男"&amp;$A24&amp;"-1",計算用!$AN$2:$AN$186,0)),""))</f>
        <v/>
      </c>
      <c r="G24">
        <f>IF($A24="","",IFERROR(INDEX(計算用!$D$2:$D$186,MATCH("男"&amp;$A24&amp;"-2",計算用!$AN$2:$AN$186,0)),""))</f>
        <v/>
      </c>
      <c r="H24" s="26">
        <f>IF($A24="","",IFERROR(INDEX(計算用!$M$2:$M$186,MATCH("男"&amp;$A24&amp;"-2",計算用!$AN$2:$AN$186,0)),""))</f>
        <v/>
      </c>
      <c r="I24" s="26">
        <f>IF($A24="","",IFERROR(INDEX(計算用!$I$2:$I$186,MATCH("男"&amp;$A24&amp;"-2",計算用!$AN$2:$AN$186,0)),""))</f>
        <v/>
      </c>
      <c r="J24">
        <f>IF($A24="","",IFERROR(INDEX(計算用!$D$2:$D$186,MATCH("男"&amp;$A24&amp;"-3",計算用!$AN$2:$AN$186,0)),""))</f>
        <v/>
      </c>
      <c r="K24" s="26">
        <f>IF($A24="","",IFERROR(INDEX(計算用!$M$2:$M$186,MATCH("男"&amp;$A24&amp;"-3",計算用!$AN$2:$AN$186,0)),""))</f>
        <v/>
      </c>
      <c r="L24" s="26">
        <f>IF($A24="","",IFERROR(INDEX(計算用!$I$2:$I$186,MATCH("男"&amp;$A24&amp;"-3",計算用!$AN$2:$AN$186,0)),""))</f>
        <v/>
      </c>
      <c r="M24">
        <f>IF($A24="","",IFERROR(INDEX(計算用!$D$2:$D$186,MATCH("男"&amp;$A24&amp;"-4",計算用!$AN$2:$AN$186,0)),""))</f>
        <v/>
      </c>
      <c r="N24" s="26">
        <f>IF($A24="","",IFERROR(INDEX(計算用!$M$2:$M$186,MATCH("男"&amp;$A24&amp;"-4",計算用!$AN$2:$AN$186,0)),""))</f>
        <v/>
      </c>
      <c r="O24" s="26">
        <f>IF($A24="","",IFERROR(INDEX(計算用!$I$2:$I$186,MATCH("男"&amp;$A24&amp;"-4",計算用!$AN$2:$AN$186,0)),""))</f>
        <v/>
      </c>
      <c r="Q24" s="26">
        <f>IF(ROW()-3&lt;=計算用!$Q$11,ROW()-3,"")</f>
        <v/>
      </c>
      <c r="R24" s="26">
        <f>IF($Q24="","",INDEX(計算用!$AC$2:$AC$51,$Q24))</f>
        <v/>
      </c>
      <c r="S24" s="26">
        <f>IF($Q24="","","赤"&amp;INDEX(計算用!$AF$2:$AF$51,$Q24)&amp;"白"&amp;INDEX(計算用!$AG$2:$AG$51,$Q24))</f>
        <v/>
      </c>
      <c r="T24">
        <f>IF($Q24="","",IFERROR(INDEX(計算用!$D$2:$D$186,MATCH("女"&amp;$Q24&amp;"-1",計算用!$AN$2:$AN$186,0)),""))</f>
        <v/>
      </c>
      <c r="U24" s="26">
        <f>IF($Q24="","",IFERROR(INDEX(計算用!$M$2:$M$186,MATCH("女"&amp;$Q24&amp;"-1",計算用!$AN$2:$AN$186,0)),""))</f>
        <v/>
      </c>
      <c r="V24" s="26">
        <f>IF($Q24="","",IFERROR(INDEX(計算用!$I$2:$I$186,MATCH("女"&amp;$Q24&amp;"-1",計算用!$AN$2:$AN$186,0)),""))</f>
        <v/>
      </c>
      <c r="W24">
        <f>IF($Q24="","",IFERROR(INDEX(計算用!$D$2:$D$186,MATCH("女"&amp;$Q24&amp;"-2",計算用!$AN$2:$AN$186,0)),""))</f>
        <v/>
      </c>
      <c r="X24" s="26">
        <f>IF($Q24="","",IFERROR(INDEX(計算用!$M$2:$M$186,MATCH("女"&amp;$Q24&amp;"-2",計算用!$AN$2:$AN$186,0)),""))</f>
        <v/>
      </c>
      <c r="Y24" s="26">
        <f>IF($Q24="","",IFERROR(INDEX(計算用!$I$2:$I$186,MATCH("女"&amp;$Q24&amp;"-2",計算用!$AN$2:$AN$186,0)),""))</f>
        <v/>
      </c>
      <c r="Z24">
        <f>IF($Q24="","",IFERROR(INDEX(計算用!$D$2:$D$186,MATCH("女"&amp;$Q24&amp;"-3",計算用!$AN$2:$AN$186,0)),""))</f>
        <v/>
      </c>
      <c r="AA24" s="26">
        <f>IF($Q24="","",IFERROR(INDEX(計算用!$M$2:$M$186,MATCH("女"&amp;$Q24&amp;"-3",計算用!$AN$2:$AN$186,0)),""))</f>
        <v/>
      </c>
      <c r="AB24" s="26">
        <f>IF($Q24="","",IFERROR(INDEX(計算用!$I$2:$I$186,MATCH("女"&amp;$Q24&amp;"-3",計算用!$AN$2:$AN$186,0)),""))</f>
        <v/>
      </c>
      <c r="AC24">
        <f>IF($Q24="","",IFERROR(INDEX(計算用!$D$2:$D$186,MATCH("女"&amp;$Q24&amp;"-4",計算用!$AN$2:$AN$186,0)),""))</f>
        <v/>
      </c>
      <c r="AD24" s="26">
        <f>IF($Q24="","",IFERROR(INDEX(計算用!$M$2:$M$186,MATCH("女"&amp;$Q24&amp;"-4",計算用!$AN$2:$AN$186,0)),""))</f>
        <v/>
      </c>
      <c r="AE24" s="26">
        <f>IF($Q24="","",IFERROR(INDEX(計算用!$I$2:$I$186,MATCH("女"&amp;$Q24&amp;"-4",計算用!$AN$2:$AN$186,0)),""))</f>
        <v/>
      </c>
    </row>
    <row r="25">
      <c r="A25" s="26">
        <f>IF(ROW()-3&lt;=計算用!$Q$9,ROW()-3,"")</f>
        <v/>
      </c>
      <c r="B25" s="26">
        <f>IF($A25="","",INDEX(計算用!$T$2:$T$51,$A25))</f>
        <v/>
      </c>
      <c r="C25" s="26">
        <f>IF($A25="","","赤"&amp;INDEX(計算用!$W$2:$W$51,$A25)&amp;"白"&amp;INDEX(計算用!$X$2:$X$51,$A25))</f>
        <v/>
      </c>
      <c r="D25">
        <f>IF($A25="","",IFERROR(INDEX(計算用!$D$2:$D$186,MATCH("男"&amp;$A25&amp;"-1",計算用!$AN$2:$AN$186,0)),""))</f>
        <v/>
      </c>
      <c r="E25" s="26">
        <f>IF($A25="","",IFERROR(INDEX(計算用!$M$2:$M$186,MATCH("男"&amp;$A25&amp;"-1",計算用!$AN$2:$AN$186,0)),""))</f>
        <v/>
      </c>
      <c r="F25" s="26">
        <f>IF($A25="","",IFERROR(INDEX(計算用!$I$2:$I$186,MATCH("男"&amp;$A25&amp;"-1",計算用!$AN$2:$AN$186,0)),""))</f>
        <v/>
      </c>
      <c r="G25">
        <f>IF($A25="","",IFERROR(INDEX(計算用!$D$2:$D$186,MATCH("男"&amp;$A25&amp;"-2",計算用!$AN$2:$AN$186,0)),""))</f>
        <v/>
      </c>
      <c r="H25" s="26">
        <f>IF($A25="","",IFERROR(INDEX(計算用!$M$2:$M$186,MATCH("男"&amp;$A25&amp;"-2",計算用!$AN$2:$AN$186,0)),""))</f>
        <v/>
      </c>
      <c r="I25" s="26">
        <f>IF($A25="","",IFERROR(INDEX(計算用!$I$2:$I$186,MATCH("男"&amp;$A25&amp;"-2",計算用!$AN$2:$AN$186,0)),""))</f>
        <v/>
      </c>
      <c r="J25">
        <f>IF($A25="","",IFERROR(INDEX(計算用!$D$2:$D$186,MATCH("男"&amp;$A25&amp;"-3",計算用!$AN$2:$AN$186,0)),""))</f>
        <v/>
      </c>
      <c r="K25" s="26">
        <f>IF($A25="","",IFERROR(INDEX(計算用!$M$2:$M$186,MATCH("男"&amp;$A25&amp;"-3",計算用!$AN$2:$AN$186,0)),""))</f>
        <v/>
      </c>
      <c r="L25" s="26">
        <f>IF($A25="","",IFERROR(INDEX(計算用!$I$2:$I$186,MATCH("男"&amp;$A25&amp;"-3",計算用!$AN$2:$AN$186,0)),""))</f>
        <v/>
      </c>
      <c r="M25">
        <f>IF($A25="","",IFERROR(INDEX(計算用!$D$2:$D$186,MATCH("男"&amp;$A25&amp;"-4",計算用!$AN$2:$AN$186,0)),""))</f>
        <v/>
      </c>
      <c r="N25" s="26">
        <f>IF($A25="","",IFERROR(INDEX(計算用!$M$2:$M$186,MATCH("男"&amp;$A25&amp;"-4",計算用!$AN$2:$AN$186,0)),""))</f>
        <v/>
      </c>
      <c r="O25" s="26">
        <f>IF($A25="","",IFERROR(INDEX(計算用!$I$2:$I$186,MATCH("男"&amp;$A25&amp;"-4",計算用!$AN$2:$AN$186,0)),""))</f>
        <v/>
      </c>
      <c r="Q25" s="26">
        <f>IF(ROW()-3&lt;=計算用!$Q$11,ROW()-3,"")</f>
        <v/>
      </c>
      <c r="R25" s="26">
        <f>IF($Q25="","",INDEX(計算用!$AC$2:$AC$51,$Q25))</f>
        <v/>
      </c>
      <c r="S25" s="26">
        <f>IF($Q25="","","赤"&amp;INDEX(計算用!$AF$2:$AF$51,$Q25)&amp;"白"&amp;INDEX(計算用!$AG$2:$AG$51,$Q25))</f>
        <v/>
      </c>
      <c r="T25">
        <f>IF($Q25="","",IFERROR(INDEX(計算用!$D$2:$D$186,MATCH("女"&amp;$Q25&amp;"-1",計算用!$AN$2:$AN$186,0)),""))</f>
        <v/>
      </c>
      <c r="U25" s="26">
        <f>IF($Q25="","",IFERROR(INDEX(計算用!$M$2:$M$186,MATCH("女"&amp;$Q25&amp;"-1",計算用!$AN$2:$AN$186,0)),""))</f>
        <v/>
      </c>
      <c r="V25" s="26">
        <f>IF($Q25="","",IFERROR(INDEX(計算用!$I$2:$I$186,MATCH("女"&amp;$Q25&amp;"-1",計算用!$AN$2:$AN$186,0)),""))</f>
        <v/>
      </c>
      <c r="W25">
        <f>IF($Q25="","",IFERROR(INDEX(計算用!$D$2:$D$186,MATCH("女"&amp;$Q25&amp;"-2",計算用!$AN$2:$AN$186,0)),""))</f>
        <v/>
      </c>
      <c r="X25" s="26">
        <f>IF($Q25="","",IFERROR(INDEX(計算用!$M$2:$M$186,MATCH("女"&amp;$Q25&amp;"-2",計算用!$AN$2:$AN$186,0)),""))</f>
        <v/>
      </c>
      <c r="Y25" s="26">
        <f>IF($Q25="","",IFERROR(INDEX(計算用!$I$2:$I$186,MATCH("女"&amp;$Q25&amp;"-2",計算用!$AN$2:$AN$186,0)),""))</f>
        <v/>
      </c>
      <c r="Z25">
        <f>IF($Q25="","",IFERROR(INDEX(計算用!$D$2:$D$186,MATCH("女"&amp;$Q25&amp;"-3",計算用!$AN$2:$AN$186,0)),""))</f>
        <v/>
      </c>
      <c r="AA25" s="26">
        <f>IF($Q25="","",IFERROR(INDEX(計算用!$M$2:$M$186,MATCH("女"&amp;$Q25&amp;"-3",計算用!$AN$2:$AN$186,0)),""))</f>
        <v/>
      </c>
      <c r="AB25" s="26">
        <f>IF($Q25="","",IFERROR(INDEX(計算用!$I$2:$I$186,MATCH("女"&amp;$Q25&amp;"-3",計算用!$AN$2:$AN$186,0)),""))</f>
        <v/>
      </c>
      <c r="AC25">
        <f>IF($Q25="","",IFERROR(INDEX(計算用!$D$2:$D$186,MATCH("女"&amp;$Q25&amp;"-4",計算用!$AN$2:$AN$186,0)),""))</f>
        <v/>
      </c>
      <c r="AD25" s="26">
        <f>IF($Q25="","",IFERROR(INDEX(計算用!$M$2:$M$186,MATCH("女"&amp;$Q25&amp;"-4",計算用!$AN$2:$AN$186,0)),""))</f>
        <v/>
      </c>
      <c r="AE25" s="26">
        <f>IF($Q25="","",IFERROR(INDEX(計算用!$I$2:$I$186,MATCH("女"&amp;$Q25&amp;"-4",計算用!$AN$2:$AN$186,0)),""))</f>
        <v/>
      </c>
    </row>
    <row r="26">
      <c r="A26" s="26">
        <f>IF(ROW()-3&lt;=計算用!$Q$9,ROW()-3,"")</f>
        <v/>
      </c>
      <c r="B26" s="26">
        <f>IF($A26="","",INDEX(計算用!$T$2:$T$51,$A26))</f>
        <v/>
      </c>
      <c r="C26" s="26">
        <f>IF($A26="","","赤"&amp;INDEX(計算用!$W$2:$W$51,$A26)&amp;"白"&amp;INDEX(計算用!$X$2:$X$51,$A26))</f>
        <v/>
      </c>
      <c r="D26">
        <f>IF($A26="","",IFERROR(INDEX(計算用!$D$2:$D$186,MATCH("男"&amp;$A26&amp;"-1",計算用!$AN$2:$AN$186,0)),""))</f>
        <v/>
      </c>
      <c r="E26" s="26">
        <f>IF($A26="","",IFERROR(INDEX(計算用!$M$2:$M$186,MATCH("男"&amp;$A26&amp;"-1",計算用!$AN$2:$AN$186,0)),""))</f>
        <v/>
      </c>
      <c r="F26" s="26">
        <f>IF($A26="","",IFERROR(INDEX(計算用!$I$2:$I$186,MATCH("男"&amp;$A26&amp;"-1",計算用!$AN$2:$AN$186,0)),""))</f>
        <v/>
      </c>
      <c r="G26">
        <f>IF($A26="","",IFERROR(INDEX(計算用!$D$2:$D$186,MATCH("男"&amp;$A26&amp;"-2",計算用!$AN$2:$AN$186,0)),""))</f>
        <v/>
      </c>
      <c r="H26" s="26">
        <f>IF($A26="","",IFERROR(INDEX(計算用!$M$2:$M$186,MATCH("男"&amp;$A26&amp;"-2",計算用!$AN$2:$AN$186,0)),""))</f>
        <v/>
      </c>
      <c r="I26" s="26">
        <f>IF($A26="","",IFERROR(INDEX(計算用!$I$2:$I$186,MATCH("男"&amp;$A26&amp;"-2",計算用!$AN$2:$AN$186,0)),""))</f>
        <v/>
      </c>
      <c r="J26">
        <f>IF($A26="","",IFERROR(INDEX(計算用!$D$2:$D$186,MATCH("男"&amp;$A26&amp;"-3",計算用!$AN$2:$AN$186,0)),""))</f>
        <v/>
      </c>
      <c r="K26" s="26">
        <f>IF($A26="","",IFERROR(INDEX(計算用!$M$2:$M$186,MATCH("男"&amp;$A26&amp;"-3",計算用!$AN$2:$AN$186,0)),""))</f>
        <v/>
      </c>
      <c r="L26" s="26">
        <f>IF($A26="","",IFERROR(INDEX(計算用!$I$2:$I$186,MATCH("男"&amp;$A26&amp;"-3",計算用!$AN$2:$AN$186,0)),""))</f>
        <v/>
      </c>
      <c r="M26">
        <f>IF($A26="","",IFERROR(INDEX(計算用!$D$2:$D$186,MATCH("男"&amp;$A26&amp;"-4",計算用!$AN$2:$AN$186,0)),""))</f>
        <v/>
      </c>
      <c r="N26" s="26">
        <f>IF($A26="","",IFERROR(INDEX(計算用!$M$2:$M$186,MATCH("男"&amp;$A26&amp;"-4",計算用!$AN$2:$AN$186,0)),""))</f>
        <v/>
      </c>
      <c r="O26" s="26">
        <f>IF($A26="","",IFERROR(INDEX(計算用!$I$2:$I$186,MATCH("男"&amp;$A26&amp;"-4",計算用!$AN$2:$AN$186,0)),""))</f>
        <v/>
      </c>
      <c r="Q26" s="26">
        <f>IF(ROW()-3&lt;=計算用!$Q$11,ROW()-3,"")</f>
        <v/>
      </c>
      <c r="R26" s="26">
        <f>IF($Q26="","",INDEX(計算用!$AC$2:$AC$51,$Q26))</f>
        <v/>
      </c>
      <c r="S26" s="26">
        <f>IF($Q26="","","赤"&amp;INDEX(計算用!$AF$2:$AF$51,$Q26)&amp;"白"&amp;INDEX(計算用!$AG$2:$AG$51,$Q26))</f>
        <v/>
      </c>
      <c r="T26">
        <f>IF($Q26="","",IFERROR(INDEX(計算用!$D$2:$D$186,MATCH("女"&amp;$Q26&amp;"-1",計算用!$AN$2:$AN$186,0)),""))</f>
        <v/>
      </c>
      <c r="U26" s="26">
        <f>IF($Q26="","",IFERROR(INDEX(計算用!$M$2:$M$186,MATCH("女"&amp;$Q26&amp;"-1",計算用!$AN$2:$AN$186,0)),""))</f>
        <v/>
      </c>
      <c r="V26" s="26">
        <f>IF($Q26="","",IFERROR(INDEX(計算用!$I$2:$I$186,MATCH("女"&amp;$Q26&amp;"-1",計算用!$AN$2:$AN$186,0)),""))</f>
        <v/>
      </c>
      <c r="W26">
        <f>IF($Q26="","",IFERROR(INDEX(計算用!$D$2:$D$186,MATCH("女"&amp;$Q26&amp;"-2",計算用!$AN$2:$AN$186,0)),""))</f>
        <v/>
      </c>
      <c r="X26" s="26">
        <f>IF($Q26="","",IFERROR(INDEX(計算用!$M$2:$M$186,MATCH("女"&amp;$Q26&amp;"-2",計算用!$AN$2:$AN$186,0)),""))</f>
        <v/>
      </c>
      <c r="Y26" s="26">
        <f>IF($Q26="","",IFERROR(INDEX(計算用!$I$2:$I$186,MATCH("女"&amp;$Q26&amp;"-2",計算用!$AN$2:$AN$186,0)),""))</f>
        <v/>
      </c>
      <c r="Z26">
        <f>IF($Q26="","",IFERROR(INDEX(計算用!$D$2:$D$186,MATCH("女"&amp;$Q26&amp;"-3",計算用!$AN$2:$AN$186,0)),""))</f>
        <v/>
      </c>
      <c r="AA26" s="26">
        <f>IF($Q26="","",IFERROR(INDEX(計算用!$M$2:$M$186,MATCH("女"&amp;$Q26&amp;"-3",計算用!$AN$2:$AN$186,0)),""))</f>
        <v/>
      </c>
      <c r="AB26" s="26">
        <f>IF($Q26="","",IFERROR(INDEX(計算用!$I$2:$I$186,MATCH("女"&amp;$Q26&amp;"-3",計算用!$AN$2:$AN$186,0)),""))</f>
        <v/>
      </c>
      <c r="AC26">
        <f>IF($Q26="","",IFERROR(INDEX(計算用!$D$2:$D$186,MATCH("女"&amp;$Q26&amp;"-4",計算用!$AN$2:$AN$186,0)),""))</f>
        <v/>
      </c>
      <c r="AD26" s="26">
        <f>IF($Q26="","",IFERROR(INDEX(計算用!$M$2:$M$186,MATCH("女"&amp;$Q26&amp;"-4",計算用!$AN$2:$AN$186,0)),""))</f>
        <v/>
      </c>
      <c r="AE26" s="26">
        <f>IF($Q26="","",IFERROR(INDEX(計算用!$I$2:$I$186,MATCH("女"&amp;$Q26&amp;"-4",計算用!$AN$2:$AN$186,0)),""))</f>
        <v/>
      </c>
    </row>
    <row r="27">
      <c r="A27" s="26">
        <f>IF(ROW()-3&lt;=計算用!$Q$9,ROW()-3,"")</f>
        <v/>
      </c>
      <c r="B27" s="26">
        <f>IF($A27="","",INDEX(計算用!$T$2:$T$51,$A27))</f>
        <v/>
      </c>
      <c r="C27" s="26">
        <f>IF($A27="","","赤"&amp;INDEX(計算用!$W$2:$W$51,$A27)&amp;"白"&amp;INDEX(計算用!$X$2:$X$51,$A27))</f>
        <v/>
      </c>
      <c r="D27">
        <f>IF($A27="","",IFERROR(INDEX(計算用!$D$2:$D$186,MATCH("男"&amp;$A27&amp;"-1",計算用!$AN$2:$AN$186,0)),""))</f>
        <v/>
      </c>
      <c r="E27" s="26">
        <f>IF($A27="","",IFERROR(INDEX(計算用!$M$2:$M$186,MATCH("男"&amp;$A27&amp;"-1",計算用!$AN$2:$AN$186,0)),""))</f>
        <v/>
      </c>
      <c r="F27" s="26">
        <f>IF($A27="","",IFERROR(INDEX(計算用!$I$2:$I$186,MATCH("男"&amp;$A27&amp;"-1",計算用!$AN$2:$AN$186,0)),""))</f>
        <v/>
      </c>
      <c r="G27">
        <f>IF($A27="","",IFERROR(INDEX(計算用!$D$2:$D$186,MATCH("男"&amp;$A27&amp;"-2",計算用!$AN$2:$AN$186,0)),""))</f>
        <v/>
      </c>
      <c r="H27" s="26">
        <f>IF($A27="","",IFERROR(INDEX(計算用!$M$2:$M$186,MATCH("男"&amp;$A27&amp;"-2",計算用!$AN$2:$AN$186,0)),""))</f>
        <v/>
      </c>
      <c r="I27" s="26">
        <f>IF($A27="","",IFERROR(INDEX(計算用!$I$2:$I$186,MATCH("男"&amp;$A27&amp;"-2",計算用!$AN$2:$AN$186,0)),""))</f>
        <v/>
      </c>
      <c r="J27">
        <f>IF($A27="","",IFERROR(INDEX(計算用!$D$2:$D$186,MATCH("男"&amp;$A27&amp;"-3",計算用!$AN$2:$AN$186,0)),""))</f>
        <v/>
      </c>
      <c r="K27" s="26">
        <f>IF($A27="","",IFERROR(INDEX(計算用!$M$2:$M$186,MATCH("男"&amp;$A27&amp;"-3",計算用!$AN$2:$AN$186,0)),""))</f>
        <v/>
      </c>
      <c r="L27" s="26">
        <f>IF($A27="","",IFERROR(INDEX(計算用!$I$2:$I$186,MATCH("男"&amp;$A27&amp;"-3",計算用!$AN$2:$AN$186,0)),""))</f>
        <v/>
      </c>
      <c r="M27">
        <f>IF($A27="","",IFERROR(INDEX(計算用!$D$2:$D$186,MATCH("男"&amp;$A27&amp;"-4",計算用!$AN$2:$AN$186,0)),""))</f>
        <v/>
      </c>
      <c r="N27" s="26">
        <f>IF($A27="","",IFERROR(INDEX(計算用!$M$2:$M$186,MATCH("男"&amp;$A27&amp;"-4",計算用!$AN$2:$AN$186,0)),""))</f>
        <v/>
      </c>
      <c r="O27" s="26">
        <f>IF($A27="","",IFERROR(INDEX(計算用!$I$2:$I$186,MATCH("男"&amp;$A27&amp;"-4",計算用!$AN$2:$AN$186,0)),""))</f>
        <v/>
      </c>
      <c r="Q27" s="26">
        <f>IF(ROW()-3&lt;=計算用!$Q$11,ROW()-3,"")</f>
        <v/>
      </c>
      <c r="R27" s="26">
        <f>IF($Q27="","",INDEX(計算用!$AC$2:$AC$51,$Q27))</f>
        <v/>
      </c>
      <c r="S27" s="26">
        <f>IF($Q27="","","赤"&amp;INDEX(計算用!$AF$2:$AF$51,$Q27)&amp;"白"&amp;INDEX(計算用!$AG$2:$AG$51,$Q27))</f>
        <v/>
      </c>
      <c r="T27">
        <f>IF($Q27="","",IFERROR(INDEX(計算用!$D$2:$D$186,MATCH("女"&amp;$Q27&amp;"-1",計算用!$AN$2:$AN$186,0)),""))</f>
        <v/>
      </c>
      <c r="U27" s="26">
        <f>IF($Q27="","",IFERROR(INDEX(計算用!$M$2:$M$186,MATCH("女"&amp;$Q27&amp;"-1",計算用!$AN$2:$AN$186,0)),""))</f>
        <v/>
      </c>
      <c r="V27" s="26">
        <f>IF($Q27="","",IFERROR(INDEX(計算用!$I$2:$I$186,MATCH("女"&amp;$Q27&amp;"-1",計算用!$AN$2:$AN$186,0)),""))</f>
        <v/>
      </c>
      <c r="W27">
        <f>IF($Q27="","",IFERROR(INDEX(計算用!$D$2:$D$186,MATCH("女"&amp;$Q27&amp;"-2",計算用!$AN$2:$AN$186,0)),""))</f>
        <v/>
      </c>
      <c r="X27" s="26">
        <f>IF($Q27="","",IFERROR(INDEX(計算用!$M$2:$M$186,MATCH("女"&amp;$Q27&amp;"-2",計算用!$AN$2:$AN$186,0)),""))</f>
        <v/>
      </c>
      <c r="Y27" s="26">
        <f>IF($Q27="","",IFERROR(INDEX(計算用!$I$2:$I$186,MATCH("女"&amp;$Q27&amp;"-2",計算用!$AN$2:$AN$186,0)),""))</f>
        <v/>
      </c>
      <c r="Z27">
        <f>IF($Q27="","",IFERROR(INDEX(計算用!$D$2:$D$186,MATCH("女"&amp;$Q27&amp;"-3",計算用!$AN$2:$AN$186,0)),""))</f>
        <v/>
      </c>
      <c r="AA27" s="26">
        <f>IF($Q27="","",IFERROR(INDEX(計算用!$M$2:$M$186,MATCH("女"&amp;$Q27&amp;"-3",計算用!$AN$2:$AN$186,0)),""))</f>
        <v/>
      </c>
      <c r="AB27" s="26">
        <f>IF($Q27="","",IFERROR(INDEX(計算用!$I$2:$I$186,MATCH("女"&amp;$Q27&amp;"-3",計算用!$AN$2:$AN$186,0)),""))</f>
        <v/>
      </c>
      <c r="AC27">
        <f>IF($Q27="","",IFERROR(INDEX(計算用!$D$2:$D$186,MATCH("女"&amp;$Q27&amp;"-4",計算用!$AN$2:$AN$186,0)),""))</f>
        <v/>
      </c>
      <c r="AD27" s="26">
        <f>IF($Q27="","",IFERROR(INDEX(計算用!$M$2:$M$186,MATCH("女"&amp;$Q27&amp;"-4",計算用!$AN$2:$AN$186,0)),""))</f>
        <v/>
      </c>
      <c r="AE27" s="26">
        <f>IF($Q27="","",IFERROR(INDEX(計算用!$I$2:$I$186,MATCH("女"&amp;$Q27&amp;"-4",計算用!$AN$2:$AN$186,0)),""))</f>
        <v/>
      </c>
    </row>
    <row r="28">
      <c r="A28" s="26">
        <f>IF(ROW()-3&lt;=計算用!$Q$9,ROW()-3,"")</f>
        <v/>
      </c>
      <c r="B28" s="26">
        <f>IF($A28="","",INDEX(計算用!$T$2:$T$51,$A28))</f>
        <v/>
      </c>
      <c r="C28" s="26">
        <f>IF($A28="","","赤"&amp;INDEX(計算用!$W$2:$W$51,$A28)&amp;"白"&amp;INDEX(計算用!$X$2:$X$51,$A28))</f>
        <v/>
      </c>
      <c r="D28">
        <f>IF($A28="","",IFERROR(INDEX(計算用!$D$2:$D$186,MATCH("男"&amp;$A28&amp;"-1",計算用!$AN$2:$AN$186,0)),""))</f>
        <v/>
      </c>
      <c r="E28" s="26">
        <f>IF($A28="","",IFERROR(INDEX(計算用!$M$2:$M$186,MATCH("男"&amp;$A28&amp;"-1",計算用!$AN$2:$AN$186,0)),""))</f>
        <v/>
      </c>
      <c r="F28" s="26">
        <f>IF($A28="","",IFERROR(INDEX(計算用!$I$2:$I$186,MATCH("男"&amp;$A28&amp;"-1",計算用!$AN$2:$AN$186,0)),""))</f>
        <v/>
      </c>
      <c r="G28">
        <f>IF($A28="","",IFERROR(INDEX(計算用!$D$2:$D$186,MATCH("男"&amp;$A28&amp;"-2",計算用!$AN$2:$AN$186,0)),""))</f>
        <v/>
      </c>
      <c r="H28" s="26">
        <f>IF($A28="","",IFERROR(INDEX(計算用!$M$2:$M$186,MATCH("男"&amp;$A28&amp;"-2",計算用!$AN$2:$AN$186,0)),""))</f>
        <v/>
      </c>
      <c r="I28" s="26">
        <f>IF($A28="","",IFERROR(INDEX(計算用!$I$2:$I$186,MATCH("男"&amp;$A28&amp;"-2",計算用!$AN$2:$AN$186,0)),""))</f>
        <v/>
      </c>
      <c r="J28">
        <f>IF($A28="","",IFERROR(INDEX(計算用!$D$2:$D$186,MATCH("男"&amp;$A28&amp;"-3",計算用!$AN$2:$AN$186,0)),""))</f>
        <v/>
      </c>
      <c r="K28" s="26">
        <f>IF($A28="","",IFERROR(INDEX(計算用!$M$2:$M$186,MATCH("男"&amp;$A28&amp;"-3",計算用!$AN$2:$AN$186,0)),""))</f>
        <v/>
      </c>
      <c r="L28" s="26">
        <f>IF($A28="","",IFERROR(INDEX(計算用!$I$2:$I$186,MATCH("男"&amp;$A28&amp;"-3",計算用!$AN$2:$AN$186,0)),""))</f>
        <v/>
      </c>
      <c r="M28">
        <f>IF($A28="","",IFERROR(INDEX(計算用!$D$2:$D$186,MATCH("男"&amp;$A28&amp;"-4",計算用!$AN$2:$AN$186,0)),""))</f>
        <v/>
      </c>
      <c r="N28" s="26">
        <f>IF($A28="","",IFERROR(INDEX(計算用!$M$2:$M$186,MATCH("男"&amp;$A28&amp;"-4",計算用!$AN$2:$AN$186,0)),""))</f>
        <v/>
      </c>
      <c r="O28" s="26">
        <f>IF($A28="","",IFERROR(INDEX(計算用!$I$2:$I$186,MATCH("男"&amp;$A28&amp;"-4",計算用!$AN$2:$AN$186,0)),""))</f>
        <v/>
      </c>
      <c r="Q28" s="26">
        <f>IF(ROW()-3&lt;=計算用!$Q$11,ROW()-3,"")</f>
        <v/>
      </c>
      <c r="R28" s="26">
        <f>IF($Q28="","",INDEX(計算用!$AC$2:$AC$51,$Q28))</f>
        <v/>
      </c>
      <c r="S28" s="26">
        <f>IF($Q28="","","赤"&amp;INDEX(計算用!$AF$2:$AF$51,$Q28)&amp;"白"&amp;INDEX(計算用!$AG$2:$AG$51,$Q28))</f>
        <v/>
      </c>
      <c r="T28">
        <f>IF($Q28="","",IFERROR(INDEX(計算用!$D$2:$D$186,MATCH("女"&amp;$Q28&amp;"-1",計算用!$AN$2:$AN$186,0)),""))</f>
        <v/>
      </c>
      <c r="U28" s="26">
        <f>IF($Q28="","",IFERROR(INDEX(計算用!$M$2:$M$186,MATCH("女"&amp;$Q28&amp;"-1",計算用!$AN$2:$AN$186,0)),""))</f>
        <v/>
      </c>
      <c r="V28" s="26">
        <f>IF($Q28="","",IFERROR(INDEX(計算用!$I$2:$I$186,MATCH("女"&amp;$Q28&amp;"-1",計算用!$AN$2:$AN$186,0)),""))</f>
        <v/>
      </c>
      <c r="W28">
        <f>IF($Q28="","",IFERROR(INDEX(計算用!$D$2:$D$186,MATCH("女"&amp;$Q28&amp;"-2",計算用!$AN$2:$AN$186,0)),""))</f>
        <v/>
      </c>
      <c r="X28" s="26">
        <f>IF($Q28="","",IFERROR(INDEX(計算用!$M$2:$M$186,MATCH("女"&amp;$Q28&amp;"-2",計算用!$AN$2:$AN$186,0)),""))</f>
        <v/>
      </c>
      <c r="Y28" s="26">
        <f>IF($Q28="","",IFERROR(INDEX(計算用!$I$2:$I$186,MATCH("女"&amp;$Q28&amp;"-2",計算用!$AN$2:$AN$186,0)),""))</f>
        <v/>
      </c>
      <c r="Z28">
        <f>IF($Q28="","",IFERROR(INDEX(計算用!$D$2:$D$186,MATCH("女"&amp;$Q28&amp;"-3",計算用!$AN$2:$AN$186,0)),""))</f>
        <v/>
      </c>
      <c r="AA28" s="26">
        <f>IF($Q28="","",IFERROR(INDEX(計算用!$M$2:$M$186,MATCH("女"&amp;$Q28&amp;"-3",計算用!$AN$2:$AN$186,0)),""))</f>
        <v/>
      </c>
      <c r="AB28" s="26">
        <f>IF($Q28="","",IFERROR(INDEX(計算用!$I$2:$I$186,MATCH("女"&amp;$Q28&amp;"-3",計算用!$AN$2:$AN$186,0)),""))</f>
        <v/>
      </c>
      <c r="AC28">
        <f>IF($Q28="","",IFERROR(INDEX(計算用!$D$2:$D$186,MATCH("女"&amp;$Q28&amp;"-4",計算用!$AN$2:$AN$186,0)),""))</f>
        <v/>
      </c>
      <c r="AD28" s="26">
        <f>IF($Q28="","",IFERROR(INDEX(計算用!$M$2:$M$186,MATCH("女"&amp;$Q28&amp;"-4",計算用!$AN$2:$AN$186,0)),""))</f>
        <v/>
      </c>
      <c r="AE28" s="26">
        <f>IF($Q28="","",IFERROR(INDEX(計算用!$I$2:$I$186,MATCH("女"&amp;$Q28&amp;"-4",計算用!$AN$2:$AN$186,0)),""))</f>
        <v/>
      </c>
    </row>
    <row r="29">
      <c r="A29" s="26">
        <f>IF(ROW()-3&lt;=計算用!$Q$9,ROW()-3,"")</f>
        <v/>
      </c>
      <c r="B29" s="26">
        <f>IF($A29="","",INDEX(計算用!$T$2:$T$51,$A29))</f>
        <v/>
      </c>
      <c r="C29" s="26">
        <f>IF($A29="","","赤"&amp;INDEX(計算用!$W$2:$W$51,$A29)&amp;"白"&amp;INDEX(計算用!$X$2:$X$51,$A29))</f>
        <v/>
      </c>
      <c r="D29">
        <f>IF($A29="","",IFERROR(INDEX(計算用!$D$2:$D$186,MATCH("男"&amp;$A29&amp;"-1",計算用!$AN$2:$AN$186,0)),""))</f>
        <v/>
      </c>
      <c r="E29" s="26">
        <f>IF($A29="","",IFERROR(INDEX(計算用!$M$2:$M$186,MATCH("男"&amp;$A29&amp;"-1",計算用!$AN$2:$AN$186,0)),""))</f>
        <v/>
      </c>
      <c r="F29" s="26">
        <f>IF($A29="","",IFERROR(INDEX(計算用!$I$2:$I$186,MATCH("男"&amp;$A29&amp;"-1",計算用!$AN$2:$AN$186,0)),""))</f>
        <v/>
      </c>
      <c r="G29">
        <f>IF($A29="","",IFERROR(INDEX(計算用!$D$2:$D$186,MATCH("男"&amp;$A29&amp;"-2",計算用!$AN$2:$AN$186,0)),""))</f>
        <v/>
      </c>
      <c r="H29" s="26">
        <f>IF($A29="","",IFERROR(INDEX(計算用!$M$2:$M$186,MATCH("男"&amp;$A29&amp;"-2",計算用!$AN$2:$AN$186,0)),""))</f>
        <v/>
      </c>
      <c r="I29" s="26">
        <f>IF($A29="","",IFERROR(INDEX(計算用!$I$2:$I$186,MATCH("男"&amp;$A29&amp;"-2",計算用!$AN$2:$AN$186,0)),""))</f>
        <v/>
      </c>
      <c r="J29">
        <f>IF($A29="","",IFERROR(INDEX(計算用!$D$2:$D$186,MATCH("男"&amp;$A29&amp;"-3",計算用!$AN$2:$AN$186,0)),""))</f>
        <v/>
      </c>
      <c r="K29" s="26">
        <f>IF($A29="","",IFERROR(INDEX(計算用!$M$2:$M$186,MATCH("男"&amp;$A29&amp;"-3",計算用!$AN$2:$AN$186,0)),""))</f>
        <v/>
      </c>
      <c r="L29" s="26">
        <f>IF($A29="","",IFERROR(INDEX(計算用!$I$2:$I$186,MATCH("男"&amp;$A29&amp;"-3",計算用!$AN$2:$AN$186,0)),""))</f>
        <v/>
      </c>
      <c r="M29">
        <f>IF($A29="","",IFERROR(INDEX(計算用!$D$2:$D$186,MATCH("男"&amp;$A29&amp;"-4",計算用!$AN$2:$AN$186,0)),""))</f>
        <v/>
      </c>
      <c r="N29" s="26">
        <f>IF($A29="","",IFERROR(INDEX(計算用!$M$2:$M$186,MATCH("男"&amp;$A29&amp;"-4",計算用!$AN$2:$AN$186,0)),""))</f>
        <v/>
      </c>
      <c r="O29" s="26">
        <f>IF($A29="","",IFERROR(INDEX(計算用!$I$2:$I$186,MATCH("男"&amp;$A29&amp;"-4",計算用!$AN$2:$AN$186,0)),""))</f>
        <v/>
      </c>
      <c r="Q29" s="26">
        <f>IF(ROW()-3&lt;=計算用!$Q$11,ROW()-3,"")</f>
        <v/>
      </c>
      <c r="R29" s="26">
        <f>IF($Q29="","",INDEX(計算用!$AC$2:$AC$51,$Q29))</f>
        <v/>
      </c>
      <c r="S29" s="26">
        <f>IF($Q29="","","赤"&amp;INDEX(計算用!$AF$2:$AF$51,$Q29)&amp;"白"&amp;INDEX(計算用!$AG$2:$AG$51,$Q29))</f>
        <v/>
      </c>
      <c r="T29">
        <f>IF($Q29="","",IFERROR(INDEX(計算用!$D$2:$D$186,MATCH("女"&amp;$Q29&amp;"-1",計算用!$AN$2:$AN$186,0)),""))</f>
        <v/>
      </c>
      <c r="U29" s="26">
        <f>IF($Q29="","",IFERROR(INDEX(計算用!$M$2:$M$186,MATCH("女"&amp;$Q29&amp;"-1",計算用!$AN$2:$AN$186,0)),""))</f>
        <v/>
      </c>
      <c r="V29" s="26">
        <f>IF($Q29="","",IFERROR(INDEX(計算用!$I$2:$I$186,MATCH("女"&amp;$Q29&amp;"-1",計算用!$AN$2:$AN$186,0)),""))</f>
        <v/>
      </c>
      <c r="W29">
        <f>IF($Q29="","",IFERROR(INDEX(計算用!$D$2:$D$186,MATCH("女"&amp;$Q29&amp;"-2",計算用!$AN$2:$AN$186,0)),""))</f>
        <v/>
      </c>
      <c r="X29" s="26">
        <f>IF($Q29="","",IFERROR(INDEX(計算用!$M$2:$M$186,MATCH("女"&amp;$Q29&amp;"-2",計算用!$AN$2:$AN$186,0)),""))</f>
        <v/>
      </c>
      <c r="Y29" s="26">
        <f>IF($Q29="","",IFERROR(INDEX(計算用!$I$2:$I$186,MATCH("女"&amp;$Q29&amp;"-2",計算用!$AN$2:$AN$186,0)),""))</f>
        <v/>
      </c>
      <c r="Z29">
        <f>IF($Q29="","",IFERROR(INDEX(計算用!$D$2:$D$186,MATCH("女"&amp;$Q29&amp;"-3",計算用!$AN$2:$AN$186,0)),""))</f>
        <v/>
      </c>
      <c r="AA29" s="26">
        <f>IF($Q29="","",IFERROR(INDEX(計算用!$M$2:$M$186,MATCH("女"&amp;$Q29&amp;"-3",計算用!$AN$2:$AN$186,0)),""))</f>
        <v/>
      </c>
      <c r="AB29" s="26">
        <f>IF($Q29="","",IFERROR(INDEX(計算用!$I$2:$I$186,MATCH("女"&amp;$Q29&amp;"-3",計算用!$AN$2:$AN$186,0)),""))</f>
        <v/>
      </c>
      <c r="AC29">
        <f>IF($Q29="","",IFERROR(INDEX(計算用!$D$2:$D$186,MATCH("女"&amp;$Q29&amp;"-4",計算用!$AN$2:$AN$186,0)),""))</f>
        <v/>
      </c>
      <c r="AD29" s="26">
        <f>IF($Q29="","",IFERROR(INDEX(計算用!$M$2:$M$186,MATCH("女"&amp;$Q29&amp;"-4",計算用!$AN$2:$AN$186,0)),""))</f>
        <v/>
      </c>
      <c r="AE29" s="26">
        <f>IF($Q29="","",IFERROR(INDEX(計算用!$I$2:$I$186,MATCH("女"&amp;$Q29&amp;"-4",計算用!$AN$2:$AN$186,0)),""))</f>
        <v/>
      </c>
    </row>
    <row r="30">
      <c r="A30" s="26">
        <f>IF(ROW()-3&lt;=計算用!$Q$9,ROW()-3,"")</f>
        <v/>
      </c>
      <c r="B30" s="26">
        <f>IF($A30="","",INDEX(計算用!$T$2:$T$51,$A30))</f>
        <v/>
      </c>
      <c r="C30" s="26">
        <f>IF($A30="","","赤"&amp;INDEX(計算用!$W$2:$W$51,$A30)&amp;"白"&amp;INDEX(計算用!$X$2:$X$51,$A30))</f>
        <v/>
      </c>
      <c r="D30">
        <f>IF($A30="","",IFERROR(INDEX(計算用!$D$2:$D$186,MATCH("男"&amp;$A30&amp;"-1",計算用!$AN$2:$AN$186,0)),""))</f>
        <v/>
      </c>
      <c r="E30" s="26">
        <f>IF($A30="","",IFERROR(INDEX(計算用!$M$2:$M$186,MATCH("男"&amp;$A30&amp;"-1",計算用!$AN$2:$AN$186,0)),""))</f>
        <v/>
      </c>
      <c r="F30" s="26">
        <f>IF($A30="","",IFERROR(INDEX(計算用!$I$2:$I$186,MATCH("男"&amp;$A30&amp;"-1",計算用!$AN$2:$AN$186,0)),""))</f>
        <v/>
      </c>
      <c r="G30">
        <f>IF($A30="","",IFERROR(INDEX(計算用!$D$2:$D$186,MATCH("男"&amp;$A30&amp;"-2",計算用!$AN$2:$AN$186,0)),""))</f>
        <v/>
      </c>
      <c r="H30" s="26">
        <f>IF($A30="","",IFERROR(INDEX(計算用!$M$2:$M$186,MATCH("男"&amp;$A30&amp;"-2",計算用!$AN$2:$AN$186,0)),""))</f>
        <v/>
      </c>
      <c r="I30" s="26">
        <f>IF($A30="","",IFERROR(INDEX(計算用!$I$2:$I$186,MATCH("男"&amp;$A30&amp;"-2",計算用!$AN$2:$AN$186,0)),""))</f>
        <v/>
      </c>
      <c r="J30">
        <f>IF($A30="","",IFERROR(INDEX(計算用!$D$2:$D$186,MATCH("男"&amp;$A30&amp;"-3",計算用!$AN$2:$AN$186,0)),""))</f>
        <v/>
      </c>
      <c r="K30" s="26">
        <f>IF($A30="","",IFERROR(INDEX(計算用!$M$2:$M$186,MATCH("男"&amp;$A30&amp;"-3",計算用!$AN$2:$AN$186,0)),""))</f>
        <v/>
      </c>
      <c r="L30" s="26">
        <f>IF($A30="","",IFERROR(INDEX(計算用!$I$2:$I$186,MATCH("男"&amp;$A30&amp;"-3",計算用!$AN$2:$AN$186,0)),""))</f>
        <v/>
      </c>
      <c r="M30">
        <f>IF($A30="","",IFERROR(INDEX(計算用!$D$2:$D$186,MATCH("男"&amp;$A30&amp;"-4",計算用!$AN$2:$AN$186,0)),""))</f>
        <v/>
      </c>
      <c r="N30" s="26">
        <f>IF($A30="","",IFERROR(INDEX(計算用!$M$2:$M$186,MATCH("男"&amp;$A30&amp;"-4",計算用!$AN$2:$AN$186,0)),""))</f>
        <v/>
      </c>
      <c r="O30" s="26">
        <f>IF($A30="","",IFERROR(INDEX(計算用!$I$2:$I$186,MATCH("男"&amp;$A30&amp;"-4",計算用!$AN$2:$AN$186,0)),""))</f>
        <v/>
      </c>
      <c r="Q30" s="26">
        <f>IF(ROW()-3&lt;=計算用!$Q$11,ROW()-3,"")</f>
        <v/>
      </c>
      <c r="R30" s="26">
        <f>IF($Q30="","",INDEX(計算用!$AC$2:$AC$51,$Q30))</f>
        <v/>
      </c>
      <c r="S30" s="26">
        <f>IF($Q30="","","赤"&amp;INDEX(計算用!$AF$2:$AF$51,$Q30)&amp;"白"&amp;INDEX(計算用!$AG$2:$AG$51,$Q30))</f>
        <v/>
      </c>
      <c r="T30">
        <f>IF($Q30="","",IFERROR(INDEX(計算用!$D$2:$D$186,MATCH("女"&amp;$Q30&amp;"-1",計算用!$AN$2:$AN$186,0)),""))</f>
        <v/>
      </c>
      <c r="U30" s="26">
        <f>IF($Q30="","",IFERROR(INDEX(計算用!$M$2:$M$186,MATCH("女"&amp;$Q30&amp;"-1",計算用!$AN$2:$AN$186,0)),""))</f>
        <v/>
      </c>
      <c r="V30" s="26">
        <f>IF($Q30="","",IFERROR(INDEX(計算用!$I$2:$I$186,MATCH("女"&amp;$Q30&amp;"-1",計算用!$AN$2:$AN$186,0)),""))</f>
        <v/>
      </c>
      <c r="W30">
        <f>IF($Q30="","",IFERROR(INDEX(計算用!$D$2:$D$186,MATCH("女"&amp;$Q30&amp;"-2",計算用!$AN$2:$AN$186,0)),""))</f>
        <v/>
      </c>
      <c r="X30" s="26">
        <f>IF($Q30="","",IFERROR(INDEX(計算用!$M$2:$M$186,MATCH("女"&amp;$Q30&amp;"-2",計算用!$AN$2:$AN$186,0)),""))</f>
        <v/>
      </c>
      <c r="Y30" s="26">
        <f>IF($Q30="","",IFERROR(INDEX(計算用!$I$2:$I$186,MATCH("女"&amp;$Q30&amp;"-2",計算用!$AN$2:$AN$186,0)),""))</f>
        <v/>
      </c>
      <c r="Z30">
        <f>IF($Q30="","",IFERROR(INDEX(計算用!$D$2:$D$186,MATCH("女"&amp;$Q30&amp;"-3",計算用!$AN$2:$AN$186,0)),""))</f>
        <v/>
      </c>
      <c r="AA30" s="26">
        <f>IF($Q30="","",IFERROR(INDEX(計算用!$M$2:$M$186,MATCH("女"&amp;$Q30&amp;"-3",計算用!$AN$2:$AN$186,0)),""))</f>
        <v/>
      </c>
      <c r="AB30" s="26">
        <f>IF($Q30="","",IFERROR(INDEX(計算用!$I$2:$I$186,MATCH("女"&amp;$Q30&amp;"-3",計算用!$AN$2:$AN$186,0)),""))</f>
        <v/>
      </c>
      <c r="AC30">
        <f>IF($Q30="","",IFERROR(INDEX(計算用!$D$2:$D$186,MATCH("女"&amp;$Q30&amp;"-4",計算用!$AN$2:$AN$186,0)),""))</f>
        <v/>
      </c>
      <c r="AD30" s="26">
        <f>IF($Q30="","",IFERROR(INDEX(計算用!$M$2:$M$186,MATCH("女"&amp;$Q30&amp;"-4",計算用!$AN$2:$AN$186,0)),""))</f>
        <v/>
      </c>
      <c r="AE30" s="26">
        <f>IF($Q30="","",IFERROR(INDEX(計算用!$I$2:$I$186,MATCH("女"&amp;$Q30&amp;"-4",計算用!$AN$2:$AN$186,0)),""))</f>
        <v/>
      </c>
    </row>
    <row r="31">
      <c r="A31" s="26">
        <f>IF(ROW()-3&lt;=計算用!$Q$9,ROW()-3,"")</f>
        <v/>
      </c>
      <c r="B31" s="26">
        <f>IF($A31="","",INDEX(計算用!$T$2:$T$51,$A31))</f>
        <v/>
      </c>
      <c r="C31" s="26">
        <f>IF($A31="","","赤"&amp;INDEX(計算用!$W$2:$W$51,$A31)&amp;"白"&amp;INDEX(計算用!$X$2:$X$51,$A31))</f>
        <v/>
      </c>
      <c r="D31">
        <f>IF($A31="","",IFERROR(INDEX(計算用!$D$2:$D$186,MATCH("男"&amp;$A31&amp;"-1",計算用!$AN$2:$AN$186,0)),""))</f>
        <v/>
      </c>
      <c r="E31" s="26">
        <f>IF($A31="","",IFERROR(INDEX(計算用!$M$2:$M$186,MATCH("男"&amp;$A31&amp;"-1",計算用!$AN$2:$AN$186,0)),""))</f>
        <v/>
      </c>
      <c r="F31" s="26">
        <f>IF($A31="","",IFERROR(INDEX(計算用!$I$2:$I$186,MATCH("男"&amp;$A31&amp;"-1",計算用!$AN$2:$AN$186,0)),""))</f>
        <v/>
      </c>
      <c r="G31">
        <f>IF($A31="","",IFERROR(INDEX(計算用!$D$2:$D$186,MATCH("男"&amp;$A31&amp;"-2",計算用!$AN$2:$AN$186,0)),""))</f>
        <v/>
      </c>
      <c r="H31" s="26">
        <f>IF($A31="","",IFERROR(INDEX(計算用!$M$2:$M$186,MATCH("男"&amp;$A31&amp;"-2",計算用!$AN$2:$AN$186,0)),""))</f>
        <v/>
      </c>
      <c r="I31" s="26">
        <f>IF($A31="","",IFERROR(INDEX(計算用!$I$2:$I$186,MATCH("男"&amp;$A31&amp;"-2",計算用!$AN$2:$AN$186,0)),""))</f>
        <v/>
      </c>
      <c r="J31">
        <f>IF($A31="","",IFERROR(INDEX(計算用!$D$2:$D$186,MATCH("男"&amp;$A31&amp;"-3",計算用!$AN$2:$AN$186,0)),""))</f>
        <v/>
      </c>
      <c r="K31" s="26">
        <f>IF($A31="","",IFERROR(INDEX(計算用!$M$2:$M$186,MATCH("男"&amp;$A31&amp;"-3",計算用!$AN$2:$AN$186,0)),""))</f>
        <v/>
      </c>
      <c r="L31" s="26">
        <f>IF($A31="","",IFERROR(INDEX(計算用!$I$2:$I$186,MATCH("男"&amp;$A31&amp;"-3",計算用!$AN$2:$AN$186,0)),""))</f>
        <v/>
      </c>
      <c r="M31">
        <f>IF($A31="","",IFERROR(INDEX(計算用!$D$2:$D$186,MATCH("男"&amp;$A31&amp;"-4",計算用!$AN$2:$AN$186,0)),""))</f>
        <v/>
      </c>
      <c r="N31" s="26">
        <f>IF($A31="","",IFERROR(INDEX(計算用!$M$2:$M$186,MATCH("男"&amp;$A31&amp;"-4",計算用!$AN$2:$AN$186,0)),""))</f>
        <v/>
      </c>
      <c r="O31" s="26">
        <f>IF($A31="","",IFERROR(INDEX(計算用!$I$2:$I$186,MATCH("男"&amp;$A31&amp;"-4",計算用!$AN$2:$AN$186,0)),""))</f>
        <v/>
      </c>
      <c r="Q31" s="26">
        <f>IF(ROW()-3&lt;=計算用!$Q$11,ROW()-3,"")</f>
        <v/>
      </c>
      <c r="R31" s="26">
        <f>IF($Q31="","",INDEX(計算用!$AC$2:$AC$51,$Q31))</f>
        <v/>
      </c>
      <c r="S31" s="26">
        <f>IF($Q31="","","赤"&amp;INDEX(計算用!$AF$2:$AF$51,$Q31)&amp;"白"&amp;INDEX(計算用!$AG$2:$AG$51,$Q31))</f>
        <v/>
      </c>
      <c r="T31">
        <f>IF($Q31="","",IFERROR(INDEX(計算用!$D$2:$D$186,MATCH("女"&amp;$Q31&amp;"-1",計算用!$AN$2:$AN$186,0)),""))</f>
        <v/>
      </c>
      <c r="U31" s="26">
        <f>IF($Q31="","",IFERROR(INDEX(計算用!$M$2:$M$186,MATCH("女"&amp;$Q31&amp;"-1",計算用!$AN$2:$AN$186,0)),""))</f>
        <v/>
      </c>
      <c r="V31" s="26">
        <f>IF($Q31="","",IFERROR(INDEX(計算用!$I$2:$I$186,MATCH("女"&amp;$Q31&amp;"-1",計算用!$AN$2:$AN$186,0)),""))</f>
        <v/>
      </c>
      <c r="W31">
        <f>IF($Q31="","",IFERROR(INDEX(計算用!$D$2:$D$186,MATCH("女"&amp;$Q31&amp;"-2",計算用!$AN$2:$AN$186,0)),""))</f>
        <v/>
      </c>
      <c r="X31" s="26">
        <f>IF($Q31="","",IFERROR(INDEX(計算用!$M$2:$M$186,MATCH("女"&amp;$Q31&amp;"-2",計算用!$AN$2:$AN$186,0)),""))</f>
        <v/>
      </c>
      <c r="Y31" s="26">
        <f>IF($Q31="","",IFERROR(INDEX(計算用!$I$2:$I$186,MATCH("女"&amp;$Q31&amp;"-2",計算用!$AN$2:$AN$186,0)),""))</f>
        <v/>
      </c>
      <c r="Z31">
        <f>IF($Q31="","",IFERROR(INDEX(計算用!$D$2:$D$186,MATCH("女"&amp;$Q31&amp;"-3",計算用!$AN$2:$AN$186,0)),""))</f>
        <v/>
      </c>
      <c r="AA31" s="26">
        <f>IF($Q31="","",IFERROR(INDEX(計算用!$M$2:$M$186,MATCH("女"&amp;$Q31&amp;"-3",計算用!$AN$2:$AN$186,0)),""))</f>
        <v/>
      </c>
      <c r="AB31" s="26">
        <f>IF($Q31="","",IFERROR(INDEX(計算用!$I$2:$I$186,MATCH("女"&amp;$Q31&amp;"-3",計算用!$AN$2:$AN$186,0)),""))</f>
        <v/>
      </c>
      <c r="AC31">
        <f>IF($Q31="","",IFERROR(INDEX(計算用!$D$2:$D$186,MATCH("女"&amp;$Q31&amp;"-4",計算用!$AN$2:$AN$186,0)),""))</f>
        <v/>
      </c>
      <c r="AD31" s="26">
        <f>IF($Q31="","",IFERROR(INDEX(計算用!$M$2:$M$186,MATCH("女"&amp;$Q31&amp;"-4",計算用!$AN$2:$AN$186,0)),""))</f>
        <v/>
      </c>
      <c r="AE31" s="26">
        <f>IF($Q31="","",IFERROR(INDEX(計算用!$I$2:$I$186,MATCH("女"&amp;$Q31&amp;"-4",計算用!$AN$2:$AN$186,0)),""))</f>
        <v/>
      </c>
    </row>
    <row r="32">
      <c r="A32" s="26">
        <f>IF(ROW()-3&lt;=計算用!$Q$9,ROW()-3,"")</f>
        <v/>
      </c>
      <c r="B32" s="26">
        <f>IF($A32="","",INDEX(計算用!$T$2:$T$51,$A32))</f>
        <v/>
      </c>
      <c r="C32" s="26">
        <f>IF($A32="","","赤"&amp;INDEX(計算用!$W$2:$W$51,$A32)&amp;"白"&amp;INDEX(計算用!$X$2:$X$51,$A32))</f>
        <v/>
      </c>
      <c r="D32">
        <f>IF($A32="","",IFERROR(INDEX(計算用!$D$2:$D$186,MATCH("男"&amp;$A32&amp;"-1",計算用!$AN$2:$AN$186,0)),""))</f>
        <v/>
      </c>
      <c r="E32" s="26">
        <f>IF($A32="","",IFERROR(INDEX(計算用!$M$2:$M$186,MATCH("男"&amp;$A32&amp;"-1",計算用!$AN$2:$AN$186,0)),""))</f>
        <v/>
      </c>
      <c r="F32" s="26">
        <f>IF($A32="","",IFERROR(INDEX(計算用!$I$2:$I$186,MATCH("男"&amp;$A32&amp;"-1",計算用!$AN$2:$AN$186,0)),""))</f>
        <v/>
      </c>
      <c r="G32">
        <f>IF($A32="","",IFERROR(INDEX(計算用!$D$2:$D$186,MATCH("男"&amp;$A32&amp;"-2",計算用!$AN$2:$AN$186,0)),""))</f>
        <v/>
      </c>
      <c r="H32" s="26">
        <f>IF($A32="","",IFERROR(INDEX(計算用!$M$2:$M$186,MATCH("男"&amp;$A32&amp;"-2",計算用!$AN$2:$AN$186,0)),""))</f>
        <v/>
      </c>
      <c r="I32" s="26">
        <f>IF($A32="","",IFERROR(INDEX(計算用!$I$2:$I$186,MATCH("男"&amp;$A32&amp;"-2",計算用!$AN$2:$AN$186,0)),""))</f>
        <v/>
      </c>
      <c r="J32">
        <f>IF($A32="","",IFERROR(INDEX(計算用!$D$2:$D$186,MATCH("男"&amp;$A32&amp;"-3",計算用!$AN$2:$AN$186,0)),""))</f>
        <v/>
      </c>
      <c r="K32" s="26">
        <f>IF($A32="","",IFERROR(INDEX(計算用!$M$2:$M$186,MATCH("男"&amp;$A32&amp;"-3",計算用!$AN$2:$AN$186,0)),""))</f>
        <v/>
      </c>
      <c r="L32" s="26">
        <f>IF($A32="","",IFERROR(INDEX(計算用!$I$2:$I$186,MATCH("男"&amp;$A32&amp;"-3",計算用!$AN$2:$AN$186,0)),""))</f>
        <v/>
      </c>
      <c r="M32">
        <f>IF($A32="","",IFERROR(INDEX(計算用!$D$2:$D$186,MATCH("男"&amp;$A32&amp;"-4",計算用!$AN$2:$AN$186,0)),""))</f>
        <v/>
      </c>
      <c r="N32" s="26">
        <f>IF($A32="","",IFERROR(INDEX(計算用!$M$2:$M$186,MATCH("男"&amp;$A32&amp;"-4",計算用!$AN$2:$AN$186,0)),""))</f>
        <v/>
      </c>
      <c r="O32" s="26">
        <f>IF($A32="","",IFERROR(INDEX(計算用!$I$2:$I$186,MATCH("男"&amp;$A32&amp;"-4",計算用!$AN$2:$AN$186,0)),""))</f>
        <v/>
      </c>
      <c r="Q32" s="26">
        <f>IF(ROW()-3&lt;=計算用!$Q$11,ROW()-3,"")</f>
        <v/>
      </c>
      <c r="R32" s="26">
        <f>IF($Q32="","",INDEX(計算用!$AC$2:$AC$51,$Q32))</f>
        <v/>
      </c>
      <c r="S32" s="26">
        <f>IF($Q32="","","赤"&amp;INDEX(計算用!$AF$2:$AF$51,$Q32)&amp;"白"&amp;INDEX(計算用!$AG$2:$AG$51,$Q32))</f>
        <v/>
      </c>
      <c r="T32">
        <f>IF($Q32="","",IFERROR(INDEX(計算用!$D$2:$D$186,MATCH("女"&amp;$Q32&amp;"-1",計算用!$AN$2:$AN$186,0)),""))</f>
        <v/>
      </c>
      <c r="U32" s="26">
        <f>IF($Q32="","",IFERROR(INDEX(計算用!$M$2:$M$186,MATCH("女"&amp;$Q32&amp;"-1",計算用!$AN$2:$AN$186,0)),""))</f>
        <v/>
      </c>
      <c r="V32" s="26">
        <f>IF($Q32="","",IFERROR(INDEX(計算用!$I$2:$I$186,MATCH("女"&amp;$Q32&amp;"-1",計算用!$AN$2:$AN$186,0)),""))</f>
        <v/>
      </c>
      <c r="W32">
        <f>IF($Q32="","",IFERROR(INDEX(計算用!$D$2:$D$186,MATCH("女"&amp;$Q32&amp;"-2",計算用!$AN$2:$AN$186,0)),""))</f>
        <v/>
      </c>
      <c r="X32" s="26">
        <f>IF($Q32="","",IFERROR(INDEX(計算用!$M$2:$M$186,MATCH("女"&amp;$Q32&amp;"-2",計算用!$AN$2:$AN$186,0)),""))</f>
        <v/>
      </c>
      <c r="Y32" s="26">
        <f>IF($Q32="","",IFERROR(INDEX(計算用!$I$2:$I$186,MATCH("女"&amp;$Q32&amp;"-2",計算用!$AN$2:$AN$186,0)),""))</f>
        <v/>
      </c>
      <c r="Z32">
        <f>IF($Q32="","",IFERROR(INDEX(計算用!$D$2:$D$186,MATCH("女"&amp;$Q32&amp;"-3",計算用!$AN$2:$AN$186,0)),""))</f>
        <v/>
      </c>
      <c r="AA32" s="26">
        <f>IF($Q32="","",IFERROR(INDEX(計算用!$M$2:$M$186,MATCH("女"&amp;$Q32&amp;"-3",計算用!$AN$2:$AN$186,0)),""))</f>
        <v/>
      </c>
      <c r="AB32" s="26">
        <f>IF($Q32="","",IFERROR(INDEX(計算用!$I$2:$I$186,MATCH("女"&amp;$Q32&amp;"-3",計算用!$AN$2:$AN$186,0)),""))</f>
        <v/>
      </c>
      <c r="AC32">
        <f>IF($Q32="","",IFERROR(INDEX(計算用!$D$2:$D$186,MATCH("女"&amp;$Q32&amp;"-4",計算用!$AN$2:$AN$186,0)),""))</f>
        <v/>
      </c>
      <c r="AD32" s="26">
        <f>IF($Q32="","",IFERROR(INDEX(計算用!$M$2:$M$186,MATCH("女"&amp;$Q32&amp;"-4",計算用!$AN$2:$AN$186,0)),""))</f>
        <v/>
      </c>
      <c r="AE32" s="26">
        <f>IF($Q32="","",IFERROR(INDEX(計算用!$I$2:$I$186,MATCH("女"&amp;$Q32&amp;"-4",計算用!$AN$2:$AN$186,0)),""))</f>
        <v/>
      </c>
    </row>
    <row r="33">
      <c r="A33" s="26">
        <f>IF(ROW()-3&lt;=計算用!$Q$9,ROW()-3,"")</f>
        <v/>
      </c>
      <c r="B33" s="26">
        <f>IF($A33="","",INDEX(計算用!$T$2:$T$51,$A33))</f>
        <v/>
      </c>
      <c r="C33" s="26">
        <f>IF($A33="","","赤"&amp;INDEX(計算用!$W$2:$W$51,$A33)&amp;"白"&amp;INDEX(計算用!$X$2:$X$51,$A33))</f>
        <v/>
      </c>
      <c r="D33">
        <f>IF($A33="","",IFERROR(INDEX(計算用!$D$2:$D$186,MATCH("男"&amp;$A33&amp;"-1",計算用!$AN$2:$AN$186,0)),""))</f>
        <v/>
      </c>
      <c r="E33" s="26">
        <f>IF($A33="","",IFERROR(INDEX(計算用!$M$2:$M$186,MATCH("男"&amp;$A33&amp;"-1",計算用!$AN$2:$AN$186,0)),""))</f>
        <v/>
      </c>
      <c r="F33" s="26">
        <f>IF($A33="","",IFERROR(INDEX(計算用!$I$2:$I$186,MATCH("男"&amp;$A33&amp;"-1",計算用!$AN$2:$AN$186,0)),""))</f>
        <v/>
      </c>
      <c r="G33">
        <f>IF($A33="","",IFERROR(INDEX(計算用!$D$2:$D$186,MATCH("男"&amp;$A33&amp;"-2",計算用!$AN$2:$AN$186,0)),""))</f>
        <v/>
      </c>
      <c r="H33" s="26">
        <f>IF($A33="","",IFERROR(INDEX(計算用!$M$2:$M$186,MATCH("男"&amp;$A33&amp;"-2",計算用!$AN$2:$AN$186,0)),""))</f>
        <v/>
      </c>
      <c r="I33" s="26">
        <f>IF($A33="","",IFERROR(INDEX(計算用!$I$2:$I$186,MATCH("男"&amp;$A33&amp;"-2",計算用!$AN$2:$AN$186,0)),""))</f>
        <v/>
      </c>
      <c r="J33">
        <f>IF($A33="","",IFERROR(INDEX(計算用!$D$2:$D$186,MATCH("男"&amp;$A33&amp;"-3",計算用!$AN$2:$AN$186,0)),""))</f>
        <v/>
      </c>
      <c r="K33" s="26">
        <f>IF($A33="","",IFERROR(INDEX(計算用!$M$2:$M$186,MATCH("男"&amp;$A33&amp;"-3",計算用!$AN$2:$AN$186,0)),""))</f>
        <v/>
      </c>
      <c r="L33" s="26">
        <f>IF($A33="","",IFERROR(INDEX(計算用!$I$2:$I$186,MATCH("男"&amp;$A33&amp;"-3",計算用!$AN$2:$AN$186,0)),""))</f>
        <v/>
      </c>
      <c r="M33">
        <f>IF($A33="","",IFERROR(INDEX(計算用!$D$2:$D$186,MATCH("男"&amp;$A33&amp;"-4",計算用!$AN$2:$AN$186,0)),""))</f>
        <v/>
      </c>
      <c r="N33" s="26">
        <f>IF($A33="","",IFERROR(INDEX(計算用!$M$2:$M$186,MATCH("男"&amp;$A33&amp;"-4",計算用!$AN$2:$AN$186,0)),""))</f>
        <v/>
      </c>
      <c r="O33" s="26">
        <f>IF($A33="","",IFERROR(INDEX(計算用!$I$2:$I$186,MATCH("男"&amp;$A33&amp;"-4",計算用!$AN$2:$AN$186,0)),""))</f>
        <v/>
      </c>
      <c r="Q33" s="26">
        <f>IF(ROW()-3&lt;=計算用!$Q$11,ROW()-3,"")</f>
        <v/>
      </c>
      <c r="R33" s="26">
        <f>IF($Q33="","",INDEX(計算用!$AC$2:$AC$51,$Q33))</f>
        <v/>
      </c>
      <c r="S33" s="26">
        <f>IF($Q33="","","赤"&amp;INDEX(計算用!$AF$2:$AF$51,$Q33)&amp;"白"&amp;INDEX(計算用!$AG$2:$AG$51,$Q33))</f>
        <v/>
      </c>
      <c r="T33">
        <f>IF($Q33="","",IFERROR(INDEX(計算用!$D$2:$D$186,MATCH("女"&amp;$Q33&amp;"-1",計算用!$AN$2:$AN$186,0)),""))</f>
        <v/>
      </c>
      <c r="U33" s="26">
        <f>IF($Q33="","",IFERROR(INDEX(計算用!$M$2:$M$186,MATCH("女"&amp;$Q33&amp;"-1",計算用!$AN$2:$AN$186,0)),""))</f>
        <v/>
      </c>
      <c r="V33" s="26">
        <f>IF($Q33="","",IFERROR(INDEX(計算用!$I$2:$I$186,MATCH("女"&amp;$Q33&amp;"-1",計算用!$AN$2:$AN$186,0)),""))</f>
        <v/>
      </c>
      <c r="W33">
        <f>IF($Q33="","",IFERROR(INDEX(計算用!$D$2:$D$186,MATCH("女"&amp;$Q33&amp;"-2",計算用!$AN$2:$AN$186,0)),""))</f>
        <v/>
      </c>
      <c r="X33" s="26">
        <f>IF($Q33="","",IFERROR(INDEX(計算用!$M$2:$M$186,MATCH("女"&amp;$Q33&amp;"-2",計算用!$AN$2:$AN$186,0)),""))</f>
        <v/>
      </c>
      <c r="Y33" s="26">
        <f>IF($Q33="","",IFERROR(INDEX(計算用!$I$2:$I$186,MATCH("女"&amp;$Q33&amp;"-2",計算用!$AN$2:$AN$186,0)),""))</f>
        <v/>
      </c>
      <c r="Z33">
        <f>IF($Q33="","",IFERROR(INDEX(計算用!$D$2:$D$186,MATCH("女"&amp;$Q33&amp;"-3",計算用!$AN$2:$AN$186,0)),""))</f>
        <v/>
      </c>
      <c r="AA33" s="26">
        <f>IF($Q33="","",IFERROR(INDEX(計算用!$M$2:$M$186,MATCH("女"&amp;$Q33&amp;"-3",計算用!$AN$2:$AN$186,0)),""))</f>
        <v/>
      </c>
      <c r="AB33" s="26">
        <f>IF($Q33="","",IFERROR(INDEX(計算用!$I$2:$I$186,MATCH("女"&amp;$Q33&amp;"-3",計算用!$AN$2:$AN$186,0)),""))</f>
        <v/>
      </c>
      <c r="AC33">
        <f>IF($Q33="","",IFERROR(INDEX(計算用!$D$2:$D$186,MATCH("女"&amp;$Q33&amp;"-4",計算用!$AN$2:$AN$186,0)),""))</f>
        <v/>
      </c>
      <c r="AD33" s="26">
        <f>IF($Q33="","",IFERROR(INDEX(計算用!$M$2:$M$186,MATCH("女"&amp;$Q33&amp;"-4",計算用!$AN$2:$AN$186,0)),""))</f>
        <v/>
      </c>
      <c r="AE33" s="26">
        <f>IF($Q33="","",IFERROR(INDEX(計算用!$I$2:$I$186,MATCH("女"&amp;$Q33&amp;"-4",計算用!$AN$2:$AN$186,0)),""))</f>
        <v/>
      </c>
    </row>
    <row r="34">
      <c r="A34" s="26">
        <f>IF(ROW()-3&lt;=計算用!$Q$9,ROW()-3,"")</f>
        <v/>
      </c>
      <c r="B34" s="26">
        <f>IF($A34="","",INDEX(計算用!$T$2:$T$51,$A34))</f>
        <v/>
      </c>
      <c r="C34" s="26">
        <f>IF($A34="","","赤"&amp;INDEX(計算用!$W$2:$W$51,$A34)&amp;"白"&amp;INDEX(計算用!$X$2:$X$51,$A34))</f>
        <v/>
      </c>
      <c r="D34">
        <f>IF($A34="","",IFERROR(INDEX(計算用!$D$2:$D$186,MATCH("男"&amp;$A34&amp;"-1",計算用!$AN$2:$AN$186,0)),""))</f>
        <v/>
      </c>
      <c r="E34" s="26">
        <f>IF($A34="","",IFERROR(INDEX(計算用!$M$2:$M$186,MATCH("男"&amp;$A34&amp;"-1",計算用!$AN$2:$AN$186,0)),""))</f>
        <v/>
      </c>
      <c r="F34" s="26">
        <f>IF($A34="","",IFERROR(INDEX(計算用!$I$2:$I$186,MATCH("男"&amp;$A34&amp;"-1",計算用!$AN$2:$AN$186,0)),""))</f>
        <v/>
      </c>
      <c r="G34">
        <f>IF($A34="","",IFERROR(INDEX(計算用!$D$2:$D$186,MATCH("男"&amp;$A34&amp;"-2",計算用!$AN$2:$AN$186,0)),""))</f>
        <v/>
      </c>
      <c r="H34" s="26">
        <f>IF($A34="","",IFERROR(INDEX(計算用!$M$2:$M$186,MATCH("男"&amp;$A34&amp;"-2",計算用!$AN$2:$AN$186,0)),""))</f>
        <v/>
      </c>
      <c r="I34" s="26">
        <f>IF($A34="","",IFERROR(INDEX(計算用!$I$2:$I$186,MATCH("男"&amp;$A34&amp;"-2",計算用!$AN$2:$AN$186,0)),""))</f>
        <v/>
      </c>
      <c r="J34">
        <f>IF($A34="","",IFERROR(INDEX(計算用!$D$2:$D$186,MATCH("男"&amp;$A34&amp;"-3",計算用!$AN$2:$AN$186,0)),""))</f>
        <v/>
      </c>
      <c r="K34" s="26">
        <f>IF($A34="","",IFERROR(INDEX(計算用!$M$2:$M$186,MATCH("男"&amp;$A34&amp;"-3",計算用!$AN$2:$AN$186,0)),""))</f>
        <v/>
      </c>
      <c r="L34" s="26">
        <f>IF($A34="","",IFERROR(INDEX(計算用!$I$2:$I$186,MATCH("男"&amp;$A34&amp;"-3",計算用!$AN$2:$AN$186,0)),""))</f>
        <v/>
      </c>
      <c r="M34">
        <f>IF($A34="","",IFERROR(INDEX(計算用!$D$2:$D$186,MATCH("男"&amp;$A34&amp;"-4",計算用!$AN$2:$AN$186,0)),""))</f>
        <v/>
      </c>
      <c r="N34" s="26">
        <f>IF($A34="","",IFERROR(INDEX(計算用!$M$2:$M$186,MATCH("男"&amp;$A34&amp;"-4",計算用!$AN$2:$AN$186,0)),""))</f>
        <v/>
      </c>
      <c r="O34" s="26">
        <f>IF($A34="","",IFERROR(INDEX(計算用!$I$2:$I$186,MATCH("男"&amp;$A34&amp;"-4",計算用!$AN$2:$AN$186,0)),""))</f>
        <v/>
      </c>
      <c r="Q34" s="26">
        <f>IF(ROW()-3&lt;=計算用!$Q$11,ROW()-3,"")</f>
        <v/>
      </c>
      <c r="R34" s="26">
        <f>IF($Q34="","",INDEX(計算用!$AC$2:$AC$51,$Q34))</f>
        <v/>
      </c>
      <c r="S34" s="26">
        <f>IF($Q34="","","赤"&amp;INDEX(計算用!$AF$2:$AF$51,$Q34)&amp;"白"&amp;INDEX(計算用!$AG$2:$AG$51,$Q34))</f>
        <v/>
      </c>
      <c r="T34">
        <f>IF($Q34="","",IFERROR(INDEX(計算用!$D$2:$D$186,MATCH("女"&amp;$Q34&amp;"-1",計算用!$AN$2:$AN$186,0)),""))</f>
        <v/>
      </c>
      <c r="U34" s="26">
        <f>IF($Q34="","",IFERROR(INDEX(計算用!$M$2:$M$186,MATCH("女"&amp;$Q34&amp;"-1",計算用!$AN$2:$AN$186,0)),""))</f>
        <v/>
      </c>
      <c r="V34" s="26">
        <f>IF($Q34="","",IFERROR(INDEX(計算用!$I$2:$I$186,MATCH("女"&amp;$Q34&amp;"-1",計算用!$AN$2:$AN$186,0)),""))</f>
        <v/>
      </c>
      <c r="W34">
        <f>IF($Q34="","",IFERROR(INDEX(計算用!$D$2:$D$186,MATCH("女"&amp;$Q34&amp;"-2",計算用!$AN$2:$AN$186,0)),""))</f>
        <v/>
      </c>
      <c r="X34" s="26">
        <f>IF($Q34="","",IFERROR(INDEX(計算用!$M$2:$M$186,MATCH("女"&amp;$Q34&amp;"-2",計算用!$AN$2:$AN$186,0)),""))</f>
        <v/>
      </c>
      <c r="Y34" s="26">
        <f>IF($Q34="","",IFERROR(INDEX(計算用!$I$2:$I$186,MATCH("女"&amp;$Q34&amp;"-2",計算用!$AN$2:$AN$186,0)),""))</f>
        <v/>
      </c>
      <c r="Z34">
        <f>IF($Q34="","",IFERROR(INDEX(計算用!$D$2:$D$186,MATCH("女"&amp;$Q34&amp;"-3",計算用!$AN$2:$AN$186,0)),""))</f>
        <v/>
      </c>
      <c r="AA34" s="26">
        <f>IF($Q34="","",IFERROR(INDEX(計算用!$M$2:$M$186,MATCH("女"&amp;$Q34&amp;"-3",計算用!$AN$2:$AN$186,0)),""))</f>
        <v/>
      </c>
      <c r="AB34" s="26">
        <f>IF($Q34="","",IFERROR(INDEX(計算用!$I$2:$I$186,MATCH("女"&amp;$Q34&amp;"-3",計算用!$AN$2:$AN$186,0)),""))</f>
        <v/>
      </c>
      <c r="AC34">
        <f>IF($Q34="","",IFERROR(INDEX(計算用!$D$2:$D$186,MATCH("女"&amp;$Q34&amp;"-4",計算用!$AN$2:$AN$186,0)),""))</f>
        <v/>
      </c>
      <c r="AD34" s="26">
        <f>IF($Q34="","",IFERROR(INDEX(計算用!$M$2:$M$186,MATCH("女"&amp;$Q34&amp;"-4",計算用!$AN$2:$AN$186,0)),""))</f>
        <v/>
      </c>
      <c r="AE34" s="26">
        <f>IF($Q34="","",IFERROR(INDEX(計算用!$I$2:$I$186,MATCH("女"&amp;$Q34&amp;"-4",計算用!$AN$2:$AN$186,0)),""))</f>
        <v/>
      </c>
    </row>
    <row r="35">
      <c r="A35" s="26">
        <f>IF(ROW()-3&lt;=計算用!$Q$9,ROW()-3,"")</f>
        <v/>
      </c>
      <c r="B35" s="26">
        <f>IF($A35="","",INDEX(計算用!$T$2:$T$51,$A35))</f>
        <v/>
      </c>
      <c r="C35" s="26">
        <f>IF($A35="","","赤"&amp;INDEX(計算用!$W$2:$W$51,$A35)&amp;"白"&amp;INDEX(計算用!$X$2:$X$51,$A35))</f>
        <v/>
      </c>
      <c r="D35">
        <f>IF($A35="","",IFERROR(INDEX(計算用!$D$2:$D$186,MATCH("男"&amp;$A35&amp;"-1",計算用!$AN$2:$AN$186,0)),""))</f>
        <v/>
      </c>
      <c r="E35" s="26">
        <f>IF($A35="","",IFERROR(INDEX(計算用!$M$2:$M$186,MATCH("男"&amp;$A35&amp;"-1",計算用!$AN$2:$AN$186,0)),""))</f>
        <v/>
      </c>
      <c r="F35" s="26">
        <f>IF($A35="","",IFERROR(INDEX(計算用!$I$2:$I$186,MATCH("男"&amp;$A35&amp;"-1",計算用!$AN$2:$AN$186,0)),""))</f>
        <v/>
      </c>
      <c r="G35">
        <f>IF($A35="","",IFERROR(INDEX(計算用!$D$2:$D$186,MATCH("男"&amp;$A35&amp;"-2",計算用!$AN$2:$AN$186,0)),""))</f>
        <v/>
      </c>
      <c r="H35" s="26">
        <f>IF($A35="","",IFERROR(INDEX(計算用!$M$2:$M$186,MATCH("男"&amp;$A35&amp;"-2",計算用!$AN$2:$AN$186,0)),""))</f>
        <v/>
      </c>
      <c r="I35" s="26">
        <f>IF($A35="","",IFERROR(INDEX(計算用!$I$2:$I$186,MATCH("男"&amp;$A35&amp;"-2",計算用!$AN$2:$AN$186,0)),""))</f>
        <v/>
      </c>
      <c r="J35">
        <f>IF($A35="","",IFERROR(INDEX(計算用!$D$2:$D$186,MATCH("男"&amp;$A35&amp;"-3",計算用!$AN$2:$AN$186,0)),""))</f>
        <v/>
      </c>
      <c r="K35" s="26">
        <f>IF($A35="","",IFERROR(INDEX(計算用!$M$2:$M$186,MATCH("男"&amp;$A35&amp;"-3",計算用!$AN$2:$AN$186,0)),""))</f>
        <v/>
      </c>
      <c r="L35" s="26">
        <f>IF($A35="","",IFERROR(INDEX(計算用!$I$2:$I$186,MATCH("男"&amp;$A35&amp;"-3",計算用!$AN$2:$AN$186,0)),""))</f>
        <v/>
      </c>
      <c r="M35">
        <f>IF($A35="","",IFERROR(INDEX(計算用!$D$2:$D$186,MATCH("男"&amp;$A35&amp;"-4",計算用!$AN$2:$AN$186,0)),""))</f>
        <v/>
      </c>
      <c r="N35" s="26">
        <f>IF($A35="","",IFERROR(INDEX(計算用!$M$2:$M$186,MATCH("男"&amp;$A35&amp;"-4",計算用!$AN$2:$AN$186,0)),""))</f>
        <v/>
      </c>
      <c r="O35" s="26">
        <f>IF($A35="","",IFERROR(INDEX(計算用!$I$2:$I$186,MATCH("男"&amp;$A35&amp;"-4",計算用!$AN$2:$AN$186,0)),""))</f>
        <v/>
      </c>
      <c r="Q35" s="26">
        <f>IF(ROW()-3&lt;=計算用!$Q$11,ROW()-3,"")</f>
        <v/>
      </c>
      <c r="R35" s="26">
        <f>IF($Q35="","",INDEX(計算用!$AC$2:$AC$51,$Q35))</f>
        <v/>
      </c>
      <c r="S35" s="26">
        <f>IF($Q35="","","赤"&amp;INDEX(計算用!$AF$2:$AF$51,$Q35)&amp;"白"&amp;INDEX(計算用!$AG$2:$AG$51,$Q35))</f>
        <v/>
      </c>
      <c r="T35">
        <f>IF($Q35="","",IFERROR(INDEX(計算用!$D$2:$D$186,MATCH("女"&amp;$Q35&amp;"-1",計算用!$AN$2:$AN$186,0)),""))</f>
        <v/>
      </c>
      <c r="U35" s="26">
        <f>IF($Q35="","",IFERROR(INDEX(計算用!$M$2:$M$186,MATCH("女"&amp;$Q35&amp;"-1",計算用!$AN$2:$AN$186,0)),""))</f>
        <v/>
      </c>
      <c r="V35" s="26">
        <f>IF($Q35="","",IFERROR(INDEX(計算用!$I$2:$I$186,MATCH("女"&amp;$Q35&amp;"-1",計算用!$AN$2:$AN$186,0)),""))</f>
        <v/>
      </c>
      <c r="W35">
        <f>IF($Q35="","",IFERROR(INDEX(計算用!$D$2:$D$186,MATCH("女"&amp;$Q35&amp;"-2",計算用!$AN$2:$AN$186,0)),""))</f>
        <v/>
      </c>
      <c r="X35" s="26">
        <f>IF($Q35="","",IFERROR(INDEX(計算用!$M$2:$M$186,MATCH("女"&amp;$Q35&amp;"-2",計算用!$AN$2:$AN$186,0)),""))</f>
        <v/>
      </c>
      <c r="Y35" s="26">
        <f>IF($Q35="","",IFERROR(INDEX(計算用!$I$2:$I$186,MATCH("女"&amp;$Q35&amp;"-2",計算用!$AN$2:$AN$186,0)),""))</f>
        <v/>
      </c>
      <c r="Z35">
        <f>IF($Q35="","",IFERROR(INDEX(計算用!$D$2:$D$186,MATCH("女"&amp;$Q35&amp;"-3",計算用!$AN$2:$AN$186,0)),""))</f>
        <v/>
      </c>
      <c r="AA35" s="26">
        <f>IF($Q35="","",IFERROR(INDEX(計算用!$M$2:$M$186,MATCH("女"&amp;$Q35&amp;"-3",計算用!$AN$2:$AN$186,0)),""))</f>
        <v/>
      </c>
      <c r="AB35" s="26">
        <f>IF($Q35="","",IFERROR(INDEX(計算用!$I$2:$I$186,MATCH("女"&amp;$Q35&amp;"-3",計算用!$AN$2:$AN$186,0)),""))</f>
        <v/>
      </c>
      <c r="AC35">
        <f>IF($Q35="","",IFERROR(INDEX(計算用!$D$2:$D$186,MATCH("女"&amp;$Q35&amp;"-4",計算用!$AN$2:$AN$186,0)),""))</f>
        <v/>
      </c>
      <c r="AD35" s="26">
        <f>IF($Q35="","",IFERROR(INDEX(計算用!$M$2:$M$186,MATCH("女"&amp;$Q35&amp;"-4",計算用!$AN$2:$AN$186,0)),""))</f>
        <v/>
      </c>
      <c r="AE35" s="26">
        <f>IF($Q35="","",IFERROR(INDEX(計算用!$I$2:$I$186,MATCH("女"&amp;$Q35&amp;"-4",計算用!$AN$2:$AN$186,0)),""))</f>
        <v/>
      </c>
    </row>
    <row r="36">
      <c r="A36" s="26">
        <f>IF(ROW()-3&lt;=計算用!$Q$9,ROW()-3,"")</f>
        <v/>
      </c>
      <c r="B36" s="26">
        <f>IF($A36="","",INDEX(計算用!$T$2:$T$51,$A36))</f>
        <v/>
      </c>
      <c r="C36" s="26">
        <f>IF($A36="","","赤"&amp;INDEX(計算用!$W$2:$W$51,$A36)&amp;"白"&amp;INDEX(計算用!$X$2:$X$51,$A36))</f>
        <v/>
      </c>
      <c r="D36">
        <f>IF($A36="","",IFERROR(INDEX(計算用!$D$2:$D$186,MATCH("男"&amp;$A36&amp;"-1",計算用!$AN$2:$AN$186,0)),""))</f>
        <v/>
      </c>
      <c r="E36" s="26">
        <f>IF($A36="","",IFERROR(INDEX(計算用!$M$2:$M$186,MATCH("男"&amp;$A36&amp;"-1",計算用!$AN$2:$AN$186,0)),""))</f>
        <v/>
      </c>
      <c r="F36" s="26">
        <f>IF($A36="","",IFERROR(INDEX(計算用!$I$2:$I$186,MATCH("男"&amp;$A36&amp;"-1",計算用!$AN$2:$AN$186,0)),""))</f>
        <v/>
      </c>
      <c r="G36">
        <f>IF($A36="","",IFERROR(INDEX(計算用!$D$2:$D$186,MATCH("男"&amp;$A36&amp;"-2",計算用!$AN$2:$AN$186,0)),""))</f>
        <v/>
      </c>
      <c r="H36" s="26">
        <f>IF($A36="","",IFERROR(INDEX(計算用!$M$2:$M$186,MATCH("男"&amp;$A36&amp;"-2",計算用!$AN$2:$AN$186,0)),""))</f>
        <v/>
      </c>
      <c r="I36" s="26">
        <f>IF($A36="","",IFERROR(INDEX(計算用!$I$2:$I$186,MATCH("男"&amp;$A36&amp;"-2",計算用!$AN$2:$AN$186,0)),""))</f>
        <v/>
      </c>
      <c r="J36">
        <f>IF($A36="","",IFERROR(INDEX(計算用!$D$2:$D$186,MATCH("男"&amp;$A36&amp;"-3",計算用!$AN$2:$AN$186,0)),""))</f>
        <v/>
      </c>
      <c r="K36" s="26">
        <f>IF($A36="","",IFERROR(INDEX(計算用!$M$2:$M$186,MATCH("男"&amp;$A36&amp;"-3",計算用!$AN$2:$AN$186,0)),""))</f>
        <v/>
      </c>
      <c r="L36" s="26">
        <f>IF($A36="","",IFERROR(INDEX(計算用!$I$2:$I$186,MATCH("男"&amp;$A36&amp;"-3",計算用!$AN$2:$AN$186,0)),""))</f>
        <v/>
      </c>
      <c r="M36">
        <f>IF($A36="","",IFERROR(INDEX(計算用!$D$2:$D$186,MATCH("男"&amp;$A36&amp;"-4",計算用!$AN$2:$AN$186,0)),""))</f>
        <v/>
      </c>
      <c r="N36" s="26">
        <f>IF($A36="","",IFERROR(INDEX(計算用!$M$2:$M$186,MATCH("男"&amp;$A36&amp;"-4",計算用!$AN$2:$AN$186,0)),""))</f>
        <v/>
      </c>
      <c r="O36" s="26">
        <f>IF($A36="","",IFERROR(INDEX(計算用!$I$2:$I$186,MATCH("男"&amp;$A36&amp;"-4",計算用!$AN$2:$AN$186,0)),""))</f>
        <v/>
      </c>
      <c r="Q36" s="26">
        <f>IF(ROW()-3&lt;=計算用!$Q$11,ROW()-3,"")</f>
        <v/>
      </c>
      <c r="R36" s="26">
        <f>IF($Q36="","",INDEX(計算用!$AC$2:$AC$51,$Q36))</f>
        <v/>
      </c>
      <c r="S36" s="26">
        <f>IF($Q36="","","赤"&amp;INDEX(計算用!$AF$2:$AF$51,$Q36)&amp;"白"&amp;INDEX(計算用!$AG$2:$AG$51,$Q36))</f>
        <v/>
      </c>
      <c r="T36">
        <f>IF($Q36="","",IFERROR(INDEX(計算用!$D$2:$D$186,MATCH("女"&amp;$Q36&amp;"-1",計算用!$AN$2:$AN$186,0)),""))</f>
        <v/>
      </c>
      <c r="U36" s="26">
        <f>IF($Q36="","",IFERROR(INDEX(計算用!$M$2:$M$186,MATCH("女"&amp;$Q36&amp;"-1",計算用!$AN$2:$AN$186,0)),""))</f>
        <v/>
      </c>
      <c r="V36" s="26">
        <f>IF($Q36="","",IFERROR(INDEX(計算用!$I$2:$I$186,MATCH("女"&amp;$Q36&amp;"-1",計算用!$AN$2:$AN$186,0)),""))</f>
        <v/>
      </c>
      <c r="W36">
        <f>IF($Q36="","",IFERROR(INDEX(計算用!$D$2:$D$186,MATCH("女"&amp;$Q36&amp;"-2",計算用!$AN$2:$AN$186,0)),""))</f>
        <v/>
      </c>
      <c r="X36" s="26">
        <f>IF($Q36="","",IFERROR(INDEX(計算用!$M$2:$M$186,MATCH("女"&amp;$Q36&amp;"-2",計算用!$AN$2:$AN$186,0)),""))</f>
        <v/>
      </c>
      <c r="Y36" s="26">
        <f>IF($Q36="","",IFERROR(INDEX(計算用!$I$2:$I$186,MATCH("女"&amp;$Q36&amp;"-2",計算用!$AN$2:$AN$186,0)),""))</f>
        <v/>
      </c>
      <c r="Z36">
        <f>IF($Q36="","",IFERROR(INDEX(計算用!$D$2:$D$186,MATCH("女"&amp;$Q36&amp;"-3",計算用!$AN$2:$AN$186,0)),""))</f>
        <v/>
      </c>
      <c r="AA36" s="26">
        <f>IF($Q36="","",IFERROR(INDEX(計算用!$M$2:$M$186,MATCH("女"&amp;$Q36&amp;"-3",計算用!$AN$2:$AN$186,0)),""))</f>
        <v/>
      </c>
      <c r="AB36" s="26">
        <f>IF($Q36="","",IFERROR(INDEX(計算用!$I$2:$I$186,MATCH("女"&amp;$Q36&amp;"-3",計算用!$AN$2:$AN$186,0)),""))</f>
        <v/>
      </c>
      <c r="AC36">
        <f>IF($Q36="","",IFERROR(INDEX(計算用!$D$2:$D$186,MATCH("女"&amp;$Q36&amp;"-4",計算用!$AN$2:$AN$186,0)),""))</f>
        <v/>
      </c>
      <c r="AD36" s="26">
        <f>IF($Q36="","",IFERROR(INDEX(計算用!$M$2:$M$186,MATCH("女"&amp;$Q36&amp;"-4",計算用!$AN$2:$AN$186,0)),""))</f>
        <v/>
      </c>
      <c r="AE36" s="26">
        <f>IF($Q36="","",IFERROR(INDEX(計算用!$I$2:$I$186,MATCH("女"&amp;$Q36&amp;"-4",計算用!$AN$2:$AN$186,0)),""))</f>
        <v/>
      </c>
    </row>
    <row r="37">
      <c r="A37" s="26">
        <f>IF(ROW()-3&lt;=計算用!$Q$9,ROW()-3,"")</f>
        <v/>
      </c>
      <c r="B37" s="26">
        <f>IF($A37="","",INDEX(計算用!$T$2:$T$51,$A37))</f>
        <v/>
      </c>
      <c r="C37" s="26">
        <f>IF($A37="","","赤"&amp;INDEX(計算用!$W$2:$W$51,$A37)&amp;"白"&amp;INDEX(計算用!$X$2:$X$51,$A37))</f>
        <v/>
      </c>
      <c r="D37">
        <f>IF($A37="","",IFERROR(INDEX(計算用!$D$2:$D$186,MATCH("男"&amp;$A37&amp;"-1",計算用!$AN$2:$AN$186,0)),""))</f>
        <v/>
      </c>
      <c r="E37" s="26">
        <f>IF($A37="","",IFERROR(INDEX(計算用!$M$2:$M$186,MATCH("男"&amp;$A37&amp;"-1",計算用!$AN$2:$AN$186,0)),""))</f>
        <v/>
      </c>
      <c r="F37" s="26">
        <f>IF($A37="","",IFERROR(INDEX(計算用!$I$2:$I$186,MATCH("男"&amp;$A37&amp;"-1",計算用!$AN$2:$AN$186,0)),""))</f>
        <v/>
      </c>
      <c r="G37">
        <f>IF($A37="","",IFERROR(INDEX(計算用!$D$2:$D$186,MATCH("男"&amp;$A37&amp;"-2",計算用!$AN$2:$AN$186,0)),""))</f>
        <v/>
      </c>
      <c r="H37" s="26">
        <f>IF($A37="","",IFERROR(INDEX(計算用!$M$2:$M$186,MATCH("男"&amp;$A37&amp;"-2",計算用!$AN$2:$AN$186,0)),""))</f>
        <v/>
      </c>
      <c r="I37" s="26">
        <f>IF($A37="","",IFERROR(INDEX(計算用!$I$2:$I$186,MATCH("男"&amp;$A37&amp;"-2",計算用!$AN$2:$AN$186,0)),""))</f>
        <v/>
      </c>
      <c r="J37">
        <f>IF($A37="","",IFERROR(INDEX(計算用!$D$2:$D$186,MATCH("男"&amp;$A37&amp;"-3",計算用!$AN$2:$AN$186,0)),""))</f>
        <v/>
      </c>
      <c r="K37" s="26">
        <f>IF($A37="","",IFERROR(INDEX(計算用!$M$2:$M$186,MATCH("男"&amp;$A37&amp;"-3",計算用!$AN$2:$AN$186,0)),""))</f>
        <v/>
      </c>
      <c r="L37" s="26">
        <f>IF($A37="","",IFERROR(INDEX(計算用!$I$2:$I$186,MATCH("男"&amp;$A37&amp;"-3",計算用!$AN$2:$AN$186,0)),""))</f>
        <v/>
      </c>
      <c r="M37">
        <f>IF($A37="","",IFERROR(INDEX(計算用!$D$2:$D$186,MATCH("男"&amp;$A37&amp;"-4",計算用!$AN$2:$AN$186,0)),""))</f>
        <v/>
      </c>
      <c r="N37" s="26">
        <f>IF($A37="","",IFERROR(INDEX(計算用!$M$2:$M$186,MATCH("男"&amp;$A37&amp;"-4",計算用!$AN$2:$AN$186,0)),""))</f>
        <v/>
      </c>
      <c r="O37" s="26">
        <f>IF($A37="","",IFERROR(INDEX(計算用!$I$2:$I$186,MATCH("男"&amp;$A37&amp;"-4",計算用!$AN$2:$AN$186,0)),""))</f>
        <v/>
      </c>
      <c r="Q37" s="26">
        <f>IF(ROW()-3&lt;=計算用!$Q$11,ROW()-3,"")</f>
        <v/>
      </c>
      <c r="R37" s="26">
        <f>IF($Q37="","",INDEX(計算用!$AC$2:$AC$51,$Q37))</f>
        <v/>
      </c>
      <c r="S37" s="26">
        <f>IF($Q37="","","赤"&amp;INDEX(計算用!$AF$2:$AF$51,$Q37)&amp;"白"&amp;INDEX(計算用!$AG$2:$AG$51,$Q37))</f>
        <v/>
      </c>
      <c r="T37">
        <f>IF($Q37="","",IFERROR(INDEX(計算用!$D$2:$D$186,MATCH("女"&amp;$Q37&amp;"-1",計算用!$AN$2:$AN$186,0)),""))</f>
        <v/>
      </c>
      <c r="U37" s="26">
        <f>IF($Q37="","",IFERROR(INDEX(計算用!$M$2:$M$186,MATCH("女"&amp;$Q37&amp;"-1",計算用!$AN$2:$AN$186,0)),""))</f>
        <v/>
      </c>
      <c r="V37" s="26">
        <f>IF($Q37="","",IFERROR(INDEX(計算用!$I$2:$I$186,MATCH("女"&amp;$Q37&amp;"-1",計算用!$AN$2:$AN$186,0)),""))</f>
        <v/>
      </c>
      <c r="W37">
        <f>IF($Q37="","",IFERROR(INDEX(計算用!$D$2:$D$186,MATCH("女"&amp;$Q37&amp;"-2",計算用!$AN$2:$AN$186,0)),""))</f>
        <v/>
      </c>
      <c r="X37" s="26">
        <f>IF($Q37="","",IFERROR(INDEX(計算用!$M$2:$M$186,MATCH("女"&amp;$Q37&amp;"-2",計算用!$AN$2:$AN$186,0)),""))</f>
        <v/>
      </c>
      <c r="Y37" s="26">
        <f>IF($Q37="","",IFERROR(INDEX(計算用!$I$2:$I$186,MATCH("女"&amp;$Q37&amp;"-2",計算用!$AN$2:$AN$186,0)),""))</f>
        <v/>
      </c>
      <c r="Z37">
        <f>IF($Q37="","",IFERROR(INDEX(計算用!$D$2:$D$186,MATCH("女"&amp;$Q37&amp;"-3",計算用!$AN$2:$AN$186,0)),""))</f>
        <v/>
      </c>
      <c r="AA37" s="26">
        <f>IF($Q37="","",IFERROR(INDEX(計算用!$M$2:$M$186,MATCH("女"&amp;$Q37&amp;"-3",計算用!$AN$2:$AN$186,0)),""))</f>
        <v/>
      </c>
      <c r="AB37" s="26">
        <f>IF($Q37="","",IFERROR(INDEX(計算用!$I$2:$I$186,MATCH("女"&amp;$Q37&amp;"-3",計算用!$AN$2:$AN$186,0)),""))</f>
        <v/>
      </c>
      <c r="AC37">
        <f>IF($Q37="","",IFERROR(INDEX(計算用!$D$2:$D$186,MATCH("女"&amp;$Q37&amp;"-4",計算用!$AN$2:$AN$186,0)),""))</f>
        <v/>
      </c>
      <c r="AD37" s="26">
        <f>IF($Q37="","",IFERROR(INDEX(計算用!$M$2:$M$186,MATCH("女"&amp;$Q37&amp;"-4",計算用!$AN$2:$AN$186,0)),""))</f>
        <v/>
      </c>
      <c r="AE37" s="26">
        <f>IF($Q37="","",IFERROR(INDEX(計算用!$I$2:$I$186,MATCH("女"&amp;$Q37&amp;"-4",計算用!$AN$2:$AN$186,0)),""))</f>
        <v/>
      </c>
    </row>
    <row r="38">
      <c r="A38" s="26">
        <f>IF(ROW()-3&lt;=計算用!$Q$9,ROW()-3,"")</f>
        <v/>
      </c>
      <c r="B38" s="26">
        <f>IF($A38="","",INDEX(計算用!$T$2:$T$51,$A38))</f>
        <v/>
      </c>
      <c r="C38" s="26">
        <f>IF($A38="","","赤"&amp;INDEX(計算用!$W$2:$W$51,$A38)&amp;"白"&amp;INDEX(計算用!$X$2:$X$51,$A38))</f>
        <v/>
      </c>
      <c r="D38">
        <f>IF($A38="","",IFERROR(INDEX(計算用!$D$2:$D$186,MATCH("男"&amp;$A38&amp;"-1",計算用!$AN$2:$AN$186,0)),""))</f>
        <v/>
      </c>
      <c r="E38" s="26">
        <f>IF($A38="","",IFERROR(INDEX(計算用!$M$2:$M$186,MATCH("男"&amp;$A38&amp;"-1",計算用!$AN$2:$AN$186,0)),""))</f>
        <v/>
      </c>
      <c r="F38" s="26">
        <f>IF($A38="","",IFERROR(INDEX(計算用!$I$2:$I$186,MATCH("男"&amp;$A38&amp;"-1",計算用!$AN$2:$AN$186,0)),""))</f>
        <v/>
      </c>
      <c r="G38">
        <f>IF($A38="","",IFERROR(INDEX(計算用!$D$2:$D$186,MATCH("男"&amp;$A38&amp;"-2",計算用!$AN$2:$AN$186,0)),""))</f>
        <v/>
      </c>
      <c r="H38" s="26">
        <f>IF($A38="","",IFERROR(INDEX(計算用!$M$2:$M$186,MATCH("男"&amp;$A38&amp;"-2",計算用!$AN$2:$AN$186,0)),""))</f>
        <v/>
      </c>
      <c r="I38" s="26">
        <f>IF($A38="","",IFERROR(INDEX(計算用!$I$2:$I$186,MATCH("男"&amp;$A38&amp;"-2",計算用!$AN$2:$AN$186,0)),""))</f>
        <v/>
      </c>
      <c r="J38">
        <f>IF($A38="","",IFERROR(INDEX(計算用!$D$2:$D$186,MATCH("男"&amp;$A38&amp;"-3",計算用!$AN$2:$AN$186,0)),""))</f>
        <v/>
      </c>
      <c r="K38" s="26">
        <f>IF($A38="","",IFERROR(INDEX(計算用!$M$2:$M$186,MATCH("男"&amp;$A38&amp;"-3",計算用!$AN$2:$AN$186,0)),""))</f>
        <v/>
      </c>
      <c r="L38" s="26">
        <f>IF($A38="","",IFERROR(INDEX(計算用!$I$2:$I$186,MATCH("男"&amp;$A38&amp;"-3",計算用!$AN$2:$AN$186,0)),""))</f>
        <v/>
      </c>
      <c r="M38">
        <f>IF($A38="","",IFERROR(INDEX(計算用!$D$2:$D$186,MATCH("男"&amp;$A38&amp;"-4",計算用!$AN$2:$AN$186,0)),""))</f>
        <v/>
      </c>
      <c r="N38" s="26">
        <f>IF($A38="","",IFERROR(INDEX(計算用!$M$2:$M$186,MATCH("男"&amp;$A38&amp;"-4",計算用!$AN$2:$AN$186,0)),""))</f>
        <v/>
      </c>
      <c r="O38" s="26">
        <f>IF($A38="","",IFERROR(INDEX(計算用!$I$2:$I$186,MATCH("男"&amp;$A38&amp;"-4",計算用!$AN$2:$AN$186,0)),""))</f>
        <v/>
      </c>
      <c r="Q38" s="26">
        <f>IF(ROW()-3&lt;=計算用!$Q$11,ROW()-3,"")</f>
        <v/>
      </c>
      <c r="R38" s="26">
        <f>IF($Q38="","",INDEX(計算用!$AC$2:$AC$51,$Q38))</f>
        <v/>
      </c>
      <c r="S38" s="26">
        <f>IF($Q38="","","赤"&amp;INDEX(計算用!$AF$2:$AF$51,$Q38)&amp;"白"&amp;INDEX(計算用!$AG$2:$AG$51,$Q38))</f>
        <v/>
      </c>
      <c r="T38">
        <f>IF($Q38="","",IFERROR(INDEX(計算用!$D$2:$D$186,MATCH("女"&amp;$Q38&amp;"-1",計算用!$AN$2:$AN$186,0)),""))</f>
        <v/>
      </c>
      <c r="U38" s="26">
        <f>IF($Q38="","",IFERROR(INDEX(計算用!$M$2:$M$186,MATCH("女"&amp;$Q38&amp;"-1",計算用!$AN$2:$AN$186,0)),""))</f>
        <v/>
      </c>
      <c r="V38" s="26">
        <f>IF($Q38="","",IFERROR(INDEX(計算用!$I$2:$I$186,MATCH("女"&amp;$Q38&amp;"-1",計算用!$AN$2:$AN$186,0)),""))</f>
        <v/>
      </c>
      <c r="W38">
        <f>IF($Q38="","",IFERROR(INDEX(計算用!$D$2:$D$186,MATCH("女"&amp;$Q38&amp;"-2",計算用!$AN$2:$AN$186,0)),""))</f>
        <v/>
      </c>
      <c r="X38" s="26">
        <f>IF($Q38="","",IFERROR(INDEX(計算用!$M$2:$M$186,MATCH("女"&amp;$Q38&amp;"-2",計算用!$AN$2:$AN$186,0)),""))</f>
        <v/>
      </c>
      <c r="Y38" s="26">
        <f>IF($Q38="","",IFERROR(INDEX(計算用!$I$2:$I$186,MATCH("女"&amp;$Q38&amp;"-2",計算用!$AN$2:$AN$186,0)),""))</f>
        <v/>
      </c>
      <c r="Z38">
        <f>IF($Q38="","",IFERROR(INDEX(計算用!$D$2:$D$186,MATCH("女"&amp;$Q38&amp;"-3",計算用!$AN$2:$AN$186,0)),""))</f>
        <v/>
      </c>
      <c r="AA38" s="26">
        <f>IF($Q38="","",IFERROR(INDEX(計算用!$M$2:$M$186,MATCH("女"&amp;$Q38&amp;"-3",計算用!$AN$2:$AN$186,0)),""))</f>
        <v/>
      </c>
      <c r="AB38" s="26">
        <f>IF($Q38="","",IFERROR(INDEX(計算用!$I$2:$I$186,MATCH("女"&amp;$Q38&amp;"-3",計算用!$AN$2:$AN$186,0)),""))</f>
        <v/>
      </c>
      <c r="AC38">
        <f>IF($Q38="","",IFERROR(INDEX(計算用!$D$2:$D$186,MATCH("女"&amp;$Q38&amp;"-4",計算用!$AN$2:$AN$186,0)),""))</f>
        <v/>
      </c>
      <c r="AD38" s="26">
        <f>IF($Q38="","",IFERROR(INDEX(計算用!$M$2:$M$186,MATCH("女"&amp;$Q38&amp;"-4",計算用!$AN$2:$AN$186,0)),""))</f>
        <v/>
      </c>
      <c r="AE38" s="26">
        <f>IF($Q38="","",IFERROR(INDEX(計算用!$I$2:$I$186,MATCH("女"&amp;$Q38&amp;"-4",計算用!$AN$2:$AN$186,0)),""))</f>
        <v/>
      </c>
    </row>
    <row r="39">
      <c r="A39" s="26">
        <f>IF(ROW()-3&lt;=計算用!$Q$9,ROW()-3,"")</f>
        <v/>
      </c>
      <c r="B39" s="26">
        <f>IF($A39="","",INDEX(計算用!$T$2:$T$51,$A39))</f>
        <v/>
      </c>
      <c r="C39" s="26">
        <f>IF($A39="","","赤"&amp;INDEX(計算用!$W$2:$W$51,$A39)&amp;"白"&amp;INDEX(計算用!$X$2:$X$51,$A39))</f>
        <v/>
      </c>
      <c r="D39">
        <f>IF($A39="","",IFERROR(INDEX(計算用!$D$2:$D$186,MATCH("男"&amp;$A39&amp;"-1",計算用!$AN$2:$AN$186,0)),""))</f>
        <v/>
      </c>
      <c r="E39" s="26">
        <f>IF($A39="","",IFERROR(INDEX(計算用!$M$2:$M$186,MATCH("男"&amp;$A39&amp;"-1",計算用!$AN$2:$AN$186,0)),""))</f>
        <v/>
      </c>
      <c r="F39" s="26">
        <f>IF($A39="","",IFERROR(INDEX(計算用!$I$2:$I$186,MATCH("男"&amp;$A39&amp;"-1",計算用!$AN$2:$AN$186,0)),""))</f>
        <v/>
      </c>
      <c r="G39">
        <f>IF($A39="","",IFERROR(INDEX(計算用!$D$2:$D$186,MATCH("男"&amp;$A39&amp;"-2",計算用!$AN$2:$AN$186,0)),""))</f>
        <v/>
      </c>
      <c r="H39" s="26">
        <f>IF($A39="","",IFERROR(INDEX(計算用!$M$2:$M$186,MATCH("男"&amp;$A39&amp;"-2",計算用!$AN$2:$AN$186,0)),""))</f>
        <v/>
      </c>
      <c r="I39" s="26">
        <f>IF($A39="","",IFERROR(INDEX(計算用!$I$2:$I$186,MATCH("男"&amp;$A39&amp;"-2",計算用!$AN$2:$AN$186,0)),""))</f>
        <v/>
      </c>
      <c r="J39">
        <f>IF($A39="","",IFERROR(INDEX(計算用!$D$2:$D$186,MATCH("男"&amp;$A39&amp;"-3",計算用!$AN$2:$AN$186,0)),""))</f>
        <v/>
      </c>
      <c r="K39" s="26">
        <f>IF($A39="","",IFERROR(INDEX(計算用!$M$2:$M$186,MATCH("男"&amp;$A39&amp;"-3",計算用!$AN$2:$AN$186,0)),""))</f>
        <v/>
      </c>
      <c r="L39" s="26">
        <f>IF($A39="","",IFERROR(INDEX(計算用!$I$2:$I$186,MATCH("男"&amp;$A39&amp;"-3",計算用!$AN$2:$AN$186,0)),""))</f>
        <v/>
      </c>
      <c r="M39">
        <f>IF($A39="","",IFERROR(INDEX(計算用!$D$2:$D$186,MATCH("男"&amp;$A39&amp;"-4",計算用!$AN$2:$AN$186,0)),""))</f>
        <v/>
      </c>
      <c r="N39" s="26">
        <f>IF($A39="","",IFERROR(INDEX(計算用!$M$2:$M$186,MATCH("男"&amp;$A39&amp;"-4",計算用!$AN$2:$AN$186,0)),""))</f>
        <v/>
      </c>
      <c r="O39" s="26">
        <f>IF($A39="","",IFERROR(INDEX(計算用!$I$2:$I$186,MATCH("男"&amp;$A39&amp;"-4",計算用!$AN$2:$AN$186,0)),""))</f>
        <v/>
      </c>
      <c r="Q39" s="26">
        <f>IF(ROW()-3&lt;=計算用!$Q$11,ROW()-3,"")</f>
        <v/>
      </c>
      <c r="R39" s="26">
        <f>IF($Q39="","",INDEX(計算用!$AC$2:$AC$51,$Q39))</f>
        <v/>
      </c>
      <c r="S39" s="26">
        <f>IF($Q39="","","赤"&amp;INDEX(計算用!$AF$2:$AF$51,$Q39)&amp;"白"&amp;INDEX(計算用!$AG$2:$AG$51,$Q39))</f>
        <v/>
      </c>
      <c r="T39">
        <f>IF($Q39="","",IFERROR(INDEX(計算用!$D$2:$D$186,MATCH("女"&amp;$Q39&amp;"-1",計算用!$AN$2:$AN$186,0)),""))</f>
        <v/>
      </c>
      <c r="U39" s="26">
        <f>IF($Q39="","",IFERROR(INDEX(計算用!$M$2:$M$186,MATCH("女"&amp;$Q39&amp;"-1",計算用!$AN$2:$AN$186,0)),""))</f>
        <v/>
      </c>
      <c r="V39" s="26">
        <f>IF($Q39="","",IFERROR(INDEX(計算用!$I$2:$I$186,MATCH("女"&amp;$Q39&amp;"-1",計算用!$AN$2:$AN$186,0)),""))</f>
        <v/>
      </c>
      <c r="W39">
        <f>IF($Q39="","",IFERROR(INDEX(計算用!$D$2:$D$186,MATCH("女"&amp;$Q39&amp;"-2",計算用!$AN$2:$AN$186,0)),""))</f>
        <v/>
      </c>
      <c r="X39" s="26">
        <f>IF($Q39="","",IFERROR(INDEX(計算用!$M$2:$M$186,MATCH("女"&amp;$Q39&amp;"-2",計算用!$AN$2:$AN$186,0)),""))</f>
        <v/>
      </c>
      <c r="Y39" s="26">
        <f>IF($Q39="","",IFERROR(INDEX(計算用!$I$2:$I$186,MATCH("女"&amp;$Q39&amp;"-2",計算用!$AN$2:$AN$186,0)),""))</f>
        <v/>
      </c>
      <c r="Z39">
        <f>IF($Q39="","",IFERROR(INDEX(計算用!$D$2:$D$186,MATCH("女"&amp;$Q39&amp;"-3",計算用!$AN$2:$AN$186,0)),""))</f>
        <v/>
      </c>
      <c r="AA39" s="26">
        <f>IF($Q39="","",IFERROR(INDEX(計算用!$M$2:$M$186,MATCH("女"&amp;$Q39&amp;"-3",計算用!$AN$2:$AN$186,0)),""))</f>
        <v/>
      </c>
      <c r="AB39" s="26">
        <f>IF($Q39="","",IFERROR(INDEX(計算用!$I$2:$I$186,MATCH("女"&amp;$Q39&amp;"-3",計算用!$AN$2:$AN$186,0)),""))</f>
        <v/>
      </c>
      <c r="AC39">
        <f>IF($Q39="","",IFERROR(INDEX(計算用!$D$2:$D$186,MATCH("女"&amp;$Q39&amp;"-4",計算用!$AN$2:$AN$186,0)),""))</f>
        <v/>
      </c>
      <c r="AD39" s="26">
        <f>IF($Q39="","",IFERROR(INDEX(計算用!$M$2:$M$186,MATCH("女"&amp;$Q39&amp;"-4",計算用!$AN$2:$AN$186,0)),""))</f>
        <v/>
      </c>
      <c r="AE39" s="26">
        <f>IF($Q39="","",IFERROR(INDEX(計算用!$I$2:$I$186,MATCH("女"&amp;$Q39&amp;"-4",計算用!$AN$2:$AN$186,0)),""))</f>
        <v/>
      </c>
    </row>
    <row r="40">
      <c r="A40" s="26">
        <f>IF(ROW()-3&lt;=計算用!$Q$9,ROW()-3,"")</f>
        <v/>
      </c>
      <c r="B40" s="26">
        <f>IF($A40="","",INDEX(計算用!$T$2:$T$51,$A40))</f>
        <v/>
      </c>
      <c r="C40" s="26">
        <f>IF($A40="","","赤"&amp;INDEX(計算用!$W$2:$W$51,$A40)&amp;"白"&amp;INDEX(計算用!$X$2:$X$51,$A40))</f>
        <v/>
      </c>
      <c r="D40">
        <f>IF($A40="","",IFERROR(INDEX(計算用!$D$2:$D$186,MATCH("男"&amp;$A40&amp;"-1",計算用!$AN$2:$AN$186,0)),""))</f>
        <v/>
      </c>
      <c r="E40" s="26">
        <f>IF($A40="","",IFERROR(INDEX(計算用!$M$2:$M$186,MATCH("男"&amp;$A40&amp;"-1",計算用!$AN$2:$AN$186,0)),""))</f>
        <v/>
      </c>
      <c r="F40" s="26">
        <f>IF($A40="","",IFERROR(INDEX(計算用!$I$2:$I$186,MATCH("男"&amp;$A40&amp;"-1",計算用!$AN$2:$AN$186,0)),""))</f>
        <v/>
      </c>
      <c r="G40">
        <f>IF($A40="","",IFERROR(INDEX(計算用!$D$2:$D$186,MATCH("男"&amp;$A40&amp;"-2",計算用!$AN$2:$AN$186,0)),""))</f>
        <v/>
      </c>
      <c r="H40" s="26">
        <f>IF($A40="","",IFERROR(INDEX(計算用!$M$2:$M$186,MATCH("男"&amp;$A40&amp;"-2",計算用!$AN$2:$AN$186,0)),""))</f>
        <v/>
      </c>
      <c r="I40" s="26">
        <f>IF($A40="","",IFERROR(INDEX(計算用!$I$2:$I$186,MATCH("男"&amp;$A40&amp;"-2",計算用!$AN$2:$AN$186,0)),""))</f>
        <v/>
      </c>
      <c r="J40">
        <f>IF($A40="","",IFERROR(INDEX(計算用!$D$2:$D$186,MATCH("男"&amp;$A40&amp;"-3",計算用!$AN$2:$AN$186,0)),""))</f>
        <v/>
      </c>
      <c r="K40" s="26">
        <f>IF($A40="","",IFERROR(INDEX(計算用!$M$2:$M$186,MATCH("男"&amp;$A40&amp;"-3",計算用!$AN$2:$AN$186,0)),""))</f>
        <v/>
      </c>
      <c r="L40" s="26">
        <f>IF($A40="","",IFERROR(INDEX(計算用!$I$2:$I$186,MATCH("男"&amp;$A40&amp;"-3",計算用!$AN$2:$AN$186,0)),""))</f>
        <v/>
      </c>
      <c r="M40">
        <f>IF($A40="","",IFERROR(INDEX(計算用!$D$2:$D$186,MATCH("男"&amp;$A40&amp;"-4",計算用!$AN$2:$AN$186,0)),""))</f>
        <v/>
      </c>
      <c r="N40" s="26">
        <f>IF($A40="","",IFERROR(INDEX(計算用!$M$2:$M$186,MATCH("男"&amp;$A40&amp;"-4",計算用!$AN$2:$AN$186,0)),""))</f>
        <v/>
      </c>
      <c r="O40" s="26">
        <f>IF($A40="","",IFERROR(INDEX(計算用!$I$2:$I$186,MATCH("男"&amp;$A40&amp;"-4",計算用!$AN$2:$AN$186,0)),""))</f>
        <v/>
      </c>
      <c r="Q40" s="26">
        <f>IF(ROW()-3&lt;=計算用!$Q$11,ROW()-3,"")</f>
        <v/>
      </c>
      <c r="R40" s="26">
        <f>IF($Q40="","",INDEX(計算用!$AC$2:$AC$51,$Q40))</f>
        <v/>
      </c>
      <c r="S40" s="26">
        <f>IF($Q40="","","赤"&amp;INDEX(計算用!$AF$2:$AF$51,$Q40)&amp;"白"&amp;INDEX(計算用!$AG$2:$AG$51,$Q40))</f>
        <v/>
      </c>
      <c r="T40">
        <f>IF($Q40="","",IFERROR(INDEX(計算用!$D$2:$D$186,MATCH("女"&amp;$Q40&amp;"-1",計算用!$AN$2:$AN$186,0)),""))</f>
        <v/>
      </c>
      <c r="U40" s="26">
        <f>IF($Q40="","",IFERROR(INDEX(計算用!$M$2:$M$186,MATCH("女"&amp;$Q40&amp;"-1",計算用!$AN$2:$AN$186,0)),""))</f>
        <v/>
      </c>
      <c r="V40" s="26">
        <f>IF($Q40="","",IFERROR(INDEX(計算用!$I$2:$I$186,MATCH("女"&amp;$Q40&amp;"-1",計算用!$AN$2:$AN$186,0)),""))</f>
        <v/>
      </c>
      <c r="W40">
        <f>IF($Q40="","",IFERROR(INDEX(計算用!$D$2:$D$186,MATCH("女"&amp;$Q40&amp;"-2",計算用!$AN$2:$AN$186,0)),""))</f>
        <v/>
      </c>
      <c r="X40" s="26">
        <f>IF($Q40="","",IFERROR(INDEX(計算用!$M$2:$M$186,MATCH("女"&amp;$Q40&amp;"-2",計算用!$AN$2:$AN$186,0)),""))</f>
        <v/>
      </c>
      <c r="Y40" s="26">
        <f>IF($Q40="","",IFERROR(INDEX(計算用!$I$2:$I$186,MATCH("女"&amp;$Q40&amp;"-2",計算用!$AN$2:$AN$186,0)),""))</f>
        <v/>
      </c>
      <c r="Z40">
        <f>IF($Q40="","",IFERROR(INDEX(計算用!$D$2:$D$186,MATCH("女"&amp;$Q40&amp;"-3",計算用!$AN$2:$AN$186,0)),""))</f>
        <v/>
      </c>
      <c r="AA40" s="26">
        <f>IF($Q40="","",IFERROR(INDEX(計算用!$M$2:$M$186,MATCH("女"&amp;$Q40&amp;"-3",計算用!$AN$2:$AN$186,0)),""))</f>
        <v/>
      </c>
      <c r="AB40" s="26">
        <f>IF($Q40="","",IFERROR(INDEX(計算用!$I$2:$I$186,MATCH("女"&amp;$Q40&amp;"-3",計算用!$AN$2:$AN$186,0)),""))</f>
        <v/>
      </c>
      <c r="AC40">
        <f>IF($Q40="","",IFERROR(INDEX(計算用!$D$2:$D$186,MATCH("女"&amp;$Q40&amp;"-4",計算用!$AN$2:$AN$186,0)),""))</f>
        <v/>
      </c>
      <c r="AD40" s="26">
        <f>IF($Q40="","",IFERROR(INDEX(計算用!$M$2:$M$186,MATCH("女"&amp;$Q40&amp;"-4",計算用!$AN$2:$AN$186,0)),""))</f>
        <v/>
      </c>
      <c r="AE40" s="26">
        <f>IF($Q40="","",IFERROR(INDEX(計算用!$I$2:$I$186,MATCH("女"&amp;$Q40&amp;"-4",計算用!$AN$2:$AN$186,0)),""))</f>
        <v/>
      </c>
    </row>
    <row r="41">
      <c r="A41" s="26">
        <f>IF(ROW()-3&lt;=計算用!$Q$9,ROW()-3,"")</f>
        <v/>
      </c>
      <c r="B41" s="26">
        <f>IF($A41="","",INDEX(計算用!$T$2:$T$51,$A41))</f>
        <v/>
      </c>
      <c r="C41" s="26">
        <f>IF($A41="","","赤"&amp;INDEX(計算用!$W$2:$W$51,$A41)&amp;"白"&amp;INDEX(計算用!$X$2:$X$51,$A41))</f>
        <v/>
      </c>
      <c r="D41">
        <f>IF($A41="","",IFERROR(INDEX(計算用!$D$2:$D$186,MATCH("男"&amp;$A41&amp;"-1",計算用!$AN$2:$AN$186,0)),""))</f>
        <v/>
      </c>
      <c r="E41" s="26">
        <f>IF($A41="","",IFERROR(INDEX(計算用!$M$2:$M$186,MATCH("男"&amp;$A41&amp;"-1",計算用!$AN$2:$AN$186,0)),""))</f>
        <v/>
      </c>
      <c r="F41" s="26">
        <f>IF($A41="","",IFERROR(INDEX(計算用!$I$2:$I$186,MATCH("男"&amp;$A41&amp;"-1",計算用!$AN$2:$AN$186,0)),""))</f>
        <v/>
      </c>
      <c r="G41">
        <f>IF($A41="","",IFERROR(INDEX(計算用!$D$2:$D$186,MATCH("男"&amp;$A41&amp;"-2",計算用!$AN$2:$AN$186,0)),""))</f>
        <v/>
      </c>
      <c r="H41" s="26">
        <f>IF($A41="","",IFERROR(INDEX(計算用!$M$2:$M$186,MATCH("男"&amp;$A41&amp;"-2",計算用!$AN$2:$AN$186,0)),""))</f>
        <v/>
      </c>
      <c r="I41" s="26">
        <f>IF($A41="","",IFERROR(INDEX(計算用!$I$2:$I$186,MATCH("男"&amp;$A41&amp;"-2",計算用!$AN$2:$AN$186,0)),""))</f>
        <v/>
      </c>
      <c r="J41">
        <f>IF($A41="","",IFERROR(INDEX(計算用!$D$2:$D$186,MATCH("男"&amp;$A41&amp;"-3",計算用!$AN$2:$AN$186,0)),""))</f>
        <v/>
      </c>
      <c r="K41" s="26">
        <f>IF($A41="","",IFERROR(INDEX(計算用!$M$2:$M$186,MATCH("男"&amp;$A41&amp;"-3",計算用!$AN$2:$AN$186,0)),""))</f>
        <v/>
      </c>
      <c r="L41" s="26">
        <f>IF($A41="","",IFERROR(INDEX(計算用!$I$2:$I$186,MATCH("男"&amp;$A41&amp;"-3",計算用!$AN$2:$AN$186,0)),""))</f>
        <v/>
      </c>
      <c r="M41">
        <f>IF($A41="","",IFERROR(INDEX(計算用!$D$2:$D$186,MATCH("男"&amp;$A41&amp;"-4",計算用!$AN$2:$AN$186,0)),""))</f>
        <v/>
      </c>
      <c r="N41" s="26">
        <f>IF($A41="","",IFERROR(INDEX(計算用!$M$2:$M$186,MATCH("男"&amp;$A41&amp;"-4",計算用!$AN$2:$AN$186,0)),""))</f>
        <v/>
      </c>
      <c r="O41" s="26">
        <f>IF($A41="","",IFERROR(INDEX(計算用!$I$2:$I$186,MATCH("男"&amp;$A41&amp;"-4",計算用!$AN$2:$AN$186,0)),""))</f>
        <v/>
      </c>
      <c r="Q41" s="26">
        <f>IF(ROW()-3&lt;=計算用!$Q$11,ROW()-3,"")</f>
        <v/>
      </c>
      <c r="R41" s="26">
        <f>IF($Q41="","",INDEX(計算用!$AC$2:$AC$51,$Q41))</f>
        <v/>
      </c>
      <c r="S41" s="26">
        <f>IF($Q41="","","赤"&amp;INDEX(計算用!$AF$2:$AF$51,$Q41)&amp;"白"&amp;INDEX(計算用!$AG$2:$AG$51,$Q41))</f>
        <v/>
      </c>
      <c r="T41">
        <f>IF($Q41="","",IFERROR(INDEX(計算用!$D$2:$D$186,MATCH("女"&amp;$Q41&amp;"-1",計算用!$AN$2:$AN$186,0)),""))</f>
        <v/>
      </c>
      <c r="U41" s="26">
        <f>IF($Q41="","",IFERROR(INDEX(計算用!$M$2:$M$186,MATCH("女"&amp;$Q41&amp;"-1",計算用!$AN$2:$AN$186,0)),""))</f>
        <v/>
      </c>
      <c r="V41" s="26">
        <f>IF($Q41="","",IFERROR(INDEX(計算用!$I$2:$I$186,MATCH("女"&amp;$Q41&amp;"-1",計算用!$AN$2:$AN$186,0)),""))</f>
        <v/>
      </c>
      <c r="W41">
        <f>IF($Q41="","",IFERROR(INDEX(計算用!$D$2:$D$186,MATCH("女"&amp;$Q41&amp;"-2",計算用!$AN$2:$AN$186,0)),""))</f>
        <v/>
      </c>
      <c r="X41" s="26">
        <f>IF($Q41="","",IFERROR(INDEX(計算用!$M$2:$M$186,MATCH("女"&amp;$Q41&amp;"-2",計算用!$AN$2:$AN$186,0)),""))</f>
        <v/>
      </c>
      <c r="Y41" s="26">
        <f>IF($Q41="","",IFERROR(INDEX(計算用!$I$2:$I$186,MATCH("女"&amp;$Q41&amp;"-2",計算用!$AN$2:$AN$186,0)),""))</f>
        <v/>
      </c>
      <c r="Z41">
        <f>IF($Q41="","",IFERROR(INDEX(計算用!$D$2:$D$186,MATCH("女"&amp;$Q41&amp;"-3",計算用!$AN$2:$AN$186,0)),""))</f>
        <v/>
      </c>
      <c r="AA41" s="26">
        <f>IF($Q41="","",IFERROR(INDEX(計算用!$M$2:$M$186,MATCH("女"&amp;$Q41&amp;"-3",計算用!$AN$2:$AN$186,0)),""))</f>
        <v/>
      </c>
      <c r="AB41" s="26">
        <f>IF($Q41="","",IFERROR(INDEX(計算用!$I$2:$I$186,MATCH("女"&amp;$Q41&amp;"-3",計算用!$AN$2:$AN$186,0)),""))</f>
        <v/>
      </c>
      <c r="AC41">
        <f>IF($Q41="","",IFERROR(INDEX(計算用!$D$2:$D$186,MATCH("女"&amp;$Q41&amp;"-4",計算用!$AN$2:$AN$186,0)),""))</f>
        <v/>
      </c>
      <c r="AD41" s="26">
        <f>IF($Q41="","",IFERROR(INDEX(計算用!$M$2:$M$186,MATCH("女"&amp;$Q41&amp;"-4",計算用!$AN$2:$AN$186,0)),""))</f>
        <v/>
      </c>
      <c r="AE41" s="26">
        <f>IF($Q41="","",IFERROR(INDEX(計算用!$I$2:$I$186,MATCH("女"&amp;$Q41&amp;"-4",計算用!$AN$2:$AN$186,0)),""))</f>
        <v/>
      </c>
    </row>
    <row r="42">
      <c r="A42" s="26">
        <f>IF(ROW()-3&lt;=計算用!$Q$9,ROW()-3,"")</f>
        <v/>
      </c>
      <c r="B42" s="26">
        <f>IF($A42="","",INDEX(計算用!$T$2:$T$51,$A42))</f>
        <v/>
      </c>
      <c r="C42" s="26">
        <f>IF($A42="","","赤"&amp;INDEX(計算用!$W$2:$W$51,$A42)&amp;"白"&amp;INDEX(計算用!$X$2:$X$51,$A42))</f>
        <v/>
      </c>
      <c r="D42">
        <f>IF($A42="","",IFERROR(INDEX(計算用!$D$2:$D$186,MATCH("男"&amp;$A42&amp;"-1",計算用!$AN$2:$AN$186,0)),""))</f>
        <v/>
      </c>
      <c r="E42" s="26">
        <f>IF($A42="","",IFERROR(INDEX(計算用!$M$2:$M$186,MATCH("男"&amp;$A42&amp;"-1",計算用!$AN$2:$AN$186,0)),""))</f>
        <v/>
      </c>
      <c r="F42" s="26">
        <f>IF($A42="","",IFERROR(INDEX(計算用!$I$2:$I$186,MATCH("男"&amp;$A42&amp;"-1",計算用!$AN$2:$AN$186,0)),""))</f>
        <v/>
      </c>
      <c r="G42">
        <f>IF($A42="","",IFERROR(INDEX(計算用!$D$2:$D$186,MATCH("男"&amp;$A42&amp;"-2",計算用!$AN$2:$AN$186,0)),""))</f>
        <v/>
      </c>
      <c r="H42" s="26">
        <f>IF($A42="","",IFERROR(INDEX(計算用!$M$2:$M$186,MATCH("男"&amp;$A42&amp;"-2",計算用!$AN$2:$AN$186,0)),""))</f>
        <v/>
      </c>
      <c r="I42" s="26">
        <f>IF($A42="","",IFERROR(INDEX(計算用!$I$2:$I$186,MATCH("男"&amp;$A42&amp;"-2",計算用!$AN$2:$AN$186,0)),""))</f>
        <v/>
      </c>
      <c r="J42">
        <f>IF($A42="","",IFERROR(INDEX(計算用!$D$2:$D$186,MATCH("男"&amp;$A42&amp;"-3",計算用!$AN$2:$AN$186,0)),""))</f>
        <v/>
      </c>
      <c r="K42" s="26">
        <f>IF($A42="","",IFERROR(INDEX(計算用!$M$2:$M$186,MATCH("男"&amp;$A42&amp;"-3",計算用!$AN$2:$AN$186,0)),""))</f>
        <v/>
      </c>
      <c r="L42" s="26">
        <f>IF($A42="","",IFERROR(INDEX(計算用!$I$2:$I$186,MATCH("男"&amp;$A42&amp;"-3",計算用!$AN$2:$AN$186,0)),""))</f>
        <v/>
      </c>
      <c r="M42">
        <f>IF($A42="","",IFERROR(INDEX(計算用!$D$2:$D$186,MATCH("男"&amp;$A42&amp;"-4",計算用!$AN$2:$AN$186,0)),""))</f>
        <v/>
      </c>
      <c r="N42" s="26">
        <f>IF($A42="","",IFERROR(INDEX(計算用!$M$2:$M$186,MATCH("男"&amp;$A42&amp;"-4",計算用!$AN$2:$AN$186,0)),""))</f>
        <v/>
      </c>
      <c r="O42" s="26">
        <f>IF($A42="","",IFERROR(INDEX(計算用!$I$2:$I$186,MATCH("男"&amp;$A42&amp;"-4",計算用!$AN$2:$AN$186,0)),""))</f>
        <v/>
      </c>
      <c r="Q42" s="26">
        <f>IF(ROW()-3&lt;=計算用!$Q$11,ROW()-3,"")</f>
        <v/>
      </c>
      <c r="R42" s="26">
        <f>IF($Q42="","",INDEX(計算用!$AC$2:$AC$51,$Q42))</f>
        <v/>
      </c>
      <c r="S42" s="26">
        <f>IF($Q42="","","赤"&amp;INDEX(計算用!$AF$2:$AF$51,$Q42)&amp;"白"&amp;INDEX(計算用!$AG$2:$AG$51,$Q42))</f>
        <v/>
      </c>
      <c r="T42">
        <f>IF($Q42="","",IFERROR(INDEX(計算用!$D$2:$D$186,MATCH("女"&amp;$Q42&amp;"-1",計算用!$AN$2:$AN$186,0)),""))</f>
        <v/>
      </c>
      <c r="U42" s="26">
        <f>IF($Q42="","",IFERROR(INDEX(計算用!$M$2:$M$186,MATCH("女"&amp;$Q42&amp;"-1",計算用!$AN$2:$AN$186,0)),""))</f>
        <v/>
      </c>
      <c r="V42" s="26">
        <f>IF($Q42="","",IFERROR(INDEX(計算用!$I$2:$I$186,MATCH("女"&amp;$Q42&amp;"-1",計算用!$AN$2:$AN$186,0)),""))</f>
        <v/>
      </c>
      <c r="W42">
        <f>IF($Q42="","",IFERROR(INDEX(計算用!$D$2:$D$186,MATCH("女"&amp;$Q42&amp;"-2",計算用!$AN$2:$AN$186,0)),""))</f>
        <v/>
      </c>
      <c r="X42" s="26">
        <f>IF($Q42="","",IFERROR(INDEX(計算用!$M$2:$M$186,MATCH("女"&amp;$Q42&amp;"-2",計算用!$AN$2:$AN$186,0)),""))</f>
        <v/>
      </c>
      <c r="Y42" s="26">
        <f>IF($Q42="","",IFERROR(INDEX(計算用!$I$2:$I$186,MATCH("女"&amp;$Q42&amp;"-2",計算用!$AN$2:$AN$186,0)),""))</f>
        <v/>
      </c>
      <c r="Z42">
        <f>IF($Q42="","",IFERROR(INDEX(計算用!$D$2:$D$186,MATCH("女"&amp;$Q42&amp;"-3",計算用!$AN$2:$AN$186,0)),""))</f>
        <v/>
      </c>
      <c r="AA42" s="26">
        <f>IF($Q42="","",IFERROR(INDEX(計算用!$M$2:$M$186,MATCH("女"&amp;$Q42&amp;"-3",計算用!$AN$2:$AN$186,0)),""))</f>
        <v/>
      </c>
      <c r="AB42" s="26">
        <f>IF($Q42="","",IFERROR(INDEX(計算用!$I$2:$I$186,MATCH("女"&amp;$Q42&amp;"-3",計算用!$AN$2:$AN$186,0)),""))</f>
        <v/>
      </c>
      <c r="AC42">
        <f>IF($Q42="","",IFERROR(INDEX(計算用!$D$2:$D$186,MATCH("女"&amp;$Q42&amp;"-4",計算用!$AN$2:$AN$186,0)),""))</f>
        <v/>
      </c>
      <c r="AD42" s="26">
        <f>IF($Q42="","",IFERROR(INDEX(計算用!$M$2:$M$186,MATCH("女"&amp;$Q42&amp;"-4",計算用!$AN$2:$AN$186,0)),""))</f>
        <v/>
      </c>
      <c r="AE42" s="26">
        <f>IF($Q42="","",IFERROR(INDEX(計算用!$I$2:$I$186,MATCH("女"&amp;$Q42&amp;"-4",計算用!$AN$2:$AN$186,0)),""))</f>
        <v/>
      </c>
    </row>
    <row r="43">
      <c r="A43" s="26">
        <f>IF(ROW()-3&lt;=計算用!$Q$9,ROW()-3,"")</f>
        <v/>
      </c>
      <c r="B43" s="26">
        <f>IF($A43="","",INDEX(計算用!$T$2:$T$51,$A43))</f>
        <v/>
      </c>
      <c r="C43" s="26">
        <f>IF($A43="","","赤"&amp;INDEX(計算用!$W$2:$W$51,$A43)&amp;"白"&amp;INDEX(計算用!$X$2:$X$51,$A43))</f>
        <v/>
      </c>
      <c r="D43">
        <f>IF($A43="","",IFERROR(INDEX(計算用!$D$2:$D$186,MATCH("男"&amp;$A43&amp;"-1",計算用!$AN$2:$AN$186,0)),""))</f>
        <v/>
      </c>
      <c r="E43" s="26">
        <f>IF($A43="","",IFERROR(INDEX(計算用!$M$2:$M$186,MATCH("男"&amp;$A43&amp;"-1",計算用!$AN$2:$AN$186,0)),""))</f>
        <v/>
      </c>
      <c r="F43" s="26">
        <f>IF($A43="","",IFERROR(INDEX(計算用!$I$2:$I$186,MATCH("男"&amp;$A43&amp;"-1",計算用!$AN$2:$AN$186,0)),""))</f>
        <v/>
      </c>
      <c r="G43">
        <f>IF($A43="","",IFERROR(INDEX(計算用!$D$2:$D$186,MATCH("男"&amp;$A43&amp;"-2",計算用!$AN$2:$AN$186,0)),""))</f>
        <v/>
      </c>
      <c r="H43" s="26">
        <f>IF($A43="","",IFERROR(INDEX(計算用!$M$2:$M$186,MATCH("男"&amp;$A43&amp;"-2",計算用!$AN$2:$AN$186,0)),""))</f>
        <v/>
      </c>
      <c r="I43" s="26">
        <f>IF($A43="","",IFERROR(INDEX(計算用!$I$2:$I$186,MATCH("男"&amp;$A43&amp;"-2",計算用!$AN$2:$AN$186,0)),""))</f>
        <v/>
      </c>
      <c r="J43">
        <f>IF($A43="","",IFERROR(INDEX(計算用!$D$2:$D$186,MATCH("男"&amp;$A43&amp;"-3",計算用!$AN$2:$AN$186,0)),""))</f>
        <v/>
      </c>
      <c r="K43" s="26">
        <f>IF($A43="","",IFERROR(INDEX(計算用!$M$2:$M$186,MATCH("男"&amp;$A43&amp;"-3",計算用!$AN$2:$AN$186,0)),""))</f>
        <v/>
      </c>
      <c r="L43" s="26">
        <f>IF($A43="","",IFERROR(INDEX(計算用!$I$2:$I$186,MATCH("男"&amp;$A43&amp;"-3",計算用!$AN$2:$AN$186,0)),""))</f>
        <v/>
      </c>
      <c r="M43">
        <f>IF($A43="","",IFERROR(INDEX(計算用!$D$2:$D$186,MATCH("男"&amp;$A43&amp;"-4",計算用!$AN$2:$AN$186,0)),""))</f>
        <v/>
      </c>
      <c r="N43" s="26">
        <f>IF($A43="","",IFERROR(INDEX(計算用!$M$2:$M$186,MATCH("男"&amp;$A43&amp;"-4",計算用!$AN$2:$AN$186,0)),""))</f>
        <v/>
      </c>
      <c r="O43" s="26">
        <f>IF($A43="","",IFERROR(INDEX(計算用!$I$2:$I$186,MATCH("男"&amp;$A43&amp;"-4",計算用!$AN$2:$AN$186,0)),""))</f>
        <v/>
      </c>
      <c r="Q43" s="26">
        <f>IF(ROW()-3&lt;=計算用!$Q$11,ROW()-3,"")</f>
        <v/>
      </c>
      <c r="R43" s="26">
        <f>IF($Q43="","",INDEX(計算用!$AC$2:$AC$51,$Q43))</f>
        <v/>
      </c>
      <c r="S43" s="26">
        <f>IF($Q43="","","赤"&amp;INDEX(計算用!$AF$2:$AF$51,$Q43)&amp;"白"&amp;INDEX(計算用!$AG$2:$AG$51,$Q43))</f>
        <v/>
      </c>
      <c r="T43">
        <f>IF($Q43="","",IFERROR(INDEX(計算用!$D$2:$D$186,MATCH("女"&amp;$Q43&amp;"-1",計算用!$AN$2:$AN$186,0)),""))</f>
        <v/>
      </c>
      <c r="U43" s="26">
        <f>IF($Q43="","",IFERROR(INDEX(計算用!$M$2:$M$186,MATCH("女"&amp;$Q43&amp;"-1",計算用!$AN$2:$AN$186,0)),""))</f>
        <v/>
      </c>
      <c r="V43" s="26">
        <f>IF($Q43="","",IFERROR(INDEX(計算用!$I$2:$I$186,MATCH("女"&amp;$Q43&amp;"-1",計算用!$AN$2:$AN$186,0)),""))</f>
        <v/>
      </c>
      <c r="W43">
        <f>IF($Q43="","",IFERROR(INDEX(計算用!$D$2:$D$186,MATCH("女"&amp;$Q43&amp;"-2",計算用!$AN$2:$AN$186,0)),""))</f>
        <v/>
      </c>
      <c r="X43" s="26">
        <f>IF($Q43="","",IFERROR(INDEX(計算用!$M$2:$M$186,MATCH("女"&amp;$Q43&amp;"-2",計算用!$AN$2:$AN$186,0)),""))</f>
        <v/>
      </c>
      <c r="Y43" s="26">
        <f>IF($Q43="","",IFERROR(INDEX(計算用!$I$2:$I$186,MATCH("女"&amp;$Q43&amp;"-2",計算用!$AN$2:$AN$186,0)),""))</f>
        <v/>
      </c>
      <c r="Z43">
        <f>IF($Q43="","",IFERROR(INDEX(計算用!$D$2:$D$186,MATCH("女"&amp;$Q43&amp;"-3",計算用!$AN$2:$AN$186,0)),""))</f>
        <v/>
      </c>
      <c r="AA43" s="26">
        <f>IF($Q43="","",IFERROR(INDEX(計算用!$M$2:$M$186,MATCH("女"&amp;$Q43&amp;"-3",計算用!$AN$2:$AN$186,0)),""))</f>
        <v/>
      </c>
      <c r="AB43" s="26">
        <f>IF($Q43="","",IFERROR(INDEX(計算用!$I$2:$I$186,MATCH("女"&amp;$Q43&amp;"-3",計算用!$AN$2:$AN$186,0)),""))</f>
        <v/>
      </c>
      <c r="AC43">
        <f>IF($Q43="","",IFERROR(INDEX(計算用!$D$2:$D$186,MATCH("女"&amp;$Q43&amp;"-4",計算用!$AN$2:$AN$186,0)),""))</f>
        <v/>
      </c>
      <c r="AD43" s="26">
        <f>IF($Q43="","",IFERROR(INDEX(計算用!$M$2:$M$186,MATCH("女"&amp;$Q43&amp;"-4",計算用!$AN$2:$AN$186,0)),""))</f>
        <v/>
      </c>
      <c r="AE43" s="26">
        <f>IF($Q43="","",IFERROR(INDEX(計算用!$I$2:$I$186,MATCH("女"&amp;$Q43&amp;"-4",計算用!$AN$2:$AN$186,0)),""))</f>
        <v/>
      </c>
    </row>
    <row r="44">
      <c r="A44" s="26">
        <f>IF(ROW()-3&lt;=計算用!$Q$9,ROW()-3,"")</f>
        <v/>
      </c>
      <c r="B44" s="26">
        <f>IF($A44="","",INDEX(計算用!$T$2:$T$51,$A44))</f>
        <v/>
      </c>
      <c r="C44" s="26">
        <f>IF($A44="","","赤"&amp;INDEX(計算用!$W$2:$W$51,$A44)&amp;"白"&amp;INDEX(計算用!$X$2:$X$51,$A44))</f>
        <v/>
      </c>
      <c r="D44">
        <f>IF($A44="","",IFERROR(INDEX(計算用!$D$2:$D$186,MATCH("男"&amp;$A44&amp;"-1",計算用!$AN$2:$AN$186,0)),""))</f>
        <v/>
      </c>
      <c r="E44" s="26">
        <f>IF($A44="","",IFERROR(INDEX(計算用!$M$2:$M$186,MATCH("男"&amp;$A44&amp;"-1",計算用!$AN$2:$AN$186,0)),""))</f>
        <v/>
      </c>
      <c r="F44" s="26">
        <f>IF($A44="","",IFERROR(INDEX(計算用!$I$2:$I$186,MATCH("男"&amp;$A44&amp;"-1",計算用!$AN$2:$AN$186,0)),""))</f>
        <v/>
      </c>
      <c r="G44">
        <f>IF($A44="","",IFERROR(INDEX(計算用!$D$2:$D$186,MATCH("男"&amp;$A44&amp;"-2",計算用!$AN$2:$AN$186,0)),""))</f>
        <v/>
      </c>
      <c r="H44" s="26">
        <f>IF($A44="","",IFERROR(INDEX(計算用!$M$2:$M$186,MATCH("男"&amp;$A44&amp;"-2",計算用!$AN$2:$AN$186,0)),""))</f>
        <v/>
      </c>
      <c r="I44" s="26">
        <f>IF($A44="","",IFERROR(INDEX(計算用!$I$2:$I$186,MATCH("男"&amp;$A44&amp;"-2",計算用!$AN$2:$AN$186,0)),""))</f>
        <v/>
      </c>
      <c r="J44">
        <f>IF($A44="","",IFERROR(INDEX(計算用!$D$2:$D$186,MATCH("男"&amp;$A44&amp;"-3",計算用!$AN$2:$AN$186,0)),""))</f>
        <v/>
      </c>
      <c r="K44" s="26">
        <f>IF($A44="","",IFERROR(INDEX(計算用!$M$2:$M$186,MATCH("男"&amp;$A44&amp;"-3",計算用!$AN$2:$AN$186,0)),""))</f>
        <v/>
      </c>
      <c r="L44" s="26">
        <f>IF($A44="","",IFERROR(INDEX(計算用!$I$2:$I$186,MATCH("男"&amp;$A44&amp;"-3",計算用!$AN$2:$AN$186,0)),""))</f>
        <v/>
      </c>
      <c r="M44">
        <f>IF($A44="","",IFERROR(INDEX(計算用!$D$2:$D$186,MATCH("男"&amp;$A44&amp;"-4",計算用!$AN$2:$AN$186,0)),""))</f>
        <v/>
      </c>
      <c r="N44" s="26">
        <f>IF($A44="","",IFERROR(INDEX(計算用!$M$2:$M$186,MATCH("男"&amp;$A44&amp;"-4",計算用!$AN$2:$AN$186,0)),""))</f>
        <v/>
      </c>
      <c r="O44" s="26">
        <f>IF($A44="","",IFERROR(INDEX(計算用!$I$2:$I$186,MATCH("男"&amp;$A44&amp;"-4",計算用!$AN$2:$AN$186,0)),""))</f>
        <v/>
      </c>
      <c r="Q44" s="26">
        <f>IF(ROW()-3&lt;=計算用!$Q$11,ROW()-3,"")</f>
        <v/>
      </c>
      <c r="R44" s="26">
        <f>IF($Q44="","",INDEX(計算用!$AC$2:$AC$51,$Q44))</f>
        <v/>
      </c>
      <c r="S44" s="26">
        <f>IF($Q44="","","赤"&amp;INDEX(計算用!$AF$2:$AF$51,$Q44)&amp;"白"&amp;INDEX(計算用!$AG$2:$AG$51,$Q44))</f>
        <v/>
      </c>
      <c r="T44">
        <f>IF($Q44="","",IFERROR(INDEX(計算用!$D$2:$D$186,MATCH("女"&amp;$Q44&amp;"-1",計算用!$AN$2:$AN$186,0)),""))</f>
        <v/>
      </c>
      <c r="U44" s="26">
        <f>IF($Q44="","",IFERROR(INDEX(計算用!$M$2:$M$186,MATCH("女"&amp;$Q44&amp;"-1",計算用!$AN$2:$AN$186,0)),""))</f>
        <v/>
      </c>
      <c r="V44" s="26">
        <f>IF($Q44="","",IFERROR(INDEX(計算用!$I$2:$I$186,MATCH("女"&amp;$Q44&amp;"-1",計算用!$AN$2:$AN$186,0)),""))</f>
        <v/>
      </c>
      <c r="W44">
        <f>IF($Q44="","",IFERROR(INDEX(計算用!$D$2:$D$186,MATCH("女"&amp;$Q44&amp;"-2",計算用!$AN$2:$AN$186,0)),""))</f>
        <v/>
      </c>
      <c r="X44" s="26">
        <f>IF($Q44="","",IFERROR(INDEX(計算用!$M$2:$M$186,MATCH("女"&amp;$Q44&amp;"-2",計算用!$AN$2:$AN$186,0)),""))</f>
        <v/>
      </c>
      <c r="Y44" s="26">
        <f>IF($Q44="","",IFERROR(INDEX(計算用!$I$2:$I$186,MATCH("女"&amp;$Q44&amp;"-2",計算用!$AN$2:$AN$186,0)),""))</f>
        <v/>
      </c>
      <c r="Z44">
        <f>IF($Q44="","",IFERROR(INDEX(計算用!$D$2:$D$186,MATCH("女"&amp;$Q44&amp;"-3",計算用!$AN$2:$AN$186,0)),""))</f>
        <v/>
      </c>
      <c r="AA44" s="26">
        <f>IF($Q44="","",IFERROR(INDEX(計算用!$M$2:$M$186,MATCH("女"&amp;$Q44&amp;"-3",計算用!$AN$2:$AN$186,0)),""))</f>
        <v/>
      </c>
      <c r="AB44" s="26">
        <f>IF($Q44="","",IFERROR(INDEX(計算用!$I$2:$I$186,MATCH("女"&amp;$Q44&amp;"-3",計算用!$AN$2:$AN$186,0)),""))</f>
        <v/>
      </c>
      <c r="AC44">
        <f>IF($Q44="","",IFERROR(INDEX(計算用!$D$2:$D$186,MATCH("女"&amp;$Q44&amp;"-4",計算用!$AN$2:$AN$186,0)),""))</f>
        <v/>
      </c>
      <c r="AD44" s="26">
        <f>IF($Q44="","",IFERROR(INDEX(計算用!$M$2:$M$186,MATCH("女"&amp;$Q44&amp;"-4",計算用!$AN$2:$AN$186,0)),""))</f>
        <v/>
      </c>
      <c r="AE44" s="26">
        <f>IF($Q44="","",IFERROR(INDEX(計算用!$I$2:$I$186,MATCH("女"&amp;$Q44&amp;"-4",計算用!$AN$2:$AN$186,0)),""))</f>
        <v/>
      </c>
    </row>
    <row r="45">
      <c r="A45" s="26">
        <f>IF(ROW()-3&lt;=計算用!$Q$9,ROW()-3,"")</f>
        <v/>
      </c>
      <c r="B45" s="26">
        <f>IF($A45="","",INDEX(計算用!$T$2:$T$51,$A45))</f>
        <v/>
      </c>
      <c r="C45" s="26">
        <f>IF($A45="","","赤"&amp;INDEX(計算用!$W$2:$W$51,$A45)&amp;"白"&amp;INDEX(計算用!$X$2:$X$51,$A45))</f>
        <v/>
      </c>
      <c r="D45">
        <f>IF($A45="","",IFERROR(INDEX(計算用!$D$2:$D$186,MATCH("男"&amp;$A45&amp;"-1",計算用!$AN$2:$AN$186,0)),""))</f>
        <v/>
      </c>
      <c r="E45" s="26">
        <f>IF($A45="","",IFERROR(INDEX(計算用!$M$2:$M$186,MATCH("男"&amp;$A45&amp;"-1",計算用!$AN$2:$AN$186,0)),""))</f>
        <v/>
      </c>
      <c r="F45" s="26">
        <f>IF($A45="","",IFERROR(INDEX(計算用!$I$2:$I$186,MATCH("男"&amp;$A45&amp;"-1",計算用!$AN$2:$AN$186,0)),""))</f>
        <v/>
      </c>
      <c r="G45">
        <f>IF($A45="","",IFERROR(INDEX(計算用!$D$2:$D$186,MATCH("男"&amp;$A45&amp;"-2",計算用!$AN$2:$AN$186,0)),""))</f>
        <v/>
      </c>
      <c r="H45" s="26">
        <f>IF($A45="","",IFERROR(INDEX(計算用!$M$2:$M$186,MATCH("男"&amp;$A45&amp;"-2",計算用!$AN$2:$AN$186,0)),""))</f>
        <v/>
      </c>
      <c r="I45" s="26">
        <f>IF($A45="","",IFERROR(INDEX(計算用!$I$2:$I$186,MATCH("男"&amp;$A45&amp;"-2",計算用!$AN$2:$AN$186,0)),""))</f>
        <v/>
      </c>
      <c r="J45">
        <f>IF($A45="","",IFERROR(INDEX(計算用!$D$2:$D$186,MATCH("男"&amp;$A45&amp;"-3",計算用!$AN$2:$AN$186,0)),""))</f>
        <v/>
      </c>
      <c r="K45" s="26">
        <f>IF($A45="","",IFERROR(INDEX(計算用!$M$2:$M$186,MATCH("男"&amp;$A45&amp;"-3",計算用!$AN$2:$AN$186,0)),""))</f>
        <v/>
      </c>
      <c r="L45" s="26">
        <f>IF($A45="","",IFERROR(INDEX(計算用!$I$2:$I$186,MATCH("男"&amp;$A45&amp;"-3",計算用!$AN$2:$AN$186,0)),""))</f>
        <v/>
      </c>
      <c r="M45">
        <f>IF($A45="","",IFERROR(INDEX(計算用!$D$2:$D$186,MATCH("男"&amp;$A45&amp;"-4",計算用!$AN$2:$AN$186,0)),""))</f>
        <v/>
      </c>
      <c r="N45" s="26">
        <f>IF($A45="","",IFERROR(INDEX(計算用!$M$2:$M$186,MATCH("男"&amp;$A45&amp;"-4",計算用!$AN$2:$AN$186,0)),""))</f>
        <v/>
      </c>
      <c r="O45" s="26">
        <f>IF($A45="","",IFERROR(INDEX(計算用!$I$2:$I$186,MATCH("男"&amp;$A45&amp;"-4",計算用!$AN$2:$AN$186,0)),""))</f>
        <v/>
      </c>
      <c r="Q45" s="26">
        <f>IF(ROW()-3&lt;=計算用!$Q$11,ROW()-3,"")</f>
        <v/>
      </c>
      <c r="R45" s="26">
        <f>IF($Q45="","",INDEX(計算用!$AC$2:$AC$51,$Q45))</f>
        <v/>
      </c>
      <c r="S45" s="26">
        <f>IF($Q45="","","赤"&amp;INDEX(計算用!$AF$2:$AF$51,$Q45)&amp;"白"&amp;INDEX(計算用!$AG$2:$AG$51,$Q45))</f>
        <v/>
      </c>
      <c r="T45">
        <f>IF($Q45="","",IFERROR(INDEX(計算用!$D$2:$D$186,MATCH("女"&amp;$Q45&amp;"-1",計算用!$AN$2:$AN$186,0)),""))</f>
        <v/>
      </c>
      <c r="U45" s="26">
        <f>IF($Q45="","",IFERROR(INDEX(計算用!$M$2:$M$186,MATCH("女"&amp;$Q45&amp;"-1",計算用!$AN$2:$AN$186,0)),""))</f>
        <v/>
      </c>
      <c r="V45" s="26">
        <f>IF($Q45="","",IFERROR(INDEX(計算用!$I$2:$I$186,MATCH("女"&amp;$Q45&amp;"-1",計算用!$AN$2:$AN$186,0)),""))</f>
        <v/>
      </c>
      <c r="W45">
        <f>IF($Q45="","",IFERROR(INDEX(計算用!$D$2:$D$186,MATCH("女"&amp;$Q45&amp;"-2",計算用!$AN$2:$AN$186,0)),""))</f>
        <v/>
      </c>
      <c r="X45" s="26">
        <f>IF($Q45="","",IFERROR(INDEX(計算用!$M$2:$M$186,MATCH("女"&amp;$Q45&amp;"-2",計算用!$AN$2:$AN$186,0)),""))</f>
        <v/>
      </c>
      <c r="Y45" s="26">
        <f>IF($Q45="","",IFERROR(INDEX(計算用!$I$2:$I$186,MATCH("女"&amp;$Q45&amp;"-2",計算用!$AN$2:$AN$186,0)),""))</f>
        <v/>
      </c>
      <c r="Z45">
        <f>IF($Q45="","",IFERROR(INDEX(計算用!$D$2:$D$186,MATCH("女"&amp;$Q45&amp;"-3",計算用!$AN$2:$AN$186,0)),""))</f>
        <v/>
      </c>
      <c r="AA45" s="26">
        <f>IF($Q45="","",IFERROR(INDEX(計算用!$M$2:$M$186,MATCH("女"&amp;$Q45&amp;"-3",計算用!$AN$2:$AN$186,0)),""))</f>
        <v/>
      </c>
      <c r="AB45" s="26">
        <f>IF($Q45="","",IFERROR(INDEX(計算用!$I$2:$I$186,MATCH("女"&amp;$Q45&amp;"-3",計算用!$AN$2:$AN$186,0)),""))</f>
        <v/>
      </c>
      <c r="AC45">
        <f>IF($Q45="","",IFERROR(INDEX(計算用!$D$2:$D$186,MATCH("女"&amp;$Q45&amp;"-4",計算用!$AN$2:$AN$186,0)),""))</f>
        <v/>
      </c>
      <c r="AD45" s="26">
        <f>IF($Q45="","",IFERROR(INDEX(計算用!$M$2:$M$186,MATCH("女"&amp;$Q45&amp;"-4",計算用!$AN$2:$AN$186,0)),""))</f>
        <v/>
      </c>
      <c r="AE45" s="26">
        <f>IF($Q45="","",IFERROR(INDEX(計算用!$I$2:$I$186,MATCH("女"&amp;$Q45&amp;"-4",計算用!$AN$2:$AN$186,0)),""))</f>
        <v/>
      </c>
    </row>
    <row r="46">
      <c r="A46" s="26">
        <f>IF(ROW()-3&lt;=計算用!$Q$9,ROW()-3,"")</f>
        <v/>
      </c>
      <c r="B46" s="26">
        <f>IF($A46="","",INDEX(計算用!$T$2:$T$51,$A46))</f>
        <v/>
      </c>
      <c r="C46" s="26">
        <f>IF($A46="","","赤"&amp;INDEX(計算用!$W$2:$W$51,$A46)&amp;"白"&amp;INDEX(計算用!$X$2:$X$51,$A46))</f>
        <v/>
      </c>
      <c r="D46">
        <f>IF($A46="","",IFERROR(INDEX(計算用!$D$2:$D$186,MATCH("男"&amp;$A46&amp;"-1",計算用!$AN$2:$AN$186,0)),""))</f>
        <v/>
      </c>
      <c r="E46" s="26">
        <f>IF($A46="","",IFERROR(INDEX(計算用!$M$2:$M$186,MATCH("男"&amp;$A46&amp;"-1",計算用!$AN$2:$AN$186,0)),""))</f>
        <v/>
      </c>
      <c r="F46" s="26">
        <f>IF($A46="","",IFERROR(INDEX(計算用!$I$2:$I$186,MATCH("男"&amp;$A46&amp;"-1",計算用!$AN$2:$AN$186,0)),""))</f>
        <v/>
      </c>
      <c r="G46">
        <f>IF($A46="","",IFERROR(INDEX(計算用!$D$2:$D$186,MATCH("男"&amp;$A46&amp;"-2",計算用!$AN$2:$AN$186,0)),""))</f>
        <v/>
      </c>
      <c r="H46" s="26">
        <f>IF($A46="","",IFERROR(INDEX(計算用!$M$2:$M$186,MATCH("男"&amp;$A46&amp;"-2",計算用!$AN$2:$AN$186,0)),""))</f>
        <v/>
      </c>
      <c r="I46" s="26">
        <f>IF($A46="","",IFERROR(INDEX(計算用!$I$2:$I$186,MATCH("男"&amp;$A46&amp;"-2",計算用!$AN$2:$AN$186,0)),""))</f>
        <v/>
      </c>
      <c r="J46">
        <f>IF($A46="","",IFERROR(INDEX(計算用!$D$2:$D$186,MATCH("男"&amp;$A46&amp;"-3",計算用!$AN$2:$AN$186,0)),""))</f>
        <v/>
      </c>
      <c r="K46" s="26">
        <f>IF($A46="","",IFERROR(INDEX(計算用!$M$2:$M$186,MATCH("男"&amp;$A46&amp;"-3",計算用!$AN$2:$AN$186,0)),""))</f>
        <v/>
      </c>
      <c r="L46" s="26">
        <f>IF($A46="","",IFERROR(INDEX(計算用!$I$2:$I$186,MATCH("男"&amp;$A46&amp;"-3",計算用!$AN$2:$AN$186,0)),""))</f>
        <v/>
      </c>
      <c r="M46">
        <f>IF($A46="","",IFERROR(INDEX(計算用!$D$2:$D$186,MATCH("男"&amp;$A46&amp;"-4",計算用!$AN$2:$AN$186,0)),""))</f>
        <v/>
      </c>
      <c r="N46" s="26">
        <f>IF($A46="","",IFERROR(INDEX(計算用!$M$2:$M$186,MATCH("男"&amp;$A46&amp;"-4",計算用!$AN$2:$AN$186,0)),""))</f>
        <v/>
      </c>
      <c r="O46" s="26">
        <f>IF($A46="","",IFERROR(INDEX(計算用!$I$2:$I$186,MATCH("男"&amp;$A46&amp;"-4",計算用!$AN$2:$AN$186,0)),""))</f>
        <v/>
      </c>
      <c r="Q46" s="26">
        <f>IF(ROW()-3&lt;=計算用!$Q$11,ROW()-3,"")</f>
        <v/>
      </c>
      <c r="R46" s="26">
        <f>IF($Q46="","",INDEX(計算用!$AC$2:$AC$51,$Q46))</f>
        <v/>
      </c>
      <c r="S46" s="26">
        <f>IF($Q46="","","赤"&amp;INDEX(計算用!$AF$2:$AF$51,$Q46)&amp;"白"&amp;INDEX(計算用!$AG$2:$AG$51,$Q46))</f>
        <v/>
      </c>
      <c r="T46">
        <f>IF($Q46="","",IFERROR(INDEX(計算用!$D$2:$D$186,MATCH("女"&amp;$Q46&amp;"-1",計算用!$AN$2:$AN$186,0)),""))</f>
        <v/>
      </c>
      <c r="U46" s="26">
        <f>IF($Q46="","",IFERROR(INDEX(計算用!$M$2:$M$186,MATCH("女"&amp;$Q46&amp;"-1",計算用!$AN$2:$AN$186,0)),""))</f>
        <v/>
      </c>
      <c r="V46" s="26">
        <f>IF($Q46="","",IFERROR(INDEX(計算用!$I$2:$I$186,MATCH("女"&amp;$Q46&amp;"-1",計算用!$AN$2:$AN$186,0)),""))</f>
        <v/>
      </c>
      <c r="W46">
        <f>IF($Q46="","",IFERROR(INDEX(計算用!$D$2:$D$186,MATCH("女"&amp;$Q46&amp;"-2",計算用!$AN$2:$AN$186,0)),""))</f>
        <v/>
      </c>
      <c r="X46" s="26">
        <f>IF($Q46="","",IFERROR(INDEX(計算用!$M$2:$M$186,MATCH("女"&amp;$Q46&amp;"-2",計算用!$AN$2:$AN$186,0)),""))</f>
        <v/>
      </c>
      <c r="Y46" s="26">
        <f>IF($Q46="","",IFERROR(INDEX(計算用!$I$2:$I$186,MATCH("女"&amp;$Q46&amp;"-2",計算用!$AN$2:$AN$186,0)),""))</f>
        <v/>
      </c>
      <c r="Z46">
        <f>IF($Q46="","",IFERROR(INDEX(計算用!$D$2:$D$186,MATCH("女"&amp;$Q46&amp;"-3",計算用!$AN$2:$AN$186,0)),""))</f>
        <v/>
      </c>
      <c r="AA46" s="26">
        <f>IF($Q46="","",IFERROR(INDEX(計算用!$M$2:$M$186,MATCH("女"&amp;$Q46&amp;"-3",計算用!$AN$2:$AN$186,0)),""))</f>
        <v/>
      </c>
      <c r="AB46" s="26">
        <f>IF($Q46="","",IFERROR(INDEX(計算用!$I$2:$I$186,MATCH("女"&amp;$Q46&amp;"-3",計算用!$AN$2:$AN$186,0)),""))</f>
        <v/>
      </c>
      <c r="AC46">
        <f>IF($Q46="","",IFERROR(INDEX(計算用!$D$2:$D$186,MATCH("女"&amp;$Q46&amp;"-4",計算用!$AN$2:$AN$186,0)),""))</f>
        <v/>
      </c>
      <c r="AD46" s="26">
        <f>IF($Q46="","",IFERROR(INDEX(計算用!$M$2:$M$186,MATCH("女"&amp;$Q46&amp;"-4",計算用!$AN$2:$AN$186,0)),""))</f>
        <v/>
      </c>
      <c r="AE46" s="26">
        <f>IF($Q46="","",IFERROR(INDEX(計算用!$I$2:$I$186,MATCH("女"&amp;$Q46&amp;"-4",計算用!$AN$2:$AN$186,0)),""))</f>
        <v/>
      </c>
    </row>
    <row r="47">
      <c r="A47" s="26">
        <f>IF(ROW()-3&lt;=計算用!$Q$9,ROW()-3,"")</f>
        <v/>
      </c>
      <c r="B47" s="26">
        <f>IF($A47="","",INDEX(計算用!$T$2:$T$51,$A47))</f>
        <v/>
      </c>
      <c r="C47" s="26">
        <f>IF($A47="","","赤"&amp;INDEX(計算用!$W$2:$W$51,$A47)&amp;"白"&amp;INDEX(計算用!$X$2:$X$51,$A47))</f>
        <v/>
      </c>
      <c r="D47">
        <f>IF($A47="","",IFERROR(INDEX(計算用!$D$2:$D$186,MATCH("男"&amp;$A47&amp;"-1",計算用!$AN$2:$AN$186,0)),""))</f>
        <v/>
      </c>
      <c r="E47" s="26">
        <f>IF($A47="","",IFERROR(INDEX(計算用!$M$2:$M$186,MATCH("男"&amp;$A47&amp;"-1",計算用!$AN$2:$AN$186,0)),""))</f>
        <v/>
      </c>
      <c r="F47" s="26">
        <f>IF($A47="","",IFERROR(INDEX(計算用!$I$2:$I$186,MATCH("男"&amp;$A47&amp;"-1",計算用!$AN$2:$AN$186,0)),""))</f>
        <v/>
      </c>
      <c r="G47">
        <f>IF($A47="","",IFERROR(INDEX(計算用!$D$2:$D$186,MATCH("男"&amp;$A47&amp;"-2",計算用!$AN$2:$AN$186,0)),""))</f>
        <v/>
      </c>
      <c r="H47" s="26">
        <f>IF($A47="","",IFERROR(INDEX(計算用!$M$2:$M$186,MATCH("男"&amp;$A47&amp;"-2",計算用!$AN$2:$AN$186,0)),""))</f>
        <v/>
      </c>
      <c r="I47" s="26">
        <f>IF($A47="","",IFERROR(INDEX(計算用!$I$2:$I$186,MATCH("男"&amp;$A47&amp;"-2",計算用!$AN$2:$AN$186,0)),""))</f>
        <v/>
      </c>
      <c r="J47">
        <f>IF($A47="","",IFERROR(INDEX(計算用!$D$2:$D$186,MATCH("男"&amp;$A47&amp;"-3",計算用!$AN$2:$AN$186,0)),""))</f>
        <v/>
      </c>
      <c r="K47" s="26">
        <f>IF($A47="","",IFERROR(INDEX(計算用!$M$2:$M$186,MATCH("男"&amp;$A47&amp;"-3",計算用!$AN$2:$AN$186,0)),""))</f>
        <v/>
      </c>
      <c r="L47" s="26">
        <f>IF($A47="","",IFERROR(INDEX(計算用!$I$2:$I$186,MATCH("男"&amp;$A47&amp;"-3",計算用!$AN$2:$AN$186,0)),""))</f>
        <v/>
      </c>
      <c r="M47">
        <f>IF($A47="","",IFERROR(INDEX(計算用!$D$2:$D$186,MATCH("男"&amp;$A47&amp;"-4",計算用!$AN$2:$AN$186,0)),""))</f>
        <v/>
      </c>
      <c r="N47" s="26">
        <f>IF($A47="","",IFERROR(INDEX(計算用!$M$2:$M$186,MATCH("男"&amp;$A47&amp;"-4",計算用!$AN$2:$AN$186,0)),""))</f>
        <v/>
      </c>
      <c r="O47" s="26">
        <f>IF($A47="","",IFERROR(INDEX(計算用!$I$2:$I$186,MATCH("男"&amp;$A47&amp;"-4",計算用!$AN$2:$AN$186,0)),""))</f>
        <v/>
      </c>
      <c r="Q47" s="26">
        <f>IF(ROW()-3&lt;=計算用!$Q$11,ROW()-3,"")</f>
        <v/>
      </c>
      <c r="R47" s="26">
        <f>IF($Q47="","",INDEX(計算用!$AC$2:$AC$51,$Q47))</f>
        <v/>
      </c>
      <c r="S47" s="26">
        <f>IF($Q47="","","赤"&amp;INDEX(計算用!$AF$2:$AF$51,$Q47)&amp;"白"&amp;INDEX(計算用!$AG$2:$AG$51,$Q47))</f>
        <v/>
      </c>
      <c r="T47">
        <f>IF($Q47="","",IFERROR(INDEX(計算用!$D$2:$D$186,MATCH("女"&amp;$Q47&amp;"-1",計算用!$AN$2:$AN$186,0)),""))</f>
        <v/>
      </c>
      <c r="U47" s="26">
        <f>IF($Q47="","",IFERROR(INDEX(計算用!$M$2:$M$186,MATCH("女"&amp;$Q47&amp;"-1",計算用!$AN$2:$AN$186,0)),""))</f>
        <v/>
      </c>
      <c r="V47" s="26">
        <f>IF($Q47="","",IFERROR(INDEX(計算用!$I$2:$I$186,MATCH("女"&amp;$Q47&amp;"-1",計算用!$AN$2:$AN$186,0)),""))</f>
        <v/>
      </c>
      <c r="W47">
        <f>IF($Q47="","",IFERROR(INDEX(計算用!$D$2:$D$186,MATCH("女"&amp;$Q47&amp;"-2",計算用!$AN$2:$AN$186,0)),""))</f>
        <v/>
      </c>
      <c r="X47" s="26">
        <f>IF($Q47="","",IFERROR(INDEX(計算用!$M$2:$M$186,MATCH("女"&amp;$Q47&amp;"-2",計算用!$AN$2:$AN$186,0)),""))</f>
        <v/>
      </c>
      <c r="Y47" s="26">
        <f>IF($Q47="","",IFERROR(INDEX(計算用!$I$2:$I$186,MATCH("女"&amp;$Q47&amp;"-2",計算用!$AN$2:$AN$186,0)),""))</f>
        <v/>
      </c>
      <c r="Z47">
        <f>IF($Q47="","",IFERROR(INDEX(計算用!$D$2:$D$186,MATCH("女"&amp;$Q47&amp;"-3",計算用!$AN$2:$AN$186,0)),""))</f>
        <v/>
      </c>
      <c r="AA47" s="26">
        <f>IF($Q47="","",IFERROR(INDEX(計算用!$M$2:$M$186,MATCH("女"&amp;$Q47&amp;"-3",計算用!$AN$2:$AN$186,0)),""))</f>
        <v/>
      </c>
      <c r="AB47" s="26">
        <f>IF($Q47="","",IFERROR(INDEX(計算用!$I$2:$I$186,MATCH("女"&amp;$Q47&amp;"-3",計算用!$AN$2:$AN$186,0)),""))</f>
        <v/>
      </c>
      <c r="AC47">
        <f>IF($Q47="","",IFERROR(INDEX(計算用!$D$2:$D$186,MATCH("女"&amp;$Q47&amp;"-4",計算用!$AN$2:$AN$186,0)),""))</f>
        <v/>
      </c>
      <c r="AD47" s="26">
        <f>IF($Q47="","",IFERROR(INDEX(計算用!$M$2:$M$186,MATCH("女"&amp;$Q47&amp;"-4",計算用!$AN$2:$AN$186,0)),""))</f>
        <v/>
      </c>
      <c r="AE47" s="26">
        <f>IF($Q47="","",IFERROR(INDEX(計算用!$I$2:$I$186,MATCH("女"&amp;$Q47&amp;"-4",計算用!$AN$2:$AN$186,0)),""))</f>
        <v/>
      </c>
    </row>
    <row r="48">
      <c r="A48" s="26">
        <f>IF(ROW()-3&lt;=計算用!$Q$9,ROW()-3,"")</f>
        <v/>
      </c>
      <c r="B48" s="26">
        <f>IF($A48="","",INDEX(計算用!$T$2:$T$51,$A48))</f>
        <v/>
      </c>
      <c r="C48" s="26">
        <f>IF($A48="","","赤"&amp;INDEX(計算用!$W$2:$W$51,$A48)&amp;"白"&amp;INDEX(計算用!$X$2:$X$51,$A48))</f>
        <v/>
      </c>
      <c r="D48">
        <f>IF($A48="","",IFERROR(INDEX(計算用!$D$2:$D$186,MATCH("男"&amp;$A48&amp;"-1",計算用!$AN$2:$AN$186,0)),""))</f>
        <v/>
      </c>
      <c r="E48" s="26">
        <f>IF($A48="","",IFERROR(INDEX(計算用!$M$2:$M$186,MATCH("男"&amp;$A48&amp;"-1",計算用!$AN$2:$AN$186,0)),""))</f>
        <v/>
      </c>
      <c r="F48" s="26">
        <f>IF($A48="","",IFERROR(INDEX(計算用!$I$2:$I$186,MATCH("男"&amp;$A48&amp;"-1",計算用!$AN$2:$AN$186,0)),""))</f>
        <v/>
      </c>
      <c r="G48">
        <f>IF($A48="","",IFERROR(INDEX(計算用!$D$2:$D$186,MATCH("男"&amp;$A48&amp;"-2",計算用!$AN$2:$AN$186,0)),""))</f>
        <v/>
      </c>
      <c r="H48" s="26">
        <f>IF($A48="","",IFERROR(INDEX(計算用!$M$2:$M$186,MATCH("男"&amp;$A48&amp;"-2",計算用!$AN$2:$AN$186,0)),""))</f>
        <v/>
      </c>
      <c r="I48" s="26">
        <f>IF($A48="","",IFERROR(INDEX(計算用!$I$2:$I$186,MATCH("男"&amp;$A48&amp;"-2",計算用!$AN$2:$AN$186,0)),""))</f>
        <v/>
      </c>
      <c r="J48">
        <f>IF($A48="","",IFERROR(INDEX(計算用!$D$2:$D$186,MATCH("男"&amp;$A48&amp;"-3",計算用!$AN$2:$AN$186,0)),""))</f>
        <v/>
      </c>
      <c r="K48" s="26">
        <f>IF($A48="","",IFERROR(INDEX(計算用!$M$2:$M$186,MATCH("男"&amp;$A48&amp;"-3",計算用!$AN$2:$AN$186,0)),""))</f>
        <v/>
      </c>
      <c r="L48" s="26">
        <f>IF($A48="","",IFERROR(INDEX(計算用!$I$2:$I$186,MATCH("男"&amp;$A48&amp;"-3",計算用!$AN$2:$AN$186,0)),""))</f>
        <v/>
      </c>
      <c r="M48">
        <f>IF($A48="","",IFERROR(INDEX(計算用!$D$2:$D$186,MATCH("男"&amp;$A48&amp;"-4",計算用!$AN$2:$AN$186,0)),""))</f>
        <v/>
      </c>
      <c r="N48" s="26">
        <f>IF($A48="","",IFERROR(INDEX(計算用!$M$2:$M$186,MATCH("男"&amp;$A48&amp;"-4",計算用!$AN$2:$AN$186,0)),""))</f>
        <v/>
      </c>
      <c r="O48" s="26">
        <f>IF($A48="","",IFERROR(INDEX(計算用!$I$2:$I$186,MATCH("男"&amp;$A48&amp;"-4",計算用!$AN$2:$AN$186,0)),""))</f>
        <v/>
      </c>
      <c r="Q48" s="26">
        <f>IF(ROW()-3&lt;=計算用!$Q$11,ROW()-3,"")</f>
        <v/>
      </c>
      <c r="R48" s="26">
        <f>IF($Q48="","",INDEX(計算用!$AC$2:$AC$51,$Q48))</f>
        <v/>
      </c>
      <c r="S48" s="26">
        <f>IF($Q48="","","赤"&amp;INDEX(計算用!$AF$2:$AF$51,$Q48)&amp;"白"&amp;INDEX(計算用!$AG$2:$AG$51,$Q48))</f>
        <v/>
      </c>
      <c r="T48">
        <f>IF($Q48="","",IFERROR(INDEX(計算用!$D$2:$D$186,MATCH("女"&amp;$Q48&amp;"-1",計算用!$AN$2:$AN$186,0)),""))</f>
        <v/>
      </c>
      <c r="U48" s="26">
        <f>IF($Q48="","",IFERROR(INDEX(計算用!$M$2:$M$186,MATCH("女"&amp;$Q48&amp;"-1",計算用!$AN$2:$AN$186,0)),""))</f>
        <v/>
      </c>
      <c r="V48" s="26">
        <f>IF($Q48="","",IFERROR(INDEX(計算用!$I$2:$I$186,MATCH("女"&amp;$Q48&amp;"-1",計算用!$AN$2:$AN$186,0)),""))</f>
        <v/>
      </c>
      <c r="W48">
        <f>IF($Q48="","",IFERROR(INDEX(計算用!$D$2:$D$186,MATCH("女"&amp;$Q48&amp;"-2",計算用!$AN$2:$AN$186,0)),""))</f>
        <v/>
      </c>
      <c r="X48" s="26">
        <f>IF($Q48="","",IFERROR(INDEX(計算用!$M$2:$M$186,MATCH("女"&amp;$Q48&amp;"-2",計算用!$AN$2:$AN$186,0)),""))</f>
        <v/>
      </c>
      <c r="Y48" s="26">
        <f>IF($Q48="","",IFERROR(INDEX(計算用!$I$2:$I$186,MATCH("女"&amp;$Q48&amp;"-2",計算用!$AN$2:$AN$186,0)),""))</f>
        <v/>
      </c>
      <c r="Z48">
        <f>IF($Q48="","",IFERROR(INDEX(計算用!$D$2:$D$186,MATCH("女"&amp;$Q48&amp;"-3",計算用!$AN$2:$AN$186,0)),""))</f>
        <v/>
      </c>
      <c r="AA48" s="26">
        <f>IF($Q48="","",IFERROR(INDEX(計算用!$M$2:$M$186,MATCH("女"&amp;$Q48&amp;"-3",計算用!$AN$2:$AN$186,0)),""))</f>
        <v/>
      </c>
      <c r="AB48" s="26">
        <f>IF($Q48="","",IFERROR(INDEX(計算用!$I$2:$I$186,MATCH("女"&amp;$Q48&amp;"-3",計算用!$AN$2:$AN$186,0)),""))</f>
        <v/>
      </c>
      <c r="AC48">
        <f>IF($Q48="","",IFERROR(INDEX(計算用!$D$2:$D$186,MATCH("女"&amp;$Q48&amp;"-4",計算用!$AN$2:$AN$186,0)),""))</f>
        <v/>
      </c>
      <c r="AD48" s="26">
        <f>IF($Q48="","",IFERROR(INDEX(計算用!$M$2:$M$186,MATCH("女"&amp;$Q48&amp;"-4",計算用!$AN$2:$AN$186,0)),""))</f>
        <v/>
      </c>
      <c r="AE48" s="26">
        <f>IF($Q48="","",IFERROR(INDEX(計算用!$I$2:$I$186,MATCH("女"&amp;$Q48&amp;"-4",計算用!$AN$2:$AN$186,0)),""))</f>
        <v/>
      </c>
    </row>
    <row r="49">
      <c r="A49" s="26">
        <f>IF(ROW()-3&lt;=計算用!$Q$9,ROW()-3,"")</f>
        <v/>
      </c>
      <c r="B49" s="26">
        <f>IF($A49="","",INDEX(計算用!$T$2:$T$51,$A49))</f>
        <v/>
      </c>
      <c r="C49" s="26">
        <f>IF($A49="","","赤"&amp;INDEX(計算用!$W$2:$W$51,$A49)&amp;"白"&amp;INDEX(計算用!$X$2:$X$51,$A49))</f>
        <v/>
      </c>
      <c r="D49">
        <f>IF($A49="","",IFERROR(INDEX(計算用!$D$2:$D$186,MATCH("男"&amp;$A49&amp;"-1",計算用!$AN$2:$AN$186,0)),""))</f>
        <v/>
      </c>
      <c r="E49" s="26">
        <f>IF($A49="","",IFERROR(INDEX(計算用!$M$2:$M$186,MATCH("男"&amp;$A49&amp;"-1",計算用!$AN$2:$AN$186,0)),""))</f>
        <v/>
      </c>
      <c r="F49" s="26">
        <f>IF($A49="","",IFERROR(INDEX(計算用!$I$2:$I$186,MATCH("男"&amp;$A49&amp;"-1",計算用!$AN$2:$AN$186,0)),""))</f>
        <v/>
      </c>
      <c r="G49">
        <f>IF($A49="","",IFERROR(INDEX(計算用!$D$2:$D$186,MATCH("男"&amp;$A49&amp;"-2",計算用!$AN$2:$AN$186,0)),""))</f>
        <v/>
      </c>
      <c r="H49" s="26">
        <f>IF($A49="","",IFERROR(INDEX(計算用!$M$2:$M$186,MATCH("男"&amp;$A49&amp;"-2",計算用!$AN$2:$AN$186,0)),""))</f>
        <v/>
      </c>
      <c r="I49" s="26">
        <f>IF($A49="","",IFERROR(INDEX(計算用!$I$2:$I$186,MATCH("男"&amp;$A49&amp;"-2",計算用!$AN$2:$AN$186,0)),""))</f>
        <v/>
      </c>
      <c r="J49">
        <f>IF($A49="","",IFERROR(INDEX(計算用!$D$2:$D$186,MATCH("男"&amp;$A49&amp;"-3",計算用!$AN$2:$AN$186,0)),""))</f>
        <v/>
      </c>
      <c r="K49" s="26">
        <f>IF($A49="","",IFERROR(INDEX(計算用!$M$2:$M$186,MATCH("男"&amp;$A49&amp;"-3",計算用!$AN$2:$AN$186,0)),""))</f>
        <v/>
      </c>
      <c r="L49" s="26">
        <f>IF($A49="","",IFERROR(INDEX(計算用!$I$2:$I$186,MATCH("男"&amp;$A49&amp;"-3",計算用!$AN$2:$AN$186,0)),""))</f>
        <v/>
      </c>
      <c r="M49">
        <f>IF($A49="","",IFERROR(INDEX(計算用!$D$2:$D$186,MATCH("男"&amp;$A49&amp;"-4",計算用!$AN$2:$AN$186,0)),""))</f>
        <v/>
      </c>
      <c r="N49" s="26">
        <f>IF($A49="","",IFERROR(INDEX(計算用!$M$2:$M$186,MATCH("男"&amp;$A49&amp;"-4",計算用!$AN$2:$AN$186,0)),""))</f>
        <v/>
      </c>
      <c r="O49" s="26">
        <f>IF($A49="","",IFERROR(INDEX(計算用!$I$2:$I$186,MATCH("男"&amp;$A49&amp;"-4",計算用!$AN$2:$AN$186,0)),""))</f>
        <v/>
      </c>
      <c r="Q49" s="26">
        <f>IF(ROW()-3&lt;=計算用!$Q$11,ROW()-3,"")</f>
        <v/>
      </c>
      <c r="R49" s="26">
        <f>IF($Q49="","",INDEX(計算用!$AC$2:$AC$51,$Q49))</f>
        <v/>
      </c>
      <c r="S49" s="26">
        <f>IF($Q49="","","赤"&amp;INDEX(計算用!$AF$2:$AF$51,$Q49)&amp;"白"&amp;INDEX(計算用!$AG$2:$AG$51,$Q49))</f>
        <v/>
      </c>
      <c r="T49">
        <f>IF($Q49="","",IFERROR(INDEX(計算用!$D$2:$D$186,MATCH("女"&amp;$Q49&amp;"-1",計算用!$AN$2:$AN$186,0)),""))</f>
        <v/>
      </c>
      <c r="U49" s="26">
        <f>IF($Q49="","",IFERROR(INDEX(計算用!$M$2:$M$186,MATCH("女"&amp;$Q49&amp;"-1",計算用!$AN$2:$AN$186,0)),""))</f>
        <v/>
      </c>
      <c r="V49" s="26">
        <f>IF($Q49="","",IFERROR(INDEX(計算用!$I$2:$I$186,MATCH("女"&amp;$Q49&amp;"-1",計算用!$AN$2:$AN$186,0)),""))</f>
        <v/>
      </c>
      <c r="W49">
        <f>IF($Q49="","",IFERROR(INDEX(計算用!$D$2:$D$186,MATCH("女"&amp;$Q49&amp;"-2",計算用!$AN$2:$AN$186,0)),""))</f>
        <v/>
      </c>
      <c r="X49" s="26">
        <f>IF($Q49="","",IFERROR(INDEX(計算用!$M$2:$M$186,MATCH("女"&amp;$Q49&amp;"-2",計算用!$AN$2:$AN$186,0)),""))</f>
        <v/>
      </c>
      <c r="Y49" s="26">
        <f>IF($Q49="","",IFERROR(INDEX(計算用!$I$2:$I$186,MATCH("女"&amp;$Q49&amp;"-2",計算用!$AN$2:$AN$186,0)),""))</f>
        <v/>
      </c>
      <c r="Z49">
        <f>IF($Q49="","",IFERROR(INDEX(計算用!$D$2:$D$186,MATCH("女"&amp;$Q49&amp;"-3",計算用!$AN$2:$AN$186,0)),""))</f>
        <v/>
      </c>
      <c r="AA49" s="26">
        <f>IF($Q49="","",IFERROR(INDEX(計算用!$M$2:$M$186,MATCH("女"&amp;$Q49&amp;"-3",計算用!$AN$2:$AN$186,0)),""))</f>
        <v/>
      </c>
      <c r="AB49" s="26">
        <f>IF($Q49="","",IFERROR(INDEX(計算用!$I$2:$I$186,MATCH("女"&amp;$Q49&amp;"-3",計算用!$AN$2:$AN$186,0)),""))</f>
        <v/>
      </c>
      <c r="AC49">
        <f>IF($Q49="","",IFERROR(INDEX(計算用!$D$2:$D$186,MATCH("女"&amp;$Q49&amp;"-4",計算用!$AN$2:$AN$186,0)),""))</f>
        <v/>
      </c>
      <c r="AD49" s="26">
        <f>IF($Q49="","",IFERROR(INDEX(計算用!$M$2:$M$186,MATCH("女"&amp;$Q49&amp;"-4",計算用!$AN$2:$AN$186,0)),""))</f>
        <v/>
      </c>
      <c r="AE49" s="26">
        <f>IF($Q49="","",IFERROR(INDEX(計算用!$I$2:$I$186,MATCH("女"&amp;$Q49&amp;"-4",計算用!$AN$2:$AN$186,0)),""))</f>
        <v/>
      </c>
    </row>
    <row r="50">
      <c r="A50" s="26">
        <f>IF(ROW()-3&lt;=計算用!$Q$9,ROW()-3,"")</f>
        <v/>
      </c>
      <c r="B50" s="26">
        <f>IF($A50="","",INDEX(計算用!$T$2:$T$51,$A50))</f>
        <v/>
      </c>
      <c r="C50" s="26">
        <f>IF($A50="","","赤"&amp;INDEX(計算用!$W$2:$W$51,$A50)&amp;"白"&amp;INDEX(計算用!$X$2:$X$51,$A50))</f>
        <v/>
      </c>
      <c r="D50">
        <f>IF($A50="","",IFERROR(INDEX(計算用!$D$2:$D$186,MATCH("男"&amp;$A50&amp;"-1",計算用!$AN$2:$AN$186,0)),""))</f>
        <v/>
      </c>
      <c r="E50" s="26">
        <f>IF($A50="","",IFERROR(INDEX(計算用!$M$2:$M$186,MATCH("男"&amp;$A50&amp;"-1",計算用!$AN$2:$AN$186,0)),""))</f>
        <v/>
      </c>
      <c r="F50" s="26">
        <f>IF($A50="","",IFERROR(INDEX(計算用!$I$2:$I$186,MATCH("男"&amp;$A50&amp;"-1",計算用!$AN$2:$AN$186,0)),""))</f>
        <v/>
      </c>
      <c r="G50">
        <f>IF($A50="","",IFERROR(INDEX(計算用!$D$2:$D$186,MATCH("男"&amp;$A50&amp;"-2",計算用!$AN$2:$AN$186,0)),""))</f>
        <v/>
      </c>
      <c r="H50" s="26">
        <f>IF($A50="","",IFERROR(INDEX(計算用!$M$2:$M$186,MATCH("男"&amp;$A50&amp;"-2",計算用!$AN$2:$AN$186,0)),""))</f>
        <v/>
      </c>
      <c r="I50" s="26">
        <f>IF($A50="","",IFERROR(INDEX(計算用!$I$2:$I$186,MATCH("男"&amp;$A50&amp;"-2",計算用!$AN$2:$AN$186,0)),""))</f>
        <v/>
      </c>
      <c r="J50">
        <f>IF($A50="","",IFERROR(INDEX(計算用!$D$2:$D$186,MATCH("男"&amp;$A50&amp;"-3",計算用!$AN$2:$AN$186,0)),""))</f>
        <v/>
      </c>
      <c r="K50" s="26">
        <f>IF($A50="","",IFERROR(INDEX(計算用!$M$2:$M$186,MATCH("男"&amp;$A50&amp;"-3",計算用!$AN$2:$AN$186,0)),""))</f>
        <v/>
      </c>
      <c r="L50" s="26">
        <f>IF($A50="","",IFERROR(INDEX(計算用!$I$2:$I$186,MATCH("男"&amp;$A50&amp;"-3",計算用!$AN$2:$AN$186,0)),""))</f>
        <v/>
      </c>
      <c r="M50">
        <f>IF($A50="","",IFERROR(INDEX(計算用!$D$2:$D$186,MATCH("男"&amp;$A50&amp;"-4",計算用!$AN$2:$AN$186,0)),""))</f>
        <v/>
      </c>
      <c r="N50" s="26">
        <f>IF($A50="","",IFERROR(INDEX(計算用!$M$2:$M$186,MATCH("男"&amp;$A50&amp;"-4",計算用!$AN$2:$AN$186,0)),""))</f>
        <v/>
      </c>
      <c r="O50" s="26">
        <f>IF($A50="","",IFERROR(INDEX(計算用!$I$2:$I$186,MATCH("男"&amp;$A50&amp;"-4",計算用!$AN$2:$AN$186,0)),""))</f>
        <v/>
      </c>
      <c r="Q50" s="26">
        <f>IF(ROW()-3&lt;=計算用!$Q$11,ROW()-3,"")</f>
        <v/>
      </c>
      <c r="R50" s="26">
        <f>IF($Q50="","",INDEX(計算用!$AC$2:$AC$51,$Q50))</f>
        <v/>
      </c>
      <c r="S50" s="26">
        <f>IF($Q50="","","赤"&amp;INDEX(計算用!$AF$2:$AF$51,$Q50)&amp;"白"&amp;INDEX(計算用!$AG$2:$AG$51,$Q50))</f>
        <v/>
      </c>
      <c r="T50">
        <f>IF($Q50="","",IFERROR(INDEX(計算用!$D$2:$D$186,MATCH("女"&amp;$Q50&amp;"-1",計算用!$AN$2:$AN$186,0)),""))</f>
        <v/>
      </c>
      <c r="U50" s="26">
        <f>IF($Q50="","",IFERROR(INDEX(計算用!$M$2:$M$186,MATCH("女"&amp;$Q50&amp;"-1",計算用!$AN$2:$AN$186,0)),""))</f>
        <v/>
      </c>
      <c r="V50" s="26">
        <f>IF($Q50="","",IFERROR(INDEX(計算用!$I$2:$I$186,MATCH("女"&amp;$Q50&amp;"-1",計算用!$AN$2:$AN$186,0)),""))</f>
        <v/>
      </c>
      <c r="W50">
        <f>IF($Q50="","",IFERROR(INDEX(計算用!$D$2:$D$186,MATCH("女"&amp;$Q50&amp;"-2",計算用!$AN$2:$AN$186,0)),""))</f>
        <v/>
      </c>
      <c r="X50" s="26">
        <f>IF($Q50="","",IFERROR(INDEX(計算用!$M$2:$M$186,MATCH("女"&amp;$Q50&amp;"-2",計算用!$AN$2:$AN$186,0)),""))</f>
        <v/>
      </c>
      <c r="Y50" s="26">
        <f>IF($Q50="","",IFERROR(INDEX(計算用!$I$2:$I$186,MATCH("女"&amp;$Q50&amp;"-2",計算用!$AN$2:$AN$186,0)),""))</f>
        <v/>
      </c>
      <c r="Z50">
        <f>IF($Q50="","",IFERROR(INDEX(計算用!$D$2:$D$186,MATCH("女"&amp;$Q50&amp;"-3",計算用!$AN$2:$AN$186,0)),""))</f>
        <v/>
      </c>
      <c r="AA50" s="26">
        <f>IF($Q50="","",IFERROR(INDEX(計算用!$M$2:$M$186,MATCH("女"&amp;$Q50&amp;"-3",計算用!$AN$2:$AN$186,0)),""))</f>
        <v/>
      </c>
      <c r="AB50" s="26">
        <f>IF($Q50="","",IFERROR(INDEX(計算用!$I$2:$I$186,MATCH("女"&amp;$Q50&amp;"-3",計算用!$AN$2:$AN$186,0)),""))</f>
        <v/>
      </c>
      <c r="AC50">
        <f>IF($Q50="","",IFERROR(INDEX(計算用!$D$2:$D$186,MATCH("女"&amp;$Q50&amp;"-4",計算用!$AN$2:$AN$186,0)),""))</f>
        <v/>
      </c>
      <c r="AD50" s="26">
        <f>IF($Q50="","",IFERROR(INDEX(計算用!$M$2:$M$186,MATCH("女"&amp;$Q50&amp;"-4",計算用!$AN$2:$AN$186,0)),""))</f>
        <v/>
      </c>
      <c r="AE50" s="26">
        <f>IF($Q50="","",IFERROR(INDEX(計算用!$I$2:$I$186,MATCH("女"&amp;$Q50&amp;"-4",計算用!$AN$2:$AN$186,0)),""))</f>
        <v/>
      </c>
    </row>
    <row r="51">
      <c r="A51" s="26">
        <f>IF(ROW()-3&lt;=計算用!$Q$9,ROW()-3,"")</f>
        <v/>
      </c>
      <c r="B51" s="26">
        <f>IF($A51="","",INDEX(計算用!$T$2:$T$51,$A51))</f>
        <v/>
      </c>
      <c r="C51" s="26">
        <f>IF($A51="","","赤"&amp;INDEX(計算用!$W$2:$W$51,$A51)&amp;"白"&amp;INDEX(計算用!$X$2:$X$51,$A51))</f>
        <v/>
      </c>
      <c r="D51">
        <f>IF($A51="","",IFERROR(INDEX(計算用!$D$2:$D$186,MATCH("男"&amp;$A51&amp;"-1",計算用!$AN$2:$AN$186,0)),""))</f>
        <v/>
      </c>
      <c r="E51" s="26">
        <f>IF($A51="","",IFERROR(INDEX(計算用!$M$2:$M$186,MATCH("男"&amp;$A51&amp;"-1",計算用!$AN$2:$AN$186,0)),""))</f>
        <v/>
      </c>
      <c r="F51" s="26">
        <f>IF($A51="","",IFERROR(INDEX(計算用!$I$2:$I$186,MATCH("男"&amp;$A51&amp;"-1",計算用!$AN$2:$AN$186,0)),""))</f>
        <v/>
      </c>
      <c r="G51">
        <f>IF($A51="","",IFERROR(INDEX(計算用!$D$2:$D$186,MATCH("男"&amp;$A51&amp;"-2",計算用!$AN$2:$AN$186,0)),""))</f>
        <v/>
      </c>
      <c r="H51" s="26">
        <f>IF($A51="","",IFERROR(INDEX(計算用!$M$2:$M$186,MATCH("男"&amp;$A51&amp;"-2",計算用!$AN$2:$AN$186,0)),""))</f>
        <v/>
      </c>
      <c r="I51" s="26">
        <f>IF($A51="","",IFERROR(INDEX(計算用!$I$2:$I$186,MATCH("男"&amp;$A51&amp;"-2",計算用!$AN$2:$AN$186,0)),""))</f>
        <v/>
      </c>
      <c r="J51">
        <f>IF($A51="","",IFERROR(INDEX(計算用!$D$2:$D$186,MATCH("男"&amp;$A51&amp;"-3",計算用!$AN$2:$AN$186,0)),""))</f>
        <v/>
      </c>
      <c r="K51" s="26">
        <f>IF($A51="","",IFERROR(INDEX(計算用!$M$2:$M$186,MATCH("男"&amp;$A51&amp;"-3",計算用!$AN$2:$AN$186,0)),""))</f>
        <v/>
      </c>
      <c r="L51" s="26">
        <f>IF($A51="","",IFERROR(INDEX(計算用!$I$2:$I$186,MATCH("男"&amp;$A51&amp;"-3",計算用!$AN$2:$AN$186,0)),""))</f>
        <v/>
      </c>
      <c r="M51">
        <f>IF($A51="","",IFERROR(INDEX(計算用!$D$2:$D$186,MATCH("男"&amp;$A51&amp;"-4",計算用!$AN$2:$AN$186,0)),""))</f>
        <v/>
      </c>
      <c r="N51" s="26">
        <f>IF($A51="","",IFERROR(INDEX(計算用!$M$2:$M$186,MATCH("男"&amp;$A51&amp;"-4",計算用!$AN$2:$AN$186,0)),""))</f>
        <v/>
      </c>
      <c r="O51" s="26">
        <f>IF($A51="","",IFERROR(INDEX(計算用!$I$2:$I$186,MATCH("男"&amp;$A51&amp;"-4",計算用!$AN$2:$AN$186,0)),""))</f>
        <v/>
      </c>
      <c r="Q51" s="26">
        <f>IF(ROW()-3&lt;=計算用!$Q$11,ROW()-3,"")</f>
        <v/>
      </c>
      <c r="R51" s="26">
        <f>IF($Q51="","",INDEX(計算用!$AC$2:$AC$51,$Q51))</f>
        <v/>
      </c>
      <c r="S51" s="26">
        <f>IF($Q51="","","赤"&amp;INDEX(計算用!$AF$2:$AF$51,$Q51)&amp;"白"&amp;INDEX(計算用!$AG$2:$AG$51,$Q51))</f>
        <v/>
      </c>
      <c r="T51">
        <f>IF($Q51="","",IFERROR(INDEX(計算用!$D$2:$D$186,MATCH("女"&amp;$Q51&amp;"-1",計算用!$AN$2:$AN$186,0)),""))</f>
        <v/>
      </c>
      <c r="U51" s="26">
        <f>IF($Q51="","",IFERROR(INDEX(計算用!$M$2:$M$186,MATCH("女"&amp;$Q51&amp;"-1",計算用!$AN$2:$AN$186,0)),""))</f>
        <v/>
      </c>
      <c r="V51" s="26">
        <f>IF($Q51="","",IFERROR(INDEX(計算用!$I$2:$I$186,MATCH("女"&amp;$Q51&amp;"-1",計算用!$AN$2:$AN$186,0)),""))</f>
        <v/>
      </c>
      <c r="W51">
        <f>IF($Q51="","",IFERROR(INDEX(計算用!$D$2:$D$186,MATCH("女"&amp;$Q51&amp;"-2",計算用!$AN$2:$AN$186,0)),""))</f>
        <v/>
      </c>
      <c r="X51" s="26">
        <f>IF($Q51="","",IFERROR(INDEX(計算用!$M$2:$M$186,MATCH("女"&amp;$Q51&amp;"-2",計算用!$AN$2:$AN$186,0)),""))</f>
        <v/>
      </c>
      <c r="Y51" s="26">
        <f>IF($Q51="","",IFERROR(INDEX(計算用!$I$2:$I$186,MATCH("女"&amp;$Q51&amp;"-2",計算用!$AN$2:$AN$186,0)),""))</f>
        <v/>
      </c>
      <c r="Z51">
        <f>IF($Q51="","",IFERROR(INDEX(計算用!$D$2:$D$186,MATCH("女"&amp;$Q51&amp;"-3",計算用!$AN$2:$AN$186,0)),""))</f>
        <v/>
      </c>
      <c r="AA51" s="26">
        <f>IF($Q51="","",IFERROR(INDEX(計算用!$M$2:$M$186,MATCH("女"&amp;$Q51&amp;"-3",計算用!$AN$2:$AN$186,0)),""))</f>
        <v/>
      </c>
      <c r="AB51" s="26">
        <f>IF($Q51="","",IFERROR(INDEX(計算用!$I$2:$I$186,MATCH("女"&amp;$Q51&amp;"-3",計算用!$AN$2:$AN$186,0)),""))</f>
        <v/>
      </c>
      <c r="AC51">
        <f>IF($Q51="","",IFERROR(INDEX(計算用!$D$2:$D$186,MATCH("女"&amp;$Q51&amp;"-4",計算用!$AN$2:$AN$186,0)),""))</f>
        <v/>
      </c>
      <c r="AD51" s="26">
        <f>IF($Q51="","",IFERROR(INDEX(計算用!$M$2:$M$186,MATCH("女"&amp;$Q51&amp;"-4",計算用!$AN$2:$AN$186,0)),""))</f>
        <v/>
      </c>
      <c r="AE51" s="26">
        <f>IF($Q51="","",IFERROR(INDEX(計算用!$I$2:$I$186,MATCH("女"&amp;$Q51&amp;"-4",計算用!$AN$2:$AN$186,0)),""))</f>
        <v/>
      </c>
    </row>
    <row r="52">
      <c r="A52" s="26">
        <f>IF(ROW()-3&lt;=計算用!$Q$9,ROW()-3,"")</f>
        <v/>
      </c>
      <c r="B52" s="26">
        <f>IF($A52="","",INDEX(計算用!$T$2:$T$51,$A52))</f>
        <v/>
      </c>
      <c r="C52" s="26">
        <f>IF($A52="","","赤"&amp;INDEX(計算用!$W$2:$W$51,$A52)&amp;"白"&amp;INDEX(計算用!$X$2:$X$51,$A52))</f>
        <v/>
      </c>
      <c r="D52">
        <f>IF($A52="","",IFERROR(INDEX(計算用!$D$2:$D$186,MATCH("男"&amp;$A52&amp;"-1",計算用!$AN$2:$AN$186,0)),""))</f>
        <v/>
      </c>
      <c r="E52" s="26">
        <f>IF($A52="","",IFERROR(INDEX(計算用!$M$2:$M$186,MATCH("男"&amp;$A52&amp;"-1",計算用!$AN$2:$AN$186,0)),""))</f>
        <v/>
      </c>
      <c r="F52" s="26">
        <f>IF($A52="","",IFERROR(INDEX(計算用!$I$2:$I$186,MATCH("男"&amp;$A52&amp;"-1",計算用!$AN$2:$AN$186,0)),""))</f>
        <v/>
      </c>
      <c r="G52">
        <f>IF($A52="","",IFERROR(INDEX(計算用!$D$2:$D$186,MATCH("男"&amp;$A52&amp;"-2",計算用!$AN$2:$AN$186,0)),""))</f>
        <v/>
      </c>
      <c r="H52" s="26">
        <f>IF($A52="","",IFERROR(INDEX(計算用!$M$2:$M$186,MATCH("男"&amp;$A52&amp;"-2",計算用!$AN$2:$AN$186,0)),""))</f>
        <v/>
      </c>
      <c r="I52" s="26">
        <f>IF($A52="","",IFERROR(INDEX(計算用!$I$2:$I$186,MATCH("男"&amp;$A52&amp;"-2",計算用!$AN$2:$AN$186,0)),""))</f>
        <v/>
      </c>
      <c r="J52">
        <f>IF($A52="","",IFERROR(INDEX(計算用!$D$2:$D$186,MATCH("男"&amp;$A52&amp;"-3",計算用!$AN$2:$AN$186,0)),""))</f>
        <v/>
      </c>
      <c r="K52" s="26">
        <f>IF($A52="","",IFERROR(INDEX(計算用!$M$2:$M$186,MATCH("男"&amp;$A52&amp;"-3",計算用!$AN$2:$AN$186,0)),""))</f>
        <v/>
      </c>
      <c r="L52" s="26">
        <f>IF($A52="","",IFERROR(INDEX(計算用!$I$2:$I$186,MATCH("男"&amp;$A52&amp;"-3",計算用!$AN$2:$AN$186,0)),""))</f>
        <v/>
      </c>
      <c r="M52">
        <f>IF($A52="","",IFERROR(INDEX(計算用!$D$2:$D$186,MATCH("男"&amp;$A52&amp;"-4",計算用!$AN$2:$AN$186,0)),""))</f>
        <v/>
      </c>
      <c r="N52" s="26">
        <f>IF($A52="","",IFERROR(INDEX(計算用!$M$2:$M$186,MATCH("男"&amp;$A52&amp;"-4",計算用!$AN$2:$AN$186,0)),""))</f>
        <v/>
      </c>
      <c r="O52" s="26">
        <f>IF($A52="","",IFERROR(INDEX(計算用!$I$2:$I$186,MATCH("男"&amp;$A52&amp;"-4",計算用!$AN$2:$AN$186,0)),""))</f>
        <v/>
      </c>
      <c r="Q52" s="26">
        <f>IF(ROW()-3&lt;=計算用!$Q$11,ROW()-3,"")</f>
        <v/>
      </c>
      <c r="R52" s="26">
        <f>IF($Q52="","",INDEX(計算用!$AC$2:$AC$51,$Q52))</f>
        <v/>
      </c>
      <c r="S52" s="26">
        <f>IF($Q52="","","赤"&amp;INDEX(計算用!$AF$2:$AF$51,$Q52)&amp;"白"&amp;INDEX(計算用!$AG$2:$AG$51,$Q52))</f>
        <v/>
      </c>
      <c r="T52">
        <f>IF($Q52="","",IFERROR(INDEX(計算用!$D$2:$D$186,MATCH("女"&amp;$Q52&amp;"-1",計算用!$AN$2:$AN$186,0)),""))</f>
        <v/>
      </c>
      <c r="U52" s="26">
        <f>IF($Q52="","",IFERROR(INDEX(計算用!$M$2:$M$186,MATCH("女"&amp;$Q52&amp;"-1",計算用!$AN$2:$AN$186,0)),""))</f>
        <v/>
      </c>
      <c r="V52" s="26">
        <f>IF($Q52="","",IFERROR(INDEX(計算用!$I$2:$I$186,MATCH("女"&amp;$Q52&amp;"-1",計算用!$AN$2:$AN$186,0)),""))</f>
        <v/>
      </c>
      <c r="W52">
        <f>IF($Q52="","",IFERROR(INDEX(計算用!$D$2:$D$186,MATCH("女"&amp;$Q52&amp;"-2",計算用!$AN$2:$AN$186,0)),""))</f>
        <v/>
      </c>
      <c r="X52" s="26">
        <f>IF($Q52="","",IFERROR(INDEX(計算用!$M$2:$M$186,MATCH("女"&amp;$Q52&amp;"-2",計算用!$AN$2:$AN$186,0)),""))</f>
        <v/>
      </c>
      <c r="Y52" s="26">
        <f>IF($Q52="","",IFERROR(INDEX(計算用!$I$2:$I$186,MATCH("女"&amp;$Q52&amp;"-2",計算用!$AN$2:$AN$186,0)),""))</f>
        <v/>
      </c>
      <c r="Z52">
        <f>IF($Q52="","",IFERROR(INDEX(計算用!$D$2:$D$186,MATCH("女"&amp;$Q52&amp;"-3",計算用!$AN$2:$AN$186,0)),""))</f>
        <v/>
      </c>
      <c r="AA52" s="26">
        <f>IF($Q52="","",IFERROR(INDEX(計算用!$M$2:$M$186,MATCH("女"&amp;$Q52&amp;"-3",計算用!$AN$2:$AN$186,0)),""))</f>
        <v/>
      </c>
      <c r="AB52" s="26">
        <f>IF($Q52="","",IFERROR(INDEX(計算用!$I$2:$I$186,MATCH("女"&amp;$Q52&amp;"-3",計算用!$AN$2:$AN$186,0)),""))</f>
        <v/>
      </c>
      <c r="AC52">
        <f>IF($Q52="","",IFERROR(INDEX(計算用!$D$2:$D$186,MATCH("女"&amp;$Q52&amp;"-4",計算用!$AN$2:$AN$186,0)),""))</f>
        <v/>
      </c>
      <c r="AD52" s="26">
        <f>IF($Q52="","",IFERROR(INDEX(計算用!$M$2:$M$186,MATCH("女"&amp;$Q52&amp;"-4",計算用!$AN$2:$AN$186,0)),""))</f>
        <v/>
      </c>
      <c r="AE52" s="26">
        <f>IF($Q52="","",IFERROR(INDEX(計算用!$I$2:$I$186,MATCH("女"&amp;$Q52&amp;"-4",計算用!$AN$2:$AN$186,0)),""))</f>
        <v/>
      </c>
    </row>
    <row r="53">
      <c r="A53" s="26">
        <f>IF(ROW()-3&lt;=計算用!$Q$9,ROW()-3,"")</f>
        <v/>
      </c>
      <c r="B53" s="26">
        <f>IF($A53="","",INDEX(計算用!$T$2:$T$51,$A53))</f>
        <v/>
      </c>
      <c r="C53" s="26">
        <f>IF($A53="","","赤"&amp;INDEX(計算用!$W$2:$W$51,$A53)&amp;"白"&amp;INDEX(計算用!$X$2:$X$51,$A53))</f>
        <v/>
      </c>
      <c r="D53">
        <f>IF($A53="","",IFERROR(INDEX(計算用!$D$2:$D$186,MATCH("男"&amp;$A53&amp;"-1",計算用!$AN$2:$AN$186,0)),""))</f>
        <v/>
      </c>
      <c r="E53" s="26">
        <f>IF($A53="","",IFERROR(INDEX(計算用!$M$2:$M$186,MATCH("男"&amp;$A53&amp;"-1",計算用!$AN$2:$AN$186,0)),""))</f>
        <v/>
      </c>
      <c r="F53" s="26">
        <f>IF($A53="","",IFERROR(INDEX(計算用!$I$2:$I$186,MATCH("男"&amp;$A53&amp;"-1",計算用!$AN$2:$AN$186,0)),""))</f>
        <v/>
      </c>
      <c r="G53">
        <f>IF($A53="","",IFERROR(INDEX(計算用!$D$2:$D$186,MATCH("男"&amp;$A53&amp;"-2",計算用!$AN$2:$AN$186,0)),""))</f>
        <v/>
      </c>
      <c r="H53" s="26">
        <f>IF($A53="","",IFERROR(INDEX(計算用!$M$2:$M$186,MATCH("男"&amp;$A53&amp;"-2",計算用!$AN$2:$AN$186,0)),""))</f>
        <v/>
      </c>
      <c r="I53" s="26">
        <f>IF($A53="","",IFERROR(INDEX(計算用!$I$2:$I$186,MATCH("男"&amp;$A53&amp;"-2",計算用!$AN$2:$AN$186,0)),""))</f>
        <v/>
      </c>
      <c r="J53">
        <f>IF($A53="","",IFERROR(INDEX(計算用!$D$2:$D$186,MATCH("男"&amp;$A53&amp;"-3",計算用!$AN$2:$AN$186,0)),""))</f>
        <v/>
      </c>
      <c r="K53" s="26">
        <f>IF($A53="","",IFERROR(INDEX(計算用!$M$2:$M$186,MATCH("男"&amp;$A53&amp;"-3",計算用!$AN$2:$AN$186,0)),""))</f>
        <v/>
      </c>
      <c r="L53" s="26">
        <f>IF($A53="","",IFERROR(INDEX(計算用!$I$2:$I$186,MATCH("男"&amp;$A53&amp;"-3",計算用!$AN$2:$AN$186,0)),""))</f>
        <v/>
      </c>
      <c r="M53">
        <f>IF($A53="","",IFERROR(INDEX(計算用!$D$2:$D$186,MATCH("男"&amp;$A53&amp;"-4",計算用!$AN$2:$AN$186,0)),""))</f>
        <v/>
      </c>
      <c r="N53" s="26">
        <f>IF($A53="","",IFERROR(INDEX(計算用!$M$2:$M$186,MATCH("男"&amp;$A53&amp;"-4",計算用!$AN$2:$AN$186,0)),""))</f>
        <v/>
      </c>
      <c r="O53" s="26">
        <f>IF($A53="","",IFERROR(INDEX(計算用!$I$2:$I$186,MATCH("男"&amp;$A53&amp;"-4",計算用!$AN$2:$AN$186,0)),""))</f>
        <v/>
      </c>
      <c r="Q53" s="26">
        <f>IF(ROW()-3&lt;=計算用!$Q$11,ROW()-3,"")</f>
        <v/>
      </c>
      <c r="R53" s="26">
        <f>IF($Q53="","",INDEX(計算用!$AC$2:$AC$51,$Q53))</f>
        <v/>
      </c>
      <c r="S53" s="26">
        <f>IF($Q53="","","赤"&amp;INDEX(計算用!$AF$2:$AF$51,$Q53)&amp;"白"&amp;INDEX(計算用!$AG$2:$AG$51,$Q53))</f>
        <v/>
      </c>
      <c r="T53">
        <f>IF($Q53="","",IFERROR(INDEX(計算用!$D$2:$D$186,MATCH("女"&amp;$Q53&amp;"-1",計算用!$AN$2:$AN$186,0)),""))</f>
        <v/>
      </c>
      <c r="U53" s="26">
        <f>IF($Q53="","",IFERROR(INDEX(計算用!$M$2:$M$186,MATCH("女"&amp;$Q53&amp;"-1",計算用!$AN$2:$AN$186,0)),""))</f>
        <v/>
      </c>
      <c r="V53" s="26">
        <f>IF($Q53="","",IFERROR(INDEX(計算用!$I$2:$I$186,MATCH("女"&amp;$Q53&amp;"-1",計算用!$AN$2:$AN$186,0)),""))</f>
        <v/>
      </c>
      <c r="W53">
        <f>IF($Q53="","",IFERROR(INDEX(計算用!$D$2:$D$186,MATCH("女"&amp;$Q53&amp;"-2",計算用!$AN$2:$AN$186,0)),""))</f>
        <v/>
      </c>
      <c r="X53" s="26">
        <f>IF($Q53="","",IFERROR(INDEX(計算用!$M$2:$M$186,MATCH("女"&amp;$Q53&amp;"-2",計算用!$AN$2:$AN$186,0)),""))</f>
        <v/>
      </c>
      <c r="Y53" s="26">
        <f>IF($Q53="","",IFERROR(INDEX(計算用!$I$2:$I$186,MATCH("女"&amp;$Q53&amp;"-2",計算用!$AN$2:$AN$186,0)),""))</f>
        <v/>
      </c>
      <c r="Z53">
        <f>IF($Q53="","",IFERROR(INDEX(計算用!$D$2:$D$186,MATCH("女"&amp;$Q53&amp;"-3",計算用!$AN$2:$AN$186,0)),""))</f>
        <v/>
      </c>
      <c r="AA53" s="26">
        <f>IF($Q53="","",IFERROR(INDEX(計算用!$M$2:$M$186,MATCH("女"&amp;$Q53&amp;"-3",計算用!$AN$2:$AN$186,0)),""))</f>
        <v/>
      </c>
      <c r="AB53" s="26">
        <f>IF($Q53="","",IFERROR(INDEX(計算用!$I$2:$I$186,MATCH("女"&amp;$Q53&amp;"-3",計算用!$AN$2:$AN$186,0)),""))</f>
        <v/>
      </c>
      <c r="AC53">
        <f>IF($Q53="","",IFERROR(INDEX(計算用!$D$2:$D$186,MATCH("女"&amp;$Q53&amp;"-4",計算用!$AN$2:$AN$186,0)),""))</f>
        <v/>
      </c>
      <c r="AD53" s="26">
        <f>IF($Q53="","",IFERROR(INDEX(計算用!$M$2:$M$186,MATCH("女"&amp;$Q53&amp;"-4",計算用!$AN$2:$AN$186,0)),""))</f>
        <v/>
      </c>
      <c r="AE53" s="26">
        <f>IF($Q53="","",IFERROR(INDEX(計算用!$I$2:$I$186,MATCH("女"&amp;$Q53&amp;"-4",計算用!$AN$2:$AN$186,0)),""))</f>
        <v/>
      </c>
    </row>
  </sheetData>
  <mergeCells count="14">
    <mergeCell ref="D2:F2"/>
    <mergeCell ref="T2:V2"/>
    <mergeCell ref="G2:I2"/>
    <mergeCell ref="Z2:AB2"/>
    <mergeCell ref="J2:L2"/>
    <mergeCell ref="S2:S3"/>
    <mergeCell ref="AC2:AE2"/>
    <mergeCell ref="B2:B3"/>
    <mergeCell ref="A2:A3"/>
    <mergeCell ref="Q2:Q3"/>
    <mergeCell ref="C2:C3"/>
    <mergeCell ref="R2:R3"/>
    <mergeCell ref="M2:O2"/>
    <mergeCell ref="W2:Y2"/>
  </mergeCells>
  <conditionalFormatting sqref="A4:C53">
    <cfRule type="expression" priority="1" dxfId="8" stopIfTrue="0">
      <formula>AND($A4&lt;&gt;"",OR($B4&lt;&gt;4,$C4&lt;&gt;"赤2白2"))</formula>
    </cfRule>
  </conditionalFormatting>
  <conditionalFormatting sqref="F4:F53">
    <cfRule type="expression" priority="2" dxfId="9">
      <formula>F4="赤"</formula>
    </cfRule>
  </conditionalFormatting>
  <conditionalFormatting sqref="I4:I53">
    <cfRule type="expression" priority="3" dxfId="9">
      <formula>I4="赤"</formula>
    </cfRule>
  </conditionalFormatting>
  <conditionalFormatting sqref="L4:L53">
    <cfRule type="expression" priority="4" dxfId="9">
      <formula>L4="赤"</formula>
    </cfRule>
  </conditionalFormatting>
  <conditionalFormatting sqref="O4:O53">
    <cfRule type="expression" priority="5" dxfId="9">
      <formula>O4="赤"</formula>
    </cfRule>
  </conditionalFormatting>
  <conditionalFormatting sqref="A4:O53">
    <cfRule type="expression" priority="6" dxfId="10">
      <formula>$A4&lt;&gt;""</formula>
    </cfRule>
  </conditionalFormatting>
  <conditionalFormatting sqref="Q4:S53">
    <cfRule type="expression" priority="7" dxfId="8" stopIfTrue="0">
      <formula>AND($Q4&lt;&gt;"",OR($R4&lt;&gt;4,$S4&lt;&gt;"赤2白2"))</formula>
    </cfRule>
  </conditionalFormatting>
  <conditionalFormatting sqref="V4:V53">
    <cfRule type="expression" priority="8" dxfId="9">
      <formula>V4="赤"</formula>
    </cfRule>
  </conditionalFormatting>
  <conditionalFormatting sqref="Y4:Y53">
    <cfRule type="expression" priority="9" dxfId="9">
      <formula>Y4="赤"</formula>
    </cfRule>
  </conditionalFormatting>
  <conditionalFormatting sqref="AB4:AB53">
    <cfRule type="expression" priority="10" dxfId="9">
      <formula>AB4="赤"</formula>
    </cfRule>
  </conditionalFormatting>
  <conditionalFormatting sqref="AE4:AE53">
    <cfRule type="expression" priority="11" dxfId="9">
      <formula>AE4="赤"</formula>
    </cfRule>
  </conditionalFormatting>
  <conditionalFormatting sqref="Q4:AE53">
    <cfRule type="expression" priority="12" dxfId="10">
      <formula>$Q4&lt;&gt;""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86"/>
  <sheetViews>
    <sheetView workbookViewId="0">
      <selection activeCell="A1" sqref="A1"/>
    </sheetView>
  </sheetViews>
  <sheetFormatPr baseColWidth="8" defaultRowHeight="13.5"/>
  <sheetData>
    <row r="1">
      <c r="A1" s="21" t="inlineStr">
        <is>
          <t>通し番号</t>
        </is>
      </c>
      <c r="B1" s="21" t="inlineStr">
        <is>
          <t>クラス番号</t>
        </is>
      </c>
      <c r="C1" s="21" t="inlineStr">
        <is>
          <t>クラス内行</t>
        </is>
      </c>
      <c r="D1" s="21" t="inlineStr">
        <is>
          <t>名前</t>
        </is>
      </c>
      <c r="E1" s="21" t="inlineStr">
        <is>
          <t>性別(入力)</t>
        </is>
      </c>
      <c r="F1" s="21" t="inlineStr">
        <is>
          <t>性別</t>
        </is>
      </c>
      <c r="G1" s="21" t="inlineStr">
        <is>
          <t>タイム</t>
        </is>
      </c>
      <c r="H1" s="21" t="inlineStr">
        <is>
          <t>赤白(入力)</t>
        </is>
      </c>
      <c r="I1" s="21" t="inlineStr">
        <is>
          <t>赤白</t>
        </is>
      </c>
      <c r="J1" s="21" t="inlineStr">
        <is>
          <t>区分</t>
        </is>
      </c>
      <c r="K1" s="21" t="inlineStr">
        <is>
          <t>区分内順位</t>
        </is>
      </c>
      <c r="L1" s="21" t="inlineStr">
        <is>
          <t>検索キー</t>
        </is>
      </c>
      <c r="M1" s="21" t="inlineStr">
        <is>
          <t>クラス</t>
        </is>
      </c>
      <c r="N1" s="21" t="inlineStr">
        <is>
          <t>入力不足</t>
        </is>
      </c>
      <c r="P1" s="21" t="inlineStr">
        <is>
          <t>区分</t>
        </is>
      </c>
      <c r="Q1" s="21" t="inlineStr">
        <is>
          <t>人数</t>
        </is>
      </c>
      <c r="S1" t="inlineStr">
        <is>
          <t>男組</t>
        </is>
      </c>
      <c r="T1" t="inlineStr">
        <is>
          <t>男人数</t>
        </is>
      </c>
      <c r="U1" t="inlineStr">
        <is>
          <t>男赤残り</t>
        </is>
      </c>
      <c r="V1" t="inlineStr">
        <is>
          <t>男白残り</t>
        </is>
      </c>
      <c r="W1" t="inlineStr">
        <is>
          <t>男赤人数</t>
        </is>
      </c>
      <c r="X1" t="inlineStr">
        <is>
          <t>男白人数</t>
        </is>
      </c>
      <c r="Y1" t="inlineStr">
        <is>
          <t>男赤累計</t>
        </is>
      </c>
      <c r="Z1" t="inlineStr">
        <is>
          <t>男白累計</t>
        </is>
      </c>
      <c r="AB1" t="inlineStr">
        <is>
          <t>女組</t>
        </is>
      </c>
      <c r="AC1" t="inlineStr">
        <is>
          <t>女人数</t>
        </is>
      </c>
      <c r="AD1" t="inlineStr">
        <is>
          <t>女赤残り</t>
        </is>
      </c>
      <c r="AE1" t="inlineStr">
        <is>
          <t>女白残り</t>
        </is>
      </c>
      <c r="AF1" t="inlineStr">
        <is>
          <t>女赤人数</t>
        </is>
      </c>
      <c r="AG1" t="inlineStr">
        <is>
          <t>女白人数</t>
        </is>
      </c>
      <c r="AH1" t="inlineStr">
        <is>
          <t>女赤累計</t>
        </is>
      </c>
      <c r="AI1" t="inlineStr">
        <is>
          <t>女白累計</t>
        </is>
      </c>
      <c r="AK1" t="inlineStr">
        <is>
          <t>組</t>
        </is>
      </c>
      <c r="AL1" t="inlineStr">
        <is>
          <t>前の組までの人数</t>
        </is>
      </c>
      <c r="AM1" t="inlineStr">
        <is>
          <t>組内番号</t>
        </is>
      </c>
      <c r="AN1" t="inlineStr">
        <is>
          <t>組キー</t>
        </is>
      </c>
    </row>
    <row r="2">
      <c r="A2" s="21">
        <f>ROW()-1</f>
        <v/>
      </c>
      <c r="B2" s="21">
        <f>INT((A2-1)/37)+1</f>
        <v/>
      </c>
      <c r="C2" s="21">
        <f>MOD(A2-1,37)+1</f>
        <v/>
      </c>
      <c r="D2" s="21">
        <f>INDEX(①データ入力!$B$3:$Y$39,C2,(B2-1)*5+1)&amp;""</f>
        <v/>
      </c>
      <c r="E2" s="21">
        <f>INDEX(①データ入力!$B$3:$Y$39,C2,(B2-1)*5+2)&amp;""</f>
        <v/>
      </c>
      <c r="F2" s="21">
        <f>IF(OR(E2="1",E2="１",E2="男"),"男",IF(OR(E2="2",E2="２",E2="女"),"女",""))</f>
        <v/>
      </c>
      <c r="G2" s="21">
        <f>INDEX(①データ入力!$B$3:$Y$39,C2,(B2-1)*5+3)</f>
        <v/>
      </c>
      <c r="H2" s="21">
        <f>INDEX(①データ入力!$B$3:$Y$39,C2,(B2-1)*5+4)&amp;""</f>
        <v/>
      </c>
      <c r="I2" s="21">
        <f>IF(LEFT(TRIM(H2),1)="赤","赤",IF(LEFT(TRIM(H2),1)="白","白",""))</f>
        <v/>
      </c>
      <c r="J2" s="21">
        <f>IF(AND(D2&lt;&gt;"",F2&lt;&gt;"",I2&lt;&gt;"",ISNUMBER(G2)),F2&amp;I2,"")</f>
        <v/>
      </c>
      <c r="K2" s="21">
        <f>IF(J2="","",COUNTIFS($J$2:$J$186,J2,$G$2:$G$186,"&lt;"&amp;G2)+COUNTIFS($J$2:$J$186,J2,$G$2:$G$186,G2,$A$2:$A$186,"&lt;"&amp;A2)+1)</f>
        <v/>
      </c>
      <c r="L2" s="21">
        <f>IF(J2="","",J2&amp;K2)</f>
        <v/>
      </c>
      <c r="M2" s="21">
        <f>B2&amp;"組"</f>
        <v/>
      </c>
      <c r="N2" s="21">
        <f>IF(AND(D2&lt;&gt;"",J2=""),1,0)</f>
        <v/>
      </c>
      <c r="P2" s="21" t="inlineStr">
        <is>
          <t>男赤</t>
        </is>
      </c>
      <c r="Q2" s="21">
        <f>COUNTIF($J$2:$J$186,P2)</f>
        <v/>
      </c>
      <c r="S2" t="n">
        <v>1</v>
      </c>
      <c r="T2">
        <f>IF(OR($Q$9=0,S2&gt;$Q$9),0,INT($Q$8/$Q$9)+IF(S2&lt;=MOD($Q$8,$Q$9),1,0))</f>
        <v/>
      </c>
      <c r="U2">
        <f>$Q$2</f>
        <v/>
      </c>
      <c r="V2">
        <f>$Q$3</f>
        <v/>
      </c>
      <c r="W2">
        <f>IF(T2=0,0,MIN(U2,MAX(IF(MOD(T2,2)=0,T2/2,IF(U2&gt;=V2,(T2+1)/2,(T2-1)/2)),T2-V2)))</f>
        <v/>
      </c>
      <c r="X2">
        <f>T2-W2</f>
        <v/>
      </c>
      <c r="Y2">
        <f>0+W2</f>
        <v/>
      </c>
      <c r="Z2">
        <f>0+X2</f>
        <v/>
      </c>
      <c r="AB2" t="n">
        <v>1</v>
      </c>
      <c r="AC2">
        <f>IF(OR($Q$11=0,AB2&gt;$Q$11),0,INT($Q$10/$Q$11)+IF(AB2&lt;=MOD($Q$10,$Q$11),1,0))</f>
        <v/>
      </c>
      <c r="AD2">
        <f>$Q$4</f>
        <v/>
      </c>
      <c r="AE2">
        <f>$Q$5</f>
        <v/>
      </c>
      <c r="AF2">
        <f>IF(AC2=0,0,MIN(AD2,MAX(IF(MOD(AC2,2)=0,AC2/2,IF(AD2&gt;=AE2,(AC2+1)/2,(AC2-1)/2)),AC2-AE2)))</f>
        <v/>
      </c>
      <c r="AG2">
        <f>AC2-AF2</f>
        <v/>
      </c>
      <c r="AH2">
        <f>0+AF2</f>
        <v/>
      </c>
      <c r="AI2">
        <f>0+AG2</f>
        <v/>
      </c>
      <c r="AK2">
        <f>IF(J2="","",IF(J2="男赤",COUNTIF($Y$2:$Y$51,"&lt;"&amp;K2),IF(J2="男白",COUNTIF($Z$2:$Z$51,"&lt;"&amp;K2),IF(J2="女赤",COUNTIF($AH$2:$AH$51,"&lt;"&amp;K2),COUNTIF($AI$2:$AI$51,"&lt;"&amp;K2))))+1)</f>
        <v/>
      </c>
      <c r="AL2">
        <f>IF(AK2="","",IF(AK2=1,0,IF(J2="男赤",INDEX($Y$2:$Y$51,AK2-1),IF(J2="男白",INDEX($Z$2:$Z$51,AK2-1),IF(J2="女赤",INDEX($AH$2:$AH$51,AK2-1),INDEX($AI$2:$AI$51,AK2-1))))))</f>
        <v/>
      </c>
      <c r="AM2">
        <f>IF(AK2="","",IF(RIGHT(J2,1)="赤",K2-AL2,IF(LEFT(J2,1)="男",INDEX($W$2:$W$51,AK2),INDEX($AF$2:$AF$51,AK2))+K2-AL2))</f>
        <v/>
      </c>
      <c r="AN2">
        <f>IF(AK2="","",F2&amp;AK2&amp;"-"&amp;AM2)</f>
        <v/>
      </c>
    </row>
    <row r="3">
      <c r="A3" s="21">
        <f>ROW()-1</f>
        <v/>
      </c>
      <c r="B3" s="21">
        <f>INT((A3-1)/37)+1</f>
        <v/>
      </c>
      <c r="C3" s="21">
        <f>MOD(A3-1,37)+1</f>
        <v/>
      </c>
      <c r="D3" s="21">
        <f>INDEX(①データ入力!$B$3:$Y$39,C3,(B3-1)*5+1)&amp;""</f>
        <v/>
      </c>
      <c r="E3" s="21">
        <f>INDEX(①データ入力!$B$3:$Y$39,C3,(B3-1)*5+2)&amp;""</f>
        <v/>
      </c>
      <c r="F3" s="21">
        <f>IF(OR(E3="1",E3="１",E3="男"),"男",IF(OR(E3="2",E3="２",E3="女"),"女",""))</f>
        <v/>
      </c>
      <c r="G3" s="21">
        <f>INDEX(①データ入力!$B$3:$Y$39,C3,(B3-1)*5+3)</f>
        <v/>
      </c>
      <c r="H3" s="21">
        <f>INDEX(①データ入力!$B$3:$Y$39,C3,(B3-1)*5+4)&amp;""</f>
        <v/>
      </c>
      <c r="I3" s="21">
        <f>IF(LEFT(TRIM(H3),1)="赤","赤",IF(LEFT(TRIM(H3),1)="白","白",""))</f>
        <v/>
      </c>
      <c r="J3" s="21">
        <f>IF(AND(D3&lt;&gt;"",F3&lt;&gt;"",I3&lt;&gt;"",ISNUMBER(G3)),F3&amp;I3,"")</f>
        <v/>
      </c>
      <c r="K3" s="21">
        <f>IF(J3="","",COUNTIFS($J$2:$J$186,J3,$G$2:$G$186,"&lt;"&amp;G3)+COUNTIFS($J$2:$J$186,J3,$G$2:$G$186,G3,$A$2:$A$186,"&lt;"&amp;A3)+1)</f>
        <v/>
      </c>
      <c r="L3" s="21">
        <f>IF(J3="","",J3&amp;K3)</f>
        <v/>
      </c>
      <c r="M3" s="21">
        <f>B3&amp;"組"</f>
        <v/>
      </c>
      <c r="N3" s="21">
        <f>IF(AND(D3&lt;&gt;"",J3=""),1,0)</f>
        <v/>
      </c>
      <c r="P3" s="21" t="inlineStr">
        <is>
          <t>男白</t>
        </is>
      </c>
      <c r="Q3" s="21">
        <f>COUNTIF($J$2:$J$186,P3)</f>
        <v/>
      </c>
      <c r="S3" t="n">
        <v>2</v>
      </c>
      <c r="T3">
        <f>IF(OR($Q$9=0,S3&gt;$Q$9),0,INT($Q$8/$Q$9)+IF(S3&lt;=MOD($Q$8,$Q$9),1,0))</f>
        <v/>
      </c>
      <c r="U3">
        <f>$Q$2-Y2</f>
        <v/>
      </c>
      <c r="V3">
        <f>$Q$3-Z2</f>
        <v/>
      </c>
      <c r="W3">
        <f>IF(T3=0,0,MIN(U3,MAX(IF(MOD(T3,2)=0,T3/2,IF(U3&gt;=V3,(T3+1)/2,(T3-1)/2)),T3-V3)))</f>
        <v/>
      </c>
      <c r="X3">
        <f>T3-W3</f>
        <v/>
      </c>
      <c r="Y3">
        <f>Y2+W3</f>
        <v/>
      </c>
      <c r="Z3">
        <f>Z2+X3</f>
        <v/>
      </c>
      <c r="AB3" t="n">
        <v>2</v>
      </c>
      <c r="AC3">
        <f>IF(OR($Q$11=0,AB3&gt;$Q$11),0,INT($Q$10/$Q$11)+IF(AB3&lt;=MOD($Q$10,$Q$11),1,0))</f>
        <v/>
      </c>
      <c r="AD3">
        <f>$Q$4-AH2</f>
        <v/>
      </c>
      <c r="AE3">
        <f>$Q$5-AI2</f>
        <v/>
      </c>
      <c r="AF3">
        <f>IF(AC3=0,0,MIN(AD3,MAX(IF(MOD(AC3,2)=0,AC3/2,IF(AD3&gt;=AE3,(AC3+1)/2,(AC3-1)/2)),AC3-AE3)))</f>
        <v/>
      </c>
      <c r="AG3">
        <f>AC3-AF3</f>
        <v/>
      </c>
      <c r="AH3">
        <f>AH2+AF3</f>
        <v/>
      </c>
      <c r="AI3">
        <f>AI2+AG3</f>
        <v/>
      </c>
      <c r="AK3">
        <f>IF(J3="","",IF(J3="男赤",COUNTIF($Y$2:$Y$51,"&lt;"&amp;K3),IF(J3="男白",COUNTIF($Z$2:$Z$51,"&lt;"&amp;K3),IF(J3="女赤",COUNTIF($AH$2:$AH$51,"&lt;"&amp;K3),COUNTIF($AI$2:$AI$51,"&lt;"&amp;K3))))+1)</f>
        <v/>
      </c>
      <c r="AL3">
        <f>IF(AK3="","",IF(AK3=1,0,IF(J3="男赤",INDEX($Y$2:$Y$51,AK3-1),IF(J3="男白",INDEX($Z$2:$Z$51,AK3-1),IF(J3="女赤",INDEX($AH$2:$AH$51,AK3-1),INDEX($AI$2:$AI$51,AK3-1))))))</f>
        <v/>
      </c>
      <c r="AM3">
        <f>IF(AK3="","",IF(RIGHT(J3,1)="赤",K3-AL3,IF(LEFT(J3,1)="男",INDEX($W$2:$W$51,AK3),INDEX($AF$2:$AF$51,AK3))+K3-AL3))</f>
        <v/>
      </c>
      <c r="AN3">
        <f>IF(AK3="","",F3&amp;AK3&amp;"-"&amp;AM3)</f>
        <v/>
      </c>
    </row>
    <row r="4">
      <c r="A4" s="21">
        <f>ROW()-1</f>
        <v/>
      </c>
      <c r="B4" s="21">
        <f>INT((A4-1)/37)+1</f>
        <v/>
      </c>
      <c r="C4" s="21">
        <f>MOD(A4-1,37)+1</f>
        <v/>
      </c>
      <c r="D4" s="21">
        <f>INDEX(①データ入力!$B$3:$Y$39,C4,(B4-1)*5+1)&amp;""</f>
        <v/>
      </c>
      <c r="E4" s="21">
        <f>INDEX(①データ入力!$B$3:$Y$39,C4,(B4-1)*5+2)&amp;""</f>
        <v/>
      </c>
      <c r="F4" s="21">
        <f>IF(OR(E4="1",E4="１",E4="男"),"男",IF(OR(E4="2",E4="２",E4="女"),"女",""))</f>
        <v/>
      </c>
      <c r="G4" s="21">
        <f>INDEX(①データ入力!$B$3:$Y$39,C4,(B4-1)*5+3)</f>
        <v/>
      </c>
      <c r="H4" s="21">
        <f>INDEX(①データ入力!$B$3:$Y$39,C4,(B4-1)*5+4)&amp;""</f>
        <v/>
      </c>
      <c r="I4" s="21">
        <f>IF(LEFT(TRIM(H4),1)="赤","赤",IF(LEFT(TRIM(H4),1)="白","白",""))</f>
        <v/>
      </c>
      <c r="J4" s="21">
        <f>IF(AND(D4&lt;&gt;"",F4&lt;&gt;"",I4&lt;&gt;"",ISNUMBER(G4)),F4&amp;I4,"")</f>
        <v/>
      </c>
      <c r="K4" s="21">
        <f>IF(J4="","",COUNTIFS($J$2:$J$186,J4,$G$2:$G$186,"&lt;"&amp;G4)+COUNTIFS($J$2:$J$186,J4,$G$2:$G$186,G4,$A$2:$A$186,"&lt;"&amp;A4)+1)</f>
        <v/>
      </c>
      <c r="L4" s="21">
        <f>IF(J4="","",J4&amp;K4)</f>
        <v/>
      </c>
      <c r="M4" s="21">
        <f>B4&amp;"組"</f>
        <v/>
      </c>
      <c r="N4" s="21">
        <f>IF(AND(D4&lt;&gt;"",J4=""),1,0)</f>
        <v/>
      </c>
      <c r="P4" s="21" t="inlineStr">
        <is>
          <t>女赤</t>
        </is>
      </c>
      <c r="Q4" s="21">
        <f>COUNTIF($J$2:$J$186,P4)</f>
        <v/>
      </c>
      <c r="S4" t="n">
        <v>3</v>
      </c>
      <c r="T4">
        <f>IF(OR($Q$9=0,S4&gt;$Q$9),0,INT($Q$8/$Q$9)+IF(S4&lt;=MOD($Q$8,$Q$9),1,0))</f>
        <v/>
      </c>
      <c r="U4">
        <f>$Q$2-Y3</f>
        <v/>
      </c>
      <c r="V4">
        <f>$Q$3-Z3</f>
        <v/>
      </c>
      <c r="W4">
        <f>IF(T4=0,0,MIN(U4,MAX(IF(MOD(T4,2)=0,T4/2,IF(U4&gt;=V4,(T4+1)/2,(T4-1)/2)),T4-V4)))</f>
        <v/>
      </c>
      <c r="X4">
        <f>T4-W4</f>
        <v/>
      </c>
      <c r="Y4">
        <f>Y3+W4</f>
        <v/>
      </c>
      <c r="Z4">
        <f>Z3+X4</f>
        <v/>
      </c>
      <c r="AB4" t="n">
        <v>3</v>
      </c>
      <c r="AC4">
        <f>IF(OR($Q$11=0,AB4&gt;$Q$11),0,INT($Q$10/$Q$11)+IF(AB4&lt;=MOD($Q$10,$Q$11),1,0))</f>
        <v/>
      </c>
      <c r="AD4">
        <f>$Q$4-AH3</f>
        <v/>
      </c>
      <c r="AE4">
        <f>$Q$5-AI3</f>
        <v/>
      </c>
      <c r="AF4">
        <f>IF(AC4=0,0,MIN(AD4,MAX(IF(MOD(AC4,2)=0,AC4/2,IF(AD4&gt;=AE4,(AC4+1)/2,(AC4-1)/2)),AC4-AE4)))</f>
        <v/>
      </c>
      <c r="AG4">
        <f>AC4-AF4</f>
        <v/>
      </c>
      <c r="AH4">
        <f>AH3+AF4</f>
        <v/>
      </c>
      <c r="AI4">
        <f>AI3+AG4</f>
        <v/>
      </c>
      <c r="AK4">
        <f>IF(J4="","",IF(J4="男赤",COUNTIF($Y$2:$Y$51,"&lt;"&amp;K4),IF(J4="男白",COUNTIF($Z$2:$Z$51,"&lt;"&amp;K4),IF(J4="女赤",COUNTIF($AH$2:$AH$51,"&lt;"&amp;K4),COUNTIF($AI$2:$AI$51,"&lt;"&amp;K4))))+1)</f>
        <v/>
      </c>
      <c r="AL4">
        <f>IF(AK4="","",IF(AK4=1,0,IF(J4="男赤",INDEX($Y$2:$Y$51,AK4-1),IF(J4="男白",INDEX($Z$2:$Z$51,AK4-1),IF(J4="女赤",INDEX($AH$2:$AH$51,AK4-1),INDEX($AI$2:$AI$51,AK4-1))))))</f>
        <v/>
      </c>
      <c r="AM4">
        <f>IF(AK4="","",IF(RIGHT(J4,1)="赤",K4-AL4,IF(LEFT(J4,1)="男",INDEX($W$2:$W$51,AK4),INDEX($AF$2:$AF$51,AK4))+K4-AL4))</f>
        <v/>
      </c>
      <c r="AN4">
        <f>IF(AK4="","",F4&amp;AK4&amp;"-"&amp;AM4)</f>
        <v/>
      </c>
    </row>
    <row r="5">
      <c r="A5" s="21">
        <f>ROW()-1</f>
        <v/>
      </c>
      <c r="B5" s="21">
        <f>INT((A5-1)/37)+1</f>
        <v/>
      </c>
      <c r="C5" s="21">
        <f>MOD(A5-1,37)+1</f>
        <v/>
      </c>
      <c r="D5" s="21">
        <f>INDEX(①データ入力!$B$3:$Y$39,C5,(B5-1)*5+1)&amp;""</f>
        <v/>
      </c>
      <c r="E5" s="21">
        <f>INDEX(①データ入力!$B$3:$Y$39,C5,(B5-1)*5+2)&amp;""</f>
        <v/>
      </c>
      <c r="F5" s="21">
        <f>IF(OR(E5="1",E5="１",E5="男"),"男",IF(OR(E5="2",E5="２",E5="女"),"女",""))</f>
        <v/>
      </c>
      <c r="G5" s="21">
        <f>INDEX(①データ入力!$B$3:$Y$39,C5,(B5-1)*5+3)</f>
        <v/>
      </c>
      <c r="H5" s="21">
        <f>INDEX(①データ入力!$B$3:$Y$39,C5,(B5-1)*5+4)&amp;""</f>
        <v/>
      </c>
      <c r="I5" s="21">
        <f>IF(LEFT(TRIM(H5),1)="赤","赤",IF(LEFT(TRIM(H5),1)="白","白",""))</f>
        <v/>
      </c>
      <c r="J5" s="21">
        <f>IF(AND(D5&lt;&gt;"",F5&lt;&gt;"",I5&lt;&gt;"",ISNUMBER(G5)),F5&amp;I5,"")</f>
        <v/>
      </c>
      <c r="K5" s="21">
        <f>IF(J5="","",COUNTIFS($J$2:$J$186,J5,$G$2:$G$186,"&lt;"&amp;G5)+COUNTIFS($J$2:$J$186,J5,$G$2:$G$186,G5,$A$2:$A$186,"&lt;"&amp;A5)+1)</f>
        <v/>
      </c>
      <c r="L5" s="21">
        <f>IF(J5="","",J5&amp;K5)</f>
        <v/>
      </c>
      <c r="M5" s="21">
        <f>B5&amp;"組"</f>
        <v/>
      </c>
      <c r="N5" s="21">
        <f>IF(AND(D5&lt;&gt;"",J5=""),1,0)</f>
        <v/>
      </c>
      <c r="P5" s="21" t="inlineStr">
        <is>
          <t>女白</t>
        </is>
      </c>
      <c r="Q5" s="21">
        <f>COUNTIF($J$2:$J$186,P5)</f>
        <v/>
      </c>
      <c r="S5" t="n">
        <v>4</v>
      </c>
      <c r="T5">
        <f>IF(OR($Q$9=0,S5&gt;$Q$9),0,INT($Q$8/$Q$9)+IF(S5&lt;=MOD($Q$8,$Q$9),1,0))</f>
        <v/>
      </c>
      <c r="U5">
        <f>$Q$2-Y4</f>
        <v/>
      </c>
      <c r="V5">
        <f>$Q$3-Z4</f>
        <v/>
      </c>
      <c r="W5">
        <f>IF(T5=0,0,MIN(U5,MAX(IF(MOD(T5,2)=0,T5/2,IF(U5&gt;=V5,(T5+1)/2,(T5-1)/2)),T5-V5)))</f>
        <v/>
      </c>
      <c r="X5">
        <f>T5-W5</f>
        <v/>
      </c>
      <c r="Y5">
        <f>Y4+W5</f>
        <v/>
      </c>
      <c r="Z5">
        <f>Z4+X5</f>
        <v/>
      </c>
      <c r="AB5" t="n">
        <v>4</v>
      </c>
      <c r="AC5">
        <f>IF(OR($Q$11=0,AB5&gt;$Q$11),0,INT($Q$10/$Q$11)+IF(AB5&lt;=MOD($Q$10,$Q$11),1,0))</f>
        <v/>
      </c>
      <c r="AD5">
        <f>$Q$4-AH4</f>
        <v/>
      </c>
      <c r="AE5">
        <f>$Q$5-AI4</f>
        <v/>
      </c>
      <c r="AF5">
        <f>IF(AC5=0,0,MIN(AD5,MAX(IF(MOD(AC5,2)=0,AC5/2,IF(AD5&gt;=AE5,(AC5+1)/2,(AC5-1)/2)),AC5-AE5)))</f>
        <v/>
      </c>
      <c r="AG5">
        <f>AC5-AF5</f>
        <v/>
      </c>
      <c r="AH5">
        <f>AH4+AF5</f>
        <v/>
      </c>
      <c r="AI5">
        <f>AI4+AG5</f>
        <v/>
      </c>
      <c r="AK5">
        <f>IF(J5="","",IF(J5="男赤",COUNTIF($Y$2:$Y$51,"&lt;"&amp;K5),IF(J5="男白",COUNTIF($Z$2:$Z$51,"&lt;"&amp;K5),IF(J5="女赤",COUNTIF($AH$2:$AH$51,"&lt;"&amp;K5),COUNTIF($AI$2:$AI$51,"&lt;"&amp;K5))))+1)</f>
        <v/>
      </c>
      <c r="AL5">
        <f>IF(AK5="","",IF(AK5=1,0,IF(J5="男赤",INDEX($Y$2:$Y$51,AK5-1),IF(J5="男白",INDEX($Z$2:$Z$51,AK5-1),IF(J5="女赤",INDEX($AH$2:$AH$51,AK5-1),INDEX($AI$2:$AI$51,AK5-1))))))</f>
        <v/>
      </c>
      <c r="AM5">
        <f>IF(AK5="","",IF(RIGHT(J5,1)="赤",K5-AL5,IF(LEFT(J5,1)="男",INDEX($W$2:$W$51,AK5),INDEX($AF$2:$AF$51,AK5))+K5-AL5))</f>
        <v/>
      </c>
      <c r="AN5">
        <f>IF(AK5="","",F5&amp;AK5&amp;"-"&amp;AM5)</f>
        <v/>
      </c>
    </row>
    <row r="6">
      <c r="A6" s="21">
        <f>ROW()-1</f>
        <v/>
      </c>
      <c r="B6" s="21">
        <f>INT((A6-1)/37)+1</f>
        <v/>
      </c>
      <c r="C6" s="21">
        <f>MOD(A6-1,37)+1</f>
        <v/>
      </c>
      <c r="D6" s="21">
        <f>INDEX(①データ入力!$B$3:$Y$39,C6,(B6-1)*5+1)&amp;""</f>
        <v/>
      </c>
      <c r="E6" s="21">
        <f>INDEX(①データ入力!$B$3:$Y$39,C6,(B6-1)*5+2)&amp;""</f>
        <v/>
      </c>
      <c r="F6" s="21">
        <f>IF(OR(E6="1",E6="１",E6="男"),"男",IF(OR(E6="2",E6="２",E6="女"),"女",""))</f>
        <v/>
      </c>
      <c r="G6" s="21">
        <f>INDEX(①データ入力!$B$3:$Y$39,C6,(B6-1)*5+3)</f>
        <v/>
      </c>
      <c r="H6" s="21">
        <f>INDEX(①データ入力!$B$3:$Y$39,C6,(B6-1)*5+4)&amp;""</f>
        <v/>
      </c>
      <c r="I6" s="21">
        <f>IF(LEFT(TRIM(H6),1)="赤","赤",IF(LEFT(TRIM(H6),1)="白","白",""))</f>
        <v/>
      </c>
      <c r="J6" s="21">
        <f>IF(AND(D6&lt;&gt;"",F6&lt;&gt;"",I6&lt;&gt;"",ISNUMBER(G6)),F6&amp;I6,"")</f>
        <v/>
      </c>
      <c r="K6" s="21">
        <f>IF(J6="","",COUNTIFS($J$2:$J$186,J6,$G$2:$G$186,"&lt;"&amp;G6)+COUNTIFS($J$2:$J$186,J6,$G$2:$G$186,G6,$A$2:$A$186,"&lt;"&amp;A6)+1)</f>
        <v/>
      </c>
      <c r="L6" s="21">
        <f>IF(J6="","",J6&amp;K6)</f>
        <v/>
      </c>
      <c r="M6" s="21">
        <f>B6&amp;"組"</f>
        <v/>
      </c>
      <c r="N6" s="21">
        <f>IF(AND(D6&lt;&gt;"",J6=""),1,0)</f>
        <v/>
      </c>
      <c r="P6" s="21" t="inlineStr">
        <is>
          <t>入力不足</t>
        </is>
      </c>
      <c r="Q6" s="21">
        <f>SUM($N$2:$N$186)</f>
        <v/>
      </c>
      <c r="S6" t="n">
        <v>5</v>
      </c>
      <c r="T6">
        <f>IF(OR($Q$9=0,S6&gt;$Q$9),0,INT($Q$8/$Q$9)+IF(S6&lt;=MOD($Q$8,$Q$9),1,0))</f>
        <v/>
      </c>
      <c r="U6">
        <f>$Q$2-Y5</f>
        <v/>
      </c>
      <c r="V6">
        <f>$Q$3-Z5</f>
        <v/>
      </c>
      <c r="W6">
        <f>IF(T6=0,0,MIN(U6,MAX(IF(MOD(T6,2)=0,T6/2,IF(U6&gt;=V6,(T6+1)/2,(T6-1)/2)),T6-V6)))</f>
        <v/>
      </c>
      <c r="X6">
        <f>T6-W6</f>
        <v/>
      </c>
      <c r="Y6">
        <f>Y5+W6</f>
        <v/>
      </c>
      <c r="Z6">
        <f>Z5+X6</f>
        <v/>
      </c>
      <c r="AB6" t="n">
        <v>5</v>
      </c>
      <c r="AC6">
        <f>IF(OR($Q$11=0,AB6&gt;$Q$11),0,INT($Q$10/$Q$11)+IF(AB6&lt;=MOD($Q$10,$Q$11),1,0))</f>
        <v/>
      </c>
      <c r="AD6">
        <f>$Q$4-AH5</f>
        <v/>
      </c>
      <c r="AE6">
        <f>$Q$5-AI5</f>
        <v/>
      </c>
      <c r="AF6">
        <f>IF(AC6=0,0,MIN(AD6,MAX(IF(MOD(AC6,2)=0,AC6/2,IF(AD6&gt;=AE6,(AC6+1)/2,(AC6-1)/2)),AC6-AE6)))</f>
        <v/>
      </c>
      <c r="AG6">
        <f>AC6-AF6</f>
        <v/>
      </c>
      <c r="AH6">
        <f>AH5+AF6</f>
        <v/>
      </c>
      <c r="AI6">
        <f>AI5+AG6</f>
        <v/>
      </c>
      <c r="AK6">
        <f>IF(J6="","",IF(J6="男赤",COUNTIF($Y$2:$Y$51,"&lt;"&amp;K6),IF(J6="男白",COUNTIF($Z$2:$Z$51,"&lt;"&amp;K6),IF(J6="女赤",COUNTIF($AH$2:$AH$51,"&lt;"&amp;K6),COUNTIF($AI$2:$AI$51,"&lt;"&amp;K6))))+1)</f>
        <v/>
      </c>
      <c r="AL6">
        <f>IF(AK6="","",IF(AK6=1,0,IF(J6="男赤",INDEX($Y$2:$Y$51,AK6-1),IF(J6="男白",INDEX($Z$2:$Z$51,AK6-1),IF(J6="女赤",INDEX($AH$2:$AH$51,AK6-1),INDEX($AI$2:$AI$51,AK6-1))))))</f>
        <v/>
      </c>
      <c r="AM6">
        <f>IF(AK6="","",IF(RIGHT(J6,1)="赤",K6-AL6,IF(LEFT(J6,1)="男",INDEX($W$2:$W$51,AK6),INDEX($AF$2:$AF$51,AK6))+K6-AL6))</f>
        <v/>
      </c>
      <c r="AN6">
        <f>IF(AK6="","",F6&amp;AK6&amp;"-"&amp;AM6)</f>
        <v/>
      </c>
    </row>
    <row r="7">
      <c r="A7" s="21">
        <f>ROW()-1</f>
        <v/>
      </c>
      <c r="B7" s="21">
        <f>INT((A7-1)/37)+1</f>
        <v/>
      </c>
      <c r="C7" s="21">
        <f>MOD(A7-1,37)+1</f>
        <v/>
      </c>
      <c r="D7" s="21">
        <f>INDEX(①データ入力!$B$3:$Y$39,C7,(B7-1)*5+1)&amp;""</f>
        <v/>
      </c>
      <c r="E7" s="21">
        <f>INDEX(①データ入力!$B$3:$Y$39,C7,(B7-1)*5+2)&amp;""</f>
        <v/>
      </c>
      <c r="F7" s="21">
        <f>IF(OR(E7="1",E7="１",E7="男"),"男",IF(OR(E7="2",E7="２",E7="女"),"女",""))</f>
        <v/>
      </c>
      <c r="G7" s="21">
        <f>INDEX(①データ入力!$B$3:$Y$39,C7,(B7-1)*5+3)</f>
        <v/>
      </c>
      <c r="H7" s="21">
        <f>INDEX(①データ入力!$B$3:$Y$39,C7,(B7-1)*5+4)&amp;""</f>
        <v/>
      </c>
      <c r="I7" s="21">
        <f>IF(LEFT(TRIM(H7),1)="赤","赤",IF(LEFT(TRIM(H7),1)="白","白",""))</f>
        <v/>
      </c>
      <c r="J7" s="21">
        <f>IF(AND(D7&lt;&gt;"",F7&lt;&gt;"",I7&lt;&gt;"",ISNUMBER(G7)),F7&amp;I7,"")</f>
        <v/>
      </c>
      <c r="K7" s="21">
        <f>IF(J7="","",COUNTIFS($J$2:$J$186,J7,$G$2:$G$186,"&lt;"&amp;G7)+COUNTIFS($J$2:$J$186,J7,$G$2:$G$186,G7,$A$2:$A$186,"&lt;"&amp;A7)+1)</f>
        <v/>
      </c>
      <c r="L7" s="21">
        <f>IF(J7="","",J7&amp;K7)</f>
        <v/>
      </c>
      <c r="M7" s="21">
        <f>B7&amp;"組"</f>
        <v/>
      </c>
      <c r="N7" s="21">
        <f>IF(AND(D7&lt;&gt;"",J7=""),1,0)</f>
        <v/>
      </c>
      <c r="P7" s="21" t="n"/>
      <c r="Q7" s="21" t="n"/>
      <c r="S7" t="n">
        <v>6</v>
      </c>
      <c r="T7">
        <f>IF(OR($Q$9=0,S7&gt;$Q$9),0,INT($Q$8/$Q$9)+IF(S7&lt;=MOD($Q$8,$Q$9),1,0))</f>
        <v/>
      </c>
      <c r="U7">
        <f>$Q$2-Y6</f>
        <v/>
      </c>
      <c r="V7">
        <f>$Q$3-Z6</f>
        <v/>
      </c>
      <c r="W7">
        <f>IF(T7=0,0,MIN(U7,MAX(IF(MOD(T7,2)=0,T7/2,IF(U7&gt;=V7,(T7+1)/2,(T7-1)/2)),T7-V7)))</f>
        <v/>
      </c>
      <c r="X7">
        <f>T7-W7</f>
        <v/>
      </c>
      <c r="Y7">
        <f>Y6+W7</f>
        <v/>
      </c>
      <c r="Z7">
        <f>Z6+X7</f>
        <v/>
      </c>
      <c r="AB7" t="n">
        <v>6</v>
      </c>
      <c r="AC7">
        <f>IF(OR($Q$11=0,AB7&gt;$Q$11),0,INT($Q$10/$Q$11)+IF(AB7&lt;=MOD($Q$10,$Q$11),1,0))</f>
        <v/>
      </c>
      <c r="AD7">
        <f>$Q$4-AH6</f>
        <v/>
      </c>
      <c r="AE7">
        <f>$Q$5-AI6</f>
        <v/>
      </c>
      <c r="AF7">
        <f>IF(AC7=0,0,MIN(AD7,MAX(IF(MOD(AC7,2)=0,AC7/2,IF(AD7&gt;=AE7,(AC7+1)/2,(AC7-1)/2)),AC7-AE7)))</f>
        <v/>
      </c>
      <c r="AG7">
        <f>AC7-AF7</f>
        <v/>
      </c>
      <c r="AH7">
        <f>AH6+AF7</f>
        <v/>
      </c>
      <c r="AI7">
        <f>AI6+AG7</f>
        <v/>
      </c>
      <c r="AK7">
        <f>IF(J7="","",IF(J7="男赤",COUNTIF($Y$2:$Y$51,"&lt;"&amp;K7),IF(J7="男白",COUNTIF($Z$2:$Z$51,"&lt;"&amp;K7),IF(J7="女赤",COUNTIF($AH$2:$AH$51,"&lt;"&amp;K7),COUNTIF($AI$2:$AI$51,"&lt;"&amp;K7))))+1)</f>
        <v/>
      </c>
      <c r="AL7">
        <f>IF(AK7="","",IF(AK7=1,0,IF(J7="男赤",INDEX($Y$2:$Y$51,AK7-1),IF(J7="男白",INDEX($Z$2:$Z$51,AK7-1),IF(J7="女赤",INDEX($AH$2:$AH$51,AK7-1),INDEX($AI$2:$AI$51,AK7-1))))))</f>
        <v/>
      </c>
      <c r="AM7">
        <f>IF(AK7="","",IF(RIGHT(J7,1)="赤",K7-AL7,IF(LEFT(J7,1)="男",INDEX($W$2:$W$51,AK7),INDEX($AF$2:$AF$51,AK7))+K7-AL7))</f>
        <v/>
      </c>
      <c r="AN7">
        <f>IF(AK7="","",F7&amp;AK7&amp;"-"&amp;AM7)</f>
        <v/>
      </c>
    </row>
    <row r="8">
      <c r="A8" s="21">
        <f>ROW()-1</f>
        <v/>
      </c>
      <c r="B8" s="21">
        <f>INT((A8-1)/37)+1</f>
        <v/>
      </c>
      <c r="C8" s="21">
        <f>MOD(A8-1,37)+1</f>
        <v/>
      </c>
      <c r="D8" s="21">
        <f>INDEX(①データ入力!$B$3:$Y$39,C8,(B8-1)*5+1)&amp;""</f>
        <v/>
      </c>
      <c r="E8" s="21">
        <f>INDEX(①データ入力!$B$3:$Y$39,C8,(B8-1)*5+2)&amp;""</f>
        <v/>
      </c>
      <c r="F8" s="21">
        <f>IF(OR(E8="1",E8="１",E8="男"),"男",IF(OR(E8="2",E8="２",E8="女"),"女",""))</f>
        <v/>
      </c>
      <c r="G8" s="21">
        <f>INDEX(①データ入力!$B$3:$Y$39,C8,(B8-1)*5+3)</f>
        <v/>
      </c>
      <c r="H8" s="21">
        <f>INDEX(①データ入力!$B$3:$Y$39,C8,(B8-1)*5+4)&amp;""</f>
        <v/>
      </c>
      <c r="I8" s="21">
        <f>IF(LEFT(TRIM(H8),1)="赤","赤",IF(LEFT(TRIM(H8),1)="白","白",""))</f>
        <v/>
      </c>
      <c r="J8" s="21">
        <f>IF(AND(D8&lt;&gt;"",F8&lt;&gt;"",I8&lt;&gt;"",ISNUMBER(G8)),F8&amp;I8,"")</f>
        <v/>
      </c>
      <c r="K8" s="21">
        <f>IF(J8="","",COUNTIFS($J$2:$J$186,J8,$G$2:$G$186,"&lt;"&amp;G8)+COUNTIFS($J$2:$J$186,J8,$G$2:$G$186,G8,$A$2:$A$186,"&lt;"&amp;A8)+1)</f>
        <v/>
      </c>
      <c r="L8" s="21">
        <f>IF(J8="","",J8&amp;K8)</f>
        <v/>
      </c>
      <c r="M8" s="21">
        <f>B8&amp;"組"</f>
        <v/>
      </c>
      <c r="N8" s="21">
        <f>IF(AND(D8&lt;&gt;"",J8=""),1,0)</f>
        <v/>
      </c>
      <c r="P8" s="21" t="inlineStr">
        <is>
          <t>男子人数</t>
        </is>
      </c>
      <c r="Q8" s="21">
        <f>Q2+Q3</f>
        <v/>
      </c>
      <c r="S8" t="n">
        <v>7</v>
      </c>
      <c r="T8">
        <f>IF(OR($Q$9=0,S8&gt;$Q$9),0,INT($Q$8/$Q$9)+IF(S8&lt;=MOD($Q$8,$Q$9),1,0))</f>
        <v/>
      </c>
      <c r="U8">
        <f>$Q$2-Y7</f>
        <v/>
      </c>
      <c r="V8">
        <f>$Q$3-Z7</f>
        <v/>
      </c>
      <c r="W8">
        <f>IF(T8=0,0,MIN(U8,MAX(IF(MOD(T8,2)=0,T8/2,IF(U8&gt;=V8,(T8+1)/2,(T8-1)/2)),T8-V8)))</f>
        <v/>
      </c>
      <c r="X8">
        <f>T8-W8</f>
        <v/>
      </c>
      <c r="Y8">
        <f>Y7+W8</f>
        <v/>
      </c>
      <c r="Z8">
        <f>Z7+X8</f>
        <v/>
      </c>
      <c r="AB8" t="n">
        <v>7</v>
      </c>
      <c r="AC8">
        <f>IF(OR($Q$11=0,AB8&gt;$Q$11),0,INT($Q$10/$Q$11)+IF(AB8&lt;=MOD($Q$10,$Q$11),1,0))</f>
        <v/>
      </c>
      <c r="AD8">
        <f>$Q$4-AH7</f>
        <v/>
      </c>
      <c r="AE8">
        <f>$Q$5-AI7</f>
        <v/>
      </c>
      <c r="AF8">
        <f>IF(AC8=0,0,MIN(AD8,MAX(IF(MOD(AC8,2)=0,AC8/2,IF(AD8&gt;=AE8,(AC8+1)/2,(AC8-1)/2)),AC8-AE8)))</f>
        <v/>
      </c>
      <c r="AG8">
        <f>AC8-AF8</f>
        <v/>
      </c>
      <c r="AH8">
        <f>AH7+AF8</f>
        <v/>
      </c>
      <c r="AI8">
        <f>AI7+AG8</f>
        <v/>
      </c>
      <c r="AK8">
        <f>IF(J8="","",IF(J8="男赤",COUNTIF($Y$2:$Y$51,"&lt;"&amp;K8),IF(J8="男白",COUNTIF($Z$2:$Z$51,"&lt;"&amp;K8),IF(J8="女赤",COUNTIF($AH$2:$AH$51,"&lt;"&amp;K8),COUNTIF($AI$2:$AI$51,"&lt;"&amp;K8))))+1)</f>
        <v/>
      </c>
      <c r="AL8">
        <f>IF(AK8="","",IF(AK8=1,0,IF(J8="男赤",INDEX($Y$2:$Y$51,AK8-1),IF(J8="男白",INDEX($Z$2:$Z$51,AK8-1),IF(J8="女赤",INDEX($AH$2:$AH$51,AK8-1),INDEX($AI$2:$AI$51,AK8-1))))))</f>
        <v/>
      </c>
      <c r="AM8">
        <f>IF(AK8="","",IF(RIGHT(J8,1)="赤",K8-AL8,IF(LEFT(J8,1)="男",INDEX($W$2:$W$51,AK8),INDEX($AF$2:$AF$51,AK8))+K8-AL8))</f>
        <v/>
      </c>
      <c r="AN8">
        <f>IF(AK8="","",F8&amp;AK8&amp;"-"&amp;AM8)</f>
        <v/>
      </c>
    </row>
    <row r="9">
      <c r="A9" s="21">
        <f>ROW()-1</f>
        <v/>
      </c>
      <c r="B9" s="21">
        <f>INT((A9-1)/37)+1</f>
        <v/>
      </c>
      <c r="C9" s="21">
        <f>MOD(A9-1,37)+1</f>
        <v/>
      </c>
      <c r="D9" s="21">
        <f>INDEX(①データ入力!$B$3:$Y$39,C9,(B9-1)*5+1)&amp;""</f>
        <v/>
      </c>
      <c r="E9" s="21">
        <f>INDEX(①データ入力!$B$3:$Y$39,C9,(B9-1)*5+2)&amp;""</f>
        <v/>
      </c>
      <c r="F9" s="21">
        <f>IF(OR(E9="1",E9="１",E9="男"),"男",IF(OR(E9="2",E9="２",E9="女"),"女",""))</f>
        <v/>
      </c>
      <c r="G9" s="21">
        <f>INDEX(①データ入力!$B$3:$Y$39,C9,(B9-1)*5+3)</f>
        <v/>
      </c>
      <c r="H9" s="21">
        <f>INDEX(①データ入力!$B$3:$Y$39,C9,(B9-1)*5+4)&amp;""</f>
        <v/>
      </c>
      <c r="I9" s="21">
        <f>IF(LEFT(TRIM(H9),1)="赤","赤",IF(LEFT(TRIM(H9),1)="白","白",""))</f>
        <v/>
      </c>
      <c r="J9" s="21">
        <f>IF(AND(D9&lt;&gt;"",F9&lt;&gt;"",I9&lt;&gt;"",ISNUMBER(G9)),F9&amp;I9,"")</f>
        <v/>
      </c>
      <c r="K9" s="21">
        <f>IF(J9="","",COUNTIFS($J$2:$J$186,J9,$G$2:$G$186,"&lt;"&amp;G9)+COUNTIFS($J$2:$J$186,J9,$G$2:$G$186,G9,$A$2:$A$186,"&lt;"&amp;A9)+1)</f>
        <v/>
      </c>
      <c r="L9" s="21">
        <f>IF(J9="","",J9&amp;K9)</f>
        <v/>
      </c>
      <c r="M9" s="21">
        <f>B9&amp;"組"</f>
        <v/>
      </c>
      <c r="N9" s="21">
        <f>IF(AND(D9&lt;&gt;"",J9=""),1,0)</f>
        <v/>
      </c>
      <c r="P9" t="inlineStr">
        <is>
          <t>男子組数</t>
        </is>
      </c>
      <c r="Q9">
        <f>ROUNDUP(Q8/4,0)</f>
        <v/>
      </c>
      <c r="S9" t="n">
        <v>8</v>
      </c>
      <c r="T9">
        <f>IF(OR($Q$9=0,S9&gt;$Q$9),0,INT($Q$8/$Q$9)+IF(S9&lt;=MOD($Q$8,$Q$9),1,0))</f>
        <v/>
      </c>
      <c r="U9">
        <f>$Q$2-Y8</f>
        <v/>
      </c>
      <c r="V9">
        <f>$Q$3-Z8</f>
        <v/>
      </c>
      <c r="W9">
        <f>IF(T9=0,0,MIN(U9,MAX(IF(MOD(T9,2)=0,T9/2,IF(U9&gt;=V9,(T9+1)/2,(T9-1)/2)),T9-V9)))</f>
        <v/>
      </c>
      <c r="X9">
        <f>T9-W9</f>
        <v/>
      </c>
      <c r="Y9">
        <f>Y8+W9</f>
        <v/>
      </c>
      <c r="Z9">
        <f>Z8+X9</f>
        <v/>
      </c>
      <c r="AB9" t="n">
        <v>8</v>
      </c>
      <c r="AC9">
        <f>IF(OR($Q$11=0,AB9&gt;$Q$11),0,INT($Q$10/$Q$11)+IF(AB9&lt;=MOD($Q$10,$Q$11),1,0))</f>
        <v/>
      </c>
      <c r="AD9">
        <f>$Q$4-AH8</f>
        <v/>
      </c>
      <c r="AE9">
        <f>$Q$5-AI8</f>
        <v/>
      </c>
      <c r="AF9">
        <f>IF(AC9=0,0,MIN(AD9,MAX(IF(MOD(AC9,2)=0,AC9/2,IF(AD9&gt;=AE9,(AC9+1)/2,(AC9-1)/2)),AC9-AE9)))</f>
        <v/>
      </c>
      <c r="AG9">
        <f>AC9-AF9</f>
        <v/>
      </c>
      <c r="AH9">
        <f>AH8+AF9</f>
        <v/>
      </c>
      <c r="AI9">
        <f>AI8+AG9</f>
        <v/>
      </c>
      <c r="AK9">
        <f>IF(J9="","",IF(J9="男赤",COUNTIF($Y$2:$Y$51,"&lt;"&amp;K9),IF(J9="男白",COUNTIF($Z$2:$Z$51,"&lt;"&amp;K9),IF(J9="女赤",COUNTIF($AH$2:$AH$51,"&lt;"&amp;K9),COUNTIF($AI$2:$AI$51,"&lt;"&amp;K9))))+1)</f>
        <v/>
      </c>
      <c r="AL9">
        <f>IF(AK9="","",IF(AK9=1,0,IF(J9="男赤",INDEX($Y$2:$Y$51,AK9-1),IF(J9="男白",INDEX($Z$2:$Z$51,AK9-1),IF(J9="女赤",INDEX($AH$2:$AH$51,AK9-1),INDEX($AI$2:$AI$51,AK9-1))))))</f>
        <v/>
      </c>
      <c r="AM9">
        <f>IF(AK9="","",IF(RIGHT(J9,1)="赤",K9-AL9,IF(LEFT(J9,1)="男",INDEX($W$2:$W$51,AK9),INDEX($AF$2:$AF$51,AK9))+K9-AL9))</f>
        <v/>
      </c>
      <c r="AN9">
        <f>IF(AK9="","",F9&amp;AK9&amp;"-"&amp;AM9)</f>
        <v/>
      </c>
    </row>
    <row r="10">
      <c r="A10" s="21">
        <f>ROW()-1</f>
        <v/>
      </c>
      <c r="B10" s="21">
        <f>INT((A10-1)/37)+1</f>
        <v/>
      </c>
      <c r="C10" s="21">
        <f>MOD(A10-1,37)+1</f>
        <v/>
      </c>
      <c r="D10" s="21">
        <f>INDEX(①データ入力!$B$3:$Y$39,C10,(B10-1)*5+1)&amp;""</f>
        <v/>
      </c>
      <c r="E10" s="21">
        <f>INDEX(①データ入力!$B$3:$Y$39,C10,(B10-1)*5+2)&amp;""</f>
        <v/>
      </c>
      <c r="F10" s="21">
        <f>IF(OR(E10="1",E10="１",E10="男"),"男",IF(OR(E10="2",E10="２",E10="女"),"女",""))</f>
        <v/>
      </c>
      <c r="G10" s="21">
        <f>INDEX(①データ入力!$B$3:$Y$39,C10,(B10-1)*5+3)</f>
        <v/>
      </c>
      <c r="H10" s="21">
        <f>INDEX(①データ入力!$B$3:$Y$39,C10,(B10-1)*5+4)&amp;""</f>
        <v/>
      </c>
      <c r="I10" s="21">
        <f>IF(LEFT(TRIM(H10),1)="赤","赤",IF(LEFT(TRIM(H10),1)="白","白",""))</f>
        <v/>
      </c>
      <c r="J10" s="21">
        <f>IF(AND(D10&lt;&gt;"",F10&lt;&gt;"",I10&lt;&gt;"",ISNUMBER(G10)),F10&amp;I10,"")</f>
        <v/>
      </c>
      <c r="K10" s="21">
        <f>IF(J10="","",COUNTIFS($J$2:$J$186,J10,$G$2:$G$186,"&lt;"&amp;G10)+COUNTIFS($J$2:$J$186,J10,$G$2:$G$186,G10,$A$2:$A$186,"&lt;"&amp;A10)+1)</f>
        <v/>
      </c>
      <c r="L10" s="21">
        <f>IF(J10="","",J10&amp;K10)</f>
        <v/>
      </c>
      <c r="M10" s="21">
        <f>B10&amp;"組"</f>
        <v/>
      </c>
      <c r="N10" s="21">
        <f>IF(AND(D10&lt;&gt;"",J10=""),1,0)</f>
        <v/>
      </c>
      <c r="P10" t="inlineStr">
        <is>
          <t>女子人数</t>
        </is>
      </c>
      <c r="Q10">
        <f>Q4+Q5</f>
        <v/>
      </c>
      <c r="S10" t="n">
        <v>9</v>
      </c>
      <c r="T10">
        <f>IF(OR($Q$9=0,S10&gt;$Q$9),0,INT($Q$8/$Q$9)+IF(S10&lt;=MOD($Q$8,$Q$9),1,0))</f>
        <v/>
      </c>
      <c r="U10">
        <f>$Q$2-Y9</f>
        <v/>
      </c>
      <c r="V10">
        <f>$Q$3-Z9</f>
        <v/>
      </c>
      <c r="W10">
        <f>IF(T10=0,0,MIN(U10,MAX(IF(MOD(T10,2)=0,T10/2,IF(U10&gt;=V10,(T10+1)/2,(T10-1)/2)),T10-V10)))</f>
        <v/>
      </c>
      <c r="X10">
        <f>T10-W10</f>
        <v/>
      </c>
      <c r="Y10">
        <f>Y9+W10</f>
        <v/>
      </c>
      <c r="Z10">
        <f>Z9+X10</f>
        <v/>
      </c>
      <c r="AB10" t="n">
        <v>9</v>
      </c>
      <c r="AC10">
        <f>IF(OR($Q$11=0,AB10&gt;$Q$11),0,INT($Q$10/$Q$11)+IF(AB10&lt;=MOD($Q$10,$Q$11),1,0))</f>
        <v/>
      </c>
      <c r="AD10">
        <f>$Q$4-AH9</f>
        <v/>
      </c>
      <c r="AE10">
        <f>$Q$5-AI9</f>
        <v/>
      </c>
      <c r="AF10">
        <f>IF(AC10=0,0,MIN(AD10,MAX(IF(MOD(AC10,2)=0,AC10/2,IF(AD10&gt;=AE10,(AC10+1)/2,(AC10-1)/2)),AC10-AE10)))</f>
        <v/>
      </c>
      <c r="AG10">
        <f>AC10-AF10</f>
        <v/>
      </c>
      <c r="AH10">
        <f>AH9+AF10</f>
        <v/>
      </c>
      <c r="AI10">
        <f>AI9+AG10</f>
        <v/>
      </c>
      <c r="AK10">
        <f>IF(J10="","",IF(J10="男赤",COUNTIF($Y$2:$Y$51,"&lt;"&amp;K10),IF(J10="男白",COUNTIF($Z$2:$Z$51,"&lt;"&amp;K10),IF(J10="女赤",COUNTIF($AH$2:$AH$51,"&lt;"&amp;K10),COUNTIF($AI$2:$AI$51,"&lt;"&amp;K10))))+1)</f>
        <v/>
      </c>
      <c r="AL10">
        <f>IF(AK10="","",IF(AK10=1,0,IF(J10="男赤",INDEX($Y$2:$Y$51,AK10-1),IF(J10="男白",INDEX($Z$2:$Z$51,AK10-1),IF(J10="女赤",INDEX($AH$2:$AH$51,AK10-1),INDEX($AI$2:$AI$51,AK10-1))))))</f>
        <v/>
      </c>
      <c r="AM10">
        <f>IF(AK10="","",IF(RIGHT(J10,1)="赤",K10-AL10,IF(LEFT(J10,1)="男",INDEX($W$2:$W$51,AK10),INDEX($AF$2:$AF$51,AK10))+K10-AL10))</f>
        <v/>
      </c>
      <c r="AN10">
        <f>IF(AK10="","",F10&amp;AK10&amp;"-"&amp;AM10)</f>
        <v/>
      </c>
    </row>
    <row r="11">
      <c r="A11" s="21">
        <f>ROW()-1</f>
        <v/>
      </c>
      <c r="B11" s="21">
        <f>INT((A11-1)/37)+1</f>
        <v/>
      </c>
      <c r="C11" s="21">
        <f>MOD(A11-1,37)+1</f>
        <v/>
      </c>
      <c r="D11" s="21">
        <f>INDEX(①データ入力!$B$3:$Y$39,C11,(B11-1)*5+1)&amp;""</f>
        <v/>
      </c>
      <c r="E11" s="21">
        <f>INDEX(①データ入力!$B$3:$Y$39,C11,(B11-1)*5+2)&amp;""</f>
        <v/>
      </c>
      <c r="F11" s="21">
        <f>IF(OR(E11="1",E11="１",E11="男"),"男",IF(OR(E11="2",E11="２",E11="女"),"女",""))</f>
        <v/>
      </c>
      <c r="G11" s="21">
        <f>INDEX(①データ入力!$B$3:$Y$39,C11,(B11-1)*5+3)</f>
        <v/>
      </c>
      <c r="H11" s="21">
        <f>INDEX(①データ入力!$B$3:$Y$39,C11,(B11-1)*5+4)&amp;""</f>
        <v/>
      </c>
      <c r="I11" s="21">
        <f>IF(LEFT(TRIM(H11),1)="赤","赤",IF(LEFT(TRIM(H11),1)="白","白",""))</f>
        <v/>
      </c>
      <c r="J11" s="21">
        <f>IF(AND(D11&lt;&gt;"",F11&lt;&gt;"",I11&lt;&gt;"",ISNUMBER(G11)),F11&amp;I11,"")</f>
        <v/>
      </c>
      <c r="K11" s="21">
        <f>IF(J11="","",COUNTIFS($J$2:$J$186,J11,$G$2:$G$186,"&lt;"&amp;G11)+COUNTIFS($J$2:$J$186,J11,$G$2:$G$186,G11,$A$2:$A$186,"&lt;"&amp;A11)+1)</f>
        <v/>
      </c>
      <c r="L11" s="21">
        <f>IF(J11="","",J11&amp;K11)</f>
        <v/>
      </c>
      <c r="M11" s="21">
        <f>B11&amp;"組"</f>
        <v/>
      </c>
      <c r="N11" s="21">
        <f>IF(AND(D11&lt;&gt;"",J11=""),1,0)</f>
        <v/>
      </c>
      <c r="P11" t="inlineStr">
        <is>
          <t>女子組数</t>
        </is>
      </c>
      <c r="Q11">
        <f>ROUNDUP(Q10/4,0)</f>
        <v/>
      </c>
      <c r="S11" t="n">
        <v>10</v>
      </c>
      <c r="T11">
        <f>IF(OR($Q$9=0,S11&gt;$Q$9),0,INT($Q$8/$Q$9)+IF(S11&lt;=MOD($Q$8,$Q$9),1,0))</f>
        <v/>
      </c>
      <c r="U11">
        <f>$Q$2-Y10</f>
        <v/>
      </c>
      <c r="V11">
        <f>$Q$3-Z10</f>
        <v/>
      </c>
      <c r="W11">
        <f>IF(T11=0,0,MIN(U11,MAX(IF(MOD(T11,2)=0,T11/2,IF(U11&gt;=V11,(T11+1)/2,(T11-1)/2)),T11-V11)))</f>
        <v/>
      </c>
      <c r="X11">
        <f>T11-W11</f>
        <v/>
      </c>
      <c r="Y11">
        <f>Y10+W11</f>
        <v/>
      </c>
      <c r="Z11">
        <f>Z10+X11</f>
        <v/>
      </c>
      <c r="AB11" t="n">
        <v>10</v>
      </c>
      <c r="AC11">
        <f>IF(OR($Q$11=0,AB11&gt;$Q$11),0,INT($Q$10/$Q$11)+IF(AB11&lt;=MOD($Q$10,$Q$11),1,0))</f>
        <v/>
      </c>
      <c r="AD11">
        <f>$Q$4-AH10</f>
        <v/>
      </c>
      <c r="AE11">
        <f>$Q$5-AI10</f>
        <v/>
      </c>
      <c r="AF11">
        <f>IF(AC11=0,0,MIN(AD11,MAX(IF(MOD(AC11,2)=0,AC11/2,IF(AD11&gt;=AE11,(AC11+1)/2,(AC11-1)/2)),AC11-AE11)))</f>
        <v/>
      </c>
      <c r="AG11">
        <f>AC11-AF11</f>
        <v/>
      </c>
      <c r="AH11">
        <f>AH10+AF11</f>
        <v/>
      </c>
      <c r="AI11">
        <f>AI10+AG11</f>
        <v/>
      </c>
      <c r="AK11">
        <f>IF(J11="","",IF(J11="男赤",COUNTIF($Y$2:$Y$51,"&lt;"&amp;K11),IF(J11="男白",COUNTIF($Z$2:$Z$51,"&lt;"&amp;K11),IF(J11="女赤",COUNTIF($AH$2:$AH$51,"&lt;"&amp;K11),COUNTIF($AI$2:$AI$51,"&lt;"&amp;K11))))+1)</f>
        <v/>
      </c>
      <c r="AL11">
        <f>IF(AK11="","",IF(AK11=1,0,IF(J11="男赤",INDEX($Y$2:$Y$51,AK11-1),IF(J11="男白",INDEX($Z$2:$Z$51,AK11-1),IF(J11="女赤",INDEX($AH$2:$AH$51,AK11-1),INDEX($AI$2:$AI$51,AK11-1))))))</f>
        <v/>
      </c>
      <c r="AM11">
        <f>IF(AK11="","",IF(RIGHT(J11,1)="赤",K11-AL11,IF(LEFT(J11,1)="男",INDEX($W$2:$W$51,AK11),INDEX($AF$2:$AF$51,AK11))+K11-AL11))</f>
        <v/>
      </c>
      <c r="AN11">
        <f>IF(AK11="","",F11&amp;AK11&amp;"-"&amp;AM11)</f>
        <v/>
      </c>
    </row>
    <row r="12">
      <c r="A12" s="21">
        <f>ROW()-1</f>
        <v/>
      </c>
      <c r="B12" s="21">
        <f>INT((A12-1)/37)+1</f>
        <v/>
      </c>
      <c r="C12" s="21">
        <f>MOD(A12-1,37)+1</f>
        <v/>
      </c>
      <c r="D12" s="21">
        <f>INDEX(①データ入力!$B$3:$Y$39,C12,(B12-1)*5+1)&amp;""</f>
        <v/>
      </c>
      <c r="E12" s="21">
        <f>INDEX(①データ入力!$B$3:$Y$39,C12,(B12-1)*5+2)&amp;""</f>
        <v/>
      </c>
      <c r="F12" s="21">
        <f>IF(OR(E12="1",E12="１",E12="男"),"男",IF(OR(E12="2",E12="２",E12="女"),"女",""))</f>
        <v/>
      </c>
      <c r="G12" s="21">
        <f>INDEX(①データ入力!$B$3:$Y$39,C12,(B12-1)*5+3)</f>
        <v/>
      </c>
      <c r="H12" s="21">
        <f>INDEX(①データ入力!$B$3:$Y$39,C12,(B12-1)*5+4)&amp;""</f>
        <v/>
      </c>
      <c r="I12" s="21">
        <f>IF(LEFT(TRIM(H12),1)="赤","赤",IF(LEFT(TRIM(H12),1)="白","白",""))</f>
        <v/>
      </c>
      <c r="J12" s="21">
        <f>IF(AND(D12&lt;&gt;"",F12&lt;&gt;"",I12&lt;&gt;"",ISNUMBER(G12)),F12&amp;I12,"")</f>
        <v/>
      </c>
      <c r="K12" s="21">
        <f>IF(J12="","",COUNTIFS($J$2:$J$186,J12,$G$2:$G$186,"&lt;"&amp;G12)+COUNTIFS($J$2:$J$186,J12,$G$2:$G$186,G12,$A$2:$A$186,"&lt;"&amp;A12)+1)</f>
        <v/>
      </c>
      <c r="L12" s="21">
        <f>IF(J12="","",J12&amp;K12)</f>
        <v/>
      </c>
      <c r="M12" s="21">
        <f>B12&amp;"組"</f>
        <v/>
      </c>
      <c r="N12" s="21">
        <f>IF(AND(D12&lt;&gt;"",J12=""),1,0)</f>
        <v/>
      </c>
      <c r="S12" t="n">
        <v>11</v>
      </c>
      <c r="T12">
        <f>IF(OR($Q$9=0,S12&gt;$Q$9),0,INT($Q$8/$Q$9)+IF(S12&lt;=MOD($Q$8,$Q$9),1,0))</f>
        <v/>
      </c>
      <c r="U12">
        <f>$Q$2-Y11</f>
        <v/>
      </c>
      <c r="V12">
        <f>$Q$3-Z11</f>
        <v/>
      </c>
      <c r="W12">
        <f>IF(T12=0,0,MIN(U12,MAX(IF(MOD(T12,2)=0,T12/2,IF(U12&gt;=V12,(T12+1)/2,(T12-1)/2)),T12-V12)))</f>
        <v/>
      </c>
      <c r="X12">
        <f>T12-W12</f>
        <v/>
      </c>
      <c r="Y12">
        <f>Y11+W12</f>
        <v/>
      </c>
      <c r="Z12">
        <f>Z11+X12</f>
        <v/>
      </c>
      <c r="AB12" t="n">
        <v>11</v>
      </c>
      <c r="AC12">
        <f>IF(OR($Q$11=0,AB12&gt;$Q$11),0,INT($Q$10/$Q$11)+IF(AB12&lt;=MOD($Q$10,$Q$11),1,0))</f>
        <v/>
      </c>
      <c r="AD12">
        <f>$Q$4-AH11</f>
        <v/>
      </c>
      <c r="AE12">
        <f>$Q$5-AI11</f>
        <v/>
      </c>
      <c r="AF12">
        <f>IF(AC12=0,0,MIN(AD12,MAX(IF(MOD(AC12,2)=0,AC12/2,IF(AD12&gt;=AE12,(AC12+1)/2,(AC12-1)/2)),AC12-AE12)))</f>
        <v/>
      </c>
      <c r="AG12">
        <f>AC12-AF12</f>
        <v/>
      </c>
      <c r="AH12">
        <f>AH11+AF12</f>
        <v/>
      </c>
      <c r="AI12">
        <f>AI11+AG12</f>
        <v/>
      </c>
      <c r="AK12">
        <f>IF(J12="","",IF(J12="男赤",COUNTIF($Y$2:$Y$51,"&lt;"&amp;K12),IF(J12="男白",COUNTIF($Z$2:$Z$51,"&lt;"&amp;K12),IF(J12="女赤",COUNTIF($AH$2:$AH$51,"&lt;"&amp;K12),COUNTIF($AI$2:$AI$51,"&lt;"&amp;K12))))+1)</f>
        <v/>
      </c>
      <c r="AL12">
        <f>IF(AK12="","",IF(AK12=1,0,IF(J12="男赤",INDEX($Y$2:$Y$51,AK12-1),IF(J12="男白",INDEX($Z$2:$Z$51,AK12-1),IF(J12="女赤",INDEX($AH$2:$AH$51,AK12-1),INDEX($AI$2:$AI$51,AK12-1))))))</f>
        <v/>
      </c>
      <c r="AM12">
        <f>IF(AK12="","",IF(RIGHT(J12,1)="赤",K12-AL12,IF(LEFT(J12,1)="男",INDEX($W$2:$W$51,AK12),INDEX($AF$2:$AF$51,AK12))+K12-AL12))</f>
        <v/>
      </c>
      <c r="AN12">
        <f>IF(AK12="","",F12&amp;AK12&amp;"-"&amp;AM12)</f>
        <v/>
      </c>
    </row>
    <row r="13">
      <c r="A13" s="21">
        <f>ROW()-1</f>
        <v/>
      </c>
      <c r="B13" s="21">
        <f>INT((A13-1)/37)+1</f>
        <v/>
      </c>
      <c r="C13" s="21">
        <f>MOD(A13-1,37)+1</f>
        <v/>
      </c>
      <c r="D13" s="21">
        <f>INDEX(①データ入力!$B$3:$Y$39,C13,(B13-1)*5+1)&amp;""</f>
        <v/>
      </c>
      <c r="E13" s="21">
        <f>INDEX(①データ入力!$B$3:$Y$39,C13,(B13-1)*5+2)&amp;""</f>
        <v/>
      </c>
      <c r="F13" s="21">
        <f>IF(OR(E13="1",E13="１",E13="男"),"男",IF(OR(E13="2",E13="２",E13="女"),"女",""))</f>
        <v/>
      </c>
      <c r="G13" s="21">
        <f>INDEX(①データ入力!$B$3:$Y$39,C13,(B13-1)*5+3)</f>
        <v/>
      </c>
      <c r="H13" s="21">
        <f>INDEX(①データ入力!$B$3:$Y$39,C13,(B13-1)*5+4)&amp;""</f>
        <v/>
      </c>
      <c r="I13" s="21">
        <f>IF(LEFT(TRIM(H13),1)="赤","赤",IF(LEFT(TRIM(H13),1)="白","白",""))</f>
        <v/>
      </c>
      <c r="J13" s="21">
        <f>IF(AND(D13&lt;&gt;"",F13&lt;&gt;"",I13&lt;&gt;"",ISNUMBER(G13)),F13&amp;I13,"")</f>
        <v/>
      </c>
      <c r="K13" s="21">
        <f>IF(J13="","",COUNTIFS($J$2:$J$186,J13,$G$2:$G$186,"&lt;"&amp;G13)+COUNTIFS($J$2:$J$186,J13,$G$2:$G$186,G13,$A$2:$A$186,"&lt;"&amp;A13)+1)</f>
        <v/>
      </c>
      <c r="L13" s="21">
        <f>IF(J13="","",J13&amp;K13)</f>
        <v/>
      </c>
      <c r="M13" s="21">
        <f>B13&amp;"組"</f>
        <v/>
      </c>
      <c r="N13" s="21">
        <f>IF(AND(D13&lt;&gt;"",J13=""),1,0)</f>
        <v/>
      </c>
      <c r="S13" t="n">
        <v>12</v>
      </c>
      <c r="T13">
        <f>IF(OR($Q$9=0,S13&gt;$Q$9),0,INT($Q$8/$Q$9)+IF(S13&lt;=MOD($Q$8,$Q$9),1,0))</f>
        <v/>
      </c>
      <c r="U13">
        <f>$Q$2-Y12</f>
        <v/>
      </c>
      <c r="V13">
        <f>$Q$3-Z12</f>
        <v/>
      </c>
      <c r="W13">
        <f>IF(T13=0,0,MIN(U13,MAX(IF(MOD(T13,2)=0,T13/2,IF(U13&gt;=V13,(T13+1)/2,(T13-1)/2)),T13-V13)))</f>
        <v/>
      </c>
      <c r="X13">
        <f>T13-W13</f>
        <v/>
      </c>
      <c r="Y13">
        <f>Y12+W13</f>
        <v/>
      </c>
      <c r="Z13">
        <f>Z12+X13</f>
        <v/>
      </c>
      <c r="AB13" t="n">
        <v>12</v>
      </c>
      <c r="AC13">
        <f>IF(OR($Q$11=0,AB13&gt;$Q$11),0,INT($Q$10/$Q$11)+IF(AB13&lt;=MOD($Q$10,$Q$11),1,0))</f>
        <v/>
      </c>
      <c r="AD13">
        <f>$Q$4-AH12</f>
        <v/>
      </c>
      <c r="AE13">
        <f>$Q$5-AI12</f>
        <v/>
      </c>
      <c r="AF13">
        <f>IF(AC13=0,0,MIN(AD13,MAX(IF(MOD(AC13,2)=0,AC13/2,IF(AD13&gt;=AE13,(AC13+1)/2,(AC13-1)/2)),AC13-AE13)))</f>
        <v/>
      </c>
      <c r="AG13">
        <f>AC13-AF13</f>
        <v/>
      </c>
      <c r="AH13">
        <f>AH12+AF13</f>
        <v/>
      </c>
      <c r="AI13">
        <f>AI12+AG13</f>
        <v/>
      </c>
      <c r="AK13">
        <f>IF(J13="","",IF(J13="男赤",COUNTIF($Y$2:$Y$51,"&lt;"&amp;K13),IF(J13="男白",COUNTIF($Z$2:$Z$51,"&lt;"&amp;K13),IF(J13="女赤",COUNTIF($AH$2:$AH$51,"&lt;"&amp;K13),COUNTIF($AI$2:$AI$51,"&lt;"&amp;K13))))+1)</f>
        <v/>
      </c>
      <c r="AL13">
        <f>IF(AK13="","",IF(AK13=1,0,IF(J13="男赤",INDEX($Y$2:$Y$51,AK13-1),IF(J13="男白",INDEX($Z$2:$Z$51,AK13-1),IF(J13="女赤",INDEX($AH$2:$AH$51,AK13-1),INDEX($AI$2:$AI$51,AK13-1))))))</f>
        <v/>
      </c>
      <c r="AM13">
        <f>IF(AK13="","",IF(RIGHT(J13,1)="赤",K13-AL13,IF(LEFT(J13,1)="男",INDEX($W$2:$W$51,AK13),INDEX($AF$2:$AF$51,AK13))+K13-AL13))</f>
        <v/>
      </c>
      <c r="AN13">
        <f>IF(AK13="","",F13&amp;AK13&amp;"-"&amp;AM13)</f>
        <v/>
      </c>
    </row>
    <row r="14">
      <c r="A14" s="21">
        <f>ROW()-1</f>
        <v/>
      </c>
      <c r="B14" s="21">
        <f>INT((A14-1)/37)+1</f>
        <v/>
      </c>
      <c r="C14" s="21">
        <f>MOD(A14-1,37)+1</f>
        <v/>
      </c>
      <c r="D14" s="21">
        <f>INDEX(①データ入力!$B$3:$Y$39,C14,(B14-1)*5+1)&amp;""</f>
        <v/>
      </c>
      <c r="E14" s="21">
        <f>INDEX(①データ入力!$B$3:$Y$39,C14,(B14-1)*5+2)&amp;""</f>
        <v/>
      </c>
      <c r="F14" s="21">
        <f>IF(OR(E14="1",E14="１",E14="男"),"男",IF(OR(E14="2",E14="２",E14="女"),"女",""))</f>
        <v/>
      </c>
      <c r="G14" s="21">
        <f>INDEX(①データ入力!$B$3:$Y$39,C14,(B14-1)*5+3)</f>
        <v/>
      </c>
      <c r="H14" s="21">
        <f>INDEX(①データ入力!$B$3:$Y$39,C14,(B14-1)*5+4)&amp;""</f>
        <v/>
      </c>
      <c r="I14" s="21">
        <f>IF(LEFT(TRIM(H14),1)="赤","赤",IF(LEFT(TRIM(H14),1)="白","白",""))</f>
        <v/>
      </c>
      <c r="J14" s="21">
        <f>IF(AND(D14&lt;&gt;"",F14&lt;&gt;"",I14&lt;&gt;"",ISNUMBER(G14)),F14&amp;I14,"")</f>
        <v/>
      </c>
      <c r="K14" s="21">
        <f>IF(J14="","",COUNTIFS($J$2:$J$186,J14,$G$2:$G$186,"&lt;"&amp;G14)+COUNTIFS($J$2:$J$186,J14,$G$2:$G$186,G14,$A$2:$A$186,"&lt;"&amp;A14)+1)</f>
        <v/>
      </c>
      <c r="L14" s="21">
        <f>IF(J14="","",J14&amp;K14)</f>
        <v/>
      </c>
      <c r="M14" s="21">
        <f>B14&amp;"組"</f>
        <v/>
      </c>
      <c r="N14" s="21">
        <f>IF(AND(D14&lt;&gt;"",J14=""),1,0)</f>
        <v/>
      </c>
      <c r="S14" t="n">
        <v>13</v>
      </c>
      <c r="T14">
        <f>IF(OR($Q$9=0,S14&gt;$Q$9),0,INT($Q$8/$Q$9)+IF(S14&lt;=MOD($Q$8,$Q$9),1,0))</f>
        <v/>
      </c>
      <c r="U14">
        <f>$Q$2-Y13</f>
        <v/>
      </c>
      <c r="V14">
        <f>$Q$3-Z13</f>
        <v/>
      </c>
      <c r="W14">
        <f>IF(T14=0,0,MIN(U14,MAX(IF(MOD(T14,2)=0,T14/2,IF(U14&gt;=V14,(T14+1)/2,(T14-1)/2)),T14-V14)))</f>
        <v/>
      </c>
      <c r="X14">
        <f>T14-W14</f>
        <v/>
      </c>
      <c r="Y14">
        <f>Y13+W14</f>
        <v/>
      </c>
      <c r="Z14">
        <f>Z13+X14</f>
        <v/>
      </c>
      <c r="AB14" t="n">
        <v>13</v>
      </c>
      <c r="AC14">
        <f>IF(OR($Q$11=0,AB14&gt;$Q$11),0,INT($Q$10/$Q$11)+IF(AB14&lt;=MOD($Q$10,$Q$11),1,0))</f>
        <v/>
      </c>
      <c r="AD14">
        <f>$Q$4-AH13</f>
        <v/>
      </c>
      <c r="AE14">
        <f>$Q$5-AI13</f>
        <v/>
      </c>
      <c r="AF14">
        <f>IF(AC14=0,0,MIN(AD14,MAX(IF(MOD(AC14,2)=0,AC14/2,IF(AD14&gt;=AE14,(AC14+1)/2,(AC14-1)/2)),AC14-AE14)))</f>
        <v/>
      </c>
      <c r="AG14">
        <f>AC14-AF14</f>
        <v/>
      </c>
      <c r="AH14">
        <f>AH13+AF14</f>
        <v/>
      </c>
      <c r="AI14">
        <f>AI13+AG14</f>
        <v/>
      </c>
      <c r="AK14">
        <f>IF(J14="","",IF(J14="男赤",COUNTIF($Y$2:$Y$51,"&lt;"&amp;K14),IF(J14="男白",COUNTIF($Z$2:$Z$51,"&lt;"&amp;K14),IF(J14="女赤",COUNTIF($AH$2:$AH$51,"&lt;"&amp;K14),COUNTIF($AI$2:$AI$51,"&lt;"&amp;K14))))+1)</f>
        <v/>
      </c>
      <c r="AL14">
        <f>IF(AK14="","",IF(AK14=1,0,IF(J14="男赤",INDEX($Y$2:$Y$51,AK14-1),IF(J14="男白",INDEX($Z$2:$Z$51,AK14-1),IF(J14="女赤",INDEX($AH$2:$AH$51,AK14-1),INDEX($AI$2:$AI$51,AK14-1))))))</f>
        <v/>
      </c>
      <c r="AM14">
        <f>IF(AK14="","",IF(RIGHT(J14,1)="赤",K14-AL14,IF(LEFT(J14,1)="男",INDEX($W$2:$W$51,AK14),INDEX($AF$2:$AF$51,AK14))+K14-AL14))</f>
        <v/>
      </c>
      <c r="AN14">
        <f>IF(AK14="","",F14&amp;AK14&amp;"-"&amp;AM14)</f>
        <v/>
      </c>
    </row>
    <row r="15">
      <c r="A15" s="21">
        <f>ROW()-1</f>
        <v/>
      </c>
      <c r="B15" s="21">
        <f>INT((A15-1)/37)+1</f>
        <v/>
      </c>
      <c r="C15" s="21">
        <f>MOD(A15-1,37)+1</f>
        <v/>
      </c>
      <c r="D15" s="21">
        <f>INDEX(①データ入力!$B$3:$Y$39,C15,(B15-1)*5+1)&amp;""</f>
        <v/>
      </c>
      <c r="E15" s="21">
        <f>INDEX(①データ入力!$B$3:$Y$39,C15,(B15-1)*5+2)&amp;""</f>
        <v/>
      </c>
      <c r="F15" s="21">
        <f>IF(OR(E15="1",E15="１",E15="男"),"男",IF(OR(E15="2",E15="２",E15="女"),"女",""))</f>
        <v/>
      </c>
      <c r="G15" s="21">
        <f>INDEX(①データ入力!$B$3:$Y$39,C15,(B15-1)*5+3)</f>
        <v/>
      </c>
      <c r="H15" s="21">
        <f>INDEX(①データ入力!$B$3:$Y$39,C15,(B15-1)*5+4)&amp;""</f>
        <v/>
      </c>
      <c r="I15" s="21">
        <f>IF(LEFT(TRIM(H15),1)="赤","赤",IF(LEFT(TRIM(H15),1)="白","白",""))</f>
        <v/>
      </c>
      <c r="J15" s="21">
        <f>IF(AND(D15&lt;&gt;"",F15&lt;&gt;"",I15&lt;&gt;"",ISNUMBER(G15)),F15&amp;I15,"")</f>
        <v/>
      </c>
      <c r="K15" s="21">
        <f>IF(J15="","",COUNTIFS($J$2:$J$186,J15,$G$2:$G$186,"&lt;"&amp;G15)+COUNTIFS($J$2:$J$186,J15,$G$2:$G$186,G15,$A$2:$A$186,"&lt;"&amp;A15)+1)</f>
        <v/>
      </c>
      <c r="L15" s="21">
        <f>IF(J15="","",J15&amp;K15)</f>
        <v/>
      </c>
      <c r="M15" s="21">
        <f>B15&amp;"組"</f>
        <v/>
      </c>
      <c r="N15" s="21">
        <f>IF(AND(D15&lt;&gt;"",J15=""),1,0)</f>
        <v/>
      </c>
      <c r="S15" t="n">
        <v>14</v>
      </c>
      <c r="T15">
        <f>IF(OR($Q$9=0,S15&gt;$Q$9),0,INT($Q$8/$Q$9)+IF(S15&lt;=MOD($Q$8,$Q$9),1,0))</f>
        <v/>
      </c>
      <c r="U15">
        <f>$Q$2-Y14</f>
        <v/>
      </c>
      <c r="V15">
        <f>$Q$3-Z14</f>
        <v/>
      </c>
      <c r="W15">
        <f>IF(T15=0,0,MIN(U15,MAX(IF(MOD(T15,2)=0,T15/2,IF(U15&gt;=V15,(T15+1)/2,(T15-1)/2)),T15-V15)))</f>
        <v/>
      </c>
      <c r="X15">
        <f>T15-W15</f>
        <v/>
      </c>
      <c r="Y15">
        <f>Y14+W15</f>
        <v/>
      </c>
      <c r="Z15">
        <f>Z14+X15</f>
        <v/>
      </c>
      <c r="AB15" t="n">
        <v>14</v>
      </c>
      <c r="AC15">
        <f>IF(OR($Q$11=0,AB15&gt;$Q$11),0,INT($Q$10/$Q$11)+IF(AB15&lt;=MOD($Q$10,$Q$11),1,0))</f>
        <v/>
      </c>
      <c r="AD15">
        <f>$Q$4-AH14</f>
        <v/>
      </c>
      <c r="AE15">
        <f>$Q$5-AI14</f>
        <v/>
      </c>
      <c r="AF15">
        <f>IF(AC15=0,0,MIN(AD15,MAX(IF(MOD(AC15,2)=0,AC15/2,IF(AD15&gt;=AE15,(AC15+1)/2,(AC15-1)/2)),AC15-AE15)))</f>
        <v/>
      </c>
      <c r="AG15">
        <f>AC15-AF15</f>
        <v/>
      </c>
      <c r="AH15">
        <f>AH14+AF15</f>
        <v/>
      </c>
      <c r="AI15">
        <f>AI14+AG15</f>
        <v/>
      </c>
      <c r="AK15">
        <f>IF(J15="","",IF(J15="男赤",COUNTIF($Y$2:$Y$51,"&lt;"&amp;K15),IF(J15="男白",COUNTIF($Z$2:$Z$51,"&lt;"&amp;K15),IF(J15="女赤",COUNTIF($AH$2:$AH$51,"&lt;"&amp;K15),COUNTIF($AI$2:$AI$51,"&lt;"&amp;K15))))+1)</f>
        <v/>
      </c>
      <c r="AL15">
        <f>IF(AK15="","",IF(AK15=1,0,IF(J15="男赤",INDEX($Y$2:$Y$51,AK15-1),IF(J15="男白",INDEX($Z$2:$Z$51,AK15-1),IF(J15="女赤",INDEX($AH$2:$AH$51,AK15-1),INDEX($AI$2:$AI$51,AK15-1))))))</f>
        <v/>
      </c>
      <c r="AM15">
        <f>IF(AK15="","",IF(RIGHT(J15,1)="赤",K15-AL15,IF(LEFT(J15,1)="男",INDEX($W$2:$W$51,AK15),INDEX($AF$2:$AF$51,AK15))+K15-AL15))</f>
        <v/>
      </c>
      <c r="AN15">
        <f>IF(AK15="","",F15&amp;AK15&amp;"-"&amp;AM15)</f>
        <v/>
      </c>
    </row>
    <row r="16">
      <c r="A16" s="21">
        <f>ROW()-1</f>
        <v/>
      </c>
      <c r="B16" s="21">
        <f>INT((A16-1)/37)+1</f>
        <v/>
      </c>
      <c r="C16" s="21">
        <f>MOD(A16-1,37)+1</f>
        <v/>
      </c>
      <c r="D16" s="21">
        <f>INDEX(①データ入力!$B$3:$Y$39,C16,(B16-1)*5+1)&amp;""</f>
        <v/>
      </c>
      <c r="E16" s="21">
        <f>INDEX(①データ入力!$B$3:$Y$39,C16,(B16-1)*5+2)&amp;""</f>
        <v/>
      </c>
      <c r="F16" s="21">
        <f>IF(OR(E16="1",E16="１",E16="男"),"男",IF(OR(E16="2",E16="２",E16="女"),"女",""))</f>
        <v/>
      </c>
      <c r="G16" s="21">
        <f>INDEX(①データ入力!$B$3:$Y$39,C16,(B16-1)*5+3)</f>
        <v/>
      </c>
      <c r="H16" s="21">
        <f>INDEX(①データ入力!$B$3:$Y$39,C16,(B16-1)*5+4)&amp;""</f>
        <v/>
      </c>
      <c r="I16" s="21">
        <f>IF(LEFT(TRIM(H16),1)="赤","赤",IF(LEFT(TRIM(H16),1)="白","白",""))</f>
        <v/>
      </c>
      <c r="J16" s="21">
        <f>IF(AND(D16&lt;&gt;"",F16&lt;&gt;"",I16&lt;&gt;"",ISNUMBER(G16)),F16&amp;I16,"")</f>
        <v/>
      </c>
      <c r="K16" s="21">
        <f>IF(J16="","",COUNTIFS($J$2:$J$186,J16,$G$2:$G$186,"&lt;"&amp;G16)+COUNTIFS($J$2:$J$186,J16,$G$2:$G$186,G16,$A$2:$A$186,"&lt;"&amp;A16)+1)</f>
        <v/>
      </c>
      <c r="L16" s="21">
        <f>IF(J16="","",J16&amp;K16)</f>
        <v/>
      </c>
      <c r="M16" s="21">
        <f>B16&amp;"組"</f>
        <v/>
      </c>
      <c r="N16" s="21">
        <f>IF(AND(D16&lt;&gt;"",J16=""),1,0)</f>
        <v/>
      </c>
      <c r="S16" t="n">
        <v>15</v>
      </c>
      <c r="T16">
        <f>IF(OR($Q$9=0,S16&gt;$Q$9),0,INT($Q$8/$Q$9)+IF(S16&lt;=MOD($Q$8,$Q$9),1,0))</f>
        <v/>
      </c>
      <c r="U16">
        <f>$Q$2-Y15</f>
        <v/>
      </c>
      <c r="V16">
        <f>$Q$3-Z15</f>
        <v/>
      </c>
      <c r="W16">
        <f>IF(T16=0,0,MIN(U16,MAX(IF(MOD(T16,2)=0,T16/2,IF(U16&gt;=V16,(T16+1)/2,(T16-1)/2)),T16-V16)))</f>
        <v/>
      </c>
      <c r="X16">
        <f>T16-W16</f>
        <v/>
      </c>
      <c r="Y16">
        <f>Y15+W16</f>
        <v/>
      </c>
      <c r="Z16">
        <f>Z15+X16</f>
        <v/>
      </c>
      <c r="AB16" t="n">
        <v>15</v>
      </c>
      <c r="AC16">
        <f>IF(OR($Q$11=0,AB16&gt;$Q$11),0,INT($Q$10/$Q$11)+IF(AB16&lt;=MOD($Q$10,$Q$11),1,0))</f>
        <v/>
      </c>
      <c r="AD16">
        <f>$Q$4-AH15</f>
        <v/>
      </c>
      <c r="AE16">
        <f>$Q$5-AI15</f>
        <v/>
      </c>
      <c r="AF16">
        <f>IF(AC16=0,0,MIN(AD16,MAX(IF(MOD(AC16,2)=0,AC16/2,IF(AD16&gt;=AE16,(AC16+1)/2,(AC16-1)/2)),AC16-AE16)))</f>
        <v/>
      </c>
      <c r="AG16">
        <f>AC16-AF16</f>
        <v/>
      </c>
      <c r="AH16">
        <f>AH15+AF16</f>
        <v/>
      </c>
      <c r="AI16">
        <f>AI15+AG16</f>
        <v/>
      </c>
      <c r="AK16">
        <f>IF(J16="","",IF(J16="男赤",COUNTIF($Y$2:$Y$51,"&lt;"&amp;K16),IF(J16="男白",COUNTIF($Z$2:$Z$51,"&lt;"&amp;K16),IF(J16="女赤",COUNTIF($AH$2:$AH$51,"&lt;"&amp;K16),COUNTIF($AI$2:$AI$51,"&lt;"&amp;K16))))+1)</f>
        <v/>
      </c>
      <c r="AL16">
        <f>IF(AK16="","",IF(AK16=1,0,IF(J16="男赤",INDEX($Y$2:$Y$51,AK16-1),IF(J16="男白",INDEX($Z$2:$Z$51,AK16-1),IF(J16="女赤",INDEX($AH$2:$AH$51,AK16-1),INDEX($AI$2:$AI$51,AK16-1))))))</f>
        <v/>
      </c>
      <c r="AM16">
        <f>IF(AK16="","",IF(RIGHT(J16,1)="赤",K16-AL16,IF(LEFT(J16,1)="男",INDEX($W$2:$W$51,AK16),INDEX($AF$2:$AF$51,AK16))+K16-AL16))</f>
        <v/>
      </c>
      <c r="AN16">
        <f>IF(AK16="","",F16&amp;AK16&amp;"-"&amp;AM16)</f>
        <v/>
      </c>
    </row>
    <row r="17">
      <c r="A17" s="21">
        <f>ROW()-1</f>
        <v/>
      </c>
      <c r="B17" s="21">
        <f>INT((A17-1)/37)+1</f>
        <v/>
      </c>
      <c r="C17" s="21">
        <f>MOD(A17-1,37)+1</f>
        <v/>
      </c>
      <c r="D17" s="21">
        <f>INDEX(①データ入力!$B$3:$Y$39,C17,(B17-1)*5+1)&amp;""</f>
        <v/>
      </c>
      <c r="E17" s="21">
        <f>INDEX(①データ入力!$B$3:$Y$39,C17,(B17-1)*5+2)&amp;""</f>
        <v/>
      </c>
      <c r="F17" s="21">
        <f>IF(OR(E17="1",E17="１",E17="男"),"男",IF(OR(E17="2",E17="２",E17="女"),"女",""))</f>
        <v/>
      </c>
      <c r="G17" s="21">
        <f>INDEX(①データ入力!$B$3:$Y$39,C17,(B17-1)*5+3)</f>
        <v/>
      </c>
      <c r="H17" s="21">
        <f>INDEX(①データ入力!$B$3:$Y$39,C17,(B17-1)*5+4)&amp;""</f>
        <v/>
      </c>
      <c r="I17" s="21">
        <f>IF(LEFT(TRIM(H17),1)="赤","赤",IF(LEFT(TRIM(H17),1)="白","白",""))</f>
        <v/>
      </c>
      <c r="J17" s="21">
        <f>IF(AND(D17&lt;&gt;"",F17&lt;&gt;"",I17&lt;&gt;"",ISNUMBER(G17)),F17&amp;I17,"")</f>
        <v/>
      </c>
      <c r="K17" s="21">
        <f>IF(J17="","",COUNTIFS($J$2:$J$186,J17,$G$2:$G$186,"&lt;"&amp;G17)+COUNTIFS($J$2:$J$186,J17,$G$2:$G$186,G17,$A$2:$A$186,"&lt;"&amp;A17)+1)</f>
        <v/>
      </c>
      <c r="L17" s="21">
        <f>IF(J17="","",J17&amp;K17)</f>
        <v/>
      </c>
      <c r="M17" s="21">
        <f>B17&amp;"組"</f>
        <v/>
      </c>
      <c r="N17" s="21">
        <f>IF(AND(D17&lt;&gt;"",J17=""),1,0)</f>
        <v/>
      </c>
      <c r="S17" t="n">
        <v>16</v>
      </c>
      <c r="T17">
        <f>IF(OR($Q$9=0,S17&gt;$Q$9),0,INT($Q$8/$Q$9)+IF(S17&lt;=MOD($Q$8,$Q$9),1,0))</f>
        <v/>
      </c>
      <c r="U17">
        <f>$Q$2-Y16</f>
        <v/>
      </c>
      <c r="V17">
        <f>$Q$3-Z16</f>
        <v/>
      </c>
      <c r="W17">
        <f>IF(T17=0,0,MIN(U17,MAX(IF(MOD(T17,2)=0,T17/2,IF(U17&gt;=V17,(T17+1)/2,(T17-1)/2)),T17-V17)))</f>
        <v/>
      </c>
      <c r="X17">
        <f>T17-W17</f>
        <v/>
      </c>
      <c r="Y17">
        <f>Y16+W17</f>
        <v/>
      </c>
      <c r="Z17">
        <f>Z16+X17</f>
        <v/>
      </c>
      <c r="AB17" t="n">
        <v>16</v>
      </c>
      <c r="AC17">
        <f>IF(OR($Q$11=0,AB17&gt;$Q$11),0,INT($Q$10/$Q$11)+IF(AB17&lt;=MOD($Q$10,$Q$11),1,0))</f>
        <v/>
      </c>
      <c r="AD17">
        <f>$Q$4-AH16</f>
        <v/>
      </c>
      <c r="AE17">
        <f>$Q$5-AI16</f>
        <v/>
      </c>
      <c r="AF17">
        <f>IF(AC17=0,0,MIN(AD17,MAX(IF(MOD(AC17,2)=0,AC17/2,IF(AD17&gt;=AE17,(AC17+1)/2,(AC17-1)/2)),AC17-AE17)))</f>
        <v/>
      </c>
      <c r="AG17">
        <f>AC17-AF17</f>
        <v/>
      </c>
      <c r="AH17">
        <f>AH16+AF17</f>
        <v/>
      </c>
      <c r="AI17">
        <f>AI16+AG17</f>
        <v/>
      </c>
      <c r="AK17">
        <f>IF(J17="","",IF(J17="男赤",COUNTIF($Y$2:$Y$51,"&lt;"&amp;K17),IF(J17="男白",COUNTIF($Z$2:$Z$51,"&lt;"&amp;K17),IF(J17="女赤",COUNTIF($AH$2:$AH$51,"&lt;"&amp;K17),COUNTIF($AI$2:$AI$51,"&lt;"&amp;K17))))+1)</f>
        <v/>
      </c>
      <c r="AL17">
        <f>IF(AK17="","",IF(AK17=1,0,IF(J17="男赤",INDEX($Y$2:$Y$51,AK17-1),IF(J17="男白",INDEX($Z$2:$Z$51,AK17-1),IF(J17="女赤",INDEX($AH$2:$AH$51,AK17-1),INDEX($AI$2:$AI$51,AK17-1))))))</f>
        <v/>
      </c>
      <c r="AM17">
        <f>IF(AK17="","",IF(RIGHT(J17,1)="赤",K17-AL17,IF(LEFT(J17,1)="男",INDEX($W$2:$W$51,AK17),INDEX($AF$2:$AF$51,AK17))+K17-AL17))</f>
        <v/>
      </c>
      <c r="AN17">
        <f>IF(AK17="","",F17&amp;AK17&amp;"-"&amp;AM17)</f>
        <v/>
      </c>
    </row>
    <row r="18">
      <c r="A18" s="21">
        <f>ROW()-1</f>
        <v/>
      </c>
      <c r="B18" s="21">
        <f>INT((A18-1)/37)+1</f>
        <v/>
      </c>
      <c r="C18" s="21">
        <f>MOD(A18-1,37)+1</f>
        <v/>
      </c>
      <c r="D18" s="21">
        <f>INDEX(①データ入力!$B$3:$Y$39,C18,(B18-1)*5+1)&amp;""</f>
        <v/>
      </c>
      <c r="E18" s="21">
        <f>INDEX(①データ入力!$B$3:$Y$39,C18,(B18-1)*5+2)&amp;""</f>
        <v/>
      </c>
      <c r="F18" s="21">
        <f>IF(OR(E18="1",E18="１",E18="男"),"男",IF(OR(E18="2",E18="２",E18="女"),"女",""))</f>
        <v/>
      </c>
      <c r="G18" s="21">
        <f>INDEX(①データ入力!$B$3:$Y$39,C18,(B18-1)*5+3)</f>
        <v/>
      </c>
      <c r="H18" s="21">
        <f>INDEX(①データ入力!$B$3:$Y$39,C18,(B18-1)*5+4)&amp;""</f>
        <v/>
      </c>
      <c r="I18" s="21">
        <f>IF(LEFT(TRIM(H18),1)="赤","赤",IF(LEFT(TRIM(H18),1)="白","白",""))</f>
        <v/>
      </c>
      <c r="J18" s="21">
        <f>IF(AND(D18&lt;&gt;"",F18&lt;&gt;"",I18&lt;&gt;"",ISNUMBER(G18)),F18&amp;I18,"")</f>
        <v/>
      </c>
      <c r="K18" s="21">
        <f>IF(J18="","",COUNTIFS($J$2:$J$186,J18,$G$2:$G$186,"&lt;"&amp;G18)+COUNTIFS($J$2:$J$186,J18,$G$2:$G$186,G18,$A$2:$A$186,"&lt;"&amp;A18)+1)</f>
        <v/>
      </c>
      <c r="L18" s="21">
        <f>IF(J18="","",J18&amp;K18)</f>
        <v/>
      </c>
      <c r="M18" s="21">
        <f>B18&amp;"組"</f>
        <v/>
      </c>
      <c r="N18" s="21">
        <f>IF(AND(D18&lt;&gt;"",J18=""),1,0)</f>
        <v/>
      </c>
      <c r="S18" t="n">
        <v>17</v>
      </c>
      <c r="T18">
        <f>IF(OR($Q$9=0,S18&gt;$Q$9),0,INT($Q$8/$Q$9)+IF(S18&lt;=MOD($Q$8,$Q$9),1,0))</f>
        <v/>
      </c>
      <c r="U18">
        <f>$Q$2-Y17</f>
        <v/>
      </c>
      <c r="V18">
        <f>$Q$3-Z17</f>
        <v/>
      </c>
      <c r="W18">
        <f>IF(T18=0,0,MIN(U18,MAX(IF(MOD(T18,2)=0,T18/2,IF(U18&gt;=V18,(T18+1)/2,(T18-1)/2)),T18-V18)))</f>
        <v/>
      </c>
      <c r="X18">
        <f>T18-W18</f>
        <v/>
      </c>
      <c r="Y18">
        <f>Y17+W18</f>
        <v/>
      </c>
      <c r="Z18">
        <f>Z17+X18</f>
        <v/>
      </c>
      <c r="AB18" t="n">
        <v>17</v>
      </c>
      <c r="AC18">
        <f>IF(OR($Q$11=0,AB18&gt;$Q$11),0,INT($Q$10/$Q$11)+IF(AB18&lt;=MOD($Q$10,$Q$11),1,0))</f>
        <v/>
      </c>
      <c r="AD18">
        <f>$Q$4-AH17</f>
        <v/>
      </c>
      <c r="AE18">
        <f>$Q$5-AI17</f>
        <v/>
      </c>
      <c r="AF18">
        <f>IF(AC18=0,0,MIN(AD18,MAX(IF(MOD(AC18,2)=0,AC18/2,IF(AD18&gt;=AE18,(AC18+1)/2,(AC18-1)/2)),AC18-AE18)))</f>
        <v/>
      </c>
      <c r="AG18">
        <f>AC18-AF18</f>
        <v/>
      </c>
      <c r="AH18">
        <f>AH17+AF18</f>
        <v/>
      </c>
      <c r="AI18">
        <f>AI17+AG18</f>
        <v/>
      </c>
      <c r="AK18">
        <f>IF(J18="","",IF(J18="男赤",COUNTIF($Y$2:$Y$51,"&lt;"&amp;K18),IF(J18="男白",COUNTIF($Z$2:$Z$51,"&lt;"&amp;K18),IF(J18="女赤",COUNTIF($AH$2:$AH$51,"&lt;"&amp;K18),COUNTIF($AI$2:$AI$51,"&lt;"&amp;K18))))+1)</f>
        <v/>
      </c>
      <c r="AL18">
        <f>IF(AK18="","",IF(AK18=1,0,IF(J18="男赤",INDEX($Y$2:$Y$51,AK18-1),IF(J18="男白",INDEX($Z$2:$Z$51,AK18-1),IF(J18="女赤",INDEX($AH$2:$AH$51,AK18-1),INDEX($AI$2:$AI$51,AK18-1))))))</f>
        <v/>
      </c>
      <c r="AM18">
        <f>IF(AK18="","",IF(RIGHT(J18,1)="赤",K18-AL18,IF(LEFT(J18,1)="男",INDEX($W$2:$W$51,AK18),INDEX($AF$2:$AF$51,AK18))+K18-AL18))</f>
        <v/>
      </c>
      <c r="AN18">
        <f>IF(AK18="","",F18&amp;AK18&amp;"-"&amp;AM18)</f>
        <v/>
      </c>
    </row>
    <row r="19">
      <c r="A19" s="21">
        <f>ROW()-1</f>
        <v/>
      </c>
      <c r="B19" s="21">
        <f>INT((A19-1)/37)+1</f>
        <v/>
      </c>
      <c r="C19" s="21">
        <f>MOD(A19-1,37)+1</f>
        <v/>
      </c>
      <c r="D19" s="21">
        <f>INDEX(①データ入力!$B$3:$Y$39,C19,(B19-1)*5+1)&amp;""</f>
        <v/>
      </c>
      <c r="E19" s="21">
        <f>INDEX(①データ入力!$B$3:$Y$39,C19,(B19-1)*5+2)&amp;""</f>
        <v/>
      </c>
      <c r="F19" s="21">
        <f>IF(OR(E19="1",E19="１",E19="男"),"男",IF(OR(E19="2",E19="２",E19="女"),"女",""))</f>
        <v/>
      </c>
      <c r="G19" s="21">
        <f>INDEX(①データ入力!$B$3:$Y$39,C19,(B19-1)*5+3)</f>
        <v/>
      </c>
      <c r="H19" s="21">
        <f>INDEX(①データ入力!$B$3:$Y$39,C19,(B19-1)*5+4)&amp;""</f>
        <v/>
      </c>
      <c r="I19" s="21">
        <f>IF(LEFT(TRIM(H19),1)="赤","赤",IF(LEFT(TRIM(H19),1)="白","白",""))</f>
        <v/>
      </c>
      <c r="J19" s="21">
        <f>IF(AND(D19&lt;&gt;"",F19&lt;&gt;"",I19&lt;&gt;"",ISNUMBER(G19)),F19&amp;I19,"")</f>
        <v/>
      </c>
      <c r="K19" s="21">
        <f>IF(J19="","",COUNTIFS($J$2:$J$186,J19,$G$2:$G$186,"&lt;"&amp;G19)+COUNTIFS($J$2:$J$186,J19,$G$2:$G$186,G19,$A$2:$A$186,"&lt;"&amp;A19)+1)</f>
        <v/>
      </c>
      <c r="L19" s="21">
        <f>IF(J19="","",J19&amp;K19)</f>
        <v/>
      </c>
      <c r="M19" s="21">
        <f>B19&amp;"組"</f>
        <v/>
      </c>
      <c r="N19" s="21">
        <f>IF(AND(D19&lt;&gt;"",J19=""),1,0)</f>
        <v/>
      </c>
      <c r="S19" t="n">
        <v>18</v>
      </c>
      <c r="T19">
        <f>IF(OR($Q$9=0,S19&gt;$Q$9),0,INT($Q$8/$Q$9)+IF(S19&lt;=MOD($Q$8,$Q$9),1,0))</f>
        <v/>
      </c>
      <c r="U19">
        <f>$Q$2-Y18</f>
        <v/>
      </c>
      <c r="V19">
        <f>$Q$3-Z18</f>
        <v/>
      </c>
      <c r="W19">
        <f>IF(T19=0,0,MIN(U19,MAX(IF(MOD(T19,2)=0,T19/2,IF(U19&gt;=V19,(T19+1)/2,(T19-1)/2)),T19-V19)))</f>
        <v/>
      </c>
      <c r="X19">
        <f>T19-W19</f>
        <v/>
      </c>
      <c r="Y19">
        <f>Y18+W19</f>
        <v/>
      </c>
      <c r="Z19">
        <f>Z18+X19</f>
        <v/>
      </c>
      <c r="AB19" t="n">
        <v>18</v>
      </c>
      <c r="AC19">
        <f>IF(OR($Q$11=0,AB19&gt;$Q$11),0,INT($Q$10/$Q$11)+IF(AB19&lt;=MOD($Q$10,$Q$11),1,0))</f>
        <v/>
      </c>
      <c r="AD19">
        <f>$Q$4-AH18</f>
        <v/>
      </c>
      <c r="AE19">
        <f>$Q$5-AI18</f>
        <v/>
      </c>
      <c r="AF19">
        <f>IF(AC19=0,0,MIN(AD19,MAX(IF(MOD(AC19,2)=0,AC19/2,IF(AD19&gt;=AE19,(AC19+1)/2,(AC19-1)/2)),AC19-AE19)))</f>
        <v/>
      </c>
      <c r="AG19">
        <f>AC19-AF19</f>
        <v/>
      </c>
      <c r="AH19">
        <f>AH18+AF19</f>
        <v/>
      </c>
      <c r="AI19">
        <f>AI18+AG19</f>
        <v/>
      </c>
      <c r="AK19">
        <f>IF(J19="","",IF(J19="男赤",COUNTIF($Y$2:$Y$51,"&lt;"&amp;K19),IF(J19="男白",COUNTIF($Z$2:$Z$51,"&lt;"&amp;K19),IF(J19="女赤",COUNTIF($AH$2:$AH$51,"&lt;"&amp;K19),COUNTIF($AI$2:$AI$51,"&lt;"&amp;K19))))+1)</f>
        <v/>
      </c>
      <c r="AL19">
        <f>IF(AK19="","",IF(AK19=1,0,IF(J19="男赤",INDEX($Y$2:$Y$51,AK19-1),IF(J19="男白",INDEX($Z$2:$Z$51,AK19-1),IF(J19="女赤",INDEX($AH$2:$AH$51,AK19-1),INDEX($AI$2:$AI$51,AK19-1))))))</f>
        <v/>
      </c>
      <c r="AM19">
        <f>IF(AK19="","",IF(RIGHT(J19,1)="赤",K19-AL19,IF(LEFT(J19,1)="男",INDEX($W$2:$W$51,AK19),INDEX($AF$2:$AF$51,AK19))+K19-AL19))</f>
        <v/>
      </c>
      <c r="AN19">
        <f>IF(AK19="","",F19&amp;AK19&amp;"-"&amp;AM19)</f>
        <v/>
      </c>
    </row>
    <row r="20">
      <c r="A20" s="21">
        <f>ROW()-1</f>
        <v/>
      </c>
      <c r="B20" s="21">
        <f>INT((A20-1)/37)+1</f>
        <v/>
      </c>
      <c r="C20" s="21">
        <f>MOD(A20-1,37)+1</f>
        <v/>
      </c>
      <c r="D20" s="21">
        <f>INDEX(①データ入力!$B$3:$Y$39,C20,(B20-1)*5+1)&amp;""</f>
        <v/>
      </c>
      <c r="E20" s="21">
        <f>INDEX(①データ入力!$B$3:$Y$39,C20,(B20-1)*5+2)&amp;""</f>
        <v/>
      </c>
      <c r="F20" s="21">
        <f>IF(OR(E20="1",E20="１",E20="男"),"男",IF(OR(E20="2",E20="２",E20="女"),"女",""))</f>
        <v/>
      </c>
      <c r="G20" s="21">
        <f>INDEX(①データ入力!$B$3:$Y$39,C20,(B20-1)*5+3)</f>
        <v/>
      </c>
      <c r="H20" s="21">
        <f>INDEX(①データ入力!$B$3:$Y$39,C20,(B20-1)*5+4)&amp;""</f>
        <v/>
      </c>
      <c r="I20" s="21">
        <f>IF(LEFT(TRIM(H20),1)="赤","赤",IF(LEFT(TRIM(H20),1)="白","白",""))</f>
        <v/>
      </c>
      <c r="J20" s="21">
        <f>IF(AND(D20&lt;&gt;"",F20&lt;&gt;"",I20&lt;&gt;"",ISNUMBER(G20)),F20&amp;I20,"")</f>
        <v/>
      </c>
      <c r="K20" s="21">
        <f>IF(J20="","",COUNTIFS($J$2:$J$186,J20,$G$2:$G$186,"&lt;"&amp;G20)+COUNTIFS($J$2:$J$186,J20,$G$2:$G$186,G20,$A$2:$A$186,"&lt;"&amp;A20)+1)</f>
        <v/>
      </c>
      <c r="L20" s="21">
        <f>IF(J20="","",J20&amp;K20)</f>
        <v/>
      </c>
      <c r="M20" s="21">
        <f>B20&amp;"組"</f>
        <v/>
      </c>
      <c r="N20" s="21">
        <f>IF(AND(D20&lt;&gt;"",J20=""),1,0)</f>
        <v/>
      </c>
      <c r="S20" t="n">
        <v>19</v>
      </c>
      <c r="T20">
        <f>IF(OR($Q$9=0,S20&gt;$Q$9),0,INT($Q$8/$Q$9)+IF(S20&lt;=MOD($Q$8,$Q$9),1,0))</f>
        <v/>
      </c>
      <c r="U20">
        <f>$Q$2-Y19</f>
        <v/>
      </c>
      <c r="V20">
        <f>$Q$3-Z19</f>
        <v/>
      </c>
      <c r="W20">
        <f>IF(T20=0,0,MIN(U20,MAX(IF(MOD(T20,2)=0,T20/2,IF(U20&gt;=V20,(T20+1)/2,(T20-1)/2)),T20-V20)))</f>
        <v/>
      </c>
      <c r="X20">
        <f>T20-W20</f>
        <v/>
      </c>
      <c r="Y20">
        <f>Y19+W20</f>
        <v/>
      </c>
      <c r="Z20">
        <f>Z19+X20</f>
        <v/>
      </c>
      <c r="AB20" t="n">
        <v>19</v>
      </c>
      <c r="AC20">
        <f>IF(OR($Q$11=0,AB20&gt;$Q$11),0,INT($Q$10/$Q$11)+IF(AB20&lt;=MOD($Q$10,$Q$11),1,0))</f>
        <v/>
      </c>
      <c r="AD20">
        <f>$Q$4-AH19</f>
        <v/>
      </c>
      <c r="AE20">
        <f>$Q$5-AI19</f>
        <v/>
      </c>
      <c r="AF20">
        <f>IF(AC20=0,0,MIN(AD20,MAX(IF(MOD(AC20,2)=0,AC20/2,IF(AD20&gt;=AE20,(AC20+1)/2,(AC20-1)/2)),AC20-AE20)))</f>
        <v/>
      </c>
      <c r="AG20">
        <f>AC20-AF20</f>
        <v/>
      </c>
      <c r="AH20">
        <f>AH19+AF20</f>
        <v/>
      </c>
      <c r="AI20">
        <f>AI19+AG20</f>
        <v/>
      </c>
      <c r="AK20">
        <f>IF(J20="","",IF(J20="男赤",COUNTIF($Y$2:$Y$51,"&lt;"&amp;K20),IF(J20="男白",COUNTIF($Z$2:$Z$51,"&lt;"&amp;K20),IF(J20="女赤",COUNTIF($AH$2:$AH$51,"&lt;"&amp;K20),COUNTIF($AI$2:$AI$51,"&lt;"&amp;K20))))+1)</f>
        <v/>
      </c>
      <c r="AL20">
        <f>IF(AK20="","",IF(AK20=1,0,IF(J20="男赤",INDEX($Y$2:$Y$51,AK20-1),IF(J20="男白",INDEX($Z$2:$Z$51,AK20-1),IF(J20="女赤",INDEX($AH$2:$AH$51,AK20-1),INDEX($AI$2:$AI$51,AK20-1))))))</f>
        <v/>
      </c>
      <c r="AM20">
        <f>IF(AK20="","",IF(RIGHT(J20,1)="赤",K20-AL20,IF(LEFT(J20,1)="男",INDEX($W$2:$W$51,AK20),INDEX($AF$2:$AF$51,AK20))+K20-AL20))</f>
        <v/>
      </c>
      <c r="AN20">
        <f>IF(AK20="","",F20&amp;AK20&amp;"-"&amp;AM20)</f>
        <v/>
      </c>
    </row>
    <row r="21">
      <c r="A21" s="21">
        <f>ROW()-1</f>
        <v/>
      </c>
      <c r="B21" s="21">
        <f>INT((A21-1)/37)+1</f>
        <v/>
      </c>
      <c r="C21" s="21">
        <f>MOD(A21-1,37)+1</f>
        <v/>
      </c>
      <c r="D21" s="21">
        <f>INDEX(①データ入力!$B$3:$Y$39,C21,(B21-1)*5+1)&amp;""</f>
        <v/>
      </c>
      <c r="E21" s="21">
        <f>INDEX(①データ入力!$B$3:$Y$39,C21,(B21-1)*5+2)&amp;""</f>
        <v/>
      </c>
      <c r="F21" s="21">
        <f>IF(OR(E21="1",E21="１",E21="男"),"男",IF(OR(E21="2",E21="２",E21="女"),"女",""))</f>
        <v/>
      </c>
      <c r="G21" s="21">
        <f>INDEX(①データ入力!$B$3:$Y$39,C21,(B21-1)*5+3)</f>
        <v/>
      </c>
      <c r="H21" s="21">
        <f>INDEX(①データ入力!$B$3:$Y$39,C21,(B21-1)*5+4)&amp;""</f>
        <v/>
      </c>
      <c r="I21" s="21">
        <f>IF(LEFT(TRIM(H21),1)="赤","赤",IF(LEFT(TRIM(H21),1)="白","白",""))</f>
        <v/>
      </c>
      <c r="J21" s="21">
        <f>IF(AND(D21&lt;&gt;"",F21&lt;&gt;"",I21&lt;&gt;"",ISNUMBER(G21)),F21&amp;I21,"")</f>
        <v/>
      </c>
      <c r="K21" s="21">
        <f>IF(J21="","",COUNTIFS($J$2:$J$186,J21,$G$2:$G$186,"&lt;"&amp;G21)+COUNTIFS($J$2:$J$186,J21,$G$2:$G$186,G21,$A$2:$A$186,"&lt;"&amp;A21)+1)</f>
        <v/>
      </c>
      <c r="L21" s="21">
        <f>IF(J21="","",J21&amp;K21)</f>
        <v/>
      </c>
      <c r="M21" s="21">
        <f>B21&amp;"組"</f>
        <v/>
      </c>
      <c r="N21" s="21">
        <f>IF(AND(D21&lt;&gt;"",J21=""),1,0)</f>
        <v/>
      </c>
      <c r="S21" t="n">
        <v>20</v>
      </c>
      <c r="T21">
        <f>IF(OR($Q$9=0,S21&gt;$Q$9),0,INT($Q$8/$Q$9)+IF(S21&lt;=MOD($Q$8,$Q$9),1,0))</f>
        <v/>
      </c>
      <c r="U21">
        <f>$Q$2-Y20</f>
        <v/>
      </c>
      <c r="V21">
        <f>$Q$3-Z20</f>
        <v/>
      </c>
      <c r="W21">
        <f>IF(T21=0,0,MIN(U21,MAX(IF(MOD(T21,2)=0,T21/2,IF(U21&gt;=V21,(T21+1)/2,(T21-1)/2)),T21-V21)))</f>
        <v/>
      </c>
      <c r="X21">
        <f>T21-W21</f>
        <v/>
      </c>
      <c r="Y21">
        <f>Y20+W21</f>
        <v/>
      </c>
      <c r="Z21">
        <f>Z20+X21</f>
        <v/>
      </c>
      <c r="AB21" t="n">
        <v>20</v>
      </c>
      <c r="AC21">
        <f>IF(OR($Q$11=0,AB21&gt;$Q$11),0,INT($Q$10/$Q$11)+IF(AB21&lt;=MOD($Q$10,$Q$11),1,0))</f>
        <v/>
      </c>
      <c r="AD21">
        <f>$Q$4-AH20</f>
        <v/>
      </c>
      <c r="AE21">
        <f>$Q$5-AI20</f>
        <v/>
      </c>
      <c r="AF21">
        <f>IF(AC21=0,0,MIN(AD21,MAX(IF(MOD(AC21,2)=0,AC21/2,IF(AD21&gt;=AE21,(AC21+1)/2,(AC21-1)/2)),AC21-AE21)))</f>
        <v/>
      </c>
      <c r="AG21">
        <f>AC21-AF21</f>
        <v/>
      </c>
      <c r="AH21">
        <f>AH20+AF21</f>
        <v/>
      </c>
      <c r="AI21">
        <f>AI20+AG21</f>
        <v/>
      </c>
      <c r="AK21">
        <f>IF(J21="","",IF(J21="男赤",COUNTIF($Y$2:$Y$51,"&lt;"&amp;K21),IF(J21="男白",COUNTIF($Z$2:$Z$51,"&lt;"&amp;K21),IF(J21="女赤",COUNTIF($AH$2:$AH$51,"&lt;"&amp;K21),COUNTIF($AI$2:$AI$51,"&lt;"&amp;K21))))+1)</f>
        <v/>
      </c>
      <c r="AL21">
        <f>IF(AK21="","",IF(AK21=1,0,IF(J21="男赤",INDEX($Y$2:$Y$51,AK21-1),IF(J21="男白",INDEX($Z$2:$Z$51,AK21-1),IF(J21="女赤",INDEX($AH$2:$AH$51,AK21-1),INDEX($AI$2:$AI$51,AK21-1))))))</f>
        <v/>
      </c>
      <c r="AM21">
        <f>IF(AK21="","",IF(RIGHT(J21,1)="赤",K21-AL21,IF(LEFT(J21,1)="男",INDEX($W$2:$W$51,AK21),INDEX($AF$2:$AF$51,AK21))+K21-AL21))</f>
        <v/>
      </c>
      <c r="AN21">
        <f>IF(AK21="","",F21&amp;AK21&amp;"-"&amp;AM21)</f>
        <v/>
      </c>
    </row>
    <row r="22">
      <c r="A22" s="21">
        <f>ROW()-1</f>
        <v/>
      </c>
      <c r="B22" s="21">
        <f>INT((A22-1)/37)+1</f>
        <v/>
      </c>
      <c r="C22" s="21">
        <f>MOD(A22-1,37)+1</f>
        <v/>
      </c>
      <c r="D22" s="21">
        <f>INDEX(①データ入力!$B$3:$Y$39,C22,(B22-1)*5+1)&amp;""</f>
        <v/>
      </c>
      <c r="E22" s="21">
        <f>INDEX(①データ入力!$B$3:$Y$39,C22,(B22-1)*5+2)&amp;""</f>
        <v/>
      </c>
      <c r="F22" s="21">
        <f>IF(OR(E22="1",E22="１",E22="男"),"男",IF(OR(E22="2",E22="２",E22="女"),"女",""))</f>
        <v/>
      </c>
      <c r="G22" s="21">
        <f>INDEX(①データ入力!$B$3:$Y$39,C22,(B22-1)*5+3)</f>
        <v/>
      </c>
      <c r="H22" s="21">
        <f>INDEX(①データ入力!$B$3:$Y$39,C22,(B22-1)*5+4)&amp;""</f>
        <v/>
      </c>
      <c r="I22" s="21">
        <f>IF(LEFT(TRIM(H22),1)="赤","赤",IF(LEFT(TRIM(H22),1)="白","白",""))</f>
        <v/>
      </c>
      <c r="J22" s="21">
        <f>IF(AND(D22&lt;&gt;"",F22&lt;&gt;"",I22&lt;&gt;"",ISNUMBER(G22)),F22&amp;I22,"")</f>
        <v/>
      </c>
      <c r="K22" s="21">
        <f>IF(J22="","",COUNTIFS($J$2:$J$186,J22,$G$2:$G$186,"&lt;"&amp;G22)+COUNTIFS($J$2:$J$186,J22,$G$2:$G$186,G22,$A$2:$A$186,"&lt;"&amp;A22)+1)</f>
        <v/>
      </c>
      <c r="L22" s="21">
        <f>IF(J22="","",J22&amp;K22)</f>
        <v/>
      </c>
      <c r="M22" s="21">
        <f>B22&amp;"組"</f>
        <v/>
      </c>
      <c r="N22" s="21">
        <f>IF(AND(D22&lt;&gt;"",J22=""),1,0)</f>
        <v/>
      </c>
      <c r="S22" t="n">
        <v>21</v>
      </c>
      <c r="T22">
        <f>IF(OR($Q$9=0,S22&gt;$Q$9),0,INT($Q$8/$Q$9)+IF(S22&lt;=MOD($Q$8,$Q$9),1,0))</f>
        <v/>
      </c>
      <c r="U22">
        <f>$Q$2-Y21</f>
        <v/>
      </c>
      <c r="V22">
        <f>$Q$3-Z21</f>
        <v/>
      </c>
      <c r="W22">
        <f>IF(T22=0,0,MIN(U22,MAX(IF(MOD(T22,2)=0,T22/2,IF(U22&gt;=V22,(T22+1)/2,(T22-1)/2)),T22-V22)))</f>
        <v/>
      </c>
      <c r="X22">
        <f>T22-W22</f>
        <v/>
      </c>
      <c r="Y22">
        <f>Y21+W22</f>
        <v/>
      </c>
      <c r="Z22">
        <f>Z21+X22</f>
        <v/>
      </c>
      <c r="AB22" t="n">
        <v>21</v>
      </c>
      <c r="AC22">
        <f>IF(OR($Q$11=0,AB22&gt;$Q$11),0,INT($Q$10/$Q$11)+IF(AB22&lt;=MOD($Q$10,$Q$11),1,0))</f>
        <v/>
      </c>
      <c r="AD22">
        <f>$Q$4-AH21</f>
        <v/>
      </c>
      <c r="AE22">
        <f>$Q$5-AI21</f>
        <v/>
      </c>
      <c r="AF22">
        <f>IF(AC22=0,0,MIN(AD22,MAX(IF(MOD(AC22,2)=0,AC22/2,IF(AD22&gt;=AE22,(AC22+1)/2,(AC22-1)/2)),AC22-AE22)))</f>
        <v/>
      </c>
      <c r="AG22">
        <f>AC22-AF22</f>
        <v/>
      </c>
      <c r="AH22">
        <f>AH21+AF22</f>
        <v/>
      </c>
      <c r="AI22">
        <f>AI21+AG22</f>
        <v/>
      </c>
      <c r="AK22">
        <f>IF(J22="","",IF(J22="男赤",COUNTIF($Y$2:$Y$51,"&lt;"&amp;K22),IF(J22="男白",COUNTIF($Z$2:$Z$51,"&lt;"&amp;K22),IF(J22="女赤",COUNTIF($AH$2:$AH$51,"&lt;"&amp;K22),COUNTIF($AI$2:$AI$51,"&lt;"&amp;K22))))+1)</f>
        <v/>
      </c>
      <c r="AL22">
        <f>IF(AK22="","",IF(AK22=1,0,IF(J22="男赤",INDEX($Y$2:$Y$51,AK22-1),IF(J22="男白",INDEX($Z$2:$Z$51,AK22-1),IF(J22="女赤",INDEX($AH$2:$AH$51,AK22-1),INDEX($AI$2:$AI$51,AK22-1))))))</f>
        <v/>
      </c>
      <c r="AM22">
        <f>IF(AK22="","",IF(RIGHT(J22,1)="赤",K22-AL22,IF(LEFT(J22,1)="男",INDEX($W$2:$W$51,AK22),INDEX($AF$2:$AF$51,AK22))+K22-AL22))</f>
        <v/>
      </c>
      <c r="AN22">
        <f>IF(AK22="","",F22&amp;AK22&amp;"-"&amp;AM22)</f>
        <v/>
      </c>
    </row>
    <row r="23">
      <c r="A23" s="21">
        <f>ROW()-1</f>
        <v/>
      </c>
      <c r="B23" s="21">
        <f>INT((A23-1)/37)+1</f>
        <v/>
      </c>
      <c r="C23" s="21">
        <f>MOD(A23-1,37)+1</f>
        <v/>
      </c>
      <c r="D23" s="21">
        <f>INDEX(①データ入力!$B$3:$Y$39,C23,(B23-1)*5+1)&amp;""</f>
        <v/>
      </c>
      <c r="E23" s="21">
        <f>INDEX(①データ入力!$B$3:$Y$39,C23,(B23-1)*5+2)&amp;""</f>
        <v/>
      </c>
      <c r="F23" s="21">
        <f>IF(OR(E23="1",E23="１",E23="男"),"男",IF(OR(E23="2",E23="２",E23="女"),"女",""))</f>
        <v/>
      </c>
      <c r="G23" s="21">
        <f>INDEX(①データ入力!$B$3:$Y$39,C23,(B23-1)*5+3)</f>
        <v/>
      </c>
      <c r="H23" s="21">
        <f>INDEX(①データ入力!$B$3:$Y$39,C23,(B23-1)*5+4)&amp;""</f>
        <v/>
      </c>
      <c r="I23" s="21">
        <f>IF(LEFT(TRIM(H23),1)="赤","赤",IF(LEFT(TRIM(H23),1)="白","白",""))</f>
        <v/>
      </c>
      <c r="J23" s="21">
        <f>IF(AND(D23&lt;&gt;"",F23&lt;&gt;"",I23&lt;&gt;"",ISNUMBER(G23)),F23&amp;I23,"")</f>
        <v/>
      </c>
      <c r="K23" s="21">
        <f>IF(J23="","",COUNTIFS($J$2:$J$186,J23,$G$2:$G$186,"&lt;"&amp;G23)+COUNTIFS($J$2:$J$186,J23,$G$2:$G$186,G23,$A$2:$A$186,"&lt;"&amp;A23)+1)</f>
        <v/>
      </c>
      <c r="L23" s="21">
        <f>IF(J23="","",J23&amp;K23)</f>
        <v/>
      </c>
      <c r="M23" s="21">
        <f>B23&amp;"組"</f>
        <v/>
      </c>
      <c r="N23" s="21">
        <f>IF(AND(D23&lt;&gt;"",J23=""),1,0)</f>
        <v/>
      </c>
      <c r="S23" t="n">
        <v>22</v>
      </c>
      <c r="T23">
        <f>IF(OR($Q$9=0,S23&gt;$Q$9),0,INT($Q$8/$Q$9)+IF(S23&lt;=MOD($Q$8,$Q$9),1,0))</f>
        <v/>
      </c>
      <c r="U23">
        <f>$Q$2-Y22</f>
        <v/>
      </c>
      <c r="V23">
        <f>$Q$3-Z22</f>
        <v/>
      </c>
      <c r="W23">
        <f>IF(T23=0,0,MIN(U23,MAX(IF(MOD(T23,2)=0,T23/2,IF(U23&gt;=V23,(T23+1)/2,(T23-1)/2)),T23-V23)))</f>
        <v/>
      </c>
      <c r="X23">
        <f>T23-W23</f>
        <v/>
      </c>
      <c r="Y23">
        <f>Y22+W23</f>
        <v/>
      </c>
      <c r="Z23">
        <f>Z22+X23</f>
        <v/>
      </c>
      <c r="AB23" t="n">
        <v>22</v>
      </c>
      <c r="AC23">
        <f>IF(OR($Q$11=0,AB23&gt;$Q$11),0,INT($Q$10/$Q$11)+IF(AB23&lt;=MOD($Q$10,$Q$11),1,0))</f>
        <v/>
      </c>
      <c r="AD23">
        <f>$Q$4-AH22</f>
        <v/>
      </c>
      <c r="AE23">
        <f>$Q$5-AI22</f>
        <v/>
      </c>
      <c r="AF23">
        <f>IF(AC23=0,0,MIN(AD23,MAX(IF(MOD(AC23,2)=0,AC23/2,IF(AD23&gt;=AE23,(AC23+1)/2,(AC23-1)/2)),AC23-AE23)))</f>
        <v/>
      </c>
      <c r="AG23">
        <f>AC23-AF23</f>
        <v/>
      </c>
      <c r="AH23">
        <f>AH22+AF23</f>
        <v/>
      </c>
      <c r="AI23">
        <f>AI22+AG23</f>
        <v/>
      </c>
      <c r="AK23">
        <f>IF(J23="","",IF(J23="男赤",COUNTIF($Y$2:$Y$51,"&lt;"&amp;K23),IF(J23="男白",COUNTIF($Z$2:$Z$51,"&lt;"&amp;K23),IF(J23="女赤",COUNTIF($AH$2:$AH$51,"&lt;"&amp;K23),COUNTIF($AI$2:$AI$51,"&lt;"&amp;K23))))+1)</f>
        <v/>
      </c>
      <c r="AL23">
        <f>IF(AK23="","",IF(AK23=1,0,IF(J23="男赤",INDEX($Y$2:$Y$51,AK23-1),IF(J23="男白",INDEX($Z$2:$Z$51,AK23-1),IF(J23="女赤",INDEX($AH$2:$AH$51,AK23-1),INDEX($AI$2:$AI$51,AK23-1))))))</f>
        <v/>
      </c>
      <c r="AM23">
        <f>IF(AK23="","",IF(RIGHT(J23,1)="赤",K23-AL23,IF(LEFT(J23,1)="男",INDEX($W$2:$W$51,AK23),INDEX($AF$2:$AF$51,AK23))+K23-AL23))</f>
        <v/>
      </c>
      <c r="AN23">
        <f>IF(AK23="","",F23&amp;AK23&amp;"-"&amp;AM23)</f>
        <v/>
      </c>
    </row>
    <row r="24">
      <c r="A24" s="21">
        <f>ROW()-1</f>
        <v/>
      </c>
      <c r="B24" s="21">
        <f>INT((A24-1)/37)+1</f>
        <v/>
      </c>
      <c r="C24" s="21">
        <f>MOD(A24-1,37)+1</f>
        <v/>
      </c>
      <c r="D24" s="21">
        <f>INDEX(①データ入力!$B$3:$Y$39,C24,(B24-1)*5+1)&amp;""</f>
        <v/>
      </c>
      <c r="E24" s="21">
        <f>INDEX(①データ入力!$B$3:$Y$39,C24,(B24-1)*5+2)&amp;""</f>
        <v/>
      </c>
      <c r="F24" s="21">
        <f>IF(OR(E24="1",E24="１",E24="男"),"男",IF(OR(E24="2",E24="２",E24="女"),"女",""))</f>
        <v/>
      </c>
      <c r="G24" s="21">
        <f>INDEX(①データ入力!$B$3:$Y$39,C24,(B24-1)*5+3)</f>
        <v/>
      </c>
      <c r="H24" s="21">
        <f>INDEX(①データ入力!$B$3:$Y$39,C24,(B24-1)*5+4)&amp;""</f>
        <v/>
      </c>
      <c r="I24" s="21">
        <f>IF(LEFT(TRIM(H24),1)="赤","赤",IF(LEFT(TRIM(H24),1)="白","白",""))</f>
        <v/>
      </c>
      <c r="J24" s="21">
        <f>IF(AND(D24&lt;&gt;"",F24&lt;&gt;"",I24&lt;&gt;"",ISNUMBER(G24)),F24&amp;I24,"")</f>
        <v/>
      </c>
      <c r="K24" s="21">
        <f>IF(J24="","",COUNTIFS($J$2:$J$186,J24,$G$2:$G$186,"&lt;"&amp;G24)+COUNTIFS($J$2:$J$186,J24,$G$2:$G$186,G24,$A$2:$A$186,"&lt;"&amp;A24)+1)</f>
        <v/>
      </c>
      <c r="L24" s="21">
        <f>IF(J24="","",J24&amp;K24)</f>
        <v/>
      </c>
      <c r="M24" s="21">
        <f>B24&amp;"組"</f>
        <v/>
      </c>
      <c r="N24" s="21">
        <f>IF(AND(D24&lt;&gt;"",J24=""),1,0)</f>
        <v/>
      </c>
      <c r="S24" t="n">
        <v>23</v>
      </c>
      <c r="T24">
        <f>IF(OR($Q$9=0,S24&gt;$Q$9),0,INT($Q$8/$Q$9)+IF(S24&lt;=MOD($Q$8,$Q$9),1,0))</f>
        <v/>
      </c>
      <c r="U24">
        <f>$Q$2-Y23</f>
        <v/>
      </c>
      <c r="V24">
        <f>$Q$3-Z23</f>
        <v/>
      </c>
      <c r="W24">
        <f>IF(T24=0,0,MIN(U24,MAX(IF(MOD(T24,2)=0,T24/2,IF(U24&gt;=V24,(T24+1)/2,(T24-1)/2)),T24-V24)))</f>
        <v/>
      </c>
      <c r="X24">
        <f>T24-W24</f>
        <v/>
      </c>
      <c r="Y24">
        <f>Y23+W24</f>
        <v/>
      </c>
      <c r="Z24">
        <f>Z23+X24</f>
        <v/>
      </c>
      <c r="AB24" t="n">
        <v>23</v>
      </c>
      <c r="AC24">
        <f>IF(OR($Q$11=0,AB24&gt;$Q$11),0,INT($Q$10/$Q$11)+IF(AB24&lt;=MOD($Q$10,$Q$11),1,0))</f>
        <v/>
      </c>
      <c r="AD24">
        <f>$Q$4-AH23</f>
        <v/>
      </c>
      <c r="AE24">
        <f>$Q$5-AI23</f>
        <v/>
      </c>
      <c r="AF24">
        <f>IF(AC24=0,0,MIN(AD24,MAX(IF(MOD(AC24,2)=0,AC24/2,IF(AD24&gt;=AE24,(AC24+1)/2,(AC24-1)/2)),AC24-AE24)))</f>
        <v/>
      </c>
      <c r="AG24">
        <f>AC24-AF24</f>
        <v/>
      </c>
      <c r="AH24">
        <f>AH23+AF24</f>
        <v/>
      </c>
      <c r="AI24">
        <f>AI23+AG24</f>
        <v/>
      </c>
      <c r="AK24">
        <f>IF(J24="","",IF(J24="男赤",COUNTIF($Y$2:$Y$51,"&lt;"&amp;K24),IF(J24="男白",COUNTIF($Z$2:$Z$51,"&lt;"&amp;K24),IF(J24="女赤",COUNTIF($AH$2:$AH$51,"&lt;"&amp;K24),COUNTIF($AI$2:$AI$51,"&lt;"&amp;K24))))+1)</f>
        <v/>
      </c>
      <c r="AL24">
        <f>IF(AK24="","",IF(AK24=1,0,IF(J24="男赤",INDEX($Y$2:$Y$51,AK24-1),IF(J24="男白",INDEX($Z$2:$Z$51,AK24-1),IF(J24="女赤",INDEX($AH$2:$AH$51,AK24-1),INDEX($AI$2:$AI$51,AK24-1))))))</f>
        <v/>
      </c>
      <c r="AM24">
        <f>IF(AK24="","",IF(RIGHT(J24,1)="赤",K24-AL24,IF(LEFT(J24,1)="男",INDEX($W$2:$W$51,AK24),INDEX($AF$2:$AF$51,AK24))+K24-AL24))</f>
        <v/>
      </c>
      <c r="AN24">
        <f>IF(AK24="","",F24&amp;AK24&amp;"-"&amp;AM24)</f>
        <v/>
      </c>
    </row>
    <row r="25">
      <c r="A25" s="21">
        <f>ROW()-1</f>
        <v/>
      </c>
      <c r="B25" s="21">
        <f>INT((A25-1)/37)+1</f>
        <v/>
      </c>
      <c r="C25" s="21">
        <f>MOD(A25-1,37)+1</f>
        <v/>
      </c>
      <c r="D25" s="21">
        <f>INDEX(①データ入力!$B$3:$Y$39,C25,(B25-1)*5+1)&amp;""</f>
        <v/>
      </c>
      <c r="E25" s="21">
        <f>INDEX(①データ入力!$B$3:$Y$39,C25,(B25-1)*5+2)&amp;""</f>
        <v/>
      </c>
      <c r="F25" s="21">
        <f>IF(OR(E25="1",E25="１",E25="男"),"男",IF(OR(E25="2",E25="２",E25="女"),"女",""))</f>
        <v/>
      </c>
      <c r="G25" s="21">
        <f>INDEX(①データ入力!$B$3:$Y$39,C25,(B25-1)*5+3)</f>
        <v/>
      </c>
      <c r="H25" s="21">
        <f>INDEX(①データ入力!$B$3:$Y$39,C25,(B25-1)*5+4)&amp;""</f>
        <v/>
      </c>
      <c r="I25" s="21">
        <f>IF(LEFT(TRIM(H25),1)="赤","赤",IF(LEFT(TRIM(H25),1)="白","白",""))</f>
        <v/>
      </c>
      <c r="J25" s="21">
        <f>IF(AND(D25&lt;&gt;"",F25&lt;&gt;"",I25&lt;&gt;"",ISNUMBER(G25)),F25&amp;I25,"")</f>
        <v/>
      </c>
      <c r="K25" s="21">
        <f>IF(J25="","",COUNTIFS($J$2:$J$186,J25,$G$2:$G$186,"&lt;"&amp;G25)+COUNTIFS($J$2:$J$186,J25,$G$2:$G$186,G25,$A$2:$A$186,"&lt;"&amp;A25)+1)</f>
        <v/>
      </c>
      <c r="L25" s="21">
        <f>IF(J25="","",J25&amp;K25)</f>
        <v/>
      </c>
      <c r="M25" s="21">
        <f>B25&amp;"組"</f>
        <v/>
      </c>
      <c r="N25" s="21">
        <f>IF(AND(D25&lt;&gt;"",J25=""),1,0)</f>
        <v/>
      </c>
      <c r="S25" t="n">
        <v>24</v>
      </c>
      <c r="T25">
        <f>IF(OR($Q$9=0,S25&gt;$Q$9),0,INT($Q$8/$Q$9)+IF(S25&lt;=MOD($Q$8,$Q$9),1,0))</f>
        <v/>
      </c>
      <c r="U25">
        <f>$Q$2-Y24</f>
        <v/>
      </c>
      <c r="V25">
        <f>$Q$3-Z24</f>
        <v/>
      </c>
      <c r="W25">
        <f>IF(T25=0,0,MIN(U25,MAX(IF(MOD(T25,2)=0,T25/2,IF(U25&gt;=V25,(T25+1)/2,(T25-1)/2)),T25-V25)))</f>
        <v/>
      </c>
      <c r="X25">
        <f>T25-W25</f>
        <v/>
      </c>
      <c r="Y25">
        <f>Y24+W25</f>
        <v/>
      </c>
      <c r="Z25">
        <f>Z24+X25</f>
        <v/>
      </c>
      <c r="AB25" t="n">
        <v>24</v>
      </c>
      <c r="AC25">
        <f>IF(OR($Q$11=0,AB25&gt;$Q$11),0,INT($Q$10/$Q$11)+IF(AB25&lt;=MOD($Q$10,$Q$11),1,0))</f>
        <v/>
      </c>
      <c r="AD25">
        <f>$Q$4-AH24</f>
        <v/>
      </c>
      <c r="AE25">
        <f>$Q$5-AI24</f>
        <v/>
      </c>
      <c r="AF25">
        <f>IF(AC25=0,0,MIN(AD25,MAX(IF(MOD(AC25,2)=0,AC25/2,IF(AD25&gt;=AE25,(AC25+1)/2,(AC25-1)/2)),AC25-AE25)))</f>
        <v/>
      </c>
      <c r="AG25">
        <f>AC25-AF25</f>
        <v/>
      </c>
      <c r="AH25">
        <f>AH24+AF25</f>
        <v/>
      </c>
      <c r="AI25">
        <f>AI24+AG25</f>
        <v/>
      </c>
      <c r="AK25">
        <f>IF(J25="","",IF(J25="男赤",COUNTIF($Y$2:$Y$51,"&lt;"&amp;K25),IF(J25="男白",COUNTIF($Z$2:$Z$51,"&lt;"&amp;K25),IF(J25="女赤",COUNTIF($AH$2:$AH$51,"&lt;"&amp;K25),COUNTIF($AI$2:$AI$51,"&lt;"&amp;K25))))+1)</f>
        <v/>
      </c>
      <c r="AL25">
        <f>IF(AK25="","",IF(AK25=1,0,IF(J25="男赤",INDEX($Y$2:$Y$51,AK25-1),IF(J25="男白",INDEX($Z$2:$Z$51,AK25-1),IF(J25="女赤",INDEX($AH$2:$AH$51,AK25-1),INDEX($AI$2:$AI$51,AK25-1))))))</f>
        <v/>
      </c>
      <c r="AM25">
        <f>IF(AK25="","",IF(RIGHT(J25,1)="赤",K25-AL25,IF(LEFT(J25,1)="男",INDEX($W$2:$W$51,AK25),INDEX($AF$2:$AF$51,AK25))+K25-AL25))</f>
        <v/>
      </c>
      <c r="AN25">
        <f>IF(AK25="","",F25&amp;AK25&amp;"-"&amp;AM25)</f>
        <v/>
      </c>
    </row>
    <row r="26">
      <c r="A26" s="21">
        <f>ROW()-1</f>
        <v/>
      </c>
      <c r="B26" s="21">
        <f>INT((A26-1)/37)+1</f>
        <v/>
      </c>
      <c r="C26" s="21">
        <f>MOD(A26-1,37)+1</f>
        <v/>
      </c>
      <c r="D26" s="21">
        <f>INDEX(①データ入力!$B$3:$Y$39,C26,(B26-1)*5+1)&amp;""</f>
        <v/>
      </c>
      <c r="E26" s="21">
        <f>INDEX(①データ入力!$B$3:$Y$39,C26,(B26-1)*5+2)&amp;""</f>
        <v/>
      </c>
      <c r="F26" s="21">
        <f>IF(OR(E26="1",E26="１",E26="男"),"男",IF(OR(E26="2",E26="２",E26="女"),"女",""))</f>
        <v/>
      </c>
      <c r="G26" s="21">
        <f>INDEX(①データ入力!$B$3:$Y$39,C26,(B26-1)*5+3)</f>
        <v/>
      </c>
      <c r="H26" s="21">
        <f>INDEX(①データ入力!$B$3:$Y$39,C26,(B26-1)*5+4)&amp;""</f>
        <v/>
      </c>
      <c r="I26" s="21">
        <f>IF(LEFT(TRIM(H26),1)="赤","赤",IF(LEFT(TRIM(H26),1)="白","白",""))</f>
        <v/>
      </c>
      <c r="J26" s="21">
        <f>IF(AND(D26&lt;&gt;"",F26&lt;&gt;"",I26&lt;&gt;"",ISNUMBER(G26)),F26&amp;I26,"")</f>
        <v/>
      </c>
      <c r="K26" s="21">
        <f>IF(J26="","",COUNTIFS($J$2:$J$186,J26,$G$2:$G$186,"&lt;"&amp;G26)+COUNTIFS($J$2:$J$186,J26,$G$2:$G$186,G26,$A$2:$A$186,"&lt;"&amp;A26)+1)</f>
        <v/>
      </c>
      <c r="L26" s="21">
        <f>IF(J26="","",J26&amp;K26)</f>
        <v/>
      </c>
      <c r="M26" s="21">
        <f>B26&amp;"組"</f>
        <v/>
      </c>
      <c r="N26" s="21">
        <f>IF(AND(D26&lt;&gt;"",J26=""),1,0)</f>
        <v/>
      </c>
      <c r="S26" t="n">
        <v>25</v>
      </c>
      <c r="T26">
        <f>IF(OR($Q$9=0,S26&gt;$Q$9),0,INT($Q$8/$Q$9)+IF(S26&lt;=MOD($Q$8,$Q$9),1,0))</f>
        <v/>
      </c>
      <c r="U26">
        <f>$Q$2-Y25</f>
        <v/>
      </c>
      <c r="V26">
        <f>$Q$3-Z25</f>
        <v/>
      </c>
      <c r="W26">
        <f>IF(T26=0,0,MIN(U26,MAX(IF(MOD(T26,2)=0,T26/2,IF(U26&gt;=V26,(T26+1)/2,(T26-1)/2)),T26-V26)))</f>
        <v/>
      </c>
      <c r="X26">
        <f>T26-W26</f>
        <v/>
      </c>
      <c r="Y26">
        <f>Y25+W26</f>
        <v/>
      </c>
      <c r="Z26">
        <f>Z25+X26</f>
        <v/>
      </c>
      <c r="AB26" t="n">
        <v>25</v>
      </c>
      <c r="AC26">
        <f>IF(OR($Q$11=0,AB26&gt;$Q$11),0,INT($Q$10/$Q$11)+IF(AB26&lt;=MOD($Q$10,$Q$11),1,0))</f>
        <v/>
      </c>
      <c r="AD26">
        <f>$Q$4-AH25</f>
        <v/>
      </c>
      <c r="AE26">
        <f>$Q$5-AI25</f>
        <v/>
      </c>
      <c r="AF26">
        <f>IF(AC26=0,0,MIN(AD26,MAX(IF(MOD(AC26,2)=0,AC26/2,IF(AD26&gt;=AE26,(AC26+1)/2,(AC26-1)/2)),AC26-AE26)))</f>
        <v/>
      </c>
      <c r="AG26">
        <f>AC26-AF26</f>
        <v/>
      </c>
      <c r="AH26">
        <f>AH25+AF26</f>
        <v/>
      </c>
      <c r="AI26">
        <f>AI25+AG26</f>
        <v/>
      </c>
      <c r="AK26">
        <f>IF(J26="","",IF(J26="男赤",COUNTIF($Y$2:$Y$51,"&lt;"&amp;K26),IF(J26="男白",COUNTIF($Z$2:$Z$51,"&lt;"&amp;K26),IF(J26="女赤",COUNTIF($AH$2:$AH$51,"&lt;"&amp;K26),COUNTIF($AI$2:$AI$51,"&lt;"&amp;K26))))+1)</f>
        <v/>
      </c>
      <c r="AL26">
        <f>IF(AK26="","",IF(AK26=1,0,IF(J26="男赤",INDEX($Y$2:$Y$51,AK26-1),IF(J26="男白",INDEX($Z$2:$Z$51,AK26-1),IF(J26="女赤",INDEX($AH$2:$AH$51,AK26-1),INDEX($AI$2:$AI$51,AK26-1))))))</f>
        <v/>
      </c>
      <c r="AM26">
        <f>IF(AK26="","",IF(RIGHT(J26,1)="赤",K26-AL26,IF(LEFT(J26,1)="男",INDEX($W$2:$W$51,AK26),INDEX($AF$2:$AF$51,AK26))+K26-AL26))</f>
        <v/>
      </c>
      <c r="AN26">
        <f>IF(AK26="","",F26&amp;AK26&amp;"-"&amp;AM26)</f>
        <v/>
      </c>
    </row>
    <row r="27">
      <c r="A27" s="21">
        <f>ROW()-1</f>
        <v/>
      </c>
      <c r="B27" s="21">
        <f>INT((A27-1)/37)+1</f>
        <v/>
      </c>
      <c r="C27" s="21">
        <f>MOD(A27-1,37)+1</f>
        <v/>
      </c>
      <c r="D27" s="21">
        <f>INDEX(①データ入力!$B$3:$Y$39,C27,(B27-1)*5+1)&amp;""</f>
        <v/>
      </c>
      <c r="E27" s="21">
        <f>INDEX(①データ入力!$B$3:$Y$39,C27,(B27-1)*5+2)&amp;""</f>
        <v/>
      </c>
      <c r="F27" s="21">
        <f>IF(OR(E27="1",E27="１",E27="男"),"男",IF(OR(E27="2",E27="２",E27="女"),"女",""))</f>
        <v/>
      </c>
      <c r="G27" s="21">
        <f>INDEX(①データ入力!$B$3:$Y$39,C27,(B27-1)*5+3)</f>
        <v/>
      </c>
      <c r="H27" s="21">
        <f>INDEX(①データ入力!$B$3:$Y$39,C27,(B27-1)*5+4)&amp;""</f>
        <v/>
      </c>
      <c r="I27" s="21">
        <f>IF(LEFT(TRIM(H27),1)="赤","赤",IF(LEFT(TRIM(H27),1)="白","白",""))</f>
        <v/>
      </c>
      <c r="J27" s="21">
        <f>IF(AND(D27&lt;&gt;"",F27&lt;&gt;"",I27&lt;&gt;"",ISNUMBER(G27)),F27&amp;I27,"")</f>
        <v/>
      </c>
      <c r="K27" s="21">
        <f>IF(J27="","",COUNTIFS($J$2:$J$186,J27,$G$2:$G$186,"&lt;"&amp;G27)+COUNTIFS($J$2:$J$186,J27,$G$2:$G$186,G27,$A$2:$A$186,"&lt;"&amp;A27)+1)</f>
        <v/>
      </c>
      <c r="L27" s="21">
        <f>IF(J27="","",J27&amp;K27)</f>
        <v/>
      </c>
      <c r="M27" s="21">
        <f>B27&amp;"組"</f>
        <v/>
      </c>
      <c r="N27" s="21">
        <f>IF(AND(D27&lt;&gt;"",J27=""),1,0)</f>
        <v/>
      </c>
      <c r="S27" t="n">
        <v>26</v>
      </c>
      <c r="T27">
        <f>IF(OR($Q$9=0,S27&gt;$Q$9),0,INT($Q$8/$Q$9)+IF(S27&lt;=MOD($Q$8,$Q$9),1,0))</f>
        <v/>
      </c>
      <c r="U27">
        <f>$Q$2-Y26</f>
        <v/>
      </c>
      <c r="V27">
        <f>$Q$3-Z26</f>
        <v/>
      </c>
      <c r="W27">
        <f>IF(T27=0,0,MIN(U27,MAX(IF(MOD(T27,2)=0,T27/2,IF(U27&gt;=V27,(T27+1)/2,(T27-1)/2)),T27-V27)))</f>
        <v/>
      </c>
      <c r="X27">
        <f>T27-W27</f>
        <v/>
      </c>
      <c r="Y27">
        <f>Y26+W27</f>
        <v/>
      </c>
      <c r="Z27">
        <f>Z26+X27</f>
        <v/>
      </c>
      <c r="AB27" t="n">
        <v>26</v>
      </c>
      <c r="AC27">
        <f>IF(OR($Q$11=0,AB27&gt;$Q$11),0,INT($Q$10/$Q$11)+IF(AB27&lt;=MOD($Q$10,$Q$11),1,0))</f>
        <v/>
      </c>
      <c r="AD27">
        <f>$Q$4-AH26</f>
        <v/>
      </c>
      <c r="AE27">
        <f>$Q$5-AI26</f>
        <v/>
      </c>
      <c r="AF27">
        <f>IF(AC27=0,0,MIN(AD27,MAX(IF(MOD(AC27,2)=0,AC27/2,IF(AD27&gt;=AE27,(AC27+1)/2,(AC27-1)/2)),AC27-AE27)))</f>
        <v/>
      </c>
      <c r="AG27">
        <f>AC27-AF27</f>
        <v/>
      </c>
      <c r="AH27">
        <f>AH26+AF27</f>
        <v/>
      </c>
      <c r="AI27">
        <f>AI26+AG27</f>
        <v/>
      </c>
      <c r="AK27">
        <f>IF(J27="","",IF(J27="男赤",COUNTIF($Y$2:$Y$51,"&lt;"&amp;K27),IF(J27="男白",COUNTIF($Z$2:$Z$51,"&lt;"&amp;K27),IF(J27="女赤",COUNTIF($AH$2:$AH$51,"&lt;"&amp;K27),COUNTIF($AI$2:$AI$51,"&lt;"&amp;K27))))+1)</f>
        <v/>
      </c>
      <c r="AL27">
        <f>IF(AK27="","",IF(AK27=1,0,IF(J27="男赤",INDEX($Y$2:$Y$51,AK27-1),IF(J27="男白",INDEX($Z$2:$Z$51,AK27-1),IF(J27="女赤",INDEX($AH$2:$AH$51,AK27-1),INDEX($AI$2:$AI$51,AK27-1))))))</f>
        <v/>
      </c>
      <c r="AM27">
        <f>IF(AK27="","",IF(RIGHT(J27,1)="赤",K27-AL27,IF(LEFT(J27,1)="男",INDEX($W$2:$W$51,AK27),INDEX($AF$2:$AF$51,AK27))+K27-AL27))</f>
        <v/>
      </c>
      <c r="AN27">
        <f>IF(AK27="","",F27&amp;AK27&amp;"-"&amp;AM27)</f>
        <v/>
      </c>
    </row>
    <row r="28">
      <c r="A28" s="21">
        <f>ROW()-1</f>
        <v/>
      </c>
      <c r="B28" s="21">
        <f>INT((A28-1)/37)+1</f>
        <v/>
      </c>
      <c r="C28" s="21">
        <f>MOD(A28-1,37)+1</f>
        <v/>
      </c>
      <c r="D28" s="21">
        <f>INDEX(①データ入力!$B$3:$Y$39,C28,(B28-1)*5+1)&amp;""</f>
        <v/>
      </c>
      <c r="E28" s="21">
        <f>INDEX(①データ入力!$B$3:$Y$39,C28,(B28-1)*5+2)&amp;""</f>
        <v/>
      </c>
      <c r="F28" s="21">
        <f>IF(OR(E28="1",E28="１",E28="男"),"男",IF(OR(E28="2",E28="２",E28="女"),"女",""))</f>
        <v/>
      </c>
      <c r="G28" s="21">
        <f>INDEX(①データ入力!$B$3:$Y$39,C28,(B28-1)*5+3)</f>
        <v/>
      </c>
      <c r="H28" s="21">
        <f>INDEX(①データ入力!$B$3:$Y$39,C28,(B28-1)*5+4)&amp;""</f>
        <v/>
      </c>
      <c r="I28" s="21">
        <f>IF(LEFT(TRIM(H28),1)="赤","赤",IF(LEFT(TRIM(H28),1)="白","白",""))</f>
        <v/>
      </c>
      <c r="J28" s="21">
        <f>IF(AND(D28&lt;&gt;"",F28&lt;&gt;"",I28&lt;&gt;"",ISNUMBER(G28)),F28&amp;I28,"")</f>
        <v/>
      </c>
      <c r="K28" s="21">
        <f>IF(J28="","",COUNTIFS($J$2:$J$186,J28,$G$2:$G$186,"&lt;"&amp;G28)+COUNTIFS($J$2:$J$186,J28,$G$2:$G$186,G28,$A$2:$A$186,"&lt;"&amp;A28)+1)</f>
        <v/>
      </c>
      <c r="L28" s="21">
        <f>IF(J28="","",J28&amp;K28)</f>
        <v/>
      </c>
      <c r="M28" s="21">
        <f>B28&amp;"組"</f>
        <v/>
      </c>
      <c r="N28" s="21">
        <f>IF(AND(D28&lt;&gt;"",J28=""),1,0)</f>
        <v/>
      </c>
      <c r="S28" t="n">
        <v>27</v>
      </c>
      <c r="T28">
        <f>IF(OR($Q$9=0,S28&gt;$Q$9),0,INT($Q$8/$Q$9)+IF(S28&lt;=MOD($Q$8,$Q$9),1,0))</f>
        <v/>
      </c>
      <c r="U28">
        <f>$Q$2-Y27</f>
        <v/>
      </c>
      <c r="V28">
        <f>$Q$3-Z27</f>
        <v/>
      </c>
      <c r="W28">
        <f>IF(T28=0,0,MIN(U28,MAX(IF(MOD(T28,2)=0,T28/2,IF(U28&gt;=V28,(T28+1)/2,(T28-1)/2)),T28-V28)))</f>
        <v/>
      </c>
      <c r="X28">
        <f>T28-W28</f>
        <v/>
      </c>
      <c r="Y28">
        <f>Y27+W28</f>
        <v/>
      </c>
      <c r="Z28">
        <f>Z27+X28</f>
        <v/>
      </c>
      <c r="AB28" t="n">
        <v>27</v>
      </c>
      <c r="AC28">
        <f>IF(OR($Q$11=0,AB28&gt;$Q$11),0,INT($Q$10/$Q$11)+IF(AB28&lt;=MOD($Q$10,$Q$11),1,0))</f>
        <v/>
      </c>
      <c r="AD28">
        <f>$Q$4-AH27</f>
        <v/>
      </c>
      <c r="AE28">
        <f>$Q$5-AI27</f>
        <v/>
      </c>
      <c r="AF28">
        <f>IF(AC28=0,0,MIN(AD28,MAX(IF(MOD(AC28,2)=0,AC28/2,IF(AD28&gt;=AE28,(AC28+1)/2,(AC28-1)/2)),AC28-AE28)))</f>
        <v/>
      </c>
      <c r="AG28">
        <f>AC28-AF28</f>
        <v/>
      </c>
      <c r="AH28">
        <f>AH27+AF28</f>
        <v/>
      </c>
      <c r="AI28">
        <f>AI27+AG28</f>
        <v/>
      </c>
      <c r="AK28">
        <f>IF(J28="","",IF(J28="男赤",COUNTIF($Y$2:$Y$51,"&lt;"&amp;K28),IF(J28="男白",COUNTIF($Z$2:$Z$51,"&lt;"&amp;K28),IF(J28="女赤",COUNTIF($AH$2:$AH$51,"&lt;"&amp;K28),COUNTIF($AI$2:$AI$51,"&lt;"&amp;K28))))+1)</f>
        <v/>
      </c>
      <c r="AL28">
        <f>IF(AK28="","",IF(AK28=1,0,IF(J28="男赤",INDEX($Y$2:$Y$51,AK28-1),IF(J28="男白",INDEX($Z$2:$Z$51,AK28-1),IF(J28="女赤",INDEX($AH$2:$AH$51,AK28-1),INDEX($AI$2:$AI$51,AK28-1))))))</f>
        <v/>
      </c>
      <c r="AM28">
        <f>IF(AK28="","",IF(RIGHT(J28,1)="赤",K28-AL28,IF(LEFT(J28,1)="男",INDEX($W$2:$W$51,AK28),INDEX($AF$2:$AF$51,AK28))+K28-AL28))</f>
        <v/>
      </c>
      <c r="AN28">
        <f>IF(AK28="","",F28&amp;AK28&amp;"-"&amp;AM28)</f>
        <v/>
      </c>
    </row>
    <row r="29">
      <c r="A29" s="21">
        <f>ROW()-1</f>
        <v/>
      </c>
      <c r="B29" s="21">
        <f>INT((A29-1)/37)+1</f>
        <v/>
      </c>
      <c r="C29" s="21">
        <f>MOD(A29-1,37)+1</f>
        <v/>
      </c>
      <c r="D29" s="21">
        <f>INDEX(①データ入力!$B$3:$Y$39,C29,(B29-1)*5+1)&amp;""</f>
        <v/>
      </c>
      <c r="E29" s="21">
        <f>INDEX(①データ入力!$B$3:$Y$39,C29,(B29-1)*5+2)&amp;""</f>
        <v/>
      </c>
      <c r="F29" s="21">
        <f>IF(OR(E29="1",E29="１",E29="男"),"男",IF(OR(E29="2",E29="２",E29="女"),"女",""))</f>
        <v/>
      </c>
      <c r="G29" s="21">
        <f>INDEX(①データ入力!$B$3:$Y$39,C29,(B29-1)*5+3)</f>
        <v/>
      </c>
      <c r="H29" s="21">
        <f>INDEX(①データ入力!$B$3:$Y$39,C29,(B29-1)*5+4)&amp;""</f>
        <v/>
      </c>
      <c r="I29" s="21">
        <f>IF(LEFT(TRIM(H29),1)="赤","赤",IF(LEFT(TRIM(H29),1)="白","白",""))</f>
        <v/>
      </c>
      <c r="J29" s="21">
        <f>IF(AND(D29&lt;&gt;"",F29&lt;&gt;"",I29&lt;&gt;"",ISNUMBER(G29)),F29&amp;I29,"")</f>
        <v/>
      </c>
      <c r="K29" s="21">
        <f>IF(J29="","",COUNTIFS($J$2:$J$186,J29,$G$2:$G$186,"&lt;"&amp;G29)+COUNTIFS($J$2:$J$186,J29,$G$2:$G$186,G29,$A$2:$A$186,"&lt;"&amp;A29)+1)</f>
        <v/>
      </c>
      <c r="L29" s="21">
        <f>IF(J29="","",J29&amp;K29)</f>
        <v/>
      </c>
      <c r="M29" s="21">
        <f>B29&amp;"組"</f>
        <v/>
      </c>
      <c r="N29" s="21">
        <f>IF(AND(D29&lt;&gt;"",J29=""),1,0)</f>
        <v/>
      </c>
      <c r="S29" t="n">
        <v>28</v>
      </c>
      <c r="T29">
        <f>IF(OR($Q$9=0,S29&gt;$Q$9),0,INT($Q$8/$Q$9)+IF(S29&lt;=MOD($Q$8,$Q$9),1,0))</f>
        <v/>
      </c>
      <c r="U29">
        <f>$Q$2-Y28</f>
        <v/>
      </c>
      <c r="V29">
        <f>$Q$3-Z28</f>
        <v/>
      </c>
      <c r="W29">
        <f>IF(T29=0,0,MIN(U29,MAX(IF(MOD(T29,2)=0,T29/2,IF(U29&gt;=V29,(T29+1)/2,(T29-1)/2)),T29-V29)))</f>
        <v/>
      </c>
      <c r="X29">
        <f>T29-W29</f>
        <v/>
      </c>
      <c r="Y29">
        <f>Y28+W29</f>
        <v/>
      </c>
      <c r="Z29">
        <f>Z28+X29</f>
        <v/>
      </c>
      <c r="AB29" t="n">
        <v>28</v>
      </c>
      <c r="AC29">
        <f>IF(OR($Q$11=0,AB29&gt;$Q$11),0,INT($Q$10/$Q$11)+IF(AB29&lt;=MOD($Q$10,$Q$11),1,0))</f>
        <v/>
      </c>
      <c r="AD29">
        <f>$Q$4-AH28</f>
        <v/>
      </c>
      <c r="AE29">
        <f>$Q$5-AI28</f>
        <v/>
      </c>
      <c r="AF29">
        <f>IF(AC29=0,0,MIN(AD29,MAX(IF(MOD(AC29,2)=0,AC29/2,IF(AD29&gt;=AE29,(AC29+1)/2,(AC29-1)/2)),AC29-AE29)))</f>
        <v/>
      </c>
      <c r="AG29">
        <f>AC29-AF29</f>
        <v/>
      </c>
      <c r="AH29">
        <f>AH28+AF29</f>
        <v/>
      </c>
      <c r="AI29">
        <f>AI28+AG29</f>
        <v/>
      </c>
      <c r="AK29">
        <f>IF(J29="","",IF(J29="男赤",COUNTIF($Y$2:$Y$51,"&lt;"&amp;K29),IF(J29="男白",COUNTIF($Z$2:$Z$51,"&lt;"&amp;K29),IF(J29="女赤",COUNTIF($AH$2:$AH$51,"&lt;"&amp;K29),COUNTIF($AI$2:$AI$51,"&lt;"&amp;K29))))+1)</f>
        <v/>
      </c>
      <c r="AL29">
        <f>IF(AK29="","",IF(AK29=1,0,IF(J29="男赤",INDEX($Y$2:$Y$51,AK29-1),IF(J29="男白",INDEX($Z$2:$Z$51,AK29-1),IF(J29="女赤",INDEX($AH$2:$AH$51,AK29-1),INDEX($AI$2:$AI$51,AK29-1))))))</f>
        <v/>
      </c>
      <c r="AM29">
        <f>IF(AK29="","",IF(RIGHT(J29,1)="赤",K29-AL29,IF(LEFT(J29,1)="男",INDEX($W$2:$W$51,AK29),INDEX($AF$2:$AF$51,AK29))+K29-AL29))</f>
        <v/>
      </c>
      <c r="AN29">
        <f>IF(AK29="","",F29&amp;AK29&amp;"-"&amp;AM29)</f>
        <v/>
      </c>
    </row>
    <row r="30">
      <c r="A30" s="21">
        <f>ROW()-1</f>
        <v/>
      </c>
      <c r="B30" s="21">
        <f>INT((A30-1)/37)+1</f>
        <v/>
      </c>
      <c r="C30" s="21">
        <f>MOD(A30-1,37)+1</f>
        <v/>
      </c>
      <c r="D30" s="21">
        <f>INDEX(①データ入力!$B$3:$Y$39,C30,(B30-1)*5+1)&amp;""</f>
        <v/>
      </c>
      <c r="E30" s="21">
        <f>INDEX(①データ入力!$B$3:$Y$39,C30,(B30-1)*5+2)&amp;""</f>
        <v/>
      </c>
      <c r="F30" s="21">
        <f>IF(OR(E30="1",E30="１",E30="男"),"男",IF(OR(E30="2",E30="２",E30="女"),"女",""))</f>
        <v/>
      </c>
      <c r="G30" s="21">
        <f>INDEX(①データ入力!$B$3:$Y$39,C30,(B30-1)*5+3)</f>
        <v/>
      </c>
      <c r="H30" s="21">
        <f>INDEX(①データ入力!$B$3:$Y$39,C30,(B30-1)*5+4)&amp;""</f>
        <v/>
      </c>
      <c r="I30" s="21">
        <f>IF(LEFT(TRIM(H30),1)="赤","赤",IF(LEFT(TRIM(H30),1)="白","白",""))</f>
        <v/>
      </c>
      <c r="J30" s="21">
        <f>IF(AND(D30&lt;&gt;"",F30&lt;&gt;"",I30&lt;&gt;"",ISNUMBER(G30)),F30&amp;I30,"")</f>
        <v/>
      </c>
      <c r="K30" s="21">
        <f>IF(J30="","",COUNTIFS($J$2:$J$186,J30,$G$2:$G$186,"&lt;"&amp;G30)+COUNTIFS($J$2:$J$186,J30,$G$2:$G$186,G30,$A$2:$A$186,"&lt;"&amp;A30)+1)</f>
        <v/>
      </c>
      <c r="L30" s="21">
        <f>IF(J30="","",J30&amp;K30)</f>
        <v/>
      </c>
      <c r="M30" s="21">
        <f>B30&amp;"組"</f>
        <v/>
      </c>
      <c r="N30" s="21">
        <f>IF(AND(D30&lt;&gt;"",J30=""),1,0)</f>
        <v/>
      </c>
      <c r="S30" t="n">
        <v>29</v>
      </c>
      <c r="T30">
        <f>IF(OR($Q$9=0,S30&gt;$Q$9),0,INT($Q$8/$Q$9)+IF(S30&lt;=MOD($Q$8,$Q$9),1,0))</f>
        <v/>
      </c>
      <c r="U30">
        <f>$Q$2-Y29</f>
        <v/>
      </c>
      <c r="V30">
        <f>$Q$3-Z29</f>
        <v/>
      </c>
      <c r="W30">
        <f>IF(T30=0,0,MIN(U30,MAX(IF(MOD(T30,2)=0,T30/2,IF(U30&gt;=V30,(T30+1)/2,(T30-1)/2)),T30-V30)))</f>
        <v/>
      </c>
      <c r="X30">
        <f>T30-W30</f>
        <v/>
      </c>
      <c r="Y30">
        <f>Y29+W30</f>
        <v/>
      </c>
      <c r="Z30">
        <f>Z29+X30</f>
        <v/>
      </c>
      <c r="AB30" t="n">
        <v>29</v>
      </c>
      <c r="AC30">
        <f>IF(OR($Q$11=0,AB30&gt;$Q$11),0,INT($Q$10/$Q$11)+IF(AB30&lt;=MOD($Q$10,$Q$11),1,0))</f>
        <v/>
      </c>
      <c r="AD30">
        <f>$Q$4-AH29</f>
        <v/>
      </c>
      <c r="AE30">
        <f>$Q$5-AI29</f>
        <v/>
      </c>
      <c r="AF30">
        <f>IF(AC30=0,0,MIN(AD30,MAX(IF(MOD(AC30,2)=0,AC30/2,IF(AD30&gt;=AE30,(AC30+1)/2,(AC30-1)/2)),AC30-AE30)))</f>
        <v/>
      </c>
      <c r="AG30">
        <f>AC30-AF30</f>
        <v/>
      </c>
      <c r="AH30">
        <f>AH29+AF30</f>
        <v/>
      </c>
      <c r="AI30">
        <f>AI29+AG30</f>
        <v/>
      </c>
      <c r="AK30">
        <f>IF(J30="","",IF(J30="男赤",COUNTIF($Y$2:$Y$51,"&lt;"&amp;K30),IF(J30="男白",COUNTIF($Z$2:$Z$51,"&lt;"&amp;K30),IF(J30="女赤",COUNTIF($AH$2:$AH$51,"&lt;"&amp;K30),COUNTIF($AI$2:$AI$51,"&lt;"&amp;K30))))+1)</f>
        <v/>
      </c>
      <c r="AL30">
        <f>IF(AK30="","",IF(AK30=1,0,IF(J30="男赤",INDEX($Y$2:$Y$51,AK30-1),IF(J30="男白",INDEX($Z$2:$Z$51,AK30-1),IF(J30="女赤",INDEX($AH$2:$AH$51,AK30-1),INDEX($AI$2:$AI$51,AK30-1))))))</f>
        <v/>
      </c>
      <c r="AM30">
        <f>IF(AK30="","",IF(RIGHT(J30,1)="赤",K30-AL30,IF(LEFT(J30,1)="男",INDEX($W$2:$W$51,AK30),INDEX($AF$2:$AF$51,AK30))+K30-AL30))</f>
        <v/>
      </c>
      <c r="AN30">
        <f>IF(AK30="","",F30&amp;AK30&amp;"-"&amp;AM30)</f>
        <v/>
      </c>
    </row>
    <row r="31">
      <c r="A31" s="21">
        <f>ROW()-1</f>
        <v/>
      </c>
      <c r="B31" s="21">
        <f>INT((A31-1)/37)+1</f>
        <v/>
      </c>
      <c r="C31" s="21">
        <f>MOD(A31-1,37)+1</f>
        <v/>
      </c>
      <c r="D31" s="21">
        <f>INDEX(①データ入力!$B$3:$Y$39,C31,(B31-1)*5+1)&amp;""</f>
        <v/>
      </c>
      <c r="E31" s="21">
        <f>INDEX(①データ入力!$B$3:$Y$39,C31,(B31-1)*5+2)&amp;""</f>
        <v/>
      </c>
      <c r="F31" s="21">
        <f>IF(OR(E31="1",E31="１",E31="男"),"男",IF(OR(E31="2",E31="２",E31="女"),"女",""))</f>
        <v/>
      </c>
      <c r="G31" s="21">
        <f>INDEX(①データ入力!$B$3:$Y$39,C31,(B31-1)*5+3)</f>
        <v/>
      </c>
      <c r="H31" s="21">
        <f>INDEX(①データ入力!$B$3:$Y$39,C31,(B31-1)*5+4)&amp;""</f>
        <v/>
      </c>
      <c r="I31" s="21">
        <f>IF(LEFT(TRIM(H31),1)="赤","赤",IF(LEFT(TRIM(H31),1)="白","白",""))</f>
        <v/>
      </c>
      <c r="J31" s="21">
        <f>IF(AND(D31&lt;&gt;"",F31&lt;&gt;"",I31&lt;&gt;"",ISNUMBER(G31)),F31&amp;I31,"")</f>
        <v/>
      </c>
      <c r="K31" s="21">
        <f>IF(J31="","",COUNTIFS($J$2:$J$186,J31,$G$2:$G$186,"&lt;"&amp;G31)+COUNTIFS($J$2:$J$186,J31,$G$2:$G$186,G31,$A$2:$A$186,"&lt;"&amp;A31)+1)</f>
        <v/>
      </c>
      <c r="L31" s="21">
        <f>IF(J31="","",J31&amp;K31)</f>
        <v/>
      </c>
      <c r="M31" s="21">
        <f>B31&amp;"組"</f>
        <v/>
      </c>
      <c r="N31" s="21">
        <f>IF(AND(D31&lt;&gt;"",J31=""),1,0)</f>
        <v/>
      </c>
      <c r="S31" t="n">
        <v>30</v>
      </c>
      <c r="T31">
        <f>IF(OR($Q$9=0,S31&gt;$Q$9),0,INT($Q$8/$Q$9)+IF(S31&lt;=MOD($Q$8,$Q$9),1,0))</f>
        <v/>
      </c>
      <c r="U31">
        <f>$Q$2-Y30</f>
        <v/>
      </c>
      <c r="V31">
        <f>$Q$3-Z30</f>
        <v/>
      </c>
      <c r="W31">
        <f>IF(T31=0,0,MIN(U31,MAX(IF(MOD(T31,2)=0,T31/2,IF(U31&gt;=V31,(T31+1)/2,(T31-1)/2)),T31-V31)))</f>
        <v/>
      </c>
      <c r="X31">
        <f>T31-W31</f>
        <v/>
      </c>
      <c r="Y31">
        <f>Y30+W31</f>
        <v/>
      </c>
      <c r="Z31">
        <f>Z30+X31</f>
        <v/>
      </c>
      <c r="AB31" t="n">
        <v>30</v>
      </c>
      <c r="AC31">
        <f>IF(OR($Q$11=0,AB31&gt;$Q$11),0,INT($Q$10/$Q$11)+IF(AB31&lt;=MOD($Q$10,$Q$11),1,0))</f>
        <v/>
      </c>
      <c r="AD31">
        <f>$Q$4-AH30</f>
        <v/>
      </c>
      <c r="AE31">
        <f>$Q$5-AI30</f>
        <v/>
      </c>
      <c r="AF31">
        <f>IF(AC31=0,0,MIN(AD31,MAX(IF(MOD(AC31,2)=0,AC31/2,IF(AD31&gt;=AE31,(AC31+1)/2,(AC31-1)/2)),AC31-AE31)))</f>
        <v/>
      </c>
      <c r="AG31">
        <f>AC31-AF31</f>
        <v/>
      </c>
      <c r="AH31">
        <f>AH30+AF31</f>
        <v/>
      </c>
      <c r="AI31">
        <f>AI30+AG31</f>
        <v/>
      </c>
      <c r="AK31">
        <f>IF(J31="","",IF(J31="男赤",COUNTIF($Y$2:$Y$51,"&lt;"&amp;K31),IF(J31="男白",COUNTIF($Z$2:$Z$51,"&lt;"&amp;K31),IF(J31="女赤",COUNTIF($AH$2:$AH$51,"&lt;"&amp;K31),COUNTIF($AI$2:$AI$51,"&lt;"&amp;K31))))+1)</f>
        <v/>
      </c>
      <c r="AL31">
        <f>IF(AK31="","",IF(AK31=1,0,IF(J31="男赤",INDEX($Y$2:$Y$51,AK31-1),IF(J31="男白",INDEX($Z$2:$Z$51,AK31-1),IF(J31="女赤",INDEX($AH$2:$AH$51,AK31-1),INDEX($AI$2:$AI$51,AK31-1))))))</f>
        <v/>
      </c>
      <c r="AM31">
        <f>IF(AK31="","",IF(RIGHT(J31,1)="赤",K31-AL31,IF(LEFT(J31,1)="男",INDEX($W$2:$W$51,AK31),INDEX($AF$2:$AF$51,AK31))+K31-AL31))</f>
        <v/>
      </c>
      <c r="AN31">
        <f>IF(AK31="","",F31&amp;AK31&amp;"-"&amp;AM31)</f>
        <v/>
      </c>
    </row>
    <row r="32">
      <c r="A32" s="21">
        <f>ROW()-1</f>
        <v/>
      </c>
      <c r="B32" s="21">
        <f>INT((A32-1)/37)+1</f>
        <v/>
      </c>
      <c r="C32" s="21">
        <f>MOD(A32-1,37)+1</f>
        <v/>
      </c>
      <c r="D32" s="21">
        <f>INDEX(①データ入力!$B$3:$Y$39,C32,(B32-1)*5+1)&amp;""</f>
        <v/>
      </c>
      <c r="E32" s="21">
        <f>INDEX(①データ入力!$B$3:$Y$39,C32,(B32-1)*5+2)&amp;""</f>
        <v/>
      </c>
      <c r="F32" s="21">
        <f>IF(OR(E32="1",E32="１",E32="男"),"男",IF(OR(E32="2",E32="２",E32="女"),"女",""))</f>
        <v/>
      </c>
      <c r="G32" s="21">
        <f>INDEX(①データ入力!$B$3:$Y$39,C32,(B32-1)*5+3)</f>
        <v/>
      </c>
      <c r="H32" s="21">
        <f>INDEX(①データ入力!$B$3:$Y$39,C32,(B32-1)*5+4)&amp;""</f>
        <v/>
      </c>
      <c r="I32" s="21">
        <f>IF(LEFT(TRIM(H32),1)="赤","赤",IF(LEFT(TRIM(H32),1)="白","白",""))</f>
        <v/>
      </c>
      <c r="J32" s="21">
        <f>IF(AND(D32&lt;&gt;"",F32&lt;&gt;"",I32&lt;&gt;"",ISNUMBER(G32)),F32&amp;I32,"")</f>
        <v/>
      </c>
      <c r="K32" s="21">
        <f>IF(J32="","",COUNTIFS($J$2:$J$186,J32,$G$2:$G$186,"&lt;"&amp;G32)+COUNTIFS($J$2:$J$186,J32,$G$2:$G$186,G32,$A$2:$A$186,"&lt;"&amp;A32)+1)</f>
        <v/>
      </c>
      <c r="L32" s="21">
        <f>IF(J32="","",J32&amp;K32)</f>
        <v/>
      </c>
      <c r="M32" s="21">
        <f>B32&amp;"組"</f>
        <v/>
      </c>
      <c r="N32" s="21">
        <f>IF(AND(D32&lt;&gt;"",J32=""),1,0)</f>
        <v/>
      </c>
      <c r="S32" t="n">
        <v>31</v>
      </c>
      <c r="T32">
        <f>IF(OR($Q$9=0,S32&gt;$Q$9),0,INT($Q$8/$Q$9)+IF(S32&lt;=MOD($Q$8,$Q$9),1,0))</f>
        <v/>
      </c>
      <c r="U32">
        <f>$Q$2-Y31</f>
        <v/>
      </c>
      <c r="V32">
        <f>$Q$3-Z31</f>
        <v/>
      </c>
      <c r="W32">
        <f>IF(T32=0,0,MIN(U32,MAX(IF(MOD(T32,2)=0,T32/2,IF(U32&gt;=V32,(T32+1)/2,(T32-1)/2)),T32-V32)))</f>
        <v/>
      </c>
      <c r="X32">
        <f>T32-W32</f>
        <v/>
      </c>
      <c r="Y32">
        <f>Y31+W32</f>
        <v/>
      </c>
      <c r="Z32">
        <f>Z31+X32</f>
        <v/>
      </c>
      <c r="AB32" t="n">
        <v>31</v>
      </c>
      <c r="AC32">
        <f>IF(OR($Q$11=0,AB32&gt;$Q$11),0,INT($Q$10/$Q$11)+IF(AB32&lt;=MOD($Q$10,$Q$11),1,0))</f>
        <v/>
      </c>
      <c r="AD32">
        <f>$Q$4-AH31</f>
        <v/>
      </c>
      <c r="AE32">
        <f>$Q$5-AI31</f>
        <v/>
      </c>
      <c r="AF32">
        <f>IF(AC32=0,0,MIN(AD32,MAX(IF(MOD(AC32,2)=0,AC32/2,IF(AD32&gt;=AE32,(AC32+1)/2,(AC32-1)/2)),AC32-AE32)))</f>
        <v/>
      </c>
      <c r="AG32">
        <f>AC32-AF32</f>
        <v/>
      </c>
      <c r="AH32">
        <f>AH31+AF32</f>
        <v/>
      </c>
      <c r="AI32">
        <f>AI31+AG32</f>
        <v/>
      </c>
      <c r="AK32">
        <f>IF(J32="","",IF(J32="男赤",COUNTIF($Y$2:$Y$51,"&lt;"&amp;K32),IF(J32="男白",COUNTIF($Z$2:$Z$51,"&lt;"&amp;K32),IF(J32="女赤",COUNTIF($AH$2:$AH$51,"&lt;"&amp;K32),COUNTIF($AI$2:$AI$51,"&lt;"&amp;K32))))+1)</f>
        <v/>
      </c>
      <c r="AL32">
        <f>IF(AK32="","",IF(AK32=1,0,IF(J32="男赤",INDEX($Y$2:$Y$51,AK32-1),IF(J32="男白",INDEX($Z$2:$Z$51,AK32-1),IF(J32="女赤",INDEX($AH$2:$AH$51,AK32-1),INDEX($AI$2:$AI$51,AK32-1))))))</f>
        <v/>
      </c>
      <c r="AM32">
        <f>IF(AK32="","",IF(RIGHT(J32,1)="赤",K32-AL32,IF(LEFT(J32,1)="男",INDEX($W$2:$W$51,AK32),INDEX($AF$2:$AF$51,AK32))+K32-AL32))</f>
        <v/>
      </c>
      <c r="AN32">
        <f>IF(AK32="","",F32&amp;AK32&amp;"-"&amp;AM32)</f>
        <v/>
      </c>
    </row>
    <row r="33">
      <c r="A33" s="21">
        <f>ROW()-1</f>
        <v/>
      </c>
      <c r="B33" s="21">
        <f>INT((A33-1)/37)+1</f>
        <v/>
      </c>
      <c r="C33" s="21">
        <f>MOD(A33-1,37)+1</f>
        <v/>
      </c>
      <c r="D33" s="21">
        <f>INDEX(①データ入力!$B$3:$Y$39,C33,(B33-1)*5+1)&amp;""</f>
        <v/>
      </c>
      <c r="E33" s="21">
        <f>INDEX(①データ入力!$B$3:$Y$39,C33,(B33-1)*5+2)&amp;""</f>
        <v/>
      </c>
      <c r="F33" s="21">
        <f>IF(OR(E33="1",E33="１",E33="男"),"男",IF(OR(E33="2",E33="２",E33="女"),"女",""))</f>
        <v/>
      </c>
      <c r="G33" s="21">
        <f>INDEX(①データ入力!$B$3:$Y$39,C33,(B33-1)*5+3)</f>
        <v/>
      </c>
      <c r="H33" s="21">
        <f>INDEX(①データ入力!$B$3:$Y$39,C33,(B33-1)*5+4)&amp;""</f>
        <v/>
      </c>
      <c r="I33" s="21">
        <f>IF(LEFT(TRIM(H33),1)="赤","赤",IF(LEFT(TRIM(H33),1)="白","白",""))</f>
        <v/>
      </c>
      <c r="J33" s="21">
        <f>IF(AND(D33&lt;&gt;"",F33&lt;&gt;"",I33&lt;&gt;"",ISNUMBER(G33)),F33&amp;I33,"")</f>
        <v/>
      </c>
      <c r="K33" s="21">
        <f>IF(J33="","",COUNTIFS($J$2:$J$186,J33,$G$2:$G$186,"&lt;"&amp;G33)+COUNTIFS($J$2:$J$186,J33,$G$2:$G$186,G33,$A$2:$A$186,"&lt;"&amp;A33)+1)</f>
        <v/>
      </c>
      <c r="L33" s="21">
        <f>IF(J33="","",J33&amp;K33)</f>
        <v/>
      </c>
      <c r="M33" s="21">
        <f>B33&amp;"組"</f>
        <v/>
      </c>
      <c r="N33" s="21">
        <f>IF(AND(D33&lt;&gt;"",J33=""),1,0)</f>
        <v/>
      </c>
      <c r="S33" t="n">
        <v>32</v>
      </c>
      <c r="T33">
        <f>IF(OR($Q$9=0,S33&gt;$Q$9),0,INT($Q$8/$Q$9)+IF(S33&lt;=MOD($Q$8,$Q$9),1,0))</f>
        <v/>
      </c>
      <c r="U33">
        <f>$Q$2-Y32</f>
        <v/>
      </c>
      <c r="V33">
        <f>$Q$3-Z32</f>
        <v/>
      </c>
      <c r="W33">
        <f>IF(T33=0,0,MIN(U33,MAX(IF(MOD(T33,2)=0,T33/2,IF(U33&gt;=V33,(T33+1)/2,(T33-1)/2)),T33-V33)))</f>
        <v/>
      </c>
      <c r="X33">
        <f>T33-W33</f>
        <v/>
      </c>
      <c r="Y33">
        <f>Y32+W33</f>
        <v/>
      </c>
      <c r="Z33">
        <f>Z32+X33</f>
        <v/>
      </c>
      <c r="AB33" t="n">
        <v>32</v>
      </c>
      <c r="AC33">
        <f>IF(OR($Q$11=0,AB33&gt;$Q$11),0,INT($Q$10/$Q$11)+IF(AB33&lt;=MOD($Q$10,$Q$11),1,0))</f>
        <v/>
      </c>
      <c r="AD33">
        <f>$Q$4-AH32</f>
        <v/>
      </c>
      <c r="AE33">
        <f>$Q$5-AI32</f>
        <v/>
      </c>
      <c r="AF33">
        <f>IF(AC33=0,0,MIN(AD33,MAX(IF(MOD(AC33,2)=0,AC33/2,IF(AD33&gt;=AE33,(AC33+1)/2,(AC33-1)/2)),AC33-AE33)))</f>
        <v/>
      </c>
      <c r="AG33">
        <f>AC33-AF33</f>
        <v/>
      </c>
      <c r="AH33">
        <f>AH32+AF33</f>
        <v/>
      </c>
      <c r="AI33">
        <f>AI32+AG33</f>
        <v/>
      </c>
      <c r="AK33">
        <f>IF(J33="","",IF(J33="男赤",COUNTIF($Y$2:$Y$51,"&lt;"&amp;K33),IF(J33="男白",COUNTIF($Z$2:$Z$51,"&lt;"&amp;K33),IF(J33="女赤",COUNTIF($AH$2:$AH$51,"&lt;"&amp;K33),COUNTIF($AI$2:$AI$51,"&lt;"&amp;K33))))+1)</f>
        <v/>
      </c>
      <c r="AL33">
        <f>IF(AK33="","",IF(AK33=1,0,IF(J33="男赤",INDEX($Y$2:$Y$51,AK33-1),IF(J33="男白",INDEX($Z$2:$Z$51,AK33-1),IF(J33="女赤",INDEX($AH$2:$AH$51,AK33-1),INDEX($AI$2:$AI$51,AK33-1))))))</f>
        <v/>
      </c>
      <c r="AM33">
        <f>IF(AK33="","",IF(RIGHT(J33,1)="赤",K33-AL33,IF(LEFT(J33,1)="男",INDEX($W$2:$W$51,AK33),INDEX($AF$2:$AF$51,AK33))+K33-AL33))</f>
        <v/>
      </c>
      <c r="AN33">
        <f>IF(AK33="","",F33&amp;AK33&amp;"-"&amp;AM33)</f>
        <v/>
      </c>
    </row>
    <row r="34">
      <c r="A34" s="21">
        <f>ROW()-1</f>
        <v/>
      </c>
      <c r="B34" s="21">
        <f>INT((A34-1)/37)+1</f>
        <v/>
      </c>
      <c r="C34" s="21">
        <f>MOD(A34-1,37)+1</f>
        <v/>
      </c>
      <c r="D34" s="21">
        <f>INDEX(①データ入力!$B$3:$Y$39,C34,(B34-1)*5+1)&amp;""</f>
        <v/>
      </c>
      <c r="E34" s="21">
        <f>INDEX(①データ入力!$B$3:$Y$39,C34,(B34-1)*5+2)&amp;""</f>
        <v/>
      </c>
      <c r="F34" s="21">
        <f>IF(OR(E34="1",E34="１",E34="男"),"男",IF(OR(E34="2",E34="２",E34="女"),"女",""))</f>
        <v/>
      </c>
      <c r="G34" s="21">
        <f>INDEX(①データ入力!$B$3:$Y$39,C34,(B34-1)*5+3)</f>
        <v/>
      </c>
      <c r="H34" s="21">
        <f>INDEX(①データ入力!$B$3:$Y$39,C34,(B34-1)*5+4)&amp;""</f>
        <v/>
      </c>
      <c r="I34" s="21">
        <f>IF(LEFT(TRIM(H34),1)="赤","赤",IF(LEFT(TRIM(H34),1)="白","白",""))</f>
        <v/>
      </c>
      <c r="J34" s="21">
        <f>IF(AND(D34&lt;&gt;"",F34&lt;&gt;"",I34&lt;&gt;"",ISNUMBER(G34)),F34&amp;I34,"")</f>
        <v/>
      </c>
      <c r="K34" s="21">
        <f>IF(J34="","",COUNTIFS($J$2:$J$186,J34,$G$2:$G$186,"&lt;"&amp;G34)+COUNTIFS($J$2:$J$186,J34,$G$2:$G$186,G34,$A$2:$A$186,"&lt;"&amp;A34)+1)</f>
        <v/>
      </c>
      <c r="L34" s="21">
        <f>IF(J34="","",J34&amp;K34)</f>
        <v/>
      </c>
      <c r="M34" s="21">
        <f>B34&amp;"組"</f>
        <v/>
      </c>
      <c r="N34" s="21">
        <f>IF(AND(D34&lt;&gt;"",J34=""),1,0)</f>
        <v/>
      </c>
      <c r="S34" t="n">
        <v>33</v>
      </c>
      <c r="T34">
        <f>IF(OR($Q$9=0,S34&gt;$Q$9),0,INT($Q$8/$Q$9)+IF(S34&lt;=MOD($Q$8,$Q$9),1,0))</f>
        <v/>
      </c>
      <c r="U34">
        <f>$Q$2-Y33</f>
        <v/>
      </c>
      <c r="V34">
        <f>$Q$3-Z33</f>
        <v/>
      </c>
      <c r="W34">
        <f>IF(T34=0,0,MIN(U34,MAX(IF(MOD(T34,2)=0,T34/2,IF(U34&gt;=V34,(T34+1)/2,(T34-1)/2)),T34-V34)))</f>
        <v/>
      </c>
      <c r="X34">
        <f>T34-W34</f>
        <v/>
      </c>
      <c r="Y34">
        <f>Y33+W34</f>
        <v/>
      </c>
      <c r="Z34">
        <f>Z33+X34</f>
        <v/>
      </c>
      <c r="AB34" t="n">
        <v>33</v>
      </c>
      <c r="AC34">
        <f>IF(OR($Q$11=0,AB34&gt;$Q$11),0,INT($Q$10/$Q$11)+IF(AB34&lt;=MOD($Q$10,$Q$11),1,0))</f>
        <v/>
      </c>
      <c r="AD34">
        <f>$Q$4-AH33</f>
        <v/>
      </c>
      <c r="AE34">
        <f>$Q$5-AI33</f>
        <v/>
      </c>
      <c r="AF34">
        <f>IF(AC34=0,0,MIN(AD34,MAX(IF(MOD(AC34,2)=0,AC34/2,IF(AD34&gt;=AE34,(AC34+1)/2,(AC34-1)/2)),AC34-AE34)))</f>
        <v/>
      </c>
      <c r="AG34">
        <f>AC34-AF34</f>
        <v/>
      </c>
      <c r="AH34">
        <f>AH33+AF34</f>
        <v/>
      </c>
      <c r="AI34">
        <f>AI33+AG34</f>
        <v/>
      </c>
      <c r="AK34">
        <f>IF(J34="","",IF(J34="男赤",COUNTIF($Y$2:$Y$51,"&lt;"&amp;K34),IF(J34="男白",COUNTIF($Z$2:$Z$51,"&lt;"&amp;K34),IF(J34="女赤",COUNTIF($AH$2:$AH$51,"&lt;"&amp;K34),COUNTIF($AI$2:$AI$51,"&lt;"&amp;K34))))+1)</f>
        <v/>
      </c>
      <c r="AL34">
        <f>IF(AK34="","",IF(AK34=1,0,IF(J34="男赤",INDEX($Y$2:$Y$51,AK34-1),IF(J34="男白",INDEX($Z$2:$Z$51,AK34-1),IF(J34="女赤",INDEX($AH$2:$AH$51,AK34-1),INDEX($AI$2:$AI$51,AK34-1))))))</f>
        <v/>
      </c>
      <c r="AM34">
        <f>IF(AK34="","",IF(RIGHT(J34,1)="赤",K34-AL34,IF(LEFT(J34,1)="男",INDEX($W$2:$W$51,AK34),INDEX($AF$2:$AF$51,AK34))+K34-AL34))</f>
        <v/>
      </c>
      <c r="AN34">
        <f>IF(AK34="","",F34&amp;AK34&amp;"-"&amp;AM34)</f>
        <v/>
      </c>
    </row>
    <row r="35">
      <c r="A35" s="21">
        <f>ROW()-1</f>
        <v/>
      </c>
      <c r="B35" s="21">
        <f>INT((A35-1)/37)+1</f>
        <v/>
      </c>
      <c r="C35" s="21">
        <f>MOD(A35-1,37)+1</f>
        <v/>
      </c>
      <c r="D35" s="21">
        <f>INDEX(①データ入力!$B$3:$Y$39,C35,(B35-1)*5+1)&amp;""</f>
        <v/>
      </c>
      <c r="E35" s="21">
        <f>INDEX(①データ入力!$B$3:$Y$39,C35,(B35-1)*5+2)&amp;""</f>
        <v/>
      </c>
      <c r="F35" s="21">
        <f>IF(OR(E35="1",E35="１",E35="男"),"男",IF(OR(E35="2",E35="２",E35="女"),"女",""))</f>
        <v/>
      </c>
      <c r="G35" s="21">
        <f>INDEX(①データ入力!$B$3:$Y$39,C35,(B35-1)*5+3)</f>
        <v/>
      </c>
      <c r="H35" s="21">
        <f>INDEX(①データ入力!$B$3:$Y$39,C35,(B35-1)*5+4)&amp;""</f>
        <v/>
      </c>
      <c r="I35" s="21">
        <f>IF(LEFT(TRIM(H35),1)="赤","赤",IF(LEFT(TRIM(H35),1)="白","白",""))</f>
        <v/>
      </c>
      <c r="J35" s="21">
        <f>IF(AND(D35&lt;&gt;"",F35&lt;&gt;"",I35&lt;&gt;"",ISNUMBER(G35)),F35&amp;I35,"")</f>
        <v/>
      </c>
      <c r="K35" s="21">
        <f>IF(J35="","",COUNTIFS($J$2:$J$186,J35,$G$2:$G$186,"&lt;"&amp;G35)+COUNTIFS($J$2:$J$186,J35,$G$2:$G$186,G35,$A$2:$A$186,"&lt;"&amp;A35)+1)</f>
        <v/>
      </c>
      <c r="L35" s="21">
        <f>IF(J35="","",J35&amp;K35)</f>
        <v/>
      </c>
      <c r="M35" s="21">
        <f>B35&amp;"組"</f>
        <v/>
      </c>
      <c r="N35" s="21">
        <f>IF(AND(D35&lt;&gt;"",J35=""),1,0)</f>
        <v/>
      </c>
      <c r="S35" t="n">
        <v>34</v>
      </c>
      <c r="T35">
        <f>IF(OR($Q$9=0,S35&gt;$Q$9),0,INT($Q$8/$Q$9)+IF(S35&lt;=MOD($Q$8,$Q$9),1,0))</f>
        <v/>
      </c>
      <c r="U35">
        <f>$Q$2-Y34</f>
        <v/>
      </c>
      <c r="V35">
        <f>$Q$3-Z34</f>
        <v/>
      </c>
      <c r="W35">
        <f>IF(T35=0,0,MIN(U35,MAX(IF(MOD(T35,2)=0,T35/2,IF(U35&gt;=V35,(T35+1)/2,(T35-1)/2)),T35-V35)))</f>
        <v/>
      </c>
      <c r="X35">
        <f>T35-W35</f>
        <v/>
      </c>
      <c r="Y35">
        <f>Y34+W35</f>
        <v/>
      </c>
      <c r="Z35">
        <f>Z34+X35</f>
        <v/>
      </c>
      <c r="AB35" t="n">
        <v>34</v>
      </c>
      <c r="AC35">
        <f>IF(OR($Q$11=0,AB35&gt;$Q$11),0,INT($Q$10/$Q$11)+IF(AB35&lt;=MOD($Q$10,$Q$11),1,0))</f>
        <v/>
      </c>
      <c r="AD35">
        <f>$Q$4-AH34</f>
        <v/>
      </c>
      <c r="AE35">
        <f>$Q$5-AI34</f>
        <v/>
      </c>
      <c r="AF35">
        <f>IF(AC35=0,0,MIN(AD35,MAX(IF(MOD(AC35,2)=0,AC35/2,IF(AD35&gt;=AE35,(AC35+1)/2,(AC35-1)/2)),AC35-AE35)))</f>
        <v/>
      </c>
      <c r="AG35">
        <f>AC35-AF35</f>
        <v/>
      </c>
      <c r="AH35">
        <f>AH34+AF35</f>
        <v/>
      </c>
      <c r="AI35">
        <f>AI34+AG35</f>
        <v/>
      </c>
      <c r="AK35">
        <f>IF(J35="","",IF(J35="男赤",COUNTIF($Y$2:$Y$51,"&lt;"&amp;K35),IF(J35="男白",COUNTIF($Z$2:$Z$51,"&lt;"&amp;K35),IF(J35="女赤",COUNTIF($AH$2:$AH$51,"&lt;"&amp;K35),COUNTIF($AI$2:$AI$51,"&lt;"&amp;K35))))+1)</f>
        <v/>
      </c>
      <c r="AL35">
        <f>IF(AK35="","",IF(AK35=1,0,IF(J35="男赤",INDEX($Y$2:$Y$51,AK35-1),IF(J35="男白",INDEX($Z$2:$Z$51,AK35-1),IF(J35="女赤",INDEX($AH$2:$AH$51,AK35-1),INDEX($AI$2:$AI$51,AK35-1))))))</f>
        <v/>
      </c>
      <c r="AM35">
        <f>IF(AK35="","",IF(RIGHT(J35,1)="赤",K35-AL35,IF(LEFT(J35,1)="男",INDEX($W$2:$W$51,AK35),INDEX($AF$2:$AF$51,AK35))+K35-AL35))</f>
        <v/>
      </c>
      <c r="AN35">
        <f>IF(AK35="","",F35&amp;AK35&amp;"-"&amp;AM35)</f>
        <v/>
      </c>
    </row>
    <row r="36">
      <c r="A36" s="21">
        <f>ROW()-1</f>
        <v/>
      </c>
      <c r="B36" s="21">
        <f>INT((A36-1)/37)+1</f>
        <v/>
      </c>
      <c r="C36" s="21">
        <f>MOD(A36-1,37)+1</f>
        <v/>
      </c>
      <c r="D36" s="21">
        <f>INDEX(①データ入力!$B$3:$Y$39,C36,(B36-1)*5+1)&amp;""</f>
        <v/>
      </c>
      <c r="E36" s="21">
        <f>INDEX(①データ入力!$B$3:$Y$39,C36,(B36-1)*5+2)&amp;""</f>
        <v/>
      </c>
      <c r="F36" s="21">
        <f>IF(OR(E36="1",E36="１",E36="男"),"男",IF(OR(E36="2",E36="２",E36="女"),"女",""))</f>
        <v/>
      </c>
      <c r="G36" s="21">
        <f>INDEX(①データ入力!$B$3:$Y$39,C36,(B36-1)*5+3)</f>
        <v/>
      </c>
      <c r="H36" s="21">
        <f>INDEX(①データ入力!$B$3:$Y$39,C36,(B36-1)*5+4)&amp;""</f>
        <v/>
      </c>
      <c r="I36" s="21">
        <f>IF(LEFT(TRIM(H36),1)="赤","赤",IF(LEFT(TRIM(H36),1)="白","白",""))</f>
        <v/>
      </c>
      <c r="J36" s="21">
        <f>IF(AND(D36&lt;&gt;"",F36&lt;&gt;"",I36&lt;&gt;"",ISNUMBER(G36)),F36&amp;I36,"")</f>
        <v/>
      </c>
      <c r="K36" s="21">
        <f>IF(J36="","",COUNTIFS($J$2:$J$186,J36,$G$2:$G$186,"&lt;"&amp;G36)+COUNTIFS($J$2:$J$186,J36,$G$2:$G$186,G36,$A$2:$A$186,"&lt;"&amp;A36)+1)</f>
        <v/>
      </c>
      <c r="L36" s="21">
        <f>IF(J36="","",J36&amp;K36)</f>
        <v/>
      </c>
      <c r="M36" s="21">
        <f>B36&amp;"組"</f>
        <v/>
      </c>
      <c r="N36" s="21">
        <f>IF(AND(D36&lt;&gt;"",J36=""),1,0)</f>
        <v/>
      </c>
      <c r="S36" t="n">
        <v>35</v>
      </c>
      <c r="T36">
        <f>IF(OR($Q$9=0,S36&gt;$Q$9),0,INT($Q$8/$Q$9)+IF(S36&lt;=MOD($Q$8,$Q$9),1,0))</f>
        <v/>
      </c>
      <c r="U36">
        <f>$Q$2-Y35</f>
        <v/>
      </c>
      <c r="V36">
        <f>$Q$3-Z35</f>
        <v/>
      </c>
      <c r="W36">
        <f>IF(T36=0,0,MIN(U36,MAX(IF(MOD(T36,2)=0,T36/2,IF(U36&gt;=V36,(T36+1)/2,(T36-1)/2)),T36-V36)))</f>
        <v/>
      </c>
      <c r="X36">
        <f>T36-W36</f>
        <v/>
      </c>
      <c r="Y36">
        <f>Y35+W36</f>
        <v/>
      </c>
      <c r="Z36">
        <f>Z35+X36</f>
        <v/>
      </c>
      <c r="AB36" t="n">
        <v>35</v>
      </c>
      <c r="AC36">
        <f>IF(OR($Q$11=0,AB36&gt;$Q$11),0,INT($Q$10/$Q$11)+IF(AB36&lt;=MOD($Q$10,$Q$11),1,0))</f>
        <v/>
      </c>
      <c r="AD36">
        <f>$Q$4-AH35</f>
        <v/>
      </c>
      <c r="AE36">
        <f>$Q$5-AI35</f>
        <v/>
      </c>
      <c r="AF36">
        <f>IF(AC36=0,0,MIN(AD36,MAX(IF(MOD(AC36,2)=0,AC36/2,IF(AD36&gt;=AE36,(AC36+1)/2,(AC36-1)/2)),AC36-AE36)))</f>
        <v/>
      </c>
      <c r="AG36">
        <f>AC36-AF36</f>
        <v/>
      </c>
      <c r="AH36">
        <f>AH35+AF36</f>
        <v/>
      </c>
      <c r="AI36">
        <f>AI35+AG36</f>
        <v/>
      </c>
      <c r="AK36">
        <f>IF(J36="","",IF(J36="男赤",COUNTIF($Y$2:$Y$51,"&lt;"&amp;K36),IF(J36="男白",COUNTIF($Z$2:$Z$51,"&lt;"&amp;K36),IF(J36="女赤",COUNTIF($AH$2:$AH$51,"&lt;"&amp;K36),COUNTIF($AI$2:$AI$51,"&lt;"&amp;K36))))+1)</f>
        <v/>
      </c>
      <c r="AL36">
        <f>IF(AK36="","",IF(AK36=1,0,IF(J36="男赤",INDEX($Y$2:$Y$51,AK36-1),IF(J36="男白",INDEX($Z$2:$Z$51,AK36-1),IF(J36="女赤",INDEX($AH$2:$AH$51,AK36-1),INDEX($AI$2:$AI$51,AK36-1))))))</f>
        <v/>
      </c>
      <c r="AM36">
        <f>IF(AK36="","",IF(RIGHT(J36,1)="赤",K36-AL36,IF(LEFT(J36,1)="男",INDEX($W$2:$W$51,AK36),INDEX($AF$2:$AF$51,AK36))+K36-AL36))</f>
        <v/>
      </c>
      <c r="AN36">
        <f>IF(AK36="","",F36&amp;AK36&amp;"-"&amp;AM36)</f>
        <v/>
      </c>
    </row>
    <row r="37">
      <c r="A37" s="21">
        <f>ROW()-1</f>
        <v/>
      </c>
      <c r="B37" s="21">
        <f>INT((A37-1)/37)+1</f>
        <v/>
      </c>
      <c r="C37" s="21">
        <f>MOD(A37-1,37)+1</f>
        <v/>
      </c>
      <c r="D37" s="21">
        <f>INDEX(①データ入力!$B$3:$Y$39,C37,(B37-1)*5+1)&amp;""</f>
        <v/>
      </c>
      <c r="E37" s="21">
        <f>INDEX(①データ入力!$B$3:$Y$39,C37,(B37-1)*5+2)&amp;""</f>
        <v/>
      </c>
      <c r="F37" s="21">
        <f>IF(OR(E37="1",E37="１",E37="男"),"男",IF(OR(E37="2",E37="２",E37="女"),"女",""))</f>
        <v/>
      </c>
      <c r="G37" s="21">
        <f>INDEX(①データ入力!$B$3:$Y$39,C37,(B37-1)*5+3)</f>
        <v/>
      </c>
      <c r="H37" s="21">
        <f>INDEX(①データ入力!$B$3:$Y$39,C37,(B37-1)*5+4)&amp;""</f>
        <v/>
      </c>
      <c r="I37" s="21">
        <f>IF(LEFT(TRIM(H37),1)="赤","赤",IF(LEFT(TRIM(H37),1)="白","白",""))</f>
        <v/>
      </c>
      <c r="J37" s="21">
        <f>IF(AND(D37&lt;&gt;"",F37&lt;&gt;"",I37&lt;&gt;"",ISNUMBER(G37)),F37&amp;I37,"")</f>
        <v/>
      </c>
      <c r="K37" s="21">
        <f>IF(J37="","",COUNTIFS($J$2:$J$186,J37,$G$2:$G$186,"&lt;"&amp;G37)+COUNTIFS($J$2:$J$186,J37,$G$2:$G$186,G37,$A$2:$A$186,"&lt;"&amp;A37)+1)</f>
        <v/>
      </c>
      <c r="L37" s="21">
        <f>IF(J37="","",J37&amp;K37)</f>
        <v/>
      </c>
      <c r="M37" s="21">
        <f>B37&amp;"組"</f>
        <v/>
      </c>
      <c r="N37" s="21">
        <f>IF(AND(D37&lt;&gt;"",J37=""),1,0)</f>
        <v/>
      </c>
      <c r="S37" t="n">
        <v>36</v>
      </c>
      <c r="T37">
        <f>IF(OR($Q$9=0,S37&gt;$Q$9),0,INT($Q$8/$Q$9)+IF(S37&lt;=MOD($Q$8,$Q$9),1,0))</f>
        <v/>
      </c>
      <c r="U37">
        <f>$Q$2-Y36</f>
        <v/>
      </c>
      <c r="V37">
        <f>$Q$3-Z36</f>
        <v/>
      </c>
      <c r="W37">
        <f>IF(T37=0,0,MIN(U37,MAX(IF(MOD(T37,2)=0,T37/2,IF(U37&gt;=V37,(T37+1)/2,(T37-1)/2)),T37-V37)))</f>
        <v/>
      </c>
      <c r="X37">
        <f>T37-W37</f>
        <v/>
      </c>
      <c r="Y37">
        <f>Y36+W37</f>
        <v/>
      </c>
      <c r="Z37">
        <f>Z36+X37</f>
        <v/>
      </c>
      <c r="AB37" t="n">
        <v>36</v>
      </c>
      <c r="AC37">
        <f>IF(OR($Q$11=0,AB37&gt;$Q$11),0,INT($Q$10/$Q$11)+IF(AB37&lt;=MOD($Q$10,$Q$11),1,0))</f>
        <v/>
      </c>
      <c r="AD37">
        <f>$Q$4-AH36</f>
        <v/>
      </c>
      <c r="AE37">
        <f>$Q$5-AI36</f>
        <v/>
      </c>
      <c r="AF37">
        <f>IF(AC37=0,0,MIN(AD37,MAX(IF(MOD(AC37,2)=0,AC37/2,IF(AD37&gt;=AE37,(AC37+1)/2,(AC37-1)/2)),AC37-AE37)))</f>
        <v/>
      </c>
      <c r="AG37">
        <f>AC37-AF37</f>
        <v/>
      </c>
      <c r="AH37">
        <f>AH36+AF37</f>
        <v/>
      </c>
      <c r="AI37">
        <f>AI36+AG37</f>
        <v/>
      </c>
      <c r="AK37">
        <f>IF(J37="","",IF(J37="男赤",COUNTIF($Y$2:$Y$51,"&lt;"&amp;K37),IF(J37="男白",COUNTIF($Z$2:$Z$51,"&lt;"&amp;K37),IF(J37="女赤",COUNTIF($AH$2:$AH$51,"&lt;"&amp;K37),COUNTIF($AI$2:$AI$51,"&lt;"&amp;K37))))+1)</f>
        <v/>
      </c>
      <c r="AL37">
        <f>IF(AK37="","",IF(AK37=1,0,IF(J37="男赤",INDEX($Y$2:$Y$51,AK37-1),IF(J37="男白",INDEX($Z$2:$Z$51,AK37-1),IF(J37="女赤",INDEX($AH$2:$AH$51,AK37-1),INDEX($AI$2:$AI$51,AK37-1))))))</f>
        <v/>
      </c>
      <c r="AM37">
        <f>IF(AK37="","",IF(RIGHT(J37,1)="赤",K37-AL37,IF(LEFT(J37,1)="男",INDEX($W$2:$W$51,AK37),INDEX($AF$2:$AF$51,AK37))+K37-AL37))</f>
        <v/>
      </c>
      <c r="AN37">
        <f>IF(AK37="","",F37&amp;AK37&amp;"-"&amp;AM37)</f>
        <v/>
      </c>
    </row>
    <row r="38">
      <c r="A38" s="21">
        <f>ROW()-1</f>
        <v/>
      </c>
      <c r="B38" s="21">
        <f>INT((A38-1)/37)+1</f>
        <v/>
      </c>
      <c r="C38" s="21">
        <f>MOD(A38-1,37)+1</f>
        <v/>
      </c>
      <c r="D38" s="21">
        <f>INDEX(①データ入力!$B$3:$Y$39,C38,(B38-1)*5+1)&amp;""</f>
        <v/>
      </c>
      <c r="E38" s="21">
        <f>INDEX(①データ入力!$B$3:$Y$39,C38,(B38-1)*5+2)&amp;""</f>
        <v/>
      </c>
      <c r="F38" s="21">
        <f>IF(OR(E38="1",E38="１",E38="男"),"男",IF(OR(E38="2",E38="２",E38="女"),"女",""))</f>
        <v/>
      </c>
      <c r="G38" s="21">
        <f>INDEX(①データ入力!$B$3:$Y$39,C38,(B38-1)*5+3)</f>
        <v/>
      </c>
      <c r="H38" s="21">
        <f>INDEX(①データ入力!$B$3:$Y$39,C38,(B38-1)*5+4)&amp;""</f>
        <v/>
      </c>
      <c r="I38" s="21">
        <f>IF(LEFT(TRIM(H38),1)="赤","赤",IF(LEFT(TRIM(H38),1)="白","白",""))</f>
        <v/>
      </c>
      <c r="J38" s="21">
        <f>IF(AND(D38&lt;&gt;"",F38&lt;&gt;"",I38&lt;&gt;"",ISNUMBER(G38)),F38&amp;I38,"")</f>
        <v/>
      </c>
      <c r="K38" s="21">
        <f>IF(J38="","",COUNTIFS($J$2:$J$186,J38,$G$2:$G$186,"&lt;"&amp;G38)+COUNTIFS($J$2:$J$186,J38,$G$2:$G$186,G38,$A$2:$A$186,"&lt;"&amp;A38)+1)</f>
        <v/>
      </c>
      <c r="L38" s="21">
        <f>IF(J38="","",J38&amp;K38)</f>
        <v/>
      </c>
      <c r="M38" s="21">
        <f>B38&amp;"組"</f>
        <v/>
      </c>
      <c r="N38" s="21">
        <f>IF(AND(D38&lt;&gt;"",J38=""),1,0)</f>
        <v/>
      </c>
      <c r="S38" t="n">
        <v>37</v>
      </c>
      <c r="T38">
        <f>IF(OR($Q$9=0,S38&gt;$Q$9),0,INT($Q$8/$Q$9)+IF(S38&lt;=MOD($Q$8,$Q$9),1,0))</f>
        <v/>
      </c>
      <c r="U38">
        <f>$Q$2-Y37</f>
        <v/>
      </c>
      <c r="V38">
        <f>$Q$3-Z37</f>
        <v/>
      </c>
      <c r="W38">
        <f>IF(T38=0,0,MIN(U38,MAX(IF(MOD(T38,2)=0,T38/2,IF(U38&gt;=V38,(T38+1)/2,(T38-1)/2)),T38-V38)))</f>
        <v/>
      </c>
      <c r="X38">
        <f>T38-W38</f>
        <v/>
      </c>
      <c r="Y38">
        <f>Y37+W38</f>
        <v/>
      </c>
      <c r="Z38">
        <f>Z37+X38</f>
        <v/>
      </c>
      <c r="AB38" t="n">
        <v>37</v>
      </c>
      <c r="AC38">
        <f>IF(OR($Q$11=0,AB38&gt;$Q$11),0,INT($Q$10/$Q$11)+IF(AB38&lt;=MOD($Q$10,$Q$11),1,0))</f>
        <v/>
      </c>
      <c r="AD38">
        <f>$Q$4-AH37</f>
        <v/>
      </c>
      <c r="AE38">
        <f>$Q$5-AI37</f>
        <v/>
      </c>
      <c r="AF38">
        <f>IF(AC38=0,0,MIN(AD38,MAX(IF(MOD(AC38,2)=0,AC38/2,IF(AD38&gt;=AE38,(AC38+1)/2,(AC38-1)/2)),AC38-AE38)))</f>
        <v/>
      </c>
      <c r="AG38">
        <f>AC38-AF38</f>
        <v/>
      </c>
      <c r="AH38">
        <f>AH37+AF38</f>
        <v/>
      </c>
      <c r="AI38">
        <f>AI37+AG38</f>
        <v/>
      </c>
      <c r="AK38">
        <f>IF(J38="","",IF(J38="男赤",COUNTIF($Y$2:$Y$51,"&lt;"&amp;K38),IF(J38="男白",COUNTIF($Z$2:$Z$51,"&lt;"&amp;K38),IF(J38="女赤",COUNTIF($AH$2:$AH$51,"&lt;"&amp;K38),COUNTIF($AI$2:$AI$51,"&lt;"&amp;K38))))+1)</f>
        <v/>
      </c>
      <c r="AL38">
        <f>IF(AK38="","",IF(AK38=1,0,IF(J38="男赤",INDEX($Y$2:$Y$51,AK38-1),IF(J38="男白",INDEX($Z$2:$Z$51,AK38-1),IF(J38="女赤",INDEX($AH$2:$AH$51,AK38-1),INDEX($AI$2:$AI$51,AK38-1))))))</f>
        <v/>
      </c>
      <c r="AM38">
        <f>IF(AK38="","",IF(RIGHT(J38,1)="赤",K38-AL38,IF(LEFT(J38,1)="男",INDEX($W$2:$W$51,AK38),INDEX($AF$2:$AF$51,AK38))+K38-AL38))</f>
        <v/>
      </c>
      <c r="AN38">
        <f>IF(AK38="","",F38&amp;AK38&amp;"-"&amp;AM38)</f>
        <v/>
      </c>
    </row>
    <row r="39">
      <c r="A39" s="21">
        <f>ROW()-1</f>
        <v/>
      </c>
      <c r="B39" s="21">
        <f>INT((A39-1)/37)+1</f>
        <v/>
      </c>
      <c r="C39" s="21">
        <f>MOD(A39-1,37)+1</f>
        <v/>
      </c>
      <c r="D39" s="21">
        <f>INDEX(①データ入力!$B$3:$Y$39,C39,(B39-1)*5+1)&amp;""</f>
        <v/>
      </c>
      <c r="E39" s="21">
        <f>INDEX(①データ入力!$B$3:$Y$39,C39,(B39-1)*5+2)&amp;""</f>
        <v/>
      </c>
      <c r="F39" s="21">
        <f>IF(OR(E39="1",E39="１",E39="男"),"男",IF(OR(E39="2",E39="２",E39="女"),"女",""))</f>
        <v/>
      </c>
      <c r="G39" s="21">
        <f>INDEX(①データ入力!$B$3:$Y$39,C39,(B39-1)*5+3)</f>
        <v/>
      </c>
      <c r="H39" s="21">
        <f>INDEX(①データ入力!$B$3:$Y$39,C39,(B39-1)*5+4)&amp;""</f>
        <v/>
      </c>
      <c r="I39" s="21">
        <f>IF(LEFT(TRIM(H39),1)="赤","赤",IF(LEFT(TRIM(H39),1)="白","白",""))</f>
        <v/>
      </c>
      <c r="J39" s="21">
        <f>IF(AND(D39&lt;&gt;"",F39&lt;&gt;"",I39&lt;&gt;"",ISNUMBER(G39)),F39&amp;I39,"")</f>
        <v/>
      </c>
      <c r="K39" s="21">
        <f>IF(J39="","",COUNTIFS($J$2:$J$186,J39,$G$2:$G$186,"&lt;"&amp;G39)+COUNTIFS($J$2:$J$186,J39,$G$2:$G$186,G39,$A$2:$A$186,"&lt;"&amp;A39)+1)</f>
        <v/>
      </c>
      <c r="L39" s="21">
        <f>IF(J39="","",J39&amp;K39)</f>
        <v/>
      </c>
      <c r="M39" s="21">
        <f>B39&amp;"組"</f>
        <v/>
      </c>
      <c r="N39" s="21">
        <f>IF(AND(D39&lt;&gt;"",J39=""),1,0)</f>
        <v/>
      </c>
      <c r="S39" t="n">
        <v>38</v>
      </c>
      <c r="T39">
        <f>IF(OR($Q$9=0,S39&gt;$Q$9),0,INT($Q$8/$Q$9)+IF(S39&lt;=MOD($Q$8,$Q$9),1,0))</f>
        <v/>
      </c>
      <c r="U39">
        <f>$Q$2-Y38</f>
        <v/>
      </c>
      <c r="V39">
        <f>$Q$3-Z38</f>
        <v/>
      </c>
      <c r="W39">
        <f>IF(T39=0,0,MIN(U39,MAX(IF(MOD(T39,2)=0,T39/2,IF(U39&gt;=V39,(T39+1)/2,(T39-1)/2)),T39-V39)))</f>
        <v/>
      </c>
      <c r="X39">
        <f>T39-W39</f>
        <v/>
      </c>
      <c r="Y39">
        <f>Y38+W39</f>
        <v/>
      </c>
      <c r="Z39">
        <f>Z38+X39</f>
        <v/>
      </c>
      <c r="AB39" t="n">
        <v>38</v>
      </c>
      <c r="AC39">
        <f>IF(OR($Q$11=0,AB39&gt;$Q$11),0,INT($Q$10/$Q$11)+IF(AB39&lt;=MOD($Q$10,$Q$11),1,0))</f>
        <v/>
      </c>
      <c r="AD39">
        <f>$Q$4-AH38</f>
        <v/>
      </c>
      <c r="AE39">
        <f>$Q$5-AI38</f>
        <v/>
      </c>
      <c r="AF39">
        <f>IF(AC39=0,0,MIN(AD39,MAX(IF(MOD(AC39,2)=0,AC39/2,IF(AD39&gt;=AE39,(AC39+1)/2,(AC39-1)/2)),AC39-AE39)))</f>
        <v/>
      </c>
      <c r="AG39">
        <f>AC39-AF39</f>
        <v/>
      </c>
      <c r="AH39">
        <f>AH38+AF39</f>
        <v/>
      </c>
      <c r="AI39">
        <f>AI38+AG39</f>
        <v/>
      </c>
      <c r="AK39">
        <f>IF(J39="","",IF(J39="男赤",COUNTIF($Y$2:$Y$51,"&lt;"&amp;K39),IF(J39="男白",COUNTIF($Z$2:$Z$51,"&lt;"&amp;K39),IF(J39="女赤",COUNTIF($AH$2:$AH$51,"&lt;"&amp;K39),COUNTIF($AI$2:$AI$51,"&lt;"&amp;K39))))+1)</f>
        <v/>
      </c>
      <c r="AL39">
        <f>IF(AK39="","",IF(AK39=1,0,IF(J39="男赤",INDEX($Y$2:$Y$51,AK39-1),IF(J39="男白",INDEX($Z$2:$Z$51,AK39-1),IF(J39="女赤",INDEX($AH$2:$AH$51,AK39-1),INDEX($AI$2:$AI$51,AK39-1))))))</f>
        <v/>
      </c>
      <c r="AM39">
        <f>IF(AK39="","",IF(RIGHT(J39,1)="赤",K39-AL39,IF(LEFT(J39,1)="男",INDEX($W$2:$W$51,AK39),INDEX($AF$2:$AF$51,AK39))+K39-AL39))</f>
        <v/>
      </c>
      <c r="AN39">
        <f>IF(AK39="","",F39&amp;AK39&amp;"-"&amp;AM39)</f>
        <v/>
      </c>
    </row>
    <row r="40">
      <c r="A40" s="21">
        <f>ROW()-1</f>
        <v/>
      </c>
      <c r="B40" s="21">
        <f>INT((A40-1)/37)+1</f>
        <v/>
      </c>
      <c r="C40" s="21">
        <f>MOD(A40-1,37)+1</f>
        <v/>
      </c>
      <c r="D40" s="21">
        <f>INDEX(①データ入力!$B$3:$Y$39,C40,(B40-1)*5+1)&amp;""</f>
        <v/>
      </c>
      <c r="E40" s="21">
        <f>INDEX(①データ入力!$B$3:$Y$39,C40,(B40-1)*5+2)&amp;""</f>
        <v/>
      </c>
      <c r="F40" s="21">
        <f>IF(OR(E40="1",E40="１",E40="男"),"男",IF(OR(E40="2",E40="２",E40="女"),"女",""))</f>
        <v/>
      </c>
      <c r="G40" s="21">
        <f>INDEX(①データ入力!$B$3:$Y$39,C40,(B40-1)*5+3)</f>
        <v/>
      </c>
      <c r="H40" s="21">
        <f>INDEX(①データ入力!$B$3:$Y$39,C40,(B40-1)*5+4)&amp;""</f>
        <v/>
      </c>
      <c r="I40" s="21">
        <f>IF(LEFT(TRIM(H40),1)="赤","赤",IF(LEFT(TRIM(H40),1)="白","白",""))</f>
        <v/>
      </c>
      <c r="J40" s="21">
        <f>IF(AND(D40&lt;&gt;"",F40&lt;&gt;"",I40&lt;&gt;"",ISNUMBER(G40)),F40&amp;I40,"")</f>
        <v/>
      </c>
      <c r="K40" s="21">
        <f>IF(J40="","",COUNTIFS($J$2:$J$186,J40,$G$2:$G$186,"&lt;"&amp;G40)+COUNTIFS($J$2:$J$186,J40,$G$2:$G$186,G40,$A$2:$A$186,"&lt;"&amp;A40)+1)</f>
        <v/>
      </c>
      <c r="L40" s="21">
        <f>IF(J40="","",J40&amp;K40)</f>
        <v/>
      </c>
      <c r="M40" s="21">
        <f>B40&amp;"組"</f>
        <v/>
      </c>
      <c r="N40" s="21">
        <f>IF(AND(D40&lt;&gt;"",J40=""),1,0)</f>
        <v/>
      </c>
      <c r="S40" t="n">
        <v>39</v>
      </c>
      <c r="T40">
        <f>IF(OR($Q$9=0,S40&gt;$Q$9),0,INT($Q$8/$Q$9)+IF(S40&lt;=MOD($Q$8,$Q$9),1,0))</f>
        <v/>
      </c>
      <c r="U40">
        <f>$Q$2-Y39</f>
        <v/>
      </c>
      <c r="V40">
        <f>$Q$3-Z39</f>
        <v/>
      </c>
      <c r="W40">
        <f>IF(T40=0,0,MIN(U40,MAX(IF(MOD(T40,2)=0,T40/2,IF(U40&gt;=V40,(T40+1)/2,(T40-1)/2)),T40-V40)))</f>
        <v/>
      </c>
      <c r="X40">
        <f>T40-W40</f>
        <v/>
      </c>
      <c r="Y40">
        <f>Y39+W40</f>
        <v/>
      </c>
      <c r="Z40">
        <f>Z39+X40</f>
        <v/>
      </c>
      <c r="AB40" t="n">
        <v>39</v>
      </c>
      <c r="AC40">
        <f>IF(OR($Q$11=0,AB40&gt;$Q$11),0,INT($Q$10/$Q$11)+IF(AB40&lt;=MOD($Q$10,$Q$11),1,0))</f>
        <v/>
      </c>
      <c r="AD40">
        <f>$Q$4-AH39</f>
        <v/>
      </c>
      <c r="AE40">
        <f>$Q$5-AI39</f>
        <v/>
      </c>
      <c r="AF40">
        <f>IF(AC40=0,0,MIN(AD40,MAX(IF(MOD(AC40,2)=0,AC40/2,IF(AD40&gt;=AE40,(AC40+1)/2,(AC40-1)/2)),AC40-AE40)))</f>
        <v/>
      </c>
      <c r="AG40">
        <f>AC40-AF40</f>
        <v/>
      </c>
      <c r="AH40">
        <f>AH39+AF40</f>
        <v/>
      </c>
      <c r="AI40">
        <f>AI39+AG40</f>
        <v/>
      </c>
      <c r="AK40">
        <f>IF(J40="","",IF(J40="男赤",COUNTIF($Y$2:$Y$51,"&lt;"&amp;K40),IF(J40="男白",COUNTIF($Z$2:$Z$51,"&lt;"&amp;K40),IF(J40="女赤",COUNTIF($AH$2:$AH$51,"&lt;"&amp;K40),COUNTIF($AI$2:$AI$51,"&lt;"&amp;K40))))+1)</f>
        <v/>
      </c>
      <c r="AL40">
        <f>IF(AK40="","",IF(AK40=1,0,IF(J40="男赤",INDEX($Y$2:$Y$51,AK40-1),IF(J40="男白",INDEX($Z$2:$Z$51,AK40-1),IF(J40="女赤",INDEX($AH$2:$AH$51,AK40-1),INDEX($AI$2:$AI$51,AK40-1))))))</f>
        <v/>
      </c>
      <c r="AM40">
        <f>IF(AK40="","",IF(RIGHT(J40,1)="赤",K40-AL40,IF(LEFT(J40,1)="男",INDEX($W$2:$W$51,AK40),INDEX($AF$2:$AF$51,AK40))+K40-AL40))</f>
        <v/>
      </c>
      <c r="AN40">
        <f>IF(AK40="","",F40&amp;AK40&amp;"-"&amp;AM40)</f>
        <v/>
      </c>
    </row>
    <row r="41">
      <c r="A41" s="21">
        <f>ROW()-1</f>
        <v/>
      </c>
      <c r="B41" s="21">
        <f>INT((A41-1)/37)+1</f>
        <v/>
      </c>
      <c r="C41" s="21">
        <f>MOD(A41-1,37)+1</f>
        <v/>
      </c>
      <c r="D41" s="21">
        <f>INDEX(①データ入力!$B$3:$Y$39,C41,(B41-1)*5+1)&amp;""</f>
        <v/>
      </c>
      <c r="E41" s="21">
        <f>INDEX(①データ入力!$B$3:$Y$39,C41,(B41-1)*5+2)&amp;""</f>
        <v/>
      </c>
      <c r="F41" s="21">
        <f>IF(OR(E41="1",E41="１",E41="男"),"男",IF(OR(E41="2",E41="２",E41="女"),"女",""))</f>
        <v/>
      </c>
      <c r="G41" s="21">
        <f>INDEX(①データ入力!$B$3:$Y$39,C41,(B41-1)*5+3)</f>
        <v/>
      </c>
      <c r="H41" s="21">
        <f>INDEX(①データ入力!$B$3:$Y$39,C41,(B41-1)*5+4)&amp;""</f>
        <v/>
      </c>
      <c r="I41" s="21">
        <f>IF(LEFT(TRIM(H41),1)="赤","赤",IF(LEFT(TRIM(H41),1)="白","白",""))</f>
        <v/>
      </c>
      <c r="J41" s="21">
        <f>IF(AND(D41&lt;&gt;"",F41&lt;&gt;"",I41&lt;&gt;"",ISNUMBER(G41)),F41&amp;I41,"")</f>
        <v/>
      </c>
      <c r="K41" s="21">
        <f>IF(J41="","",COUNTIFS($J$2:$J$186,J41,$G$2:$G$186,"&lt;"&amp;G41)+COUNTIFS($J$2:$J$186,J41,$G$2:$G$186,G41,$A$2:$A$186,"&lt;"&amp;A41)+1)</f>
        <v/>
      </c>
      <c r="L41" s="21">
        <f>IF(J41="","",J41&amp;K41)</f>
        <v/>
      </c>
      <c r="M41" s="21">
        <f>B41&amp;"組"</f>
        <v/>
      </c>
      <c r="N41" s="21">
        <f>IF(AND(D41&lt;&gt;"",J41=""),1,0)</f>
        <v/>
      </c>
      <c r="S41" t="n">
        <v>40</v>
      </c>
      <c r="T41">
        <f>IF(OR($Q$9=0,S41&gt;$Q$9),0,INT($Q$8/$Q$9)+IF(S41&lt;=MOD($Q$8,$Q$9),1,0))</f>
        <v/>
      </c>
      <c r="U41">
        <f>$Q$2-Y40</f>
        <v/>
      </c>
      <c r="V41">
        <f>$Q$3-Z40</f>
        <v/>
      </c>
      <c r="W41">
        <f>IF(T41=0,0,MIN(U41,MAX(IF(MOD(T41,2)=0,T41/2,IF(U41&gt;=V41,(T41+1)/2,(T41-1)/2)),T41-V41)))</f>
        <v/>
      </c>
      <c r="X41">
        <f>T41-W41</f>
        <v/>
      </c>
      <c r="Y41">
        <f>Y40+W41</f>
        <v/>
      </c>
      <c r="Z41">
        <f>Z40+X41</f>
        <v/>
      </c>
      <c r="AB41" t="n">
        <v>40</v>
      </c>
      <c r="AC41">
        <f>IF(OR($Q$11=0,AB41&gt;$Q$11),0,INT($Q$10/$Q$11)+IF(AB41&lt;=MOD($Q$10,$Q$11),1,0))</f>
        <v/>
      </c>
      <c r="AD41">
        <f>$Q$4-AH40</f>
        <v/>
      </c>
      <c r="AE41">
        <f>$Q$5-AI40</f>
        <v/>
      </c>
      <c r="AF41">
        <f>IF(AC41=0,0,MIN(AD41,MAX(IF(MOD(AC41,2)=0,AC41/2,IF(AD41&gt;=AE41,(AC41+1)/2,(AC41-1)/2)),AC41-AE41)))</f>
        <v/>
      </c>
      <c r="AG41">
        <f>AC41-AF41</f>
        <v/>
      </c>
      <c r="AH41">
        <f>AH40+AF41</f>
        <v/>
      </c>
      <c r="AI41">
        <f>AI40+AG41</f>
        <v/>
      </c>
      <c r="AK41">
        <f>IF(J41="","",IF(J41="男赤",COUNTIF($Y$2:$Y$51,"&lt;"&amp;K41),IF(J41="男白",COUNTIF($Z$2:$Z$51,"&lt;"&amp;K41),IF(J41="女赤",COUNTIF($AH$2:$AH$51,"&lt;"&amp;K41),COUNTIF($AI$2:$AI$51,"&lt;"&amp;K41))))+1)</f>
        <v/>
      </c>
      <c r="AL41">
        <f>IF(AK41="","",IF(AK41=1,0,IF(J41="男赤",INDEX($Y$2:$Y$51,AK41-1),IF(J41="男白",INDEX($Z$2:$Z$51,AK41-1),IF(J41="女赤",INDEX($AH$2:$AH$51,AK41-1),INDEX($AI$2:$AI$51,AK41-1))))))</f>
        <v/>
      </c>
      <c r="AM41">
        <f>IF(AK41="","",IF(RIGHT(J41,1)="赤",K41-AL41,IF(LEFT(J41,1)="男",INDEX($W$2:$W$51,AK41),INDEX($AF$2:$AF$51,AK41))+K41-AL41))</f>
        <v/>
      </c>
      <c r="AN41">
        <f>IF(AK41="","",F41&amp;AK41&amp;"-"&amp;AM41)</f>
        <v/>
      </c>
    </row>
    <row r="42">
      <c r="A42" s="21">
        <f>ROW()-1</f>
        <v/>
      </c>
      <c r="B42" s="21">
        <f>INT((A42-1)/37)+1</f>
        <v/>
      </c>
      <c r="C42" s="21">
        <f>MOD(A42-1,37)+1</f>
        <v/>
      </c>
      <c r="D42" s="21">
        <f>INDEX(①データ入力!$B$3:$Y$39,C42,(B42-1)*5+1)&amp;""</f>
        <v/>
      </c>
      <c r="E42" s="21">
        <f>INDEX(①データ入力!$B$3:$Y$39,C42,(B42-1)*5+2)&amp;""</f>
        <v/>
      </c>
      <c r="F42" s="21">
        <f>IF(OR(E42="1",E42="１",E42="男"),"男",IF(OR(E42="2",E42="２",E42="女"),"女",""))</f>
        <v/>
      </c>
      <c r="G42" s="21">
        <f>INDEX(①データ入力!$B$3:$Y$39,C42,(B42-1)*5+3)</f>
        <v/>
      </c>
      <c r="H42" s="21">
        <f>INDEX(①データ入力!$B$3:$Y$39,C42,(B42-1)*5+4)&amp;""</f>
        <v/>
      </c>
      <c r="I42" s="21">
        <f>IF(LEFT(TRIM(H42),1)="赤","赤",IF(LEFT(TRIM(H42),1)="白","白",""))</f>
        <v/>
      </c>
      <c r="J42" s="21">
        <f>IF(AND(D42&lt;&gt;"",F42&lt;&gt;"",I42&lt;&gt;"",ISNUMBER(G42)),F42&amp;I42,"")</f>
        <v/>
      </c>
      <c r="K42" s="21">
        <f>IF(J42="","",COUNTIFS($J$2:$J$186,J42,$G$2:$G$186,"&lt;"&amp;G42)+COUNTIFS($J$2:$J$186,J42,$G$2:$G$186,G42,$A$2:$A$186,"&lt;"&amp;A42)+1)</f>
        <v/>
      </c>
      <c r="L42" s="21">
        <f>IF(J42="","",J42&amp;K42)</f>
        <v/>
      </c>
      <c r="M42" s="21">
        <f>B42&amp;"組"</f>
        <v/>
      </c>
      <c r="N42" s="21">
        <f>IF(AND(D42&lt;&gt;"",J42=""),1,0)</f>
        <v/>
      </c>
      <c r="S42" t="n">
        <v>41</v>
      </c>
      <c r="T42">
        <f>IF(OR($Q$9=0,S42&gt;$Q$9),0,INT($Q$8/$Q$9)+IF(S42&lt;=MOD($Q$8,$Q$9),1,0))</f>
        <v/>
      </c>
      <c r="U42">
        <f>$Q$2-Y41</f>
        <v/>
      </c>
      <c r="V42">
        <f>$Q$3-Z41</f>
        <v/>
      </c>
      <c r="W42">
        <f>IF(T42=0,0,MIN(U42,MAX(IF(MOD(T42,2)=0,T42/2,IF(U42&gt;=V42,(T42+1)/2,(T42-1)/2)),T42-V42)))</f>
        <v/>
      </c>
      <c r="X42">
        <f>T42-W42</f>
        <v/>
      </c>
      <c r="Y42">
        <f>Y41+W42</f>
        <v/>
      </c>
      <c r="Z42">
        <f>Z41+X42</f>
        <v/>
      </c>
      <c r="AB42" t="n">
        <v>41</v>
      </c>
      <c r="AC42">
        <f>IF(OR($Q$11=0,AB42&gt;$Q$11),0,INT($Q$10/$Q$11)+IF(AB42&lt;=MOD($Q$10,$Q$11),1,0))</f>
        <v/>
      </c>
      <c r="AD42">
        <f>$Q$4-AH41</f>
        <v/>
      </c>
      <c r="AE42">
        <f>$Q$5-AI41</f>
        <v/>
      </c>
      <c r="AF42">
        <f>IF(AC42=0,0,MIN(AD42,MAX(IF(MOD(AC42,2)=0,AC42/2,IF(AD42&gt;=AE42,(AC42+1)/2,(AC42-1)/2)),AC42-AE42)))</f>
        <v/>
      </c>
      <c r="AG42">
        <f>AC42-AF42</f>
        <v/>
      </c>
      <c r="AH42">
        <f>AH41+AF42</f>
        <v/>
      </c>
      <c r="AI42">
        <f>AI41+AG42</f>
        <v/>
      </c>
      <c r="AK42">
        <f>IF(J42="","",IF(J42="男赤",COUNTIF($Y$2:$Y$51,"&lt;"&amp;K42),IF(J42="男白",COUNTIF($Z$2:$Z$51,"&lt;"&amp;K42),IF(J42="女赤",COUNTIF($AH$2:$AH$51,"&lt;"&amp;K42),COUNTIF($AI$2:$AI$51,"&lt;"&amp;K42))))+1)</f>
        <v/>
      </c>
      <c r="AL42">
        <f>IF(AK42="","",IF(AK42=1,0,IF(J42="男赤",INDEX($Y$2:$Y$51,AK42-1),IF(J42="男白",INDEX($Z$2:$Z$51,AK42-1),IF(J42="女赤",INDEX($AH$2:$AH$51,AK42-1),INDEX($AI$2:$AI$51,AK42-1))))))</f>
        <v/>
      </c>
      <c r="AM42">
        <f>IF(AK42="","",IF(RIGHT(J42,1)="赤",K42-AL42,IF(LEFT(J42,1)="男",INDEX($W$2:$W$51,AK42),INDEX($AF$2:$AF$51,AK42))+K42-AL42))</f>
        <v/>
      </c>
      <c r="AN42">
        <f>IF(AK42="","",F42&amp;AK42&amp;"-"&amp;AM42)</f>
        <v/>
      </c>
    </row>
    <row r="43">
      <c r="A43" s="21">
        <f>ROW()-1</f>
        <v/>
      </c>
      <c r="B43" s="21">
        <f>INT((A43-1)/37)+1</f>
        <v/>
      </c>
      <c r="C43" s="21">
        <f>MOD(A43-1,37)+1</f>
        <v/>
      </c>
      <c r="D43" s="21">
        <f>INDEX(①データ入力!$B$3:$Y$39,C43,(B43-1)*5+1)&amp;""</f>
        <v/>
      </c>
      <c r="E43" s="21">
        <f>INDEX(①データ入力!$B$3:$Y$39,C43,(B43-1)*5+2)&amp;""</f>
        <v/>
      </c>
      <c r="F43" s="21">
        <f>IF(OR(E43="1",E43="１",E43="男"),"男",IF(OR(E43="2",E43="２",E43="女"),"女",""))</f>
        <v/>
      </c>
      <c r="G43" s="21">
        <f>INDEX(①データ入力!$B$3:$Y$39,C43,(B43-1)*5+3)</f>
        <v/>
      </c>
      <c r="H43" s="21">
        <f>INDEX(①データ入力!$B$3:$Y$39,C43,(B43-1)*5+4)&amp;""</f>
        <v/>
      </c>
      <c r="I43" s="21">
        <f>IF(LEFT(TRIM(H43),1)="赤","赤",IF(LEFT(TRIM(H43),1)="白","白",""))</f>
        <v/>
      </c>
      <c r="J43" s="21">
        <f>IF(AND(D43&lt;&gt;"",F43&lt;&gt;"",I43&lt;&gt;"",ISNUMBER(G43)),F43&amp;I43,"")</f>
        <v/>
      </c>
      <c r="K43" s="21">
        <f>IF(J43="","",COUNTIFS($J$2:$J$186,J43,$G$2:$G$186,"&lt;"&amp;G43)+COUNTIFS($J$2:$J$186,J43,$G$2:$G$186,G43,$A$2:$A$186,"&lt;"&amp;A43)+1)</f>
        <v/>
      </c>
      <c r="L43" s="21">
        <f>IF(J43="","",J43&amp;K43)</f>
        <v/>
      </c>
      <c r="M43" s="21">
        <f>B43&amp;"組"</f>
        <v/>
      </c>
      <c r="N43" s="21">
        <f>IF(AND(D43&lt;&gt;"",J43=""),1,0)</f>
        <v/>
      </c>
      <c r="S43" t="n">
        <v>42</v>
      </c>
      <c r="T43">
        <f>IF(OR($Q$9=0,S43&gt;$Q$9),0,INT($Q$8/$Q$9)+IF(S43&lt;=MOD($Q$8,$Q$9),1,0))</f>
        <v/>
      </c>
      <c r="U43">
        <f>$Q$2-Y42</f>
        <v/>
      </c>
      <c r="V43">
        <f>$Q$3-Z42</f>
        <v/>
      </c>
      <c r="W43">
        <f>IF(T43=0,0,MIN(U43,MAX(IF(MOD(T43,2)=0,T43/2,IF(U43&gt;=V43,(T43+1)/2,(T43-1)/2)),T43-V43)))</f>
        <v/>
      </c>
      <c r="X43">
        <f>T43-W43</f>
        <v/>
      </c>
      <c r="Y43">
        <f>Y42+W43</f>
        <v/>
      </c>
      <c r="Z43">
        <f>Z42+X43</f>
        <v/>
      </c>
      <c r="AB43" t="n">
        <v>42</v>
      </c>
      <c r="AC43">
        <f>IF(OR($Q$11=0,AB43&gt;$Q$11),0,INT($Q$10/$Q$11)+IF(AB43&lt;=MOD($Q$10,$Q$11),1,0))</f>
        <v/>
      </c>
      <c r="AD43">
        <f>$Q$4-AH42</f>
        <v/>
      </c>
      <c r="AE43">
        <f>$Q$5-AI42</f>
        <v/>
      </c>
      <c r="AF43">
        <f>IF(AC43=0,0,MIN(AD43,MAX(IF(MOD(AC43,2)=0,AC43/2,IF(AD43&gt;=AE43,(AC43+1)/2,(AC43-1)/2)),AC43-AE43)))</f>
        <v/>
      </c>
      <c r="AG43">
        <f>AC43-AF43</f>
        <v/>
      </c>
      <c r="AH43">
        <f>AH42+AF43</f>
        <v/>
      </c>
      <c r="AI43">
        <f>AI42+AG43</f>
        <v/>
      </c>
      <c r="AK43">
        <f>IF(J43="","",IF(J43="男赤",COUNTIF($Y$2:$Y$51,"&lt;"&amp;K43),IF(J43="男白",COUNTIF($Z$2:$Z$51,"&lt;"&amp;K43),IF(J43="女赤",COUNTIF($AH$2:$AH$51,"&lt;"&amp;K43),COUNTIF($AI$2:$AI$51,"&lt;"&amp;K43))))+1)</f>
        <v/>
      </c>
      <c r="AL43">
        <f>IF(AK43="","",IF(AK43=1,0,IF(J43="男赤",INDEX($Y$2:$Y$51,AK43-1),IF(J43="男白",INDEX($Z$2:$Z$51,AK43-1),IF(J43="女赤",INDEX($AH$2:$AH$51,AK43-1),INDEX($AI$2:$AI$51,AK43-1))))))</f>
        <v/>
      </c>
      <c r="AM43">
        <f>IF(AK43="","",IF(RIGHT(J43,1)="赤",K43-AL43,IF(LEFT(J43,1)="男",INDEX($W$2:$W$51,AK43),INDEX($AF$2:$AF$51,AK43))+K43-AL43))</f>
        <v/>
      </c>
      <c r="AN43">
        <f>IF(AK43="","",F43&amp;AK43&amp;"-"&amp;AM43)</f>
        <v/>
      </c>
    </row>
    <row r="44">
      <c r="A44" s="21">
        <f>ROW()-1</f>
        <v/>
      </c>
      <c r="B44" s="21">
        <f>INT((A44-1)/37)+1</f>
        <v/>
      </c>
      <c r="C44" s="21">
        <f>MOD(A44-1,37)+1</f>
        <v/>
      </c>
      <c r="D44" s="21">
        <f>INDEX(①データ入力!$B$3:$Y$39,C44,(B44-1)*5+1)&amp;""</f>
        <v/>
      </c>
      <c r="E44" s="21">
        <f>INDEX(①データ入力!$B$3:$Y$39,C44,(B44-1)*5+2)&amp;""</f>
        <v/>
      </c>
      <c r="F44" s="21">
        <f>IF(OR(E44="1",E44="１",E44="男"),"男",IF(OR(E44="2",E44="２",E44="女"),"女",""))</f>
        <v/>
      </c>
      <c r="G44" s="21">
        <f>INDEX(①データ入力!$B$3:$Y$39,C44,(B44-1)*5+3)</f>
        <v/>
      </c>
      <c r="H44" s="21">
        <f>INDEX(①データ入力!$B$3:$Y$39,C44,(B44-1)*5+4)&amp;""</f>
        <v/>
      </c>
      <c r="I44" s="21">
        <f>IF(LEFT(TRIM(H44),1)="赤","赤",IF(LEFT(TRIM(H44),1)="白","白",""))</f>
        <v/>
      </c>
      <c r="J44" s="21">
        <f>IF(AND(D44&lt;&gt;"",F44&lt;&gt;"",I44&lt;&gt;"",ISNUMBER(G44)),F44&amp;I44,"")</f>
        <v/>
      </c>
      <c r="K44" s="21">
        <f>IF(J44="","",COUNTIFS($J$2:$J$186,J44,$G$2:$G$186,"&lt;"&amp;G44)+COUNTIFS($J$2:$J$186,J44,$G$2:$G$186,G44,$A$2:$A$186,"&lt;"&amp;A44)+1)</f>
        <v/>
      </c>
      <c r="L44" s="21">
        <f>IF(J44="","",J44&amp;K44)</f>
        <v/>
      </c>
      <c r="M44" s="21">
        <f>B44&amp;"組"</f>
        <v/>
      </c>
      <c r="N44" s="21">
        <f>IF(AND(D44&lt;&gt;"",J44=""),1,0)</f>
        <v/>
      </c>
      <c r="S44" t="n">
        <v>43</v>
      </c>
      <c r="T44">
        <f>IF(OR($Q$9=0,S44&gt;$Q$9),0,INT($Q$8/$Q$9)+IF(S44&lt;=MOD($Q$8,$Q$9),1,0))</f>
        <v/>
      </c>
      <c r="U44">
        <f>$Q$2-Y43</f>
        <v/>
      </c>
      <c r="V44">
        <f>$Q$3-Z43</f>
        <v/>
      </c>
      <c r="W44">
        <f>IF(T44=0,0,MIN(U44,MAX(IF(MOD(T44,2)=0,T44/2,IF(U44&gt;=V44,(T44+1)/2,(T44-1)/2)),T44-V44)))</f>
        <v/>
      </c>
      <c r="X44">
        <f>T44-W44</f>
        <v/>
      </c>
      <c r="Y44">
        <f>Y43+W44</f>
        <v/>
      </c>
      <c r="Z44">
        <f>Z43+X44</f>
        <v/>
      </c>
      <c r="AB44" t="n">
        <v>43</v>
      </c>
      <c r="AC44">
        <f>IF(OR($Q$11=0,AB44&gt;$Q$11),0,INT($Q$10/$Q$11)+IF(AB44&lt;=MOD($Q$10,$Q$11),1,0))</f>
        <v/>
      </c>
      <c r="AD44">
        <f>$Q$4-AH43</f>
        <v/>
      </c>
      <c r="AE44">
        <f>$Q$5-AI43</f>
        <v/>
      </c>
      <c r="AF44">
        <f>IF(AC44=0,0,MIN(AD44,MAX(IF(MOD(AC44,2)=0,AC44/2,IF(AD44&gt;=AE44,(AC44+1)/2,(AC44-1)/2)),AC44-AE44)))</f>
        <v/>
      </c>
      <c r="AG44">
        <f>AC44-AF44</f>
        <v/>
      </c>
      <c r="AH44">
        <f>AH43+AF44</f>
        <v/>
      </c>
      <c r="AI44">
        <f>AI43+AG44</f>
        <v/>
      </c>
      <c r="AK44">
        <f>IF(J44="","",IF(J44="男赤",COUNTIF($Y$2:$Y$51,"&lt;"&amp;K44),IF(J44="男白",COUNTIF($Z$2:$Z$51,"&lt;"&amp;K44),IF(J44="女赤",COUNTIF($AH$2:$AH$51,"&lt;"&amp;K44),COUNTIF($AI$2:$AI$51,"&lt;"&amp;K44))))+1)</f>
        <v/>
      </c>
      <c r="AL44">
        <f>IF(AK44="","",IF(AK44=1,0,IF(J44="男赤",INDEX($Y$2:$Y$51,AK44-1),IF(J44="男白",INDEX($Z$2:$Z$51,AK44-1),IF(J44="女赤",INDEX($AH$2:$AH$51,AK44-1),INDEX($AI$2:$AI$51,AK44-1))))))</f>
        <v/>
      </c>
      <c r="AM44">
        <f>IF(AK44="","",IF(RIGHT(J44,1)="赤",K44-AL44,IF(LEFT(J44,1)="男",INDEX($W$2:$W$51,AK44),INDEX($AF$2:$AF$51,AK44))+K44-AL44))</f>
        <v/>
      </c>
      <c r="AN44">
        <f>IF(AK44="","",F44&amp;AK44&amp;"-"&amp;AM44)</f>
        <v/>
      </c>
    </row>
    <row r="45">
      <c r="A45" s="21">
        <f>ROW()-1</f>
        <v/>
      </c>
      <c r="B45" s="21">
        <f>INT((A45-1)/37)+1</f>
        <v/>
      </c>
      <c r="C45" s="21">
        <f>MOD(A45-1,37)+1</f>
        <v/>
      </c>
      <c r="D45" s="21">
        <f>INDEX(①データ入力!$B$3:$Y$39,C45,(B45-1)*5+1)&amp;""</f>
        <v/>
      </c>
      <c r="E45" s="21">
        <f>INDEX(①データ入力!$B$3:$Y$39,C45,(B45-1)*5+2)&amp;""</f>
        <v/>
      </c>
      <c r="F45" s="21">
        <f>IF(OR(E45="1",E45="１",E45="男"),"男",IF(OR(E45="2",E45="２",E45="女"),"女",""))</f>
        <v/>
      </c>
      <c r="G45" s="21">
        <f>INDEX(①データ入力!$B$3:$Y$39,C45,(B45-1)*5+3)</f>
        <v/>
      </c>
      <c r="H45" s="21">
        <f>INDEX(①データ入力!$B$3:$Y$39,C45,(B45-1)*5+4)&amp;""</f>
        <v/>
      </c>
      <c r="I45" s="21">
        <f>IF(LEFT(TRIM(H45),1)="赤","赤",IF(LEFT(TRIM(H45),1)="白","白",""))</f>
        <v/>
      </c>
      <c r="J45" s="21">
        <f>IF(AND(D45&lt;&gt;"",F45&lt;&gt;"",I45&lt;&gt;"",ISNUMBER(G45)),F45&amp;I45,"")</f>
        <v/>
      </c>
      <c r="K45" s="21">
        <f>IF(J45="","",COUNTIFS($J$2:$J$186,J45,$G$2:$G$186,"&lt;"&amp;G45)+COUNTIFS($J$2:$J$186,J45,$G$2:$G$186,G45,$A$2:$A$186,"&lt;"&amp;A45)+1)</f>
        <v/>
      </c>
      <c r="L45" s="21">
        <f>IF(J45="","",J45&amp;K45)</f>
        <v/>
      </c>
      <c r="M45" s="21">
        <f>B45&amp;"組"</f>
        <v/>
      </c>
      <c r="N45" s="21">
        <f>IF(AND(D45&lt;&gt;"",J45=""),1,0)</f>
        <v/>
      </c>
      <c r="S45" t="n">
        <v>44</v>
      </c>
      <c r="T45">
        <f>IF(OR($Q$9=0,S45&gt;$Q$9),0,INT($Q$8/$Q$9)+IF(S45&lt;=MOD($Q$8,$Q$9),1,0))</f>
        <v/>
      </c>
      <c r="U45">
        <f>$Q$2-Y44</f>
        <v/>
      </c>
      <c r="V45">
        <f>$Q$3-Z44</f>
        <v/>
      </c>
      <c r="W45">
        <f>IF(T45=0,0,MIN(U45,MAX(IF(MOD(T45,2)=0,T45/2,IF(U45&gt;=V45,(T45+1)/2,(T45-1)/2)),T45-V45)))</f>
        <v/>
      </c>
      <c r="X45">
        <f>T45-W45</f>
        <v/>
      </c>
      <c r="Y45">
        <f>Y44+W45</f>
        <v/>
      </c>
      <c r="Z45">
        <f>Z44+X45</f>
        <v/>
      </c>
      <c r="AB45" t="n">
        <v>44</v>
      </c>
      <c r="AC45">
        <f>IF(OR($Q$11=0,AB45&gt;$Q$11),0,INT($Q$10/$Q$11)+IF(AB45&lt;=MOD($Q$10,$Q$11),1,0))</f>
        <v/>
      </c>
      <c r="AD45">
        <f>$Q$4-AH44</f>
        <v/>
      </c>
      <c r="AE45">
        <f>$Q$5-AI44</f>
        <v/>
      </c>
      <c r="AF45">
        <f>IF(AC45=0,0,MIN(AD45,MAX(IF(MOD(AC45,2)=0,AC45/2,IF(AD45&gt;=AE45,(AC45+1)/2,(AC45-1)/2)),AC45-AE45)))</f>
        <v/>
      </c>
      <c r="AG45">
        <f>AC45-AF45</f>
        <v/>
      </c>
      <c r="AH45">
        <f>AH44+AF45</f>
        <v/>
      </c>
      <c r="AI45">
        <f>AI44+AG45</f>
        <v/>
      </c>
      <c r="AK45">
        <f>IF(J45="","",IF(J45="男赤",COUNTIF($Y$2:$Y$51,"&lt;"&amp;K45),IF(J45="男白",COUNTIF($Z$2:$Z$51,"&lt;"&amp;K45),IF(J45="女赤",COUNTIF($AH$2:$AH$51,"&lt;"&amp;K45),COUNTIF($AI$2:$AI$51,"&lt;"&amp;K45))))+1)</f>
        <v/>
      </c>
      <c r="AL45">
        <f>IF(AK45="","",IF(AK45=1,0,IF(J45="男赤",INDEX($Y$2:$Y$51,AK45-1),IF(J45="男白",INDEX($Z$2:$Z$51,AK45-1),IF(J45="女赤",INDEX($AH$2:$AH$51,AK45-1),INDEX($AI$2:$AI$51,AK45-1))))))</f>
        <v/>
      </c>
      <c r="AM45">
        <f>IF(AK45="","",IF(RIGHT(J45,1)="赤",K45-AL45,IF(LEFT(J45,1)="男",INDEX($W$2:$W$51,AK45),INDEX($AF$2:$AF$51,AK45))+K45-AL45))</f>
        <v/>
      </c>
      <c r="AN45">
        <f>IF(AK45="","",F45&amp;AK45&amp;"-"&amp;AM45)</f>
        <v/>
      </c>
    </row>
    <row r="46">
      <c r="A46" s="21">
        <f>ROW()-1</f>
        <v/>
      </c>
      <c r="B46" s="21">
        <f>INT((A46-1)/37)+1</f>
        <v/>
      </c>
      <c r="C46" s="21">
        <f>MOD(A46-1,37)+1</f>
        <v/>
      </c>
      <c r="D46" s="21">
        <f>INDEX(①データ入力!$B$3:$Y$39,C46,(B46-1)*5+1)&amp;""</f>
        <v/>
      </c>
      <c r="E46" s="21">
        <f>INDEX(①データ入力!$B$3:$Y$39,C46,(B46-1)*5+2)&amp;""</f>
        <v/>
      </c>
      <c r="F46" s="21">
        <f>IF(OR(E46="1",E46="１",E46="男"),"男",IF(OR(E46="2",E46="２",E46="女"),"女",""))</f>
        <v/>
      </c>
      <c r="G46" s="21">
        <f>INDEX(①データ入力!$B$3:$Y$39,C46,(B46-1)*5+3)</f>
        <v/>
      </c>
      <c r="H46" s="21">
        <f>INDEX(①データ入力!$B$3:$Y$39,C46,(B46-1)*5+4)&amp;""</f>
        <v/>
      </c>
      <c r="I46" s="21">
        <f>IF(LEFT(TRIM(H46),1)="赤","赤",IF(LEFT(TRIM(H46),1)="白","白",""))</f>
        <v/>
      </c>
      <c r="J46" s="21">
        <f>IF(AND(D46&lt;&gt;"",F46&lt;&gt;"",I46&lt;&gt;"",ISNUMBER(G46)),F46&amp;I46,"")</f>
        <v/>
      </c>
      <c r="K46" s="21">
        <f>IF(J46="","",COUNTIFS($J$2:$J$186,J46,$G$2:$G$186,"&lt;"&amp;G46)+COUNTIFS($J$2:$J$186,J46,$G$2:$G$186,G46,$A$2:$A$186,"&lt;"&amp;A46)+1)</f>
        <v/>
      </c>
      <c r="L46" s="21">
        <f>IF(J46="","",J46&amp;K46)</f>
        <v/>
      </c>
      <c r="M46" s="21">
        <f>B46&amp;"組"</f>
        <v/>
      </c>
      <c r="N46" s="21">
        <f>IF(AND(D46&lt;&gt;"",J46=""),1,0)</f>
        <v/>
      </c>
      <c r="S46" t="n">
        <v>45</v>
      </c>
      <c r="T46">
        <f>IF(OR($Q$9=0,S46&gt;$Q$9),0,INT($Q$8/$Q$9)+IF(S46&lt;=MOD($Q$8,$Q$9),1,0))</f>
        <v/>
      </c>
      <c r="U46">
        <f>$Q$2-Y45</f>
        <v/>
      </c>
      <c r="V46">
        <f>$Q$3-Z45</f>
        <v/>
      </c>
      <c r="W46">
        <f>IF(T46=0,0,MIN(U46,MAX(IF(MOD(T46,2)=0,T46/2,IF(U46&gt;=V46,(T46+1)/2,(T46-1)/2)),T46-V46)))</f>
        <v/>
      </c>
      <c r="X46">
        <f>T46-W46</f>
        <v/>
      </c>
      <c r="Y46">
        <f>Y45+W46</f>
        <v/>
      </c>
      <c r="Z46">
        <f>Z45+X46</f>
        <v/>
      </c>
      <c r="AB46" t="n">
        <v>45</v>
      </c>
      <c r="AC46">
        <f>IF(OR($Q$11=0,AB46&gt;$Q$11),0,INT($Q$10/$Q$11)+IF(AB46&lt;=MOD($Q$10,$Q$11),1,0))</f>
        <v/>
      </c>
      <c r="AD46">
        <f>$Q$4-AH45</f>
        <v/>
      </c>
      <c r="AE46">
        <f>$Q$5-AI45</f>
        <v/>
      </c>
      <c r="AF46">
        <f>IF(AC46=0,0,MIN(AD46,MAX(IF(MOD(AC46,2)=0,AC46/2,IF(AD46&gt;=AE46,(AC46+1)/2,(AC46-1)/2)),AC46-AE46)))</f>
        <v/>
      </c>
      <c r="AG46">
        <f>AC46-AF46</f>
        <v/>
      </c>
      <c r="AH46">
        <f>AH45+AF46</f>
        <v/>
      </c>
      <c r="AI46">
        <f>AI45+AG46</f>
        <v/>
      </c>
      <c r="AK46">
        <f>IF(J46="","",IF(J46="男赤",COUNTIF($Y$2:$Y$51,"&lt;"&amp;K46),IF(J46="男白",COUNTIF($Z$2:$Z$51,"&lt;"&amp;K46),IF(J46="女赤",COUNTIF($AH$2:$AH$51,"&lt;"&amp;K46),COUNTIF($AI$2:$AI$51,"&lt;"&amp;K46))))+1)</f>
        <v/>
      </c>
      <c r="AL46">
        <f>IF(AK46="","",IF(AK46=1,0,IF(J46="男赤",INDEX($Y$2:$Y$51,AK46-1),IF(J46="男白",INDEX($Z$2:$Z$51,AK46-1),IF(J46="女赤",INDEX($AH$2:$AH$51,AK46-1),INDEX($AI$2:$AI$51,AK46-1))))))</f>
        <v/>
      </c>
      <c r="AM46">
        <f>IF(AK46="","",IF(RIGHT(J46,1)="赤",K46-AL46,IF(LEFT(J46,1)="男",INDEX($W$2:$W$51,AK46),INDEX($AF$2:$AF$51,AK46))+K46-AL46))</f>
        <v/>
      </c>
      <c r="AN46">
        <f>IF(AK46="","",F46&amp;AK46&amp;"-"&amp;AM46)</f>
        <v/>
      </c>
    </row>
    <row r="47">
      <c r="A47" s="21">
        <f>ROW()-1</f>
        <v/>
      </c>
      <c r="B47" s="21">
        <f>INT((A47-1)/37)+1</f>
        <v/>
      </c>
      <c r="C47" s="21">
        <f>MOD(A47-1,37)+1</f>
        <v/>
      </c>
      <c r="D47" s="21">
        <f>INDEX(①データ入力!$B$3:$Y$39,C47,(B47-1)*5+1)&amp;""</f>
        <v/>
      </c>
      <c r="E47" s="21">
        <f>INDEX(①データ入力!$B$3:$Y$39,C47,(B47-1)*5+2)&amp;""</f>
        <v/>
      </c>
      <c r="F47" s="21">
        <f>IF(OR(E47="1",E47="１",E47="男"),"男",IF(OR(E47="2",E47="２",E47="女"),"女",""))</f>
        <v/>
      </c>
      <c r="G47" s="21">
        <f>INDEX(①データ入力!$B$3:$Y$39,C47,(B47-1)*5+3)</f>
        <v/>
      </c>
      <c r="H47" s="21">
        <f>INDEX(①データ入力!$B$3:$Y$39,C47,(B47-1)*5+4)&amp;""</f>
        <v/>
      </c>
      <c r="I47" s="21">
        <f>IF(LEFT(TRIM(H47),1)="赤","赤",IF(LEFT(TRIM(H47),1)="白","白",""))</f>
        <v/>
      </c>
      <c r="J47" s="21">
        <f>IF(AND(D47&lt;&gt;"",F47&lt;&gt;"",I47&lt;&gt;"",ISNUMBER(G47)),F47&amp;I47,"")</f>
        <v/>
      </c>
      <c r="K47" s="21">
        <f>IF(J47="","",COUNTIFS($J$2:$J$186,J47,$G$2:$G$186,"&lt;"&amp;G47)+COUNTIFS($J$2:$J$186,J47,$G$2:$G$186,G47,$A$2:$A$186,"&lt;"&amp;A47)+1)</f>
        <v/>
      </c>
      <c r="L47" s="21">
        <f>IF(J47="","",J47&amp;K47)</f>
        <v/>
      </c>
      <c r="M47" s="21">
        <f>B47&amp;"組"</f>
        <v/>
      </c>
      <c r="N47" s="21">
        <f>IF(AND(D47&lt;&gt;"",J47=""),1,0)</f>
        <v/>
      </c>
      <c r="S47" t="n">
        <v>46</v>
      </c>
      <c r="T47">
        <f>IF(OR($Q$9=0,S47&gt;$Q$9),0,INT($Q$8/$Q$9)+IF(S47&lt;=MOD($Q$8,$Q$9),1,0))</f>
        <v/>
      </c>
      <c r="U47">
        <f>$Q$2-Y46</f>
        <v/>
      </c>
      <c r="V47">
        <f>$Q$3-Z46</f>
        <v/>
      </c>
      <c r="W47">
        <f>IF(T47=0,0,MIN(U47,MAX(IF(MOD(T47,2)=0,T47/2,IF(U47&gt;=V47,(T47+1)/2,(T47-1)/2)),T47-V47)))</f>
        <v/>
      </c>
      <c r="X47">
        <f>T47-W47</f>
        <v/>
      </c>
      <c r="Y47">
        <f>Y46+W47</f>
        <v/>
      </c>
      <c r="Z47">
        <f>Z46+X47</f>
        <v/>
      </c>
      <c r="AB47" t="n">
        <v>46</v>
      </c>
      <c r="AC47">
        <f>IF(OR($Q$11=0,AB47&gt;$Q$11),0,INT($Q$10/$Q$11)+IF(AB47&lt;=MOD($Q$10,$Q$11),1,0))</f>
        <v/>
      </c>
      <c r="AD47">
        <f>$Q$4-AH46</f>
        <v/>
      </c>
      <c r="AE47">
        <f>$Q$5-AI46</f>
        <v/>
      </c>
      <c r="AF47">
        <f>IF(AC47=0,0,MIN(AD47,MAX(IF(MOD(AC47,2)=0,AC47/2,IF(AD47&gt;=AE47,(AC47+1)/2,(AC47-1)/2)),AC47-AE47)))</f>
        <v/>
      </c>
      <c r="AG47">
        <f>AC47-AF47</f>
        <v/>
      </c>
      <c r="AH47">
        <f>AH46+AF47</f>
        <v/>
      </c>
      <c r="AI47">
        <f>AI46+AG47</f>
        <v/>
      </c>
      <c r="AK47">
        <f>IF(J47="","",IF(J47="男赤",COUNTIF($Y$2:$Y$51,"&lt;"&amp;K47),IF(J47="男白",COUNTIF($Z$2:$Z$51,"&lt;"&amp;K47),IF(J47="女赤",COUNTIF($AH$2:$AH$51,"&lt;"&amp;K47),COUNTIF($AI$2:$AI$51,"&lt;"&amp;K47))))+1)</f>
        <v/>
      </c>
      <c r="AL47">
        <f>IF(AK47="","",IF(AK47=1,0,IF(J47="男赤",INDEX($Y$2:$Y$51,AK47-1),IF(J47="男白",INDEX($Z$2:$Z$51,AK47-1),IF(J47="女赤",INDEX($AH$2:$AH$51,AK47-1),INDEX($AI$2:$AI$51,AK47-1))))))</f>
        <v/>
      </c>
      <c r="AM47">
        <f>IF(AK47="","",IF(RIGHT(J47,1)="赤",K47-AL47,IF(LEFT(J47,1)="男",INDEX($W$2:$W$51,AK47),INDEX($AF$2:$AF$51,AK47))+K47-AL47))</f>
        <v/>
      </c>
      <c r="AN47">
        <f>IF(AK47="","",F47&amp;AK47&amp;"-"&amp;AM47)</f>
        <v/>
      </c>
    </row>
    <row r="48">
      <c r="A48" s="21">
        <f>ROW()-1</f>
        <v/>
      </c>
      <c r="B48" s="21">
        <f>INT((A48-1)/37)+1</f>
        <v/>
      </c>
      <c r="C48" s="21">
        <f>MOD(A48-1,37)+1</f>
        <v/>
      </c>
      <c r="D48" s="21">
        <f>INDEX(①データ入力!$B$3:$Y$39,C48,(B48-1)*5+1)&amp;""</f>
        <v/>
      </c>
      <c r="E48" s="21">
        <f>INDEX(①データ入力!$B$3:$Y$39,C48,(B48-1)*5+2)&amp;""</f>
        <v/>
      </c>
      <c r="F48" s="21">
        <f>IF(OR(E48="1",E48="１",E48="男"),"男",IF(OR(E48="2",E48="２",E48="女"),"女",""))</f>
        <v/>
      </c>
      <c r="G48" s="21">
        <f>INDEX(①データ入力!$B$3:$Y$39,C48,(B48-1)*5+3)</f>
        <v/>
      </c>
      <c r="H48" s="21">
        <f>INDEX(①データ入力!$B$3:$Y$39,C48,(B48-1)*5+4)&amp;""</f>
        <v/>
      </c>
      <c r="I48" s="21">
        <f>IF(LEFT(TRIM(H48),1)="赤","赤",IF(LEFT(TRIM(H48),1)="白","白",""))</f>
        <v/>
      </c>
      <c r="J48" s="21">
        <f>IF(AND(D48&lt;&gt;"",F48&lt;&gt;"",I48&lt;&gt;"",ISNUMBER(G48)),F48&amp;I48,"")</f>
        <v/>
      </c>
      <c r="K48" s="21">
        <f>IF(J48="","",COUNTIFS($J$2:$J$186,J48,$G$2:$G$186,"&lt;"&amp;G48)+COUNTIFS($J$2:$J$186,J48,$G$2:$G$186,G48,$A$2:$A$186,"&lt;"&amp;A48)+1)</f>
        <v/>
      </c>
      <c r="L48" s="21">
        <f>IF(J48="","",J48&amp;K48)</f>
        <v/>
      </c>
      <c r="M48" s="21">
        <f>B48&amp;"組"</f>
        <v/>
      </c>
      <c r="N48" s="21">
        <f>IF(AND(D48&lt;&gt;"",J48=""),1,0)</f>
        <v/>
      </c>
      <c r="S48" t="n">
        <v>47</v>
      </c>
      <c r="T48">
        <f>IF(OR($Q$9=0,S48&gt;$Q$9),0,INT($Q$8/$Q$9)+IF(S48&lt;=MOD($Q$8,$Q$9),1,0))</f>
        <v/>
      </c>
      <c r="U48">
        <f>$Q$2-Y47</f>
        <v/>
      </c>
      <c r="V48">
        <f>$Q$3-Z47</f>
        <v/>
      </c>
      <c r="W48">
        <f>IF(T48=0,0,MIN(U48,MAX(IF(MOD(T48,2)=0,T48/2,IF(U48&gt;=V48,(T48+1)/2,(T48-1)/2)),T48-V48)))</f>
        <v/>
      </c>
      <c r="X48">
        <f>T48-W48</f>
        <v/>
      </c>
      <c r="Y48">
        <f>Y47+W48</f>
        <v/>
      </c>
      <c r="Z48">
        <f>Z47+X48</f>
        <v/>
      </c>
      <c r="AB48" t="n">
        <v>47</v>
      </c>
      <c r="AC48">
        <f>IF(OR($Q$11=0,AB48&gt;$Q$11),0,INT($Q$10/$Q$11)+IF(AB48&lt;=MOD($Q$10,$Q$11),1,0))</f>
        <v/>
      </c>
      <c r="AD48">
        <f>$Q$4-AH47</f>
        <v/>
      </c>
      <c r="AE48">
        <f>$Q$5-AI47</f>
        <v/>
      </c>
      <c r="AF48">
        <f>IF(AC48=0,0,MIN(AD48,MAX(IF(MOD(AC48,2)=0,AC48/2,IF(AD48&gt;=AE48,(AC48+1)/2,(AC48-1)/2)),AC48-AE48)))</f>
        <v/>
      </c>
      <c r="AG48">
        <f>AC48-AF48</f>
        <v/>
      </c>
      <c r="AH48">
        <f>AH47+AF48</f>
        <v/>
      </c>
      <c r="AI48">
        <f>AI47+AG48</f>
        <v/>
      </c>
      <c r="AK48">
        <f>IF(J48="","",IF(J48="男赤",COUNTIF($Y$2:$Y$51,"&lt;"&amp;K48),IF(J48="男白",COUNTIF($Z$2:$Z$51,"&lt;"&amp;K48),IF(J48="女赤",COUNTIF($AH$2:$AH$51,"&lt;"&amp;K48),COUNTIF($AI$2:$AI$51,"&lt;"&amp;K48))))+1)</f>
        <v/>
      </c>
      <c r="AL48">
        <f>IF(AK48="","",IF(AK48=1,0,IF(J48="男赤",INDEX($Y$2:$Y$51,AK48-1),IF(J48="男白",INDEX($Z$2:$Z$51,AK48-1),IF(J48="女赤",INDEX($AH$2:$AH$51,AK48-1),INDEX($AI$2:$AI$51,AK48-1))))))</f>
        <v/>
      </c>
      <c r="AM48">
        <f>IF(AK48="","",IF(RIGHT(J48,1)="赤",K48-AL48,IF(LEFT(J48,1)="男",INDEX($W$2:$W$51,AK48),INDEX($AF$2:$AF$51,AK48))+K48-AL48))</f>
        <v/>
      </c>
      <c r="AN48">
        <f>IF(AK48="","",F48&amp;AK48&amp;"-"&amp;AM48)</f>
        <v/>
      </c>
    </row>
    <row r="49">
      <c r="A49" s="21">
        <f>ROW()-1</f>
        <v/>
      </c>
      <c r="B49" s="21">
        <f>INT((A49-1)/37)+1</f>
        <v/>
      </c>
      <c r="C49" s="21">
        <f>MOD(A49-1,37)+1</f>
        <v/>
      </c>
      <c r="D49" s="21">
        <f>INDEX(①データ入力!$B$3:$Y$39,C49,(B49-1)*5+1)&amp;""</f>
        <v/>
      </c>
      <c r="E49" s="21">
        <f>INDEX(①データ入力!$B$3:$Y$39,C49,(B49-1)*5+2)&amp;""</f>
        <v/>
      </c>
      <c r="F49" s="21">
        <f>IF(OR(E49="1",E49="１",E49="男"),"男",IF(OR(E49="2",E49="２",E49="女"),"女",""))</f>
        <v/>
      </c>
      <c r="G49" s="21">
        <f>INDEX(①データ入力!$B$3:$Y$39,C49,(B49-1)*5+3)</f>
        <v/>
      </c>
      <c r="H49" s="21">
        <f>INDEX(①データ入力!$B$3:$Y$39,C49,(B49-1)*5+4)&amp;""</f>
        <v/>
      </c>
      <c r="I49" s="21">
        <f>IF(LEFT(TRIM(H49),1)="赤","赤",IF(LEFT(TRIM(H49),1)="白","白",""))</f>
        <v/>
      </c>
      <c r="J49" s="21">
        <f>IF(AND(D49&lt;&gt;"",F49&lt;&gt;"",I49&lt;&gt;"",ISNUMBER(G49)),F49&amp;I49,"")</f>
        <v/>
      </c>
      <c r="K49" s="21">
        <f>IF(J49="","",COUNTIFS($J$2:$J$186,J49,$G$2:$G$186,"&lt;"&amp;G49)+COUNTIFS($J$2:$J$186,J49,$G$2:$G$186,G49,$A$2:$A$186,"&lt;"&amp;A49)+1)</f>
        <v/>
      </c>
      <c r="L49" s="21">
        <f>IF(J49="","",J49&amp;K49)</f>
        <v/>
      </c>
      <c r="M49" s="21">
        <f>B49&amp;"組"</f>
        <v/>
      </c>
      <c r="N49" s="21">
        <f>IF(AND(D49&lt;&gt;"",J49=""),1,0)</f>
        <v/>
      </c>
      <c r="S49" t="n">
        <v>48</v>
      </c>
      <c r="T49">
        <f>IF(OR($Q$9=0,S49&gt;$Q$9),0,INT($Q$8/$Q$9)+IF(S49&lt;=MOD($Q$8,$Q$9),1,0))</f>
        <v/>
      </c>
      <c r="U49">
        <f>$Q$2-Y48</f>
        <v/>
      </c>
      <c r="V49">
        <f>$Q$3-Z48</f>
        <v/>
      </c>
      <c r="W49">
        <f>IF(T49=0,0,MIN(U49,MAX(IF(MOD(T49,2)=0,T49/2,IF(U49&gt;=V49,(T49+1)/2,(T49-1)/2)),T49-V49)))</f>
        <v/>
      </c>
      <c r="X49">
        <f>T49-W49</f>
        <v/>
      </c>
      <c r="Y49">
        <f>Y48+W49</f>
        <v/>
      </c>
      <c r="Z49">
        <f>Z48+X49</f>
        <v/>
      </c>
      <c r="AB49" t="n">
        <v>48</v>
      </c>
      <c r="AC49">
        <f>IF(OR($Q$11=0,AB49&gt;$Q$11),0,INT($Q$10/$Q$11)+IF(AB49&lt;=MOD($Q$10,$Q$11),1,0))</f>
        <v/>
      </c>
      <c r="AD49">
        <f>$Q$4-AH48</f>
        <v/>
      </c>
      <c r="AE49">
        <f>$Q$5-AI48</f>
        <v/>
      </c>
      <c r="AF49">
        <f>IF(AC49=0,0,MIN(AD49,MAX(IF(MOD(AC49,2)=0,AC49/2,IF(AD49&gt;=AE49,(AC49+1)/2,(AC49-1)/2)),AC49-AE49)))</f>
        <v/>
      </c>
      <c r="AG49">
        <f>AC49-AF49</f>
        <v/>
      </c>
      <c r="AH49">
        <f>AH48+AF49</f>
        <v/>
      </c>
      <c r="AI49">
        <f>AI48+AG49</f>
        <v/>
      </c>
      <c r="AK49">
        <f>IF(J49="","",IF(J49="男赤",COUNTIF($Y$2:$Y$51,"&lt;"&amp;K49),IF(J49="男白",COUNTIF($Z$2:$Z$51,"&lt;"&amp;K49),IF(J49="女赤",COUNTIF($AH$2:$AH$51,"&lt;"&amp;K49),COUNTIF($AI$2:$AI$51,"&lt;"&amp;K49))))+1)</f>
        <v/>
      </c>
      <c r="AL49">
        <f>IF(AK49="","",IF(AK49=1,0,IF(J49="男赤",INDEX($Y$2:$Y$51,AK49-1),IF(J49="男白",INDEX($Z$2:$Z$51,AK49-1),IF(J49="女赤",INDEX($AH$2:$AH$51,AK49-1),INDEX($AI$2:$AI$51,AK49-1))))))</f>
        <v/>
      </c>
      <c r="AM49">
        <f>IF(AK49="","",IF(RIGHT(J49,1)="赤",K49-AL49,IF(LEFT(J49,1)="男",INDEX($W$2:$W$51,AK49),INDEX($AF$2:$AF$51,AK49))+K49-AL49))</f>
        <v/>
      </c>
      <c r="AN49">
        <f>IF(AK49="","",F49&amp;AK49&amp;"-"&amp;AM49)</f>
        <v/>
      </c>
    </row>
    <row r="50">
      <c r="A50" s="21">
        <f>ROW()-1</f>
        <v/>
      </c>
      <c r="B50" s="21">
        <f>INT((A50-1)/37)+1</f>
        <v/>
      </c>
      <c r="C50" s="21">
        <f>MOD(A50-1,37)+1</f>
        <v/>
      </c>
      <c r="D50" s="21">
        <f>INDEX(①データ入力!$B$3:$Y$39,C50,(B50-1)*5+1)&amp;""</f>
        <v/>
      </c>
      <c r="E50" s="21">
        <f>INDEX(①データ入力!$B$3:$Y$39,C50,(B50-1)*5+2)&amp;""</f>
        <v/>
      </c>
      <c r="F50" s="21">
        <f>IF(OR(E50="1",E50="１",E50="男"),"男",IF(OR(E50="2",E50="２",E50="女"),"女",""))</f>
        <v/>
      </c>
      <c r="G50" s="21">
        <f>INDEX(①データ入力!$B$3:$Y$39,C50,(B50-1)*5+3)</f>
        <v/>
      </c>
      <c r="H50" s="21">
        <f>INDEX(①データ入力!$B$3:$Y$39,C50,(B50-1)*5+4)&amp;""</f>
        <v/>
      </c>
      <c r="I50" s="21">
        <f>IF(LEFT(TRIM(H50),1)="赤","赤",IF(LEFT(TRIM(H50),1)="白","白",""))</f>
        <v/>
      </c>
      <c r="J50" s="21">
        <f>IF(AND(D50&lt;&gt;"",F50&lt;&gt;"",I50&lt;&gt;"",ISNUMBER(G50)),F50&amp;I50,"")</f>
        <v/>
      </c>
      <c r="K50" s="21">
        <f>IF(J50="","",COUNTIFS($J$2:$J$186,J50,$G$2:$G$186,"&lt;"&amp;G50)+COUNTIFS($J$2:$J$186,J50,$G$2:$G$186,G50,$A$2:$A$186,"&lt;"&amp;A50)+1)</f>
        <v/>
      </c>
      <c r="L50" s="21">
        <f>IF(J50="","",J50&amp;K50)</f>
        <v/>
      </c>
      <c r="M50" s="21">
        <f>B50&amp;"組"</f>
        <v/>
      </c>
      <c r="N50" s="21">
        <f>IF(AND(D50&lt;&gt;"",J50=""),1,0)</f>
        <v/>
      </c>
      <c r="S50" t="n">
        <v>49</v>
      </c>
      <c r="T50">
        <f>IF(OR($Q$9=0,S50&gt;$Q$9),0,INT($Q$8/$Q$9)+IF(S50&lt;=MOD($Q$8,$Q$9),1,0))</f>
        <v/>
      </c>
      <c r="U50">
        <f>$Q$2-Y49</f>
        <v/>
      </c>
      <c r="V50">
        <f>$Q$3-Z49</f>
        <v/>
      </c>
      <c r="W50">
        <f>IF(T50=0,0,MIN(U50,MAX(IF(MOD(T50,2)=0,T50/2,IF(U50&gt;=V50,(T50+1)/2,(T50-1)/2)),T50-V50)))</f>
        <v/>
      </c>
      <c r="X50">
        <f>T50-W50</f>
        <v/>
      </c>
      <c r="Y50">
        <f>Y49+W50</f>
        <v/>
      </c>
      <c r="Z50">
        <f>Z49+X50</f>
        <v/>
      </c>
      <c r="AB50" t="n">
        <v>49</v>
      </c>
      <c r="AC50">
        <f>IF(OR($Q$11=0,AB50&gt;$Q$11),0,INT($Q$10/$Q$11)+IF(AB50&lt;=MOD($Q$10,$Q$11),1,0))</f>
        <v/>
      </c>
      <c r="AD50">
        <f>$Q$4-AH49</f>
        <v/>
      </c>
      <c r="AE50">
        <f>$Q$5-AI49</f>
        <v/>
      </c>
      <c r="AF50">
        <f>IF(AC50=0,0,MIN(AD50,MAX(IF(MOD(AC50,2)=0,AC50/2,IF(AD50&gt;=AE50,(AC50+1)/2,(AC50-1)/2)),AC50-AE50)))</f>
        <v/>
      </c>
      <c r="AG50">
        <f>AC50-AF50</f>
        <v/>
      </c>
      <c r="AH50">
        <f>AH49+AF50</f>
        <v/>
      </c>
      <c r="AI50">
        <f>AI49+AG50</f>
        <v/>
      </c>
      <c r="AK50">
        <f>IF(J50="","",IF(J50="男赤",COUNTIF($Y$2:$Y$51,"&lt;"&amp;K50),IF(J50="男白",COUNTIF($Z$2:$Z$51,"&lt;"&amp;K50),IF(J50="女赤",COUNTIF($AH$2:$AH$51,"&lt;"&amp;K50),COUNTIF($AI$2:$AI$51,"&lt;"&amp;K50))))+1)</f>
        <v/>
      </c>
      <c r="AL50">
        <f>IF(AK50="","",IF(AK50=1,0,IF(J50="男赤",INDEX($Y$2:$Y$51,AK50-1),IF(J50="男白",INDEX($Z$2:$Z$51,AK50-1),IF(J50="女赤",INDEX($AH$2:$AH$51,AK50-1),INDEX($AI$2:$AI$51,AK50-1))))))</f>
        <v/>
      </c>
      <c r="AM50">
        <f>IF(AK50="","",IF(RIGHT(J50,1)="赤",K50-AL50,IF(LEFT(J50,1)="男",INDEX($W$2:$W$51,AK50),INDEX($AF$2:$AF$51,AK50))+K50-AL50))</f>
        <v/>
      </c>
      <c r="AN50">
        <f>IF(AK50="","",F50&amp;AK50&amp;"-"&amp;AM50)</f>
        <v/>
      </c>
    </row>
    <row r="51">
      <c r="A51" s="21">
        <f>ROW()-1</f>
        <v/>
      </c>
      <c r="B51" s="21">
        <f>INT((A51-1)/37)+1</f>
        <v/>
      </c>
      <c r="C51" s="21">
        <f>MOD(A51-1,37)+1</f>
        <v/>
      </c>
      <c r="D51" s="21">
        <f>INDEX(①データ入力!$B$3:$Y$39,C51,(B51-1)*5+1)&amp;""</f>
        <v/>
      </c>
      <c r="E51" s="21">
        <f>INDEX(①データ入力!$B$3:$Y$39,C51,(B51-1)*5+2)&amp;""</f>
        <v/>
      </c>
      <c r="F51" s="21">
        <f>IF(OR(E51="1",E51="１",E51="男"),"男",IF(OR(E51="2",E51="２",E51="女"),"女",""))</f>
        <v/>
      </c>
      <c r="G51" s="21">
        <f>INDEX(①データ入力!$B$3:$Y$39,C51,(B51-1)*5+3)</f>
        <v/>
      </c>
      <c r="H51" s="21">
        <f>INDEX(①データ入力!$B$3:$Y$39,C51,(B51-1)*5+4)&amp;""</f>
        <v/>
      </c>
      <c r="I51" s="21">
        <f>IF(LEFT(TRIM(H51),1)="赤","赤",IF(LEFT(TRIM(H51),1)="白","白",""))</f>
        <v/>
      </c>
      <c r="J51" s="21">
        <f>IF(AND(D51&lt;&gt;"",F51&lt;&gt;"",I51&lt;&gt;"",ISNUMBER(G51)),F51&amp;I51,"")</f>
        <v/>
      </c>
      <c r="K51" s="21">
        <f>IF(J51="","",COUNTIFS($J$2:$J$186,J51,$G$2:$G$186,"&lt;"&amp;G51)+COUNTIFS($J$2:$J$186,J51,$G$2:$G$186,G51,$A$2:$A$186,"&lt;"&amp;A51)+1)</f>
        <v/>
      </c>
      <c r="L51" s="21">
        <f>IF(J51="","",J51&amp;K51)</f>
        <v/>
      </c>
      <c r="M51" s="21">
        <f>B51&amp;"組"</f>
        <v/>
      </c>
      <c r="N51" s="21">
        <f>IF(AND(D51&lt;&gt;"",J51=""),1,0)</f>
        <v/>
      </c>
      <c r="S51" t="n">
        <v>50</v>
      </c>
      <c r="T51">
        <f>IF(OR($Q$9=0,S51&gt;$Q$9),0,INT($Q$8/$Q$9)+IF(S51&lt;=MOD($Q$8,$Q$9),1,0))</f>
        <v/>
      </c>
      <c r="U51">
        <f>$Q$2-Y50</f>
        <v/>
      </c>
      <c r="V51">
        <f>$Q$3-Z50</f>
        <v/>
      </c>
      <c r="W51">
        <f>IF(T51=0,0,MIN(U51,MAX(IF(MOD(T51,2)=0,T51/2,IF(U51&gt;=V51,(T51+1)/2,(T51-1)/2)),T51-V51)))</f>
        <v/>
      </c>
      <c r="X51">
        <f>T51-W51</f>
        <v/>
      </c>
      <c r="Y51">
        <f>Y50+W51</f>
        <v/>
      </c>
      <c r="Z51">
        <f>Z50+X51</f>
        <v/>
      </c>
      <c r="AB51" t="n">
        <v>50</v>
      </c>
      <c r="AC51">
        <f>IF(OR($Q$11=0,AB51&gt;$Q$11),0,INT($Q$10/$Q$11)+IF(AB51&lt;=MOD($Q$10,$Q$11),1,0))</f>
        <v/>
      </c>
      <c r="AD51">
        <f>$Q$4-AH50</f>
        <v/>
      </c>
      <c r="AE51">
        <f>$Q$5-AI50</f>
        <v/>
      </c>
      <c r="AF51">
        <f>IF(AC51=0,0,MIN(AD51,MAX(IF(MOD(AC51,2)=0,AC51/2,IF(AD51&gt;=AE51,(AC51+1)/2,(AC51-1)/2)),AC51-AE51)))</f>
        <v/>
      </c>
      <c r="AG51">
        <f>AC51-AF51</f>
        <v/>
      </c>
      <c r="AH51">
        <f>AH50+AF51</f>
        <v/>
      </c>
      <c r="AI51">
        <f>AI50+AG51</f>
        <v/>
      </c>
      <c r="AK51">
        <f>IF(J51="","",IF(J51="男赤",COUNTIF($Y$2:$Y$51,"&lt;"&amp;K51),IF(J51="男白",COUNTIF($Z$2:$Z$51,"&lt;"&amp;K51),IF(J51="女赤",COUNTIF($AH$2:$AH$51,"&lt;"&amp;K51),COUNTIF($AI$2:$AI$51,"&lt;"&amp;K51))))+1)</f>
        <v/>
      </c>
      <c r="AL51">
        <f>IF(AK51="","",IF(AK51=1,0,IF(J51="男赤",INDEX($Y$2:$Y$51,AK51-1),IF(J51="男白",INDEX($Z$2:$Z$51,AK51-1),IF(J51="女赤",INDEX($AH$2:$AH$51,AK51-1),INDEX($AI$2:$AI$51,AK51-1))))))</f>
        <v/>
      </c>
      <c r="AM51">
        <f>IF(AK51="","",IF(RIGHT(J51,1)="赤",K51-AL51,IF(LEFT(J51,1)="男",INDEX($W$2:$W$51,AK51),INDEX($AF$2:$AF$51,AK51))+K51-AL51))</f>
        <v/>
      </c>
      <c r="AN51">
        <f>IF(AK51="","",F51&amp;AK51&amp;"-"&amp;AM51)</f>
        <v/>
      </c>
    </row>
    <row r="52">
      <c r="A52" s="21">
        <f>ROW()-1</f>
        <v/>
      </c>
      <c r="B52" s="21">
        <f>INT((A52-1)/37)+1</f>
        <v/>
      </c>
      <c r="C52" s="21">
        <f>MOD(A52-1,37)+1</f>
        <v/>
      </c>
      <c r="D52" s="21">
        <f>INDEX(①データ入力!$B$3:$Y$39,C52,(B52-1)*5+1)&amp;""</f>
        <v/>
      </c>
      <c r="E52" s="21">
        <f>INDEX(①データ入力!$B$3:$Y$39,C52,(B52-1)*5+2)&amp;""</f>
        <v/>
      </c>
      <c r="F52" s="21">
        <f>IF(OR(E52="1",E52="１",E52="男"),"男",IF(OR(E52="2",E52="２",E52="女"),"女",""))</f>
        <v/>
      </c>
      <c r="G52" s="21">
        <f>INDEX(①データ入力!$B$3:$Y$39,C52,(B52-1)*5+3)</f>
        <v/>
      </c>
      <c r="H52" s="21">
        <f>INDEX(①データ入力!$B$3:$Y$39,C52,(B52-1)*5+4)&amp;""</f>
        <v/>
      </c>
      <c r="I52" s="21">
        <f>IF(LEFT(TRIM(H52),1)="赤","赤",IF(LEFT(TRIM(H52),1)="白","白",""))</f>
        <v/>
      </c>
      <c r="J52" s="21">
        <f>IF(AND(D52&lt;&gt;"",F52&lt;&gt;"",I52&lt;&gt;"",ISNUMBER(G52)),F52&amp;I52,"")</f>
        <v/>
      </c>
      <c r="K52" s="21">
        <f>IF(J52="","",COUNTIFS($J$2:$J$186,J52,$G$2:$G$186,"&lt;"&amp;G52)+COUNTIFS($J$2:$J$186,J52,$G$2:$G$186,G52,$A$2:$A$186,"&lt;"&amp;A52)+1)</f>
        <v/>
      </c>
      <c r="L52" s="21">
        <f>IF(J52="","",J52&amp;K52)</f>
        <v/>
      </c>
      <c r="M52" s="21">
        <f>B52&amp;"組"</f>
        <v/>
      </c>
      <c r="N52" s="21">
        <f>IF(AND(D52&lt;&gt;"",J52=""),1,0)</f>
        <v/>
      </c>
      <c r="AK52">
        <f>IF(J52="","",IF(J52="男赤",COUNTIF($Y$2:$Y$51,"&lt;"&amp;K52),IF(J52="男白",COUNTIF($Z$2:$Z$51,"&lt;"&amp;K52),IF(J52="女赤",COUNTIF($AH$2:$AH$51,"&lt;"&amp;K52),COUNTIF($AI$2:$AI$51,"&lt;"&amp;K52))))+1)</f>
        <v/>
      </c>
      <c r="AL52">
        <f>IF(AK52="","",IF(AK52=1,0,IF(J52="男赤",INDEX($Y$2:$Y$51,AK52-1),IF(J52="男白",INDEX($Z$2:$Z$51,AK52-1),IF(J52="女赤",INDEX($AH$2:$AH$51,AK52-1),INDEX($AI$2:$AI$51,AK52-1))))))</f>
        <v/>
      </c>
      <c r="AM52">
        <f>IF(AK52="","",IF(RIGHT(J52,1)="赤",K52-AL52,IF(LEFT(J52,1)="男",INDEX($W$2:$W$51,AK52),INDEX($AF$2:$AF$51,AK52))+K52-AL52))</f>
        <v/>
      </c>
      <c r="AN52">
        <f>IF(AK52="","",F52&amp;AK52&amp;"-"&amp;AM52)</f>
        <v/>
      </c>
    </row>
    <row r="53">
      <c r="A53" s="21">
        <f>ROW()-1</f>
        <v/>
      </c>
      <c r="B53" s="21">
        <f>INT((A53-1)/37)+1</f>
        <v/>
      </c>
      <c r="C53" s="21">
        <f>MOD(A53-1,37)+1</f>
        <v/>
      </c>
      <c r="D53" s="21">
        <f>INDEX(①データ入力!$B$3:$Y$39,C53,(B53-1)*5+1)&amp;""</f>
        <v/>
      </c>
      <c r="E53" s="21">
        <f>INDEX(①データ入力!$B$3:$Y$39,C53,(B53-1)*5+2)&amp;""</f>
        <v/>
      </c>
      <c r="F53" s="21">
        <f>IF(OR(E53="1",E53="１",E53="男"),"男",IF(OR(E53="2",E53="２",E53="女"),"女",""))</f>
        <v/>
      </c>
      <c r="G53" s="21">
        <f>INDEX(①データ入力!$B$3:$Y$39,C53,(B53-1)*5+3)</f>
        <v/>
      </c>
      <c r="H53" s="21">
        <f>INDEX(①データ入力!$B$3:$Y$39,C53,(B53-1)*5+4)&amp;""</f>
        <v/>
      </c>
      <c r="I53" s="21">
        <f>IF(LEFT(TRIM(H53),1)="赤","赤",IF(LEFT(TRIM(H53),1)="白","白",""))</f>
        <v/>
      </c>
      <c r="J53" s="21">
        <f>IF(AND(D53&lt;&gt;"",F53&lt;&gt;"",I53&lt;&gt;"",ISNUMBER(G53)),F53&amp;I53,"")</f>
        <v/>
      </c>
      <c r="K53" s="21">
        <f>IF(J53="","",COUNTIFS($J$2:$J$186,J53,$G$2:$G$186,"&lt;"&amp;G53)+COUNTIFS($J$2:$J$186,J53,$G$2:$G$186,G53,$A$2:$A$186,"&lt;"&amp;A53)+1)</f>
        <v/>
      </c>
      <c r="L53" s="21">
        <f>IF(J53="","",J53&amp;K53)</f>
        <v/>
      </c>
      <c r="M53" s="21">
        <f>B53&amp;"組"</f>
        <v/>
      </c>
      <c r="N53" s="21">
        <f>IF(AND(D53&lt;&gt;"",J53=""),1,0)</f>
        <v/>
      </c>
      <c r="AK53">
        <f>IF(J53="","",IF(J53="男赤",COUNTIF($Y$2:$Y$51,"&lt;"&amp;K53),IF(J53="男白",COUNTIF($Z$2:$Z$51,"&lt;"&amp;K53),IF(J53="女赤",COUNTIF($AH$2:$AH$51,"&lt;"&amp;K53),COUNTIF($AI$2:$AI$51,"&lt;"&amp;K53))))+1)</f>
        <v/>
      </c>
      <c r="AL53">
        <f>IF(AK53="","",IF(AK53=1,0,IF(J53="男赤",INDEX($Y$2:$Y$51,AK53-1),IF(J53="男白",INDEX($Z$2:$Z$51,AK53-1),IF(J53="女赤",INDEX($AH$2:$AH$51,AK53-1),INDEX($AI$2:$AI$51,AK53-1))))))</f>
        <v/>
      </c>
      <c r="AM53">
        <f>IF(AK53="","",IF(RIGHT(J53,1)="赤",K53-AL53,IF(LEFT(J53,1)="男",INDEX($W$2:$W$51,AK53),INDEX($AF$2:$AF$51,AK53))+K53-AL53))</f>
        <v/>
      </c>
      <c r="AN53">
        <f>IF(AK53="","",F53&amp;AK53&amp;"-"&amp;AM53)</f>
        <v/>
      </c>
    </row>
    <row r="54">
      <c r="A54" s="21">
        <f>ROW()-1</f>
        <v/>
      </c>
      <c r="B54" s="21">
        <f>INT((A54-1)/37)+1</f>
        <v/>
      </c>
      <c r="C54" s="21">
        <f>MOD(A54-1,37)+1</f>
        <v/>
      </c>
      <c r="D54" s="21">
        <f>INDEX(①データ入力!$B$3:$Y$39,C54,(B54-1)*5+1)&amp;""</f>
        <v/>
      </c>
      <c r="E54" s="21">
        <f>INDEX(①データ入力!$B$3:$Y$39,C54,(B54-1)*5+2)&amp;""</f>
        <v/>
      </c>
      <c r="F54" s="21">
        <f>IF(OR(E54="1",E54="１",E54="男"),"男",IF(OR(E54="2",E54="２",E54="女"),"女",""))</f>
        <v/>
      </c>
      <c r="G54" s="21">
        <f>INDEX(①データ入力!$B$3:$Y$39,C54,(B54-1)*5+3)</f>
        <v/>
      </c>
      <c r="H54" s="21">
        <f>INDEX(①データ入力!$B$3:$Y$39,C54,(B54-1)*5+4)&amp;""</f>
        <v/>
      </c>
      <c r="I54" s="21">
        <f>IF(LEFT(TRIM(H54),1)="赤","赤",IF(LEFT(TRIM(H54),1)="白","白",""))</f>
        <v/>
      </c>
      <c r="J54" s="21">
        <f>IF(AND(D54&lt;&gt;"",F54&lt;&gt;"",I54&lt;&gt;"",ISNUMBER(G54)),F54&amp;I54,"")</f>
        <v/>
      </c>
      <c r="K54" s="21">
        <f>IF(J54="","",COUNTIFS($J$2:$J$186,J54,$G$2:$G$186,"&lt;"&amp;G54)+COUNTIFS($J$2:$J$186,J54,$G$2:$G$186,G54,$A$2:$A$186,"&lt;"&amp;A54)+1)</f>
        <v/>
      </c>
      <c r="L54" s="21">
        <f>IF(J54="","",J54&amp;K54)</f>
        <v/>
      </c>
      <c r="M54" s="21">
        <f>B54&amp;"組"</f>
        <v/>
      </c>
      <c r="N54" s="21">
        <f>IF(AND(D54&lt;&gt;"",J54=""),1,0)</f>
        <v/>
      </c>
      <c r="AK54">
        <f>IF(J54="","",IF(J54="男赤",COUNTIF($Y$2:$Y$51,"&lt;"&amp;K54),IF(J54="男白",COUNTIF($Z$2:$Z$51,"&lt;"&amp;K54),IF(J54="女赤",COUNTIF($AH$2:$AH$51,"&lt;"&amp;K54),COUNTIF($AI$2:$AI$51,"&lt;"&amp;K54))))+1)</f>
        <v/>
      </c>
      <c r="AL54">
        <f>IF(AK54="","",IF(AK54=1,0,IF(J54="男赤",INDEX($Y$2:$Y$51,AK54-1),IF(J54="男白",INDEX($Z$2:$Z$51,AK54-1),IF(J54="女赤",INDEX($AH$2:$AH$51,AK54-1),INDEX($AI$2:$AI$51,AK54-1))))))</f>
        <v/>
      </c>
      <c r="AM54">
        <f>IF(AK54="","",IF(RIGHT(J54,1)="赤",K54-AL54,IF(LEFT(J54,1)="男",INDEX($W$2:$W$51,AK54),INDEX($AF$2:$AF$51,AK54))+K54-AL54))</f>
        <v/>
      </c>
      <c r="AN54">
        <f>IF(AK54="","",F54&amp;AK54&amp;"-"&amp;AM54)</f>
        <v/>
      </c>
    </row>
    <row r="55">
      <c r="A55" s="21">
        <f>ROW()-1</f>
        <v/>
      </c>
      <c r="B55" s="21">
        <f>INT((A55-1)/37)+1</f>
        <v/>
      </c>
      <c r="C55" s="21">
        <f>MOD(A55-1,37)+1</f>
        <v/>
      </c>
      <c r="D55" s="21">
        <f>INDEX(①データ入力!$B$3:$Y$39,C55,(B55-1)*5+1)&amp;""</f>
        <v/>
      </c>
      <c r="E55" s="21">
        <f>INDEX(①データ入力!$B$3:$Y$39,C55,(B55-1)*5+2)&amp;""</f>
        <v/>
      </c>
      <c r="F55" s="21">
        <f>IF(OR(E55="1",E55="１",E55="男"),"男",IF(OR(E55="2",E55="２",E55="女"),"女",""))</f>
        <v/>
      </c>
      <c r="G55" s="21">
        <f>INDEX(①データ入力!$B$3:$Y$39,C55,(B55-1)*5+3)</f>
        <v/>
      </c>
      <c r="H55" s="21">
        <f>INDEX(①データ入力!$B$3:$Y$39,C55,(B55-1)*5+4)&amp;""</f>
        <v/>
      </c>
      <c r="I55" s="21">
        <f>IF(LEFT(TRIM(H55),1)="赤","赤",IF(LEFT(TRIM(H55),1)="白","白",""))</f>
        <v/>
      </c>
      <c r="J55" s="21">
        <f>IF(AND(D55&lt;&gt;"",F55&lt;&gt;"",I55&lt;&gt;"",ISNUMBER(G55)),F55&amp;I55,"")</f>
        <v/>
      </c>
      <c r="K55" s="21">
        <f>IF(J55="","",COUNTIFS($J$2:$J$186,J55,$G$2:$G$186,"&lt;"&amp;G55)+COUNTIFS($J$2:$J$186,J55,$G$2:$G$186,G55,$A$2:$A$186,"&lt;"&amp;A55)+1)</f>
        <v/>
      </c>
      <c r="L55" s="21">
        <f>IF(J55="","",J55&amp;K55)</f>
        <v/>
      </c>
      <c r="M55" s="21">
        <f>B55&amp;"組"</f>
        <v/>
      </c>
      <c r="N55" s="21">
        <f>IF(AND(D55&lt;&gt;"",J55=""),1,0)</f>
        <v/>
      </c>
      <c r="AK55">
        <f>IF(J55="","",IF(J55="男赤",COUNTIF($Y$2:$Y$51,"&lt;"&amp;K55),IF(J55="男白",COUNTIF($Z$2:$Z$51,"&lt;"&amp;K55),IF(J55="女赤",COUNTIF($AH$2:$AH$51,"&lt;"&amp;K55),COUNTIF($AI$2:$AI$51,"&lt;"&amp;K55))))+1)</f>
        <v/>
      </c>
      <c r="AL55">
        <f>IF(AK55="","",IF(AK55=1,0,IF(J55="男赤",INDEX($Y$2:$Y$51,AK55-1),IF(J55="男白",INDEX($Z$2:$Z$51,AK55-1),IF(J55="女赤",INDEX($AH$2:$AH$51,AK55-1),INDEX($AI$2:$AI$51,AK55-1))))))</f>
        <v/>
      </c>
      <c r="AM55">
        <f>IF(AK55="","",IF(RIGHT(J55,1)="赤",K55-AL55,IF(LEFT(J55,1)="男",INDEX($W$2:$W$51,AK55),INDEX($AF$2:$AF$51,AK55))+K55-AL55))</f>
        <v/>
      </c>
      <c r="AN55">
        <f>IF(AK55="","",F55&amp;AK55&amp;"-"&amp;AM55)</f>
        <v/>
      </c>
    </row>
    <row r="56">
      <c r="A56" s="21">
        <f>ROW()-1</f>
        <v/>
      </c>
      <c r="B56" s="21">
        <f>INT((A56-1)/37)+1</f>
        <v/>
      </c>
      <c r="C56" s="21">
        <f>MOD(A56-1,37)+1</f>
        <v/>
      </c>
      <c r="D56" s="21">
        <f>INDEX(①データ入力!$B$3:$Y$39,C56,(B56-1)*5+1)&amp;""</f>
        <v/>
      </c>
      <c r="E56" s="21">
        <f>INDEX(①データ入力!$B$3:$Y$39,C56,(B56-1)*5+2)&amp;""</f>
        <v/>
      </c>
      <c r="F56" s="21">
        <f>IF(OR(E56="1",E56="１",E56="男"),"男",IF(OR(E56="2",E56="２",E56="女"),"女",""))</f>
        <v/>
      </c>
      <c r="G56" s="21">
        <f>INDEX(①データ入力!$B$3:$Y$39,C56,(B56-1)*5+3)</f>
        <v/>
      </c>
      <c r="H56" s="21">
        <f>INDEX(①データ入力!$B$3:$Y$39,C56,(B56-1)*5+4)&amp;""</f>
        <v/>
      </c>
      <c r="I56" s="21">
        <f>IF(LEFT(TRIM(H56),1)="赤","赤",IF(LEFT(TRIM(H56),1)="白","白",""))</f>
        <v/>
      </c>
      <c r="J56" s="21">
        <f>IF(AND(D56&lt;&gt;"",F56&lt;&gt;"",I56&lt;&gt;"",ISNUMBER(G56)),F56&amp;I56,"")</f>
        <v/>
      </c>
      <c r="K56" s="21">
        <f>IF(J56="","",COUNTIFS($J$2:$J$186,J56,$G$2:$G$186,"&lt;"&amp;G56)+COUNTIFS($J$2:$J$186,J56,$G$2:$G$186,G56,$A$2:$A$186,"&lt;"&amp;A56)+1)</f>
        <v/>
      </c>
      <c r="L56" s="21">
        <f>IF(J56="","",J56&amp;K56)</f>
        <v/>
      </c>
      <c r="M56" s="21">
        <f>B56&amp;"組"</f>
        <v/>
      </c>
      <c r="N56" s="21">
        <f>IF(AND(D56&lt;&gt;"",J56=""),1,0)</f>
        <v/>
      </c>
      <c r="AK56">
        <f>IF(J56="","",IF(J56="男赤",COUNTIF($Y$2:$Y$51,"&lt;"&amp;K56),IF(J56="男白",COUNTIF($Z$2:$Z$51,"&lt;"&amp;K56),IF(J56="女赤",COUNTIF($AH$2:$AH$51,"&lt;"&amp;K56),COUNTIF($AI$2:$AI$51,"&lt;"&amp;K56))))+1)</f>
        <v/>
      </c>
      <c r="AL56">
        <f>IF(AK56="","",IF(AK56=1,0,IF(J56="男赤",INDEX($Y$2:$Y$51,AK56-1),IF(J56="男白",INDEX($Z$2:$Z$51,AK56-1),IF(J56="女赤",INDEX($AH$2:$AH$51,AK56-1),INDEX($AI$2:$AI$51,AK56-1))))))</f>
        <v/>
      </c>
      <c r="AM56">
        <f>IF(AK56="","",IF(RIGHT(J56,1)="赤",K56-AL56,IF(LEFT(J56,1)="男",INDEX($W$2:$W$51,AK56),INDEX($AF$2:$AF$51,AK56))+K56-AL56))</f>
        <v/>
      </c>
      <c r="AN56">
        <f>IF(AK56="","",F56&amp;AK56&amp;"-"&amp;AM56)</f>
        <v/>
      </c>
    </row>
    <row r="57">
      <c r="A57" s="21">
        <f>ROW()-1</f>
        <v/>
      </c>
      <c r="B57" s="21">
        <f>INT((A57-1)/37)+1</f>
        <v/>
      </c>
      <c r="C57" s="21">
        <f>MOD(A57-1,37)+1</f>
        <v/>
      </c>
      <c r="D57" s="21">
        <f>INDEX(①データ入力!$B$3:$Y$39,C57,(B57-1)*5+1)&amp;""</f>
        <v/>
      </c>
      <c r="E57" s="21">
        <f>INDEX(①データ入力!$B$3:$Y$39,C57,(B57-1)*5+2)&amp;""</f>
        <v/>
      </c>
      <c r="F57" s="21">
        <f>IF(OR(E57="1",E57="１",E57="男"),"男",IF(OR(E57="2",E57="２",E57="女"),"女",""))</f>
        <v/>
      </c>
      <c r="G57" s="21">
        <f>INDEX(①データ入力!$B$3:$Y$39,C57,(B57-1)*5+3)</f>
        <v/>
      </c>
      <c r="H57" s="21">
        <f>INDEX(①データ入力!$B$3:$Y$39,C57,(B57-1)*5+4)&amp;""</f>
        <v/>
      </c>
      <c r="I57" s="21">
        <f>IF(LEFT(TRIM(H57),1)="赤","赤",IF(LEFT(TRIM(H57),1)="白","白",""))</f>
        <v/>
      </c>
      <c r="J57" s="21">
        <f>IF(AND(D57&lt;&gt;"",F57&lt;&gt;"",I57&lt;&gt;"",ISNUMBER(G57)),F57&amp;I57,"")</f>
        <v/>
      </c>
      <c r="K57" s="21">
        <f>IF(J57="","",COUNTIFS($J$2:$J$186,J57,$G$2:$G$186,"&lt;"&amp;G57)+COUNTIFS($J$2:$J$186,J57,$G$2:$G$186,G57,$A$2:$A$186,"&lt;"&amp;A57)+1)</f>
        <v/>
      </c>
      <c r="L57" s="21">
        <f>IF(J57="","",J57&amp;K57)</f>
        <v/>
      </c>
      <c r="M57" s="21">
        <f>B57&amp;"組"</f>
        <v/>
      </c>
      <c r="N57" s="21">
        <f>IF(AND(D57&lt;&gt;"",J57=""),1,0)</f>
        <v/>
      </c>
      <c r="AK57">
        <f>IF(J57="","",IF(J57="男赤",COUNTIF($Y$2:$Y$51,"&lt;"&amp;K57),IF(J57="男白",COUNTIF($Z$2:$Z$51,"&lt;"&amp;K57),IF(J57="女赤",COUNTIF($AH$2:$AH$51,"&lt;"&amp;K57),COUNTIF($AI$2:$AI$51,"&lt;"&amp;K57))))+1)</f>
        <v/>
      </c>
      <c r="AL57">
        <f>IF(AK57="","",IF(AK57=1,0,IF(J57="男赤",INDEX($Y$2:$Y$51,AK57-1),IF(J57="男白",INDEX($Z$2:$Z$51,AK57-1),IF(J57="女赤",INDEX($AH$2:$AH$51,AK57-1),INDEX($AI$2:$AI$51,AK57-1))))))</f>
        <v/>
      </c>
      <c r="AM57">
        <f>IF(AK57="","",IF(RIGHT(J57,1)="赤",K57-AL57,IF(LEFT(J57,1)="男",INDEX($W$2:$W$51,AK57),INDEX($AF$2:$AF$51,AK57))+K57-AL57))</f>
        <v/>
      </c>
      <c r="AN57">
        <f>IF(AK57="","",F57&amp;AK57&amp;"-"&amp;AM57)</f>
        <v/>
      </c>
    </row>
    <row r="58">
      <c r="A58" s="21">
        <f>ROW()-1</f>
        <v/>
      </c>
      <c r="B58" s="21">
        <f>INT((A58-1)/37)+1</f>
        <v/>
      </c>
      <c r="C58" s="21">
        <f>MOD(A58-1,37)+1</f>
        <v/>
      </c>
      <c r="D58" s="21">
        <f>INDEX(①データ入力!$B$3:$Y$39,C58,(B58-1)*5+1)&amp;""</f>
        <v/>
      </c>
      <c r="E58" s="21">
        <f>INDEX(①データ入力!$B$3:$Y$39,C58,(B58-1)*5+2)&amp;""</f>
        <v/>
      </c>
      <c r="F58" s="21">
        <f>IF(OR(E58="1",E58="１",E58="男"),"男",IF(OR(E58="2",E58="２",E58="女"),"女",""))</f>
        <v/>
      </c>
      <c r="G58" s="21">
        <f>INDEX(①データ入力!$B$3:$Y$39,C58,(B58-1)*5+3)</f>
        <v/>
      </c>
      <c r="H58" s="21">
        <f>INDEX(①データ入力!$B$3:$Y$39,C58,(B58-1)*5+4)&amp;""</f>
        <v/>
      </c>
      <c r="I58" s="21">
        <f>IF(LEFT(TRIM(H58),1)="赤","赤",IF(LEFT(TRIM(H58),1)="白","白",""))</f>
        <v/>
      </c>
      <c r="J58" s="21">
        <f>IF(AND(D58&lt;&gt;"",F58&lt;&gt;"",I58&lt;&gt;"",ISNUMBER(G58)),F58&amp;I58,"")</f>
        <v/>
      </c>
      <c r="K58" s="21">
        <f>IF(J58="","",COUNTIFS($J$2:$J$186,J58,$G$2:$G$186,"&lt;"&amp;G58)+COUNTIFS($J$2:$J$186,J58,$G$2:$G$186,G58,$A$2:$A$186,"&lt;"&amp;A58)+1)</f>
        <v/>
      </c>
      <c r="L58" s="21">
        <f>IF(J58="","",J58&amp;K58)</f>
        <v/>
      </c>
      <c r="M58" s="21">
        <f>B58&amp;"組"</f>
        <v/>
      </c>
      <c r="N58" s="21">
        <f>IF(AND(D58&lt;&gt;"",J58=""),1,0)</f>
        <v/>
      </c>
      <c r="AK58">
        <f>IF(J58="","",IF(J58="男赤",COUNTIF($Y$2:$Y$51,"&lt;"&amp;K58),IF(J58="男白",COUNTIF($Z$2:$Z$51,"&lt;"&amp;K58),IF(J58="女赤",COUNTIF($AH$2:$AH$51,"&lt;"&amp;K58),COUNTIF($AI$2:$AI$51,"&lt;"&amp;K58))))+1)</f>
        <v/>
      </c>
      <c r="AL58">
        <f>IF(AK58="","",IF(AK58=1,0,IF(J58="男赤",INDEX($Y$2:$Y$51,AK58-1),IF(J58="男白",INDEX($Z$2:$Z$51,AK58-1),IF(J58="女赤",INDEX($AH$2:$AH$51,AK58-1),INDEX($AI$2:$AI$51,AK58-1))))))</f>
        <v/>
      </c>
      <c r="AM58">
        <f>IF(AK58="","",IF(RIGHT(J58,1)="赤",K58-AL58,IF(LEFT(J58,1)="男",INDEX($W$2:$W$51,AK58),INDEX($AF$2:$AF$51,AK58))+K58-AL58))</f>
        <v/>
      </c>
      <c r="AN58">
        <f>IF(AK58="","",F58&amp;AK58&amp;"-"&amp;AM58)</f>
        <v/>
      </c>
    </row>
    <row r="59">
      <c r="A59" s="21">
        <f>ROW()-1</f>
        <v/>
      </c>
      <c r="B59" s="21">
        <f>INT((A59-1)/37)+1</f>
        <v/>
      </c>
      <c r="C59" s="21">
        <f>MOD(A59-1,37)+1</f>
        <v/>
      </c>
      <c r="D59" s="21">
        <f>INDEX(①データ入力!$B$3:$Y$39,C59,(B59-1)*5+1)&amp;""</f>
        <v/>
      </c>
      <c r="E59" s="21">
        <f>INDEX(①データ入力!$B$3:$Y$39,C59,(B59-1)*5+2)&amp;""</f>
        <v/>
      </c>
      <c r="F59" s="21">
        <f>IF(OR(E59="1",E59="１",E59="男"),"男",IF(OR(E59="2",E59="２",E59="女"),"女",""))</f>
        <v/>
      </c>
      <c r="G59" s="21">
        <f>INDEX(①データ入力!$B$3:$Y$39,C59,(B59-1)*5+3)</f>
        <v/>
      </c>
      <c r="H59" s="21">
        <f>INDEX(①データ入力!$B$3:$Y$39,C59,(B59-1)*5+4)&amp;""</f>
        <v/>
      </c>
      <c r="I59" s="21">
        <f>IF(LEFT(TRIM(H59),1)="赤","赤",IF(LEFT(TRIM(H59),1)="白","白",""))</f>
        <v/>
      </c>
      <c r="J59" s="21">
        <f>IF(AND(D59&lt;&gt;"",F59&lt;&gt;"",I59&lt;&gt;"",ISNUMBER(G59)),F59&amp;I59,"")</f>
        <v/>
      </c>
      <c r="K59" s="21">
        <f>IF(J59="","",COUNTIFS($J$2:$J$186,J59,$G$2:$G$186,"&lt;"&amp;G59)+COUNTIFS($J$2:$J$186,J59,$G$2:$G$186,G59,$A$2:$A$186,"&lt;"&amp;A59)+1)</f>
        <v/>
      </c>
      <c r="L59" s="21">
        <f>IF(J59="","",J59&amp;K59)</f>
        <v/>
      </c>
      <c r="M59" s="21">
        <f>B59&amp;"組"</f>
        <v/>
      </c>
      <c r="N59" s="21">
        <f>IF(AND(D59&lt;&gt;"",J59=""),1,0)</f>
        <v/>
      </c>
      <c r="AK59">
        <f>IF(J59="","",IF(J59="男赤",COUNTIF($Y$2:$Y$51,"&lt;"&amp;K59),IF(J59="男白",COUNTIF($Z$2:$Z$51,"&lt;"&amp;K59),IF(J59="女赤",COUNTIF($AH$2:$AH$51,"&lt;"&amp;K59),COUNTIF($AI$2:$AI$51,"&lt;"&amp;K59))))+1)</f>
        <v/>
      </c>
      <c r="AL59">
        <f>IF(AK59="","",IF(AK59=1,0,IF(J59="男赤",INDEX($Y$2:$Y$51,AK59-1),IF(J59="男白",INDEX($Z$2:$Z$51,AK59-1),IF(J59="女赤",INDEX($AH$2:$AH$51,AK59-1),INDEX($AI$2:$AI$51,AK59-1))))))</f>
        <v/>
      </c>
      <c r="AM59">
        <f>IF(AK59="","",IF(RIGHT(J59,1)="赤",K59-AL59,IF(LEFT(J59,1)="男",INDEX($W$2:$W$51,AK59),INDEX($AF$2:$AF$51,AK59))+K59-AL59))</f>
        <v/>
      </c>
      <c r="AN59">
        <f>IF(AK59="","",F59&amp;AK59&amp;"-"&amp;AM59)</f>
        <v/>
      </c>
    </row>
    <row r="60">
      <c r="A60" s="21">
        <f>ROW()-1</f>
        <v/>
      </c>
      <c r="B60" s="21">
        <f>INT((A60-1)/37)+1</f>
        <v/>
      </c>
      <c r="C60" s="21">
        <f>MOD(A60-1,37)+1</f>
        <v/>
      </c>
      <c r="D60" s="21">
        <f>INDEX(①データ入力!$B$3:$Y$39,C60,(B60-1)*5+1)&amp;""</f>
        <v/>
      </c>
      <c r="E60" s="21">
        <f>INDEX(①データ入力!$B$3:$Y$39,C60,(B60-1)*5+2)&amp;""</f>
        <v/>
      </c>
      <c r="F60" s="21">
        <f>IF(OR(E60="1",E60="１",E60="男"),"男",IF(OR(E60="2",E60="２",E60="女"),"女",""))</f>
        <v/>
      </c>
      <c r="G60" s="21">
        <f>INDEX(①データ入力!$B$3:$Y$39,C60,(B60-1)*5+3)</f>
        <v/>
      </c>
      <c r="H60" s="21">
        <f>INDEX(①データ入力!$B$3:$Y$39,C60,(B60-1)*5+4)&amp;""</f>
        <v/>
      </c>
      <c r="I60" s="21">
        <f>IF(LEFT(TRIM(H60),1)="赤","赤",IF(LEFT(TRIM(H60),1)="白","白",""))</f>
        <v/>
      </c>
      <c r="J60" s="21">
        <f>IF(AND(D60&lt;&gt;"",F60&lt;&gt;"",I60&lt;&gt;"",ISNUMBER(G60)),F60&amp;I60,"")</f>
        <v/>
      </c>
      <c r="K60" s="21">
        <f>IF(J60="","",COUNTIFS($J$2:$J$186,J60,$G$2:$G$186,"&lt;"&amp;G60)+COUNTIFS($J$2:$J$186,J60,$G$2:$G$186,G60,$A$2:$A$186,"&lt;"&amp;A60)+1)</f>
        <v/>
      </c>
      <c r="L60" s="21">
        <f>IF(J60="","",J60&amp;K60)</f>
        <v/>
      </c>
      <c r="M60" s="21">
        <f>B60&amp;"組"</f>
        <v/>
      </c>
      <c r="N60" s="21">
        <f>IF(AND(D60&lt;&gt;"",J60=""),1,0)</f>
        <v/>
      </c>
      <c r="AK60">
        <f>IF(J60="","",IF(J60="男赤",COUNTIF($Y$2:$Y$51,"&lt;"&amp;K60),IF(J60="男白",COUNTIF($Z$2:$Z$51,"&lt;"&amp;K60),IF(J60="女赤",COUNTIF($AH$2:$AH$51,"&lt;"&amp;K60),COUNTIF($AI$2:$AI$51,"&lt;"&amp;K60))))+1)</f>
        <v/>
      </c>
      <c r="AL60">
        <f>IF(AK60="","",IF(AK60=1,0,IF(J60="男赤",INDEX($Y$2:$Y$51,AK60-1),IF(J60="男白",INDEX($Z$2:$Z$51,AK60-1),IF(J60="女赤",INDEX($AH$2:$AH$51,AK60-1),INDEX($AI$2:$AI$51,AK60-1))))))</f>
        <v/>
      </c>
      <c r="AM60">
        <f>IF(AK60="","",IF(RIGHT(J60,1)="赤",K60-AL60,IF(LEFT(J60,1)="男",INDEX($W$2:$W$51,AK60),INDEX($AF$2:$AF$51,AK60))+K60-AL60))</f>
        <v/>
      </c>
      <c r="AN60">
        <f>IF(AK60="","",F60&amp;AK60&amp;"-"&amp;AM60)</f>
        <v/>
      </c>
    </row>
    <row r="61">
      <c r="A61" s="21">
        <f>ROW()-1</f>
        <v/>
      </c>
      <c r="B61" s="21">
        <f>INT((A61-1)/37)+1</f>
        <v/>
      </c>
      <c r="C61" s="21">
        <f>MOD(A61-1,37)+1</f>
        <v/>
      </c>
      <c r="D61" s="21">
        <f>INDEX(①データ入力!$B$3:$Y$39,C61,(B61-1)*5+1)&amp;""</f>
        <v/>
      </c>
      <c r="E61" s="21">
        <f>INDEX(①データ入力!$B$3:$Y$39,C61,(B61-1)*5+2)&amp;""</f>
        <v/>
      </c>
      <c r="F61" s="21">
        <f>IF(OR(E61="1",E61="１",E61="男"),"男",IF(OR(E61="2",E61="２",E61="女"),"女",""))</f>
        <v/>
      </c>
      <c r="G61" s="21">
        <f>INDEX(①データ入力!$B$3:$Y$39,C61,(B61-1)*5+3)</f>
        <v/>
      </c>
      <c r="H61" s="21">
        <f>INDEX(①データ入力!$B$3:$Y$39,C61,(B61-1)*5+4)&amp;""</f>
        <v/>
      </c>
      <c r="I61" s="21">
        <f>IF(LEFT(TRIM(H61),1)="赤","赤",IF(LEFT(TRIM(H61),1)="白","白",""))</f>
        <v/>
      </c>
      <c r="J61" s="21">
        <f>IF(AND(D61&lt;&gt;"",F61&lt;&gt;"",I61&lt;&gt;"",ISNUMBER(G61)),F61&amp;I61,"")</f>
        <v/>
      </c>
      <c r="K61" s="21">
        <f>IF(J61="","",COUNTIFS($J$2:$J$186,J61,$G$2:$G$186,"&lt;"&amp;G61)+COUNTIFS($J$2:$J$186,J61,$G$2:$G$186,G61,$A$2:$A$186,"&lt;"&amp;A61)+1)</f>
        <v/>
      </c>
      <c r="L61" s="21">
        <f>IF(J61="","",J61&amp;K61)</f>
        <v/>
      </c>
      <c r="M61" s="21">
        <f>B61&amp;"組"</f>
        <v/>
      </c>
      <c r="N61" s="21">
        <f>IF(AND(D61&lt;&gt;"",J61=""),1,0)</f>
        <v/>
      </c>
      <c r="AK61">
        <f>IF(J61="","",IF(J61="男赤",COUNTIF($Y$2:$Y$51,"&lt;"&amp;K61),IF(J61="男白",COUNTIF($Z$2:$Z$51,"&lt;"&amp;K61),IF(J61="女赤",COUNTIF($AH$2:$AH$51,"&lt;"&amp;K61),COUNTIF($AI$2:$AI$51,"&lt;"&amp;K61))))+1)</f>
        <v/>
      </c>
      <c r="AL61">
        <f>IF(AK61="","",IF(AK61=1,0,IF(J61="男赤",INDEX($Y$2:$Y$51,AK61-1),IF(J61="男白",INDEX($Z$2:$Z$51,AK61-1),IF(J61="女赤",INDEX($AH$2:$AH$51,AK61-1),INDEX($AI$2:$AI$51,AK61-1))))))</f>
        <v/>
      </c>
      <c r="AM61">
        <f>IF(AK61="","",IF(RIGHT(J61,1)="赤",K61-AL61,IF(LEFT(J61,1)="男",INDEX($W$2:$W$51,AK61),INDEX($AF$2:$AF$51,AK61))+K61-AL61))</f>
        <v/>
      </c>
      <c r="AN61">
        <f>IF(AK61="","",F61&amp;AK61&amp;"-"&amp;AM61)</f>
        <v/>
      </c>
    </row>
    <row r="62">
      <c r="A62" s="21">
        <f>ROW()-1</f>
        <v/>
      </c>
      <c r="B62" s="21">
        <f>INT((A62-1)/37)+1</f>
        <v/>
      </c>
      <c r="C62" s="21">
        <f>MOD(A62-1,37)+1</f>
        <v/>
      </c>
      <c r="D62" s="21">
        <f>INDEX(①データ入力!$B$3:$Y$39,C62,(B62-1)*5+1)&amp;""</f>
        <v/>
      </c>
      <c r="E62" s="21">
        <f>INDEX(①データ入力!$B$3:$Y$39,C62,(B62-1)*5+2)&amp;""</f>
        <v/>
      </c>
      <c r="F62" s="21">
        <f>IF(OR(E62="1",E62="１",E62="男"),"男",IF(OR(E62="2",E62="２",E62="女"),"女",""))</f>
        <v/>
      </c>
      <c r="G62" s="21">
        <f>INDEX(①データ入力!$B$3:$Y$39,C62,(B62-1)*5+3)</f>
        <v/>
      </c>
      <c r="H62" s="21">
        <f>INDEX(①データ入力!$B$3:$Y$39,C62,(B62-1)*5+4)&amp;""</f>
        <v/>
      </c>
      <c r="I62" s="21">
        <f>IF(LEFT(TRIM(H62),1)="赤","赤",IF(LEFT(TRIM(H62),1)="白","白",""))</f>
        <v/>
      </c>
      <c r="J62" s="21">
        <f>IF(AND(D62&lt;&gt;"",F62&lt;&gt;"",I62&lt;&gt;"",ISNUMBER(G62)),F62&amp;I62,"")</f>
        <v/>
      </c>
      <c r="K62" s="21">
        <f>IF(J62="","",COUNTIFS($J$2:$J$186,J62,$G$2:$G$186,"&lt;"&amp;G62)+COUNTIFS($J$2:$J$186,J62,$G$2:$G$186,G62,$A$2:$A$186,"&lt;"&amp;A62)+1)</f>
        <v/>
      </c>
      <c r="L62" s="21">
        <f>IF(J62="","",J62&amp;K62)</f>
        <v/>
      </c>
      <c r="M62" s="21">
        <f>B62&amp;"組"</f>
        <v/>
      </c>
      <c r="N62" s="21">
        <f>IF(AND(D62&lt;&gt;"",J62=""),1,0)</f>
        <v/>
      </c>
      <c r="AK62">
        <f>IF(J62="","",IF(J62="男赤",COUNTIF($Y$2:$Y$51,"&lt;"&amp;K62),IF(J62="男白",COUNTIF($Z$2:$Z$51,"&lt;"&amp;K62),IF(J62="女赤",COUNTIF($AH$2:$AH$51,"&lt;"&amp;K62),COUNTIF($AI$2:$AI$51,"&lt;"&amp;K62))))+1)</f>
        <v/>
      </c>
      <c r="AL62">
        <f>IF(AK62="","",IF(AK62=1,0,IF(J62="男赤",INDEX($Y$2:$Y$51,AK62-1),IF(J62="男白",INDEX($Z$2:$Z$51,AK62-1),IF(J62="女赤",INDEX($AH$2:$AH$51,AK62-1),INDEX($AI$2:$AI$51,AK62-1))))))</f>
        <v/>
      </c>
      <c r="AM62">
        <f>IF(AK62="","",IF(RIGHT(J62,1)="赤",K62-AL62,IF(LEFT(J62,1)="男",INDEX($W$2:$W$51,AK62),INDEX($AF$2:$AF$51,AK62))+K62-AL62))</f>
        <v/>
      </c>
      <c r="AN62">
        <f>IF(AK62="","",F62&amp;AK62&amp;"-"&amp;AM62)</f>
        <v/>
      </c>
    </row>
    <row r="63">
      <c r="A63" s="21">
        <f>ROW()-1</f>
        <v/>
      </c>
      <c r="B63" s="21">
        <f>INT((A63-1)/37)+1</f>
        <v/>
      </c>
      <c r="C63" s="21">
        <f>MOD(A63-1,37)+1</f>
        <v/>
      </c>
      <c r="D63" s="21">
        <f>INDEX(①データ入力!$B$3:$Y$39,C63,(B63-1)*5+1)&amp;""</f>
        <v/>
      </c>
      <c r="E63" s="21">
        <f>INDEX(①データ入力!$B$3:$Y$39,C63,(B63-1)*5+2)&amp;""</f>
        <v/>
      </c>
      <c r="F63" s="21">
        <f>IF(OR(E63="1",E63="１",E63="男"),"男",IF(OR(E63="2",E63="２",E63="女"),"女",""))</f>
        <v/>
      </c>
      <c r="G63" s="21">
        <f>INDEX(①データ入力!$B$3:$Y$39,C63,(B63-1)*5+3)</f>
        <v/>
      </c>
      <c r="H63" s="21">
        <f>INDEX(①データ入力!$B$3:$Y$39,C63,(B63-1)*5+4)&amp;""</f>
        <v/>
      </c>
      <c r="I63" s="21">
        <f>IF(LEFT(TRIM(H63),1)="赤","赤",IF(LEFT(TRIM(H63),1)="白","白",""))</f>
        <v/>
      </c>
      <c r="J63" s="21">
        <f>IF(AND(D63&lt;&gt;"",F63&lt;&gt;"",I63&lt;&gt;"",ISNUMBER(G63)),F63&amp;I63,"")</f>
        <v/>
      </c>
      <c r="K63" s="21">
        <f>IF(J63="","",COUNTIFS($J$2:$J$186,J63,$G$2:$G$186,"&lt;"&amp;G63)+COUNTIFS($J$2:$J$186,J63,$G$2:$G$186,G63,$A$2:$A$186,"&lt;"&amp;A63)+1)</f>
        <v/>
      </c>
      <c r="L63" s="21">
        <f>IF(J63="","",J63&amp;K63)</f>
        <v/>
      </c>
      <c r="M63" s="21">
        <f>B63&amp;"組"</f>
        <v/>
      </c>
      <c r="N63" s="21">
        <f>IF(AND(D63&lt;&gt;"",J63=""),1,0)</f>
        <v/>
      </c>
      <c r="AK63">
        <f>IF(J63="","",IF(J63="男赤",COUNTIF($Y$2:$Y$51,"&lt;"&amp;K63),IF(J63="男白",COUNTIF($Z$2:$Z$51,"&lt;"&amp;K63),IF(J63="女赤",COUNTIF($AH$2:$AH$51,"&lt;"&amp;K63),COUNTIF($AI$2:$AI$51,"&lt;"&amp;K63))))+1)</f>
        <v/>
      </c>
      <c r="AL63">
        <f>IF(AK63="","",IF(AK63=1,0,IF(J63="男赤",INDEX($Y$2:$Y$51,AK63-1),IF(J63="男白",INDEX($Z$2:$Z$51,AK63-1),IF(J63="女赤",INDEX($AH$2:$AH$51,AK63-1),INDEX($AI$2:$AI$51,AK63-1))))))</f>
        <v/>
      </c>
      <c r="AM63">
        <f>IF(AK63="","",IF(RIGHT(J63,1)="赤",K63-AL63,IF(LEFT(J63,1)="男",INDEX($W$2:$W$51,AK63),INDEX($AF$2:$AF$51,AK63))+K63-AL63))</f>
        <v/>
      </c>
      <c r="AN63">
        <f>IF(AK63="","",F63&amp;AK63&amp;"-"&amp;AM63)</f>
        <v/>
      </c>
    </row>
    <row r="64">
      <c r="A64" s="21">
        <f>ROW()-1</f>
        <v/>
      </c>
      <c r="B64" s="21">
        <f>INT((A64-1)/37)+1</f>
        <v/>
      </c>
      <c r="C64" s="21">
        <f>MOD(A64-1,37)+1</f>
        <v/>
      </c>
      <c r="D64" s="21">
        <f>INDEX(①データ入力!$B$3:$Y$39,C64,(B64-1)*5+1)&amp;""</f>
        <v/>
      </c>
      <c r="E64" s="21">
        <f>INDEX(①データ入力!$B$3:$Y$39,C64,(B64-1)*5+2)&amp;""</f>
        <v/>
      </c>
      <c r="F64" s="21">
        <f>IF(OR(E64="1",E64="１",E64="男"),"男",IF(OR(E64="2",E64="２",E64="女"),"女",""))</f>
        <v/>
      </c>
      <c r="G64" s="21">
        <f>INDEX(①データ入力!$B$3:$Y$39,C64,(B64-1)*5+3)</f>
        <v/>
      </c>
      <c r="H64" s="21">
        <f>INDEX(①データ入力!$B$3:$Y$39,C64,(B64-1)*5+4)&amp;""</f>
        <v/>
      </c>
      <c r="I64" s="21">
        <f>IF(LEFT(TRIM(H64),1)="赤","赤",IF(LEFT(TRIM(H64),1)="白","白",""))</f>
        <v/>
      </c>
      <c r="J64" s="21">
        <f>IF(AND(D64&lt;&gt;"",F64&lt;&gt;"",I64&lt;&gt;"",ISNUMBER(G64)),F64&amp;I64,"")</f>
        <v/>
      </c>
      <c r="K64" s="21">
        <f>IF(J64="","",COUNTIFS($J$2:$J$186,J64,$G$2:$G$186,"&lt;"&amp;G64)+COUNTIFS($J$2:$J$186,J64,$G$2:$G$186,G64,$A$2:$A$186,"&lt;"&amp;A64)+1)</f>
        <v/>
      </c>
      <c r="L64" s="21">
        <f>IF(J64="","",J64&amp;K64)</f>
        <v/>
      </c>
      <c r="M64" s="21">
        <f>B64&amp;"組"</f>
        <v/>
      </c>
      <c r="N64" s="21">
        <f>IF(AND(D64&lt;&gt;"",J64=""),1,0)</f>
        <v/>
      </c>
      <c r="AK64">
        <f>IF(J64="","",IF(J64="男赤",COUNTIF($Y$2:$Y$51,"&lt;"&amp;K64),IF(J64="男白",COUNTIF($Z$2:$Z$51,"&lt;"&amp;K64),IF(J64="女赤",COUNTIF($AH$2:$AH$51,"&lt;"&amp;K64),COUNTIF($AI$2:$AI$51,"&lt;"&amp;K64))))+1)</f>
        <v/>
      </c>
      <c r="AL64">
        <f>IF(AK64="","",IF(AK64=1,0,IF(J64="男赤",INDEX($Y$2:$Y$51,AK64-1),IF(J64="男白",INDEX($Z$2:$Z$51,AK64-1),IF(J64="女赤",INDEX($AH$2:$AH$51,AK64-1),INDEX($AI$2:$AI$51,AK64-1))))))</f>
        <v/>
      </c>
      <c r="AM64">
        <f>IF(AK64="","",IF(RIGHT(J64,1)="赤",K64-AL64,IF(LEFT(J64,1)="男",INDEX($W$2:$W$51,AK64),INDEX($AF$2:$AF$51,AK64))+K64-AL64))</f>
        <v/>
      </c>
      <c r="AN64">
        <f>IF(AK64="","",F64&amp;AK64&amp;"-"&amp;AM64)</f>
        <v/>
      </c>
    </row>
    <row r="65">
      <c r="A65" s="21">
        <f>ROW()-1</f>
        <v/>
      </c>
      <c r="B65" s="21">
        <f>INT((A65-1)/37)+1</f>
        <v/>
      </c>
      <c r="C65" s="21">
        <f>MOD(A65-1,37)+1</f>
        <v/>
      </c>
      <c r="D65" s="21">
        <f>INDEX(①データ入力!$B$3:$Y$39,C65,(B65-1)*5+1)&amp;""</f>
        <v/>
      </c>
      <c r="E65" s="21">
        <f>INDEX(①データ入力!$B$3:$Y$39,C65,(B65-1)*5+2)&amp;""</f>
        <v/>
      </c>
      <c r="F65" s="21">
        <f>IF(OR(E65="1",E65="１",E65="男"),"男",IF(OR(E65="2",E65="２",E65="女"),"女",""))</f>
        <v/>
      </c>
      <c r="G65" s="21">
        <f>INDEX(①データ入力!$B$3:$Y$39,C65,(B65-1)*5+3)</f>
        <v/>
      </c>
      <c r="H65" s="21">
        <f>INDEX(①データ入力!$B$3:$Y$39,C65,(B65-1)*5+4)&amp;""</f>
        <v/>
      </c>
      <c r="I65" s="21">
        <f>IF(LEFT(TRIM(H65),1)="赤","赤",IF(LEFT(TRIM(H65),1)="白","白",""))</f>
        <v/>
      </c>
      <c r="J65" s="21">
        <f>IF(AND(D65&lt;&gt;"",F65&lt;&gt;"",I65&lt;&gt;"",ISNUMBER(G65)),F65&amp;I65,"")</f>
        <v/>
      </c>
      <c r="K65" s="21">
        <f>IF(J65="","",COUNTIFS($J$2:$J$186,J65,$G$2:$G$186,"&lt;"&amp;G65)+COUNTIFS($J$2:$J$186,J65,$G$2:$G$186,G65,$A$2:$A$186,"&lt;"&amp;A65)+1)</f>
        <v/>
      </c>
      <c r="L65" s="21">
        <f>IF(J65="","",J65&amp;K65)</f>
        <v/>
      </c>
      <c r="M65" s="21">
        <f>B65&amp;"組"</f>
        <v/>
      </c>
      <c r="N65" s="21">
        <f>IF(AND(D65&lt;&gt;"",J65=""),1,0)</f>
        <v/>
      </c>
      <c r="AK65">
        <f>IF(J65="","",IF(J65="男赤",COUNTIF($Y$2:$Y$51,"&lt;"&amp;K65),IF(J65="男白",COUNTIF($Z$2:$Z$51,"&lt;"&amp;K65),IF(J65="女赤",COUNTIF($AH$2:$AH$51,"&lt;"&amp;K65),COUNTIF($AI$2:$AI$51,"&lt;"&amp;K65))))+1)</f>
        <v/>
      </c>
      <c r="AL65">
        <f>IF(AK65="","",IF(AK65=1,0,IF(J65="男赤",INDEX($Y$2:$Y$51,AK65-1),IF(J65="男白",INDEX($Z$2:$Z$51,AK65-1),IF(J65="女赤",INDEX($AH$2:$AH$51,AK65-1),INDEX($AI$2:$AI$51,AK65-1))))))</f>
        <v/>
      </c>
      <c r="AM65">
        <f>IF(AK65="","",IF(RIGHT(J65,1)="赤",K65-AL65,IF(LEFT(J65,1)="男",INDEX($W$2:$W$51,AK65),INDEX($AF$2:$AF$51,AK65))+K65-AL65))</f>
        <v/>
      </c>
      <c r="AN65">
        <f>IF(AK65="","",F65&amp;AK65&amp;"-"&amp;AM65)</f>
        <v/>
      </c>
    </row>
    <row r="66">
      <c r="A66" s="21">
        <f>ROW()-1</f>
        <v/>
      </c>
      <c r="B66" s="21">
        <f>INT((A66-1)/37)+1</f>
        <v/>
      </c>
      <c r="C66" s="21">
        <f>MOD(A66-1,37)+1</f>
        <v/>
      </c>
      <c r="D66" s="21">
        <f>INDEX(①データ入力!$B$3:$Y$39,C66,(B66-1)*5+1)&amp;""</f>
        <v/>
      </c>
      <c r="E66" s="21">
        <f>INDEX(①データ入力!$B$3:$Y$39,C66,(B66-1)*5+2)&amp;""</f>
        <v/>
      </c>
      <c r="F66" s="21">
        <f>IF(OR(E66="1",E66="１",E66="男"),"男",IF(OR(E66="2",E66="２",E66="女"),"女",""))</f>
        <v/>
      </c>
      <c r="G66" s="21">
        <f>INDEX(①データ入力!$B$3:$Y$39,C66,(B66-1)*5+3)</f>
        <v/>
      </c>
      <c r="H66" s="21">
        <f>INDEX(①データ入力!$B$3:$Y$39,C66,(B66-1)*5+4)&amp;""</f>
        <v/>
      </c>
      <c r="I66" s="21">
        <f>IF(LEFT(TRIM(H66),1)="赤","赤",IF(LEFT(TRIM(H66),1)="白","白",""))</f>
        <v/>
      </c>
      <c r="J66" s="21">
        <f>IF(AND(D66&lt;&gt;"",F66&lt;&gt;"",I66&lt;&gt;"",ISNUMBER(G66)),F66&amp;I66,"")</f>
        <v/>
      </c>
      <c r="K66" s="21">
        <f>IF(J66="","",COUNTIFS($J$2:$J$186,J66,$G$2:$G$186,"&lt;"&amp;G66)+COUNTIFS($J$2:$J$186,J66,$G$2:$G$186,G66,$A$2:$A$186,"&lt;"&amp;A66)+1)</f>
        <v/>
      </c>
      <c r="L66" s="21">
        <f>IF(J66="","",J66&amp;K66)</f>
        <v/>
      </c>
      <c r="M66" s="21">
        <f>B66&amp;"組"</f>
        <v/>
      </c>
      <c r="N66" s="21">
        <f>IF(AND(D66&lt;&gt;"",J66=""),1,0)</f>
        <v/>
      </c>
      <c r="AK66">
        <f>IF(J66="","",IF(J66="男赤",COUNTIF($Y$2:$Y$51,"&lt;"&amp;K66),IF(J66="男白",COUNTIF($Z$2:$Z$51,"&lt;"&amp;K66),IF(J66="女赤",COUNTIF($AH$2:$AH$51,"&lt;"&amp;K66),COUNTIF($AI$2:$AI$51,"&lt;"&amp;K66))))+1)</f>
        <v/>
      </c>
      <c r="AL66">
        <f>IF(AK66="","",IF(AK66=1,0,IF(J66="男赤",INDEX($Y$2:$Y$51,AK66-1),IF(J66="男白",INDEX($Z$2:$Z$51,AK66-1),IF(J66="女赤",INDEX($AH$2:$AH$51,AK66-1),INDEX($AI$2:$AI$51,AK66-1))))))</f>
        <v/>
      </c>
      <c r="AM66">
        <f>IF(AK66="","",IF(RIGHT(J66,1)="赤",K66-AL66,IF(LEFT(J66,1)="男",INDEX($W$2:$W$51,AK66),INDEX($AF$2:$AF$51,AK66))+K66-AL66))</f>
        <v/>
      </c>
      <c r="AN66">
        <f>IF(AK66="","",F66&amp;AK66&amp;"-"&amp;AM66)</f>
        <v/>
      </c>
    </row>
    <row r="67">
      <c r="A67" s="21">
        <f>ROW()-1</f>
        <v/>
      </c>
      <c r="B67" s="21">
        <f>INT((A67-1)/37)+1</f>
        <v/>
      </c>
      <c r="C67" s="21">
        <f>MOD(A67-1,37)+1</f>
        <v/>
      </c>
      <c r="D67" s="21">
        <f>INDEX(①データ入力!$B$3:$Y$39,C67,(B67-1)*5+1)&amp;""</f>
        <v/>
      </c>
      <c r="E67" s="21">
        <f>INDEX(①データ入力!$B$3:$Y$39,C67,(B67-1)*5+2)&amp;""</f>
        <v/>
      </c>
      <c r="F67" s="21">
        <f>IF(OR(E67="1",E67="１",E67="男"),"男",IF(OR(E67="2",E67="２",E67="女"),"女",""))</f>
        <v/>
      </c>
      <c r="G67" s="21">
        <f>INDEX(①データ入力!$B$3:$Y$39,C67,(B67-1)*5+3)</f>
        <v/>
      </c>
      <c r="H67" s="21">
        <f>INDEX(①データ入力!$B$3:$Y$39,C67,(B67-1)*5+4)&amp;""</f>
        <v/>
      </c>
      <c r="I67" s="21">
        <f>IF(LEFT(TRIM(H67),1)="赤","赤",IF(LEFT(TRIM(H67),1)="白","白",""))</f>
        <v/>
      </c>
      <c r="J67" s="21">
        <f>IF(AND(D67&lt;&gt;"",F67&lt;&gt;"",I67&lt;&gt;"",ISNUMBER(G67)),F67&amp;I67,"")</f>
        <v/>
      </c>
      <c r="K67" s="21">
        <f>IF(J67="","",COUNTIFS($J$2:$J$186,J67,$G$2:$G$186,"&lt;"&amp;G67)+COUNTIFS($J$2:$J$186,J67,$G$2:$G$186,G67,$A$2:$A$186,"&lt;"&amp;A67)+1)</f>
        <v/>
      </c>
      <c r="L67" s="21">
        <f>IF(J67="","",J67&amp;K67)</f>
        <v/>
      </c>
      <c r="M67" s="21">
        <f>B67&amp;"組"</f>
        <v/>
      </c>
      <c r="N67" s="21">
        <f>IF(AND(D67&lt;&gt;"",J67=""),1,0)</f>
        <v/>
      </c>
      <c r="AK67">
        <f>IF(J67="","",IF(J67="男赤",COUNTIF($Y$2:$Y$51,"&lt;"&amp;K67),IF(J67="男白",COUNTIF($Z$2:$Z$51,"&lt;"&amp;K67),IF(J67="女赤",COUNTIF($AH$2:$AH$51,"&lt;"&amp;K67),COUNTIF($AI$2:$AI$51,"&lt;"&amp;K67))))+1)</f>
        <v/>
      </c>
      <c r="AL67">
        <f>IF(AK67="","",IF(AK67=1,0,IF(J67="男赤",INDEX($Y$2:$Y$51,AK67-1),IF(J67="男白",INDEX($Z$2:$Z$51,AK67-1),IF(J67="女赤",INDEX($AH$2:$AH$51,AK67-1),INDEX($AI$2:$AI$51,AK67-1))))))</f>
        <v/>
      </c>
      <c r="AM67">
        <f>IF(AK67="","",IF(RIGHT(J67,1)="赤",K67-AL67,IF(LEFT(J67,1)="男",INDEX($W$2:$W$51,AK67),INDEX($AF$2:$AF$51,AK67))+K67-AL67))</f>
        <v/>
      </c>
      <c r="AN67">
        <f>IF(AK67="","",F67&amp;AK67&amp;"-"&amp;AM67)</f>
        <v/>
      </c>
    </row>
    <row r="68">
      <c r="A68" s="21">
        <f>ROW()-1</f>
        <v/>
      </c>
      <c r="B68" s="21">
        <f>INT((A68-1)/37)+1</f>
        <v/>
      </c>
      <c r="C68" s="21">
        <f>MOD(A68-1,37)+1</f>
        <v/>
      </c>
      <c r="D68" s="21">
        <f>INDEX(①データ入力!$B$3:$Y$39,C68,(B68-1)*5+1)&amp;""</f>
        <v/>
      </c>
      <c r="E68" s="21">
        <f>INDEX(①データ入力!$B$3:$Y$39,C68,(B68-1)*5+2)&amp;""</f>
        <v/>
      </c>
      <c r="F68" s="21">
        <f>IF(OR(E68="1",E68="１",E68="男"),"男",IF(OR(E68="2",E68="２",E68="女"),"女",""))</f>
        <v/>
      </c>
      <c r="G68" s="21">
        <f>INDEX(①データ入力!$B$3:$Y$39,C68,(B68-1)*5+3)</f>
        <v/>
      </c>
      <c r="H68" s="21">
        <f>INDEX(①データ入力!$B$3:$Y$39,C68,(B68-1)*5+4)&amp;""</f>
        <v/>
      </c>
      <c r="I68" s="21">
        <f>IF(LEFT(TRIM(H68),1)="赤","赤",IF(LEFT(TRIM(H68),1)="白","白",""))</f>
        <v/>
      </c>
      <c r="J68" s="21">
        <f>IF(AND(D68&lt;&gt;"",F68&lt;&gt;"",I68&lt;&gt;"",ISNUMBER(G68)),F68&amp;I68,"")</f>
        <v/>
      </c>
      <c r="K68" s="21">
        <f>IF(J68="","",COUNTIFS($J$2:$J$186,J68,$G$2:$G$186,"&lt;"&amp;G68)+COUNTIFS($J$2:$J$186,J68,$G$2:$G$186,G68,$A$2:$A$186,"&lt;"&amp;A68)+1)</f>
        <v/>
      </c>
      <c r="L68" s="21">
        <f>IF(J68="","",J68&amp;K68)</f>
        <v/>
      </c>
      <c r="M68" s="21">
        <f>B68&amp;"組"</f>
        <v/>
      </c>
      <c r="N68" s="21">
        <f>IF(AND(D68&lt;&gt;"",J68=""),1,0)</f>
        <v/>
      </c>
      <c r="AK68">
        <f>IF(J68="","",IF(J68="男赤",COUNTIF($Y$2:$Y$51,"&lt;"&amp;K68),IF(J68="男白",COUNTIF($Z$2:$Z$51,"&lt;"&amp;K68),IF(J68="女赤",COUNTIF($AH$2:$AH$51,"&lt;"&amp;K68),COUNTIF($AI$2:$AI$51,"&lt;"&amp;K68))))+1)</f>
        <v/>
      </c>
      <c r="AL68">
        <f>IF(AK68="","",IF(AK68=1,0,IF(J68="男赤",INDEX($Y$2:$Y$51,AK68-1),IF(J68="男白",INDEX($Z$2:$Z$51,AK68-1),IF(J68="女赤",INDEX($AH$2:$AH$51,AK68-1),INDEX($AI$2:$AI$51,AK68-1))))))</f>
        <v/>
      </c>
      <c r="AM68">
        <f>IF(AK68="","",IF(RIGHT(J68,1)="赤",K68-AL68,IF(LEFT(J68,1)="男",INDEX($W$2:$W$51,AK68),INDEX($AF$2:$AF$51,AK68))+K68-AL68))</f>
        <v/>
      </c>
      <c r="AN68">
        <f>IF(AK68="","",F68&amp;AK68&amp;"-"&amp;AM68)</f>
        <v/>
      </c>
    </row>
    <row r="69">
      <c r="A69" s="21">
        <f>ROW()-1</f>
        <v/>
      </c>
      <c r="B69" s="21">
        <f>INT((A69-1)/37)+1</f>
        <v/>
      </c>
      <c r="C69" s="21">
        <f>MOD(A69-1,37)+1</f>
        <v/>
      </c>
      <c r="D69" s="21">
        <f>INDEX(①データ入力!$B$3:$Y$39,C69,(B69-1)*5+1)&amp;""</f>
        <v/>
      </c>
      <c r="E69" s="21">
        <f>INDEX(①データ入力!$B$3:$Y$39,C69,(B69-1)*5+2)&amp;""</f>
        <v/>
      </c>
      <c r="F69" s="21">
        <f>IF(OR(E69="1",E69="１",E69="男"),"男",IF(OR(E69="2",E69="２",E69="女"),"女",""))</f>
        <v/>
      </c>
      <c r="G69" s="21">
        <f>INDEX(①データ入力!$B$3:$Y$39,C69,(B69-1)*5+3)</f>
        <v/>
      </c>
      <c r="H69" s="21">
        <f>INDEX(①データ入力!$B$3:$Y$39,C69,(B69-1)*5+4)&amp;""</f>
        <v/>
      </c>
      <c r="I69" s="21">
        <f>IF(LEFT(TRIM(H69),1)="赤","赤",IF(LEFT(TRIM(H69),1)="白","白",""))</f>
        <v/>
      </c>
      <c r="J69" s="21">
        <f>IF(AND(D69&lt;&gt;"",F69&lt;&gt;"",I69&lt;&gt;"",ISNUMBER(G69)),F69&amp;I69,"")</f>
        <v/>
      </c>
      <c r="K69" s="21">
        <f>IF(J69="","",COUNTIFS($J$2:$J$186,J69,$G$2:$G$186,"&lt;"&amp;G69)+COUNTIFS($J$2:$J$186,J69,$G$2:$G$186,G69,$A$2:$A$186,"&lt;"&amp;A69)+1)</f>
        <v/>
      </c>
      <c r="L69" s="21">
        <f>IF(J69="","",J69&amp;K69)</f>
        <v/>
      </c>
      <c r="M69" s="21">
        <f>B69&amp;"組"</f>
        <v/>
      </c>
      <c r="N69" s="21">
        <f>IF(AND(D69&lt;&gt;"",J69=""),1,0)</f>
        <v/>
      </c>
      <c r="AK69">
        <f>IF(J69="","",IF(J69="男赤",COUNTIF($Y$2:$Y$51,"&lt;"&amp;K69),IF(J69="男白",COUNTIF($Z$2:$Z$51,"&lt;"&amp;K69),IF(J69="女赤",COUNTIF($AH$2:$AH$51,"&lt;"&amp;K69),COUNTIF($AI$2:$AI$51,"&lt;"&amp;K69))))+1)</f>
        <v/>
      </c>
      <c r="AL69">
        <f>IF(AK69="","",IF(AK69=1,0,IF(J69="男赤",INDEX($Y$2:$Y$51,AK69-1),IF(J69="男白",INDEX($Z$2:$Z$51,AK69-1),IF(J69="女赤",INDEX($AH$2:$AH$51,AK69-1),INDEX($AI$2:$AI$51,AK69-1))))))</f>
        <v/>
      </c>
      <c r="AM69">
        <f>IF(AK69="","",IF(RIGHT(J69,1)="赤",K69-AL69,IF(LEFT(J69,1)="男",INDEX($W$2:$W$51,AK69),INDEX($AF$2:$AF$51,AK69))+K69-AL69))</f>
        <v/>
      </c>
      <c r="AN69">
        <f>IF(AK69="","",F69&amp;AK69&amp;"-"&amp;AM69)</f>
        <v/>
      </c>
    </row>
    <row r="70">
      <c r="A70" s="21">
        <f>ROW()-1</f>
        <v/>
      </c>
      <c r="B70" s="21">
        <f>INT((A70-1)/37)+1</f>
        <v/>
      </c>
      <c r="C70" s="21">
        <f>MOD(A70-1,37)+1</f>
        <v/>
      </c>
      <c r="D70" s="21">
        <f>INDEX(①データ入力!$B$3:$Y$39,C70,(B70-1)*5+1)&amp;""</f>
        <v/>
      </c>
      <c r="E70" s="21">
        <f>INDEX(①データ入力!$B$3:$Y$39,C70,(B70-1)*5+2)&amp;""</f>
        <v/>
      </c>
      <c r="F70" s="21">
        <f>IF(OR(E70="1",E70="１",E70="男"),"男",IF(OR(E70="2",E70="２",E70="女"),"女",""))</f>
        <v/>
      </c>
      <c r="G70" s="21">
        <f>INDEX(①データ入力!$B$3:$Y$39,C70,(B70-1)*5+3)</f>
        <v/>
      </c>
      <c r="H70" s="21">
        <f>INDEX(①データ入力!$B$3:$Y$39,C70,(B70-1)*5+4)&amp;""</f>
        <v/>
      </c>
      <c r="I70" s="21">
        <f>IF(LEFT(TRIM(H70),1)="赤","赤",IF(LEFT(TRIM(H70),1)="白","白",""))</f>
        <v/>
      </c>
      <c r="J70" s="21">
        <f>IF(AND(D70&lt;&gt;"",F70&lt;&gt;"",I70&lt;&gt;"",ISNUMBER(G70)),F70&amp;I70,"")</f>
        <v/>
      </c>
      <c r="K70" s="21">
        <f>IF(J70="","",COUNTIFS($J$2:$J$186,J70,$G$2:$G$186,"&lt;"&amp;G70)+COUNTIFS($J$2:$J$186,J70,$G$2:$G$186,G70,$A$2:$A$186,"&lt;"&amp;A70)+1)</f>
        <v/>
      </c>
      <c r="L70" s="21">
        <f>IF(J70="","",J70&amp;K70)</f>
        <v/>
      </c>
      <c r="M70" s="21">
        <f>B70&amp;"組"</f>
        <v/>
      </c>
      <c r="N70" s="21">
        <f>IF(AND(D70&lt;&gt;"",J70=""),1,0)</f>
        <v/>
      </c>
      <c r="AK70">
        <f>IF(J70="","",IF(J70="男赤",COUNTIF($Y$2:$Y$51,"&lt;"&amp;K70),IF(J70="男白",COUNTIF($Z$2:$Z$51,"&lt;"&amp;K70),IF(J70="女赤",COUNTIF($AH$2:$AH$51,"&lt;"&amp;K70),COUNTIF($AI$2:$AI$51,"&lt;"&amp;K70))))+1)</f>
        <v/>
      </c>
      <c r="AL70">
        <f>IF(AK70="","",IF(AK70=1,0,IF(J70="男赤",INDEX($Y$2:$Y$51,AK70-1),IF(J70="男白",INDEX($Z$2:$Z$51,AK70-1),IF(J70="女赤",INDEX($AH$2:$AH$51,AK70-1),INDEX($AI$2:$AI$51,AK70-1))))))</f>
        <v/>
      </c>
      <c r="AM70">
        <f>IF(AK70="","",IF(RIGHT(J70,1)="赤",K70-AL70,IF(LEFT(J70,1)="男",INDEX($W$2:$W$51,AK70),INDEX($AF$2:$AF$51,AK70))+K70-AL70))</f>
        <v/>
      </c>
      <c r="AN70">
        <f>IF(AK70="","",F70&amp;AK70&amp;"-"&amp;AM70)</f>
        <v/>
      </c>
    </row>
    <row r="71">
      <c r="A71" s="21">
        <f>ROW()-1</f>
        <v/>
      </c>
      <c r="B71" s="21">
        <f>INT((A71-1)/37)+1</f>
        <v/>
      </c>
      <c r="C71" s="21">
        <f>MOD(A71-1,37)+1</f>
        <v/>
      </c>
      <c r="D71" s="21">
        <f>INDEX(①データ入力!$B$3:$Y$39,C71,(B71-1)*5+1)&amp;""</f>
        <v/>
      </c>
      <c r="E71" s="21">
        <f>INDEX(①データ入力!$B$3:$Y$39,C71,(B71-1)*5+2)&amp;""</f>
        <v/>
      </c>
      <c r="F71" s="21">
        <f>IF(OR(E71="1",E71="１",E71="男"),"男",IF(OR(E71="2",E71="２",E71="女"),"女",""))</f>
        <v/>
      </c>
      <c r="G71" s="21">
        <f>INDEX(①データ入力!$B$3:$Y$39,C71,(B71-1)*5+3)</f>
        <v/>
      </c>
      <c r="H71" s="21">
        <f>INDEX(①データ入力!$B$3:$Y$39,C71,(B71-1)*5+4)&amp;""</f>
        <v/>
      </c>
      <c r="I71" s="21">
        <f>IF(LEFT(TRIM(H71),1)="赤","赤",IF(LEFT(TRIM(H71),1)="白","白",""))</f>
        <v/>
      </c>
      <c r="J71" s="21">
        <f>IF(AND(D71&lt;&gt;"",F71&lt;&gt;"",I71&lt;&gt;"",ISNUMBER(G71)),F71&amp;I71,"")</f>
        <v/>
      </c>
      <c r="K71" s="21">
        <f>IF(J71="","",COUNTIFS($J$2:$J$186,J71,$G$2:$G$186,"&lt;"&amp;G71)+COUNTIFS($J$2:$J$186,J71,$G$2:$G$186,G71,$A$2:$A$186,"&lt;"&amp;A71)+1)</f>
        <v/>
      </c>
      <c r="L71" s="21">
        <f>IF(J71="","",J71&amp;K71)</f>
        <v/>
      </c>
      <c r="M71" s="21">
        <f>B71&amp;"組"</f>
        <v/>
      </c>
      <c r="N71" s="21">
        <f>IF(AND(D71&lt;&gt;"",J71=""),1,0)</f>
        <v/>
      </c>
      <c r="AK71">
        <f>IF(J71="","",IF(J71="男赤",COUNTIF($Y$2:$Y$51,"&lt;"&amp;K71),IF(J71="男白",COUNTIF($Z$2:$Z$51,"&lt;"&amp;K71),IF(J71="女赤",COUNTIF($AH$2:$AH$51,"&lt;"&amp;K71),COUNTIF($AI$2:$AI$51,"&lt;"&amp;K71))))+1)</f>
        <v/>
      </c>
      <c r="AL71">
        <f>IF(AK71="","",IF(AK71=1,0,IF(J71="男赤",INDEX($Y$2:$Y$51,AK71-1),IF(J71="男白",INDEX($Z$2:$Z$51,AK71-1),IF(J71="女赤",INDEX($AH$2:$AH$51,AK71-1),INDEX($AI$2:$AI$51,AK71-1))))))</f>
        <v/>
      </c>
      <c r="AM71">
        <f>IF(AK71="","",IF(RIGHT(J71,1)="赤",K71-AL71,IF(LEFT(J71,1)="男",INDEX($W$2:$W$51,AK71),INDEX($AF$2:$AF$51,AK71))+K71-AL71))</f>
        <v/>
      </c>
      <c r="AN71">
        <f>IF(AK71="","",F71&amp;AK71&amp;"-"&amp;AM71)</f>
        <v/>
      </c>
    </row>
    <row r="72">
      <c r="A72" s="21">
        <f>ROW()-1</f>
        <v/>
      </c>
      <c r="B72" s="21">
        <f>INT((A72-1)/37)+1</f>
        <v/>
      </c>
      <c r="C72" s="21">
        <f>MOD(A72-1,37)+1</f>
        <v/>
      </c>
      <c r="D72" s="21">
        <f>INDEX(①データ入力!$B$3:$Y$39,C72,(B72-1)*5+1)&amp;""</f>
        <v/>
      </c>
      <c r="E72" s="21">
        <f>INDEX(①データ入力!$B$3:$Y$39,C72,(B72-1)*5+2)&amp;""</f>
        <v/>
      </c>
      <c r="F72" s="21">
        <f>IF(OR(E72="1",E72="１",E72="男"),"男",IF(OR(E72="2",E72="２",E72="女"),"女",""))</f>
        <v/>
      </c>
      <c r="G72" s="21">
        <f>INDEX(①データ入力!$B$3:$Y$39,C72,(B72-1)*5+3)</f>
        <v/>
      </c>
      <c r="H72" s="21">
        <f>INDEX(①データ入力!$B$3:$Y$39,C72,(B72-1)*5+4)&amp;""</f>
        <v/>
      </c>
      <c r="I72" s="21">
        <f>IF(LEFT(TRIM(H72),1)="赤","赤",IF(LEFT(TRIM(H72),1)="白","白",""))</f>
        <v/>
      </c>
      <c r="J72" s="21">
        <f>IF(AND(D72&lt;&gt;"",F72&lt;&gt;"",I72&lt;&gt;"",ISNUMBER(G72)),F72&amp;I72,"")</f>
        <v/>
      </c>
      <c r="K72" s="21">
        <f>IF(J72="","",COUNTIFS($J$2:$J$186,J72,$G$2:$G$186,"&lt;"&amp;G72)+COUNTIFS($J$2:$J$186,J72,$G$2:$G$186,G72,$A$2:$A$186,"&lt;"&amp;A72)+1)</f>
        <v/>
      </c>
      <c r="L72" s="21">
        <f>IF(J72="","",J72&amp;K72)</f>
        <v/>
      </c>
      <c r="M72" s="21">
        <f>B72&amp;"組"</f>
        <v/>
      </c>
      <c r="N72" s="21">
        <f>IF(AND(D72&lt;&gt;"",J72=""),1,0)</f>
        <v/>
      </c>
      <c r="AK72">
        <f>IF(J72="","",IF(J72="男赤",COUNTIF($Y$2:$Y$51,"&lt;"&amp;K72),IF(J72="男白",COUNTIF($Z$2:$Z$51,"&lt;"&amp;K72),IF(J72="女赤",COUNTIF($AH$2:$AH$51,"&lt;"&amp;K72),COUNTIF($AI$2:$AI$51,"&lt;"&amp;K72))))+1)</f>
        <v/>
      </c>
      <c r="AL72">
        <f>IF(AK72="","",IF(AK72=1,0,IF(J72="男赤",INDEX($Y$2:$Y$51,AK72-1),IF(J72="男白",INDEX($Z$2:$Z$51,AK72-1),IF(J72="女赤",INDEX($AH$2:$AH$51,AK72-1),INDEX($AI$2:$AI$51,AK72-1))))))</f>
        <v/>
      </c>
      <c r="AM72">
        <f>IF(AK72="","",IF(RIGHT(J72,1)="赤",K72-AL72,IF(LEFT(J72,1)="男",INDEX($W$2:$W$51,AK72),INDEX($AF$2:$AF$51,AK72))+K72-AL72))</f>
        <v/>
      </c>
      <c r="AN72">
        <f>IF(AK72="","",F72&amp;AK72&amp;"-"&amp;AM72)</f>
        <v/>
      </c>
    </row>
    <row r="73">
      <c r="A73" s="21">
        <f>ROW()-1</f>
        <v/>
      </c>
      <c r="B73" s="21">
        <f>INT((A73-1)/37)+1</f>
        <v/>
      </c>
      <c r="C73" s="21">
        <f>MOD(A73-1,37)+1</f>
        <v/>
      </c>
      <c r="D73" s="21">
        <f>INDEX(①データ入力!$B$3:$Y$39,C73,(B73-1)*5+1)&amp;""</f>
        <v/>
      </c>
      <c r="E73" s="21">
        <f>INDEX(①データ入力!$B$3:$Y$39,C73,(B73-1)*5+2)&amp;""</f>
        <v/>
      </c>
      <c r="F73" s="21">
        <f>IF(OR(E73="1",E73="１",E73="男"),"男",IF(OR(E73="2",E73="２",E73="女"),"女",""))</f>
        <v/>
      </c>
      <c r="G73" s="21">
        <f>INDEX(①データ入力!$B$3:$Y$39,C73,(B73-1)*5+3)</f>
        <v/>
      </c>
      <c r="H73" s="21">
        <f>INDEX(①データ入力!$B$3:$Y$39,C73,(B73-1)*5+4)&amp;""</f>
        <v/>
      </c>
      <c r="I73" s="21">
        <f>IF(LEFT(TRIM(H73),1)="赤","赤",IF(LEFT(TRIM(H73),1)="白","白",""))</f>
        <v/>
      </c>
      <c r="J73" s="21">
        <f>IF(AND(D73&lt;&gt;"",F73&lt;&gt;"",I73&lt;&gt;"",ISNUMBER(G73)),F73&amp;I73,"")</f>
        <v/>
      </c>
      <c r="K73" s="21">
        <f>IF(J73="","",COUNTIFS($J$2:$J$186,J73,$G$2:$G$186,"&lt;"&amp;G73)+COUNTIFS($J$2:$J$186,J73,$G$2:$G$186,G73,$A$2:$A$186,"&lt;"&amp;A73)+1)</f>
        <v/>
      </c>
      <c r="L73" s="21">
        <f>IF(J73="","",J73&amp;K73)</f>
        <v/>
      </c>
      <c r="M73" s="21">
        <f>B73&amp;"組"</f>
        <v/>
      </c>
      <c r="N73" s="21">
        <f>IF(AND(D73&lt;&gt;"",J73=""),1,0)</f>
        <v/>
      </c>
      <c r="AK73">
        <f>IF(J73="","",IF(J73="男赤",COUNTIF($Y$2:$Y$51,"&lt;"&amp;K73),IF(J73="男白",COUNTIF($Z$2:$Z$51,"&lt;"&amp;K73),IF(J73="女赤",COUNTIF($AH$2:$AH$51,"&lt;"&amp;K73),COUNTIF($AI$2:$AI$51,"&lt;"&amp;K73))))+1)</f>
        <v/>
      </c>
      <c r="AL73">
        <f>IF(AK73="","",IF(AK73=1,0,IF(J73="男赤",INDEX($Y$2:$Y$51,AK73-1),IF(J73="男白",INDEX($Z$2:$Z$51,AK73-1),IF(J73="女赤",INDEX($AH$2:$AH$51,AK73-1),INDEX($AI$2:$AI$51,AK73-1))))))</f>
        <v/>
      </c>
      <c r="AM73">
        <f>IF(AK73="","",IF(RIGHT(J73,1)="赤",K73-AL73,IF(LEFT(J73,1)="男",INDEX($W$2:$W$51,AK73),INDEX($AF$2:$AF$51,AK73))+K73-AL73))</f>
        <v/>
      </c>
      <c r="AN73">
        <f>IF(AK73="","",F73&amp;AK73&amp;"-"&amp;AM73)</f>
        <v/>
      </c>
    </row>
    <row r="74">
      <c r="A74" s="21">
        <f>ROW()-1</f>
        <v/>
      </c>
      <c r="B74" s="21">
        <f>INT((A74-1)/37)+1</f>
        <v/>
      </c>
      <c r="C74" s="21">
        <f>MOD(A74-1,37)+1</f>
        <v/>
      </c>
      <c r="D74" s="21">
        <f>INDEX(①データ入力!$B$3:$Y$39,C74,(B74-1)*5+1)&amp;""</f>
        <v/>
      </c>
      <c r="E74" s="21">
        <f>INDEX(①データ入力!$B$3:$Y$39,C74,(B74-1)*5+2)&amp;""</f>
        <v/>
      </c>
      <c r="F74" s="21">
        <f>IF(OR(E74="1",E74="１",E74="男"),"男",IF(OR(E74="2",E74="２",E74="女"),"女",""))</f>
        <v/>
      </c>
      <c r="G74" s="21">
        <f>INDEX(①データ入力!$B$3:$Y$39,C74,(B74-1)*5+3)</f>
        <v/>
      </c>
      <c r="H74" s="21">
        <f>INDEX(①データ入力!$B$3:$Y$39,C74,(B74-1)*5+4)&amp;""</f>
        <v/>
      </c>
      <c r="I74" s="21">
        <f>IF(LEFT(TRIM(H74),1)="赤","赤",IF(LEFT(TRIM(H74),1)="白","白",""))</f>
        <v/>
      </c>
      <c r="J74" s="21">
        <f>IF(AND(D74&lt;&gt;"",F74&lt;&gt;"",I74&lt;&gt;"",ISNUMBER(G74)),F74&amp;I74,"")</f>
        <v/>
      </c>
      <c r="K74" s="21">
        <f>IF(J74="","",COUNTIFS($J$2:$J$186,J74,$G$2:$G$186,"&lt;"&amp;G74)+COUNTIFS($J$2:$J$186,J74,$G$2:$G$186,G74,$A$2:$A$186,"&lt;"&amp;A74)+1)</f>
        <v/>
      </c>
      <c r="L74" s="21">
        <f>IF(J74="","",J74&amp;K74)</f>
        <v/>
      </c>
      <c r="M74" s="21">
        <f>B74&amp;"組"</f>
        <v/>
      </c>
      <c r="N74" s="21">
        <f>IF(AND(D74&lt;&gt;"",J74=""),1,0)</f>
        <v/>
      </c>
      <c r="AK74">
        <f>IF(J74="","",IF(J74="男赤",COUNTIF($Y$2:$Y$51,"&lt;"&amp;K74),IF(J74="男白",COUNTIF($Z$2:$Z$51,"&lt;"&amp;K74),IF(J74="女赤",COUNTIF($AH$2:$AH$51,"&lt;"&amp;K74),COUNTIF($AI$2:$AI$51,"&lt;"&amp;K74))))+1)</f>
        <v/>
      </c>
      <c r="AL74">
        <f>IF(AK74="","",IF(AK74=1,0,IF(J74="男赤",INDEX($Y$2:$Y$51,AK74-1),IF(J74="男白",INDEX($Z$2:$Z$51,AK74-1),IF(J74="女赤",INDEX($AH$2:$AH$51,AK74-1),INDEX($AI$2:$AI$51,AK74-1))))))</f>
        <v/>
      </c>
      <c r="AM74">
        <f>IF(AK74="","",IF(RIGHT(J74,1)="赤",K74-AL74,IF(LEFT(J74,1)="男",INDEX($W$2:$W$51,AK74),INDEX($AF$2:$AF$51,AK74))+K74-AL74))</f>
        <v/>
      </c>
      <c r="AN74">
        <f>IF(AK74="","",F74&amp;AK74&amp;"-"&amp;AM74)</f>
        <v/>
      </c>
    </row>
    <row r="75">
      <c r="A75" s="21">
        <f>ROW()-1</f>
        <v/>
      </c>
      <c r="B75" s="21">
        <f>INT((A75-1)/37)+1</f>
        <v/>
      </c>
      <c r="C75" s="21">
        <f>MOD(A75-1,37)+1</f>
        <v/>
      </c>
      <c r="D75" s="21">
        <f>INDEX(①データ入力!$B$3:$Y$39,C75,(B75-1)*5+1)&amp;""</f>
        <v/>
      </c>
      <c r="E75" s="21">
        <f>INDEX(①データ入力!$B$3:$Y$39,C75,(B75-1)*5+2)&amp;""</f>
        <v/>
      </c>
      <c r="F75" s="21">
        <f>IF(OR(E75="1",E75="１",E75="男"),"男",IF(OR(E75="2",E75="２",E75="女"),"女",""))</f>
        <v/>
      </c>
      <c r="G75" s="21">
        <f>INDEX(①データ入力!$B$3:$Y$39,C75,(B75-1)*5+3)</f>
        <v/>
      </c>
      <c r="H75" s="21">
        <f>INDEX(①データ入力!$B$3:$Y$39,C75,(B75-1)*5+4)&amp;""</f>
        <v/>
      </c>
      <c r="I75" s="21">
        <f>IF(LEFT(TRIM(H75),1)="赤","赤",IF(LEFT(TRIM(H75),1)="白","白",""))</f>
        <v/>
      </c>
      <c r="J75" s="21">
        <f>IF(AND(D75&lt;&gt;"",F75&lt;&gt;"",I75&lt;&gt;"",ISNUMBER(G75)),F75&amp;I75,"")</f>
        <v/>
      </c>
      <c r="K75" s="21">
        <f>IF(J75="","",COUNTIFS($J$2:$J$186,J75,$G$2:$G$186,"&lt;"&amp;G75)+COUNTIFS($J$2:$J$186,J75,$G$2:$G$186,G75,$A$2:$A$186,"&lt;"&amp;A75)+1)</f>
        <v/>
      </c>
      <c r="L75" s="21">
        <f>IF(J75="","",J75&amp;K75)</f>
        <v/>
      </c>
      <c r="M75" s="21">
        <f>B75&amp;"組"</f>
        <v/>
      </c>
      <c r="N75" s="21">
        <f>IF(AND(D75&lt;&gt;"",J75=""),1,0)</f>
        <v/>
      </c>
      <c r="AK75">
        <f>IF(J75="","",IF(J75="男赤",COUNTIF($Y$2:$Y$51,"&lt;"&amp;K75),IF(J75="男白",COUNTIF($Z$2:$Z$51,"&lt;"&amp;K75),IF(J75="女赤",COUNTIF($AH$2:$AH$51,"&lt;"&amp;K75),COUNTIF($AI$2:$AI$51,"&lt;"&amp;K75))))+1)</f>
        <v/>
      </c>
      <c r="AL75">
        <f>IF(AK75="","",IF(AK75=1,0,IF(J75="男赤",INDEX($Y$2:$Y$51,AK75-1),IF(J75="男白",INDEX($Z$2:$Z$51,AK75-1),IF(J75="女赤",INDEX($AH$2:$AH$51,AK75-1),INDEX($AI$2:$AI$51,AK75-1))))))</f>
        <v/>
      </c>
      <c r="AM75">
        <f>IF(AK75="","",IF(RIGHT(J75,1)="赤",K75-AL75,IF(LEFT(J75,1)="男",INDEX($W$2:$W$51,AK75),INDEX($AF$2:$AF$51,AK75))+K75-AL75))</f>
        <v/>
      </c>
      <c r="AN75">
        <f>IF(AK75="","",F75&amp;AK75&amp;"-"&amp;AM75)</f>
        <v/>
      </c>
    </row>
    <row r="76">
      <c r="A76" s="21">
        <f>ROW()-1</f>
        <v/>
      </c>
      <c r="B76" s="21">
        <f>INT((A76-1)/37)+1</f>
        <v/>
      </c>
      <c r="C76" s="21">
        <f>MOD(A76-1,37)+1</f>
        <v/>
      </c>
      <c r="D76" s="21">
        <f>INDEX(①データ入力!$B$3:$Y$39,C76,(B76-1)*5+1)&amp;""</f>
        <v/>
      </c>
      <c r="E76" s="21">
        <f>INDEX(①データ入力!$B$3:$Y$39,C76,(B76-1)*5+2)&amp;""</f>
        <v/>
      </c>
      <c r="F76" s="21">
        <f>IF(OR(E76="1",E76="１",E76="男"),"男",IF(OR(E76="2",E76="２",E76="女"),"女",""))</f>
        <v/>
      </c>
      <c r="G76" s="21">
        <f>INDEX(①データ入力!$B$3:$Y$39,C76,(B76-1)*5+3)</f>
        <v/>
      </c>
      <c r="H76" s="21">
        <f>INDEX(①データ入力!$B$3:$Y$39,C76,(B76-1)*5+4)&amp;""</f>
        <v/>
      </c>
      <c r="I76" s="21">
        <f>IF(LEFT(TRIM(H76),1)="赤","赤",IF(LEFT(TRIM(H76),1)="白","白",""))</f>
        <v/>
      </c>
      <c r="J76" s="21">
        <f>IF(AND(D76&lt;&gt;"",F76&lt;&gt;"",I76&lt;&gt;"",ISNUMBER(G76)),F76&amp;I76,"")</f>
        <v/>
      </c>
      <c r="K76" s="21">
        <f>IF(J76="","",COUNTIFS($J$2:$J$186,J76,$G$2:$G$186,"&lt;"&amp;G76)+COUNTIFS($J$2:$J$186,J76,$G$2:$G$186,G76,$A$2:$A$186,"&lt;"&amp;A76)+1)</f>
        <v/>
      </c>
      <c r="L76" s="21">
        <f>IF(J76="","",J76&amp;K76)</f>
        <v/>
      </c>
      <c r="M76" s="21">
        <f>B76&amp;"組"</f>
        <v/>
      </c>
      <c r="N76" s="21">
        <f>IF(AND(D76&lt;&gt;"",J76=""),1,0)</f>
        <v/>
      </c>
      <c r="AK76">
        <f>IF(J76="","",IF(J76="男赤",COUNTIF($Y$2:$Y$51,"&lt;"&amp;K76),IF(J76="男白",COUNTIF($Z$2:$Z$51,"&lt;"&amp;K76),IF(J76="女赤",COUNTIF($AH$2:$AH$51,"&lt;"&amp;K76),COUNTIF($AI$2:$AI$51,"&lt;"&amp;K76))))+1)</f>
        <v/>
      </c>
      <c r="AL76">
        <f>IF(AK76="","",IF(AK76=1,0,IF(J76="男赤",INDEX($Y$2:$Y$51,AK76-1),IF(J76="男白",INDEX($Z$2:$Z$51,AK76-1),IF(J76="女赤",INDEX($AH$2:$AH$51,AK76-1),INDEX($AI$2:$AI$51,AK76-1))))))</f>
        <v/>
      </c>
      <c r="AM76">
        <f>IF(AK76="","",IF(RIGHT(J76,1)="赤",K76-AL76,IF(LEFT(J76,1)="男",INDEX($W$2:$W$51,AK76),INDEX($AF$2:$AF$51,AK76))+K76-AL76))</f>
        <v/>
      </c>
      <c r="AN76">
        <f>IF(AK76="","",F76&amp;AK76&amp;"-"&amp;AM76)</f>
        <v/>
      </c>
    </row>
    <row r="77">
      <c r="A77" s="21">
        <f>ROW()-1</f>
        <v/>
      </c>
      <c r="B77" s="21">
        <f>INT((A77-1)/37)+1</f>
        <v/>
      </c>
      <c r="C77" s="21">
        <f>MOD(A77-1,37)+1</f>
        <v/>
      </c>
      <c r="D77" s="21">
        <f>INDEX(①データ入力!$B$3:$Y$39,C77,(B77-1)*5+1)&amp;""</f>
        <v/>
      </c>
      <c r="E77" s="21">
        <f>INDEX(①データ入力!$B$3:$Y$39,C77,(B77-1)*5+2)&amp;""</f>
        <v/>
      </c>
      <c r="F77" s="21">
        <f>IF(OR(E77="1",E77="１",E77="男"),"男",IF(OR(E77="2",E77="２",E77="女"),"女",""))</f>
        <v/>
      </c>
      <c r="G77" s="21">
        <f>INDEX(①データ入力!$B$3:$Y$39,C77,(B77-1)*5+3)</f>
        <v/>
      </c>
      <c r="H77" s="21">
        <f>INDEX(①データ入力!$B$3:$Y$39,C77,(B77-1)*5+4)&amp;""</f>
        <v/>
      </c>
      <c r="I77" s="21">
        <f>IF(LEFT(TRIM(H77),1)="赤","赤",IF(LEFT(TRIM(H77),1)="白","白",""))</f>
        <v/>
      </c>
      <c r="J77" s="21">
        <f>IF(AND(D77&lt;&gt;"",F77&lt;&gt;"",I77&lt;&gt;"",ISNUMBER(G77)),F77&amp;I77,"")</f>
        <v/>
      </c>
      <c r="K77" s="21">
        <f>IF(J77="","",COUNTIFS($J$2:$J$186,J77,$G$2:$G$186,"&lt;"&amp;G77)+COUNTIFS($J$2:$J$186,J77,$G$2:$G$186,G77,$A$2:$A$186,"&lt;"&amp;A77)+1)</f>
        <v/>
      </c>
      <c r="L77" s="21">
        <f>IF(J77="","",J77&amp;K77)</f>
        <v/>
      </c>
      <c r="M77" s="21">
        <f>B77&amp;"組"</f>
        <v/>
      </c>
      <c r="N77" s="21">
        <f>IF(AND(D77&lt;&gt;"",J77=""),1,0)</f>
        <v/>
      </c>
      <c r="AK77">
        <f>IF(J77="","",IF(J77="男赤",COUNTIF($Y$2:$Y$51,"&lt;"&amp;K77),IF(J77="男白",COUNTIF($Z$2:$Z$51,"&lt;"&amp;K77),IF(J77="女赤",COUNTIF($AH$2:$AH$51,"&lt;"&amp;K77),COUNTIF($AI$2:$AI$51,"&lt;"&amp;K77))))+1)</f>
        <v/>
      </c>
      <c r="AL77">
        <f>IF(AK77="","",IF(AK77=1,0,IF(J77="男赤",INDEX($Y$2:$Y$51,AK77-1),IF(J77="男白",INDEX($Z$2:$Z$51,AK77-1),IF(J77="女赤",INDEX($AH$2:$AH$51,AK77-1),INDEX($AI$2:$AI$51,AK77-1))))))</f>
        <v/>
      </c>
      <c r="AM77">
        <f>IF(AK77="","",IF(RIGHT(J77,1)="赤",K77-AL77,IF(LEFT(J77,1)="男",INDEX($W$2:$W$51,AK77),INDEX($AF$2:$AF$51,AK77))+K77-AL77))</f>
        <v/>
      </c>
      <c r="AN77">
        <f>IF(AK77="","",F77&amp;AK77&amp;"-"&amp;AM77)</f>
        <v/>
      </c>
    </row>
    <row r="78">
      <c r="A78" s="21">
        <f>ROW()-1</f>
        <v/>
      </c>
      <c r="B78" s="21">
        <f>INT((A78-1)/37)+1</f>
        <v/>
      </c>
      <c r="C78" s="21">
        <f>MOD(A78-1,37)+1</f>
        <v/>
      </c>
      <c r="D78" s="21">
        <f>INDEX(①データ入力!$B$3:$Y$39,C78,(B78-1)*5+1)&amp;""</f>
        <v/>
      </c>
      <c r="E78" s="21">
        <f>INDEX(①データ入力!$B$3:$Y$39,C78,(B78-1)*5+2)&amp;""</f>
        <v/>
      </c>
      <c r="F78" s="21">
        <f>IF(OR(E78="1",E78="１",E78="男"),"男",IF(OR(E78="2",E78="２",E78="女"),"女",""))</f>
        <v/>
      </c>
      <c r="G78" s="21">
        <f>INDEX(①データ入力!$B$3:$Y$39,C78,(B78-1)*5+3)</f>
        <v/>
      </c>
      <c r="H78" s="21">
        <f>INDEX(①データ入力!$B$3:$Y$39,C78,(B78-1)*5+4)&amp;""</f>
        <v/>
      </c>
      <c r="I78" s="21">
        <f>IF(LEFT(TRIM(H78),1)="赤","赤",IF(LEFT(TRIM(H78),1)="白","白",""))</f>
        <v/>
      </c>
      <c r="J78" s="21">
        <f>IF(AND(D78&lt;&gt;"",F78&lt;&gt;"",I78&lt;&gt;"",ISNUMBER(G78)),F78&amp;I78,"")</f>
        <v/>
      </c>
      <c r="K78" s="21">
        <f>IF(J78="","",COUNTIFS($J$2:$J$186,J78,$G$2:$G$186,"&lt;"&amp;G78)+COUNTIFS($J$2:$J$186,J78,$G$2:$G$186,G78,$A$2:$A$186,"&lt;"&amp;A78)+1)</f>
        <v/>
      </c>
      <c r="L78" s="21">
        <f>IF(J78="","",J78&amp;K78)</f>
        <v/>
      </c>
      <c r="M78" s="21">
        <f>B78&amp;"組"</f>
        <v/>
      </c>
      <c r="N78" s="21">
        <f>IF(AND(D78&lt;&gt;"",J78=""),1,0)</f>
        <v/>
      </c>
      <c r="AK78">
        <f>IF(J78="","",IF(J78="男赤",COUNTIF($Y$2:$Y$51,"&lt;"&amp;K78),IF(J78="男白",COUNTIF($Z$2:$Z$51,"&lt;"&amp;K78),IF(J78="女赤",COUNTIF($AH$2:$AH$51,"&lt;"&amp;K78),COUNTIF($AI$2:$AI$51,"&lt;"&amp;K78))))+1)</f>
        <v/>
      </c>
      <c r="AL78">
        <f>IF(AK78="","",IF(AK78=1,0,IF(J78="男赤",INDEX($Y$2:$Y$51,AK78-1),IF(J78="男白",INDEX($Z$2:$Z$51,AK78-1),IF(J78="女赤",INDEX($AH$2:$AH$51,AK78-1),INDEX($AI$2:$AI$51,AK78-1))))))</f>
        <v/>
      </c>
      <c r="AM78">
        <f>IF(AK78="","",IF(RIGHT(J78,1)="赤",K78-AL78,IF(LEFT(J78,1)="男",INDEX($W$2:$W$51,AK78),INDEX($AF$2:$AF$51,AK78))+K78-AL78))</f>
        <v/>
      </c>
      <c r="AN78">
        <f>IF(AK78="","",F78&amp;AK78&amp;"-"&amp;AM78)</f>
        <v/>
      </c>
    </row>
    <row r="79">
      <c r="A79" s="21">
        <f>ROW()-1</f>
        <v/>
      </c>
      <c r="B79" s="21">
        <f>INT((A79-1)/37)+1</f>
        <v/>
      </c>
      <c r="C79" s="21">
        <f>MOD(A79-1,37)+1</f>
        <v/>
      </c>
      <c r="D79" s="21">
        <f>INDEX(①データ入力!$B$3:$Y$39,C79,(B79-1)*5+1)&amp;""</f>
        <v/>
      </c>
      <c r="E79" s="21">
        <f>INDEX(①データ入力!$B$3:$Y$39,C79,(B79-1)*5+2)&amp;""</f>
        <v/>
      </c>
      <c r="F79" s="21">
        <f>IF(OR(E79="1",E79="１",E79="男"),"男",IF(OR(E79="2",E79="２",E79="女"),"女",""))</f>
        <v/>
      </c>
      <c r="G79" s="21">
        <f>INDEX(①データ入力!$B$3:$Y$39,C79,(B79-1)*5+3)</f>
        <v/>
      </c>
      <c r="H79" s="21">
        <f>INDEX(①データ入力!$B$3:$Y$39,C79,(B79-1)*5+4)&amp;""</f>
        <v/>
      </c>
      <c r="I79" s="21">
        <f>IF(LEFT(TRIM(H79),1)="赤","赤",IF(LEFT(TRIM(H79),1)="白","白",""))</f>
        <v/>
      </c>
      <c r="J79" s="21">
        <f>IF(AND(D79&lt;&gt;"",F79&lt;&gt;"",I79&lt;&gt;"",ISNUMBER(G79)),F79&amp;I79,"")</f>
        <v/>
      </c>
      <c r="K79" s="21">
        <f>IF(J79="","",COUNTIFS($J$2:$J$186,J79,$G$2:$G$186,"&lt;"&amp;G79)+COUNTIFS($J$2:$J$186,J79,$G$2:$G$186,G79,$A$2:$A$186,"&lt;"&amp;A79)+1)</f>
        <v/>
      </c>
      <c r="L79" s="21">
        <f>IF(J79="","",J79&amp;K79)</f>
        <v/>
      </c>
      <c r="M79" s="21">
        <f>B79&amp;"組"</f>
        <v/>
      </c>
      <c r="N79" s="21">
        <f>IF(AND(D79&lt;&gt;"",J79=""),1,0)</f>
        <v/>
      </c>
      <c r="AK79">
        <f>IF(J79="","",IF(J79="男赤",COUNTIF($Y$2:$Y$51,"&lt;"&amp;K79),IF(J79="男白",COUNTIF($Z$2:$Z$51,"&lt;"&amp;K79),IF(J79="女赤",COUNTIF($AH$2:$AH$51,"&lt;"&amp;K79),COUNTIF($AI$2:$AI$51,"&lt;"&amp;K79))))+1)</f>
        <v/>
      </c>
      <c r="AL79">
        <f>IF(AK79="","",IF(AK79=1,0,IF(J79="男赤",INDEX($Y$2:$Y$51,AK79-1),IF(J79="男白",INDEX($Z$2:$Z$51,AK79-1),IF(J79="女赤",INDEX($AH$2:$AH$51,AK79-1),INDEX($AI$2:$AI$51,AK79-1))))))</f>
        <v/>
      </c>
      <c r="AM79">
        <f>IF(AK79="","",IF(RIGHT(J79,1)="赤",K79-AL79,IF(LEFT(J79,1)="男",INDEX($W$2:$W$51,AK79),INDEX($AF$2:$AF$51,AK79))+K79-AL79))</f>
        <v/>
      </c>
      <c r="AN79">
        <f>IF(AK79="","",F79&amp;AK79&amp;"-"&amp;AM79)</f>
        <v/>
      </c>
    </row>
    <row r="80">
      <c r="A80" s="21">
        <f>ROW()-1</f>
        <v/>
      </c>
      <c r="B80" s="21">
        <f>INT((A80-1)/37)+1</f>
        <v/>
      </c>
      <c r="C80" s="21">
        <f>MOD(A80-1,37)+1</f>
        <v/>
      </c>
      <c r="D80" s="21">
        <f>INDEX(①データ入力!$B$3:$Y$39,C80,(B80-1)*5+1)&amp;""</f>
        <v/>
      </c>
      <c r="E80" s="21">
        <f>INDEX(①データ入力!$B$3:$Y$39,C80,(B80-1)*5+2)&amp;""</f>
        <v/>
      </c>
      <c r="F80" s="21">
        <f>IF(OR(E80="1",E80="１",E80="男"),"男",IF(OR(E80="2",E80="２",E80="女"),"女",""))</f>
        <v/>
      </c>
      <c r="G80" s="21">
        <f>INDEX(①データ入力!$B$3:$Y$39,C80,(B80-1)*5+3)</f>
        <v/>
      </c>
      <c r="H80" s="21">
        <f>INDEX(①データ入力!$B$3:$Y$39,C80,(B80-1)*5+4)&amp;""</f>
        <v/>
      </c>
      <c r="I80" s="21">
        <f>IF(LEFT(TRIM(H80),1)="赤","赤",IF(LEFT(TRIM(H80),1)="白","白",""))</f>
        <v/>
      </c>
      <c r="J80" s="21">
        <f>IF(AND(D80&lt;&gt;"",F80&lt;&gt;"",I80&lt;&gt;"",ISNUMBER(G80)),F80&amp;I80,"")</f>
        <v/>
      </c>
      <c r="K80" s="21">
        <f>IF(J80="","",COUNTIFS($J$2:$J$186,J80,$G$2:$G$186,"&lt;"&amp;G80)+COUNTIFS($J$2:$J$186,J80,$G$2:$G$186,G80,$A$2:$A$186,"&lt;"&amp;A80)+1)</f>
        <v/>
      </c>
      <c r="L80" s="21">
        <f>IF(J80="","",J80&amp;K80)</f>
        <v/>
      </c>
      <c r="M80" s="21">
        <f>B80&amp;"組"</f>
        <v/>
      </c>
      <c r="N80" s="21">
        <f>IF(AND(D80&lt;&gt;"",J80=""),1,0)</f>
        <v/>
      </c>
      <c r="AK80">
        <f>IF(J80="","",IF(J80="男赤",COUNTIF($Y$2:$Y$51,"&lt;"&amp;K80),IF(J80="男白",COUNTIF($Z$2:$Z$51,"&lt;"&amp;K80),IF(J80="女赤",COUNTIF($AH$2:$AH$51,"&lt;"&amp;K80),COUNTIF($AI$2:$AI$51,"&lt;"&amp;K80))))+1)</f>
        <v/>
      </c>
      <c r="AL80">
        <f>IF(AK80="","",IF(AK80=1,0,IF(J80="男赤",INDEX($Y$2:$Y$51,AK80-1),IF(J80="男白",INDEX($Z$2:$Z$51,AK80-1),IF(J80="女赤",INDEX($AH$2:$AH$51,AK80-1),INDEX($AI$2:$AI$51,AK80-1))))))</f>
        <v/>
      </c>
      <c r="AM80">
        <f>IF(AK80="","",IF(RIGHT(J80,1)="赤",K80-AL80,IF(LEFT(J80,1)="男",INDEX($W$2:$W$51,AK80),INDEX($AF$2:$AF$51,AK80))+K80-AL80))</f>
        <v/>
      </c>
      <c r="AN80">
        <f>IF(AK80="","",F80&amp;AK80&amp;"-"&amp;AM80)</f>
        <v/>
      </c>
    </row>
    <row r="81">
      <c r="A81" s="21">
        <f>ROW()-1</f>
        <v/>
      </c>
      <c r="B81" s="21">
        <f>INT((A81-1)/37)+1</f>
        <v/>
      </c>
      <c r="C81" s="21">
        <f>MOD(A81-1,37)+1</f>
        <v/>
      </c>
      <c r="D81" s="21">
        <f>INDEX(①データ入力!$B$3:$Y$39,C81,(B81-1)*5+1)&amp;""</f>
        <v/>
      </c>
      <c r="E81" s="21">
        <f>INDEX(①データ入力!$B$3:$Y$39,C81,(B81-1)*5+2)&amp;""</f>
        <v/>
      </c>
      <c r="F81" s="21">
        <f>IF(OR(E81="1",E81="１",E81="男"),"男",IF(OR(E81="2",E81="２",E81="女"),"女",""))</f>
        <v/>
      </c>
      <c r="G81" s="21">
        <f>INDEX(①データ入力!$B$3:$Y$39,C81,(B81-1)*5+3)</f>
        <v/>
      </c>
      <c r="H81" s="21">
        <f>INDEX(①データ入力!$B$3:$Y$39,C81,(B81-1)*5+4)&amp;""</f>
        <v/>
      </c>
      <c r="I81" s="21">
        <f>IF(LEFT(TRIM(H81),1)="赤","赤",IF(LEFT(TRIM(H81),1)="白","白",""))</f>
        <v/>
      </c>
      <c r="J81" s="21">
        <f>IF(AND(D81&lt;&gt;"",F81&lt;&gt;"",I81&lt;&gt;"",ISNUMBER(G81)),F81&amp;I81,"")</f>
        <v/>
      </c>
      <c r="K81" s="21">
        <f>IF(J81="","",COUNTIFS($J$2:$J$186,J81,$G$2:$G$186,"&lt;"&amp;G81)+COUNTIFS($J$2:$J$186,J81,$G$2:$G$186,G81,$A$2:$A$186,"&lt;"&amp;A81)+1)</f>
        <v/>
      </c>
      <c r="L81" s="21">
        <f>IF(J81="","",J81&amp;K81)</f>
        <v/>
      </c>
      <c r="M81" s="21">
        <f>B81&amp;"組"</f>
        <v/>
      </c>
      <c r="N81" s="21">
        <f>IF(AND(D81&lt;&gt;"",J81=""),1,0)</f>
        <v/>
      </c>
      <c r="AK81">
        <f>IF(J81="","",IF(J81="男赤",COUNTIF($Y$2:$Y$51,"&lt;"&amp;K81),IF(J81="男白",COUNTIF($Z$2:$Z$51,"&lt;"&amp;K81),IF(J81="女赤",COUNTIF($AH$2:$AH$51,"&lt;"&amp;K81),COUNTIF($AI$2:$AI$51,"&lt;"&amp;K81))))+1)</f>
        <v/>
      </c>
      <c r="AL81">
        <f>IF(AK81="","",IF(AK81=1,0,IF(J81="男赤",INDEX($Y$2:$Y$51,AK81-1),IF(J81="男白",INDEX($Z$2:$Z$51,AK81-1),IF(J81="女赤",INDEX($AH$2:$AH$51,AK81-1),INDEX($AI$2:$AI$51,AK81-1))))))</f>
        <v/>
      </c>
      <c r="AM81">
        <f>IF(AK81="","",IF(RIGHT(J81,1)="赤",K81-AL81,IF(LEFT(J81,1)="男",INDEX($W$2:$W$51,AK81),INDEX($AF$2:$AF$51,AK81))+K81-AL81))</f>
        <v/>
      </c>
      <c r="AN81">
        <f>IF(AK81="","",F81&amp;AK81&amp;"-"&amp;AM81)</f>
        <v/>
      </c>
    </row>
    <row r="82">
      <c r="A82" s="21">
        <f>ROW()-1</f>
        <v/>
      </c>
      <c r="B82" s="21">
        <f>INT((A82-1)/37)+1</f>
        <v/>
      </c>
      <c r="C82" s="21">
        <f>MOD(A82-1,37)+1</f>
        <v/>
      </c>
      <c r="D82" s="21">
        <f>INDEX(①データ入力!$B$3:$Y$39,C82,(B82-1)*5+1)&amp;""</f>
        <v/>
      </c>
      <c r="E82" s="21">
        <f>INDEX(①データ入力!$B$3:$Y$39,C82,(B82-1)*5+2)&amp;""</f>
        <v/>
      </c>
      <c r="F82" s="21">
        <f>IF(OR(E82="1",E82="１",E82="男"),"男",IF(OR(E82="2",E82="２",E82="女"),"女",""))</f>
        <v/>
      </c>
      <c r="G82" s="21">
        <f>INDEX(①データ入力!$B$3:$Y$39,C82,(B82-1)*5+3)</f>
        <v/>
      </c>
      <c r="H82" s="21">
        <f>INDEX(①データ入力!$B$3:$Y$39,C82,(B82-1)*5+4)&amp;""</f>
        <v/>
      </c>
      <c r="I82" s="21">
        <f>IF(LEFT(TRIM(H82),1)="赤","赤",IF(LEFT(TRIM(H82),1)="白","白",""))</f>
        <v/>
      </c>
      <c r="J82" s="21">
        <f>IF(AND(D82&lt;&gt;"",F82&lt;&gt;"",I82&lt;&gt;"",ISNUMBER(G82)),F82&amp;I82,"")</f>
        <v/>
      </c>
      <c r="K82" s="21">
        <f>IF(J82="","",COUNTIFS($J$2:$J$186,J82,$G$2:$G$186,"&lt;"&amp;G82)+COUNTIFS($J$2:$J$186,J82,$G$2:$G$186,G82,$A$2:$A$186,"&lt;"&amp;A82)+1)</f>
        <v/>
      </c>
      <c r="L82" s="21">
        <f>IF(J82="","",J82&amp;K82)</f>
        <v/>
      </c>
      <c r="M82" s="21">
        <f>B82&amp;"組"</f>
        <v/>
      </c>
      <c r="N82" s="21">
        <f>IF(AND(D82&lt;&gt;"",J82=""),1,0)</f>
        <v/>
      </c>
      <c r="AK82">
        <f>IF(J82="","",IF(J82="男赤",COUNTIF($Y$2:$Y$51,"&lt;"&amp;K82),IF(J82="男白",COUNTIF($Z$2:$Z$51,"&lt;"&amp;K82),IF(J82="女赤",COUNTIF($AH$2:$AH$51,"&lt;"&amp;K82),COUNTIF($AI$2:$AI$51,"&lt;"&amp;K82))))+1)</f>
        <v/>
      </c>
      <c r="AL82">
        <f>IF(AK82="","",IF(AK82=1,0,IF(J82="男赤",INDEX($Y$2:$Y$51,AK82-1),IF(J82="男白",INDEX($Z$2:$Z$51,AK82-1),IF(J82="女赤",INDEX($AH$2:$AH$51,AK82-1),INDEX($AI$2:$AI$51,AK82-1))))))</f>
        <v/>
      </c>
      <c r="AM82">
        <f>IF(AK82="","",IF(RIGHT(J82,1)="赤",K82-AL82,IF(LEFT(J82,1)="男",INDEX($W$2:$W$51,AK82),INDEX($AF$2:$AF$51,AK82))+K82-AL82))</f>
        <v/>
      </c>
      <c r="AN82">
        <f>IF(AK82="","",F82&amp;AK82&amp;"-"&amp;AM82)</f>
        <v/>
      </c>
    </row>
    <row r="83">
      <c r="A83" s="21">
        <f>ROW()-1</f>
        <v/>
      </c>
      <c r="B83" s="21">
        <f>INT((A83-1)/37)+1</f>
        <v/>
      </c>
      <c r="C83" s="21">
        <f>MOD(A83-1,37)+1</f>
        <v/>
      </c>
      <c r="D83" s="21">
        <f>INDEX(①データ入力!$B$3:$Y$39,C83,(B83-1)*5+1)&amp;""</f>
        <v/>
      </c>
      <c r="E83" s="21">
        <f>INDEX(①データ入力!$B$3:$Y$39,C83,(B83-1)*5+2)&amp;""</f>
        <v/>
      </c>
      <c r="F83" s="21">
        <f>IF(OR(E83="1",E83="１",E83="男"),"男",IF(OR(E83="2",E83="２",E83="女"),"女",""))</f>
        <v/>
      </c>
      <c r="G83" s="21">
        <f>INDEX(①データ入力!$B$3:$Y$39,C83,(B83-1)*5+3)</f>
        <v/>
      </c>
      <c r="H83" s="21">
        <f>INDEX(①データ入力!$B$3:$Y$39,C83,(B83-1)*5+4)&amp;""</f>
        <v/>
      </c>
      <c r="I83" s="21">
        <f>IF(LEFT(TRIM(H83),1)="赤","赤",IF(LEFT(TRIM(H83),1)="白","白",""))</f>
        <v/>
      </c>
      <c r="J83" s="21">
        <f>IF(AND(D83&lt;&gt;"",F83&lt;&gt;"",I83&lt;&gt;"",ISNUMBER(G83)),F83&amp;I83,"")</f>
        <v/>
      </c>
      <c r="K83" s="21">
        <f>IF(J83="","",COUNTIFS($J$2:$J$186,J83,$G$2:$G$186,"&lt;"&amp;G83)+COUNTIFS($J$2:$J$186,J83,$G$2:$G$186,G83,$A$2:$A$186,"&lt;"&amp;A83)+1)</f>
        <v/>
      </c>
      <c r="L83" s="21">
        <f>IF(J83="","",J83&amp;K83)</f>
        <v/>
      </c>
      <c r="M83" s="21">
        <f>B83&amp;"組"</f>
        <v/>
      </c>
      <c r="N83" s="21">
        <f>IF(AND(D83&lt;&gt;"",J83=""),1,0)</f>
        <v/>
      </c>
      <c r="AK83">
        <f>IF(J83="","",IF(J83="男赤",COUNTIF($Y$2:$Y$51,"&lt;"&amp;K83),IF(J83="男白",COUNTIF($Z$2:$Z$51,"&lt;"&amp;K83),IF(J83="女赤",COUNTIF($AH$2:$AH$51,"&lt;"&amp;K83),COUNTIF($AI$2:$AI$51,"&lt;"&amp;K83))))+1)</f>
        <v/>
      </c>
      <c r="AL83">
        <f>IF(AK83="","",IF(AK83=1,0,IF(J83="男赤",INDEX($Y$2:$Y$51,AK83-1),IF(J83="男白",INDEX($Z$2:$Z$51,AK83-1),IF(J83="女赤",INDEX($AH$2:$AH$51,AK83-1),INDEX($AI$2:$AI$51,AK83-1))))))</f>
        <v/>
      </c>
      <c r="AM83">
        <f>IF(AK83="","",IF(RIGHT(J83,1)="赤",K83-AL83,IF(LEFT(J83,1)="男",INDEX($W$2:$W$51,AK83),INDEX($AF$2:$AF$51,AK83))+K83-AL83))</f>
        <v/>
      </c>
      <c r="AN83">
        <f>IF(AK83="","",F83&amp;AK83&amp;"-"&amp;AM83)</f>
        <v/>
      </c>
    </row>
    <row r="84">
      <c r="A84" s="21">
        <f>ROW()-1</f>
        <v/>
      </c>
      <c r="B84" s="21">
        <f>INT((A84-1)/37)+1</f>
        <v/>
      </c>
      <c r="C84" s="21">
        <f>MOD(A84-1,37)+1</f>
        <v/>
      </c>
      <c r="D84" s="21">
        <f>INDEX(①データ入力!$B$3:$Y$39,C84,(B84-1)*5+1)&amp;""</f>
        <v/>
      </c>
      <c r="E84" s="21">
        <f>INDEX(①データ入力!$B$3:$Y$39,C84,(B84-1)*5+2)&amp;""</f>
        <v/>
      </c>
      <c r="F84" s="21">
        <f>IF(OR(E84="1",E84="１",E84="男"),"男",IF(OR(E84="2",E84="２",E84="女"),"女",""))</f>
        <v/>
      </c>
      <c r="G84" s="21">
        <f>INDEX(①データ入力!$B$3:$Y$39,C84,(B84-1)*5+3)</f>
        <v/>
      </c>
      <c r="H84" s="21">
        <f>INDEX(①データ入力!$B$3:$Y$39,C84,(B84-1)*5+4)&amp;""</f>
        <v/>
      </c>
      <c r="I84" s="21">
        <f>IF(LEFT(TRIM(H84),1)="赤","赤",IF(LEFT(TRIM(H84),1)="白","白",""))</f>
        <v/>
      </c>
      <c r="J84" s="21">
        <f>IF(AND(D84&lt;&gt;"",F84&lt;&gt;"",I84&lt;&gt;"",ISNUMBER(G84)),F84&amp;I84,"")</f>
        <v/>
      </c>
      <c r="K84" s="21">
        <f>IF(J84="","",COUNTIFS($J$2:$J$186,J84,$G$2:$G$186,"&lt;"&amp;G84)+COUNTIFS($J$2:$J$186,J84,$G$2:$G$186,G84,$A$2:$A$186,"&lt;"&amp;A84)+1)</f>
        <v/>
      </c>
      <c r="L84" s="21">
        <f>IF(J84="","",J84&amp;K84)</f>
        <v/>
      </c>
      <c r="M84" s="21">
        <f>B84&amp;"組"</f>
        <v/>
      </c>
      <c r="N84" s="21">
        <f>IF(AND(D84&lt;&gt;"",J84=""),1,0)</f>
        <v/>
      </c>
      <c r="AK84">
        <f>IF(J84="","",IF(J84="男赤",COUNTIF($Y$2:$Y$51,"&lt;"&amp;K84),IF(J84="男白",COUNTIF($Z$2:$Z$51,"&lt;"&amp;K84),IF(J84="女赤",COUNTIF($AH$2:$AH$51,"&lt;"&amp;K84),COUNTIF($AI$2:$AI$51,"&lt;"&amp;K84))))+1)</f>
        <v/>
      </c>
      <c r="AL84">
        <f>IF(AK84="","",IF(AK84=1,0,IF(J84="男赤",INDEX($Y$2:$Y$51,AK84-1),IF(J84="男白",INDEX($Z$2:$Z$51,AK84-1),IF(J84="女赤",INDEX($AH$2:$AH$51,AK84-1),INDEX($AI$2:$AI$51,AK84-1))))))</f>
        <v/>
      </c>
      <c r="AM84">
        <f>IF(AK84="","",IF(RIGHT(J84,1)="赤",K84-AL84,IF(LEFT(J84,1)="男",INDEX($W$2:$W$51,AK84),INDEX($AF$2:$AF$51,AK84))+K84-AL84))</f>
        <v/>
      </c>
      <c r="AN84">
        <f>IF(AK84="","",F84&amp;AK84&amp;"-"&amp;AM84)</f>
        <v/>
      </c>
    </row>
    <row r="85">
      <c r="A85" s="21">
        <f>ROW()-1</f>
        <v/>
      </c>
      <c r="B85" s="21">
        <f>INT((A85-1)/37)+1</f>
        <v/>
      </c>
      <c r="C85" s="21">
        <f>MOD(A85-1,37)+1</f>
        <v/>
      </c>
      <c r="D85" s="21">
        <f>INDEX(①データ入力!$B$3:$Y$39,C85,(B85-1)*5+1)&amp;""</f>
        <v/>
      </c>
      <c r="E85" s="21">
        <f>INDEX(①データ入力!$B$3:$Y$39,C85,(B85-1)*5+2)&amp;""</f>
        <v/>
      </c>
      <c r="F85" s="21">
        <f>IF(OR(E85="1",E85="１",E85="男"),"男",IF(OR(E85="2",E85="２",E85="女"),"女",""))</f>
        <v/>
      </c>
      <c r="G85" s="21">
        <f>INDEX(①データ入力!$B$3:$Y$39,C85,(B85-1)*5+3)</f>
        <v/>
      </c>
      <c r="H85" s="21">
        <f>INDEX(①データ入力!$B$3:$Y$39,C85,(B85-1)*5+4)&amp;""</f>
        <v/>
      </c>
      <c r="I85" s="21">
        <f>IF(LEFT(TRIM(H85),1)="赤","赤",IF(LEFT(TRIM(H85),1)="白","白",""))</f>
        <v/>
      </c>
      <c r="J85" s="21">
        <f>IF(AND(D85&lt;&gt;"",F85&lt;&gt;"",I85&lt;&gt;"",ISNUMBER(G85)),F85&amp;I85,"")</f>
        <v/>
      </c>
      <c r="K85" s="21">
        <f>IF(J85="","",COUNTIFS($J$2:$J$186,J85,$G$2:$G$186,"&lt;"&amp;G85)+COUNTIFS($J$2:$J$186,J85,$G$2:$G$186,G85,$A$2:$A$186,"&lt;"&amp;A85)+1)</f>
        <v/>
      </c>
      <c r="L85" s="21">
        <f>IF(J85="","",J85&amp;K85)</f>
        <v/>
      </c>
      <c r="M85" s="21">
        <f>B85&amp;"組"</f>
        <v/>
      </c>
      <c r="N85" s="21">
        <f>IF(AND(D85&lt;&gt;"",J85=""),1,0)</f>
        <v/>
      </c>
      <c r="AK85">
        <f>IF(J85="","",IF(J85="男赤",COUNTIF($Y$2:$Y$51,"&lt;"&amp;K85),IF(J85="男白",COUNTIF($Z$2:$Z$51,"&lt;"&amp;K85),IF(J85="女赤",COUNTIF($AH$2:$AH$51,"&lt;"&amp;K85),COUNTIF($AI$2:$AI$51,"&lt;"&amp;K85))))+1)</f>
        <v/>
      </c>
      <c r="AL85">
        <f>IF(AK85="","",IF(AK85=1,0,IF(J85="男赤",INDEX($Y$2:$Y$51,AK85-1),IF(J85="男白",INDEX($Z$2:$Z$51,AK85-1),IF(J85="女赤",INDEX($AH$2:$AH$51,AK85-1),INDEX($AI$2:$AI$51,AK85-1))))))</f>
        <v/>
      </c>
      <c r="AM85">
        <f>IF(AK85="","",IF(RIGHT(J85,1)="赤",K85-AL85,IF(LEFT(J85,1)="男",INDEX($W$2:$W$51,AK85),INDEX($AF$2:$AF$51,AK85))+K85-AL85))</f>
        <v/>
      </c>
      <c r="AN85">
        <f>IF(AK85="","",F85&amp;AK85&amp;"-"&amp;AM85)</f>
        <v/>
      </c>
    </row>
    <row r="86">
      <c r="A86" s="21">
        <f>ROW()-1</f>
        <v/>
      </c>
      <c r="B86" s="21">
        <f>INT((A86-1)/37)+1</f>
        <v/>
      </c>
      <c r="C86" s="21">
        <f>MOD(A86-1,37)+1</f>
        <v/>
      </c>
      <c r="D86" s="21">
        <f>INDEX(①データ入力!$B$3:$Y$39,C86,(B86-1)*5+1)&amp;""</f>
        <v/>
      </c>
      <c r="E86" s="21">
        <f>INDEX(①データ入力!$B$3:$Y$39,C86,(B86-1)*5+2)&amp;""</f>
        <v/>
      </c>
      <c r="F86" s="21">
        <f>IF(OR(E86="1",E86="１",E86="男"),"男",IF(OR(E86="2",E86="２",E86="女"),"女",""))</f>
        <v/>
      </c>
      <c r="G86" s="21">
        <f>INDEX(①データ入力!$B$3:$Y$39,C86,(B86-1)*5+3)</f>
        <v/>
      </c>
      <c r="H86" s="21">
        <f>INDEX(①データ入力!$B$3:$Y$39,C86,(B86-1)*5+4)&amp;""</f>
        <v/>
      </c>
      <c r="I86" s="21">
        <f>IF(LEFT(TRIM(H86),1)="赤","赤",IF(LEFT(TRIM(H86),1)="白","白",""))</f>
        <v/>
      </c>
      <c r="J86" s="21">
        <f>IF(AND(D86&lt;&gt;"",F86&lt;&gt;"",I86&lt;&gt;"",ISNUMBER(G86)),F86&amp;I86,"")</f>
        <v/>
      </c>
      <c r="K86" s="21">
        <f>IF(J86="","",COUNTIFS($J$2:$J$186,J86,$G$2:$G$186,"&lt;"&amp;G86)+COUNTIFS($J$2:$J$186,J86,$G$2:$G$186,G86,$A$2:$A$186,"&lt;"&amp;A86)+1)</f>
        <v/>
      </c>
      <c r="L86" s="21">
        <f>IF(J86="","",J86&amp;K86)</f>
        <v/>
      </c>
      <c r="M86" s="21">
        <f>B86&amp;"組"</f>
        <v/>
      </c>
      <c r="N86" s="21">
        <f>IF(AND(D86&lt;&gt;"",J86=""),1,0)</f>
        <v/>
      </c>
      <c r="AK86">
        <f>IF(J86="","",IF(J86="男赤",COUNTIF($Y$2:$Y$51,"&lt;"&amp;K86),IF(J86="男白",COUNTIF($Z$2:$Z$51,"&lt;"&amp;K86),IF(J86="女赤",COUNTIF($AH$2:$AH$51,"&lt;"&amp;K86),COUNTIF($AI$2:$AI$51,"&lt;"&amp;K86))))+1)</f>
        <v/>
      </c>
      <c r="AL86">
        <f>IF(AK86="","",IF(AK86=1,0,IF(J86="男赤",INDEX($Y$2:$Y$51,AK86-1),IF(J86="男白",INDEX($Z$2:$Z$51,AK86-1),IF(J86="女赤",INDEX($AH$2:$AH$51,AK86-1),INDEX($AI$2:$AI$51,AK86-1))))))</f>
        <v/>
      </c>
      <c r="AM86">
        <f>IF(AK86="","",IF(RIGHT(J86,1)="赤",K86-AL86,IF(LEFT(J86,1)="男",INDEX($W$2:$W$51,AK86),INDEX($AF$2:$AF$51,AK86))+K86-AL86))</f>
        <v/>
      </c>
      <c r="AN86">
        <f>IF(AK86="","",F86&amp;AK86&amp;"-"&amp;AM86)</f>
        <v/>
      </c>
    </row>
    <row r="87">
      <c r="A87" s="21">
        <f>ROW()-1</f>
        <v/>
      </c>
      <c r="B87" s="21">
        <f>INT((A87-1)/37)+1</f>
        <v/>
      </c>
      <c r="C87" s="21">
        <f>MOD(A87-1,37)+1</f>
        <v/>
      </c>
      <c r="D87" s="21">
        <f>INDEX(①データ入力!$B$3:$Y$39,C87,(B87-1)*5+1)&amp;""</f>
        <v/>
      </c>
      <c r="E87" s="21">
        <f>INDEX(①データ入力!$B$3:$Y$39,C87,(B87-1)*5+2)&amp;""</f>
        <v/>
      </c>
      <c r="F87" s="21">
        <f>IF(OR(E87="1",E87="１",E87="男"),"男",IF(OR(E87="2",E87="２",E87="女"),"女",""))</f>
        <v/>
      </c>
      <c r="G87" s="21">
        <f>INDEX(①データ入力!$B$3:$Y$39,C87,(B87-1)*5+3)</f>
        <v/>
      </c>
      <c r="H87" s="21">
        <f>INDEX(①データ入力!$B$3:$Y$39,C87,(B87-1)*5+4)&amp;""</f>
        <v/>
      </c>
      <c r="I87" s="21">
        <f>IF(LEFT(TRIM(H87),1)="赤","赤",IF(LEFT(TRIM(H87),1)="白","白",""))</f>
        <v/>
      </c>
      <c r="J87" s="21">
        <f>IF(AND(D87&lt;&gt;"",F87&lt;&gt;"",I87&lt;&gt;"",ISNUMBER(G87)),F87&amp;I87,"")</f>
        <v/>
      </c>
      <c r="K87" s="21">
        <f>IF(J87="","",COUNTIFS($J$2:$J$186,J87,$G$2:$G$186,"&lt;"&amp;G87)+COUNTIFS($J$2:$J$186,J87,$G$2:$G$186,G87,$A$2:$A$186,"&lt;"&amp;A87)+1)</f>
        <v/>
      </c>
      <c r="L87" s="21">
        <f>IF(J87="","",J87&amp;K87)</f>
        <v/>
      </c>
      <c r="M87" s="21">
        <f>B87&amp;"組"</f>
        <v/>
      </c>
      <c r="N87" s="21">
        <f>IF(AND(D87&lt;&gt;"",J87=""),1,0)</f>
        <v/>
      </c>
      <c r="AK87">
        <f>IF(J87="","",IF(J87="男赤",COUNTIF($Y$2:$Y$51,"&lt;"&amp;K87),IF(J87="男白",COUNTIF($Z$2:$Z$51,"&lt;"&amp;K87),IF(J87="女赤",COUNTIF($AH$2:$AH$51,"&lt;"&amp;K87),COUNTIF($AI$2:$AI$51,"&lt;"&amp;K87))))+1)</f>
        <v/>
      </c>
      <c r="AL87">
        <f>IF(AK87="","",IF(AK87=1,0,IF(J87="男赤",INDEX($Y$2:$Y$51,AK87-1),IF(J87="男白",INDEX($Z$2:$Z$51,AK87-1),IF(J87="女赤",INDEX($AH$2:$AH$51,AK87-1),INDEX($AI$2:$AI$51,AK87-1))))))</f>
        <v/>
      </c>
      <c r="AM87">
        <f>IF(AK87="","",IF(RIGHT(J87,1)="赤",K87-AL87,IF(LEFT(J87,1)="男",INDEX($W$2:$W$51,AK87),INDEX($AF$2:$AF$51,AK87))+K87-AL87))</f>
        <v/>
      </c>
      <c r="AN87">
        <f>IF(AK87="","",F87&amp;AK87&amp;"-"&amp;AM87)</f>
        <v/>
      </c>
    </row>
    <row r="88">
      <c r="A88" s="21">
        <f>ROW()-1</f>
        <v/>
      </c>
      <c r="B88" s="21">
        <f>INT((A88-1)/37)+1</f>
        <v/>
      </c>
      <c r="C88" s="21">
        <f>MOD(A88-1,37)+1</f>
        <v/>
      </c>
      <c r="D88" s="21">
        <f>INDEX(①データ入力!$B$3:$Y$39,C88,(B88-1)*5+1)&amp;""</f>
        <v/>
      </c>
      <c r="E88" s="21">
        <f>INDEX(①データ入力!$B$3:$Y$39,C88,(B88-1)*5+2)&amp;""</f>
        <v/>
      </c>
      <c r="F88" s="21">
        <f>IF(OR(E88="1",E88="１",E88="男"),"男",IF(OR(E88="2",E88="２",E88="女"),"女",""))</f>
        <v/>
      </c>
      <c r="G88" s="21">
        <f>INDEX(①データ入力!$B$3:$Y$39,C88,(B88-1)*5+3)</f>
        <v/>
      </c>
      <c r="H88" s="21">
        <f>INDEX(①データ入力!$B$3:$Y$39,C88,(B88-1)*5+4)&amp;""</f>
        <v/>
      </c>
      <c r="I88" s="21">
        <f>IF(LEFT(TRIM(H88),1)="赤","赤",IF(LEFT(TRIM(H88),1)="白","白",""))</f>
        <v/>
      </c>
      <c r="J88" s="21">
        <f>IF(AND(D88&lt;&gt;"",F88&lt;&gt;"",I88&lt;&gt;"",ISNUMBER(G88)),F88&amp;I88,"")</f>
        <v/>
      </c>
      <c r="K88" s="21">
        <f>IF(J88="","",COUNTIFS($J$2:$J$186,J88,$G$2:$G$186,"&lt;"&amp;G88)+COUNTIFS($J$2:$J$186,J88,$G$2:$G$186,G88,$A$2:$A$186,"&lt;"&amp;A88)+1)</f>
        <v/>
      </c>
      <c r="L88" s="21">
        <f>IF(J88="","",J88&amp;K88)</f>
        <v/>
      </c>
      <c r="M88" s="21">
        <f>B88&amp;"組"</f>
        <v/>
      </c>
      <c r="N88" s="21">
        <f>IF(AND(D88&lt;&gt;"",J88=""),1,0)</f>
        <v/>
      </c>
      <c r="AK88">
        <f>IF(J88="","",IF(J88="男赤",COUNTIF($Y$2:$Y$51,"&lt;"&amp;K88),IF(J88="男白",COUNTIF($Z$2:$Z$51,"&lt;"&amp;K88),IF(J88="女赤",COUNTIF($AH$2:$AH$51,"&lt;"&amp;K88),COUNTIF($AI$2:$AI$51,"&lt;"&amp;K88))))+1)</f>
        <v/>
      </c>
      <c r="AL88">
        <f>IF(AK88="","",IF(AK88=1,0,IF(J88="男赤",INDEX($Y$2:$Y$51,AK88-1),IF(J88="男白",INDEX($Z$2:$Z$51,AK88-1),IF(J88="女赤",INDEX($AH$2:$AH$51,AK88-1),INDEX($AI$2:$AI$51,AK88-1))))))</f>
        <v/>
      </c>
      <c r="AM88">
        <f>IF(AK88="","",IF(RIGHT(J88,1)="赤",K88-AL88,IF(LEFT(J88,1)="男",INDEX($W$2:$W$51,AK88),INDEX($AF$2:$AF$51,AK88))+K88-AL88))</f>
        <v/>
      </c>
      <c r="AN88">
        <f>IF(AK88="","",F88&amp;AK88&amp;"-"&amp;AM88)</f>
        <v/>
      </c>
    </row>
    <row r="89">
      <c r="A89" s="21">
        <f>ROW()-1</f>
        <v/>
      </c>
      <c r="B89" s="21">
        <f>INT((A89-1)/37)+1</f>
        <v/>
      </c>
      <c r="C89" s="21">
        <f>MOD(A89-1,37)+1</f>
        <v/>
      </c>
      <c r="D89" s="21">
        <f>INDEX(①データ入力!$B$3:$Y$39,C89,(B89-1)*5+1)&amp;""</f>
        <v/>
      </c>
      <c r="E89" s="21">
        <f>INDEX(①データ入力!$B$3:$Y$39,C89,(B89-1)*5+2)&amp;""</f>
        <v/>
      </c>
      <c r="F89" s="21">
        <f>IF(OR(E89="1",E89="１",E89="男"),"男",IF(OR(E89="2",E89="２",E89="女"),"女",""))</f>
        <v/>
      </c>
      <c r="G89" s="21">
        <f>INDEX(①データ入力!$B$3:$Y$39,C89,(B89-1)*5+3)</f>
        <v/>
      </c>
      <c r="H89" s="21">
        <f>INDEX(①データ入力!$B$3:$Y$39,C89,(B89-1)*5+4)&amp;""</f>
        <v/>
      </c>
      <c r="I89" s="21">
        <f>IF(LEFT(TRIM(H89),1)="赤","赤",IF(LEFT(TRIM(H89),1)="白","白",""))</f>
        <v/>
      </c>
      <c r="J89" s="21">
        <f>IF(AND(D89&lt;&gt;"",F89&lt;&gt;"",I89&lt;&gt;"",ISNUMBER(G89)),F89&amp;I89,"")</f>
        <v/>
      </c>
      <c r="K89" s="21">
        <f>IF(J89="","",COUNTIFS($J$2:$J$186,J89,$G$2:$G$186,"&lt;"&amp;G89)+COUNTIFS($J$2:$J$186,J89,$G$2:$G$186,G89,$A$2:$A$186,"&lt;"&amp;A89)+1)</f>
        <v/>
      </c>
      <c r="L89" s="21">
        <f>IF(J89="","",J89&amp;K89)</f>
        <v/>
      </c>
      <c r="M89" s="21">
        <f>B89&amp;"組"</f>
        <v/>
      </c>
      <c r="N89" s="21">
        <f>IF(AND(D89&lt;&gt;"",J89=""),1,0)</f>
        <v/>
      </c>
      <c r="AK89">
        <f>IF(J89="","",IF(J89="男赤",COUNTIF($Y$2:$Y$51,"&lt;"&amp;K89),IF(J89="男白",COUNTIF($Z$2:$Z$51,"&lt;"&amp;K89),IF(J89="女赤",COUNTIF($AH$2:$AH$51,"&lt;"&amp;K89),COUNTIF($AI$2:$AI$51,"&lt;"&amp;K89))))+1)</f>
        <v/>
      </c>
      <c r="AL89">
        <f>IF(AK89="","",IF(AK89=1,0,IF(J89="男赤",INDEX($Y$2:$Y$51,AK89-1),IF(J89="男白",INDEX($Z$2:$Z$51,AK89-1),IF(J89="女赤",INDEX($AH$2:$AH$51,AK89-1),INDEX($AI$2:$AI$51,AK89-1))))))</f>
        <v/>
      </c>
      <c r="AM89">
        <f>IF(AK89="","",IF(RIGHT(J89,1)="赤",K89-AL89,IF(LEFT(J89,1)="男",INDEX($W$2:$W$51,AK89),INDEX($AF$2:$AF$51,AK89))+K89-AL89))</f>
        <v/>
      </c>
      <c r="AN89">
        <f>IF(AK89="","",F89&amp;AK89&amp;"-"&amp;AM89)</f>
        <v/>
      </c>
    </row>
    <row r="90">
      <c r="A90" s="21">
        <f>ROW()-1</f>
        <v/>
      </c>
      <c r="B90" s="21">
        <f>INT((A90-1)/37)+1</f>
        <v/>
      </c>
      <c r="C90" s="21">
        <f>MOD(A90-1,37)+1</f>
        <v/>
      </c>
      <c r="D90" s="21">
        <f>INDEX(①データ入力!$B$3:$Y$39,C90,(B90-1)*5+1)&amp;""</f>
        <v/>
      </c>
      <c r="E90" s="21">
        <f>INDEX(①データ入力!$B$3:$Y$39,C90,(B90-1)*5+2)&amp;""</f>
        <v/>
      </c>
      <c r="F90" s="21">
        <f>IF(OR(E90="1",E90="１",E90="男"),"男",IF(OR(E90="2",E90="２",E90="女"),"女",""))</f>
        <v/>
      </c>
      <c r="G90" s="21">
        <f>INDEX(①データ入力!$B$3:$Y$39,C90,(B90-1)*5+3)</f>
        <v/>
      </c>
      <c r="H90" s="21">
        <f>INDEX(①データ入力!$B$3:$Y$39,C90,(B90-1)*5+4)&amp;""</f>
        <v/>
      </c>
      <c r="I90" s="21">
        <f>IF(LEFT(TRIM(H90),1)="赤","赤",IF(LEFT(TRIM(H90),1)="白","白",""))</f>
        <v/>
      </c>
      <c r="J90" s="21">
        <f>IF(AND(D90&lt;&gt;"",F90&lt;&gt;"",I90&lt;&gt;"",ISNUMBER(G90)),F90&amp;I90,"")</f>
        <v/>
      </c>
      <c r="K90" s="21">
        <f>IF(J90="","",COUNTIFS($J$2:$J$186,J90,$G$2:$G$186,"&lt;"&amp;G90)+COUNTIFS($J$2:$J$186,J90,$G$2:$G$186,G90,$A$2:$A$186,"&lt;"&amp;A90)+1)</f>
        <v/>
      </c>
      <c r="L90" s="21">
        <f>IF(J90="","",J90&amp;K90)</f>
        <v/>
      </c>
      <c r="M90" s="21">
        <f>B90&amp;"組"</f>
        <v/>
      </c>
      <c r="N90" s="21">
        <f>IF(AND(D90&lt;&gt;"",J90=""),1,0)</f>
        <v/>
      </c>
      <c r="AK90">
        <f>IF(J90="","",IF(J90="男赤",COUNTIF($Y$2:$Y$51,"&lt;"&amp;K90),IF(J90="男白",COUNTIF($Z$2:$Z$51,"&lt;"&amp;K90),IF(J90="女赤",COUNTIF($AH$2:$AH$51,"&lt;"&amp;K90),COUNTIF($AI$2:$AI$51,"&lt;"&amp;K90))))+1)</f>
        <v/>
      </c>
      <c r="AL90">
        <f>IF(AK90="","",IF(AK90=1,0,IF(J90="男赤",INDEX($Y$2:$Y$51,AK90-1),IF(J90="男白",INDEX($Z$2:$Z$51,AK90-1),IF(J90="女赤",INDEX($AH$2:$AH$51,AK90-1),INDEX($AI$2:$AI$51,AK90-1))))))</f>
        <v/>
      </c>
      <c r="AM90">
        <f>IF(AK90="","",IF(RIGHT(J90,1)="赤",K90-AL90,IF(LEFT(J90,1)="男",INDEX($W$2:$W$51,AK90),INDEX($AF$2:$AF$51,AK90))+K90-AL90))</f>
        <v/>
      </c>
      <c r="AN90">
        <f>IF(AK90="","",F90&amp;AK90&amp;"-"&amp;AM90)</f>
        <v/>
      </c>
    </row>
    <row r="91">
      <c r="A91" s="21">
        <f>ROW()-1</f>
        <v/>
      </c>
      <c r="B91" s="21">
        <f>INT((A91-1)/37)+1</f>
        <v/>
      </c>
      <c r="C91" s="21">
        <f>MOD(A91-1,37)+1</f>
        <v/>
      </c>
      <c r="D91" s="21">
        <f>INDEX(①データ入力!$B$3:$Y$39,C91,(B91-1)*5+1)&amp;""</f>
        <v/>
      </c>
      <c r="E91" s="21">
        <f>INDEX(①データ入力!$B$3:$Y$39,C91,(B91-1)*5+2)&amp;""</f>
        <v/>
      </c>
      <c r="F91" s="21">
        <f>IF(OR(E91="1",E91="１",E91="男"),"男",IF(OR(E91="2",E91="２",E91="女"),"女",""))</f>
        <v/>
      </c>
      <c r="G91" s="21">
        <f>INDEX(①データ入力!$B$3:$Y$39,C91,(B91-1)*5+3)</f>
        <v/>
      </c>
      <c r="H91" s="21">
        <f>INDEX(①データ入力!$B$3:$Y$39,C91,(B91-1)*5+4)&amp;""</f>
        <v/>
      </c>
      <c r="I91" s="21">
        <f>IF(LEFT(TRIM(H91),1)="赤","赤",IF(LEFT(TRIM(H91),1)="白","白",""))</f>
        <v/>
      </c>
      <c r="J91" s="21">
        <f>IF(AND(D91&lt;&gt;"",F91&lt;&gt;"",I91&lt;&gt;"",ISNUMBER(G91)),F91&amp;I91,"")</f>
        <v/>
      </c>
      <c r="K91" s="21">
        <f>IF(J91="","",COUNTIFS($J$2:$J$186,J91,$G$2:$G$186,"&lt;"&amp;G91)+COUNTIFS($J$2:$J$186,J91,$G$2:$G$186,G91,$A$2:$A$186,"&lt;"&amp;A91)+1)</f>
        <v/>
      </c>
      <c r="L91" s="21">
        <f>IF(J91="","",J91&amp;K91)</f>
        <v/>
      </c>
      <c r="M91" s="21">
        <f>B91&amp;"組"</f>
        <v/>
      </c>
      <c r="N91" s="21">
        <f>IF(AND(D91&lt;&gt;"",J91=""),1,0)</f>
        <v/>
      </c>
      <c r="AK91">
        <f>IF(J91="","",IF(J91="男赤",COUNTIF($Y$2:$Y$51,"&lt;"&amp;K91),IF(J91="男白",COUNTIF($Z$2:$Z$51,"&lt;"&amp;K91),IF(J91="女赤",COUNTIF($AH$2:$AH$51,"&lt;"&amp;K91),COUNTIF($AI$2:$AI$51,"&lt;"&amp;K91))))+1)</f>
        <v/>
      </c>
      <c r="AL91">
        <f>IF(AK91="","",IF(AK91=1,0,IF(J91="男赤",INDEX($Y$2:$Y$51,AK91-1),IF(J91="男白",INDEX($Z$2:$Z$51,AK91-1),IF(J91="女赤",INDEX($AH$2:$AH$51,AK91-1),INDEX($AI$2:$AI$51,AK91-1))))))</f>
        <v/>
      </c>
      <c r="AM91">
        <f>IF(AK91="","",IF(RIGHT(J91,1)="赤",K91-AL91,IF(LEFT(J91,1)="男",INDEX($W$2:$W$51,AK91),INDEX($AF$2:$AF$51,AK91))+K91-AL91))</f>
        <v/>
      </c>
      <c r="AN91">
        <f>IF(AK91="","",F91&amp;AK91&amp;"-"&amp;AM91)</f>
        <v/>
      </c>
    </row>
    <row r="92">
      <c r="A92" s="21">
        <f>ROW()-1</f>
        <v/>
      </c>
      <c r="B92" s="21">
        <f>INT((A92-1)/37)+1</f>
        <v/>
      </c>
      <c r="C92" s="21">
        <f>MOD(A92-1,37)+1</f>
        <v/>
      </c>
      <c r="D92" s="21">
        <f>INDEX(①データ入力!$B$3:$Y$39,C92,(B92-1)*5+1)&amp;""</f>
        <v/>
      </c>
      <c r="E92" s="21">
        <f>INDEX(①データ入力!$B$3:$Y$39,C92,(B92-1)*5+2)&amp;""</f>
        <v/>
      </c>
      <c r="F92" s="21">
        <f>IF(OR(E92="1",E92="１",E92="男"),"男",IF(OR(E92="2",E92="２",E92="女"),"女",""))</f>
        <v/>
      </c>
      <c r="G92" s="21">
        <f>INDEX(①データ入力!$B$3:$Y$39,C92,(B92-1)*5+3)</f>
        <v/>
      </c>
      <c r="H92" s="21">
        <f>INDEX(①データ入力!$B$3:$Y$39,C92,(B92-1)*5+4)&amp;""</f>
        <v/>
      </c>
      <c r="I92" s="21">
        <f>IF(LEFT(TRIM(H92),1)="赤","赤",IF(LEFT(TRIM(H92),1)="白","白",""))</f>
        <v/>
      </c>
      <c r="J92" s="21">
        <f>IF(AND(D92&lt;&gt;"",F92&lt;&gt;"",I92&lt;&gt;"",ISNUMBER(G92)),F92&amp;I92,"")</f>
        <v/>
      </c>
      <c r="K92" s="21">
        <f>IF(J92="","",COUNTIFS($J$2:$J$186,J92,$G$2:$G$186,"&lt;"&amp;G92)+COUNTIFS($J$2:$J$186,J92,$G$2:$G$186,G92,$A$2:$A$186,"&lt;"&amp;A92)+1)</f>
        <v/>
      </c>
      <c r="L92" s="21">
        <f>IF(J92="","",J92&amp;K92)</f>
        <v/>
      </c>
      <c r="M92" s="21">
        <f>B92&amp;"組"</f>
        <v/>
      </c>
      <c r="N92" s="21">
        <f>IF(AND(D92&lt;&gt;"",J92=""),1,0)</f>
        <v/>
      </c>
      <c r="AK92">
        <f>IF(J92="","",IF(J92="男赤",COUNTIF($Y$2:$Y$51,"&lt;"&amp;K92),IF(J92="男白",COUNTIF($Z$2:$Z$51,"&lt;"&amp;K92),IF(J92="女赤",COUNTIF($AH$2:$AH$51,"&lt;"&amp;K92),COUNTIF($AI$2:$AI$51,"&lt;"&amp;K92))))+1)</f>
        <v/>
      </c>
      <c r="AL92">
        <f>IF(AK92="","",IF(AK92=1,0,IF(J92="男赤",INDEX($Y$2:$Y$51,AK92-1),IF(J92="男白",INDEX($Z$2:$Z$51,AK92-1),IF(J92="女赤",INDEX($AH$2:$AH$51,AK92-1),INDEX($AI$2:$AI$51,AK92-1))))))</f>
        <v/>
      </c>
      <c r="AM92">
        <f>IF(AK92="","",IF(RIGHT(J92,1)="赤",K92-AL92,IF(LEFT(J92,1)="男",INDEX($W$2:$W$51,AK92),INDEX($AF$2:$AF$51,AK92))+K92-AL92))</f>
        <v/>
      </c>
      <c r="AN92">
        <f>IF(AK92="","",F92&amp;AK92&amp;"-"&amp;AM92)</f>
        <v/>
      </c>
    </row>
    <row r="93">
      <c r="A93" s="21">
        <f>ROW()-1</f>
        <v/>
      </c>
      <c r="B93" s="21">
        <f>INT((A93-1)/37)+1</f>
        <v/>
      </c>
      <c r="C93" s="21">
        <f>MOD(A93-1,37)+1</f>
        <v/>
      </c>
      <c r="D93" s="21">
        <f>INDEX(①データ入力!$B$3:$Y$39,C93,(B93-1)*5+1)&amp;""</f>
        <v/>
      </c>
      <c r="E93" s="21">
        <f>INDEX(①データ入力!$B$3:$Y$39,C93,(B93-1)*5+2)&amp;""</f>
        <v/>
      </c>
      <c r="F93" s="21">
        <f>IF(OR(E93="1",E93="１",E93="男"),"男",IF(OR(E93="2",E93="２",E93="女"),"女",""))</f>
        <v/>
      </c>
      <c r="G93" s="21">
        <f>INDEX(①データ入力!$B$3:$Y$39,C93,(B93-1)*5+3)</f>
        <v/>
      </c>
      <c r="H93" s="21">
        <f>INDEX(①データ入力!$B$3:$Y$39,C93,(B93-1)*5+4)&amp;""</f>
        <v/>
      </c>
      <c r="I93" s="21">
        <f>IF(LEFT(TRIM(H93),1)="赤","赤",IF(LEFT(TRIM(H93),1)="白","白",""))</f>
        <v/>
      </c>
      <c r="J93" s="21">
        <f>IF(AND(D93&lt;&gt;"",F93&lt;&gt;"",I93&lt;&gt;"",ISNUMBER(G93)),F93&amp;I93,"")</f>
        <v/>
      </c>
      <c r="K93" s="21">
        <f>IF(J93="","",COUNTIFS($J$2:$J$186,J93,$G$2:$G$186,"&lt;"&amp;G93)+COUNTIFS($J$2:$J$186,J93,$G$2:$G$186,G93,$A$2:$A$186,"&lt;"&amp;A93)+1)</f>
        <v/>
      </c>
      <c r="L93" s="21">
        <f>IF(J93="","",J93&amp;K93)</f>
        <v/>
      </c>
      <c r="M93" s="21">
        <f>B93&amp;"組"</f>
        <v/>
      </c>
      <c r="N93" s="21">
        <f>IF(AND(D93&lt;&gt;"",J93=""),1,0)</f>
        <v/>
      </c>
      <c r="AK93">
        <f>IF(J93="","",IF(J93="男赤",COUNTIF($Y$2:$Y$51,"&lt;"&amp;K93),IF(J93="男白",COUNTIF($Z$2:$Z$51,"&lt;"&amp;K93),IF(J93="女赤",COUNTIF($AH$2:$AH$51,"&lt;"&amp;K93),COUNTIF($AI$2:$AI$51,"&lt;"&amp;K93))))+1)</f>
        <v/>
      </c>
      <c r="AL93">
        <f>IF(AK93="","",IF(AK93=1,0,IF(J93="男赤",INDEX($Y$2:$Y$51,AK93-1),IF(J93="男白",INDEX($Z$2:$Z$51,AK93-1),IF(J93="女赤",INDEX($AH$2:$AH$51,AK93-1),INDEX($AI$2:$AI$51,AK93-1))))))</f>
        <v/>
      </c>
      <c r="AM93">
        <f>IF(AK93="","",IF(RIGHT(J93,1)="赤",K93-AL93,IF(LEFT(J93,1)="男",INDEX($W$2:$W$51,AK93),INDEX($AF$2:$AF$51,AK93))+K93-AL93))</f>
        <v/>
      </c>
      <c r="AN93">
        <f>IF(AK93="","",F93&amp;AK93&amp;"-"&amp;AM93)</f>
        <v/>
      </c>
    </row>
    <row r="94">
      <c r="A94" s="21">
        <f>ROW()-1</f>
        <v/>
      </c>
      <c r="B94" s="21">
        <f>INT((A94-1)/37)+1</f>
        <v/>
      </c>
      <c r="C94" s="21">
        <f>MOD(A94-1,37)+1</f>
        <v/>
      </c>
      <c r="D94" s="21">
        <f>INDEX(①データ入力!$B$3:$Y$39,C94,(B94-1)*5+1)&amp;""</f>
        <v/>
      </c>
      <c r="E94" s="21">
        <f>INDEX(①データ入力!$B$3:$Y$39,C94,(B94-1)*5+2)&amp;""</f>
        <v/>
      </c>
      <c r="F94" s="21">
        <f>IF(OR(E94="1",E94="１",E94="男"),"男",IF(OR(E94="2",E94="２",E94="女"),"女",""))</f>
        <v/>
      </c>
      <c r="G94" s="21">
        <f>INDEX(①データ入力!$B$3:$Y$39,C94,(B94-1)*5+3)</f>
        <v/>
      </c>
      <c r="H94" s="21">
        <f>INDEX(①データ入力!$B$3:$Y$39,C94,(B94-1)*5+4)&amp;""</f>
        <v/>
      </c>
      <c r="I94" s="21">
        <f>IF(LEFT(TRIM(H94),1)="赤","赤",IF(LEFT(TRIM(H94),1)="白","白",""))</f>
        <v/>
      </c>
      <c r="J94" s="21">
        <f>IF(AND(D94&lt;&gt;"",F94&lt;&gt;"",I94&lt;&gt;"",ISNUMBER(G94)),F94&amp;I94,"")</f>
        <v/>
      </c>
      <c r="K94" s="21">
        <f>IF(J94="","",COUNTIFS($J$2:$J$186,J94,$G$2:$G$186,"&lt;"&amp;G94)+COUNTIFS($J$2:$J$186,J94,$G$2:$G$186,G94,$A$2:$A$186,"&lt;"&amp;A94)+1)</f>
        <v/>
      </c>
      <c r="L94" s="21">
        <f>IF(J94="","",J94&amp;K94)</f>
        <v/>
      </c>
      <c r="M94" s="21">
        <f>B94&amp;"組"</f>
        <v/>
      </c>
      <c r="N94" s="21">
        <f>IF(AND(D94&lt;&gt;"",J94=""),1,0)</f>
        <v/>
      </c>
      <c r="AK94">
        <f>IF(J94="","",IF(J94="男赤",COUNTIF($Y$2:$Y$51,"&lt;"&amp;K94),IF(J94="男白",COUNTIF($Z$2:$Z$51,"&lt;"&amp;K94),IF(J94="女赤",COUNTIF($AH$2:$AH$51,"&lt;"&amp;K94),COUNTIF($AI$2:$AI$51,"&lt;"&amp;K94))))+1)</f>
        <v/>
      </c>
      <c r="AL94">
        <f>IF(AK94="","",IF(AK94=1,0,IF(J94="男赤",INDEX($Y$2:$Y$51,AK94-1),IF(J94="男白",INDEX($Z$2:$Z$51,AK94-1),IF(J94="女赤",INDEX($AH$2:$AH$51,AK94-1),INDEX($AI$2:$AI$51,AK94-1))))))</f>
        <v/>
      </c>
      <c r="AM94">
        <f>IF(AK94="","",IF(RIGHT(J94,1)="赤",K94-AL94,IF(LEFT(J94,1)="男",INDEX($W$2:$W$51,AK94),INDEX($AF$2:$AF$51,AK94))+K94-AL94))</f>
        <v/>
      </c>
      <c r="AN94">
        <f>IF(AK94="","",F94&amp;AK94&amp;"-"&amp;AM94)</f>
        <v/>
      </c>
    </row>
    <row r="95">
      <c r="A95" s="21">
        <f>ROW()-1</f>
        <v/>
      </c>
      <c r="B95" s="21">
        <f>INT((A95-1)/37)+1</f>
        <v/>
      </c>
      <c r="C95" s="21">
        <f>MOD(A95-1,37)+1</f>
        <v/>
      </c>
      <c r="D95" s="21">
        <f>INDEX(①データ入力!$B$3:$Y$39,C95,(B95-1)*5+1)&amp;""</f>
        <v/>
      </c>
      <c r="E95" s="21">
        <f>INDEX(①データ入力!$B$3:$Y$39,C95,(B95-1)*5+2)&amp;""</f>
        <v/>
      </c>
      <c r="F95" s="21">
        <f>IF(OR(E95="1",E95="１",E95="男"),"男",IF(OR(E95="2",E95="２",E95="女"),"女",""))</f>
        <v/>
      </c>
      <c r="G95" s="21">
        <f>INDEX(①データ入力!$B$3:$Y$39,C95,(B95-1)*5+3)</f>
        <v/>
      </c>
      <c r="H95" s="21">
        <f>INDEX(①データ入力!$B$3:$Y$39,C95,(B95-1)*5+4)&amp;""</f>
        <v/>
      </c>
      <c r="I95" s="21">
        <f>IF(LEFT(TRIM(H95),1)="赤","赤",IF(LEFT(TRIM(H95),1)="白","白",""))</f>
        <v/>
      </c>
      <c r="J95" s="21">
        <f>IF(AND(D95&lt;&gt;"",F95&lt;&gt;"",I95&lt;&gt;"",ISNUMBER(G95)),F95&amp;I95,"")</f>
        <v/>
      </c>
      <c r="K95" s="21">
        <f>IF(J95="","",COUNTIFS($J$2:$J$186,J95,$G$2:$G$186,"&lt;"&amp;G95)+COUNTIFS($J$2:$J$186,J95,$G$2:$G$186,G95,$A$2:$A$186,"&lt;"&amp;A95)+1)</f>
        <v/>
      </c>
      <c r="L95" s="21">
        <f>IF(J95="","",J95&amp;K95)</f>
        <v/>
      </c>
      <c r="M95" s="21">
        <f>B95&amp;"組"</f>
        <v/>
      </c>
      <c r="N95" s="21">
        <f>IF(AND(D95&lt;&gt;"",J95=""),1,0)</f>
        <v/>
      </c>
      <c r="AK95">
        <f>IF(J95="","",IF(J95="男赤",COUNTIF($Y$2:$Y$51,"&lt;"&amp;K95),IF(J95="男白",COUNTIF($Z$2:$Z$51,"&lt;"&amp;K95),IF(J95="女赤",COUNTIF($AH$2:$AH$51,"&lt;"&amp;K95),COUNTIF($AI$2:$AI$51,"&lt;"&amp;K95))))+1)</f>
        <v/>
      </c>
      <c r="AL95">
        <f>IF(AK95="","",IF(AK95=1,0,IF(J95="男赤",INDEX($Y$2:$Y$51,AK95-1),IF(J95="男白",INDEX($Z$2:$Z$51,AK95-1),IF(J95="女赤",INDEX($AH$2:$AH$51,AK95-1),INDEX($AI$2:$AI$51,AK95-1))))))</f>
        <v/>
      </c>
      <c r="AM95">
        <f>IF(AK95="","",IF(RIGHT(J95,1)="赤",K95-AL95,IF(LEFT(J95,1)="男",INDEX($W$2:$W$51,AK95),INDEX($AF$2:$AF$51,AK95))+K95-AL95))</f>
        <v/>
      </c>
      <c r="AN95">
        <f>IF(AK95="","",F95&amp;AK95&amp;"-"&amp;AM95)</f>
        <v/>
      </c>
    </row>
    <row r="96">
      <c r="A96" s="21">
        <f>ROW()-1</f>
        <v/>
      </c>
      <c r="B96" s="21">
        <f>INT((A96-1)/37)+1</f>
        <v/>
      </c>
      <c r="C96" s="21">
        <f>MOD(A96-1,37)+1</f>
        <v/>
      </c>
      <c r="D96" s="21">
        <f>INDEX(①データ入力!$B$3:$Y$39,C96,(B96-1)*5+1)&amp;""</f>
        <v/>
      </c>
      <c r="E96" s="21">
        <f>INDEX(①データ入力!$B$3:$Y$39,C96,(B96-1)*5+2)&amp;""</f>
        <v/>
      </c>
      <c r="F96" s="21">
        <f>IF(OR(E96="1",E96="１",E96="男"),"男",IF(OR(E96="2",E96="２",E96="女"),"女",""))</f>
        <v/>
      </c>
      <c r="G96" s="21">
        <f>INDEX(①データ入力!$B$3:$Y$39,C96,(B96-1)*5+3)</f>
        <v/>
      </c>
      <c r="H96" s="21">
        <f>INDEX(①データ入力!$B$3:$Y$39,C96,(B96-1)*5+4)&amp;""</f>
        <v/>
      </c>
      <c r="I96" s="21">
        <f>IF(LEFT(TRIM(H96),1)="赤","赤",IF(LEFT(TRIM(H96),1)="白","白",""))</f>
        <v/>
      </c>
      <c r="J96" s="21">
        <f>IF(AND(D96&lt;&gt;"",F96&lt;&gt;"",I96&lt;&gt;"",ISNUMBER(G96)),F96&amp;I96,"")</f>
        <v/>
      </c>
      <c r="K96" s="21">
        <f>IF(J96="","",COUNTIFS($J$2:$J$186,J96,$G$2:$G$186,"&lt;"&amp;G96)+COUNTIFS($J$2:$J$186,J96,$G$2:$G$186,G96,$A$2:$A$186,"&lt;"&amp;A96)+1)</f>
        <v/>
      </c>
      <c r="L96" s="21">
        <f>IF(J96="","",J96&amp;K96)</f>
        <v/>
      </c>
      <c r="M96" s="21">
        <f>B96&amp;"組"</f>
        <v/>
      </c>
      <c r="N96" s="21">
        <f>IF(AND(D96&lt;&gt;"",J96=""),1,0)</f>
        <v/>
      </c>
      <c r="AK96">
        <f>IF(J96="","",IF(J96="男赤",COUNTIF($Y$2:$Y$51,"&lt;"&amp;K96),IF(J96="男白",COUNTIF($Z$2:$Z$51,"&lt;"&amp;K96),IF(J96="女赤",COUNTIF($AH$2:$AH$51,"&lt;"&amp;K96),COUNTIF($AI$2:$AI$51,"&lt;"&amp;K96))))+1)</f>
        <v/>
      </c>
      <c r="AL96">
        <f>IF(AK96="","",IF(AK96=1,0,IF(J96="男赤",INDEX($Y$2:$Y$51,AK96-1),IF(J96="男白",INDEX($Z$2:$Z$51,AK96-1),IF(J96="女赤",INDEX($AH$2:$AH$51,AK96-1),INDEX($AI$2:$AI$51,AK96-1))))))</f>
        <v/>
      </c>
      <c r="AM96">
        <f>IF(AK96="","",IF(RIGHT(J96,1)="赤",K96-AL96,IF(LEFT(J96,1)="男",INDEX($W$2:$W$51,AK96),INDEX($AF$2:$AF$51,AK96))+K96-AL96))</f>
        <v/>
      </c>
      <c r="AN96">
        <f>IF(AK96="","",F96&amp;AK96&amp;"-"&amp;AM96)</f>
        <v/>
      </c>
    </row>
    <row r="97">
      <c r="A97" s="21">
        <f>ROW()-1</f>
        <v/>
      </c>
      <c r="B97" s="21">
        <f>INT((A97-1)/37)+1</f>
        <v/>
      </c>
      <c r="C97" s="21">
        <f>MOD(A97-1,37)+1</f>
        <v/>
      </c>
      <c r="D97" s="21">
        <f>INDEX(①データ入力!$B$3:$Y$39,C97,(B97-1)*5+1)&amp;""</f>
        <v/>
      </c>
      <c r="E97" s="21">
        <f>INDEX(①データ入力!$B$3:$Y$39,C97,(B97-1)*5+2)&amp;""</f>
        <v/>
      </c>
      <c r="F97" s="21">
        <f>IF(OR(E97="1",E97="１",E97="男"),"男",IF(OR(E97="2",E97="２",E97="女"),"女",""))</f>
        <v/>
      </c>
      <c r="G97" s="21">
        <f>INDEX(①データ入力!$B$3:$Y$39,C97,(B97-1)*5+3)</f>
        <v/>
      </c>
      <c r="H97" s="21">
        <f>INDEX(①データ入力!$B$3:$Y$39,C97,(B97-1)*5+4)&amp;""</f>
        <v/>
      </c>
      <c r="I97" s="21">
        <f>IF(LEFT(TRIM(H97),1)="赤","赤",IF(LEFT(TRIM(H97),1)="白","白",""))</f>
        <v/>
      </c>
      <c r="J97" s="21">
        <f>IF(AND(D97&lt;&gt;"",F97&lt;&gt;"",I97&lt;&gt;"",ISNUMBER(G97)),F97&amp;I97,"")</f>
        <v/>
      </c>
      <c r="K97" s="21">
        <f>IF(J97="","",COUNTIFS($J$2:$J$186,J97,$G$2:$G$186,"&lt;"&amp;G97)+COUNTIFS($J$2:$J$186,J97,$G$2:$G$186,G97,$A$2:$A$186,"&lt;"&amp;A97)+1)</f>
        <v/>
      </c>
      <c r="L97" s="21">
        <f>IF(J97="","",J97&amp;K97)</f>
        <v/>
      </c>
      <c r="M97" s="21">
        <f>B97&amp;"組"</f>
        <v/>
      </c>
      <c r="N97" s="21">
        <f>IF(AND(D97&lt;&gt;"",J97=""),1,0)</f>
        <v/>
      </c>
      <c r="AK97">
        <f>IF(J97="","",IF(J97="男赤",COUNTIF($Y$2:$Y$51,"&lt;"&amp;K97),IF(J97="男白",COUNTIF($Z$2:$Z$51,"&lt;"&amp;K97),IF(J97="女赤",COUNTIF($AH$2:$AH$51,"&lt;"&amp;K97),COUNTIF($AI$2:$AI$51,"&lt;"&amp;K97))))+1)</f>
        <v/>
      </c>
      <c r="AL97">
        <f>IF(AK97="","",IF(AK97=1,0,IF(J97="男赤",INDEX($Y$2:$Y$51,AK97-1),IF(J97="男白",INDEX($Z$2:$Z$51,AK97-1),IF(J97="女赤",INDEX($AH$2:$AH$51,AK97-1),INDEX($AI$2:$AI$51,AK97-1))))))</f>
        <v/>
      </c>
      <c r="AM97">
        <f>IF(AK97="","",IF(RIGHT(J97,1)="赤",K97-AL97,IF(LEFT(J97,1)="男",INDEX($W$2:$W$51,AK97),INDEX($AF$2:$AF$51,AK97))+K97-AL97))</f>
        <v/>
      </c>
      <c r="AN97">
        <f>IF(AK97="","",F97&amp;AK97&amp;"-"&amp;AM97)</f>
        <v/>
      </c>
    </row>
    <row r="98">
      <c r="A98" s="21">
        <f>ROW()-1</f>
        <v/>
      </c>
      <c r="B98" s="21">
        <f>INT((A98-1)/37)+1</f>
        <v/>
      </c>
      <c r="C98" s="21">
        <f>MOD(A98-1,37)+1</f>
        <v/>
      </c>
      <c r="D98" s="21">
        <f>INDEX(①データ入力!$B$3:$Y$39,C98,(B98-1)*5+1)&amp;""</f>
        <v/>
      </c>
      <c r="E98" s="21">
        <f>INDEX(①データ入力!$B$3:$Y$39,C98,(B98-1)*5+2)&amp;""</f>
        <v/>
      </c>
      <c r="F98" s="21">
        <f>IF(OR(E98="1",E98="１",E98="男"),"男",IF(OR(E98="2",E98="２",E98="女"),"女",""))</f>
        <v/>
      </c>
      <c r="G98" s="21">
        <f>INDEX(①データ入力!$B$3:$Y$39,C98,(B98-1)*5+3)</f>
        <v/>
      </c>
      <c r="H98" s="21">
        <f>INDEX(①データ入力!$B$3:$Y$39,C98,(B98-1)*5+4)&amp;""</f>
        <v/>
      </c>
      <c r="I98" s="21">
        <f>IF(LEFT(TRIM(H98),1)="赤","赤",IF(LEFT(TRIM(H98),1)="白","白",""))</f>
        <v/>
      </c>
      <c r="J98" s="21">
        <f>IF(AND(D98&lt;&gt;"",F98&lt;&gt;"",I98&lt;&gt;"",ISNUMBER(G98)),F98&amp;I98,"")</f>
        <v/>
      </c>
      <c r="K98" s="21">
        <f>IF(J98="","",COUNTIFS($J$2:$J$186,J98,$G$2:$G$186,"&lt;"&amp;G98)+COUNTIFS($J$2:$J$186,J98,$G$2:$G$186,G98,$A$2:$A$186,"&lt;"&amp;A98)+1)</f>
        <v/>
      </c>
      <c r="L98" s="21">
        <f>IF(J98="","",J98&amp;K98)</f>
        <v/>
      </c>
      <c r="M98" s="21">
        <f>B98&amp;"組"</f>
        <v/>
      </c>
      <c r="N98" s="21">
        <f>IF(AND(D98&lt;&gt;"",J98=""),1,0)</f>
        <v/>
      </c>
      <c r="AK98">
        <f>IF(J98="","",IF(J98="男赤",COUNTIF($Y$2:$Y$51,"&lt;"&amp;K98),IF(J98="男白",COUNTIF($Z$2:$Z$51,"&lt;"&amp;K98),IF(J98="女赤",COUNTIF($AH$2:$AH$51,"&lt;"&amp;K98),COUNTIF($AI$2:$AI$51,"&lt;"&amp;K98))))+1)</f>
        <v/>
      </c>
      <c r="AL98">
        <f>IF(AK98="","",IF(AK98=1,0,IF(J98="男赤",INDEX($Y$2:$Y$51,AK98-1),IF(J98="男白",INDEX($Z$2:$Z$51,AK98-1),IF(J98="女赤",INDEX($AH$2:$AH$51,AK98-1),INDEX($AI$2:$AI$51,AK98-1))))))</f>
        <v/>
      </c>
      <c r="AM98">
        <f>IF(AK98="","",IF(RIGHT(J98,1)="赤",K98-AL98,IF(LEFT(J98,1)="男",INDEX($W$2:$W$51,AK98),INDEX($AF$2:$AF$51,AK98))+K98-AL98))</f>
        <v/>
      </c>
      <c r="AN98">
        <f>IF(AK98="","",F98&amp;AK98&amp;"-"&amp;AM98)</f>
        <v/>
      </c>
    </row>
    <row r="99">
      <c r="A99" s="21">
        <f>ROW()-1</f>
        <v/>
      </c>
      <c r="B99" s="21">
        <f>INT((A99-1)/37)+1</f>
        <v/>
      </c>
      <c r="C99" s="21">
        <f>MOD(A99-1,37)+1</f>
        <v/>
      </c>
      <c r="D99" s="21">
        <f>INDEX(①データ入力!$B$3:$Y$39,C99,(B99-1)*5+1)&amp;""</f>
        <v/>
      </c>
      <c r="E99" s="21">
        <f>INDEX(①データ入力!$B$3:$Y$39,C99,(B99-1)*5+2)&amp;""</f>
        <v/>
      </c>
      <c r="F99" s="21">
        <f>IF(OR(E99="1",E99="１",E99="男"),"男",IF(OR(E99="2",E99="２",E99="女"),"女",""))</f>
        <v/>
      </c>
      <c r="G99" s="21">
        <f>INDEX(①データ入力!$B$3:$Y$39,C99,(B99-1)*5+3)</f>
        <v/>
      </c>
      <c r="H99" s="21">
        <f>INDEX(①データ入力!$B$3:$Y$39,C99,(B99-1)*5+4)&amp;""</f>
        <v/>
      </c>
      <c r="I99" s="21">
        <f>IF(LEFT(TRIM(H99),1)="赤","赤",IF(LEFT(TRIM(H99),1)="白","白",""))</f>
        <v/>
      </c>
      <c r="J99" s="21">
        <f>IF(AND(D99&lt;&gt;"",F99&lt;&gt;"",I99&lt;&gt;"",ISNUMBER(G99)),F99&amp;I99,"")</f>
        <v/>
      </c>
      <c r="K99" s="21">
        <f>IF(J99="","",COUNTIFS($J$2:$J$186,J99,$G$2:$G$186,"&lt;"&amp;G99)+COUNTIFS($J$2:$J$186,J99,$G$2:$G$186,G99,$A$2:$A$186,"&lt;"&amp;A99)+1)</f>
        <v/>
      </c>
      <c r="L99" s="21">
        <f>IF(J99="","",J99&amp;K99)</f>
        <v/>
      </c>
      <c r="M99" s="21">
        <f>B99&amp;"組"</f>
        <v/>
      </c>
      <c r="N99" s="21">
        <f>IF(AND(D99&lt;&gt;"",J99=""),1,0)</f>
        <v/>
      </c>
      <c r="AK99">
        <f>IF(J99="","",IF(J99="男赤",COUNTIF($Y$2:$Y$51,"&lt;"&amp;K99),IF(J99="男白",COUNTIF($Z$2:$Z$51,"&lt;"&amp;K99),IF(J99="女赤",COUNTIF($AH$2:$AH$51,"&lt;"&amp;K99),COUNTIF($AI$2:$AI$51,"&lt;"&amp;K99))))+1)</f>
        <v/>
      </c>
      <c r="AL99">
        <f>IF(AK99="","",IF(AK99=1,0,IF(J99="男赤",INDEX($Y$2:$Y$51,AK99-1),IF(J99="男白",INDEX($Z$2:$Z$51,AK99-1),IF(J99="女赤",INDEX($AH$2:$AH$51,AK99-1),INDEX($AI$2:$AI$51,AK99-1))))))</f>
        <v/>
      </c>
      <c r="AM99">
        <f>IF(AK99="","",IF(RIGHT(J99,1)="赤",K99-AL99,IF(LEFT(J99,1)="男",INDEX($W$2:$W$51,AK99),INDEX($AF$2:$AF$51,AK99))+K99-AL99))</f>
        <v/>
      </c>
      <c r="AN99">
        <f>IF(AK99="","",F99&amp;AK99&amp;"-"&amp;AM99)</f>
        <v/>
      </c>
    </row>
    <row r="100">
      <c r="A100" s="21">
        <f>ROW()-1</f>
        <v/>
      </c>
      <c r="B100" s="21">
        <f>INT((A100-1)/37)+1</f>
        <v/>
      </c>
      <c r="C100" s="21">
        <f>MOD(A100-1,37)+1</f>
        <v/>
      </c>
      <c r="D100" s="21">
        <f>INDEX(①データ入力!$B$3:$Y$39,C100,(B100-1)*5+1)&amp;""</f>
        <v/>
      </c>
      <c r="E100" s="21">
        <f>INDEX(①データ入力!$B$3:$Y$39,C100,(B100-1)*5+2)&amp;""</f>
        <v/>
      </c>
      <c r="F100" s="21">
        <f>IF(OR(E100="1",E100="１",E100="男"),"男",IF(OR(E100="2",E100="２",E100="女"),"女",""))</f>
        <v/>
      </c>
      <c r="G100" s="21">
        <f>INDEX(①データ入力!$B$3:$Y$39,C100,(B100-1)*5+3)</f>
        <v/>
      </c>
      <c r="H100" s="21">
        <f>INDEX(①データ入力!$B$3:$Y$39,C100,(B100-1)*5+4)&amp;""</f>
        <v/>
      </c>
      <c r="I100" s="21">
        <f>IF(LEFT(TRIM(H100),1)="赤","赤",IF(LEFT(TRIM(H100),1)="白","白",""))</f>
        <v/>
      </c>
      <c r="J100" s="21">
        <f>IF(AND(D100&lt;&gt;"",F100&lt;&gt;"",I100&lt;&gt;"",ISNUMBER(G100)),F100&amp;I100,"")</f>
        <v/>
      </c>
      <c r="K100" s="21">
        <f>IF(J100="","",COUNTIFS($J$2:$J$186,J100,$G$2:$G$186,"&lt;"&amp;G100)+COUNTIFS($J$2:$J$186,J100,$G$2:$G$186,G100,$A$2:$A$186,"&lt;"&amp;A100)+1)</f>
        <v/>
      </c>
      <c r="L100" s="21">
        <f>IF(J100="","",J100&amp;K100)</f>
        <v/>
      </c>
      <c r="M100" s="21">
        <f>B100&amp;"組"</f>
        <v/>
      </c>
      <c r="N100" s="21">
        <f>IF(AND(D100&lt;&gt;"",J100=""),1,0)</f>
        <v/>
      </c>
      <c r="AK100">
        <f>IF(J100="","",IF(J100="男赤",COUNTIF($Y$2:$Y$51,"&lt;"&amp;K100),IF(J100="男白",COUNTIF($Z$2:$Z$51,"&lt;"&amp;K100),IF(J100="女赤",COUNTIF($AH$2:$AH$51,"&lt;"&amp;K100),COUNTIF($AI$2:$AI$51,"&lt;"&amp;K100))))+1)</f>
        <v/>
      </c>
      <c r="AL100">
        <f>IF(AK100="","",IF(AK100=1,0,IF(J100="男赤",INDEX($Y$2:$Y$51,AK100-1),IF(J100="男白",INDEX($Z$2:$Z$51,AK100-1),IF(J100="女赤",INDEX($AH$2:$AH$51,AK100-1),INDEX($AI$2:$AI$51,AK100-1))))))</f>
        <v/>
      </c>
      <c r="AM100">
        <f>IF(AK100="","",IF(RIGHT(J100,1)="赤",K100-AL100,IF(LEFT(J100,1)="男",INDEX($W$2:$W$51,AK100),INDEX($AF$2:$AF$51,AK100))+K100-AL100))</f>
        <v/>
      </c>
      <c r="AN100">
        <f>IF(AK100="","",F100&amp;AK100&amp;"-"&amp;AM100)</f>
        <v/>
      </c>
    </row>
    <row r="101">
      <c r="A101" s="21">
        <f>ROW()-1</f>
        <v/>
      </c>
      <c r="B101" s="21">
        <f>INT((A101-1)/37)+1</f>
        <v/>
      </c>
      <c r="C101" s="21">
        <f>MOD(A101-1,37)+1</f>
        <v/>
      </c>
      <c r="D101" s="21">
        <f>INDEX(①データ入力!$B$3:$Y$39,C101,(B101-1)*5+1)&amp;""</f>
        <v/>
      </c>
      <c r="E101" s="21">
        <f>INDEX(①データ入力!$B$3:$Y$39,C101,(B101-1)*5+2)&amp;""</f>
        <v/>
      </c>
      <c r="F101" s="21">
        <f>IF(OR(E101="1",E101="１",E101="男"),"男",IF(OR(E101="2",E101="２",E101="女"),"女",""))</f>
        <v/>
      </c>
      <c r="G101" s="21">
        <f>INDEX(①データ入力!$B$3:$Y$39,C101,(B101-1)*5+3)</f>
        <v/>
      </c>
      <c r="H101" s="21">
        <f>INDEX(①データ入力!$B$3:$Y$39,C101,(B101-1)*5+4)&amp;""</f>
        <v/>
      </c>
      <c r="I101" s="21">
        <f>IF(LEFT(TRIM(H101),1)="赤","赤",IF(LEFT(TRIM(H101),1)="白","白",""))</f>
        <v/>
      </c>
      <c r="J101" s="21">
        <f>IF(AND(D101&lt;&gt;"",F101&lt;&gt;"",I101&lt;&gt;"",ISNUMBER(G101)),F101&amp;I101,"")</f>
        <v/>
      </c>
      <c r="K101" s="21">
        <f>IF(J101="","",COUNTIFS($J$2:$J$186,J101,$G$2:$G$186,"&lt;"&amp;G101)+COUNTIFS($J$2:$J$186,J101,$G$2:$G$186,G101,$A$2:$A$186,"&lt;"&amp;A101)+1)</f>
        <v/>
      </c>
      <c r="L101" s="21">
        <f>IF(J101="","",J101&amp;K101)</f>
        <v/>
      </c>
      <c r="M101" s="21">
        <f>B101&amp;"組"</f>
        <v/>
      </c>
      <c r="N101" s="21">
        <f>IF(AND(D101&lt;&gt;"",J101=""),1,0)</f>
        <v/>
      </c>
      <c r="AK101">
        <f>IF(J101="","",IF(J101="男赤",COUNTIF($Y$2:$Y$51,"&lt;"&amp;K101),IF(J101="男白",COUNTIF($Z$2:$Z$51,"&lt;"&amp;K101),IF(J101="女赤",COUNTIF($AH$2:$AH$51,"&lt;"&amp;K101),COUNTIF($AI$2:$AI$51,"&lt;"&amp;K101))))+1)</f>
        <v/>
      </c>
      <c r="AL101">
        <f>IF(AK101="","",IF(AK101=1,0,IF(J101="男赤",INDEX($Y$2:$Y$51,AK101-1),IF(J101="男白",INDEX($Z$2:$Z$51,AK101-1),IF(J101="女赤",INDEX($AH$2:$AH$51,AK101-1),INDEX($AI$2:$AI$51,AK101-1))))))</f>
        <v/>
      </c>
      <c r="AM101">
        <f>IF(AK101="","",IF(RIGHT(J101,1)="赤",K101-AL101,IF(LEFT(J101,1)="男",INDEX($W$2:$W$51,AK101),INDEX($AF$2:$AF$51,AK101))+K101-AL101))</f>
        <v/>
      </c>
      <c r="AN101">
        <f>IF(AK101="","",F101&amp;AK101&amp;"-"&amp;AM101)</f>
        <v/>
      </c>
    </row>
    <row r="102">
      <c r="A102" s="21">
        <f>ROW()-1</f>
        <v/>
      </c>
      <c r="B102" s="21">
        <f>INT((A102-1)/37)+1</f>
        <v/>
      </c>
      <c r="C102" s="21">
        <f>MOD(A102-1,37)+1</f>
        <v/>
      </c>
      <c r="D102" s="21">
        <f>INDEX(①データ入力!$B$3:$Y$39,C102,(B102-1)*5+1)&amp;""</f>
        <v/>
      </c>
      <c r="E102" s="21">
        <f>INDEX(①データ入力!$B$3:$Y$39,C102,(B102-1)*5+2)&amp;""</f>
        <v/>
      </c>
      <c r="F102" s="21">
        <f>IF(OR(E102="1",E102="１",E102="男"),"男",IF(OR(E102="2",E102="２",E102="女"),"女",""))</f>
        <v/>
      </c>
      <c r="G102" s="21">
        <f>INDEX(①データ入力!$B$3:$Y$39,C102,(B102-1)*5+3)</f>
        <v/>
      </c>
      <c r="H102" s="21">
        <f>INDEX(①データ入力!$B$3:$Y$39,C102,(B102-1)*5+4)&amp;""</f>
        <v/>
      </c>
      <c r="I102" s="21">
        <f>IF(LEFT(TRIM(H102),1)="赤","赤",IF(LEFT(TRIM(H102),1)="白","白",""))</f>
        <v/>
      </c>
      <c r="J102" s="21">
        <f>IF(AND(D102&lt;&gt;"",F102&lt;&gt;"",I102&lt;&gt;"",ISNUMBER(G102)),F102&amp;I102,"")</f>
        <v/>
      </c>
      <c r="K102" s="21">
        <f>IF(J102="","",COUNTIFS($J$2:$J$186,J102,$G$2:$G$186,"&lt;"&amp;G102)+COUNTIFS($J$2:$J$186,J102,$G$2:$G$186,G102,$A$2:$A$186,"&lt;"&amp;A102)+1)</f>
        <v/>
      </c>
      <c r="L102" s="21">
        <f>IF(J102="","",J102&amp;K102)</f>
        <v/>
      </c>
      <c r="M102" s="21">
        <f>B102&amp;"組"</f>
        <v/>
      </c>
      <c r="N102" s="21">
        <f>IF(AND(D102&lt;&gt;"",J102=""),1,0)</f>
        <v/>
      </c>
      <c r="AK102">
        <f>IF(J102="","",IF(J102="男赤",COUNTIF($Y$2:$Y$51,"&lt;"&amp;K102),IF(J102="男白",COUNTIF($Z$2:$Z$51,"&lt;"&amp;K102),IF(J102="女赤",COUNTIF($AH$2:$AH$51,"&lt;"&amp;K102),COUNTIF($AI$2:$AI$51,"&lt;"&amp;K102))))+1)</f>
        <v/>
      </c>
      <c r="AL102">
        <f>IF(AK102="","",IF(AK102=1,0,IF(J102="男赤",INDEX($Y$2:$Y$51,AK102-1),IF(J102="男白",INDEX($Z$2:$Z$51,AK102-1),IF(J102="女赤",INDEX($AH$2:$AH$51,AK102-1),INDEX($AI$2:$AI$51,AK102-1))))))</f>
        <v/>
      </c>
      <c r="AM102">
        <f>IF(AK102="","",IF(RIGHT(J102,1)="赤",K102-AL102,IF(LEFT(J102,1)="男",INDEX($W$2:$W$51,AK102),INDEX($AF$2:$AF$51,AK102))+K102-AL102))</f>
        <v/>
      </c>
      <c r="AN102">
        <f>IF(AK102="","",F102&amp;AK102&amp;"-"&amp;AM102)</f>
        <v/>
      </c>
    </row>
    <row r="103">
      <c r="A103" s="21">
        <f>ROW()-1</f>
        <v/>
      </c>
      <c r="B103" s="21">
        <f>INT((A103-1)/37)+1</f>
        <v/>
      </c>
      <c r="C103" s="21">
        <f>MOD(A103-1,37)+1</f>
        <v/>
      </c>
      <c r="D103" s="21">
        <f>INDEX(①データ入力!$B$3:$Y$39,C103,(B103-1)*5+1)&amp;""</f>
        <v/>
      </c>
      <c r="E103" s="21">
        <f>INDEX(①データ入力!$B$3:$Y$39,C103,(B103-1)*5+2)&amp;""</f>
        <v/>
      </c>
      <c r="F103" s="21">
        <f>IF(OR(E103="1",E103="１",E103="男"),"男",IF(OR(E103="2",E103="２",E103="女"),"女",""))</f>
        <v/>
      </c>
      <c r="G103" s="21">
        <f>INDEX(①データ入力!$B$3:$Y$39,C103,(B103-1)*5+3)</f>
        <v/>
      </c>
      <c r="H103" s="21">
        <f>INDEX(①データ入力!$B$3:$Y$39,C103,(B103-1)*5+4)&amp;""</f>
        <v/>
      </c>
      <c r="I103" s="21">
        <f>IF(LEFT(TRIM(H103),1)="赤","赤",IF(LEFT(TRIM(H103),1)="白","白",""))</f>
        <v/>
      </c>
      <c r="J103" s="21">
        <f>IF(AND(D103&lt;&gt;"",F103&lt;&gt;"",I103&lt;&gt;"",ISNUMBER(G103)),F103&amp;I103,"")</f>
        <v/>
      </c>
      <c r="K103" s="21">
        <f>IF(J103="","",COUNTIFS($J$2:$J$186,J103,$G$2:$G$186,"&lt;"&amp;G103)+COUNTIFS($J$2:$J$186,J103,$G$2:$G$186,G103,$A$2:$A$186,"&lt;"&amp;A103)+1)</f>
        <v/>
      </c>
      <c r="L103" s="21">
        <f>IF(J103="","",J103&amp;K103)</f>
        <v/>
      </c>
      <c r="M103" s="21">
        <f>B103&amp;"組"</f>
        <v/>
      </c>
      <c r="N103" s="21">
        <f>IF(AND(D103&lt;&gt;"",J103=""),1,0)</f>
        <v/>
      </c>
      <c r="AK103">
        <f>IF(J103="","",IF(J103="男赤",COUNTIF($Y$2:$Y$51,"&lt;"&amp;K103),IF(J103="男白",COUNTIF($Z$2:$Z$51,"&lt;"&amp;K103),IF(J103="女赤",COUNTIF($AH$2:$AH$51,"&lt;"&amp;K103),COUNTIF($AI$2:$AI$51,"&lt;"&amp;K103))))+1)</f>
        <v/>
      </c>
      <c r="AL103">
        <f>IF(AK103="","",IF(AK103=1,0,IF(J103="男赤",INDEX($Y$2:$Y$51,AK103-1),IF(J103="男白",INDEX($Z$2:$Z$51,AK103-1),IF(J103="女赤",INDEX($AH$2:$AH$51,AK103-1),INDEX($AI$2:$AI$51,AK103-1))))))</f>
        <v/>
      </c>
      <c r="AM103">
        <f>IF(AK103="","",IF(RIGHT(J103,1)="赤",K103-AL103,IF(LEFT(J103,1)="男",INDEX($W$2:$W$51,AK103),INDEX($AF$2:$AF$51,AK103))+K103-AL103))</f>
        <v/>
      </c>
      <c r="AN103">
        <f>IF(AK103="","",F103&amp;AK103&amp;"-"&amp;AM103)</f>
        <v/>
      </c>
    </row>
    <row r="104">
      <c r="A104" s="21">
        <f>ROW()-1</f>
        <v/>
      </c>
      <c r="B104" s="21">
        <f>INT((A104-1)/37)+1</f>
        <v/>
      </c>
      <c r="C104" s="21">
        <f>MOD(A104-1,37)+1</f>
        <v/>
      </c>
      <c r="D104" s="21">
        <f>INDEX(①データ入力!$B$3:$Y$39,C104,(B104-1)*5+1)&amp;""</f>
        <v/>
      </c>
      <c r="E104" s="21">
        <f>INDEX(①データ入力!$B$3:$Y$39,C104,(B104-1)*5+2)&amp;""</f>
        <v/>
      </c>
      <c r="F104" s="21">
        <f>IF(OR(E104="1",E104="１",E104="男"),"男",IF(OR(E104="2",E104="２",E104="女"),"女",""))</f>
        <v/>
      </c>
      <c r="G104" s="21">
        <f>INDEX(①データ入力!$B$3:$Y$39,C104,(B104-1)*5+3)</f>
        <v/>
      </c>
      <c r="H104" s="21">
        <f>INDEX(①データ入力!$B$3:$Y$39,C104,(B104-1)*5+4)&amp;""</f>
        <v/>
      </c>
      <c r="I104" s="21">
        <f>IF(LEFT(TRIM(H104),1)="赤","赤",IF(LEFT(TRIM(H104),1)="白","白",""))</f>
        <v/>
      </c>
      <c r="J104" s="21">
        <f>IF(AND(D104&lt;&gt;"",F104&lt;&gt;"",I104&lt;&gt;"",ISNUMBER(G104)),F104&amp;I104,"")</f>
        <v/>
      </c>
      <c r="K104" s="21">
        <f>IF(J104="","",COUNTIFS($J$2:$J$186,J104,$G$2:$G$186,"&lt;"&amp;G104)+COUNTIFS($J$2:$J$186,J104,$G$2:$G$186,G104,$A$2:$A$186,"&lt;"&amp;A104)+1)</f>
        <v/>
      </c>
      <c r="L104" s="21">
        <f>IF(J104="","",J104&amp;K104)</f>
        <v/>
      </c>
      <c r="M104" s="21">
        <f>B104&amp;"組"</f>
        <v/>
      </c>
      <c r="N104" s="21">
        <f>IF(AND(D104&lt;&gt;"",J104=""),1,0)</f>
        <v/>
      </c>
      <c r="AK104">
        <f>IF(J104="","",IF(J104="男赤",COUNTIF($Y$2:$Y$51,"&lt;"&amp;K104),IF(J104="男白",COUNTIF($Z$2:$Z$51,"&lt;"&amp;K104),IF(J104="女赤",COUNTIF($AH$2:$AH$51,"&lt;"&amp;K104),COUNTIF($AI$2:$AI$51,"&lt;"&amp;K104))))+1)</f>
        <v/>
      </c>
      <c r="AL104">
        <f>IF(AK104="","",IF(AK104=1,0,IF(J104="男赤",INDEX($Y$2:$Y$51,AK104-1),IF(J104="男白",INDEX($Z$2:$Z$51,AK104-1),IF(J104="女赤",INDEX($AH$2:$AH$51,AK104-1),INDEX($AI$2:$AI$51,AK104-1))))))</f>
        <v/>
      </c>
      <c r="AM104">
        <f>IF(AK104="","",IF(RIGHT(J104,1)="赤",K104-AL104,IF(LEFT(J104,1)="男",INDEX($W$2:$W$51,AK104),INDEX($AF$2:$AF$51,AK104))+K104-AL104))</f>
        <v/>
      </c>
      <c r="AN104">
        <f>IF(AK104="","",F104&amp;AK104&amp;"-"&amp;AM104)</f>
        <v/>
      </c>
    </row>
    <row r="105">
      <c r="A105" s="21">
        <f>ROW()-1</f>
        <v/>
      </c>
      <c r="B105" s="21">
        <f>INT((A105-1)/37)+1</f>
        <v/>
      </c>
      <c r="C105" s="21">
        <f>MOD(A105-1,37)+1</f>
        <v/>
      </c>
      <c r="D105" s="21">
        <f>INDEX(①データ入力!$B$3:$Y$39,C105,(B105-1)*5+1)&amp;""</f>
        <v/>
      </c>
      <c r="E105" s="21">
        <f>INDEX(①データ入力!$B$3:$Y$39,C105,(B105-1)*5+2)&amp;""</f>
        <v/>
      </c>
      <c r="F105" s="21">
        <f>IF(OR(E105="1",E105="１",E105="男"),"男",IF(OR(E105="2",E105="２",E105="女"),"女",""))</f>
        <v/>
      </c>
      <c r="G105" s="21">
        <f>INDEX(①データ入力!$B$3:$Y$39,C105,(B105-1)*5+3)</f>
        <v/>
      </c>
      <c r="H105" s="21">
        <f>INDEX(①データ入力!$B$3:$Y$39,C105,(B105-1)*5+4)&amp;""</f>
        <v/>
      </c>
      <c r="I105" s="21">
        <f>IF(LEFT(TRIM(H105),1)="赤","赤",IF(LEFT(TRIM(H105),1)="白","白",""))</f>
        <v/>
      </c>
      <c r="J105" s="21">
        <f>IF(AND(D105&lt;&gt;"",F105&lt;&gt;"",I105&lt;&gt;"",ISNUMBER(G105)),F105&amp;I105,"")</f>
        <v/>
      </c>
      <c r="K105" s="21">
        <f>IF(J105="","",COUNTIFS($J$2:$J$186,J105,$G$2:$G$186,"&lt;"&amp;G105)+COUNTIFS($J$2:$J$186,J105,$G$2:$G$186,G105,$A$2:$A$186,"&lt;"&amp;A105)+1)</f>
        <v/>
      </c>
      <c r="L105" s="21">
        <f>IF(J105="","",J105&amp;K105)</f>
        <v/>
      </c>
      <c r="M105" s="21">
        <f>B105&amp;"組"</f>
        <v/>
      </c>
      <c r="N105" s="21">
        <f>IF(AND(D105&lt;&gt;"",J105=""),1,0)</f>
        <v/>
      </c>
      <c r="AK105">
        <f>IF(J105="","",IF(J105="男赤",COUNTIF($Y$2:$Y$51,"&lt;"&amp;K105),IF(J105="男白",COUNTIF($Z$2:$Z$51,"&lt;"&amp;K105),IF(J105="女赤",COUNTIF($AH$2:$AH$51,"&lt;"&amp;K105),COUNTIF($AI$2:$AI$51,"&lt;"&amp;K105))))+1)</f>
        <v/>
      </c>
      <c r="AL105">
        <f>IF(AK105="","",IF(AK105=1,0,IF(J105="男赤",INDEX($Y$2:$Y$51,AK105-1),IF(J105="男白",INDEX($Z$2:$Z$51,AK105-1),IF(J105="女赤",INDEX($AH$2:$AH$51,AK105-1),INDEX($AI$2:$AI$51,AK105-1))))))</f>
        <v/>
      </c>
      <c r="AM105">
        <f>IF(AK105="","",IF(RIGHT(J105,1)="赤",K105-AL105,IF(LEFT(J105,1)="男",INDEX($W$2:$W$51,AK105),INDEX($AF$2:$AF$51,AK105))+K105-AL105))</f>
        <v/>
      </c>
      <c r="AN105">
        <f>IF(AK105="","",F105&amp;AK105&amp;"-"&amp;AM105)</f>
        <v/>
      </c>
    </row>
    <row r="106">
      <c r="A106" s="21">
        <f>ROW()-1</f>
        <v/>
      </c>
      <c r="B106" s="21">
        <f>INT((A106-1)/37)+1</f>
        <v/>
      </c>
      <c r="C106" s="21">
        <f>MOD(A106-1,37)+1</f>
        <v/>
      </c>
      <c r="D106" s="21">
        <f>INDEX(①データ入力!$B$3:$Y$39,C106,(B106-1)*5+1)&amp;""</f>
        <v/>
      </c>
      <c r="E106" s="21">
        <f>INDEX(①データ入力!$B$3:$Y$39,C106,(B106-1)*5+2)&amp;""</f>
        <v/>
      </c>
      <c r="F106" s="21">
        <f>IF(OR(E106="1",E106="１",E106="男"),"男",IF(OR(E106="2",E106="２",E106="女"),"女",""))</f>
        <v/>
      </c>
      <c r="G106" s="21">
        <f>INDEX(①データ入力!$B$3:$Y$39,C106,(B106-1)*5+3)</f>
        <v/>
      </c>
      <c r="H106" s="21">
        <f>INDEX(①データ入力!$B$3:$Y$39,C106,(B106-1)*5+4)&amp;""</f>
        <v/>
      </c>
      <c r="I106" s="21">
        <f>IF(LEFT(TRIM(H106),1)="赤","赤",IF(LEFT(TRIM(H106),1)="白","白",""))</f>
        <v/>
      </c>
      <c r="J106" s="21">
        <f>IF(AND(D106&lt;&gt;"",F106&lt;&gt;"",I106&lt;&gt;"",ISNUMBER(G106)),F106&amp;I106,"")</f>
        <v/>
      </c>
      <c r="K106" s="21">
        <f>IF(J106="","",COUNTIFS($J$2:$J$186,J106,$G$2:$G$186,"&lt;"&amp;G106)+COUNTIFS($J$2:$J$186,J106,$G$2:$G$186,G106,$A$2:$A$186,"&lt;"&amp;A106)+1)</f>
        <v/>
      </c>
      <c r="L106" s="21">
        <f>IF(J106="","",J106&amp;K106)</f>
        <v/>
      </c>
      <c r="M106" s="21">
        <f>B106&amp;"組"</f>
        <v/>
      </c>
      <c r="N106" s="21">
        <f>IF(AND(D106&lt;&gt;"",J106=""),1,0)</f>
        <v/>
      </c>
      <c r="AK106">
        <f>IF(J106="","",IF(J106="男赤",COUNTIF($Y$2:$Y$51,"&lt;"&amp;K106),IF(J106="男白",COUNTIF($Z$2:$Z$51,"&lt;"&amp;K106),IF(J106="女赤",COUNTIF($AH$2:$AH$51,"&lt;"&amp;K106),COUNTIF($AI$2:$AI$51,"&lt;"&amp;K106))))+1)</f>
        <v/>
      </c>
      <c r="AL106">
        <f>IF(AK106="","",IF(AK106=1,0,IF(J106="男赤",INDEX($Y$2:$Y$51,AK106-1),IF(J106="男白",INDEX($Z$2:$Z$51,AK106-1),IF(J106="女赤",INDEX($AH$2:$AH$51,AK106-1),INDEX($AI$2:$AI$51,AK106-1))))))</f>
        <v/>
      </c>
      <c r="AM106">
        <f>IF(AK106="","",IF(RIGHT(J106,1)="赤",K106-AL106,IF(LEFT(J106,1)="男",INDEX($W$2:$W$51,AK106),INDEX($AF$2:$AF$51,AK106))+K106-AL106))</f>
        <v/>
      </c>
      <c r="AN106">
        <f>IF(AK106="","",F106&amp;AK106&amp;"-"&amp;AM106)</f>
        <v/>
      </c>
    </row>
    <row r="107">
      <c r="A107" s="21">
        <f>ROW()-1</f>
        <v/>
      </c>
      <c r="B107" s="21">
        <f>INT((A107-1)/37)+1</f>
        <v/>
      </c>
      <c r="C107" s="21">
        <f>MOD(A107-1,37)+1</f>
        <v/>
      </c>
      <c r="D107" s="21">
        <f>INDEX(①データ入力!$B$3:$Y$39,C107,(B107-1)*5+1)&amp;""</f>
        <v/>
      </c>
      <c r="E107" s="21">
        <f>INDEX(①データ入力!$B$3:$Y$39,C107,(B107-1)*5+2)&amp;""</f>
        <v/>
      </c>
      <c r="F107" s="21">
        <f>IF(OR(E107="1",E107="１",E107="男"),"男",IF(OR(E107="2",E107="２",E107="女"),"女",""))</f>
        <v/>
      </c>
      <c r="G107" s="21">
        <f>INDEX(①データ入力!$B$3:$Y$39,C107,(B107-1)*5+3)</f>
        <v/>
      </c>
      <c r="H107" s="21">
        <f>INDEX(①データ入力!$B$3:$Y$39,C107,(B107-1)*5+4)&amp;""</f>
        <v/>
      </c>
      <c r="I107" s="21">
        <f>IF(LEFT(TRIM(H107),1)="赤","赤",IF(LEFT(TRIM(H107),1)="白","白",""))</f>
        <v/>
      </c>
      <c r="J107" s="21">
        <f>IF(AND(D107&lt;&gt;"",F107&lt;&gt;"",I107&lt;&gt;"",ISNUMBER(G107)),F107&amp;I107,"")</f>
        <v/>
      </c>
      <c r="K107" s="21">
        <f>IF(J107="","",COUNTIFS($J$2:$J$186,J107,$G$2:$G$186,"&lt;"&amp;G107)+COUNTIFS($J$2:$J$186,J107,$G$2:$G$186,G107,$A$2:$A$186,"&lt;"&amp;A107)+1)</f>
        <v/>
      </c>
      <c r="L107" s="21">
        <f>IF(J107="","",J107&amp;K107)</f>
        <v/>
      </c>
      <c r="M107" s="21">
        <f>B107&amp;"組"</f>
        <v/>
      </c>
      <c r="N107" s="21">
        <f>IF(AND(D107&lt;&gt;"",J107=""),1,0)</f>
        <v/>
      </c>
      <c r="AK107">
        <f>IF(J107="","",IF(J107="男赤",COUNTIF($Y$2:$Y$51,"&lt;"&amp;K107),IF(J107="男白",COUNTIF($Z$2:$Z$51,"&lt;"&amp;K107),IF(J107="女赤",COUNTIF($AH$2:$AH$51,"&lt;"&amp;K107),COUNTIF($AI$2:$AI$51,"&lt;"&amp;K107))))+1)</f>
        <v/>
      </c>
      <c r="AL107">
        <f>IF(AK107="","",IF(AK107=1,0,IF(J107="男赤",INDEX($Y$2:$Y$51,AK107-1),IF(J107="男白",INDEX($Z$2:$Z$51,AK107-1),IF(J107="女赤",INDEX($AH$2:$AH$51,AK107-1),INDEX($AI$2:$AI$51,AK107-1))))))</f>
        <v/>
      </c>
      <c r="AM107">
        <f>IF(AK107="","",IF(RIGHT(J107,1)="赤",K107-AL107,IF(LEFT(J107,1)="男",INDEX($W$2:$W$51,AK107),INDEX($AF$2:$AF$51,AK107))+K107-AL107))</f>
        <v/>
      </c>
      <c r="AN107">
        <f>IF(AK107="","",F107&amp;AK107&amp;"-"&amp;AM107)</f>
        <v/>
      </c>
    </row>
    <row r="108">
      <c r="A108" s="21">
        <f>ROW()-1</f>
        <v/>
      </c>
      <c r="B108" s="21">
        <f>INT((A108-1)/37)+1</f>
        <v/>
      </c>
      <c r="C108" s="21">
        <f>MOD(A108-1,37)+1</f>
        <v/>
      </c>
      <c r="D108" s="21">
        <f>INDEX(①データ入力!$B$3:$Y$39,C108,(B108-1)*5+1)&amp;""</f>
        <v/>
      </c>
      <c r="E108" s="21">
        <f>INDEX(①データ入力!$B$3:$Y$39,C108,(B108-1)*5+2)&amp;""</f>
        <v/>
      </c>
      <c r="F108" s="21">
        <f>IF(OR(E108="1",E108="１",E108="男"),"男",IF(OR(E108="2",E108="２",E108="女"),"女",""))</f>
        <v/>
      </c>
      <c r="G108" s="21">
        <f>INDEX(①データ入力!$B$3:$Y$39,C108,(B108-1)*5+3)</f>
        <v/>
      </c>
      <c r="H108" s="21">
        <f>INDEX(①データ入力!$B$3:$Y$39,C108,(B108-1)*5+4)&amp;""</f>
        <v/>
      </c>
      <c r="I108" s="21">
        <f>IF(LEFT(TRIM(H108),1)="赤","赤",IF(LEFT(TRIM(H108),1)="白","白",""))</f>
        <v/>
      </c>
      <c r="J108" s="21">
        <f>IF(AND(D108&lt;&gt;"",F108&lt;&gt;"",I108&lt;&gt;"",ISNUMBER(G108)),F108&amp;I108,"")</f>
        <v/>
      </c>
      <c r="K108" s="21">
        <f>IF(J108="","",COUNTIFS($J$2:$J$186,J108,$G$2:$G$186,"&lt;"&amp;G108)+COUNTIFS($J$2:$J$186,J108,$G$2:$G$186,G108,$A$2:$A$186,"&lt;"&amp;A108)+1)</f>
        <v/>
      </c>
      <c r="L108" s="21">
        <f>IF(J108="","",J108&amp;K108)</f>
        <v/>
      </c>
      <c r="M108" s="21">
        <f>B108&amp;"組"</f>
        <v/>
      </c>
      <c r="N108" s="21">
        <f>IF(AND(D108&lt;&gt;"",J108=""),1,0)</f>
        <v/>
      </c>
      <c r="AK108">
        <f>IF(J108="","",IF(J108="男赤",COUNTIF($Y$2:$Y$51,"&lt;"&amp;K108),IF(J108="男白",COUNTIF($Z$2:$Z$51,"&lt;"&amp;K108),IF(J108="女赤",COUNTIF($AH$2:$AH$51,"&lt;"&amp;K108),COUNTIF($AI$2:$AI$51,"&lt;"&amp;K108))))+1)</f>
        <v/>
      </c>
      <c r="AL108">
        <f>IF(AK108="","",IF(AK108=1,0,IF(J108="男赤",INDEX($Y$2:$Y$51,AK108-1),IF(J108="男白",INDEX($Z$2:$Z$51,AK108-1),IF(J108="女赤",INDEX($AH$2:$AH$51,AK108-1),INDEX($AI$2:$AI$51,AK108-1))))))</f>
        <v/>
      </c>
      <c r="AM108">
        <f>IF(AK108="","",IF(RIGHT(J108,1)="赤",K108-AL108,IF(LEFT(J108,1)="男",INDEX($W$2:$W$51,AK108),INDEX($AF$2:$AF$51,AK108))+K108-AL108))</f>
        <v/>
      </c>
      <c r="AN108">
        <f>IF(AK108="","",F108&amp;AK108&amp;"-"&amp;AM108)</f>
        <v/>
      </c>
    </row>
    <row r="109">
      <c r="A109" s="21">
        <f>ROW()-1</f>
        <v/>
      </c>
      <c r="B109" s="21">
        <f>INT((A109-1)/37)+1</f>
        <v/>
      </c>
      <c r="C109" s="21">
        <f>MOD(A109-1,37)+1</f>
        <v/>
      </c>
      <c r="D109" s="21">
        <f>INDEX(①データ入力!$B$3:$Y$39,C109,(B109-1)*5+1)&amp;""</f>
        <v/>
      </c>
      <c r="E109" s="21">
        <f>INDEX(①データ入力!$B$3:$Y$39,C109,(B109-1)*5+2)&amp;""</f>
        <v/>
      </c>
      <c r="F109" s="21">
        <f>IF(OR(E109="1",E109="１",E109="男"),"男",IF(OR(E109="2",E109="２",E109="女"),"女",""))</f>
        <v/>
      </c>
      <c r="G109" s="21">
        <f>INDEX(①データ入力!$B$3:$Y$39,C109,(B109-1)*5+3)</f>
        <v/>
      </c>
      <c r="H109" s="21">
        <f>INDEX(①データ入力!$B$3:$Y$39,C109,(B109-1)*5+4)&amp;""</f>
        <v/>
      </c>
      <c r="I109" s="21">
        <f>IF(LEFT(TRIM(H109),1)="赤","赤",IF(LEFT(TRIM(H109),1)="白","白",""))</f>
        <v/>
      </c>
      <c r="J109" s="21">
        <f>IF(AND(D109&lt;&gt;"",F109&lt;&gt;"",I109&lt;&gt;"",ISNUMBER(G109)),F109&amp;I109,"")</f>
        <v/>
      </c>
      <c r="K109" s="21">
        <f>IF(J109="","",COUNTIFS($J$2:$J$186,J109,$G$2:$G$186,"&lt;"&amp;G109)+COUNTIFS($J$2:$J$186,J109,$G$2:$G$186,G109,$A$2:$A$186,"&lt;"&amp;A109)+1)</f>
        <v/>
      </c>
      <c r="L109" s="21">
        <f>IF(J109="","",J109&amp;K109)</f>
        <v/>
      </c>
      <c r="M109" s="21">
        <f>B109&amp;"組"</f>
        <v/>
      </c>
      <c r="N109" s="21">
        <f>IF(AND(D109&lt;&gt;"",J109=""),1,0)</f>
        <v/>
      </c>
      <c r="AK109">
        <f>IF(J109="","",IF(J109="男赤",COUNTIF($Y$2:$Y$51,"&lt;"&amp;K109),IF(J109="男白",COUNTIF($Z$2:$Z$51,"&lt;"&amp;K109),IF(J109="女赤",COUNTIF($AH$2:$AH$51,"&lt;"&amp;K109),COUNTIF($AI$2:$AI$51,"&lt;"&amp;K109))))+1)</f>
        <v/>
      </c>
      <c r="AL109">
        <f>IF(AK109="","",IF(AK109=1,0,IF(J109="男赤",INDEX($Y$2:$Y$51,AK109-1),IF(J109="男白",INDEX($Z$2:$Z$51,AK109-1),IF(J109="女赤",INDEX($AH$2:$AH$51,AK109-1),INDEX($AI$2:$AI$51,AK109-1))))))</f>
        <v/>
      </c>
      <c r="AM109">
        <f>IF(AK109="","",IF(RIGHT(J109,1)="赤",K109-AL109,IF(LEFT(J109,1)="男",INDEX($W$2:$W$51,AK109),INDEX($AF$2:$AF$51,AK109))+K109-AL109))</f>
        <v/>
      </c>
      <c r="AN109">
        <f>IF(AK109="","",F109&amp;AK109&amp;"-"&amp;AM109)</f>
        <v/>
      </c>
    </row>
    <row r="110">
      <c r="A110" s="21">
        <f>ROW()-1</f>
        <v/>
      </c>
      <c r="B110" s="21">
        <f>INT((A110-1)/37)+1</f>
        <v/>
      </c>
      <c r="C110" s="21">
        <f>MOD(A110-1,37)+1</f>
        <v/>
      </c>
      <c r="D110" s="21">
        <f>INDEX(①データ入力!$B$3:$Y$39,C110,(B110-1)*5+1)&amp;""</f>
        <v/>
      </c>
      <c r="E110" s="21">
        <f>INDEX(①データ入力!$B$3:$Y$39,C110,(B110-1)*5+2)&amp;""</f>
        <v/>
      </c>
      <c r="F110" s="21">
        <f>IF(OR(E110="1",E110="１",E110="男"),"男",IF(OR(E110="2",E110="２",E110="女"),"女",""))</f>
        <v/>
      </c>
      <c r="G110" s="21">
        <f>INDEX(①データ入力!$B$3:$Y$39,C110,(B110-1)*5+3)</f>
        <v/>
      </c>
      <c r="H110" s="21">
        <f>INDEX(①データ入力!$B$3:$Y$39,C110,(B110-1)*5+4)&amp;""</f>
        <v/>
      </c>
      <c r="I110" s="21">
        <f>IF(LEFT(TRIM(H110),1)="赤","赤",IF(LEFT(TRIM(H110),1)="白","白",""))</f>
        <v/>
      </c>
      <c r="J110" s="21">
        <f>IF(AND(D110&lt;&gt;"",F110&lt;&gt;"",I110&lt;&gt;"",ISNUMBER(G110)),F110&amp;I110,"")</f>
        <v/>
      </c>
      <c r="K110" s="21">
        <f>IF(J110="","",COUNTIFS($J$2:$J$186,J110,$G$2:$G$186,"&lt;"&amp;G110)+COUNTIFS($J$2:$J$186,J110,$G$2:$G$186,G110,$A$2:$A$186,"&lt;"&amp;A110)+1)</f>
        <v/>
      </c>
      <c r="L110" s="21">
        <f>IF(J110="","",J110&amp;K110)</f>
        <v/>
      </c>
      <c r="M110" s="21">
        <f>B110&amp;"組"</f>
        <v/>
      </c>
      <c r="N110" s="21">
        <f>IF(AND(D110&lt;&gt;"",J110=""),1,0)</f>
        <v/>
      </c>
      <c r="AK110">
        <f>IF(J110="","",IF(J110="男赤",COUNTIF($Y$2:$Y$51,"&lt;"&amp;K110),IF(J110="男白",COUNTIF($Z$2:$Z$51,"&lt;"&amp;K110),IF(J110="女赤",COUNTIF($AH$2:$AH$51,"&lt;"&amp;K110),COUNTIF($AI$2:$AI$51,"&lt;"&amp;K110))))+1)</f>
        <v/>
      </c>
      <c r="AL110">
        <f>IF(AK110="","",IF(AK110=1,0,IF(J110="男赤",INDEX($Y$2:$Y$51,AK110-1),IF(J110="男白",INDEX($Z$2:$Z$51,AK110-1),IF(J110="女赤",INDEX($AH$2:$AH$51,AK110-1),INDEX($AI$2:$AI$51,AK110-1))))))</f>
        <v/>
      </c>
      <c r="AM110">
        <f>IF(AK110="","",IF(RIGHT(J110,1)="赤",K110-AL110,IF(LEFT(J110,1)="男",INDEX($W$2:$W$51,AK110),INDEX($AF$2:$AF$51,AK110))+K110-AL110))</f>
        <v/>
      </c>
      <c r="AN110">
        <f>IF(AK110="","",F110&amp;AK110&amp;"-"&amp;AM110)</f>
        <v/>
      </c>
    </row>
    <row r="111">
      <c r="A111" s="21">
        <f>ROW()-1</f>
        <v/>
      </c>
      <c r="B111" s="21">
        <f>INT((A111-1)/37)+1</f>
        <v/>
      </c>
      <c r="C111" s="21">
        <f>MOD(A111-1,37)+1</f>
        <v/>
      </c>
      <c r="D111" s="21">
        <f>INDEX(①データ入力!$B$3:$Y$39,C111,(B111-1)*5+1)&amp;""</f>
        <v/>
      </c>
      <c r="E111" s="21">
        <f>INDEX(①データ入力!$B$3:$Y$39,C111,(B111-1)*5+2)&amp;""</f>
        <v/>
      </c>
      <c r="F111" s="21">
        <f>IF(OR(E111="1",E111="１",E111="男"),"男",IF(OR(E111="2",E111="２",E111="女"),"女",""))</f>
        <v/>
      </c>
      <c r="G111" s="21">
        <f>INDEX(①データ入力!$B$3:$Y$39,C111,(B111-1)*5+3)</f>
        <v/>
      </c>
      <c r="H111" s="21">
        <f>INDEX(①データ入力!$B$3:$Y$39,C111,(B111-1)*5+4)&amp;""</f>
        <v/>
      </c>
      <c r="I111" s="21">
        <f>IF(LEFT(TRIM(H111),1)="赤","赤",IF(LEFT(TRIM(H111),1)="白","白",""))</f>
        <v/>
      </c>
      <c r="J111" s="21">
        <f>IF(AND(D111&lt;&gt;"",F111&lt;&gt;"",I111&lt;&gt;"",ISNUMBER(G111)),F111&amp;I111,"")</f>
        <v/>
      </c>
      <c r="K111" s="21">
        <f>IF(J111="","",COUNTIFS($J$2:$J$186,J111,$G$2:$G$186,"&lt;"&amp;G111)+COUNTIFS($J$2:$J$186,J111,$G$2:$G$186,G111,$A$2:$A$186,"&lt;"&amp;A111)+1)</f>
        <v/>
      </c>
      <c r="L111" s="21">
        <f>IF(J111="","",J111&amp;K111)</f>
        <v/>
      </c>
      <c r="M111" s="21">
        <f>B111&amp;"組"</f>
        <v/>
      </c>
      <c r="N111" s="21">
        <f>IF(AND(D111&lt;&gt;"",J111=""),1,0)</f>
        <v/>
      </c>
      <c r="AK111">
        <f>IF(J111="","",IF(J111="男赤",COUNTIF($Y$2:$Y$51,"&lt;"&amp;K111),IF(J111="男白",COUNTIF($Z$2:$Z$51,"&lt;"&amp;K111),IF(J111="女赤",COUNTIF($AH$2:$AH$51,"&lt;"&amp;K111),COUNTIF($AI$2:$AI$51,"&lt;"&amp;K111))))+1)</f>
        <v/>
      </c>
      <c r="AL111">
        <f>IF(AK111="","",IF(AK111=1,0,IF(J111="男赤",INDEX($Y$2:$Y$51,AK111-1),IF(J111="男白",INDEX($Z$2:$Z$51,AK111-1),IF(J111="女赤",INDEX($AH$2:$AH$51,AK111-1),INDEX($AI$2:$AI$51,AK111-1))))))</f>
        <v/>
      </c>
      <c r="AM111">
        <f>IF(AK111="","",IF(RIGHT(J111,1)="赤",K111-AL111,IF(LEFT(J111,1)="男",INDEX($W$2:$W$51,AK111),INDEX($AF$2:$AF$51,AK111))+K111-AL111))</f>
        <v/>
      </c>
      <c r="AN111">
        <f>IF(AK111="","",F111&amp;AK111&amp;"-"&amp;AM111)</f>
        <v/>
      </c>
    </row>
    <row r="112">
      <c r="A112" s="21">
        <f>ROW()-1</f>
        <v/>
      </c>
      <c r="B112" s="21">
        <f>INT((A112-1)/37)+1</f>
        <v/>
      </c>
      <c r="C112" s="21">
        <f>MOD(A112-1,37)+1</f>
        <v/>
      </c>
      <c r="D112" s="21">
        <f>INDEX(①データ入力!$B$3:$Y$39,C112,(B112-1)*5+1)&amp;""</f>
        <v/>
      </c>
      <c r="E112" s="21">
        <f>INDEX(①データ入力!$B$3:$Y$39,C112,(B112-1)*5+2)&amp;""</f>
        <v/>
      </c>
      <c r="F112" s="21">
        <f>IF(OR(E112="1",E112="１",E112="男"),"男",IF(OR(E112="2",E112="２",E112="女"),"女",""))</f>
        <v/>
      </c>
      <c r="G112" s="21">
        <f>INDEX(①データ入力!$B$3:$Y$39,C112,(B112-1)*5+3)</f>
        <v/>
      </c>
      <c r="H112" s="21">
        <f>INDEX(①データ入力!$B$3:$Y$39,C112,(B112-1)*5+4)&amp;""</f>
        <v/>
      </c>
      <c r="I112" s="21">
        <f>IF(LEFT(TRIM(H112),1)="赤","赤",IF(LEFT(TRIM(H112),1)="白","白",""))</f>
        <v/>
      </c>
      <c r="J112" s="21">
        <f>IF(AND(D112&lt;&gt;"",F112&lt;&gt;"",I112&lt;&gt;"",ISNUMBER(G112)),F112&amp;I112,"")</f>
        <v/>
      </c>
      <c r="K112" s="21">
        <f>IF(J112="","",COUNTIFS($J$2:$J$186,J112,$G$2:$G$186,"&lt;"&amp;G112)+COUNTIFS($J$2:$J$186,J112,$G$2:$G$186,G112,$A$2:$A$186,"&lt;"&amp;A112)+1)</f>
        <v/>
      </c>
      <c r="L112" s="21">
        <f>IF(J112="","",J112&amp;K112)</f>
        <v/>
      </c>
      <c r="M112" s="21">
        <f>B112&amp;"組"</f>
        <v/>
      </c>
      <c r="N112" s="21">
        <f>IF(AND(D112&lt;&gt;"",J112=""),1,0)</f>
        <v/>
      </c>
      <c r="AK112">
        <f>IF(J112="","",IF(J112="男赤",COUNTIF($Y$2:$Y$51,"&lt;"&amp;K112),IF(J112="男白",COUNTIF($Z$2:$Z$51,"&lt;"&amp;K112),IF(J112="女赤",COUNTIF($AH$2:$AH$51,"&lt;"&amp;K112),COUNTIF($AI$2:$AI$51,"&lt;"&amp;K112))))+1)</f>
        <v/>
      </c>
      <c r="AL112">
        <f>IF(AK112="","",IF(AK112=1,0,IF(J112="男赤",INDEX($Y$2:$Y$51,AK112-1),IF(J112="男白",INDEX($Z$2:$Z$51,AK112-1),IF(J112="女赤",INDEX($AH$2:$AH$51,AK112-1),INDEX($AI$2:$AI$51,AK112-1))))))</f>
        <v/>
      </c>
      <c r="AM112">
        <f>IF(AK112="","",IF(RIGHT(J112,1)="赤",K112-AL112,IF(LEFT(J112,1)="男",INDEX($W$2:$W$51,AK112),INDEX($AF$2:$AF$51,AK112))+K112-AL112))</f>
        <v/>
      </c>
      <c r="AN112">
        <f>IF(AK112="","",F112&amp;AK112&amp;"-"&amp;AM112)</f>
        <v/>
      </c>
    </row>
    <row r="113">
      <c r="A113" s="21">
        <f>ROW()-1</f>
        <v/>
      </c>
      <c r="B113" s="21">
        <f>INT((A113-1)/37)+1</f>
        <v/>
      </c>
      <c r="C113" s="21">
        <f>MOD(A113-1,37)+1</f>
        <v/>
      </c>
      <c r="D113" s="21">
        <f>INDEX(①データ入力!$B$3:$Y$39,C113,(B113-1)*5+1)&amp;""</f>
        <v/>
      </c>
      <c r="E113" s="21">
        <f>INDEX(①データ入力!$B$3:$Y$39,C113,(B113-1)*5+2)&amp;""</f>
        <v/>
      </c>
      <c r="F113" s="21">
        <f>IF(OR(E113="1",E113="１",E113="男"),"男",IF(OR(E113="2",E113="２",E113="女"),"女",""))</f>
        <v/>
      </c>
      <c r="G113" s="21">
        <f>INDEX(①データ入力!$B$3:$Y$39,C113,(B113-1)*5+3)</f>
        <v/>
      </c>
      <c r="H113" s="21">
        <f>INDEX(①データ入力!$B$3:$Y$39,C113,(B113-1)*5+4)&amp;""</f>
        <v/>
      </c>
      <c r="I113" s="21">
        <f>IF(LEFT(TRIM(H113),1)="赤","赤",IF(LEFT(TRIM(H113),1)="白","白",""))</f>
        <v/>
      </c>
      <c r="J113" s="21">
        <f>IF(AND(D113&lt;&gt;"",F113&lt;&gt;"",I113&lt;&gt;"",ISNUMBER(G113)),F113&amp;I113,"")</f>
        <v/>
      </c>
      <c r="K113" s="21">
        <f>IF(J113="","",COUNTIFS($J$2:$J$186,J113,$G$2:$G$186,"&lt;"&amp;G113)+COUNTIFS($J$2:$J$186,J113,$G$2:$G$186,G113,$A$2:$A$186,"&lt;"&amp;A113)+1)</f>
        <v/>
      </c>
      <c r="L113" s="21">
        <f>IF(J113="","",J113&amp;K113)</f>
        <v/>
      </c>
      <c r="M113" s="21">
        <f>B113&amp;"組"</f>
        <v/>
      </c>
      <c r="N113" s="21">
        <f>IF(AND(D113&lt;&gt;"",J113=""),1,0)</f>
        <v/>
      </c>
      <c r="AK113">
        <f>IF(J113="","",IF(J113="男赤",COUNTIF($Y$2:$Y$51,"&lt;"&amp;K113),IF(J113="男白",COUNTIF($Z$2:$Z$51,"&lt;"&amp;K113),IF(J113="女赤",COUNTIF($AH$2:$AH$51,"&lt;"&amp;K113),COUNTIF($AI$2:$AI$51,"&lt;"&amp;K113))))+1)</f>
        <v/>
      </c>
      <c r="AL113">
        <f>IF(AK113="","",IF(AK113=1,0,IF(J113="男赤",INDEX($Y$2:$Y$51,AK113-1),IF(J113="男白",INDEX($Z$2:$Z$51,AK113-1),IF(J113="女赤",INDEX($AH$2:$AH$51,AK113-1),INDEX($AI$2:$AI$51,AK113-1))))))</f>
        <v/>
      </c>
      <c r="AM113">
        <f>IF(AK113="","",IF(RIGHT(J113,1)="赤",K113-AL113,IF(LEFT(J113,1)="男",INDEX($W$2:$W$51,AK113),INDEX($AF$2:$AF$51,AK113))+K113-AL113))</f>
        <v/>
      </c>
      <c r="AN113">
        <f>IF(AK113="","",F113&amp;AK113&amp;"-"&amp;AM113)</f>
        <v/>
      </c>
    </row>
    <row r="114">
      <c r="A114" s="21">
        <f>ROW()-1</f>
        <v/>
      </c>
      <c r="B114" s="21">
        <f>INT((A114-1)/37)+1</f>
        <v/>
      </c>
      <c r="C114" s="21">
        <f>MOD(A114-1,37)+1</f>
        <v/>
      </c>
      <c r="D114" s="21">
        <f>INDEX(①データ入力!$B$3:$Y$39,C114,(B114-1)*5+1)&amp;""</f>
        <v/>
      </c>
      <c r="E114" s="21">
        <f>INDEX(①データ入力!$B$3:$Y$39,C114,(B114-1)*5+2)&amp;""</f>
        <v/>
      </c>
      <c r="F114" s="21">
        <f>IF(OR(E114="1",E114="１",E114="男"),"男",IF(OR(E114="2",E114="２",E114="女"),"女",""))</f>
        <v/>
      </c>
      <c r="G114" s="21">
        <f>INDEX(①データ入力!$B$3:$Y$39,C114,(B114-1)*5+3)</f>
        <v/>
      </c>
      <c r="H114" s="21">
        <f>INDEX(①データ入力!$B$3:$Y$39,C114,(B114-1)*5+4)&amp;""</f>
        <v/>
      </c>
      <c r="I114" s="21">
        <f>IF(LEFT(TRIM(H114),1)="赤","赤",IF(LEFT(TRIM(H114),1)="白","白",""))</f>
        <v/>
      </c>
      <c r="J114" s="21">
        <f>IF(AND(D114&lt;&gt;"",F114&lt;&gt;"",I114&lt;&gt;"",ISNUMBER(G114)),F114&amp;I114,"")</f>
        <v/>
      </c>
      <c r="K114" s="21">
        <f>IF(J114="","",COUNTIFS($J$2:$J$186,J114,$G$2:$G$186,"&lt;"&amp;G114)+COUNTIFS($J$2:$J$186,J114,$G$2:$G$186,G114,$A$2:$A$186,"&lt;"&amp;A114)+1)</f>
        <v/>
      </c>
      <c r="L114" s="21">
        <f>IF(J114="","",J114&amp;K114)</f>
        <v/>
      </c>
      <c r="M114" s="21">
        <f>B114&amp;"組"</f>
        <v/>
      </c>
      <c r="N114" s="21">
        <f>IF(AND(D114&lt;&gt;"",J114=""),1,0)</f>
        <v/>
      </c>
      <c r="AK114">
        <f>IF(J114="","",IF(J114="男赤",COUNTIF($Y$2:$Y$51,"&lt;"&amp;K114),IF(J114="男白",COUNTIF($Z$2:$Z$51,"&lt;"&amp;K114),IF(J114="女赤",COUNTIF($AH$2:$AH$51,"&lt;"&amp;K114),COUNTIF($AI$2:$AI$51,"&lt;"&amp;K114))))+1)</f>
        <v/>
      </c>
      <c r="AL114">
        <f>IF(AK114="","",IF(AK114=1,0,IF(J114="男赤",INDEX($Y$2:$Y$51,AK114-1),IF(J114="男白",INDEX($Z$2:$Z$51,AK114-1),IF(J114="女赤",INDEX($AH$2:$AH$51,AK114-1),INDEX($AI$2:$AI$51,AK114-1))))))</f>
        <v/>
      </c>
      <c r="AM114">
        <f>IF(AK114="","",IF(RIGHT(J114,1)="赤",K114-AL114,IF(LEFT(J114,1)="男",INDEX($W$2:$W$51,AK114),INDEX($AF$2:$AF$51,AK114))+K114-AL114))</f>
        <v/>
      </c>
      <c r="AN114">
        <f>IF(AK114="","",F114&amp;AK114&amp;"-"&amp;AM114)</f>
        <v/>
      </c>
    </row>
    <row r="115">
      <c r="A115" s="21">
        <f>ROW()-1</f>
        <v/>
      </c>
      <c r="B115" s="21">
        <f>INT((A115-1)/37)+1</f>
        <v/>
      </c>
      <c r="C115" s="21">
        <f>MOD(A115-1,37)+1</f>
        <v/>
      </c>
      <c r="D115" s="21">
        <f>INDEX(①データ入力!$B$3:$Y$39,C115,(B115-1)*5+1)&amp;""</f>
        <v/>
      </c>
      <c r="E115" s="21">
        <f>INDEX(①データ入力!$B$3:$Y$39,C115,(B115-1)*5+2)&amp;""</f>
        <v/>
      </c>
      <c r="F115" s="21">
        <f>IF(OR(E115="1",E115="１",E115="男"),"男",IF(OR(E115="2",E115="２",E115="女"),"女",""))</f>
        <v/>
      </c>
      <c r="G115" s="21">
        <f>INDEX(①データ入力!$B$3:$Y$39,C115,(B115-1)*5+3)</f>
        <v/>
      </c>
      <c r="H115" s="21">
        <f>INDEX(①データ入力!$B$3:$Y$39,C115,(B115-1)*5+4)&amp;""</f>
        <v/>
      </c>
      <c r="I115" s="21">
        <f>IF(LEFT(TRIM(H115),1)="赤","赤",IF(LEFT(TRIM(H115),1)="白","白",""))</f>
        <v/>
      </c>
      <c r="J115" s="21">
        <f>IF(AND(D115&lt;&gt;"",F115&lt;&gt;"",I115&lt;&gt;"",ISNUMBER(G115)),F115&amp;I115,"")</f>
        <v/>
      </c>
      <c r="K115" s="21">
        <f>IF(J115="","",COUNTIFS($J$2:$J$186,J115,$G$2:$G$186,"&lt;"&amp;G115)+COUNTIFS($J$2:$J$186,J115,$G$2:$G$186,G115,$A$2:$A$186,"&lt;"&amp;A115)+1)</f>
        <v/>
      </c>
      <c r="L115" s="21">
        <f>IF(J115="","",J115&amp;K115)</f>
        <v/>
      </c>
      <c r="M115" s="21">
        <f>B115&amp;"組"</f>
        <v/>
      </c>
      <c r="N115" s="21">
        <f>IF(AND(D115&lt;&gt;"",J115=""),1,0)</f>
        <v/>
      </c>
      <c r="AK115">
        <f>IF(J115="","",IF(J115="男赤",COUNTIF($Y$2:$Y$51,"&lt;"&amp;K115),IF(J115="男白",COUNTIF($Z$2:$Z$51,"&lt;"&amp;K115),IF(J115="女赤",COUNTIF($AH$2:$AH$51,"&lt;"&amp;K115),COUNTIF($AI$2:$AI$51,"&lt;"&amp;K115))))+1)</f>
        <v/>
      </c>
      <c r="AL115">
        <f>IF(AK115="","",IF(AK115=1,0,IF(J115="男赤",INDEX($Y$2:$Y$51,AK115-1),IF(J115="男白",INDEX($Z$2:$Z$51,AK115-1),IF(J115="女赤",INDEX($AH$2:$AH$51,AK115-1),INDEX($AI$2:$AI$51,AK115-1))))))</f>
        <v/>
      </c>
      <c r="AM115">
        <f>IF(AK115="","",IF(RIGHT(J115,1)="赤",K115-AL115,IF(LEFT(J115,1)="男",INDEX($W$2:$W$51,AK115),INDEX($AF$2:$AF$51,AK115))+K115-AL115))</f>
        <v/>
      </c>
      <c r="AN115">
        <f>IF(AK115="","",F115&amp;AK115&amp;"-"&amp;AM115)</f>
        <v/>
      </c>
    </row>
    <row r="116">
      <c r="A116" s="21">
        <f>ROW()-1</f>
        <v/>
      </c>
      <c r="B116" s="21">
        <f>INT((A116-1)/37)+1</f>
        <v/>
      </c>
      <c r="C116" s="21">
        <f>MOD(A116-1,37)+1</f>
        <v/>
      </c>
      <c r="D116" s="21">
        <f>INDEX(①データ入力!$B$3:$Y$39,C116,(B116-1)*5+1)&amp;""</f>
        <v/>
      </c>
      <c r="E116" s="21">
        <f>INDEX(①データ入力!$B$3:$Y$39,C116,(B116-1)*5+2)&amp;""</f>
        <v/>
      </c>
      <c r="F116" s="21">
        <f>IF(OR(E116="1",E116="１",E116="男"),"男",IF(OR(E116="2",E116="２",E116="女"),"女",""))</f>
        <v/>
      </c>
      <c r="G116" s="21">
        <f>INDEX(①データ入力!$B$3:$Y$39,C116,(B116-1)*5+3)</f>
        <v/>
      </c>
      <c r="H116" s="21">
        <f>INDEX(①データ入力!$B$3:$Y$39,C116,(B116-1)*5+4)&amp;""</f>
        <v/>
      </c>
      <c r="I116" s="21">
        <f>IF(LEFT(TRIM(H116),1)="赤","赤",IF(LEFT(TRIM(H116),1)="白","白",""))</f>
        <v/>
      </c>
      <c r="J116" s="21">
        <f>IF(AND(D116&lt;&gt;"",F116&lt;&gt;"",I116&lt;&gt;"",ISNUMBER(G116)),F116&amp;I116,"")</f>
        <v/>
      </c>
      <c r="K116" s="21">
        <f>IF(J116="","",COUNTIFS($J$2:$J$186,J116,$G$2:$G$186,"&lt;"&amp;G116)+COUNTIFS($J$2:$J$186,J116,$G$2:$G$186,G116,$A$2:$A$186,"&lt;"&amp;A116)+1)</f>
        <v/>
      </c>
      <c r="L116" s="21">
        <f>IF(J116="","",J116&amp;K116)</f>
        <v/>
      </c>
      <c r="M116" s="21">
        <f>B116&amp;"組"</f>
        <v/>
      </c>
      <c r="N116" s="21">
        <f>IF(AND(D116&lt;&gt;"",J116=""),1,0)</f>
        <v/>
      </c>
      <c r="AK116">
        <f>IF(J116="","",IF(J116="男赤",COUNTIF($Y$2:$Y$51,"&lt;"&amp;K116),IF(J116="男白",COUNTIF($Z$2:$Z$51,"&lt;"&amp;K116),IF(J116="女赤",COUNTIF($AH$2:$AH$51,"&lt;"&amp;K116),COUNTIF($AI$2:$AI$51,"&lt;"&amp;K116))))+1)</f>
        <v/>
      </c>
      <c r="AL116">
        <f>IF(AK116="","",IF(AK116=1,0,IF(J116="男赤",INDEX($Y$2:$Y$51,AK116-1),IF(J116="男白",INDEX($Z$2:$Z$51,AK116-1),IF(J116="女赤",INDEX($AH$2:$AH$51,AK116-1),INDEX($AI$2:$AI$51,AK116-1))))))</f>
        <v/>
      </c>
      <c r="AM116">
        <f>IF(AK116="","",IF(RIGHT(J116,1)="赤",K116-AL116,IF(LEFT(J116,1)="男",INDEX($W$2:$W$51,AK116),INDEX($AF$2:$AF$51,AK116))+K116-AL116))</f>
        <v/>
      </c>
      <c r="AN116">
        <f>IF(AK116="","",F116&amp;AK116&amp;"-"&amp;AM116)</f>
        <v/>
      </c>
    </row>
    <row r="117">
      <c r="A117" s="21">
        <f>ROW()-1</f>
        <v/>
      </c>
      <c r="B117" s="21">
        <f>INT((A117-1)/37)+1</f>
        <v/>
      </c>
      <c r="C117" s="21">
        <f>MOD(A117-1,37)+1</f>
        <v/>
      </c>
      <c r="D117" s="21">
        <f>INDEX(①データ入力!$B$3:$Y$39,C117,(B117-1)*5+1)&amp;""</f>
        <v/>
      </c>
      <c r="E117" s="21">
        <f>INDEX(①データ入力!$B$3:$Y$39,C117,(B117-1)*5+2)&amp;""</f>
        <v/>
      </c>
      <c r="F117" s="21">
        <f>IF(OR(E117="1",E117="１",E117="男"),"男",IF(OR(E117="2",E117="２",E117="女"),"女",""))</f>
        <v/>
      </c>
      <c r="G117" s="21">
        <f>INDEX(①データ入力!$B$3:$Y$39,C117,(B117-1)*5+3)</f>
        <v/>
      </c>
      <c r="H117" s="21">
        <f>INDEX(①データ入力!$B$3:$Y$39,C117,(B117-1)*5+4)&amp;""</f>
        <v/>
      </c>
      <c r="I117" s="21">
        <f>IF(LEFT(TRIM(H117),1)="赤","赤",IF(LEFT(TRIM(H117),1)="白","白",""))</f>
        <v/>
      </c>
      <c r="J117" s="21">
        <f>IF(AND(D117&lt;&gt;"",F117&lt;&gt;"",I117&lt;&gt;"",ISNUMBER(G117)),F117&amp;I117,"")</f>
        <v/>
      </c>
      <c r="K117" s="21">
        <f>IF(J117="","",COUNTIFS($J$2:$J$186,J117,$G$2:$G$186,"&lt;"&amp;G117)+COUNTIFS($J$2:$J$186,J117,$G$2:$G$186,G117,$A$2:$A$186,"&lt;"&amp;A117)+1)</f>
        <v/>
      </c>
      <c r="L117" s="21">
        <f>IF(J117="","",J117&amp;K117)</f>
        <v/>
      </c>
      <c r="M117" s="21">
        <f>B117&amp;"組"</f>
        <v/>
      </c>
      <c r="N117" s="21">
        <f>IF(AND(D117&lt;&gt;"",J117=""),1,0)</f>
        <v/>
      </c>
      <c r="AK117">
        <f>IF(J117="","",IF(J117="男赤",COUNTIF($Y$2:$Y$51,"&lt;"&amp;K117),IF(J117="男白",COUNTIF($Z$2:$Z$51,"&lt;"&amp;K117),IF(J117="女赤",COUNTIF($AH$2:$AH$51,"&lt;"&amp;K117),COUNTIF($AI$2:$AI$51,"&lt;"&amp;K117))))+1)</f>
        <v/>
      </c>
      <c r="AL117">
        <f>IF(AK117="","",IF(AK117=1,0,IF(J117="男赤",INDEX($Y$2:$Y$51,AK117-1),IF(J117="男白",INDEX($Z$2:$Z$51,AK117-1),IF(J117="女赤",INDEX($AH$2:$AH$51,AK117-1),INDEX($AI$2:$AI$51,AK117-1))))))</f>
        <v/>
      </c>
      <c r="AM117">
        <f>IF(AK117="","",IF(RIGHT(J117,1)="赤",K117-AL117,IF(LEFT(J117,1)="男",INDEX($W$2:$W$51,AK117),INDEX($AF$2:$AF$51,AK117))+K117-AL117))</f>
        <v/>
      </c>
      <c r="AN117">
        <f>IF(AK117="","",F117&amp;AK117&amp;"-"&amp;AM117)</f>
        <v/>
      </c>
    </row>
    <row r="118">
      <c r="A118" s="21">
        <f>ROW()-1</f>
        <v/>
      </c>
      <c r="B118" s="21">
        <f>INT((A118-1)/37)+1</f>
        <v/>
      </c>
      <c r="C118" s="21">
        <f>MOD(A118-1,37)+1</f>
        <v/>
      </c>
      <c r="D118" s="21">
        <f>INDEX(①データ入力!$B$3:$Y$39,C118,(B118-1)*5+1)&amp;""</f>
        <v/>
      </c>
      <c r="E118" s="21">
        <f>INDEX(①データ入力!$B$3:$Y$39,C118,(B118-1)*5+2)&amp;""</f>
        <v/>
      </c>
      <c r="F118" s="21">
        <f>IF(OR(E118="1",E118="１",E118="男"),"男",IF(OR(E118="2",E118="２",E118="女"),"女",""))</f>
        <v/>
      </c>
      <c r="G118" s="21">
        <f>INDEX(①データ入力!$B$3:$Y$39,C118,(B118-1)*5+3)</f>
        <v/>
      </c>
      <c r="H118" s="21">
        <f>INDEX(①データ入力!$B$3:$Y$39,C118,(B118-1)*5+4)&amp;""</f>
        <v/>
      </c>
      <c r="I118" s="21">
        <f>IF(LEFT(TRIM(H118),1)="赤","赤",IF(LEFT(TRIM(H118),1)="白","白",""))</f>
        <v/>
      </c>
      <c r="J118" s="21">
        <f>IF(AND(D118&lt;&gt;"",F118&lt;&gt;"",I118&lt;&gt;"",ISNUMBER(G118)),F118&amp;I118,"")</f>
        <v/>
      </c>
      <c r="K118" s="21">
        <f>IF(J118="","",COUNTIFS($J$2:$J$186,J118,$G$2:$G$186,"&lt;"&amp;G118)+COUNTIFS($J$2:$J$186,J118,$G$2:$G$186,G118,$A$2:$A$186,"&lt;"&amp;A118)+1)</f>
        <v/>
      </c>
      <c r="L118" s="21">
        <f>IF(J118="","",J118&amp;K118)</f>
        <v/>
      </c>
      <c r="M118" s="21">
        <f>B118&amp;"組"</f>
        <v/>
      </c>
      <c r="N118" s="21">
        <f>IF(AND(D118&lt;&gt;"",J118=""),1,0)</f>
        <v/>
      </c>
      <c r="AK118">
        <f>IF(J118="","",IF(J118="男赤",COUNTIF($Y$2:$Y$51,"&lt;"&amp;K118),IF(J118="男白",COUNTIF($Z$2:$Z$51,"&lt;"&amp;K118),IF(J118="女赤",COUNTIF($AH$2:$AH$51,"&lt;"&amp;K118),COUNTIF($AI$2:$AI$51,"&lt;"&amp;K118))))+1)</f>
        <v/>
      </c>
      <c r="AL118">
        <f>IF(AK118="","",IF(AK118=1,0,IF(J118="男赤",INDEX($Y$2:$Y$51,AK118-1),IF(J118="男白",INDEX($Z$2:$Z$51,AK118-1),IF(J118="女赤",INDEX($AH$2:$AH$51,AK118-1),INDEX($AI$2:$AI$51,AK118-1))))))</f>
        <v/>
      </c>
      <c r="AM118">
        <f>IF(AK118="","",IF(RIGHT(J118,1)="赤",K118-AL118,IF(LEFT(J118,1)="男",INDEX($W$2:$W$51,AK118),INDEX($AF$2:$AF$51,AK118))+K118-AL118))</f>
        <v/>
      </c>
      <c r="AN118">
        <f>IF(AK118="","",F118&amp;AK118&amp;"-"&amp;AM118)</f>
        <v/>
      </c>
    </row>
    <row r="119">
      <c r="A119" s="21">
        <f>ROW()-1</f>
        <v/>
      </c>
      <c r="B119" s="21">
        <f>INT((A119-1)/37)+1</f>
        <v/>
      </c>
      <c r="C119" s="21">
        <f>MOD(A119-1,37)+1</f>
        <v/>
      </c>
      <c r="D119" s="21">
        <f>INDEX(①データ入力!$B$3:$Y$39,C119,(B119-1)*5+1)&amp;""</f>
        <v/>
      </c>
      <c r="E119" s="21">
        <f>INDEX(①データ入力!$B$3:$Y$39,C119,(B119-1)*5+2)&amp;""</f>
        <v/>
      </c>
      <c r="F119" s="21">
        <f>IF(OR(E119="1",E119="１",E119="男"),"男",IF(OR(E119="2",E119="２",E119="女"),"女",""))</f>
        <v/>
      </c>
      <c r="G119" s="21">
        <f>INDEX(①データ入力!$B$3:$Y$39,C119,(B119-1)*5+3)</f>
        <v/>
      </c>
      <c r="H119" s="21">
        <f>INDEX(①データ入力!$B$3:$Y$39,C119,(B119-1)*5+4)&amp;""</f>
        <v/>
      </c>
      <c r="I119" s="21">
        <f>IF(LEFT(TRIM(H119),1)="赤","赤",IF(LEFT(TRIM(H119),1)="白","白",""))</f>
        <v/>
      </c>
      <c r="J119" s="21">
        <f>IF(AND(D119&lt;&gt;"",F119&lt;&gt;"",I119&lt;&gt;"",ISNUMBER(G119)),F119&amp;I119,"")</f>
        <v/>
      </c>
      <c r="K119" s="21">
        <f>IF(J119="","",COUNTIFS($J$2:$J$186,J119,$G$2:$G$186,"&lt;"&amp;G119)+COUNTIFS($J$2:$J$186,J119,$G$2:$G$186,G119,$A$2:$A$186,"&lt;"&amp;A119)+1)</f>
        <v/>
      </c>
      <c r="L119" s="21">
        <f>IF(J119="","",J119&amp;K119)</f>
        <v/>
      </c>
      <c r="M119" s="21">
        <f>B119&amp;"組"</f>
        <v/>
      </c>
      <c r="N119" s="21">
        <f>IF(AND(D119&lt;&gt;"",J119=""),1,0)</f>
        <v/>
      </c>
      <c r="AK119">
        <f>IF(J119="","",IF(J119="男赤",COUNTIF($Y$2:$Y$51,"&lt;"&amp;K119),IF(J119="男白",COUNTIF($Z$2:$Z$51,"&lt;"&amp;K119),IF(J119="女赤",COUNTIF($AH$2:$AH$51,"&lt;"&amp;K119),COUNTIF($AI$2:$AI$51,"&lt;"&amp;K119))))+1)</f>
        <v/>
      </c>
      <c r="AL119">
        <f>IF(AK119="","",IF(AK119=1,0,IF(J119="男赤",INDEX($Y$2:$Y$51,AK119-1),IF(J119="男白",INDEX($Z$2:$Z$51,AK119-1),IF(J119="女赤",INDEX($AH$2:$AH$51,AK119-1),INDEX($AI$2:$AI$51,AK119-1))))))</f>
        <v/>
      </c>
      <c r="AM119">
        <f>IF(AK119="","",IF(RIGHT(J119,1)="赤",K119-AL119,IF(LEFT(J119,1)="男",INDEX($W$2:$W$51,AK119),INDEX($AF$2:$AF$51,AK119))+K119-AL119))</f>
        <v/>
      </c>
      <c r="AN119">
        <f>IF(AK119="","",F119&amp;AK119&amp;"-"&amp;AM119)</f>
        <v/>
      </c>
    </row>
    <row r="120">
      <c r="A120" s="21">
        <f>ROW()-1</f>
        <v/>
      </c>
      <c r="B120" s="21">
        <f>INT((A120-1)/37)+1</f>
        <v/>
      </c>
      <c r="C120" s="21">
        <f>MOD(A120-1,37)+1</f>
        <v/>
      </c>
      <c r="D120" s="21">
        <f>INDEX(①データ入力!$B$3:$Y$39,C120,(B120-1)*5+1)&amp;""</f>
        <v/>
      </c>
      <c r="E120" s="21">
        <f>INDEX(①データ入力!$B$3:$Y$39,C120,(B120-1)*5+2)&amp;""</f>
        <v/>
      </c>
      <c r="F120" s="21">
        <f>IF(OR(E120="1",E120="１",E120="男"),"男",IF(OR(E120="2",E120="２",E120="女"),"女",""))</f>
        <v/>
      </c>
      <c r="G120" s="21">
        <f>INDEX(①データ入力!$B$3:$Y$39,C120,(B120-1)*5+3)</f>
        <v/>
      </c>
      <c r="H120" s="21">
        <f>INDEX(①データ入力!$B$3:$Y$39,C120,(B120-1)*5+4)&amp;""</f>
        <v/>
      </c>
      <c r="I120" s="21">
        <f>IF(LEFT(TRIM(H120),1)="赤","赤",IF(LEFT(TRIM(H120),1)="白","白",""))</f>
        <v/>
      </c>
      <c r="J120" s="21">
        <f>IF(AND(D120&lt;&gt;"",F120&lt;&gt;"",I120&lt;&gt;"",ISNUMBER(G120)),F120&amp;I120,"")</f>
        <v/>
      </c>
      <c r="K120" s="21">
        <f>IF(J120="","",COUNTIFS($J$2:$J$186,J120,$G$2:$G$186,"&lt;"&amp;G120)+COUNTIFS($J$2:$J$186,J120,$G$2:$G$186,G120,$A$2:$A$186,"&lt;"&amp;A120)+1)</f>
        <v/>
      </c>
      <c r="L120" s="21">
        <f>IF(J120="","",J120&amp;K120)</f>
        <v/>
      </c>
      <c r="M120" s="21">
        <f>B120&amp;"組"</f>
        <v/>
      </c>
      <c r="N120" s="21">
        <f>IF(AND(D120&lt;&gt;"",J120=""),1,0)</f>
        <v/>
      </c>
      <c r="AK120">
        <f>IF(J120="","",IF(J120="男赤",COUNTIF($Y$2:$Y$51,"&lt;"&amp;K120),IF(J120="男白",COUNTIF($Z$2:$Z$51,"&lt;"&amp;K120),IF(J120="女赤",COUNTIF($AH$2:$AH$51,"&lt;"&amp;K120),COUNTIF($AI$2:$AI$51,"&lt;"&amp;K120))))+1)</f>
        <v/>
      </c>
      <c r="AL120">
        <f>IF(AK120="","",IF(AK120=1,0,IF(J120="男赤",INDEX($Y$2:$Y$51,AK120-1),IF(J120="男白",INDEX($Z$2:$Z$51,AK120-1),IF(J120="女赤",INDEX($AH$2:$AH$51,AK120-1),INDEX($AI$2:$AI$51,AK120-1))))))</f>
        <v/>
      </c>
      <c r="AM120">
        <f>IF(AK120="","",IF(RIGHT(J120,1)="赤",K120-AL120,IF(LEFT(J120,1)="男",INDEX($W$2:$W$51,AK120),INDEX($AF$2:$AF$51,AK120))+K120-AL120))</f>
        <v/>
      </c>
      <c r="AN120">
        <f>IF(AK120="","",F120&amp;AK120&amp;"-"&amp;AM120)</f>
        <v/>
      </c>
    </row>
    <row r="121">
      <c r="A121" s="21">
        <f>ROW()-1</f>
        <v/>
      </c>
      <c r="B121" s="21">
        <f>INT((A121-1)/37)+1</f>
        <v/>
      </c>
      <c r="C121" s="21">
        <f>MOD(A121-1,37)+1</f>
        <v/>
      </c>
      <c r="D121" s="21">
        <f>INDEX(①データ入力!$B$3:$Y$39,C121,(B121-1)*5+1)&amp;""</f>
        <v/>
      </c>
      <c r="E121" s="21">
        <f>INDEX(①データ入力!$B$3:$Y$39,C121,(B121-1)*5+2)&amp;""</f>
        <v/>
      </c>
      <c r="F121" s="21">
        <f>IF(OR(E121="1",E121="１",E121="男"),"男",IF(OR(E121="2",E121="２",E121="女"),"女",""))</f>
        <v/>
      </c>
      <c r="G121" s="21">
        <f>INDEX(①データ入力!$B$3:$Y$39,C121,(B121-1)*5+3)</f>
        <v/>
      </c>
      <c r="H121" s="21">
        <f>INDEX(①データ入力!$B$3:$Y$39,C121,(B121-1)*5+4)&amp;""</f>
        <v/>
      </c>
      <c r="I121" s="21">
        <f>IF(LEFT(TRIM(H121),1)="赤","赤",IF(LEFT(TRIM(H121),1)="白","白",""))</f>
        <v/>
      </c>
      <c r="J121" s="21">
        <f>IF(AND(D121&lt;&gt;"",F121&lt;&gt;"",I121&lt;&gt;"",ISNUMBER(G121)),F121&amp;I121,"")</f>
        <v/>
      </c>
      <c r="K121" s="21">
        <f>IF(J121="","",COUNTIFS($J$2:$J$186,J121,$G$2:$G$186,"&lt;"&amp;G121)+COUNTIFS($J$2:$J$186,J121,$G$2:$G$186,G121,$A$2:$A$186,"&lt;"&amp;A121)+1)</f>
        <v/>
      </c>
      <c r="L121" s="21">
        <f>IF(J121="","",J121&amp;K121)</f>
        <v/>
      </c>
      <c r="M121" s="21">
        <f>B121&amp;"組"</f>
        <v/>
      </c>
      <c r="N121" s="21">
        <f>IF(AND(D121&lt;&gt;"",J121=""),1,0)</f>
        <v/>
      </c>
      <c r="AK121">
        <f>IF(J121="","",IF(J121="男赤",COUNTIF($Y$2:$Y$51,"&lt;"&amp;K121),IF(J121="男白",COUNTIF($Z$2:$Z$51,"&lt;"&amp;K121),IF(J121="女赤",COUNTIF($AH$2:$AH$51,"&lt;"&amp;K121),COUNTIF($AI$2:$AI$51,"&lt;"&amp;K121))))+1)</f>
        <v/>
      </c>
      <c r="AL121">
        <f>IF(AK121="","",IF(AK121=1,0,IF(J121="男赤",INDEX($Y$2:$Y$51,AK121-1),IF(J121="男白",INDEX($Z$2:$Z$51,AK121-1),IF(J121="女赤",INDEX($AH$2:$AH$51,AK121-1),INDEX($AI$2:$AI$51,AK121-1))))))</f>
        <v/>
      </c>
      <c r="AM121">
        <f>IF(AK121="","",IF(RIGHT(J121,1)="赤",K121-AL121,IF(LEFT(J121,1)="男",INDEX($W$2:$W$51,AK121),INDEX($AF$2:$AF$51,AK121))+K121-AL121))</f>
        <v/>
      </c>
      <c r="AN121">
        <f>IF(AK121="","",F121&amp;AK121&amp;"-"&amp;AM121)</f>
        <v/>
      </c>
    </row>
    <row r="122">
      <c r="A122" s="21">
        <f>ROW()-1</f>
        <v/>
      </c>
      <c r="B122" s="21">
        <f>INT((A122-1)/37)+1</f>
        <v/>
      </c>
      <c r="C122" s="21">
        <f>MOD(A122-1,37)+1</f>
        <v/>
      </c>
      <c r="D122" s="21">
        <f>INDEX(①データ入力!$B$3:$Y$39,C122,(B122-1)*5+1)&amp;""</f>
        <v/>
      </c>
      <c r="E122" s="21">
        <f>INDEX(①データ入力!$B$3:$Y$39,C122,(B122-1)*5+2)&amp;""</f>
        <v/>
      </c>
      <c r="F122" s="21">
        <f>IF(OR(E122="1",E122="１",E122="男"),"男",IF(OR(E122="2",E122="２",E122="女"),"女",""))</f>
        <v/>
      </c>
      <c r="G122" s="21">
        <f>INDEX(①データ入力!$B$3:$Y$39,C122,(B122-1)*5+3)</f>
        <v/>
      </c>
      <c r="H122" s="21">
        <f>INDEX(①データ入力!$B$3:$Y$39,C122,(B122-1)*5+4)&amp;""</f>
        <v/>
      </c>
      <c r="I122" s="21">
        <f>IF(LEFT(TRIM(H122),1)="赤","赤",IF(LEFT(TRIM(H122),1)="白","白",""))</f>
        <v/>
      </c>
      <c r="J122" s="21">
        <f>IF(AND(D122&lt;&gt;"",F122&lt;&gt;"",I122&lt;&gt;"",ISNUMBER(G122)),F122&amp;I122,"")</f>
        <v/>
      </c>
      <c r="K122" s="21">
        <f>IF(J122="","",COUNTIFS($J$2:$J$186,J122,$G$2:$G$186,"&lt;"&amp;G122)+COUNTIFS($J$2:$J$186,J122,$G$2:$G$186,G122,$A$2:$A$186,"&lt;"&amp;A122)+1)</f>
        <v/>
      </c>
      <c r="L122" s="21">
        <f>IF(J122="","",J122&amp;K122)</f>
        <v/>
      </c>
      <c r="M122" s="21">
        <f>B122&amp;"組"</f>
        <v/>
      </c>
      <c r="N122" s="21">
        <f>IF(AND(D122&lt;&gt;"",J122=""),1,0)</f>
        <v/>
      </c>
      <c r="AK122">
        <f>IF(J122="","",IF(J122="男赤",COUNTIF($Y$2:$Y$51,"&lt;"&amp;K122),IF(J122="男白",COUNTIF($Z$2:$Z$51,"&lt;"&amp;K122),IF(J122="女赤",COUNTIF($AH$2:$AH$51,"&lt;"&amp;K122),COUNTIF($AI$2:$AI$51,"&lt;"&amp;K122))))+1)</f>
        <v/>
      </c>
      <c r="AL122">
        <f>IF(AK122="","",IF(AK122=1,0,IF(J122="男赤",INDEX($Y$2:$Y$51,AK122-1),IF(J122="男白",INDEX($Z$2:$Z$51,AK122-1),IF(J122="女赤",INDEX($AH$2:$AH$51,AK122-1),INDEX($AI$2:$AI$51,AK122-1))))))</f>
        <v/>
      </c>
      <c r="AM122">
        <f>IF(AK122="","",IF(RIGHT(J122,1)="赤",K122-AL122,IF(LEFT(J122,1)="男",INDEX($W$2:$W$51,AK122),INDEX($AF$2:$AF$51,AK122))+K122-AL122))</f>
        <v/>
      </c>
      <c r="AN122">
        <f>IF(AK122="","",F122&amp;AK122&amp;"-"&amp;AM122)</f>
        <v/>
      </c>
    </row>
    <row r="123">
      <c r="A123" s="21">
        <f>ROW()-1</f>
        <v/>
      </c>
      <c r="B123" s="21">
        <f>INT((A123-1)/37)+1</f>
        <v/>
      </c>
      <c r="C123" s="21">
        <f>MOD(A123-1,37)+1</f>
        <v/>
      </c>
      <c r="D123" s="21">
        <f>INDEX(①データ入力!$B$3:$Y$39,C123,(B123-1)*5+1)&amp;""</f>
        <v/>
      </c>
      <c r="E123" s="21">
        <f>INDEX(①データ入力!$B$3:$Y$39,C123,(B123-1)*5+2)&amp;""</f>
        <v/>
      </c>
      <c r="F123" s="21">
        <f>IF(OR(E123="1",E123="１",E123="男"),"男",IF(OR(E123="2",E123="２",E123="女"),"女",""))</f>
        <v/>
      </c>
      <c r="G123" s="21">
        <f>INDEX(①データ入力!$B$3:$Y$39,C123,(B123-1)*5+3)</f>
        <v/>
      </c>
      <c r="H123" s="21">
        <f>INDEX(①データ入力!$B$3:$Y$39,C123,(B123-1)*5+4)&amp;""</f>
        <v/>
      </c>
      <c r="I123" s="21">
        <f>IF(LEFT(TRIM(H123),1)="赤","赤",IF(LEFT(TRIM(H123),1)="白","白",""))</f>
        <v/>
      </c>
      <c r="J123" s="21">
        <f>IF(AND(D123&lt;&gt;"",F123&lt;&gt;"",I123&lt;&gt;"",ISNUMBER(G123)),F123&amp;I123,"")</f>
        <v/>
      </c>
      <c r="K123" s="21">
        <f>IF(J123="","",COUNTIFS($J$2:$J$186,J123,$G$2:$G$186,"&lt;"&amp;G123)+COUNTIFS($J$2:$J$186,J123,$G$2:$G$186,G123,$A$2:$A$186,"&lt;"&amp;A123)+1)</f>
        <v/>
      </c>
      <c r="L123" s="21">
        <f>IF(J123="","",J123&amp;K123)</f>
        <v/>
      </c>
      <c r="M123" s="21">
        <f>B123&amp;"組"</f>
        <v/>
      </c>
      <c r="N123" s="21">
        <f>IF(AND(D123&lt;&gt;"",J123=""),1,0)</f>
        <v/>
      </c>
      <c r="AK123">
        <f>IF(J123="","",IF(J123="男赤",COUNTIF($Y$2:$Y$51,"&lt;"&amp;K123),IF(J123="男白",COUNTIF($Z$2:$Z$51,"&lt;"&amp;K123),IF(J123="女赤",COUNTIF($AH$2:$AH$51,"&lt;"&amp;K123),COUNTIF($AI$2:$AI$51,"&lt;"&amp;K123))))+1)</f>
        <v/>
      </c>
      <c r="AL123">
        <f>IF(AK123="","",IF(AK123=1,0,IF(J123="男赤",INDEX($Y$2:$Y$51,AK123-1),IF(J123="男白",INDEX($Z$2:$Z$51,AK123-1),IF(J123="女赤",INDEX($AH$2:$AH$51,AK123-1),INDEX($AI$2:$AI$51,AK123-1))))))</f>
        <v/>
      </c>
      <c r="AM123">
        <f>IF(AK123="","",IF(RIGHT(J123,1)="赤",K123-AL123,IF(LEFT(J123,1)="男",INDEX($W$2:$W$51,AK123),INDEX($AF$2:$AF$51,AK123))+K123-AL123))</f>
        <v/>
      </c>
      <c r="AN123">
        <f>IF(AK123="","",F123&amp;AK123&amp;"-"&amp;AM123)</f>
        <v/>
      </c>
    </row>
    <row r="124">
      <c r="A124" s="21">
        <f>ROW()-1</f>
        <v/>
      </c>
      <c r="B124" s="21">
        <f>INT((A124-1)/37)+1</f>
        <v/>
      </c>
      <c r="C124" s="21">
        <f>MOD(A124-1,37)+1</f>
        <v/>
      </c>
      <c r="D124" s="21">
        <f>INDEX(①データ入力!$B$3:$Y$39,C124,(B124-1)*5+1)&amp;""</f>
        <v/>
      </c>
      <c r="E124" s="21">
        <f>INDEX(①データ入力!$B$3:$Y$39,C124,(B124-1)*5+2)&amp;""</f>
        <v/>
      </c>
      <c r="F124" s="21">
        <f>IF(OR(E124="1",E124="１",E124="男"),"男",IF(OR(E124="2",E124="２",E124="女"),"女",""))</f>
        <v/>
      </c>
      <c r="G124" s="21">
        <f>INDEX(①データ入力!$B$3:$Y$39,C124,(B124-1)*5+3)</f>
        <v/>
      </c>
      <c r="H124" s="21">
        <f>INDEX(①データ入力!$B$3:$Y$39,C124,(B124-1)*5+4)&amp;""</f>
        <v/>
      </c>
      <c r="I124" s="21">
        <f>IF(LEFT(TRIM(H124),1)="赤","赤",IF(LEFT(TRIM(H124),1)="白","白",""))</f>
        <v/>
      </c>
      <c r="J124" s="21">
        <f>IF(AND(D124&lt;&gt;"",F124&lt;&gt;"",I124&lt;&gt;"",ISNUMBER(G124)),F124&amp;I124,"")</f>
        <v/>
      </c>
      <c r="K124" s="21">
        <f>IF(J124="","",COUNTIFS($J$2:$J$186,J124,$G$2:$G$186,"&lt;"&amp;G124)+COUNTIFS($J$2:$J$186,J124,$G$2:$G$186,G124,$A$2:$A$186,"&lt;"&amp;A124)+1)</f>
        <v/>
      </c>
      <c r="L124" s="21">
        <f>IF(J124="","",J124&amp;K124)</f>
        <v/>
      </c>
      <c r="M124" s="21">
        <f>B124&amp;"組"</f>
        <v/>
      </c>
      <c r="N124" s="21">
        <f>IF(AND(D124&lt;&gt;"",J124=""),1,0)</f>
        <v/>
      </c>
      <c r="AK124">
        <f>IF(J124="","",IF(J124="男赤",COUNTIF($Y$2:$Y$51,"&lt;"&amp;K124),IF(J124="男白",COUNTIF($Z$2:$Z$51,"&lt;"&amp;K124),IF(J124="女赤",COUNTIF($AH$2:$AH$51,"&lt;"&amp;K124),COUNTIF($AI$2:$AI$51,"&lt;"&amp;K124))))+1)</f>
        <v/>
      </c>
      <c r="AL124">
        <f>IF(AK124="","",IF(AK124=1,0,IF(J124="男赤",INDEX($Y$2:$Y$51,AK124-1),IF(J124="男白",INDEX($Z$2:$Z$51,AK124-1),IF(J124="女赤",INDEX($AH$2:$AH$51,AK124-1),INDEX($AI$2:$AI$51,AK124-1))))))</f>
        <v/>
      </c>
      <c r="AM124">
        <f>IF(AK124="","",IF(RIGHT(J124,1)="赤",K124-AL124,IF(LEFT(J124,1)="男",INDEX($W$2:$W$51,AK124),INDEX($AF$2:$AF$51,AK124))+K124-AL124))</f>
        <v/>
      </c>
      <c r="AN124">
        <f>IF(AK124="","",F124&amp;AK124&amp;"-"&amp;AM124)</f>
        <v/>
      </c>
    </row>
    <row r="125">
      <c r="A125" s="21">
        <f>ROW()-1</f>
        <v/>
      </c>
      <c r="B125" s="21">
        <f>INT((A125-1)/37)+1</f>
        <v/>
      </c>
      <c r="C125" s="21">
        <f>MOD(A125-1,37)+1</f>
        <v/>
      </c>
      <c r="D125" s="21">
        <f>INDEX(①データ入力!$B$3:$Y$39,C125,(B125-1)*5+1)&amp;""</f>
        <v/>
      </c>
      <c r="E125" s="21">
        <f>INDEX(①データ入力!$B$3:$Y$39,C125,(B125-1)*5+2)&amp;""</f>
        <v/>
      </c>
      <c r="F125" s="21">
        <f>IF(OR(E125="1",E125="１",E125="男"),"男",IF(OR(E125="2",E125="２",E125="女"),"女",""))</f>
        <v/>
      </c>
      <c r="G125" s="21">
        <f>INDEX(①データ入力!$B$3:$Y$39,C125,(B125-1)*5+3)</f>
        <v/>
      </c>
      <c r="H125" s="21">
        <f>INDEX(①データ入力!$B$3:$Y$39,C125,(B125-1)*5+4)&amp;""</f>
        <v/>
      </c>
      <c r="I125" s="21">
        <f>IF(LEFT(TRIM(H125),1)="赤","赤",IF(LEFT(TRIM(H125),1)="白","白",""))</f>
        <v/>
      </c>
      <c r="J125" s="21">
        <f>IF(AND(D125&lt;&gt;"",F125&lt;&gt;"",I125&lt;&gt;"",ISNUMBER(G125)),F125&amp;I125,"")</f>
        <v/>
      </c>
      <c r="K125" s="21">
        <f>IF(J125="","",COUNTIFS($J$2:$J$186,J125,$G$2:$G$186,"&lt;"&amp;G125)+COUNTIFS($J$2:$J$186,J125,$G$2:$G$186,G125,$A$2:$A$186,"&lt;"&amp;A125)+1)</f>
        <v/>
      </c>
      <c r="L125" s="21">
        <f>IF(J125="","",J125&amp;K125)</f>
        <v/>
      </c>
      <c r="M125" s="21">
        <f>B125&amp;"組"</f>
        <v/>
      </c>
      <c r="N125" s="21">
        <f>IF(AND(D125&lt;&gt;"",J125=""),1,0)</f>
        <v/>
      </c>
      <c r="AK125">
        <f>IF(J125="","",IF(J125="男赤",COUNTIF($Y$2:$Y$51,"&lt;"&amp;K125),IF(J125="男白",COUNTIF($Z$2:$Z$51,"&lt;"&amp;K125),IF(J125="女赤",COUNTIF($AH$2:$AH$51,"&lt;"&amp;K125),COUNTIF($AI$2:$AI$51,"&lt;"&amp;K125))))+1)</f>
        <v/>
      </c>
      <c r="AL125">
        <f>IF(AK125="","",IF(AK125=1,0,IF(J125="男赤",INDEX($Y$2:$Y$51,AK125-1),IF(J125="男白",INDEX($Z$2:$Z$51,AK125-1),IF(J125="女赤",INDEX($AH$2:$AH$51,AK125-1),INDEX($AI$2:$AI$51,AK125-1))))))</f>
        <v/>
      </c>
      <c r="AM125">
        <f>IF(AK125="","",IF(RIGHT(J125,1)="赤",K125-AL125,IF(LEFT(J125,1)="男",INDEX($W$2:$W$51,AK125),INDEX($AF$2:$AF$51,AK125))+K125-AL125))</f>
        <v/>
      </c>
      <c r="AN125">
        <f>IF(AK125="","",F125&amp;AK125&amp;"-"&amp;AM125)</f>
        <v/>
      </c>
    </row>
    <row r="126">
      <c r="A126" s="21">
        <f>ROW()-1</f>
        <v/>
      </c>
      <c r="B126" s="21">
        <f>INT((A126-1)/37)+1</f>
        <v/>
      </c>
      <c r="C126" s="21">
        <f>MOD(A126-1,37)+1</f>
        <v/>
      </c>
      <c r="D126" s="21">
        <f>INDEX(①データ入力!$B$3:$Y$39,C126,(B126-1)*5+1)&amp;""</f>
        <v/>
      </c>
      <c r="E126" s="21">
        <f>INDEX(①データ入力!$B$3:$Y$39,C126,(B126-1)*5+2)&amp;""</f>
        <v/>
      </c>
      <c r="F126" s="21">
        <f>IF(OR(E126="1",E126="１",E126="男"),"男",IF(OR(E126="2",E126="２",E126="女"),"女",""))</f>
        <v/>
      </c>
      <c r="G126" s="21">
        <f>INDEX(①データ入力!$B$3:$Y$39,C126,(B126-1)*5+3)</f>
        <v/>
      </c>
      <c r="H126" s="21">
        <f>INDEX(①データ入力!$B$3:$Y$39,C126,(B126-1)*5+4)&amp;""</f>
        <v/>
      </c>
      <c r="I126" s="21">
        <f>IF(LEFT(TRIM(H126),1)="赤","赤",IF(LEFT(TRIM(H126),1)="白","白",""))</f>
        <v/>
      </c>
      <c r="J126" s="21">
        <f>IF(AND(D126&lt;&gt;"",F126&lt;&gt;"",I126&lt;&gt;"",ISNUMBER(G126)),F126&amp;I126,"")</f>
        <v/>
      </c>
      <c r="K126" s="21">
        <f>IF(J126="","",COUNTIFS($J$2:$J$186,J126,$G$2:$G$186,"&lt;"&amp;G126)+COUNTIFS($J$2:$J$186,J126,$G$2:$G$186,G126,$A$2:$A$186,"&lt;"&amp;A126)+1)</f>
        <v/>
      </c>
      <c r="L126" s="21">
        <f>IF(J126="","",J126&amp;K126)</f>
        <v/>
      </c>
      <c r="M126" s="21">
        <f>B126&amp;"組"</f>
        <v/>
      </c>
      <c r="N126" s="21">
        <f>IF(AND(D126&lt;&gt;"",J126=""),1,0)</f>
        <v/>
      </c>
      <c r="AK126">
        <f>IF(J126="","",IF(J126="男赤",COUNTIF($Y$2:$Y$51,"&lt;"&amp;K126),IF(J126="男白",COUNTIF($Z$2:$Z$51,"&lt;"&amp;K126),IF(J126="女赤",COUNTIF($AH$2:$AH$51,"&lt;"&amp;K126),COUNTIF($AI$2:$AI$51,"&lt;"&amp;K126))))+1)</f>
        <v/>
      </c>
      <c r="AL126">
        <f>IF(AK126="","",IF(AK126=1,0,IF(J126="男赤",INDEX($Y$2:$Y$51,AK126-1),IF(J126="男白",INDEX($Z$2:$Z$51,AK126-1),IF(J126="女赤",INDEX($AH$2:$AH$51,AK126-1),INDEX($AI$2:$AI$51,AK126-1))))))</f>
        <v/>
      </c>
      <c r="AM126">
        <f>IF(AK126="","",IF(RIGHT(J126,1)="赤",K126-AL126,IF(LEFT(J126,1)="男",INDEX($W$2:$W$51,AK126),INDEX($AF$2:$AF$51,AK126))+K126-AL126))</f>
        <v/>
      </c>
      <c r="AN126">
        <f>IF(AK126="","",F126&amp;AK126&amp;"-"&amp;AM126)</f>
        <v/>
      </c>
    </row>
    <row r="127">
      <c r="A127" s="21">
        <f>ROW()-1</f>
        <v/>
      </c>
      <c r="B127" s="21">
        <f>INT((A127-1)/37)+1</f>
        <v/>
      </c>
      <c r="C127" s="21">
        <f>MOD(A127-1,37)+1</f>
        <v/>
      </c>
      <c r="D127" s="21">
        <f>INDEX(①データ入力!$B$3:$Y$39,C127,(B127-1)*5+1)&amp;""</f>
        <v/>
      </c>
      <c r="E127" s="21">
        <f>INDEX(①データ入力!$B$3:$Y$39,C127,(B127-1)*5+2)&amp;""</f>
        <v/>
      </c>
      <c r="F127" s="21">
        <f>IF(OR(E127="1",E127="１",E127="男"),"男",IF(OR(E127="2",E127="２",E127="女"),"女",""))</f>
        <v/>
      </c>
      <c r="G127" s="21">
        <f>INDEX(①データ入力!$B$3:$Y$39,C127,(B127-1)*5+3)</f>
        <v/>
      </c>
      <c r="H127" s="21">
        <f>INDEX(①データ入力!$B$3:$Y$39,C127,(B127-1)*5+4)&amp;""</f>
        <v/>
      </c>
      <c r="I127" s="21">
        <f>IF(LEFT(TRIM(H127),1)="赤","赤",IF(LEFT(TRIM(H127),1)="白","白",""))</f>
        <v/>
      </c>
      <c r="J127" s="21">
        <f>IF(AND(D127&lt;&gt;"",F127&lt;&gt;"",I127&lt;&gt;"",ISNUMBER(G127)),F127&amp;I127,"")</f>
        <v/>
      </c>
      <c r="K127" s="21">
        <f>IF(J127="","",COUNTIFS($J$2:$J$186,J127,$G$2:$G$186,"&lt;"&amp;G127)+COUNTIFS($J$2:$J$186,J127,$G$2:$G$186,G127,$A$2:$A$186,"&lt;"&amp;A127)+1)</f>
        <v/>
      </c>
      <c r="L127" s="21">
        <f>IF(J127="","",J127&amp;K127)</f>
        <v/>
      </c>
      <c r="M127" s="21">
        <f>B127&amp;"組"</f>
        <v/>
      </c>
      <c r="N127" s="21">
        <f>IF(AND(D127&lt;&gt;"",J127=""),1,0)</f>
        <v/>
      </c>
      <c r="AK127">
        <f>IF(J127="","",IF(J127="男赤",COUNTIF($Y$2:$Y$51,"&lt;"&amp;K127),IF(J127="男白",COUNTIF($Z$2:$Z$51,"&lt;"&amp;K127),IF(J127="女赤",COUNTIF($AH$2:$AH$51,"&lt;"&amp;K127),COUNTIF($AI$2:$AI$51,"&lt;"&amp;K127))))+1)</f>
        <v/>
      </c>
      <c r="AL127">
        <f>IF(AK127="","",IF(AK127=1,0,IF(J127="男赤",INDEX($Y$2:$Y$51,AK127-1),IF(J127="男白",INDEX($Z$2:$Z$51,AK127-1),IF(J127="女赤",INDEX($AH$2:$AH$51,AK127-1),INDEX($AI$2:$AI$51,AK127-1))))))</f>
        <v/>
      </c>
      <c r="AM127">
        <f>IF(AK127="","",IF(RIGHT(J127,1)="赤",K127-AL127,IF(LEFT(J127,1)="男",INDEX($W$2:$W$51,AK127),INDEX($AF$2:$AF$51,AK127))+K127-AL127))</f>
        <v/>
      </c>
      <c r="AN127">
        <f>IF(AK127="","",F127&amp;AK127&amp;"-"&amp;AM127)</f>
        <v/>
      </c>
    </row>
    <row r="128">
      <c r="A128" s="21">
        <f>ROW()-1</f>
        <v/>
      </c>
      <c r="B128" s="21">
        <f>INT((A128-1)/37)+1</f>
        <v/>
      </c>
      <c r="C128" s="21">
        <f>MOD(A128-1,37)+1</f>
        <v/>
      </c>
      <c r="D128" s="21">
        <f>INDEX(①データ入力!$B$3:$Y$39,C128,(B128-1)*5+1)&amp;""</f>
        <v/>
      </c>
      <c r="E128" s="21">
        <f>INDEX(①データ入力!$B$3:$Y$39,C128,(B128-1)*5+2)&amp;""</f>
        <v/>
      </c>
      <c r="F128" s="21">
        <f>IF(OR(E128="1",E128="１",E128="男"),"男",IF(OR(E128="2",E128="２",E128="女"),"女",""))</f>
        <v/>
      </c>
      <c r="G128" s="21">
        <f>INDEX(①データ入力!$B$3:$Y$39,C128,(B128-1)*5+3)</f>
        <v/>
      </c>
      <c r="H128" s="21">
        <f>INDEX(①データ入力!$B$3:$Y$39,C128,(B128-1)*5+4)&amp;""</f>
        <v/>
      </c>
      <c r="I128" s="21">
        <f>IF(LEFT(TRIM(H128),1)="赤","赤",IF(LEFT(TRIM(H128),1)="白","白",""))</f>
        <v/>
      </c>
      <c r="J128" s="21">
        <f>IF(AND(D128&lt;&gt;"",F128&lt;&gt;"",I128&lt;&gt;"",ISNUMBER(G128)),F128&amp;I128,"")</f>
        <v/>
      </c>
      <c r="K128" s="21">
        <f>IF(J128="","",COUNTIFS($J$2:$J$186,J128,$G$2:$G$186,"&lt;"&amp;G128)+COUNTIFS($J$2:$J$186,J128,$G$2:$G$186,G128,$A$2:$A$186,"&lt;"&amp;A128)+1)</f>
        <v/>
      </c>
      <c r="L128" s="21">
        <f>IF(J128="","",J128&amp;K128)</f>
        <v/>
      </c>
      <c r="M128" s="21">
        <f>B128&amp;"組"</f>
        <v/>
      </c>
      <c r="N128" s="21">
        <f>IF(AND(D128&lt;&gt;"",J128=""),1,0)</f>
        <v/>
      </c>
      <c r="AK128">
        <f>IF(J128="","",IF(J128="男赤",COUNTIF($Y$2:$Y$51,"&lt;"&amp;K128),IF(J128="男白",COUNTIF($Z$2:$Z$51,"&lt;"&amp;K128),IF(J128="女赤",COUNTIF($AH$2:$AH$51,"&lt;"&amp;K128),COUNTIF($AI$2:$AI$51,"&lt;"&amp;K128))))+1)</f>
        <v/>
      </c>
      <c r="AL128">
        <f>IF(AK128="","",IF(AK128=1,0,IF(J128="男赤",INDEX($Y$2:$Y$51,AK128-1),IF(J128="男白",INDEX($Z$2:$Z$51,AK128-1),IF(J128="女赤",INDEX($AH$2:$AH$51,AK128-1),INDEX($AI$2:$AI$51,AK128-1))))))</f>
        <v/>
      </c>
      <c r="AM128">
        <f>IF(AK128="","",IF(RIGHT(J128,1)="赤",K128-AL128,IF(LEFT(J128,1)="男",INDEX($W$2:$W$51,AK128),INDEX($AF$2:$AF$51,AK128))+K128-AL128))</f>
        <v/>
      </c>
      <c r="AN128">
        <f>IF(AK128="","",F128&amp;AK128&amp;"-"&amp;AM128)</f>
        <v/>
      </c>
    </row>
    <row r="129">
      <c r="A129" s="21">
        <f>ROW()-1</f>
        <v/>
      </c>
      <c r="B129" s="21">
        <f>INT((A129-1)/37)+1</f>
        <v/>
      </c>
      <c r="C129" s="21">
        <f>MOD(A129-1,37)+1</f>
        <v/>
      </c>
      <c r="D129" s="21">
        <f>INDEX(①データ入力!$B$3:$Y$39,C129,(B129-1)*5+1)&amp;""</f>
        <v/>
      </c>
      <c r="E129" s="21">
        <f>INDEX(①データ入力!$B$3:$Y$39,C129,(B129-1)*5+2)&amp;""</f>
        <v/>
      </c>
      <c r="F129" s="21">
        <f>IF(OR(E129="1",E129="１",E129="男"),"男",IF(OR(E129="2",E129="２",E129="女"),"女",""))</f>
        <v/>
      </c>
      <c r="G129" s="21">
        <f>INDEX(①データ入力!$B$3:$Y$39,C129,(B129-1)*5+3)</f>
        <v/>
      </c>
      <c r="H129" s="21">
        <f>INDEX(①データ入力!$B$3:$Y$39,C129,(B129-1)*5+4)&amp;""</f>
        <v/>
      </c>
      <c r="I129" s="21">
        <f>IF(LEFT(TRIM(H129),1)="赤","赤",IF(LEFT(TRIM(H129),1)="白","白",""))</f>
        <v/>
      </c>
      <c r="J129" s="21">
        <f>IF(AND(D129&lt;&gt;"",F129&lt;&gt;"",I129&lt;&gt;"",ISNUMBER(G129)),F129&amp;I129,"")</f>
        <v/>
      </c>
      <c r="K129" s="21">
        <f>IF(J129="","",COUNTIFS($J$2:$J$186,J129,$G$2:$G$186,"&lt;"&amp;G129)+COUNTIFS($J$2:$J$186,J129,$G$2:$G$186,G129,$A$2:$A$186,"&lt;"&amp;A129)+1)</f>
        <v/>
      </c>
      <c r="L129" s="21">
        <f>IF(J129="","",J129&amp;K129)</f>
        <v/>
      </c>
      <c r="M129" s="21">
        <f>B129&amp;"組"</f>
        <v/>
      </c>
      <c r="N129" s="21">
        <f>IF(AND(D129&lt;&gt;"",J129=""),1,0)</f>
        <v/>
      </c>
      <c r="AK129">
        <f>IF(J129="","",IF(J129="男赤",COUNTIF($Y$2:$Y$51,"&lt;"&amp;K129),IF(J129="男白",COUNTIF($Z$2:$Z$51,"&lt;"&amp;K129),IF(J129="女赤",COUNTIF($AH$2:$AH$51,"&lt;"&amp;K129),COUNTIF($AI$2:$AI$51,"&lt;"&amp;K129))))+1)</f>
        <v/>
      </c>
      <c r="AL129">
        <f>IF(AK129="","",IF(AK129=1,0,IF(J129="男赤",INDEX($Y$2:$Y$51,AK129-1),IF(J129="男白",INDEX($Z$2:$Z$51,AK129-1),IF(J129="女赤",INDEX($AH$2:$AH$51,AK129-1),INDEX($AI$2:$AI$51,AK129-1))))))</f>
        <v/>
      </c>
      <c r="AM129">
        <f>IF(AK129="","",IF(RIGHT(J129,1)="赤",K129-AL129,IF(LEFT(J129,1)="男",INDEX($W$2:$W$51,AK129),INDEX($AF$2:$AF$51,AK129))+K129-AL129))</f>
        <v/>
      </c>
      <c r="AN129">
        <f>IF(AK129="","",F129&amp;AK129&amp;"-"&amp;AM129)</f>
        <v/>
      </c>
    </row>
    <row r="130">
      <c r="A130" s="21">
        <f>ROW()-1</f>
        <v/>
      </c>
      <c r="B130" s="21">
        <f>INT((A130-1)/37)+1</f>
        <v/>
      </c>
      <c r="C130" s="21">
        <f>MOD(A130-1,37)+1</f>
        <v/>
      </c>
      <c r="D130" s="21">
        <f>INDEX(①データ入力!$B$3:$Y$39,C130,(B130-1)*5+1)&amp;""</f>
        <v/>
      </c>
      <c r="E130" s="21">
        <f>INDEX(①データ入力!$B$3:$Y$39,C130,(B130-1)*5+2)&amp;""</f>
        <v/>
      </c>
      <c r="F130" s="21">
        <f>IF(OR(E130="1",E130="１",E130="男"),"男",IF(OR(E130="2",E130="２",E130="女"),"女",""))</f>
        <v/>
      </c>
      <c r="G130" s="21">
        <f>INDEX(①データ入力!$B$3:$Y$39,C130,(B130-1)*5+3)</f>
        <v/>
      </c>
      <c r="H130" s="21">
        <f>INDEX(①データ入力!$B$3:$Y$39,C130,(B130-1)*5+4)&amp;""</f>
        <v/>
      </c>
      <c r="I130" s="21">
        <f>IF(LEFT(TRIM(H130),1)="赤","赤",IF(LEFT(TRIM(H130),1)="白","白",""))</f>
        <v/>
      </c>
      <c r="J130" s="21">
        <f>IF(AND(D130&lt;&gt;"",F130&lt;&gt;"",I130&lt;&gt;"",ISNUMBER(G130)),F130&amp;I130,"")</f>
        <v/>
      </c>
      <c r="K130" s="21">
        <f>IF(J130="","",COUNTIFS($J$2:$J$186,J130,$G$2:$G$186,"&lt;"&amp;G130)+COUNTIFS($J$2:$J$186,J130,$G$2:$G$186,G130,$A$2:$A$186,"&lt;"&amp;A130)+1)</f>
        <v/>
      </c>
      <c r="L130" s="21">
        <f>IF(J130="","",J130&amp;K130)</f>
        <v/>
      </c>
      <c r="M130" s="21">
        <f>B130&amp;"組"</f>
        <v/>
      </c>
      <c r="N130" s="21">
        <f>IF(AND(D130&lt;&gt;"",J130=""),1,0)</f>
        <v/>
      </c>
      <c r="AK130">
        <f>IF(J130="","",IF(J130="男赤",COUNTIF($Y$2:$Y$51,"&lt;"&amp;K130),IF(J130="男白",COUNTIF($Z$2:$Z$51,"&lt;"&amp;K130),IF(J130="女赤",COUNTIF($AH$2:$AH$51,"&lt;"&amp;K130),COUNTIF($AI$2:$AI$51,"&lt;"&amp;K130))))+1)</f>
        <v/>
      </c>
      <c r="AL130">
        <f>IF(AK130="","",IF(AK130=1,0,IF(J130="男赤",INDEX($Y$2:$Y$51,AK130-1),IF(J130="男白",INDEX($Z$2:$Z$51,AK130-1),IF(J130="女赤",INDEX($AH$2:$AH$51,AK130-1),INDEX($AI$2:$AI$51,AK130-1))))))</f>
        <v/>
      </c>
      <c r="AM130">
        <f>IF(AK130="","",IF(RIGHT(J130,1)="赤",K130-AL130,IF(LEFT(J130,1)="男",INDEX($W$2:$W$51,AK130),INDEX($AF$2:$AF$51,AK130))+K130-AL130))</f>
        <v/>
      </c>
      <c r="AN130">
        <f>IF(AK130="","",F130&amp;AK130&amp;"-"&amp;AM130)</f>
        <v/>
      </c>
    </row>
    <row r="131">
      <c r="A131" s="21">
        <f>ROW()-1</f>
        <v/>
      </c>
      <c r="B131" s="21">
        <f>INT((A131-1)/37)+1</f>
        <v/>
      </c>
      <c r="C131" s="21">
        <f>MOD(A131-1,37)+1</f>
        <v/>
      </c>
      <c r="D131" s="21">
        <f>INDEX(①データ入力!$B$3:$Y$39,C131,(B131-1)*5+1)&amp;""</f>
        <v/>
      </c>
      <c r="E131" s="21">
        <f>INDEX(①データ入力!$B$3:$Y$39,C131,(B131-1)*5+2)&amp;""</f>
        <v/>
      </c>
      <c r="F131" s="21">
        <f>IF(OR(E131="1",E131="１",E131="男"),"男",IF(OR(E131="2",E131="２",E131="女"),"女",""))</f>
        <v/>
      </c>
      <c r="G131" s="21">
        <f>INDEX(①データ入力!$B$3:$Y$39,C131,(B131-1)*5+3)</f>
        <v/>
      </c>
      <c r="H131" s="21">
        <f>INDEX(①データ入力!$B$3:$Y$39,C131,(B131-1)*5+4)&amp;""</f>
        <v/>
      </c>
      <c r="I131" s="21">
        <f>IF(LEFT(TRIM(H131),1)="赤","赤",IF(LEFT(TRIM(H131),1)="白","白",""))</f>
        <v/>
      </c>
      <c r="J131" s="21">
        <f>IF(AND(D131&lt;&gt;"",F131&lt;&gt;"",I131&lt;&gt;"",ISNUMBER(G131)),F131&amp;I131,"")</f>
        <v/>
      </c>
      <c r="K131" s="21">
        <f>IF(J131="","",COUNTIFS($J$2:$J$186,J131,$G$2:$G$186,"&lt;"&amp;G131)+COUNTIFS($J$2:$J$186,J131,$G$2:$G$186,G131,$A$2:$A$186,"&lt;"&amp;A131)+1)</f>
        <v/>
      </c>
      <c r="L131" s="21">
        <f>IF(J131="","",J131&amp;K131)</f>
        <v/>
      </c>
      <c r="M131" s="21">
        <f>B131&amp;"組"</f>
        <v/>
      </c>
      <c r="N131" s="21">
        <f>IF(AND(D131&lt;&gt;"",J131=""),1,0)</f>
        <v/>
      </c>
      <c r="AK131">
        <f>IF(J131="","",IF(J131="男赤",COUNTIF($Y$2:$Y$51,"&lt;"&amp;K131),IF(J131="男白",COUNTIF($Z$2:$Z$51,"&lt;"&amp;K131),IF(J131="女赤",COUNTIF($AH$2:$AH$51,"&lt;"&amp;K131),COUNTIF($AI$2:$AI$51,"&lt;"&amp;K131))))+1)</f>
        <v/>
      </c>
      <c r="AL131">
        <f>IF(AK131="","",IF(AK131=1,0,IF(J131="男赤",INDEX($Y$2:$Y$51,AK131-1),IF(J131="男白",INDEX($Z$2:$Z$51,AK131-1),IF(J131="女赤",INDEX($AH$2:$AH$51,AK131-1),INDEX($AI$2:$AI$51,AK131-1))))))</f>
        <v/>
      </c>
      <c r="AM131">
        <f>IF(AK131="","",IF(RIGHT(J131,1)="赤",K131-AL131,IF(LEFT(J131,1)="男",INDEX($W$2:$W$51,AK131),INDEX($AF$2:$AF$51,AK131))+K131-AL131))</f>
        <v/>
      </c>
      <c r="AN131">
        <f>IF(AK131="","",F131&amp;AK131&amp;"-"&amp;AM131)</f>
        <v/>
      </c>
    </row>
    <row r="132">
      <c r="A132" s="21">
        <f>ROW()-1</f>
        <v/>
      </c>
      <c r="B132" s="21">
        <f>INT((A132-1)/37)+1</f>
        <v/>
      </c>
      <c r="C132" s="21">
        <f>MOD(A132-1,37)+1</f>
        <v/>
      </c>
      <c r="D132" s="21">
        <f>INDEX(①データ入力!$B$3:$Y$39,C132,(B132-1)*5+1)&amp;""</f>
        <v/>
      </c>
      <c r="E132" s="21">
        <f>INDEX(①データ入力!$B$3:$Y$39,C132,(B132-1)*5+2)&amp;""</f>
        <v/>
      </c>
      <c r="F132" s="21">
        <f>IF(OR(E132="1",E132="１",E132="男"),"男",IF(OR(E132="2",E132="２",E132="女"),"女",""))</f>
        <v/>
      </c>
      <c r="G132" s="21">
        <f>INDEX(①データ入力!$B$3:$Y$39,C132,(B132-1)*5+3)</f>
        <v/>
      </c>
      <c r="H132" s="21">
        <f>INDEX(①データ入力!$B$3:$Y$39,C132,(B132-1)*5+4)&amp;""</f>
        <v/>
      </c>
      <c r="I132" s="21">
        <f>IF(LEFT(TRIM(H132),1)="赤","赤",IF(LEFT(TRIM(H132),1)="白","白",""))</f>
        <v/>
      </c>
      <c r="J132" s="21">
        <f>IF(AND(D132&lt;&gt;"",F132&lt;&gt;"",I132&lt;&gt;"",ISNUMBER(G132)),F132&amp;I132,"")</f>
        <v/>
      </c>
      <c r="K132" s="21">
        <f>IF(J132="","",COUNTIFS($J$2:$J$186,J132,$G$2:$G$186,"&lt;"&amp;G132)+COUNTIFS($J$2:$J$186,J132,$G$2:$G$186,G132,$A$2:$A$186,"&lt;"&amp;A132)+1)</f>
        <v/>
      </c>
      <c r="L132" s="21">
        <f>IF(J132="","",J132&amp;K132)</f>
        <v/>
      </c>
      <c r="M132" s="21">
        <f>B132&amp;"組"</f>
        <v/>
      </c>
      <c r="N132" s="21">
        <f>IF(AND(D132&lt;&gt;"",J132=""),1,0)</f>
        <v/>
      </c>
      <c r="AK132">
        <f>IF(J132="","",IF(J132="男赤",COUNTIF($Y$2:$Y$51,"&lt;"&amp;K132),IF(J132="男白",COUNTIF($Z$2:$Z$51,"&lt;"&amp;K132),IF(J132="女赤",COUNTIF($AH$2:$AH$51,"&lt;"&amp;K132),COUNTIF($AI$2:$AI$51,"&lt;"&amp;K132))))+1)</f>
        <v/>
      </c>
      <c r="AL132">
        <f>IF(AK132="","",IF(AK132=1,0,IF(J132="男赤",INDEX($Y$2:$Y$51,AK132-1),IF(J132="男白",INDEX($Z$2:$Z$51,AK132-1),IF(J132="女赤",INDEX($AH$2:$AH$51,AK132-1),INDEX($AI$2:$AI$51,AK132-1))))))</f>
        <v/>
      </c>
      <c r="AM132">
        <f>IF(AK132="","",IF(RIGHT(J132,1)="赤",K132-AL132,IF(LEFT(J132,1)="男",INDEX($W$2:$W$51,AK132),INDEX($AF$2:$AF$51,AK132))+K132-AL132))</f>
        <v/>
      </c>
      <c r="AN132">
        <f>IF(AK132="","",F132&amp;AK132&amp;"-"&amp;AM132)</f>
        <v/>
      </c>
    </row>
    <row r="133">
      <c r="A133" s="21">
        <f>ROW()-1</f>
        <v/>
      </c>
      <c r="B133" s="21">
        <f>INT((A133-1)/37)+1</f>
        <v/>
      </c>
      <c r="C133" s="21">
        <f>MOD(A133-1,37)+1</f>
        <v/>
      </c>
      <c r="D133" s="21">
        <f>INDEX(①データ入力!$B$3:$Y$39,C133,(B133-1)*5+1)&amp;""</f>
        <v/>
      </c>
      <c r="E133" s="21">
        <f>INDEX(①データ入力!$B$3:$Y$39,C133,(B133-1)*5+2)&amp;""</f>
        <v/>
      </c>
      <c r="F133" s="21">
        <f>IF(OR(E133="1",E133="１",E133="男"),"男",IF(OR(E133="2",E133="２",E133="女"),"女",""))</f>
        <v/>
      </c>
      <c r="G133" s="21">
        <f>INDEX(①データ入力!$B$3:$Y$39,C133,(B133-1)*5+3)</f>
        <v/>
      </c>
      <c r="H133" s="21">
        <f>INDEX(①データ入力!$B$3:$Y$39,C133,(B133-1)*5+4)&amp;""</f>
        <v/>
      </c>
      <c r="I133" s="21">
        <f>IF(LEFT(TRIM(H133),1)="赤","赤",IF(LEFT(TRIM(H133),1)="白","白",""))</f>
        <v/>
      </c>
      <c r="J133" s="21">
        <f>IF(AND(D133&lt;&gt;"",F133&lt;&gt;"",I133&lt;&gt;"",ISNUMBER(G133)),F133&amp;I133,"")</f>
        <v/>
      </c>
      <c r="K133" s="21">
        <f>IF(J133="","",COUNTIFS($J$2:$J$186,J133,$G$2:$G$186,"&lt;"&amp;G133)+COUNTIFS($J$2:$J$186,J133,$G$2:$G$186,G133,$A$2:$A$186,"&lt;"&amp;A133)+1)</f>
        <v/>
      </c>
      <c r="L133" s="21">
        <f>IF(J133="","",J133&amp;K133)</f>
        <v/>
      </c>
      <c r="M133" s="21">
        <f>B133&amp;"組"</f>
        <v/>
      </c>
      <c r="N133" s="21">
        <f>IF(AND(D133&lt;&gt;"",J133=""),1,0)</f>
        <v/>
      </c>
      <c r="AK133">
        <f>IF(J133="","",IF(J133="男赤",COUNTIF($Y$2:$Y$51,"&lt;"&amp;K133),IF(J133="男白",COUNTIF($Z$2:$Z$51,"&lt;"&amp;K133),IF(J133="女赤",COUNTIF($AH$2:$AH$51,"&lt;"&amp;K133),COUNTIF($AI$2:$AI$51,"&lt;"&amp;K133))))+1)</f>
        <v/>
      </c>
      <c r="AL133">
        <f>IF(AK133="","",IF(AK133=1,0,IF(J133="男赤",INDEX($Y$2:$Y$51,AK133-1),IF(J133="男白",INDEX($Z$2:$Z$51,AK133-1),IF(J133="女赤",INDEX($AH$2:$AH$51,AK133-1),INDEX($AI$2:$AI$51,AK133-1))))))</f>
        <v/>
      </c>
      <c r="AM133">
        <f>IF(AK133="","",IF(RIGHT(J133,1)="赤",K133-AL133,IF(LEFT(J133,1)="男",INDEX($W$2:$W$51,AK133),INDEX($AF$2:$AF$51,AK133))+K133-AL133))</f>
        <v/>
      </c>
      <c r="AN133">
        <f>IF(AK133="","",F133&amp;AK133&amp;"-"&amp;AM133)</f>
        <v/>
      </c>
    </row>
    <row r="134">
      <c r="A134" s="21">
        <f>ROW()-1</f>
        <v/>
      </c>
      <c r="B134" s="21">
        <f>INT((A134-1)/37)+1</f>
        <v/>
      </c>
      <c r="C134" s="21">
        <f>MOD(A134-1,37)+1</f>
        <v/>
      </c>
      <c r="D134" s="21">
        <f>INDEX(①データ入力!$B$3:$Y$39,C134,(B134-1)*5+1)&amp;""</f>
        <v/>
      </c>
      <c r="E134" s="21">
        <f>INDEX(①データ入力!$B$3:$Y$39,C134,(B134-1)*5+2)&amp;""</f>
        <v/>
      </c>
      <c r="F134" s="21">
        <f>IF(OR(E134="1",E134="１",E134="男"),"男",IF(OR(E134="2",E134="２",E134="女"),"女",""))</f>
        <v/>
      </c>
      <c r="G134" s="21">
        <f>INDEX(①データ入力!$B$3:$Y$39,C134,(B134-1)*5+3)</f>
        <v/>
      </c>
      <c r="H134" s="21">
        <f>INDEX(①データ入力!$B$3:$Y$39,C134,(B134-1)*5+4)&amp;""</f>
        <v/>
      </c>
      <c r="I134" s="21">
        <f>IF(LEFT(TRIM(H134),1)="赤","赤",IF(LEFT(TRIM(H134),1)="白","白",""))</f>
        <v/>
      </c>
      <c r="J134" s="21">
        <f>IF(AND(D134&lt;&gt;"",F134&lt;&gt;"",I134&lt;&gt;"",ISNUMBER(G134)),F134&amp;I134,"")</f>
        <v/>
      </c>
      <c r="K134" s="21">
        <f>IF(J134="","",COUNTIFS($J$2:$J$186,J134,$G$2:$G$186,"&lt;"&amp;G134)+COUNTIFS($J$2:$J$186,J134,$G$2:$G$186,G134,$A$2:$A$186,"&lt;"&amp;A134)+1)</f>
        <v/>
      </c>
      <c r="L134" s="21">
        <f>IF(J134="","",J134&amp;K134)</f>
        <v/>
      </c>
      <c r="M134" s="21">
        <f>B134&amp;"組"</f>
        <v/>
      </c>
      <c r="N134" s="21">
        <f>IF(AND(D134&lt;&gt;"",J134=""),1,0)</f>
        <v/>
      </c>
      <c r="AK134">
        <f>IF(J134="","",IF(J134="男赤",COUNTIF($Y$2:$Y$51,"&lt;"&amp;K134),IF(J134="男白",COUNTIF($Z$2:$Z$51,"&lt;"&amp;K134),IF(J134="女赤",COUNTIF($AH$2:$AH$51,"&lt;"&amp;K134),COUNTIF($AI$2:$AI$51,"&lt;"&amp;K134))))+1)</f>
        <v/>
      </c>
      <c r="AL134">
        <f>IF(AK134="","",IF(AK134=1,0,IF(J134="男赤",INDEX($Y$2:$Y$51,AK134-1),IF(J134="男白",INDEX($Z$2:$Z$51,AK134-1),IF(J134="女赤",INDEX($AH$2:$AH$51,AK134-1),INDEX($AI$2:$AI$51,AK134-1))))))</f>
        <v/>
      </c>
      <c r="AM134">
        <f>IF(AK134="","",IF(RIGHT(J134,1)="赤",K134-AL134,IF(LEFT(J134,1)="男",INDEX($W$2:$W$51,AK134),INDEX($AF$2:$AF$51,AK134))+K134-AL134))</f>
        <v/>
      </c>
      <c r="AN134">
        <f>IF(AK134="","",F134&amp;AK134&amp;"-"&amp;AM134)</f>
        <v/>
      </c>
    </row>
    <row r="135">
      <c r="A135" s="21">
        <f>ROW()-1</f>
        <v/>
      </c>
      <c r="B135" s="21">
        <f>INT((A135-1)/37)+1</f>
        <v/>
      </c>
      <c r="C135" s="21">
        <f>MOD(A135-1,37)+1</f>
        <v/>
      </c>
      <c r="D135" s="21">
        <f>INDEX(①データ入力!$B$3:$Y$39,C135,(B135-1)*5+1)&amp;""</f>
        <v/>
      </c>
      <c r="E135" s="21">
        <f>INDEX(①データ入力!$B$3:$Y$39,C135,(B135-1)*5+2)&amp;""</f>
        <v/>
      </c>
      <c r="F135" s="21">
        <f>IF(OR(E135="1",E135="１",E135="男"),"男",IF(OR(E135="2",E135="２",E135="女"),"女",""))</f>
        <v/>
      </c>
      <c r="G135" s="21">
        <f>INDEX(①データ入力!$B$3:$Y$39,C135,(B135-1)*5+3)</f>
        <v/>
      </c>
      <c r="H135" s="21">
        <f>INDEX(①データ入力!$B$3:$Y$39,C135,(B135-1)*5+4)&amp;""</f>
        <v/>
      </c>
      <c r="I135" s="21">
        <f>IF(LEFT(TRIM(H135),1)="赤","赤",IF(LEFT(TRIM(H135),1)="白","白",""))</f>
        <v/>
      </c>
      <c r="J135" s="21">
        <f>IF(AND(D135&lt;&gt;"",F135&lt;&gt;"",I135&lt;&gt;"",ISNUMBER(G135)),F135&amp;I135,"")</f>
        <v/>
      </c>
      <c r="K135" s="21">
        <f>IF(J135="","",COUNTIFS($J$2:$J$186,J135,$G$2:$G$186,"&lt;"&amp;G135)+COUNTIFS($J$2:$J$186,J135,$G$2:$G$186,G135,$A$2:$A$186,"&lt;"&amp;A135)+1)</f>
        <v/>
      </c>
      <c r="L135" s="21">
        <f>IF(J135="","",J135&amp;K135)</f>
        <v/>
      </c>
      <c r="M135" s="21">
        <f>B135&amp;"組"</f>
        <v/>
      </c>
      <c r="N135" s="21">
        <f>IF(AND(D135&lt;&gt;"",J135=""),1,0)</f>
        <v/>
      </c>
      <c r="AK135">
        <f>IF(J135="","",IF(J135="男赤",COUNTIF($Y$2:$Y$51,"&lt;"&amp;K135),IF(J135="男白",COUNTIF($Z$2:$Z$51,"&lt;"&amp;K135),IF(J135="女赤",COUNTIF($AH$2:$AH$51,"&lt;"&amp;K135),COUNTIF($AI$2:$AI$51,"&lt;"&amp;K135))))+1)</f>
        <v/>
      </c>
      <c r="AL135">
        <f>IF(AK135="","",IF(AK135=1,0,IF(J135="男赤",INDEX($Y$2:$Y$51,AK135-1),IF(J135="男白",INDEX($Z$2:$Z$51,AK135-1),IF(J135="女赤",INDEX($AH$2:$AH$51,AK135-1),INDEX($AI$2:$AI$51,AK135-1))))))</f>
        <v/>
      </c>
      <c r="AM135">
        <f>IF(AK135="","",IF(RIGHT(J135,1)="赤",K135-AL135,IF(LEFT(J135,1)="男",INDEX($W$2:$W$51,AK135),INDEX($AF$2:$AF$51,AK135))+K135-AL135))</f>
        <v/>
      </c>
      <c r="AN135">
        <f>IF(AK135="","",F135&amp;AK135&amp;"-"&amp;AM135)</f>
        <v/>
      </c>
    </row>
    <row r="136">
      <c r="A136" s="21">
        <f>ROW()-1</f>
        <v/>
      </c>
      <c r="B136" s="21">
        <f>INT((A136-1)/37)+1</f>
        <v/>
      </c>
      <c r="C136" s="21">
        <f>MOD(A136-1,37)+1</f>
        <v/>
      </c>
      <c r="D136" s="21">
        <f>INDEX(①データ入力!$B$3:$Y$39,C136,(B136-1)*5+1)&amp;""</f>
        <v/>
      </c>
      <c r="E136" s="21">
        <f>INDEX(①データ入力!$B$3:$Y$39,C136,(B136-1)*5+2)&amp;""</f>
        <v/>
      </c>
      <c r="F136" s="21">
        <f>IF(OR(E136="1",E136="１",E136="男"),"男",IF(OR(E136="2",E136="２",E136="女"),"女",""))</f>
        <v/>
      </c>
      <c r="G136" s="21">
        <f>INDEX(①データ入力!$B$3:$Y$39,C136,(B136-1)*5+3)</f>
        <v/>
      </c>
      <c r="H136" s="21">
        <f>INDEX(①データ入力!$B$3:$Y$39,C136,(B136-1)*5+4)&amp;""</f>
        <v/>
      </c>
      <c r="I136" s="21">
        <f>IF(LEFT(TRIM(H136),1)="赤","赤",IF(LEFT(TRIM(H136),1)="白","白",""))</f>
        <v/>
      </c>
      <c r="J136" s="21">
        <f>IF(AND(D136&lt;&gt;"",F136&lt;&gt;"",I136&lt;&gt;"",ISNUMBER(G136)),F136&amp;I136,"")</f>
        <v/>
      </c>
      <c r="K136" s="21">
        <f>IF(J136="","",COUNTIFS($J$2:$J$186,J136,$G$2:$G$186,"&lt;"&amp;G136)+COUNTIFS($J$2:$J$186,J136,$G$2:$G$186,G136,$A$2:$A$186,"&lt;"&amp;A136)+1)</f>
        <v/>
      </c>
      <c r="L136" s="21">
        <f>IF(J136="","",J136&amp;K136)</f>
        <v/>
      </c>
      <c r="M136" s="21">
        <f>B136&amp;"組"</f>
        <v/>
      </c>
      <c r="N136" s="21">
        <f>IF(AND(D136&lt;&gt;"",J136=""),1,0)</f>
        <v/>
      </c>
      <c r="AK136">
        <f>IF(J136="","",IF(J136="男赤",COUNTIF($Y$2:$Y$51,"&lt;"&amp;K136),IF(J136="男白",COUNTIF($Z$2:$Z$51,"&lt;"&amp;K136),IF(J136="女赤",COUNTIF($AH$2:$AH$51,"&lt;"&amp;K136),COUNTIF($AI$2:$AI$51,"&lt;"&amp;K136))))+1)</f>
        <v/>
      </c>
      <c r="AL136">
        <f>IF(AK136="","",IF(AK136=1,0,IF(J136="男赤",INDEX($Y$2:$Y$51,AK136-1),IF(J136="男白",INDEX($Z$2:$Z$51,AK136-1),IF(J136="女赤",INDEX($AH$2:$AH$51,AK136-1),INDEX($AI$2:$AI$51,AK136-1))))))</f>
        <v/>
      </c>
      <c r="AM136">
        <f>IF(AK136="","",IF(RIGHT(J136,1)="赤",K136-AL136,IF(LEFT(J136,1)="男",INDEX($W$2:$W$51,AK136),INDEX($AF$2:$AF$51,AK136))+K136-AL136))</f>
        <v/>
      </c>
      <c r="AN136">
        <f>IF(AK136="","",F136&amp;AK136&amp;"-"&amp;AM136)</f>
        <v/>
      </c>
    </row>
    <row r="137">
      <c r="A137" s="21">
        <f>ROW()-1</f>
        <v/>
      </c>
      <c r="B137" s="21">
        <f>INT((A137-1)/37)+1</f>
        <v/>
      </c>
      <c r="C137" s="21">
        <f>MOD(A137-1,37)+1</f>
        <v/>
      </c>
      <c r="D137" s="21">
        <f>INDEX(①データ入力!$B$3:$Y$39,C137,(B137-1)*5+1)&amp;""</f>
        <v/>
      </c>
      <c r="E137" s="21">
        <f>INDEX(①データ入力!$B$3:$Y$39,C137,(B137-1)*5+2)&amp;""</f>
        <v/>
      </c>
      <c r="F137" s="21">
        <f>IF(OR(E137="1",E137="１",E137="男"),"男",IF(OR(E137="2",E137="２",E137="女"),"女",""))</f>
        <v/>
      </c>
      <c r="G137" s="21">
        <f>INDEX(①データ入力!$B$3:$Y$39,C137,(B137-1)*5+3)</f>
        <v/>
      </c>
      <c r="H137" s="21">
        <f>INDEX(①データ入力!$B$3:$Y$39,C137,(B137-1)*5+4)&amp;""</f>
        <v/>
      </c>
      <c r="I137" s="21">
        <f>IF(LEFT(TRIM(H137),1)="赤","赤",IF(LEFT(TRIM(H137),1)="白","白",""))</f>
        <v/>
      </c>
      <c r="J137" s="21">
        <f>IF(AND(D137&lt;&gt;"",F137&lt;&gt;"",I137&lt;&gt;"",ISNUMBER(G137)),F137&amp;I137,"")</f>
        <v/>
      </c>
      <c r="K137" s="21">
        <f>IF(J137="","",COUNTIFS($J$2:$J$186,J137,$G$2:$G$186,"&lt;"&amp;G137)+COUNTIFS($J$2:$J$186,J137,$G$2:$G$186,G137,$A$2:$A$186,"&lt;"&amp;A137)+1)</f>
        <v/>
      </c>
      <c r="L137" s="21">
        <f>IF(J137="","",J137&amp;K137)</f>
        <v/>
      </c>
      <c r="M137" s="21">
        <f>B137&amp;"組"</f>
        <v/>
      </c>
      <c r="N137" s="21">
        <f>IF(AND(D137&lt;&gt;"",J137=""),1,0)</f>
        <v/>
      </c>
      <c r="AK137">
        <f>IF(J137="","",IF(J137="男赤",COUNTIF($Y$2:$Y$51,"&lt;"&amp;K137),IF(J137="男白",COUNTIF($Z$2:$Z$51,"&lt;"&amp;K137),IF(J137="女赤",COUNTIF($AH$2:$AH$51,"&lt;"&amp;K137),COUNTIF($AI$2:$AI$51,"&lt;"&amp;K137))))+1)</f>
        <v/>
      </c>
      <c r="AL137">
        <f>IF(AK137="","",IF(AK137=1,0,IF(J137="男赤",INDEX($Y$2:$Y$51,AK137-1),IF(J137="男白",INDEX($Z$2:$Z$51,AK137-1),IF(J137="女赤",INDEX($AH$2:$AH$51,AK137-1),INDEX($AI$2:$AI$51,AK137-1))))))</f>
        <v/>
      </c>
      <c r="AM137">
        <f>IF(AK137="","",IF(RIGHT(J137,1)="赤",K137-AL137,IF(LEFT(J137,1)="男",INDEX($W$2:$W$51,AK137),INDEX($AF$2:$AF$51,AK137))+K137-AL137))</f>
        <v/>
      </c>
      <c r="AN137">
        <f>IF(AK137="","",F137&amp;AK137&amp;"-"&amp;AM137)</f>
        <v/>
      </c>
    </row>
    <row r="138">
      <c r="A138" s="21">
        <f>ROW()-1</f>
        <v/>
      </c>
      <c r="B138" s="21">
        <f>INT((A138-1)/37)+1</f>
        <v/>
      </c>
      <c r="C138" s="21">
        <f>MOD(A138-1,37)+1</f>
        <v/>
      </c>
      <c r="D138" s="21">
        <f>INDEX(①データ入力!$B$3:$Y$39,C138,(B138-1)*5+1)&amp;""</f>
        <v/>
      </c>
      <c r="E138" s="21">
        <f>INDEX(①データ入力!$B$3:$Y$39,C138,(B138-1)*5+2)&amp;""</f>
        <v/>
      </c>
      <c r="F138" s="21">
        <f>IF(OR(E138="1",E138="１",E138="男"),"男",IF(OR(E138="2",E138="２",E138="女"),"女",""))</f>
        <v/>
      </c>
      <c r="G138" s="21">
        <f>INDEX(①データ入力!$B$3:$Y$39,C138,(B138-1)*5+3)</f>
        <v/>
      </c>
      <c r="H138" s="21">
        <f>INDEX(①データ入力!$B$3:$Y$39,C138,(B138-1)*5+4)&amp;""</f>
        <v/>
      </c>
      <c r="I138" s="21">
        <f>IF(LEFT(TRIM(H138),1)="赤","赤",IF(LEFT(TRIM(H138),1)="白","白",""))</f>
        <v/>
      </c>
      <c r="J138" s="21">
        <f>IF(AND(D138&lt;&gt;"",F138&lt;&gt;"",I138&lt;&gt;"",ISNUMBER(G138)),F138&amp;I138,"")</f>
        <v/>
      </c>
      <c r="K138" s="21">
        <f>IF(J138="","",COUNTIFS($J$2:$J$186,J138,$G$2:$G$186,"&lt;"&amp;G138)+COUNTIFS($J$2:$J$186,J138,$G$2:$G$186,G138,$A$2:$A$186,"&lt;"&amp;A138)+1)</f>
        <v/>
      </c>
      <c r="L138" s="21">
        <f>IF(J138="","",J138&amp;K138)</f>
        <v/>
      </c>
      <c r="M138" s="21">
        <f>B138&amp;"組"</f>
        <v/>
      </c>
      <c r="N138" s="21">
        <f>IF(AND(D138&lt;&gt;"",J138=""),1,0)</f>
        <v/>
      </c>
      <c r="AK138">
        <f>IF(J138="","",IF(J138="男赤",COUNTIF($Y$2:$Y$51,"&lt;"&amp;K138),IF(J138="男白",COUNTIF($Z$2:$Z$51,"&lt;"&amp;K138),IF(J138="女赤",COUNTIF($AH$2:$AH$51,"&lt;"&amp;K138),COUNTIF($AI$2:$AI$51,"&lt;"&amp;K138))))+1)</f>
        <v/>
      </c>
      <c r="AL138">
        <f>IF(AK138="","",IF(AK138=1,0,IF(J138="男赤",INDEX($Y$2:$Y$51,AK138-1),IF(J138="男白",INDEX($Z$2:$Z$51,AK138-1),IF(J138="女赤",INDEX($AH$2:$AH$51,AK138-1),INDEX($AI$2:$AI$51,AK138-1))))))</f>
        <v/>
      </c>
      <c r="AM138">
        <f>IF(AK138="","",IF(RIGHT(J138,1)="赤",K138-AL138,IF(LEFT(J138,1)="男",INDEX($W$2:$W$51,AK138),INDEX($AF$2:$AF$51,AK138))+K138-AL138))</f>
        <v/>
      </c>
      <c r="AN138">
        <f>IF(AK138="","",F138&amp;AK138&amp;"-"&amp;AM138)</f>
        <v/>
      </c>
    </row>
    <row r="139">
      <c r="A139" s="21">
        <f>ROW()-1</f>
        <v/>
      </c>
      <c r="B139" s="21">
        <f>INT((A139-1)/37)+1</f>
        <v/>
      </c>
      <c r="C139" s="21">
        <f>MOD(A139-1,37)+1</f>
        <v/>
      </c>
      <c r="D139" s="21">
        <f>INDEX(①データ入力!$B$3:$Y$39,C139,(B139-1)*5+1)&amp;""</f>
        <v/>
      </c>
      <c r="E139" s="21">
        <f>INDEX(①データ入力!$B$3:$Y$39,C139,(B139-1)*5+2)&amp;""</f>
        <v/>
      </c>
      <c r="F139" s="21">
        <f>IF(OR(E139="1",E139="１",E139="男"),"男",IF(OR(E139="2",E139="２",E139="女"),"女",""))</f>
        <v/>
      </c>
      <c r="G139" s="21">
        <f>INDEX(①データ入力!$B$3:$Y$39,C139,(B139-1)*5+3)</f>
        <v/>
      </c>
      <c r="H139" s="21">
        <f>INDEX(①データ入力!$B$3:$Y$39,C139,(B139-1)*5+4)&amp;""</f>
        <v/>
      </c>
      <c r="I139" s="21">
        <f>IF(LEFT(TRIM(H139),1)="赤","赤",IF(LEFT(TRIM(H139),1)="白","白",""))</f>
        <v/>
      </c>
      <c r="J139" s="21">
        <f>IF(AND(D139&lt;&gt;"",F139&lt;&gt;"",I139&lt;&gt;"",ISNUMBER(G139)),F139&amp;I139,"")</f>
        <v/>
      </c>
      <c r="K139" s="21">
        <f>IF(J139="","",COUNTIFS($J$2:$J$186,J139,$G$2:$G$186,"&lt;"&amp;G139)+COUNTIFS($J$2:$J$186,J139,$G$2:$G$186,G139,$A$2:$A$186,"&lt;"&amp;A139)+1)</f>
        <v/>
      </c>
      <c r="L139" s="21">
        <f>IF(J139="","",J139&amp;K139)</f>
        <v/>
      </c>
      <c r="M139" s="21">
        <f>B139&amp;"組"</f>
        <v/>
      </c>
      <c r="N139" s="21">
        <f>IF(AND(D139&lt;&gt;"",J139=""),1,0)</f>
        <v/>
      </c>
      <c r="AK139">
        <f>IF(J139="","",IF(J139="男赤",COUNTIF($Y$2:$Y$51,"&lt;"&amp;K139),IF(J139="男白",COUNTIF($Z$2:$Z$51,"&lt;"&amp;K139),IF(J139="女赤",COUNTIF($AH$2:$AH$51,"&lt;"&amp;K139),COUNTIF($AI$2:$AI$51,"&lt;"&amp;K139))))+1)</f>
        <v/>
      </c>
      <c r="AL139">
        <f>IF(AK139="","",IF(AK139=1,0,IF(J139="男赤",INDEX($Y$2:$Y$51,AK139-1),IF(J139="男白",INDEX($Z$2:$Z$51,AK139-1),IF(J139="女赤",INDEX($AH$2:$AH$51,AK139-1),INDEX($AI$2:$AI$51,AK139-1))))))</f>
        <v/>
      </c>
      <c r="AM139">
        <f>IF(AK139="","",IF(RIGHT(J139,1)="赤",K139-AL139,IF(LEFT(J139,1)="男",INDEX($W$2:$W$51,AK139),INDEX($AF$2:$AF$51,AK139))+K139-AL139))</f>
        <v/>
      </c>
      <c r="AN139">
        <f>IF(AK139="","",F139&amp;AK139&amp;"-"&amp;AM139)</f>
        <v/>
      </c>
    </row>
    <row r="140">
      <c r="A140" s="21">
        <f>ROW()-1</f>
        <v/>
      </c>
      <c r="B140" s="21">
        <f>INT((A140-1)/37)+1</f>
        <v/>
      </c>
      <c r="C140" s="21">
        <f>MOD(A140-1,37)+1</f>
        <v/>
      </c>
      <c r="D140" s="21">
        <f>INDEX(①データ入力!$B$3:$Y$39,C140,(B140-1)*5+1)&amp;""</f>
        <v/>
      </c>
      <c r="E140" s="21">
        <f>INDEX(①データ入力!$B$3:$Y$39,C140,(B140-1)*5+2)&amp;""</f>
        <v/>
      </c>
      <c r="F140" s="21">
        <f>IF(OR(E140="1",E140="１",E140="男"),"男",IF(OR(E140="2",E140="２",E140="女"),"女",""))</f>
        <v/>
      </c>
      <c r="G140" s="21">
        <f>INDEX(①データ入力!$B$3:$Y$39,C140,(B140-1)*5+3)</f>
        <v/>
      </c>
      <c r="H140" s="21">
        <f>INDEX(①データ入力!$B$3:$Y$39,C140,(B140-1)*5+4)&amp;""</f>
        <v/>
      </c>
      <c r="I140" s="21">
        <f>IF(LEFT(TRIM(H140),1)="赤","赤",IF(LEFT(TRIM(H140),1)="白","白",""))</f>
        <v/>
      </c>
      <c r="J140" s="21">
        <f>IF(AND(D140&lt;&gt;"",F140&lt;&gt;"",I140&lt;&gt;"",ISNUMBER(G140)),F140&amp;I140,"")</f>
        <v/>
      </c>
      <c r="K140" s="21">
        <f>IF(J140="","",COUNTIFS($J$2:$J$186,J140,$G$2:$G$186,"&lt;"&amp;G140)+COUNTIFS($J$2:$J$186,J140,$G$2:$G$186,G140,$A$2:$A$186,"&lt;"&amp;A140)+1)</f>
        <v/>
      </c>
      <c r="L140" s="21">
        <f>IF(J140="","",J140&amp;K140)</f>
        <v/>
      </c>
      <c r="M140" s="21">
        <f>B140&amp;"組"</f>
        <v/>
      </c>
      <c r="N140" s="21">
        <f>IF(AND(D140&lt;&gt;"",J140=""),1,0)</f>
        <v/>
      </c>
      <c r="AK140">
        <f>IF(J140="","",IF(J140="男赤",COUNTIF($Y$2:$Y$51,"&lt;"&amp;K140),IF(J140="男白",COUNTIF($Z$2:$Z$51,"&lt;"&amp;K140),IF(J140="女赤",COUNTIF($AH$2:$AH$51,"&lt;"&amp;K140),COUNTIF($AI$2:$AI$51,"&lt;"&amp;K140))))+1)</f>
        <v/>
      </c>
      <c r="AL140">
        <f>IF(AK140="","",IF(AK140=1,0,IF(J140="男赤",INDEX($Y$2:$Y$51,AK140-1),IF(J140="男白",INDEX($Z$2:$Z$51,AK140-1),IF(J140="女赤",INDEX($AH$2:$AH$51,AK140-1),INDEX($AI$2:$AI$51,AK140-1))))))</f>
        <v/>
      </c>
      <c r="AM140">
        <f>IF(AK140="","",IF(RIGHT(J140,1)="赤",K140-AL140,IF(LEFT(J140,1)="男",INDEX($W$2:$W$51,AK140),INDEX($AF$2:$AF$51,AK140))+K140-AL140))</f>
        <v/>
      </c>
      <c r="AN140">
        <f>IF(AK140="","",F140&amp;AK140&amp;"-"&amp;AM140)</f>
        <v/>
      </c>
    </row>
    <row r="141">
      <c r="A141" s="21">
        <f>ROW()-1</f>
        <v/>
      </c>
      <c r="B141" s="21">
        <f>INT((A141-1)/37)+1</f>
        <v/>
      </c>
      <c r="C141" s="21">
        <f>MOD(A141-1,37)+1</f>
        <v/>
      </c>
      <c r="D141" s="21">
        <f>INDEX(①データ入力!$B$3:$Y$39,C141,(B141-1)*5+1)&amp;""</f>
        <v/>
      </c>
      <c r="E141" s="21">
        <f>INDEX(①データ入力!$B$3:$Y$39,C141,(B141-1)*5+2)&amp;""</f>
        <v/>
      </c>
      <c r="F141" s="21">
        <f>IF(OR(E141="1",E141="１",E141="男"),"男",IF(OR(E141="2",E141="２",E141="女"),"女",""))</f>
        <v/>
      </c>
      <c r="G141" s="21">
        <f>INDEX(①データ入力!$B$3:$Y$39,C141,(B141-1)*5+3)</f>
        <v/>
      </c>
      <c r="H141" s="21">
        <f>INDEX(①データ入力!$B$3:$Y$39,C141,(B141-1)*5+4)&amp;""</f>
        <v/>
      </c>
      <c r="I141" s="21">
        <f>IF(LEFT(TRIM(H141),1)="赤","赤",IF(LEFT(TRIM(H141),1)="白","白",""))</f>
        <v/>
      </c>
      <c r="J141" s="21">
        <f>IF(AND(D141&lt;&gt;"",F141&lt;&gt;"",I141&lt;&gt;"",ISNUMBER(G141)),F141&amp;I141,"")</f>
        <v/>
      </c>
      <c r="K141" s="21">
        <f>IF(J141="","",COUNTIFS($J$2:$J$186,J141,$G$2:$G$186,"&lt;"&amp;G141)+COUNTIFS($J$2:$J$186,J141,$G$2:$G$186,G141,$A$2:$A$186,"&lt;"&amp;A141)+1)</f>
        <v/>
      </c>
      <c r="L141" s="21">
        <f>IF(J141="","",J141&amp;K141)</f>
        <v/>
      </c>
      <c r="M141" s="21">
        <f>B141&amp;"組"</f>
        <v/>
      </c>
      <c r="N141" s="21">
        <f>IF(AND(D141&lt;&gt;"",J141=""),1,0)</f>
        <v/>
      </c>
      <c r="AK141">
        <f>IF(J141="","",IF(J141="男赤",COUNTIF($Y$2:$Y$51,"&lt;"&amp;K141),IF(J141="男白",COUNTIF($Z$2:$Z$51,"&lt;"&amp;K141),IF(J141="女赤",COUNTIF($AH$2:$AH$51,"&lt;"&amp;K141),COUNTIF($AI$2:$AI$51,"&lt;"&amp;K141))))+1)</f>
        <v/>
      </c>
      <c r="AL141">
        <f>IF(AK141="","",IF(AK141=1,0,IF(J141="男赤",INDEX($Y$2:$Y$51,AK141-1),IF(J141="男白",INDEX($Z$2:$Z$51,AK141-1),IF(J141="女赤",INDEX($AH$2:$AH$51,AK141-1),INDEX($AI$2:$AI$51,AK141-1))))))</f>
        <v/>
      </c>
      <c r="AM141">
        <f>IF(AK141="","",IF(RIGHT(J141,1)="赤",K141-AL141,IF(LEFT(J141,1)="男",INDEX($W$2:$W$51,AK141),INDEX($AF$2:$AF$51,AK141))+K141-AL141))</f>
        <v/>
      </c>
      <c r="AN141">
        <f>IF(AK141="","",F141&amp;AK141&amp;"-"&amp;AM141)</f>
        <v/>
      </c>
    </row>
    <row r="142">
      <c r="A142" s="21">
        <f>ROW()-1</f>
        <v/>
      </c>
      <c r="B142" s="21">
        <f>INT((A142-1)/37)+1</f>
        <v/>
      </c>
      <c r="C142" s="21">
        <f>MOD(A142-1,37)+1</f>
        <v/>
      </c>
      <c r="D142" s="21">
        <f>INDEX(①データ入力!$B$3:$Y$39,C142,(B142-1)*5+1)&amp;""</f>
        <v/>
      </c>
      <c r="E142" s="21">
        <f>INDEX(①データ入力!$B$3:$Y$39,C142,(B142-1)*5+2)&amp;""</f>
        <v/>
      </c>
      <c r="F142" s="21">
        <f>IF(OR(E142="1",E142="１",E142="男"),"男",IF(OR(E142="2",E142="２",E142="女"),"女",""))</f>
        <v/>
      </c>
      <c r="G142" s="21">
        <f>INDEX(①データ入力!$B$3:$Y$39,C142,(B142-1)*5+3)</f>
        <v/>
      </c>
      <c r="H142" s="21">
        <f>INDEX(①データ入力!$B$3:$Y$39,C142,(B142-1)*5+4)&amp;""</f>
        <v/>
      </c>
      <c r="I142" s="21">
        <f>IF(LEFT(TRIM(H142),1)="赤","赤",IF(LEFT(TRIM(H142),1)="白","白",""))</f>
        <v/>
      </c>
      <c r="J142" s="21">
        <f>IF(AND(D142&lt;&gt;"",F142&lt;&gt;"",I142&lt;&gt;"",ISNUMBER(G142)),F142&amp;I142,"")</f>
        <v/>
      </c>
      <c r="K142" s="21">
        <f>IF(J142="","",COUNTIFS($J$2:$J$186,J142,$G$2:$G$186,"&lt;"&amp;G142)+COUNTIFS($J$2:$J$186,J142,$G$2:$G$186,G142,$A$2:$A$186,"&lt;"&amp;A142)+1)</f>
        <v/>
      </c>
      <c r="L142" s="21">
        <f>IF(J142="","",J142&amp;K142)</f>
        <v/>
      </c>
      <c r="M142" s="21">
        <f>B142&amp;"組"</f>
        <v/>
      </c>
      <c r="N142" s="21">
        <f>IF(AND(D142&lt;&gt;"",J142=""),1,0)</f>
        <v/>
      </c>
      <c r="AK142">
        <f>IF(J142="","",IF(J142="男赤",COUNTIF($Y$2:$Y$51,"&lt;"&amp;K142),IF(J142="男白",COUNTIF($Z$2:$Z$51,"&lt;"&amp;K142),IF(J142="女赤",COUNTIF($AH$2:$AH$51,"&lt;"&amp;K142),COUNTIF($AI$2:$AI$51,"&lt;"&amp;K142))))+1)</f>
        <v/>
      </c>
      <c r="AL142">
        <f>IF(AK142="","",IF(AK142=1,0,IF(J142="男赤",INDEX($Y$2:$Y$51,AK142-1),IF(J142="男白",INDEX($Z$2:$Z$51,AK142-1),IF(J142="女赤",INDEX($AH$2:$AH$51,AK142-1),INDEX($AI$2:$AI$51,AK142-1))))))</f>
        <v/>
      </c>
      <c r="AM142">
        <f>IF(AK142="","",IF(RIGHT(J142,1)="赤",K142-AL142,IF(LEFT(J142,1)="男",INDEX($W$2:$W$51,AK142),INDEX($AF$2:$AF$51,AK142))+K142-AL142))</f>
        <v/>
      </c>
      <c r="AN142">
        <f>IF(AK142="","",F142&amp;AK142&amp;"-"&amp;AM142)</f>
        <v/>
      </c>
    </row>
    <row r="143">
      <c r="A143" s="21">
        <f>ROW()-1</f>
        <v/>
      </c>
      <c r="B143" s="21">
        <f>INT((A143-1)/37)+1</f>
        <v/>
      </c>
      <c r="C143" s="21">
        <f>MOD(A143-1,37)+1</f>
        <v/>
      </c>
      <c r="D143" s="21">
        <f>INDEX(①データ入力!$B$3:$Y$39,C143,(B143-1)*5+1)&amp;""</f>
        <v/>
      </c>
      <c r="E143" s="21">
        <f>INDEX(①データ入力!$B$3:$Y$39,C143,(B143-1)*5+2)&amp;""</f>
        <v/>
      </c>
      <c r="F143" s="21">
        <f>IF(OR(E143="1",E143="１",E143="男"),"男",IF(OR(E143="2",E143="２",E143="女"),"女",""))</f>
        <v/>
      </c>
      <c r="G143" s="21">
        <f>INDEX(①データ入力!$B$3:$Y$39,C143,(B143-1)*5+3)</f>
        <v/>
      </c>
      <c r="H143" s="21">
        <f>INDEX(①データ入力!$B$3:$Y$39,C143,(B143-1)*5+4)&amp;""</f>
        <v/>
      </c>
      <c r="I143" s="21">
        <f>IF(LEFT(TRIM(H143),1)="赤","赤",IF(LEFT(TRIM(H143),1)="白","白",""))</f>
        <v/>
      </c>
      <c r="J143" s="21">
        <f>IF(AND(D143&lt;&gt;"",F143&lt;&gt;"",I143&lt;&gt;"",ISNUMBER(G143)),F143&amp;I143,"")</f>
        <v/>
      </c>
      <c r="K143" s="21">
        <f>IF(J143="","",COUNTIFS($J$2:$J$186,J143,$G$2:$G$186,"&lt;"&amp;G143)+COUNTIFS($J$2:$J$186,J143,$G$2:$G$186,G143,$A$2:$A$186,"&lt;"&amp;A143)+1)</f>
        <v/>
      </c>
      <c r="L143" s="21">
        <f>IF(J143="","",J143&amp;K143)</f>
        <v/>
      </c>
      <c r="M143" s="21">
        <f>B143&amp;"組"</f>
        <v/>
      </c>
      <c r="N143" s="21">
        <f>IF(AND(D143&lt;&gt;"",J143=""),1,0)</f>
        <v/>
      </c>
      <c r="AK143">
        <f>IF(J143="","",IF(J143="男赤",COUNTIF($Y$2:$Y$51,"&lt;"&amp;K143),IF(J143="男白",COUNTIF($Z$2:$Z$51,"&lt;"&amp;K143),IF(J143="女赤",COUNTIF($AH$2:$AH$51,"&lt;"&amp;K143),COUNTIF($AI$2:$AI$51,"&lt;"&amp;K143))))+1)</f>
        <v/>
      </c>
      <c r="AL143">
        <f>IF(AK143="","",IF(AK143=1,0,IF(J143="男赤",INDEX($Y$2:$Y$51,AK143-1),IF(J143="男白",INDEX($Z$2:$Z$51,AK143-1),IF(J143="女赤",INDEX($AH$2:$AH$51,AK143-1),INDEX($AI$2:$AI$51,AK143-1))))))</f>
        <v/>
      </c>
      <c r="AM143">
        <f>IF(AK143="","",IF(RIGHT(J143,1)="赤",K143-AL143,IF(LEFT(J143,1)="男",INDEX($W$2:$W$51,AK143),INDEX($AF$2:$AF$51,AK143))+K143-AL143))</f>
        <v/>
      </c>
      <c r="AN143">
        <f>IF(AK143="","",F143&amp;AK143&amp;"-"&amp;AM143)</f>
        <v/>
      </c>
    </row>
    <row r="144">
      <c r="A144" s="21">
        <f>ROW()-1</f>
        <v/>
      </c>
      <c r="B144" s="21">
        <f>INT((A144-1)/37)+1</f>
        <v/>
      </c>
      <c r="C144" s="21">
        <f>MOD(A144-1,37)+1</f>
        <v/>
      </c>
      <c r="D144" s="21">
        <f>INDEX(①データ入力!$B$3:$Y$39,C144,(B144-1)*5+1)&amp;""</f>
        <v/>
      </c>
      <c r="E144" s="21">
        <f>INDEX(①データ入力!$B$3:$Y$39,C144,(B144-1)*5+2)&amp;""</f>
        <v/>
      </c>
      <c r="F144" s="21">
        <f>IF(OR(E144="1",E144="１",E144="男"),"男",IF(OR(E144="2",E144="２",E144="女"),"女",""))</f>
        <v/>
      </c>
      <c r="G144" s="21">
        <f>INDEX(①データ入力!$B$3:$Y$39,C144,(B144-1)*5+3)</f>
        <v/>
      </c>
      <c r="H144" s="21">
        <f>INDEX(①データ入力!$B$3:$Y$39,C144,(B144-1)*5+4)&amp;""</f>
        <v/>
      </c>
      <c r="I144" s="21">
        <f>IF(LEFT(TRIM(H144),1)="赤","赤",IF(LEFT(TRIM(H144),1)="白","白",""))</f>
        <v/>
      </c>
      <c r="J144" s="21">
        <f>IF(AND(D144&lt;&gt;"",F144&lt;&gt;"",I144&lt;&gt;"",ISNUMBER(G144)),F144&amp;I144,"")</f>
        <v/>
      </c>
      <c r="K144" s="21">
        <f>IF(J144="","",COUNTIFS($J$2:$J$186,J144,$G$2:$G$186,"&lt;"&amp;G144)+COUNTIFS($J$2:$J$186,J144,$G$2:$G$186,G144,$A$2:$A$186,"&lt;"&amp;A144)+1)</f>
        <v/>
      </c>
      <c r="L144" s="21">
        <f>IF(J144="","",J144&amp;K144)</f>
        <v/>
      </c>
      <c r="M144" s="21">
        <f>B144&amp;"組"</f>
        <v/>
      </c>
      <c r="N144" s="21">
        <f>IF(AND(D144&lt;&gt;"",J144=""),1,0)</f>
        <v/>
      </c>
      <c r="AK144">
        <f>IF(J144="","",IF(J144="男赤",COUNTIF($Y$2:$Y$51,"&lt;"&amp;K144),IF(J144="男白",COUNTIF($Z$2:$Z$51,"&lt;"&amp;K144),IF(J144="女赤",COUNTIF($AH$2:$AH$51,"&lt;"&amp;K144),COUNTIF($AI$2:$AI$51,"&lt;"&amp;K144))))+1)</f>
        <v/>
      </c>
      <c r="AL144">
        <f>IF(AK144="","",IF(AK144=1,0,IF(J144="男赤",INDEX($Y$2:$Y$51,AK144-1),IF(J144="男白",INDEX($Z$2:$Z$51,AK144-1),IF(J144="女赤",INDEX($AH$2:$AH$51,AK144-1),INDEX($AI$2:$AI$51,AK144-1))))))</f>
        <v/>
      </c>
      <c r="AM144">
        <f>IF(AK144="","",IF(RIGHT(J144,1)="赤",K144-AL144,IF(LEFT(J144,1)="男",INDEX($W$2:$W$51,AK144),INDEX($AF$2:$AF$51,AK144))+K144-AL144))</f>
        <v/>
      </c>
      <c r="AN144">
        <f>IF(AK144="","",F144&amp;AK144&amp;"-"&amp;AM144)</f>
        <v/>
      </c>
    </row>
    <row r="145">
      <c r="A145" s="21">
        <f>ROW()-1</f>
        <v/>
      </c>
      <c r="B145" s="21">
        <f>INT((A145-1)/37)+1</f>
        <v/>
      </c>
      <c r="C145" s="21">
        <f>MOD(A145-1,37)+1</f>
        <v/>
      </c>
      <c r="D145" s="21">
        <f>INDEX(①データ入力!$B$3:$Y$39,C145,(B145-1)*5+1)&amp;""</f>
        <v/>
      </c>
      <c r="E145" s="21">
        <f>INDEX(①データ入力!$B$3:$Y$39,C145,(B145-1)*5+2)&amp;""</f>
        <v/>
      </c>
      <c r="F145" s="21">
        <f>IF(OR(E145="1",E145="１",E145="男"),"男",IF(OR(E145="2",E145="２",E145="女"),"女",""))</f>
        <v/>
      </c>
      <c r="G145" s="21">
        <f>INDEX(①データ入力!$B$3:$Y$39,C145,(B145-1)*5+3)</f>
        <v/>
      </c>
      <c r="H145" s="21">
        <f>INDEX(①データ入力!$B$3:$Y$39,C145,(B145-1)*5+4)&amp;""</f>
        <v/>
      </c>
      <c r="I145" s="21">
        <f>IF(LEFT(TRIM(H145),1)="赤","赤",IF(LEFT(TRIM(H145),1)="白","白",""))</f>
        <v/>
      </c>
      <c r="J145" s="21">
        <f>IF(AND(D145&lt;&gt;"",F145&lt;&gt;"",I145&lt;&gt;"",ISNUMBER(G145)),F145&amp;I145,"")</f>
        <v/>
      </c>
      <c r="K145" s="21">
        <f>IF(J145="","",COUNTIFS($J$2:$J$186,J145,$G$2:$G$186,"&lt;"&amp;G145)+COUNTIFS($J$2:$J$186,J145,$G$2:$G$186,G145,$A$2:$A$186,"&lt;"&amp;A145)+1)</f>
        <v/>
      </c>
      <c r="L145" s="21">
        <f>IF(J145="","",J145&amp;K145)</f>
        <v/>
      </c>
      <c r="M145" s="21">
        <f>B145&amp;"組"</f>
        <v/>
      </c>
      <c r="N145" s="21">
        <f>IF(AND(D145&lt;&gt;"",J145=""),1,0)</f>
        <v/>
      </c>
      <c r="AK145">
        <f>IF(J145="","",IF(J145="男赤",COUNTIF($Y$2:$Y$51,"&lt;"&amp;K145),IF(J145="男白",COUNTIF($Z$2:$Z$51,"&lt;"&amp;K145),IF(J145="女赤",COUNTIF($AH$2:$AH$51,"&lt;"&amp;K145),COUNTIF($AI$2:$AI$51,"&lt;"&amp;K145))))+1)</f>
        <v/>
      </c>
      <c r="AL145">
        <f>IF(AK145="","",IF(AK145=1,0,IF(J145="男赤",INDEX($Y$2:$Y$51,AK145-1),IF(J145="男白",INDEX($Z$2:$Z$51,AK145-1),IF(J145="女赤",INDEX($AH$2:$AH$51,AK145-1),INDEX($AI$2:$AI$51,AK145-1))))))</f>
        <v/>
      </c>
      <c r="AM145">
        <f>IF(AK145="","",IF(RIGHT(J145,1)="赤",K145-AL145,IF(LEFT(J145,1)="男",INDEX($W$2:$W$51,AK145),INDEX($AF$2:$AF$51,AK145))+K145-AL145))</f>
        <v/>
      </c>
      <c r="AN145">
        <f>IF(AK145="","",F145&amp;AK145&amp;"-"&amp;AM145)</f>
        <v/>
      </c>
    </row>
    <row r="146">
      <c r="A146" s="21">
        <f>ROW()-1</f>
        <v/>
      </c>
      <c r="B146" s="21">
        <f>INT((A146-1)/37)+1</f>
        <v/>
      </c>
      <c r="C146" s="21">
        <f>MOD(A146-1,37)+1</f>
        <v/>
      </c>
      <c r="D146" s="21">
        <f>INDEX(①データ入力!$B$3:$Y$39,C146,(B146-1)*5+1)&amp;""</f>
        <v/>
      </c>
      <c r="E146" s="21">
        <f>INDEX(①データ入力!$B$3:$Y$39,C146,(B146-1)*5+2)&amp;""</f>
        <v/>
      </c>
      <c r="F146" s="21">
        <f>IF(OR(E146="1",E146="１",E146="男"),"男",IF(OR(E146="2",E146="２",E146="女"),"女",""))</f>
        <v/>
      </c>
      <c r="G146" s="21">
        <f>INDEX(①データ入力!$B$3:$Y$39,C146,(B146-1)*5+3)</f>
        <v/>
      </c>
      <c r="H146" s="21">
        <f>INDEX(①データ入力!$B$3:$Y$39,C146,(B146-1)*5+4)&amp;""</f>
        <v/>
      </c>
      <c r="I146" s="21">
        <f>IF(LEFT(TRIM(H146),1)="赤","赤",IF(LEFT(TRIM(H146),1)="白","白",""))</f>
        <v/>
      </c>
      <c r="J146" s="21">
        <f>IF(AND(D146&lt;&gt;"",F146&lt;&gt;"",I146&lt;&gt;"",ISNUMBER(G146)),F146&amp;I146,"")</f>
        <v/>
      </c>
      <c r="K146" s="21">
        <f>IF(J146="","",COUNTIFS($J$2:$J$186,J146,$G$2:$G$186,"&lt;"&amp;G146)+COUNTIFS($J$2:$J$186,J146,$G$2:$G$186,G146,$A$2:$A$186,"&lt;"&amp;A146)+1)</f>
        <v/>
      </c>
      <c r="L146" s="21">
        <f>IF(J146="","",J146&amp;K146)</f>
        <v/>
      </c>
      <c r="M146" s="21">
        <f>B146&amp;"組"</f>
        <v/>
      </c>
      <c r="N146" s="21">
        <f>IF(AND(D146&lt;&gt;"",J146=""),1,0)</f>
        <v/>
      </c>
      <c r="AK146">
        <f>IF(J146="","",IF(J146="男赤",COUNTIF($Y$2:$Y$51,"&lt;"&amp;K146),IF(J146="男白",COUNTIF($Z$2:$Z$51,"&lt;"&amp;K146),IF(J146="女赤",COUNTIF($AH$2:$AH$51,"&lt;"&amp;K146),COUNTIF($AI$2:$AI$51,"&lt;"&amp;K146))))+1)</f>
        <v/>
      </c>
      <c r="AL146">
        <f>IF(AK146="","",IF(AK146=1,0,IF(J146="男赤",INDEX($Y$2:$Y$51,AK146-1),IF(J146="男白",INDEX($Z$2:$Z$51,AK146-1),IF(J146="女赤",INDEX($AH$2:$AH$51,AK146-1),INDEX($AI$2:$AI$51,AK146-1))))))</f>
        <v/>
      </c>
      <c r="AM146">
        <f>IF(AK146="","",IF(RIGHT(J146,1)="赤",K146-AL146,IF(LEFT(J146,1)="男",INDEX($W$2:$W$51,AK146),INDEX($AF$2:$AF$51,AK146))+K146-AL146))</f>
        <v/>
      </c>
      <c r="AN146">
        <f>IF(AK146="","",F146&amp;AK146&amp;"-"&amp;AM146)</f>
        <v/>
      </c>
    </row>
    <row r="147">
      <c r="A147" s="21">
        <f>ROW()-1</f>
        <v/>
      </c>
      <c r="B147" s="21">
        <f>INT((A147-1)/37)+1</f>
        <v/>
      </c>
      <c r="C147" s="21">
        <f>MOD(A147-1,37)+1</f>
        <v/>
      </c>
      <c r="D147" s="21">
        <f>INDEX(①データ入力!$B$3:$Y$39,C147,(B147-1)*5+1)&amp;""</f>
        <v/>
      </c>
      <c r="E147" s="21">
        <f>INDEX(①データ入力!$B$3:$Y$39,C147,(B147-1)*5+2)&amp;""</f>
        <v/>
      </c>
      <c r="F147" s="21">
        <f>IF(OR(E147="1",E147="１",E147="男"),"男",IF(OR(E147="2",E147="２",E147="女"),"女",""))</f>
        <v/>
      </c>
      <c r="G147" s="21">
        <f>INDEX(①データ入力!$B$3:$Y$39,C147,(B147-1)*5+3)</f>
        <v/>
      </c>
      <c r="H147" s="21">
        <f>INDEX(①データ入力!$B$3:$Y$39,C147,(B147-1)*5+4)&amp;""</f>
        <v/>
      </c>
      <c r="I147" s="21">
        <f>IF(LEFT(TRIM(H147),1)="赤","赤",IF(LEFT(TRIM(H147),1)="白","白",""))</f>
        <v/>
      </c>
      <c r="J147" s="21">
        <f>IF(AND(D147&lt;&gt;"",F147&lt;&gt;"",I147&lt;&gt;"",ISNUMBER(G147)),F147&amp;I147,"")</f>
        <v/>
      </c>
      <c r="K147" s="21">
        <f>IF(J147="","",COUNTIFS($J$2:$J$186,J147,$G$2:$G$186,"&lt;"&amp;G147)+COUNTIFS($J$2:$J$186,J147,$G$2:$G$186,G147,$A$2:$A$186,"&lt;"&amp;A147)+1)</f>
        <v/>
      </c>
      <c r="L147" s="21">
        <f>IF(J147="","",J147&amp;K147)</f>
        <v/>
      </c>
      <c r="M147" s="21">
        <f>B147&amp;"組"</f>
        <v/>
      </c>
      <c r="N147" s="21">
        <f>IF(AND(D147&lt;&gt;"",J147=""),1,0)</f>
        <v/>
      </c>
      <c r="AK147">
        <f>IF(J147="","",IF(J147="男赤",COUNTIF($Y$2:$Y$51,"&lt;"&amp;K147),IF(J147="男白",COUNTIF($Z$2:$Z$51,"&lt;"&amp;K147),IF(J147="女赤",COUNTIF($AH$2:$AH$51,"&lt;"&amp;K147),COUNTIF($AI$2:$AI$51,"&lt;"&amp;K147))))+1)</f>
        <v/>
      </c>
      <c r="AL147">
        <f>IF(AK147="","",IF(AK147=1,0,IF(J147="男赤",INDEX($Y$2:$Y$51,AK147-1),IF(J147="男白",INDEX($Z$2:$Z$51,AK147-1),IF(J147="女赤",INDEX($AH$2:$AH$51,AK147-1),INDEX($AI$2:$AI$51,AK147-1))))))</f>
        <v/>
      </c>
      <c r="AM147">
        <f>IF(AK147="","",IF(RIGHT(J147,1)="赤",K147-AL147,IF(LEFT(J147,1)="男",INDEX($W$2:$W$51,AK147),INDEX($AF$2:$AF$51,AK147))+K147-AL147))</f>
        <v/>
      </c>
      <c r="AN147">
        <f>IF(AK147="","",F147&amp;AK147&amp;"-"&amp;AM147)</f>
        <v/>
      </c>
    </row>
    <row r="148">
      <c r="A148" s="21">
        <f>ROW()-1</f>
        <v/>
      </c>
      <c r="B148" s="21">
        <f>INT((A148-1)/37)+1</f>
        <v/>
      </c>
      <c r="C148" s="21">
        <f>MOD(A148-1,37)+1</f>
        <v/>
      </c>
      <c r="D148" s="21">
        <f>INDEX(①データ入力!$B$3:$Y$39,C148,(B148-1)*5+1)&amp;""</f>
        <v/>
      </c>
      <c r="E148" s="21">
        <f>INDEX(①データ入力!$B$3:$Y$39,C148,(B148-1)*5+2)&amp;""</f>
        <v/>
      </c>
      <c r="F148" s="21">
        <f>IF(OR(E148="1",E148="１",E148="男"),"男",IF(OR(E148="2",E148="２",E148="女"),"女",""))</f>
        <v/>
      </c>
      <c r="G148" s="21">
        <f>INDEX(①データ入力!$B$3:$Y$39,C148,(B148-1)*5+3)</f>
        <v/>
      </c>
      <c r="H148" s="21">
        <f>INDEX(①データ入力!$B$3:$Y$39,C148,(B148-1)*5+4)&amp;""</f>
        <v/>
      </c>
      <c r="I148" s="21">
        <f>IF(LEFT(TRIM(H148),1)="赤","赤",IF(LEFT(TRIM(H148),1)="白","白",""))</f>
        <v/>
      </c>
      <c r="J148" s="21">
        <f>IF(AND(D148&lt;&gt;"",F148&lt;&gt;"",I148&lt;&gt;"",ISNUMBER(G148)),F148&amp;I148,"")</f>
        <v/>
      </c>
      <c r="K148" s="21">
        <f>IF(J148="","",COUNTIFS($J$2:$J$186,J148,$G$2:$G$186,"&lt;"&amp;G148)+COUNTIFS($J$2:$J$186,J148,$G$2:$G$186,G148,$A$2:$A$186,"&lt;"&amp;A148)+1)</f>
        <v/>
      </c>
      <c r="L148" s="21">
        <f>IF(J148="","",J148&amp;K148)</f>
        <v/>
      </c>
      <c r="M148" s="21">
        <f>B148&amp;"組"</f>
        <v/>
      </c>
      <c r="N148" s="21">
        <f>IF(AND(D148&lt;&gt;"",J148=""),1,0)</f>
        <v/>
      </c>
      <c r="AK148">
        <f>IF(J148="","",IF(J148="男赤",COUNTIF($Y$2:$Y$51,"&lt;"&amp;K148),IF(J148="男白",COUNTIF($Z$2:$Z$51,"&lt;"&amp;K148),IF(J148="女赤",COUNTIF($AH$2:$AH$51,"&lt;"&amp;K148),COUNTIF($AI$2:$AI$51,"&lt;"&amp;K148))))+1)</f>
        <v/>
      </c>
      <c r="AL148">
        <f>IF(AK148="","",IF(AK148=1,0,IF(J148="男赤",INDEX($Y$2:$Y$51,AK148-1),IF(J148="男白",INDEX($Z$2:$Z$51,AK148-1),IF(J148="女赤",INDEX($AH$2:$AH$51,AK148-1),INDEX($AI$2:$AI$51,AK148-1))))))</f>
        <v/>
      </c>
      <c r="AM148">
        <f>IF(AK148="","",IF(RIGHT(J148,1)="赤",K148-AL148,IF(LEFT(J148,1)="男",INDEX($W$2:$W$51,AK148),INDEX($AF$2:$AF$51,AK148))+K148-AL148))</f>
        <v/>
      </c>
      <c r="AN148">
        <f>IF(AK148="","",F148&amp;AK148&amp;"-"&amp;AM148)</f>
        <v/>
      </c>
    </row>
    <row r="149">
      <c r="A149" s="21">
        <f>ROW()-1</f>
        <v/>
      </c>
      <c r="B149" s="21">
        <f>INT((A149-1)/37)+1</f>
        <v/>
      </c>
      <c r="C149" s="21">
        <f>MOD(A149-1,37)+1</f>
        <v/>
      </c>
      <c r="D149" s="21">
        <f>INDEX(①データ入力!$B$3:$Y$39,C149,(B149-1)*5+1)&amp;""</f>
        <v/>
      </c>
      <c r="E149" s="21">
        <f>INDEX(①データ入力!$B$3:$Y$39,C149,(B149-1)*5+2)&amp;""</f>
        <v/>
      </c>
      <c r="F149" s="21">
        <f>IF(OR(E149="1",E149="１",E149="男"),"男",IF(OR(E149="2",E149="２",E149="女"),"女",""))</f>
        <v/>
      </c>
      <c r="G149" s="21">
        <f>INDEX(①データ入力!$B$3:$Y$39,C149,(B149-1)*5+3)</f>
        <v/>
      </c>
      <c r="H149" s="21">
        <f>INDEX(①データ入力!$B$3:$Y$39,C149,(B149-1)*5+4)&amp;""</f>
        <v/>
      </c>
      <c r="I149" s="21">
        <f>IF(LEFT(TRIM(H149),1)="赤","赤",IF(LEFT(TRIM(H149),1)="白","白",""))</f>
        <v/>
      </c>
      <c r="J149" s="21">
        <f>IF(AND(D149&lt;&gt;"",F149&lt;&gt;"",I149&lt;&gt;"",ISNUMBER(G149)),F149&amp;I149,"")</f>
        <v/>
      </c>
      <c r="K149" s="21">
        <f>IF(J149="","",COUNTIFS($J$2:$J$186,J149,$G$2:$G$186,"&lt;"&amp;G149)+COUNTIFS($J$2:$J$186,J149,$G$2:$G$186,G149,$A$2:$A$186,"&lt;"&amp;A149)+1)</f>
        <v/>
      </c>
      <c r="L149" s="21">
        <f>IF(J149="","",J149&amp;K149)</f>
        <v/>
      </c>
      <c r="M149" s="21">
        <f>B149&amp;"組"</f>
        <v/>
      </c>
      <c r="N149" s="21">
        <f>IF(AND(D149&lt;&gt;"",J149=""),1,0)</f>
        <v/>
      </c>
      <c r="AK149">
        <f>IF(J149="","",IF(J149="男赤",COUNTIF($Y$2:$Y$51,"&lt;"&amp;K149),IF(J149="男白",COUNTIF($Z$2:$Z$51,"&lt;"&amp;K149),IF(J149="女赤",COUNTIF($AH$2:$AH$51,"&lt;"&amp;K149),COUNTIF($AI$2:$AI$51,"&lt;"&amp;K149))))+1)</f>
        <v/>
      </c>
      <c r="AL149">
        <f>IF(AK149="","",IF(AK149=1,0,IF(J149="男赤",INDEX($Y$2:$Y$51,AK149-1),IF(J149="男白",INDEX($Z$2:$Z$51,AK149-1),IF(J149="女赤",INDEX($AH$2:$AH$51,AK149-1),INDEX($AI$2:$AI$51,AK149-1))))))</f>
        <v/>
      </c>
      <c r="AM149">
        <f>IF(AK149="","",IF(RIGHT(J149,1)="赤",K149-AL149,IF(LEFT(J149,1)="男",INDEX($W$2:$W$51,AK149),INDEX($AF$2:$AF$51,AK149))+K149-AL149))</f>
        <v/>
      </c>
      <c r="AN149">
        <f>IF(AK149="","",F149&amp;AK149&amp;"-"&amp;AM149)</f>
        <v/>
      </c>
    </row>
    <row r="150">
      <c r="A150" s="21">
        <f>ROW()-1</f>
        <v/>
      </c>
      <c r="B150" s="21">
        <f>INT((A150-1)/37)+1</f>
        <v/>
      </c>
      <c r="C150" s="21">
        <f>MOD(A150-1,37)+1</f>
        <v/>
      </c>
      <c r="D150" s="21">
        <f>INDEX(①データ入力!$B$3:$Y$39,C150,(B150-1)*5+1)&amp;""</f>
        <v/>
      </c>
      <c r="E150" s="21">
        <f>INDEX(①データ入力!$B$3:$Y$39,C150,(B150-1)*5+2)&amp;""</f>
        <v/>
      </c>
      <c r="F150" s="21">
        <f>IF(OR(E150="1",E150="１",E150="男"),"男",IF(OR(E150="2",E150="２",E150="女"),"女",""))</f>
        <v/>
      </c>
      <c r="G150" s="21">
        <f>INDEX(①データ入力!$B$3:$Y$39,C150,(B150-1)*5+3)</f>
        <v/>
      </c>
      <c r="H150" s="21">
        <f>INDEX(①データ入力!$B$3:$Y$39,C150,(B150-1)*5+4)&amp;""</f>
        <v/>
      </c>
      <c r="I150" s="21">
        <f>IF(LEFT(TRIM(H150),1)="赤","赤",IF(LEFT(TRIM(H150),1)="白","白",""))</f>
        <v/>
      </c>
      <c r="J150" s="21">
        <f>IF(AND(D150&lt;&gt;"",F150&lt;&gt;"",I150&lt;&gt;"",ISNUMBER(G150)),F150&amp;I150,"")</f>
        <v/>
      </c>
      <c r="K150" s="21">
        <f>IF(J150="","",COUNTIFS($J$2:$J$186,J150,$G$2:$G$186,"&lt;"&amp;G150)+COUNTIFS($J$2:$J$186,J150,$G$2:$G$186,G150,$A$2:$A$186,"&lt;"&amp;A150)+1)</f>
        <v/>
      </c>
      <c r="L150" s="21">
        <f>IF(J150="","",J150&amp;K150)</f>
        <v/>
      </c>
      <c r="M150" s="21">
        <f>B150&amp;"組"</f>
        <v/>
      </c>
      <c r="N150" s="21">
        <f>IF(AND(D150&lt;&gt;"",J150=""),1,0)</f>
        <v/>
      </c>
      <c r="AK150">
        <f>IF(J150="","",IF(J150="男赤",COUNTIF($Y$2:$Y$51,"&lt;"&amp;K150),IF(J150="男白",COUNTIF($Z$2:$Z$51,"&lt;"&amp;K150),IF(J150="女赤",COUNTIF($AH$2:$AH$51,"&lt;"&amp;K150),COUNTIF($AI$2:$AI$51,"&lt;"&amp;K150))))+1)</f>
        <v/>
      </c>
      <c r="AL150">
        <f>IF(AK150="","",IF(AK150=1,0,IF(J150="男赤",INDEX($Y$2:$Y$51,AK150-1),IF(J150="男白",INDEX($Z$2:$Z$51,AK150-1),IF(J150="女赤",INDEX($AH$2:$AH$51,AK150-1),INDEX($AI$2:$AI$51,AK150-1))))))</f>
        <v/>
      </c>
      <c r="AM150">
        <f>IF(AK150="","",IF(RIGHT(J150,1)="赤",K150-AL150,IF(LEFT(J150,1)="男",INDEX($W$2:$W$51,AK150),INDEX($AF$2:$AF$51,AK150))+K150-AL150))</f>
        <v/>
      </c>
      <c r="AN150">
        <f>IF(AK150="","",F150&amp;AK150&amp;"-"&amp;AM150)</f>
        <v/>
      </c>
    </row>
    <row r="151">
      <c r="A151" s="21">
        <f>ROW()-1</f>
        <v/>
      </c>
      <c r="B151" s="21">
        <f>INT((A151-1)/37)+1</f>
        <v/>
      </c>
      <c r="C151" s="21">
        <f>MOD(A151-1,37)+1</f>
        <v/>
      </c>
      <c r="D151" s="21">
        <f>INDEX(①データ入力!$B$3:$Y$39,C151,(B151-1)*5+1)&amp;""</f>
        <v/>
      </c>
      <c r="E151" s="21">
        <f>INDEX(①データ入力!$B$3:$Y$39,C151,(B151-1)*5+2)&amp;""</f>
        <v/>
      </c>
      <c r="F151" s="21">
        <f>IF(OR(E151="1",E151="１",E151="男"),"男",IF(OR(E151="2",E151="２",E151="女"),"女",""))</f>
        <v/>
      </c>
      <c r="G151" s="21">
        <f>INDEX(①データ入力!$B$3:$Y$39,C151,(B151-1)*5+3)</f>
        <v/>
      </c>
      <c r="H151" s="21">
        <f>INDEX(①データ入力!$B$3:$Y$39,C151,(B151-1)*5+4)&amp;""</f>
        <v/>
      </c>
      <c r="I151" s="21">
        <f>IF(LEFT(TRIM(H151),1)="赤","赤",IF(LEFT(TRIM(H151),1)="白","白",""))</f>
        <v/>
      </c>
      <c r="J151" s="21">
        <f>IF(AND(D151&lt;&gt;"",F151&lt;&gt;"",I151&lt;&gt;"",ISNUMBER(G151)),F151&amp;I151,"")</f>
        <v/>
      </c>
      <c r="K151" s="21">
        <f>IF(J151="","",COUNTIFS($J$2:$J$186,J151,$G$2:$G$186,"&lt;"&amp;G151)+COUNTIFS($J$2:$J$186,J151,$G$2:$G$186,G151,$A$2:$A$186,"&lt;"&amp;A151)+1)</f>
        <v/>
      </c>
      <c r="L151" s="21">
        <f>IF(J151="","",J151&amp;K151)</f>
        <v/>
      </c>
      <c r="M151" s="21">
        <f>B151&amp;"組"</f>
        <v/>
      </c>
      <c r="N151" s="21">
        <f>IF(AND(D151&lt;&gt;"",J151=""),1,0)</f>
        <v/>
      </c>
      <c r="AK151">
        <f>IF(J151="","",IF(J151="男赤",COUNTIF($Y$2:$Y$51,"&lt;"&amp;K151),IF(J151="男白",COUNTIF($Z$2:$Z$51,"&lt;"&amp;K151),IF(J151="女赤",COUNTIF($AH$2:$AH$51,"&lt;"&amp;K151),COUNTIF($AI$2:$AI$51,"&lt;"&amp;K151))))+1)</f>
        <v/>
      </c>
      <c r="AL151">
        <f>IF(AK151="","",IF(AK151=1,0,IF(J151="男赤",INDEX($Y$2:$Y$51,AK151-1),IF(J151="男白",INDEX($Z$2:$Z$51,AK151-1),IF(J151="女赤",INDEX($AH$2:$AH$51,AK151-1),INDEX($AI$2:$AI$51,AK151-1))))))</f>
        <v/>
      </c>
      <c r="AM151">
        <f>IF(AK151="","",IF(RIGHT(J151,1)="赤",K151-AL151,IF(LEFT(J151,1)="男",INDEX($W$2:$W$51,AK151),INDEX($AF$2:$AF$51,AK151))+K151-AL151))</f>
        <v/>
      </c>
      <c r="AN151">
        <f>IF(AK151="","",F151&amp;AK151&amp;"-"&amp;AM151)</f>
        <v/>
      </c>
    </row>
    <row r="152">
      <c r="A152" s="21">
        <f>ROW()-1</f>
        <v/>
      </c>
      <c r="B152" s="21">
        <f>INT((A152-1)/37)+1</f>
        <v/>
      </c>
      <c r="C152" s="21">
        <f>MOD(A152-1,37)+1</f>
        <v/>
      </c>
      <c r="D152" s="21">
        <f>INDEX(①データ入力!$B$3:$Y$39,C152,(B152-1)*5+1)&amp;""</f>
        <v/>
      </c>
      <c r="E152" s="21">
        <f>INDEX(①データ入力!$B$3:$Y$39,C152,(B152-1)*5+2)&amp;""</f>
        <v/>
      </c>
      <c r="F152" s="21">
        <f>IF(OR(E152="1",E152="１",E152="男"),"男",IF(OR(E152="2",E152="２",E152="女"),"女",""))</f>
        <v/>
      </c>
      <c r="G152" s="21">
        <f>INDEX(①データ入力!$B$3:$Y$39,C152,(B152-1)*5+3)</f>
        <v/>
      </c>
      <c r="H152" s="21">
        <f>INDEX(①データ入力!$B$3:$Y$39,C152,(B152-1)*5+4)&amp;""</f>
        <v/>
      </c>
      <c r="I152" s="21">
        <f>IF(LEFT(TRIM(H152),1)="赤","赤",IF(LEFT(TRIM(H152),1)="白","白",""))</f>
        <v/>
      </c>
      <c r="J152" s="21">
        <f>IF(AND(D152&lt;&gt;"",F152&lt;&gt;"",I152&lt;&gt;"",ISNUMBER(G152)),F152&amp;I152,"")</f>
        <v/>
      </c>
      <c r="K152" s="21">
        <f>IF(J152="","",COUNTIFS($J$2:$J$186,J152,$G$2:$G$186,"&lt;"&amp;G152)+COUNTIFS($J$2:$J$186,J152,$G$2:$G$186,G152,$A$2:$A$186,"&lt;"&amp;A152)+1)</f>
        <v/>
      </c>
      <c r="L152" s="21">
        <f>IF(J152="","",J152&amp;K152)</f>
        <v/>
      </c>
      <c r="M152" s="21">
        <f>B152&amp;"組"</f>
        <v/>
      </c>
      <c r="N152" s="21">
        <f>IF(AND(D152&lt;&gt;"",J152=""),1,0)</f>
        <v/>
      </c>
      <c r="AK152">
        <f>IF(J152="","",IF(J152="男赤",COUNTIF($Y$2:$Y$51,"&lt;"&amp;K152),IF(J152="男白",COUNTIF($Z$2:$Z$51,"&lt;"&amp;K152),IF(J152="女赤",COUNTIF($AH$2:$AH$51,"&lt;"&amp;K152),COUNTIF($AI$2:$AI$51,"&lt;"&amp;K152))))+1)</f>
        <v/>
      </c>
      <c r="AL152">
        <f>IF(AK152="","",IF(AK152=1,0,IF(J152="男赤",INDEX($Y$2:$Y$51,AK152-1),IF(J152="男白",INDEX($Z$2:$Z$51,AK152-1),IF(J152="女赤",INDEX($AH$2:$AH$51,AK152-1),INDEX($AI$2:$AI$51,AK152-1))))))</f>
        <v/>
      </c>
      <c r="AM152">
        <f>IF(AK152="","",IF(RIGHT(J152,1)="赤",K152-AL152,IF(LEFT(J152,1)="男",INDEX($W$2:$W$51,AK152),INDEX($AF$2:$AF$51,AK152))+K152-AL152))</f>
        <v/>
      </c>
      <c r="AN152">
        <f>IF(AK152="","",F152&amp;AK152&amp;"-"&amp;AM152)</f>
        <v/>
      </c>
    </row>
    <row r="153">
      <c r="A153" s="21">
        <f>ROW()-1</f>
        <v/>
      </c>
      <c r="B153" s="21">
        <f>INT((A153-1)/37)+1</f>
        <v/>
      </c>
      <c r="C153" s="21">
        <f>MOD(A153-1,37)+1</f>
        <v/>
      </c>
      <c r="D153" s="21">
        <f>INDEX(①データ入力!$B$3:$Y$39,C153,(B153-1)*5+1)&amp;""</f>
        <v/>
      </c>
      <c r="E153" s="21">
        <f>INDEX(①データ入力!$B$3:$Y$39,C153,(B153-1)*5+2)&amp;""</f>
        <v/>
      </c>
      <c r="F153" s="21">
        <f>IF(OR(E153="1",E153="１",E153="男"),"男",IF(OR(E153="2",E153="２",E153="女"),"女",""))</f>
        <v/>
      </c>
      <c r="G153" s="21">
        <f>INDEX(①データ入力!$B$3:$Y$39,C153,(B153-1)*5+3)</f>
        <v/>
      </c>
      <c r="H153" s="21">
        <f>INDEX(①データ入力!$B$3:$Y$39,C153,(B153-1)*5+4)&amp;""</f>
        <v/>
      </c>
      <c r="I153" s="21">
        <f>IF(LEFT(TRIM(H153),1)="赤","赤",IF(LEFT(TRIM(H153),1)="白","白",""))</f>
        <v/>
      </c>
      <c r="J153" s="21">
        <f>IF(AND(D153&lt;&gt;"",F153&lt;&gt;"",I153&lt;&gt;"",ISNUMBER(G153)),F153&amp;I153,"")</f>
        <v/>
      </c>
      <c r="K153" s="21">
        <f>IF(J153="","",COUNTIFS($J$2:$J$186,J153,$G$2:$G$186,"&lt;"&amp;G153)+COUNTIFS($J$2:$J$186,J153,$G$2:$G$186,G153,$A$2:$A$186,"&lt;"&amp;A153)+1)</f>
        <v/>
      </c>
      <c r="L153" s="21">
        <f>IF(J153="","",J153&amp;K153)</f>
        <v/>
      </c>
      <c r="M153" s="21">
        <f>B153&amp;"組"</f>
        <v/>
      </c>
      <c r="N153" s="21">
        <f>IF(AND(D153&lt;&gt;"",J153=""),1,0)</f>
        <v/>
      </c>
      <c r="AK153">
        <f>IF(J153="","",IF(J153="男赤",COUNTIF($Y$2:$Y$51,"&lt;"&amp;K153),IF(J153="男白",COUNTIF($Z$2:$Z$51,"&lt;"&amp;K153),IF(J153="女赤",COUNTIF($AH$2:$AH$51,"&lt;"&amp;K153),COUNTIF($AI$2:$AI$51,"&lt;"&amp;K153))))+1)</f>
        <v/>
      </c>
      <c r="AL153">
        <f>IF(AK153="","",IF(AK153=1,0,IF(J153="男赤",INDEX($Y$2:$Y$51,AK153-1),IF(J153="男白",INDEX($Z$2:$Z$51,AK153-1),IF(J153="女赤",INDEX($AH$2:$AH$51,AK153-1),INDEX($AI$2:$AI$51,AK153-1))))))</f>
        <v/>
      </c>
      <c r="AM153">
        <f>IF(AK153="","",IF(RIGHT(J153,1)="赤",K153-AL153,IF(LEFT(J153,1)="男",INDEX($W$2:$W$51,AK153),INDEX($AF$2:$AF$51,AK153))+K153-AL153))</f>
        <v/>
      </c>
      <c r="AN153">
        <f>IF(AK153="","",F153&amp;AK153&amp;"-"&amp;AM153)</f>
        <v/>
      </c>
    </row>
    <row r="154">
      <c r="A154" s="21">
        <f>ROW()-1</f>
        <v/>
      </c>
      <c r="B154" s="21">
        <f>INT((A154-1)/37)+1</f>
        <v/>
      </c>
      <c r="C154" s="21">
        <f>MOD(A154-1,37)+1</f>
        <v/>
      </c>
      <c r="D154" s="21">
        <f>INDEX(①データ入力!$B$3:$Y$39,C154,(B154-1)*5+1)&amp;""</f>
        <v/>
      </c>
      <c r="E154" s="21">
        <f>INDEX(①データ入力!$B$3:$Y$39,C154,(B154-1)*5+2)&amp;""</f>
        <v/>
      </c>
      <c r="F154" s="21">
        <f>IF(OR(E154="1",E154="１",E154="男"),"男",IF(OR(E154="2",E154="２",E154="女"),"女",""))</f>
        <v/>
      </c>
      <c r="G154" s="21">
        <f>INDEX(①データ入力!$B$3:$Y$39,C154,(B154-1)*5+3)</f>
        <v/>
      </c>
      <c r="H154" s="21">
        <f>INDEX(①データ入力!$B$3:$Y$39,C154,(B154-1)*5+4)&amp;""</f>
        <v/>
      </c>
      <c r="I154" s="21">
        <f>IF(LEFT(TRIM(H154),1)="赤","赤",IF(LEFT(TRIM(H154),1)="白","白",""))</f>
        <v/>
      </c>
      <c r="J154" s="21">
        <f>IF(AND(D154&lt;&gt;"",F154&lt;&gt;"",I154&lt;&gt;"",ISNUMBER(G154)),F154&amp;I154,"")</f>
        <v/>
      </c>
      <c r="K154" s="21">
        <f>IF(J154="","",COUNTIFS($J$2:$J$186,J154,$G$2:$G$186,"&lt;"&amp;G154)+COUNTIFS($J$2:$J$186,J154,$G$2:$G$186,G154,$A$2:$A$186,"&lt;"&amp;A154)+1)</f>
        <v/>
      </c>
      <c r="L154" s="21">
        <f>IF(J154="","",J154&amp;K154)</f>
        <v/>
      </c>
      <c r="M154" s="21">
        <f>B154&amp;"組"</f>
        <v/>
      </c>
      <c r="N154" s="21">
        <f>IF(AND(D154&lt;&gt;"",J154=""),1,0)</f>
        <v/>
      </c>
      <c r="AK154">
        <f>IF(J154="","",IF(J154="男赤",COUNTIF($Y$2:$Y$51,"&lt;"&amp;K154),IF(J154="男白",COUNTIF($Z$2:$Z$51,"&lt;"&amp;K154),IF(J154="女赤",COUNTIF($AH$2:$AH$51,"&lt;"&amp;K154),COUNTIF($AI$2:$AI$51,"&lt;"&amp;K154))))+1)</f>
        <v/>
      </c>
      <c r="AL154">
        <f>IF(AK154="","",IF(AK154=1,0,IF(J154="男赤",INDEX($Y$2:$Y$51,AK154-1),IF(J154="男白",INDEX($Z$2:$Z$51,AK154-1),IF(J154="女赤",INDEX($AH$2:$AH$51,AK154-1),INDEX($AI$2:$AI$51,AK154-1))))))</f>
        <v/>
      </c>
      <c r="AM154">
        <f>IF(AK154="","",IF(RIGHT(J154,1)="赤",K154-AL154,IF(LEFT(J154,1)="男",INDEX($W$2:$W$51,AK154),INDEX($AF$2:$AF$51,AK154))+K154-AL154))</f>
        <v/>
      </c>
      <c r="AN154">
        <f>IF(AK154="","",F154&amp;AK154&amp;"-"&amp;AM154)</f>
        <v/>
      </c>
    </row>
    <row r="155">
      <c r="A155" s="21">
        <f>ROW()-1</f>
        <v/>
      </c>
      <c r="B155" s="21">
        <f>INT((A155-1)/37)+1</f>
        <v/>
      </c>
      <c r="C155" s="21">
        <f>MOD(A155-1,37)+1</f>
        <v/>
      </c>
      <c r="D155" s="21">
        <f>INDEX(①データ入力!$B$3:$Y$39,C155,(B155-1)*5+1)&amp;""</f>
        <v/>
      </c>
      <c r="E155" s="21">
        <f>INDEX(①データ入力!$B$3:$Y$39,C155,(B155-1)*5+2)&amp;""</f>
        <v/>
      </c>
      <c r="F155" s="21">
        <f>IF(OR(E155="1",E155="１",E155="男"),"男",IF(OR(E155="2",E155="２",E155="女"),"女",""))</f>
        <v/>
      </c>
      <c r="G155" s="21">
        <f>INDEX(①データ入力!$B$3:$Y$39,C155,(B155-1)*5+3)</f>
        <v/>
      </c>
      <c r="H155" s="21">
        <f>INDEX(①データ入力!$B$3:$Y$39,C155,(B155-1)*5+4)&amp;""</f>
        <v/>
      </c>
      <c r="I155" s="21">
        <f>IF(LEFT(TRIM(H155),1)="赤","赤",IF(LEFT(TRIM(H155),1)="白","白",""))</f>
        <v/>
      </c>
      <c r="J155" s="21">
        <f>IF(AND(D155&lt;&gt;"",F155&lt;&gt;"",I155&lt;&gt;"",ISNUMBER(G155)),F155&amp;I155,"")</f>
        <v/>
      </c>
      <c r="K155" s="21">
        <f>IF(J155="","",COUNTIFS($J$2:$J$186,J155,$G$2:$G$186,"&lt;"&amp;G155)+COUNTIFS($J$2:$J$186,J155,$G$2:$G$186,G155,$A$2:$A$186,"&lt;"&amp;A155)+1)</f>
        <v/>
      </c>
      <c r="L155" s="21">
        <f>IF(J155="","",J155&amp;K155)</f>
        <v/>
      </c>
      <c r="M155" s="21">
        <f>B155&amp;"組"</f>
        <v/>
      </c>
      <c r="N155" s="21">
        <f>IF(AND(D155&lt;&gt;"",J155=""),1,0)</f>
        <v/>
      </c>
      <c r="AK155">
        <f>IF(J155="","",IF(J155="男赤",COUNTIF($Y$2:$Y$51,"&lt;"&amp;K155),IF(J155="男白",COUNTIF($Z$2:$Z$51,"&lt;"&amp;K155),IF(J155="女赤",COUNTIF($AH$2:$AH$51,"&lt;"&amp;K155),COUNTIF($AI$2:$AI$51,"&lt;"&amp;K155))))+1)</f>
        <v/>
      </c>
      <c r="AL155">
        <f>IF(AK155="","",IF(AK155=1,0,IF(J155="男赤",INDEX($Y$2:$Y$51,AK155-1),IF(J155="男白",INDEX($Z$2:$Z$51,AK155-1),IF(J155="女赤",INDEX($AH$2:$AH$51,AK155-1),INDEX($AI$2:$AI$51,AK155-1))))))</f>
        <v/>
      </c>
      <c r="AM155">
        <f>IF(AK155="","",IF(RIGHT(J155,1)="赤",K155-AL155,IF(LEFT(J155,1)="男",INDEX($W$2:$W$51,AK155),INDEX($AF$2:$AF$51,AK155))+K155-AL155))</f>
        <v/>
      </c>
      <c r="AN155">
        <f>IF(AK155="","",F155&amp;AK155&amp;"-"&amp;AM155)</f>
        <v/>
      </c>
    </row>
    <row r="156">
      <c r="A156" s="21">
        <f>ROW()-1</f>
        <v/>
      </c>
      <c r="B156" s="21">
        <f>INT((A156-1)/37)+1</f>
        <v/>
      </c>
      <c r="C156" s="21">
        <f>MOD(A156-1,37)+1</f>
        <v/>
      </c>
      <c r="D156" s="21">
        <f>INDEX(①データ入力!$B$3:$Y$39,C156,(B156-1)*5+1)&amp;""</f>
        <v/>
      </c>
      <c r="E156" s="21">
        <f>INDEX(①データ入力!$B$3:$Y$39,C156,(B156-1)*5+2)&amp;""</f>
        <v/>
      </c>
      <c r="F156" s="21">
        <f>IF(OR(E156="1",E156="１",E156="男"),"男",IF(OR(E156="2",E156="２",E156="女"),"女",""))</f>
        <v/>
      </c>
      <c r="G156" s="21">
        <f>INDEX(①データ入力!$B$3:$Y$39,C156,(B156-1)*5+3)</f>
        <v/>
      </c>
      <c r="H156" s="21">
        <f>INDEX(①データ入力!$B$3:$Y$39,C156,(B156-1)*5+4)&amp;""</f>
        <v/>
      </c>
      <c r="I156" s="21">
        <f>IF(LEFT(TRIM(H156),1)="赤","赤",IF(LEFT(TRIM(H156),1)="白","白",""))</f>
        <v/>
      </c>
      <c r="J156" s="21">
        <f>IF(AND(D156&lt;&gt;"",F156&lt;&gt;"",I156&lt;&gt;"",ISNUMBER(G156)),F156&amp;I156,"")</f>
        <v/>
      </c>
      <c r="K156" s="21">
        <f>IF(J156="","",COUNTIFS($J$2:$J$186,J156,$G$2:$G$186,"&lt;"&amp;G156)+COUNTIFS($J$2:$J$186,J156,$G$2:$G$186,G156,$A$2:$A$186,"&lt;"&amp;A156)+1)</f>
        <v/>
      </c>
      <c r="L156" s="21">
        <f>IF(J156="","",J156&amp;K156)</f>
        <v/>
      </c>
      <c r="M156" s="21">
        <f>B156&amp;"組"</f>
        <v/>
      </c>
      <c r="N156" s="21">
        <f>IF(AND(D156&lt;&gt;"",J156=""),1,0)</f>
        <v/>
      </c>
      <c r="AK156">
        <f>IF(J156="","",IF(J156="男赤",COUNTIF($Y$2:$Y$51,"&lt;"&amp;K156),IF(J156="男白",COUNTIF($Z$2:$Z$51,"&lt;"&amp;K156),IF(J156="女赤",COUNTIF($AH$2:$AH$51,"&lt;"&amp;K156),COUNTIF($AI$2:$AI$51,"&lt;"&amp;K156))))+1)</f>
        <v/>
      </c>
      <c r="AL156">
        <f>IF(AK156="","",IF(AK156=1,0,IF(J156="男赤",INDEX($Y$2:$Y$51,AK156-1),IF(J156="男白",INDEX($Z$2:$Z$51,AK156-1),IF(J156="女赤",INDEX($AH$2:$AH$51,AK156-1),INDEX($AI$2:$AI$51,AK156-1))))))</f>
        <v/>
      </c>
      <c r="AM156">
        <f>IF(AK156="","",IF(RIGHT(J156,1)="赤",K156-AL156,IF(LEFT(J156,1)="男",INDEX($W$2:$W$51,AK156),INDEX($AF$2:$AF$51,AK156))+K156-AL156))</f>
        <v/>
      </c>
      <c r="AN156">
        <f>IF(AK156="","",F156&amp;AK156&amp;"-"&amp;AM156)</f>
        <v/>
      </c>
    </row>
    <row r="157">
      <c r="A157" s="21">
        <f>ROW()-1</f>
        <v/>
      </c>
      <c r="B157" s="21">
        <f>INT((A157-1)/37)+1</f>
        <v/>
      </c>
      <c r="C157" s="21">
        <f>MOD(A157-1,37)+1</f>
        <v/>
      </c>
      <c r="D157" s="21">
        <f>INDEX(①データ入力!$B$3:$Y$39,C157,(B157-1)*5+1)&amp;""</f>
        <v/>
      </c>
      <c r="E157" s="21">
        <f>INDEX(①データ入力!$B$3:$Y$39,C157,(B157-1)*5+2)&amp;""</f>
        <v/>
      </c>
      <c r="F157" s="21">
        <f>IF(OR(E157="1",E157="１",E157="男"),"男",IF(OR(E157="2",E157="２",E157="女"),"女",""))</f>
        <v/>
      </c>
      <c r="G157" s="21">
        <f>INDEX(①データ入力!$B$3:$Y$39,C157,(B157-1)*5+3)</f>
        <v/>
      </c>
      <c r="H157" s="21">
        <f>INDEX(①データ入力!$B$3:$Y$39,C157,(B157-1)*5+4)&amp;""</f>
        <v/>
      </c>
      <c r="I157" s="21">
        <f>IF(LEFT(TRIM(H157),1)="赤","赤",IF(LEFT(TRIM(H157),1)="白","白",""))</f>
        <v/>
      </c>
      <c r="J157" s="21">
        <f>IF(AND(D157&lt;&gt;"",F157&lt;&gt;"",I157&lt;&gt;"",ISNUMBER(G157)),F157&amp;I157,"")</f>
        <v/>
      </c>
      <c r="K157" s="21">
        <f>IF(J157="","",COUNTIFS($J$2:$J$186,J157,$G$2:$G$186,"&lt;"&amp;G157)+COUNTIFS($J$2:$J$186,J157,$G$2:$G$186,G157,$A$2:$A$186,"&lt;"&amp;A157)+1)</f>
        <v/>
      </c>
      <c r="L157" s="21">
        <f>IF(J157="","",J157&amp;K157)</f>
        <v/>
      </c>
      <c r="M157" s="21">
        <f>B157&amp;"組"</f>
        <v/>
      </c>
      <c r="N157" s="21">
        <f>IF(AND(D157&lt;&gt;"",J157=""),1,0)</f>
        <v/>
      </c>
      <c r="AK157">
        <f>IF(J157="","",IF(J157="男赤",COUNTIF($Y$2:$Y$51,"&lt;"&amp;K157),IF(J157="男白",COUNTIF($Z$2:$Z$51,"&lt;"&amp;K157),IF(J157="女赤",COUNTIF($AH$2:$AH$51,"&lt;"&amp;K157),COUNTIF($AI$2:$AI$51,"&lt;"&amp;K157))))+1)</f>
        <v/>
      </c>
      <c r="AL157">
        <f>IF(AK157="","",IF(AK157=1,0,IF(J157="男赤",INDEX($Y$2:$Y$51,AK157-1),IF(J157="男白",INDEX($Z$2:$Z$51,AK157-1),IF(J157="女赤",INDEX($AH$2:$AH$51,AK157-1),INDEX($AI$2:$AI$51,AK157-1))))))</f>
        <v/>
      </c>
      <c r="AM157">
        <f>IF(AK157="","",IF(RIGHT(J157,1)="赤",K157-AL157,IF(LEFT(J157,1)="男",INDEX($W$2:$W$51,AK157),INDEX($AF$2:$AF$51,AK157))+K157-AL157))</f>
        <v/>
      </c>
      <c r="AN157">
        <f>IF(AK157="","",F157&amp;AK157&amp;"-"&amp;AM157)</f>
        <v/>
      </c>
    </row>
    <row r="158">
      <c r="A158" s="21">
        <f>ROW()-1</f>
        <v/>
      </c>
      <c r="B158" s="21">
        <f>INT((A158-1)/37)+1</f>
        <v/>
      </c>
      <c r="C158" s="21">
        <f>MOD(A158-1,37)+1</f>
        <v/>
      </c>
      <c r="D158" s="21">
        <f>INDEX(①データ入力!$B$3:$Y$39,C158,(B158-1)*5+1)&amp;""</f>
        <v/>
      </c>
      <c r="E158" s="21">
        <f>INDEX(①データ入力!$B$3:$Y$39,C158,(B158-1)*5+2)&amp;""</f>
        <v/>
      </c>
      <c r="F158" s="21">
        <f>IF(OR(E158="1",E158="１",E158="男"),"男",IF(OR(E158="2",E158="２",E158="女"),"女",""))</f>
        <v/>
      </c>
      <c r="G158" s="21">
        <f>INDEX(①データ入力!$B$3:$Y$39,C158,(B158-1)*5+3)</f>
        <v/>
      </c>
      <c r="H158" s="21">
        <f>INDEX(①データ入力!$B$3:$Y$39,C158,(B158-1)*5+4)&amp;""</f>
        <v/>
      </c>
      <c r="I158" s="21">
        <f>IF(LEFT(TRIM(H158),1)="赤","赤",IF(LEFT(TRIM(H158),1)="白","白",""))</f>
        <v/>
      </c>
      <c r="J158" s="21">
        <f>IF(AND(D158&lt;&gt;"",F158&lt;&gt;"",I158&lt;&gt;"",ISNUMBER(G158)),F158&amp;I158,"")</f>
        <v/>
      </c>
      <c r="K158" s="21">
        <f>IF(J158="","",COUNTIFS($J$2:$J$186,J158,$G$2:$G$186,"&lt;"&amp;G158)+COUNTIFS($J$2:$J$186,J158,$G$2:$G$186,G158,$A$2:$A$186,"&lt;"&amp;A158)+1)</f>
        <v/>
      </c>
      <c r="L158" s="21">
        <f>IF(J158="","",J158&amp;K158)</f>
        <v/>
      </c>
      <c r="M158" s="21">
        <f>B158&amp;"組"</f>
        <v/>
      </c>
      <c r="N158" s="21">
        <f>IF(AND(D158&lt;&gt;"",J158=""),1,0)</f>
        <v/>
      </c>
      <c r="AK158">
        <f>IF(J158="","",IF(J158="男赤",COUNTIF($Y$2:$Y$51,"&lt;"&amp;K158),IF(J158="男白",COUNTIF($Z$2:$Z$51,"&lt;"&amp;K158),IF(J158="女赤",COUNTIF($AH$2:$AH$51,"&lt;"&amp;K158),COUNTIF($AI$2:$AI$51,"&lt;"&amp;K158))))+1)</f>
        <v/>
      </c>
      <c r="AL158">
        <f>IF(AK158="","",IF(AK158=1,0,IF(J158="男赤",INDEX($Y$2:$Y$51,AK158-1),IF(J158="男白",INDEX($Z$2:$Z$51,AK158-1),IF(J158="女赤",INDEX($AH$2:$AH$51,AK158-1),INDEX($AI$2:$AI$51,AK158-1))))))</f>
        <v/>
      </c>
      <c r="AM158">
        <f>IF(AK158="","",IF(RIGHT(J158,1)="赤",K158-AL158,IF(LEFT(J158,1)="男",INDEX($W$2:$W$51,AK158),INDEX($AF$2:$AF$51,AK158))+K158-AL158))</f>
        <v/>
      </c>
      <c r="AN158">
        <f>IF(AK158="","",F158&amp;AK158&amp;"-"&amp;AM158)</f>
        <v/>
      </c>
    </row>
    <row r="159">
      <c r="A159" s="21">
        <f>ROW()-1</f>
        <v/>
      </c>
      <c r="B159" s="21">
        <f>INT((A159-1)/37)+1</f>
        <v/>
      </c>
      <c r="C159" s="21">
        <f>MOD(A159-1,37)+1</f>
        <v/>
      </c>
      <c r="D159" s="21">
        <f>INDEX(①データ入力!$B$3:$Y$39,C159,(B159-1)*5+1)&amp;""</f>
        <v/>
      </c>
      <c r="E159" s="21">
        <f>INDEX(①データ入力!$B$3:$Y$39,C159,(B159-1)*5+2)&amp;""</f>
        <v/>
      </c>
      <c r="F159" s="21">
        <f>IF(OR(E159="1",E159="１",E159="男"),"男",IF(OR(E159="2",E159="２",E159="女"),"女",""))</f>
        <v/>
      </c>
      <c r="G159" s="21">
        <f>INDEX(①データ入力!$B$3:$Y$39,C159,(B159-1)*5+3)</f>
        <v/>
      </c>
      <c r="H159" s="21">
        <f>INDEX(①データ入力!$B$3:$Y$39,C159,(B159-1)*5+4)&amp;""</f>
        <v/>
      </c>
      <c r="I159" s="21">
        <f>IF(LEFT(TRIM(H159),1)="赤","赤",IF(LEFT(TRIM(H159),1)="白","白",""))</f>
        <v/>
      </c>
      <c r="J159" s="21">
        <f>IF(AND(D159&lt;&gt;"",F159&lt;&gt;"",I159&lt;&gt;"",ISNUMBER(G159)),F159&amp;I159,"")</f>
        <v/>
      </c>
      <c r="K159" s="21">
        <f>IF(J159="","",COUNTIFS($J$2:$J$186,J159,$G$2:$G$186,"&lt;"&amp;G159)+COUNTIFS($J$2:$J$186,J159,$G$2:$G$186,G159,$A$2:$A$186,"&lt;"&amp;A159)+1)</f>
        <v/>
      </c>
      <c r="L159" s="21">
        <f>IF(J159="","",J159&amp;K159)</f>
        <v/>
      </c>
      <c r="M159" s="21">
        <f>B159&amp;"組"</f>
        <v/>
      </c>
      <c r="N159" s="21">
        <f>IF(AND(D159&lt;&gt;"",J159=""),1,0)</f>
        <v/>
      </c>
      <c r="AK159">
        <f>IF(J159="","",IF(J159="男赤",COUNTIF($Y$2:$Y$51,"&lt;"&amp;K159),IF(J159="男白",COUNTIF($Z$2:$Z$51,"&lt;"&amp;K159),IF(J159="女赤",COUNTIF($AH$2:$AH$51,"&lt;"&amp;K159),COUNTIF($AI$2:$AI$51,"&lt;"&amp;K159))))+1)</f>
        <v/>
      </c>
      <c r="AL159">
        <f>IF(AK159="","",IF(AK159=1,0,IF(J159="男赤",INDEX($Y$2:$Y$51,AK159-1),IF(J159="男白",INDEX($Z$2:$Z$51,AK159-1),IF(J159="女赤",INDEX($AH$2:$AH$51,AK159-1),INDEX($AI$2:$AI$51,AK159-1))))))</f>
        <v/>
      </c>
      <c r="AM159">
        <f>IF(AK159="","",IF(RIGHT(J159,1)="赤",K159-AL159,IF(LEFT(J159,1)="男",INDEX($W$2:$W$51,AK159),INDEX($AF$2:$AF$51,AK159))+K159-AL159))</f>
        <v/>
      </c>
      <c r="AN159">
        <f>IF(AK159="","",F159&amp;AK159&amp;"-"&amp;AM159)</f>
        <v/>
      </c>
    </row>
    <row r="160">
      <c r="A160" s="21">
        <f>ROW()-1</f>
        <v/>
      </c>
      <c r="B160" s="21">
        <f>INT((A160-1)/37)+1</f>
        <v/>
      </c>
      <c r="C160" s="21">
        <f>MOD(A160-1,37)+1</f>
        <v/>
      </c>
      <c r="D160" s="21">
        <f>INDEX(①データ入力!$B$3:$Y$39,C160,(B160-1)*5+1)&amp;""</f>
        <v/>
      </c>
      <c r="E160" s="21">
        <f>INDEX(①データ入力!$B$3:$Y$39,C160,(B160-1)*5+2)&amp;""</f>
        <v/>
      </c>
      <c r="F160" s="21">
        <f>IF(OR(E160="1",E160="１",E160="男"),"男",IF(OR(E160="2",E160="２",E160="女"),"女",""))</f>
        <v/>
      </c>
      <c r="G160" s="21">
        <f>INDEX(①データ入力!$B$3:$Y$39,C160,(B160-1)*5+3)</f>
        <v/>
      </c>
      <c r="H160" s="21">
        <f>INDEX(①データ入力!$B$3:$Y$39,C160,(B160-1)*5+4)&amp;""</f>
        <v/>
      </c>
      <c r="I160" s="21">
        <f>IF(LEFT(TRIM(H160),1)="赤","赤",IF(LEFT(TRIM(H160),1)="白","白",""))</f>
        <v/>
      </c>
      <c r="J160" s="21">
        <f>IF(AND(D160&lt;&gt;"",F160&lt;&gt;"",I160&lt;&gt;"",ISNUMBER(G160)),F160&amp;I160,"")</f>
        <v/>
      </c>
      <c r="K160" s="21">
        <f>IF(J160="","",COUNTIFS($J$2:$J$186,J160,$G$2:$G$186,"&lt;"&amp;G160)+COUNTIFS($J$2:$J$186,J160,$G$2:$G$186,G160,$A$2:$A$186,"&lt;"&amp;A160)+1)</f>
        <v/>
      </c>
      <c r="L160" s="21">
        <f>IF(J160="","",J160&amp;K160)</f>
        <v/>
      </c>
      <c r="M160" s="21">
        <f>B160&amp;"組"</f>
        <v/>
      </c>
      <c r="N160" s="21">
        <f>IF(AND(D160&lt;&gt;"",J160=""),1,0)</f>
        <v/>
      </c>
      <c r="AK160">
        <f>IF(J160="","",IF(J160="男赤",COUNTIF($Y$2:$Y$51,"&lt;"&amp;K160),IF(J160="男白",COUNTIF($Z$2:$Z$51,"&lt;"&amp;K160),IF(J160="女赤",COUNTIF($AH$2:$AH$51,"&lt;"&amp;K160),COUNTIF($AI$2:$AI$51,"&lt;"&amp;K160))))+1)</f>
        <v/>
      </c>
      <c r="AL160">
        <f>IF(AK160="","",IF(AK160=1,0,IF(J160="男赤",INDEX($Y$2:$Y$51,AK160-1),IF(J160="男白",INDEX($Z$2:$Z$51,AK160-1),IF(J160="女赤",INDEX($AH$2:$AH$51,AK160-1),INDEX($AI$2:$AI$51,AK160-1))))))</f>
        <v/>
      </c>
      <c r="AM160">
        <f>IF(AK160="","",IF(RIGHT(J160,1)="赤",K160-AL160,IF(LEFT(J160,1)="男",INDEX($W$2:$W$51,AK160),INDEX($AF$2:$AF$51,AK160))+K160-AL160))</f>
        <v/>
      </c>
      <c r="AN160">
        <f>IF(AK160="","",F160&amp;AK160&amp;"-"&amp;AM160)</f>
        <v/>
      </c>
    </row>
    <row r="161">
      <c r="A161" s="21">
        <f>ROW()-1</f>
        <v/>
      </c>
      <c r="B161" s="21">
        <f>INT((A161-1)/37)+1</f>
        <v/>
      </c>
      <c r="C161" s="21">
        <f>MOD(A161-1,37)+1</f>
        <v/>
      </c>
      <c r="D161" s="21">
        <f>INDEX(①データ入力!$B$3:$Y$39,C161,(B161-1)*5+1)&amp;""</f>
        <v/>
      </c>
      <c r="E161" s="21">
        <f>INDEX(①データ入力!$B$3:$Y$39,C161,(B161-1)*5+2)&amp;""</f>
        <v/>
      </c>
      <c r="F161" s="21">
        <f>IF(OR(E161="1",E161="１",E161="男"),"男",IF(OR(E161="2",E161="２",E161="女"),"女",""))</f>
        <v/>
      </c>
      <c r="G161" s="21">
        <f>INDEX(①データ入力!$B$3:$Y$39,C161,(B161-1)*5+3)</f>
        <v/>
      </c>
      <c r="H161" s="21">
        <f>INDEX(①データ入力!$B$3:$Y$39,C161,(B161-1)*5+4)&amp;""</f>
        <v/>
      </c>
      <c r="I161" s="21">
        <f>IF(LEFT(TRIM(H161),1)="赤","赤",IF(LEFT(TRIM(H161),1)="白","白",""))</f>
        <v/>
      </c>
      <c r="J161" s="21">
        <f>IF(AND(D161&lt;&gt;"",F161&lt;&gt;"",I161&lt;&gt;"",ISNUMBER(G161)),F161&amp;I161,"")</f>
        <v/>
      </c>
      <c r="K161" s="21">
        <f>IF(J161="","",COUNTIFS($J$2:$J$186,J161,$G$2:$G$186,"&lt;"&amp;G161)+COUNTIFS($J$2:$J$186,J161,$G$2:$G$186,G161,$A$2:$A$186,"&lt;"&amp;A161)+1)</f>
        <v/>
      </c>
      <c r="L161" s="21">
        <f>IF(J161="","",J161&amp;K161)</f>
        <v/>
      </c>
      <c r="M161" s="21">
        <f>B161&amp;"組"</f>
        <v/>
      </c>
      <c r="N161" s="21">
        <f>IF(AND(D161&lt;&gt;"",J161=""),1,0)</f>
        <v/>
      </c>
      <c r="AK161">
        <f>IF(J161="","",IF(J161="男赤",COUNTIF($Y$2:$Y$51,"&lt;"&amp;K161),IF(J161="男白",COUNTIF($Z$2:$Z$51,"&lt;"&amp;K161),IF(J161="女赤",COUNTIF($AH$2:$AH$51,"&lt;"&amp;K161),COUNTIF($AI$2:$AI$51,"&lt;"&amp;K161))))+1)</f>
        <v/>
      </c>
      <c r="AL161">
        <f>IF(AK161="","",IF(AK161=1,0,IF(J161="男赤",INDEX($Y$2:$Y$51,AK161-1),IF(J161="男白",INDEX($Z$2:$Z$51,AK161-1),IF(J161="女赤",INDEX($AH$2:$AH$51,AK161-1),INDEX($AI$2:$AI$51,AK161-1))))))</f>
        <v/>
      </c>
      <c r="AM161">
        <f>IF(AK161="","",IF(RIGHT(J161,1)="赤",K161-AL161,IF(LEFT(J161,1)="男",INDEX($W$2:$W$51,AK161),INDEX($AF$2:$AF$51,AK161))+K161-AL161))</f>
        <v/>
      </c>
      <c r="AN161">
        <f>IF(AK161="","",F161&amp;AK161&amp;"-"&amp;AM161)</f>
        <v/>
      </c>
    </row>
    <row r="162">
      <c r="A162" s="21">
        <f>ROW()-1</f>
        <v/>
      </c>
      <c r="B162" s="21">
        <f>INT((A162-1)/37)+1</f>
        <v/>
      </c>
      <c r="C162" s="21">
        <f>MOD(A162-1,37)+1</f>
        <v/>
      </c>
      <c r="D162" s="21">
        <f>INDEX(①データ入力!$B$3:$Y$39,C162,(B162-1)*5+1)&amp;""</f>
        <v/>
      </c>
      <c r="E162" s="21">
        <f>INDEX(①データ入力!$B$3:$Y$39,C162,(B162-1)*5+2)&amp;""</f>
        <v/>
      </c>
      <c r="F162" s="21">
        <f>IF(OR(E162="1",E162="１",E162="男"),"男",IF(OR(E162="2",E162="２",E162="女"),"女",""))</f>
        <v/>
      </c>
      <c r="G162" s="21">
        <f>INDEX(①データ入力!$B$3:$Y$39,C162,(B162-1)*5+3)</f>
        <v/>
      </c>
      <c r="H162" s="21">
        <f>INDEX(①データ入力!$B$3:$Y$39,C162,(B162-1)*5+4)&amp;""</f>
        <v/>
      </c>
      <c r="I162" s="21">
        <f>IF(LEFT(TRIM(H162),1)="赤","赤",IF(LEFT(TRIM(H162),1)="白","白",""))</f>
        <v/>
      </c>
      <c r="J162" s="21">
        <f>IF(AND(D162&lt;&gt;"",F162&lt;&gt;"",I162&lt;&gt;"",ISNUMBER(G162)),F162&amp;I162,"")</f>
        <v/>
      </c>
      <c r="K162" s="21">
        <f>IF(J162="","",COUNTIFS($J$2:$J$186,J162,$G$2:$G$186,"&lt;"&amp;G162)+COUNTIFS($J$2:$J$186,J162,$G$2:$G$186,G162,$A$2:$A$186,"&lt;"&amp;A162)+1)</f>
        <v/>
      </c>
      <c r="L162" s="21">
        <f>IF(J162="","",J162&amp;K162)</f>
        <v/>
      </c>
      <c r="M162" s="21">
        <f>B162&amp;"組"</f>
        <v/>
      </c>
      <c r="N162" s="21">
        <f>IF(AND(D162&lt;&gt;"",J162=""),1,0)</f>
        <v/>
      </c>
      <c r="AK162">
        <f>IF(J162="","",IF(J162="男赤",COUNTIF($Y$2:$Y$51,"&lt;"&amp;K162),IF(J162="男白",COUNTIF($Z$2:$Z$51,"&lt;"&amp;K162),IF(J162="女赤",COUNTIF($AH$2:$AH$51,"&lt;"&amp;K162),COUNTIF($AI$2:$AI$51,"&lt;"&amp;K162))))+1)</f>
        <v/>
      </c>
      <c r="AL162">
        <f>IF(AK162="","",IF(AK162=1,0,IF(J162="男赤",INDEX($Y$2:$Y$51,AK162-1),IF(J162="男白",INDEX($Z$2:$Z$51,AK162-1),IF(J162="女赤",INDEX($AH$2:$AH$51,AK162-1),INDEX($AI$2:$AI$51,AK162-1))))))</f>
        <v/>
      </c>
      <c r="AM162">
        <f>IF(AK162="","",IF(RIGHT(J162,1)="赤",K162-AL162,IF(LEFT(J162,1)="男",INDEX($W$2:$W$51,AK162),INDEX($AF$2:$AF$51,AK162))+K162-AL162))</f>
        <v/>
      </c>
      <c r="AN162">
        <f>IF(AK162="","",F162&amp;AK162&amp;"-"&amp;AM162)</f>
        <v/>
      </c>
    </row>
    <row r="163">
      <c r="A163" s="21">
        <f>ROW()-1</f>
        <v/>
      </c>
      <c r="B163" s="21">
        <f>INT((A163-1)/37)+1</f>
        <v/>
      </c>
      <c r="C163" s="21">
        <f>MOD(A163-1,37)+1</f>
        <v/>
      </c>
      <c r="D163" s="21">
        <f>INDEX(①データ入力!$B$3:$Y$39,C163,(B163-1)*5+1)&amp;""</f>
        <v/>
      </c>
      <c r="E163" s="21">
        <f>INDEX(①データ入力!$B$3:$Y$39,C163,(B163-1)*5+2)&amp;""</f>
        <v/>
      </c>
      <c r="F163" s="21">
        <f>IF(OR(E163="1",E163="１",E163="男"),"男",IF(OR(E163="2",E163="２",E163="女"),"女",""))</f>
        <v/>
      </c>
      <c r="G163" s="21">
        <f>INDEX(①データ入力!$B$3:$Y$39,C163,(B163-1)*5+3)</f>
        <v/>
      </c>
      <c r="H163" s="21">
        <f>INDEX(①データ入力!$B$3:$Y$39,C163,(B163-1)*5+4)&amp;""</f>
        <v/>
      </c>
      <c r="I163" s="21">
        <f>IF(LEFT(TRIM(H163),1)="赤","赤",IF(LEFT(TRIM(H163),1)="白","白",""))</f>
        <v/>
      </c>
      <c r="J163" s="21">
        <f>IF(AND(D163&lt;&gt;"",F163&lt;&gt;"",I163&lt;&gt;"",ISNUMBER(G163)),F163&amp;I163,"")</f>
        <v/>
      </c>
      <c r="K163" s="21">
        <f>IF(J163="","",COUNTIFS($J$2:$J$186,J163,$G$2:$G$186,"&lt;"&amp;G163)+COUNTIFS($J$2:$J$186,J163,$G$2:$G$186,G163,$A$2:$A$186,"&lt;"&amp;A163)+1)</f>
        <v/>
      </c>
      <c r="L163" s="21">
        <f>IF(J163="","",J163&amp;K163)</f>
        <v/>
      </c>
      <c r="M163" s="21">
        <f>B163&amp;"組"</f>
        <v/>
      </c>
      <c r="N163" s="21">
        <f>IF(AND(D163&lt;&gt;"",J163=""),1,0)</f>
        <v/>
      </c>
      <c r="AK163">
        <f>IF(J163="","",IF(J163="男赤",COUNTIF($Y$2:$Y$51,"&lt;"&amp;K163),IF(J163="男白",COUNTIF($Z$2:$Z$51,"&lt;"&amp;K163),IF(J163="女赤",COUNTIF($AH$2:$AH$51,"&lt;"&amp;K163),COUNTIF($AI$2:$AI$51,"&lt;"&amp;K163))))+1)</f>
        <v/>
      </c>
      <c r="AL163">
        <f>IF(AK163="","",IF(AK163=1,0,IF(J163="男赤",INDEX($Y$2:$Y$51,AK163-1),IF(J163="男白",INDEX($Z$2:$Z$51,AK163-1),IF(J163="女赤",INDEX($AH$2:$AH$51,AK163-1),INDEX($AI$2:$AI$51,AK163-1))))))</f>
        <v/>
      </c>
      <c r="AM163">
        <f>IF(AK163="","",IF(RIGHT(J163,1)="赤",K163-AL163,IF(LEFT(J163,1)="男",INDEX($W$2:$W$51,AK163),INDEX($AF$2:$AF$51,AK163))+K163-AL163))</f>
        <v/>
      </c>
      <c r="AN163">
        <f>IF(AK163="","",F163&amp;AK163&amp;"-"&amp;AM163)</f>
        <v/>
      </c>
    </row>
    <row r="164">
      <c r="A164" s="21">
        <f>ROW()-1</f>
        <v/>
      </c>
      <c r="B164" s="21">
        <f>INT((A164-1)/37)+1</f>
        <v/>
      </c>
      <c r="C164" s="21">
        <f>MOD(A164-1,37)+1</f>
        <v/>
      </c>
      <c r="D164" s="21">
        <f>INDEX(①データ入力!$B$3:$Y$39,C164,(B164-1)*5+1)&amp;""</f>
        <v/>
      </c>
      <c r="E164" s="21">
        <f>INDEX(①データ入力!$B$3:$Y$39,C164,(B164-1)*5+2)&amp;""</f>
        <v/>
      </c>
      <c r="F164" s="21">
        <f>IF(OR(E164="1",E164="１",E164="男"),"男",IF(OR(E164="2",E164="２",E164="女"),"女",""))</f>
        <v/>
      </c>
      <c r="G164" s="21">
        <f>INDEX(①データ入力!$B$3:$Y$39,C164,(B164-1)*5+3)</f>
        <v/>
      </c>
      <c r="H164" s="21">
        <f>INDEX(①データ入力!$B$3:$Y$39,C164,(B164-1)*5+4)&amp;""</f>
        <v/>
      </c>
      <c r="I164" s="21">
        <f>IF(LEFT(TRIM(H164),1)="赤","赤",IF(LEFT(TRIM(H164),1)="白","白",""))</f>
        <v/>
      </c>
      <c r="J164" s="21">
        <f>IF(AND(D164&lt;&gt;"",F164&lt;&gt;"",I164&lt;&gt;"",ISNUMBER(G164)),F164&amp;I164,"")</f>
        <v/>
      </c>
      <c r="K164" s="21">
        <f>IF(J164="","",COUNTIFS($J$2:$J$186,J164,$G$2:$G$186,"&lt;"&amp;G164)+COUNTIFS($J$2:$J$186,J164,$G$2:$G$186,G164,$A$2:$A$186,"&lt;"&amp;A164)+1)</f>
        <v/>
      </c>
      <c r="L164" s="21">
        <f>IF(J164="","",J164&amp;K164)</f>
        <v/>
      </c>
      <c r="M164" s="21">
        <f>B164&amp;"組"</f>
        <v/>
      </c>
      <c r="N164" s="21">
        <f>IF(AND(D164&lt;&gt;"",J164=""),1,0)</f>
        <v/>
      </c>
      <c r="AK164">
        <f>IF(J164="","",IF(J164="男赤",COUNTIF($Y$2:$Y$51,"&lt;"&amp;K164),IF(J164="男白",COUNTIF($Z$2:$Z$51,"&lt;"&amp;K164),IF(J164="女赤",COUNTIF($AH$2:$AH$51,"&lt;"&amp;K164),COUNTIF($AI$2:$AI$51,"&lt;"&amp;K164))))+1)</f>
        <v/>
      </c>
      <c r="AL164">
        <f>IF(AK164="","",IF(AK164=1,0,IF(J164="男赤",INDEX($Y$2:$Y$51,AK164-1),IF(J164="男白",INDEX($Z$2:$Z$51,AK164-1),IF(J164="女赤",INDEX($AH$2:$AH$51,AK164-1),INDEX($AI$2:$AI$51,AK164-1))))))</f>
        <v/>
      </c>
      <c r="AM164">
        <f>IF(AK164="","",IF(RIGHT(J164,1)="赤",K164-AL164,IF(LEFT(J164,1)="男",INDEX($W$2:$W$51,AK164),INDEX($AF$2:$AF$51,AK164))+K164-AL164))</f>
        <v/>
      </c>
      <c r="AN164">
        <f>IF(AK164="","",F164&amp;AK164&amp;"-"&amp;AM164)</f>
        <v/>
      </c>
    </row>
    <row r="165">
      <c r="A165" s="21">
        <f>ROW()-1</f>
        <v/>
      </c>
      <c r="B165" s="21">
        <f>INT((A165-1)/37)+1</f>
        <v/>
      </c>
      <c r="C165" s="21">
        <f>MOD(A165-1,37)+1</f>
        <v/>
      </c>
      <c r="D165" s="21">
        <f>INDEX(①データ入力!$B$3:$Y$39,C165,(B165-1)*5+1)&amp;""</f>
        <v/>
      </c>
      <c r="E165" s="21">
        <f>INDEX(①データ入力!$B$3:$Y$39,C165,(B165-1)*5+2)&amp;""</f>
        <v/>
      </c>
      <c r="F165" s="21">
        <f>IF(OR(E165="1",E165="１",E165="男"),"男",IF(OR(E165="2",E165="２",E165="女"),"女",""))</f>
        <v/>
      </c>
      <c r="G165" s="21">
        <f>INDEX(①データ入力!$B$3:$Y$39,C165,(B165-1)*5+3)</f>
        <v/>
      </c>
      <c r="H165" s="21">
        <f>INDEX(①データ入力!$B$3:$Y$39,C165,(B165-1)*5+4)&amp;""</f>
        <v/>
      </c>
      <c r="I165" s="21">
        <f>IF(LEFT(TRIM(H165),1)="赤","赤",IF(LEFT(TRIM(H165),1)="白","白",""))</f>
        <v/>
      </c>
      <c r="J165" s="21">
        <f>IF(AND(D165&lt;&gt;"",F165&lt;&gt;"",I165&lt;&gt;"",ISNUMBER(G165)),F165&amp;I165,"")</f>
        <v/>
      </c>
      <c r="K165" s="21">
        <f>IF(J165="","",COUNTIFS($J$2:$J$186,J165,$G$2:$G$186,"&lt;"&amp;G165)+COUNTIFS($J$2:$J$186,J165,$G$2:$G$186,G165,$A$2:$A$186,"&lt;"&amp;A165)+1)</f>
        <v/>
      </c>
      <c r="L165" s="21">
        <f>IF(J165="","",J165&amp;K165)</f>
        <v/>
      </c>
      <c r="M165" s="21">
        <f>B165&amp;"組"</f>
        <v/>
      </c>
      <c r="N165" s="21">
        <f>IF(AND(D165&lt;&gt;"",J165=""),1,0)</f>
        <v/>
      </c>
      <c r="AK165">
        <f>IF(J165="","",IF(J165="男赤",COUNTIF($Y$2:$Y$51,"&lt;"&amp;K165),IF(J165="男白",COUNTIF($Z$2:$Z$51,"&lt;"&amp;K165),IF(J165="女赤",COUNTIF($AH$2:$AH$51,"&lt;"&amp;K165),COUNTIF($AI$2:$AI$51,"&lt;"&amp;K165))))+1)</f>
        <v/>
      </c>
      <c r="AL165">
        <f>IF(AK165="","",IF(AK165=1,0,IF(J165="男赤",INDEX($Y$2:$Y$51,AK165-1),IF(J165="男白",INDEX($Z$2:$Z$51,AK165-1),IF(J165="女赤",INDEX($AH$2:$AH$51,AK165-1),INDEX($AI$2:$AI$51,AK165-1))))))</f>
        <v/>
      </c>
      <c r="AM165">
        <f>IF(AK165="","",IF(RIGHT(J165,1)="赤",K165-AL165,IF(LEFT(J165,1)="男",INDEX($W$2:$W$51,AK165),INDEX($AF$2:$AF$51,AK165))+K165-AL165))</f>
        <v/>
      </c>
      <c r="AN165">
        <f>IF(AK165="","",F165&amp;AK165&amp;"-"&amp;AM165)</f>
        <v/>
      </c>
    </row>
    <row r="166">
      <c r="A166" s="21">
        <f>ROW()-1</f>
        <v/>
      </c>
      <c r="B166" s="21">
        <f>INT((A166-1)/37)+1</f>
        <v/>
      </c>
      <c r="C166" s="21">
        <f>MOD(A166-1,37)+1</f>
        <v/>
      </c>
      <c r="D166" s="21">
        <f>INDEX(①データ入力!$B$3:$Y$39,C166,(B166-1)*5+1)&amp;""</f>
        <v/>
      </c>
      <c r="E166" s="21">
        <f>INDEX(①データ入力!$B$3:$Y$39,C166,(B166-1)*5+2)&amp;""</f>
        <v/>
      </c>
      <c r="F166" s="21">
        <f>IF(OR(E166="1",E166="１",E166="男"),"男",IF(OR(E166="2",E166="２",E166="女"),"女",""))</f>
        <v/>
      </c>
      <c r="G166" s="21">
        <f>INDEX(①データ入力!$B$3:$Y$39,C166,(B166-1)*5+3)</f>
        <v/>
      </c>
      <c r="H166" s="21">
        <f>INDEX(①データ入力!$B$3:$Y$39,C166,(B166-1)*5+4)&amp;""</f>
        <v/>
      </c>
      <c r="I166" s="21">
        <f>IF(LEFT(TRIM(H166),1)="赤","赤",IF(LEFT(TRIM(H166),1)="白","白",""))</f>
        <v/>
      </c>
      <c r="J166" s="21">
        <f>IF(AND(D166&lt;&gt;"",F166&lt;&gt;"",I166&lt;&gt;"",ISNUMBER(G166)),F166&amp;I166,"")</f>
        <v/>
      </c>
      <c r="K166" s="21">
        <f>IF(J166="","",COUNTIFS($J$2:$J$186,J166,$G$2:$G$186,"&lt;"&amp;G166)+COUNTIFS($J$2:$J$186,J166,$G$2:$G$186,G166,$A$2:$A$186,"&lt;"&amp;A166)+1)</f>
        <v/>
      </c>
      <c r="L166" s="21">
        <f>IF(J166="","",J166&amp;K166)</f>
        <v/>
      </c>
      <c r="M166" s="21">
        <f>B166&amp;"組"</f>
        <v/>
      </c>
      <c r="N166" s="21">
        <f>IF(AND(D166&lt;&gt;"",J166=""),1,0)</f>
        <v/>
      </c>
      <c r="AK166">
        <f>IF(J166="","",IF(J166="男赤",COUNTIF($Y$2:$Y$51,"&lt;"&amp;K166),IF(J166="男白",COUNTIF($Z$2:$Z$51,"&lt;"&amp;K166),IF(J166="女赤",COUNTIF($AH$2:$AH$51,"&lt;"&amp;K166),COUNTIF($AI$2:$AI$51,"&lt;"&amp;K166))))+1)</f>
        <v/>
      </c>
      <c r="AL166">
        <f>IF(AK166="","",IF(AK166=1,0,IF(J166="男赤",INDEX($Y$2:$Y$51,AK166-1),IF(J166="男白",INDEX($Z$2:$Z$51,AK166-1),IF(J166="女赤",INDEX($AH$2:$AH$51,AK166-1),INDEX($AI$2:$AI$51,AK166-1))))))</f>
        <v/>
      </c>
      <c r="AM166">
        <f>IF(AK166="","",IF(RIGHT(J166,1)="赤",K166-AL166,IF(LEFT(J166,1)="男",INDEX($W$2:$W$51,AK166),INDEX($AF$2:$AF$51,AK166))+K166-AL166))</f>
        <v/>
      </c>
      <c r="AN166">
        <f>IF(AK166="","",F166&amp;AK166&amp;"-"&amp;AM166)</f>
        <v/>
      </c>
    </row>
    <row r="167">
      <c r="A167" s="21">
        <f>ROW()-1</f>
        <v/>
      </c>
      <c r="B167" s="21">
        <f>INT((A167-1)/37)+1</f>
        <v/>
      </c>
      <c r="C167" s="21">
        <f>MOD(A167-1,37)+1</f>
        <v/>
      </c>
      <c r="D167" s="21">
        <f>INDEX(①データ入力!$B$3:$Y$39,C167,(B167-1)*5+1)&amp;""</f>
        <v/>
      </c>
      <c r="E167" s="21">
        <f>INDEX(①データ入力!$B$3:$Y$39,C167,(B167-1)*5+2)&amp;""</f>
        <v/>
      </c>
      <c r="F167" s="21">
        <f>IF(OR(E167="1",E167="１",E167="男"),"男",IF(OR(E167="2",E167="２",E167="女"),"女",""))</f>
        <v/>
      </c>
      <c r="G167" s="21">
        <f>INDEX(①データ入力!$B$3:$Y$39,C167,(B167-1)*5+3)</f>
        <v/>
      </c>
      <c r="H167" s="21">
        <f>INDEX(①データ入力!$B$3:$Y$39,C167,(B167-1)*5+4)&amp;""</f>
        <v/>
      </c>
      <c r="I167" s="21">
        <f>IF(LEFT(TRIM(H167),1)="赤","赤",IF(LEFT(TRIM(H167),1)="白","白",""))</f>
        <v/>
      </c>
      <c r="J167" s="21">
        <f>IF(AND(D167&lt;&gt;"",F167&lt;&gt;"",I167&lt;&gt;"",ISNUMBER(G167)),F167&amp;I167,"")</f>
        <v/>
      </c>
      <c r="K167" s="21">
        <f>IF(J167="","",COUNTIFS($J$2:$J$186,J167,$G$2:$G$186,"&lt;"&amp;G167)+COUNTIFS($J$2:$J$186,J167,$G$2:$G$186,G167,$A$2:$A$186,"&lt;"&amp;A167)+1)</f>
        <v/>
      </c>
      <c r="L167" s="21">
        <f>IF(J167="","",J167&amp;K167)</f>
        <v/>
      </c>
      <c r="M167" s="21">
        <f>B167&amp;"組"</f>
        <v/>
      </c>
      <c r="N167" s="21">
        <f>IF(AND(D167&lt;&gt;"",J167=""),1,0)</f>
        <v/>
      </c>
      <c r="AK167">
        <f>IF(J167="","",IF(J167="男赤",COUNTIF($Y$2:$Y$51,"&lt;"&amp;K167),IF(J167="男白",COUNTIF($Z$2:$Z$51,"&lt;"&amp;K167),IF(J167="女赤",COUNTIF($AH$2:$AH$51,"&lt;"&amp;K167),COUNTIF($AI$2:$AI$51,"&lt;"&amp;K167))))+1)</f>
        <v/>
      </c>
      <c r="AL167">
        <f>IF(AK167="","",IF(AK167=1,0,IF(J167="男赤",INDEX($Y$2:$Y$51,AK167-1),IF(J167="男白",INDEX($Z$2:$Z$51,AK167-1),IF(J167="女赤",INDEX($AH$2:$AH$51,AK167-1),INDEX($AI$2:$AI$51,AK167-1))))))</f>
        <v/>
      </c>
      <c r="AM167">
        <f>IF(AK167="","",IF(RIGHT(J167,1)="赤",K167-AL167,IF(LEFT(J167,1)="男",INDEX($W$2:$W$51,AK167),INDEX($AF$2:$AF$51,AK167))+K167-AL167))</f>
        <v/>
      </c>
      <c r="AN167">
        <f>IF(AK167="","",F167&amp;AK167&amp;"-"&amp;AM167)</f>
        <v/>
      </c>
    </row>
    <row r="168">
      <c r="A168" s="21">
        <f>ROW()-1</f>
        <v/>
      </c>
      <c r="B168" s="21">
        <f>INT((A168-1)/37)+1</f>
        <v/>
      </c>
      <c r="C168" s="21">
        <f>MOD(A168-1,37)+1</f>
        <v/>
      </c>
      <c r="D168" s="21">
        <f>INDEX(①データ入力!$B$3:$Y$39,C168,(B168-1)*5+1)&amp;""</f>
        <v/>
      </c>
      <c r="E168" s="21">
        <f>INDEX(①データ入力!$B$3:$Y$39,C168,(B168-1)*5+2)&amp;""</f>
        <v/>
      </c>
      <c r="F168" s="21">
        <f>IF(OR(E168="1",E168="１",E168="男"),"男",IF(OR(E168="2",E168="２",E168="女"),"女",""))</f>
        <v/>
      </c>
      <c r="G168" s="21">
        <f>INDEX(①データ入力!$B$3:$Y$39,C168,(B168-1)*5+3)</f>
        <v/>
      </c>
      <c r="H168" s="21">
        <f>INDEX(①データ入力!$B$3:$Y$39,C168,(B168-1)*5+4)&amp;""</f>
        <v/>
      </c>
      <c r="I168" s="21">
        <f>IF(LEFT(TRIM(H168),1)="赤","赤",IF(LEFT(TRIM(H168),1)="白","白",""))</f>
        <v/>
      </c>
      <c r="J168" s="21">
        <f>IF(AND(D168&lt;&gt;"",F168&lt;&gt;"",I168&lt;&gt;"",ISNUMBER(G168)),F168&amp;I168,"")</f>
        <v/>
      </c>
      <c r="K168" s="21">
        <f>IF(J168="","",COUNTIFS($J$2:$J$186,J168,$G$2:$G$186,"&lt;"&amp;G168)+COUNTIFS($J$2:$J$186,J168,$G$2:$G$186,G168,$A$2:$A$186,"&lt;"&amp;A168)+1)</f>
        <v/>
      </c>
      <c r="L168" s="21">
        <f>IF(J168="","",J168&amp;K168)</f>
        <v/>
      </c>
      <c r="M168" s="21">
        <f>B168&amp;"組"</f>
        <v/>
      </c>
      <c r="N168" s="21">
        <f>IF(AND(D168&lt;&gt;"",J168=""),1,0)</f>
        <v/>
      </c>
      <c r="AK168">
        <f>IF(J168="","",IF(J168="男赤",COUNTIF($Y$2:$Y$51,"&lt;"&amp;K168),IF(J168="男白",COUNTIF($Z$2:$Z$51,"&lt;"&amp;K168),IF(J168="女赤",COUNTIF($AH$2:$AH$51,"&lt;"&amp;K168),COUNTIF($AI$2:$AI$51,"&lt;"&amp;K168))))+1)</f>
        <v/>
      </c>
      <c r="AL168">
        <f>IF(AK168="","",IF(AK168=1,0,IF(J168="男赤",INDEX($Y$2:$Y$51,AK168-1),IF(J168="男白",INDEX($Z$2:$Z$51,AK168-1),IF(J168="女赤",INDEX($AH$2:$AH$51,AK168-1),INDEX($AI$2:$AI$51,AK168-1))))))</f>
        <v/>
      </c>
      <c r="AM168">
        <f>IF(AK168="","",IF(RIGHT(J168,1)="赤",K168-AL168,IF(LEFT(J168,1)="男",INDEX($W$2:$W$51,AK168),INDEX($AF$2:$AF$51,AK168))+K168-AL168))</f>
        <v/>
      </c>
      <c r="AN168">
        <f>IF(AK168="","",F168&amp;AK168&amp;"-"&amp;AM168)</f>
        <v/>
      </c>
    </row>
    <row r="169">
      <c r="A169" s="21">
        <f>ROW()-1</f>
        <v/>
      </c>
      <c r="B169" s="21">
        <f>INT((A169-1)/37)+1</f>
        <v/>
      </c>
      <c r="C169" s="21">
        <f>MOD(A169-1,37)+1</f>
        <v/>
      </c>
      <c r="D169" s="21">
        <f>INDEX(①データ入力!$B$3:$Y$39,C169,(B169-1)*5+1)&amp;""</f>
        <v/>
      </c>
      <c r="E169" s="21">
        <f>INDEX(①データ入力!$B$3:$Y$39,C169,(B169-1)*5+2)&amp;""</f>
        <v/>
      </c>
      <c r="F169" s="21">
        <f>IF(OR(E169="1",E169="１",E169="男"),"男",IF(OR(E169="2",E169="２",E169="女"),"女",""))</f>
        <v/>
      </c>
      <c r="G169" s="21">
        <f>INDEX(①データ入力!$B$3:$Y$39,C169,(B169-1)*5+3)</f>
        <v/>
      </c>
      <c r="H169" s="21">
        <f>INDEX(①データ入力!$B$3:$Y$39,C169,(B169-1)*5+4)&amp;""</f>
        <v/>
      </c>
      <c r="I169" s="21">
        <f>IF(LEFT(TRIM(H169),1)="赤","赤",IF(LEFT(TRIM(H169),1)="白","白",""))</f>
        <v/>
      </c>
      <c r="J169" s="21">
        <f>IF(AND(D169&lt;&gt;"",F169&lt;&gt;"",I169&lt;&gt;"",ISNUMBER(G169)),F169&amp;I169,"")</f>
        <v/>
      </c>
      <c r="K169" s="21">
        <f>IF(J169="","",COUNTIFS($J$2:$J$186,J169,$G$2:$G$186,"&lt;"&amp;G169)+COUNTIFS($J$2:$J$186,J169,$G$2:$G$186,G169,$A$2:$A$186,"&lt;"&amp;A169)+1)</f>
        <v/>
      </c>
      <c r="L169" s="21">
        <f>IF(J169="","",J169&amp;K169)</f>
        <v/>
      </c>
      <c r="M169" s="21">
        <f>B169&amp;"組"</f>
        <v/>
      </c>
      <c r="N169" s="21">
        <f>IF(AND(D169&lt;&gt;"",J169=""),1,0)</f>
        <v/>
      </c>
      <c r="AK169">
        <f>IF(J169="","",IF(J169="男赤",COUNTIF($Y$2:$Y$51,"&lt;"&amp;K169),IF(J169="男白",COUNTIF($Z$2:$Z$51,"&lt;"&amp;K169),IF(J169="女赤",COUNTIF($AH$2:$AH$51,"&lt;"&amp;K169),COUNTIF($AI$2:$AI$51,"&lt;"&amp;K169))))+1)</f>
        <v/>
      </c>
      <c r="AL169">
        <f>IF(AK169="","",IF(AK169=1,0,IF(J169="男赤",INDEX($Y$2:$Y$51,AK169-1),IF(J169="男白",INDEX($Z$2:$Z$51,AK169-1),IF(J169="女赤",INDEX($AH$2:$AH$51,AK169-1),INDEX($AI$2:$AI$51,AK169-1))))))</f>
        <v/>
      </c>
      <c r="AM169">
        <f>IF(AK169="","",IF(RIGHT(J169,1)="赤",K169-AL169,IF(LEFT(J169,1)="男",INDEX($W$2:$W$51,AK169),INDEX($AF$2:$AF$51,AK169))+K169-AL169))</f>
        <v/>
      </c>
      <c r="AN169">
        <f>IF(AK169="","",F169&amp;AK169&amp;"-"&amp;AM169)</f>
        <v/>
      </c>
    </row>
    <row r="170">
      <c r="A170" s="21">
        <f>ROW()-1</f>
        <v/>
      </c>
      <c r="B170" s="21">
        <f>INT((A170-1)/37)+1</f>
        <v/>
      </c>
      <c r="C170" s="21">
        <f>MOD(A170-1,37)+1</f>
        <v/>
      </c>
      <c r="D170" s="21">
        <f>INDEX(①データ入力!$B$3:$Y$39,C170,(B170-1)*5+1)&amp;""</f>
        <v/>
      </c>
      <c r="E170" s="21">
        <f>INDEX(①データ入力!$B$3:$Y$39,C170,(B170-1)*5+2)&amp;""</f>
        <v/>
      </c>
      <c r="F170" s="21">
        <f>IF(OR(E170="1",E170="１",E170="男"),"男",IF(OR(E170="2",E170="２",E170="女"),"女",""))</f>
        <v/>
      </c>
      <c r="G170" s="21">
        <f>INDEX(①データ入力!$B$3:$Y$39,C170,(B170-1)*5+3)</f>
        <v/>
      </c>
      <c r="H170" s="21">
        <f>INDEX(①データ入力!$B$3:$Y$39,C170,(B170-1)*5+4)&amp;""</f>
        <v/>
      </c>
      <c r="I170" s="21">
        <f>IF(LEFT(TRIM(H170),1)="赤","赤",IF(LEFT(TRIM(H170),1)="白","白",""))</f>
        <v/>
      </c>
      <c r="J170" s="21">
        <f>IF(AND(D170&lt;&gt;"",F170&lt;&gt;"",I170&lt;&gt;"",ISNUMBER(G170)),F170&amp;I170,"")</f>
        <v/>
      </c>
      <c r="K170" s="21">
        <f>IF(J170="","",COUNTIFS($J$2:$J$186,J170,$G$2:$G$186,"&lt;"&amp;G170)+COUNTIFS($J$2:$J$186,J170,$G$2:$G$186,G170,$A$2:$A$186,"&lt;"&amp;A170)+1)</f>
        <v/>
      </c>
      <c r="L170" s="21">
        <f>IF(J170="","",J170&amp;K170)</f>
        <v/>
      </c>
      <c r="M170" s="21">
        <f>B170&amp;"組"</f>
        <v/>
      </c>
      <c r="N170" s="21">
        <f>IF(AND(D170&lt;&gt;"",J170=""),1,0)</f>
        <v/>
      </c>
      <c r="AK170">
        <f>IF(J170="","",IF(J170="男赤",COUNTIF($Y$2:$Y$51,"&lt;"&amp;K170),IF(J170="男白",COUNTIF($Z$2:$Z$51,"&lt;"&amp;K170),IF(J170="女赤",COUNTIF($AH$2:$AH$51,"&lt;"&amp;K170),COUNTIF($AI$2:$AI$51,"&lt;"&amp;K170))))+1)</f>
        <v/>
      </c>
      <c r="AL170">
        <f>IF(AK170="","",IF(AK170=1,0,IF(J170="男赤",INDEX($Y$2:$Y$51,AK170-1),IF(J170="男白",INDEX($Z$2:$Z$51,AK170-1),IF(J170="女赤",INDEX($AH$2:$AH$51,AK170-1),INDEX($AI$2:$AI$51,AK170-1))))))</f>
        <v/>
      </c>
      <c r="AM170">
        <f>IF(AK170="","",IF(RIGHT(J170,1)="赤",K170-AL170,IF(LEFT(J170,1)="男",INDEX($W$2:$W$51,AK170),INDEX($AF$2:$AF$51,AK170))+K170-AL170))</f>
        <v/>
      </c>
      <c r="AN170">
        <f>IF(AK170="","",F170&amp;AK170&amp;"-"&amp;AM170)</f>
        <v/>
      </c>
    </row>
    <row r="171">
      <c r="A171" s="21">
        <f>ROW()-1</f>
        <v/>
      </c>
      <c r="B171" s="21">
        <f>INT((A171-1)/37)+1</f>
        <v/>
      </c>
      <c r="C171" s="21">
        <f>MOD(A171-1,37)+1</f>
        <v/>
      </c>
      <c r="D171" s="21">
        <f>INDEX(①データ入力!$B$3:$Y$39,C171,(B171-1)*5+1)&amp;""</f>
        <v/>
      </c>
      <c r="E171" s="21">
        <f>INDEX(①データ入力!$B$3:$Y$39,C171,(B171-1)*5+2)&amp;""</f>
        <v/>
      </c>
      <c r="F171" s="21">
        <f>IF(OR(E171="1",E171="１",E171="男"),"男",IF(OR(E171="2",E171="２",E171="女"),"女",""))</f>
        <v/>
      </c>
      <c r="G171" s="21">
        <f>INDEX(①データ入力!$B$3:$Y$39,C171,(B171-1)*5+3)</f>
        <v/>
      </c>
      <c r="H171" s="21">
        <f>INDEX(①データ入力!$B$3:$Y$39,C171,(B171-1)*5+4)&amp;""</f>
        <v/>
      </c>
      <c r="I171" s="21">
        <f>IF(LEFT(TRIM(H171),1)="赤","赤",IF(LEFT(TRIM(H171),1)="白","白",""))</f>
        <v/>
      </c>
      <c r="J171" s="21">
        <f>IF(AND(D171&lt;&gt;"",F171&lt;&gt;"",I171&lt;&gt;"",ISNUMBER(G171)),F171&amp;I171,"")</f>
        <v/>
      </c>
      <c r="K171" s="21">
        <f>IF(J171="","",COUNTIFS($J$2:$J$186,J171,$G$2:$G$186,"&lt;"&amp;G171)+COUNTIFS($J$2:$J$186,J171,$G$2:$G$186,G171,$A$2:$A$186,"&lt;"&amp;A171)+1)</f>
        <v/>
      </c>
      <c r="L171" s="21">
        <f>IF(J171="","",J171&amp;K171)</f>
        <v/>
      </c>
      <c r="M171" s="21">
        <f>B171&amp;"組"</f>
        <v/>
      </c>
      <c r="N171" s="21">
        <f>IF(AND(D171&lt;&gt;"",J171=""),1,0)</f>
        <v/>
      </c>
      <c r="AK171">
        <f>IF(J171="","",IF(J171="男赤",COUNTIF($Y$2:$Y$51,"&lt;"&amp;K171),IF(J171="男白",COUNTIF($Z$2:$Z$51,"&lt;"&amp;K171),IF(J171="女赤",COUNTIF($AH$2:$AH$51,"&lt;"&amp;K171),COUNTIF($AI$2:$AI$51,"&lt;"&amp;K171))))+1)</f>
        <v/>
      </c>
      <c r="AL171">
        <f>IF(AK171="","",IF(AK171=1,0,IF(J171="男赤",INDEX($Y$2:$Y$51,AK171-1),IF(J171="男白",INDEX($Z$2:$Z$51,AK171-1),IF(J171="女赤",INDEX($AH$2:$AH$51,AK171-1),INDEX($AI$2:$AI$51,AK171-1))))))</f>
        <v/>
      </c>
      <c r="AM171">
        <f>IF(AK171="","",IF(RIGHT(J171,1)="赤",K171-AL171,IF(LEFT(J171,1)="男",INDEX($W$2:$W$51,AK171),INDEX($AF$2:$AF$51,AK171))+K171-AL171))</f>
        <v/>
      </c>
      <c r="AN171">
        <f>IF(AK171="","",F171&amp;AK171&amp;"-"&amp;AM171)</f>
        <v/>
      </c>
    </row>
    <row r="172">
      <c r="A172" s="21">
        <f>ROW()-1</f>
        <v/>
      </c>
      <c r="B172" s="21">
        <f>INT((A172-1)/37)+1</f>
        <v/>
      </c>
      <c r="C172" s="21">
        <f>MOD(A172-1,37)+1</f>
        <v/>
      </c>
      <c r="D172" s="21">
        <f>INDEX(①データ入力!$B$3:$Y$39,C172,(B172-1)*5+1)&amp;""</f>
        <v/>
      </c>
      <c r="E172" s="21">
        <f>INDEX(①データ入力!$B$3:$Y$39,C172,(B172-1)*5+2)&amp;""</f>
        <v/>
      </c>
      <c r="F172" s="21">
        <f>IF(OR(E172="1",E172="１",E172="男"),"男",IF(OR(E172="2",E172="２",E172="女"),"女",""))</f>
        <v/>
      </c>
      <c r="G172" s="21">
        <f>INDEX(①データ入力!$B$3:$Y$39,C172,(B172-1)*5+3)</f>
        <v/>
      </c>
      <c r="H172" s="21">
        <f>INDEX(①データ入力!$B$3:$Y$39,C172,(B172-1)*5+4)&amp;""</f>
        <v/>
      </c>
      <c r="I172" s="21">
        <f>IF(LEFT(TRIM(H172),1)="赤","赤",IF(LEFT(TRIM(H172),1)="白","白",""))</f>
        <v/>
      </c>
      <c r="J172" s="21">
        <f>IF(AND(D172&lt;&gt;"",F172&lt;&gt;"",I172&lt;&gt;"",ISNUMBER(G172)),F172&amp;I172,"")</f>
        <v/>
      </c>
      <c r="K172" s="21">
        <f>IF(J172="","",COUNTIFS($J$2:$J$186,J172,$G$2:$G$186,"&lt;"&amp;G172)+COUNTIFS($J$2:$J$186,J172,$G$2:$G$186,G172,$A$2:$A$186,"&lt;"&amp;A172)+1)</f>
        <v/>
      </c>
      <c r="L172" s="21">
        <f>IF(J172="","",J172&amp;K172)</f>
        <v/>
      </c>
      <c r="M172" s="21">
        <f>B172&amp;"組"</f>
        <v/>
      </c>
      <c r="N172" s="21">
        <f>IF(AND(D172&lt;&gt;"",J172=""),1,0)</f>
        <v/>
      </c>
      <c r="AK172">
        <f>IF(J172="","",IF(J172="男赤",COUNTIF($Y$2:$Y$51,"&lt;"&amp;K172),IF(J172="男白",COUNTIF($Z$2:$Z$51,"&lt;"&amp;K172),IF(J172="女赤",COUNTIF($AH$2:$AH$51,"&lt;"&amp;K172),COUNTIF($AI$2:$AI$51,"&lt;"&amp;K172))))+1)</f>
        <v/>
      </c>
      <c r="AL172">
        <f>IF(AK172="","",IF(AK172=1,0,IF(J172="男赤",INDEX($Y$2:$Y$51,AK172-1),IF(J172="男白",INDEX($Z$2:$Z$51,AK172-1),IF(J172="女赤",INDEX($AH$2:$AH$51,AK172-1),INDEX($AI$2:$AI$51,AK172-1))))))</f>
        <v/>
      </c>
      <c r="AM172">
        <f>IF(AK172="","",IF(RIGHT(J172,1)="赤",K172-AL172,IF(LEFT(J172,1)="男",INDEX($W$2:$W$51,AK172),INDEX($AF$2:$AF$51,AK172))+K172-AL172))</f>
        <v/>
      </c>
      <c r="AN172">
        <f>IF(AK172="","",F172&amp;AK172&amp;"-"&amp;AM172)</f>
        <v/>
      </c>
    </row>
    <row r="173">
      <c r="A173" s="21">
        <f>ROW()-1</f>
        <v/>
      </c>
      <c r="B173" s="21">
        <f>INT((A173-1)/37)+1</f>
        <v/>
      </c>
      <c r="C173" s="21">
        <f>MOD(A173-1,37)+1</f>
        <v/>
      </c>
      <c r="D173" s="21">
        <f>INDEX(①データ入力!$B$3:$Y$39,C173,(B173-1)*5+1)&amp;""</f>
        <v/>
      </c>
      <c r="E173" s="21">
        <f>INDEX(①データ入力!$B$3:$Y$39,C173,(B173-1)*5+2)&amp;""</f>
        <v/>
      </c>
      <c r="F173" s="21">
        <f>IF(OR(E173="1",E173="１",E173="男"),"男",IF(OR(E173="2",E173="２",E173="女"),"女",""))</f>
        <v/>
      </c>
      <c r="G173" s="21">
        <f>INDEX(①データ入力!$B$3:$Y$39,C173,(B173-1)*5+3)</f>
        <v/>
      </c>
      <c r="H173" s="21">
        <f>INDEX(①データ入力!$B$3:$Y$39,C173,(B173-1)*5+4)&amp;""</f>
        <v/>
      </c>
      <c r="I173" s="21">
        <f>IF(LEFT(TRIM(H173),1)="赤","赤",IF(LEFT(TRIM(H173),1)="白","白",""))</f>
        <v/>
      </c>
      <c r="J173" s="21">
        <f>IF(AND(D173&lt;&gt;"",F173&lt;&gt;"",I173&lt;&gt;"",ISNUMBER(G173)),F173&amp;I173,"")</f>
        <v/>
      </c>
      <c r="K173" s="21">
        <f>IF(J173="","",COUNTIFS($J$2:$J$186,J173,$G$2:$G$186,"&lt;"&amp;G173)+COUNTIFS($J$2:$J$186,J173,$G$2:$G$186,G173,$A$2:$A$186,"&lt;"&amp;A173)+1)</f>
        <v/>
      </c>
      <c r="L173" s="21">
        <f>IF(J173="","",J173&amp;K173)</f>
        <v/>
      </c>
      <c r="M173" s="21">
        <f>B173&amp;"組"</f>
        <v/>
      </c>
      <c r="N173" s="21">
        <f>IF(AND(D173&lt;&gt;"",J173=""),1,0)</f>
        <v/>
      </c>
      <c r="AK173">
        <f>IF(J173="","",IF(J173="男赤",COUNTIF($Y$2:$Y$51,"&lt;"&amp;K173),IF(J173="男白",COUNTIF($Z$2:$Z$51,"&lt;"&amp;K173),IF(J173="女赤",COUNTIF($AH$2:$AH$51,"&lt;"&amp;K173),COUNTIF($AI$2:$AI$51,"&lt;"&amp;K173))))+1)</f>
        <v/>
      </c>
      <c r="AL173">
        <f>IF(AK173="","",IF(AK173=1,0,IF(J173="男赤",INDEX($Y$2:$Y$51,AK173-1),IF(J173="男白",INDEX($Z$2:$Z$51,AK173-1),IF(J173="女赤",INDEX($AH$2:$AH$51,AK173-1),INDEX($AI$2:$AI$51,AK173-1))))))</f>
        <v/>
      </c>
      <c r="AM173">
        <f>IF(AK173="","",IF(RIGHT(J173,1)="赤",K173-AL173,IF(LEFT(J173,1)="男",INDEX($W$2:$W$51,AK173),INDEX($AF$2:$AF$51,AK173))+K173-AL173))</f>
        <v/>
      </c>
      <c r="AN173">
        <f>IF(AK173="","",F173&amp;AK173&amp;"-"&amp;AM173)</f>
        <v/>
      </c>
    </row>
    <row r="174">
      <c r="A174" s="21">
        <f>ROW()-1</f>
        <v/>
      </c>
      <c r="B174" s="21">
        <f>INT((A174-1)/37)+1</f>
        <v/>
      </c>
      <c r="C174" s="21">
        <f>MOD(A174-1,37)+1</f>
        <v/>
      </c>
      <c r="D174" s="21">
        <f>INDEX(①データ入力!$B$3:$Y$39,C174,(B174-1)*5+1)&amp;""</f>
        <v/>
      </c>
      <c r="E174" s="21">
        <f>INDEX(①データ入力!$B$3:$Y$39,C174,(B174-1)*5+2)&amp;""</f>
        <v/>
      </c>
      <c r="F174" s="21">
        <f>IF(OR(E174="1",E174="１",E174="男"),"男",IF(OR(E174="2",E174="２",E174="女"),"女",""))</f>
        <v/>
      </c>
      <c r="G174" s="21">
        <f>INDEX(①データ入力!$B$3:$Y$39,C174,(B174-1)*5+3)</f>
        <v/>
      </c>
      <c r="H174" s="21">
        <f>INDEX(①データ入力!$B$3:$Y$39,C174,(B174-1)*5+4)&amp;""</f>
        <v/>
      </c>
      <c r="I174" s="21">
        <f>IF(LEFT(TRIM(H174),1)="赤","赤",IF(LEFT(TRIM(H174),1)="白","白",""))</f>
        <v/>
      </c>
      <c r="J174" s="21">
        <f>IF(AND(D174&lt;&gt;"",F174&lt;&gt;"",I174&lt;&gt;"",ISNUMBER(G174)),F174&amp;I174,"")</f>
        <v/>
      </c>
      <c r="K174" s="21">
        <f>IF(J174="","",COUNTIFS($J$2:$J$186,J174,$G$2:$G$186,"&lt;"&amp;G174)+COUNTIFS($J$2:$J$186,J174,$G$2:$G$186,G174,$A$2:$A$186,"&lt;"&amp;A174)+1)</f>
        <v/>
      </c>
      <c r="L174" s="21">
        <f>IF(J174="","",J174&amp;K174)</f>
        <v/>
      </c>
      <c r="M174" s="21">
        <f>B174&amp;"組"</f>
        <v/>
      </c>
      <c r="N174" s="21">
        <f>IF(AND(D174&lt;&gt;"",J174=""),1,0)</f>
        <v/>
      </c>
      <c r="AK174">
        <f>IF(J174="","",IF(J174="男赤",COUNTIF($Y$2:$Y$51,"&lt;"&amp;K174),IF(J174="男白",COUNTIF($Z$2:$Z$51,"&lt;"&amp;K174),IF(J174="女赤",COUNTIF($AH$2:$AH$51,"&lt;"&amp;K174),COUNTIF($AI$2:$AI$51,"&lt;"&amp;K174))))+1)</f>
        <v/>
      </c>
      <c r="AL174">
        <f>IF(AK174="","",IF(AK174=1,0,IF(J174="男赤",INDEX($Y$2:$Y$51,AK174-1),IF(J174="男白",INDEX($Z$2:$Z$51,AK174-1),IF(J174="女赤",INDEX($AH$2:$AH$51,AK174-1),INDEX($AI$2:$AI$51,AK174-1))))))</f>
        <v/>
      </c>
      <c r="AM174">
        <f>IF(AK174="","",IF(RIGHT(J174,1)="赤",K174-AL174,IF(LEFT(J174,1)="男",INDEX($W$2:$W$51,AK174),INDEX($AF$2:$AF$51,AK174))+K174-AL174))</f>
        <v/>
      </c>
      <c r="AN174">
        <f>IF(AK174="","",F174&amp;AK174&amp;"-"&amp;AM174)</f>
        <v/>
      </c>
    </row>
    <row r="175">
      <c r="A175" s="21">
        <f>ROW()-1</f>
        <v/>
      </c>
      <c r="B175" s="21">
        <f>INT((A175-1)/37)+1</f>
        <v/>
      </c>
      <c r="C175" s="21">
        <f>MOD(A175-1,37)+1</f>
        <v/>
      </c>
      <c r="D175" s="21">
        <f>INDEX(①データ入力!$B$3:$Y$39,C175,(B175-1)*5+1)&amp;""</f>
        <v/>
      </c>
      <c r="E175" s="21">
        <f>INDEX(①データ入力!$B$3:$Y$39,C175,(B175-1)*5+2)&amp;""</f>
        <v/>
      </c>
      <c r="F175" s="21">
        <f>IF(OR(E175="1",E175="１",E175="男"),"男",IF(OR(E175="2",E175="２",E175="女"),"女",""))</f>
        <v/>
      </c>
      <c r="G175" s="21">
        <f>INDEX(①データ入力!$B$3:$Y$39,C175,(B175-1)*5+3)</f>
        <v/>
      </c>
      <c r="H175" s="21">
        <f>INDEX(①データ入力!$B$3:$Y$39,C175,(B175-1)*5+4)&amp;""</f>
        <v/>
      </c>
      <c r="I175" s="21">
        <f>IF(LEFT(TRIM(H175),1)="赤","赤",IF(LEFT(TRIM(H175),1)="白","白",""))</f>
        <v/>
      </c>
      <c r="J175" s="21">
        <f>IF(AND(D175&lt;&gt;"",F175&lt;&gt;"",I175&lt;&gt;"",ISNUMBER(G175)),F175&amp;I175,"")</f>
        <v/>
      </c>
      <c r="K175" s="21">
        <f>IF(J175="","",COUNTIFS($J$2:$J$186,J175,$G$2:$G$186,"&lt;"&amp;G175)+COUNTIFS($J$2:$J$186,J175,$G$2:$G$186,G175,$A$2:$A$186,"&lt;"&amp;A175)+1)</f>
        <v/>
      </c>
      <c r="L175" s="21">
        <f>IF(J175="","",J175&amp;K175)</f>
        <v/>
      </c>
      <c r="M175" s="21">
        <f>B175&amp;"組"</f>
        <v/>
      </c>
      <c r="N175" s="21">
        <f>IF(AND(D175&lt;&gt;"",J175=""),1,0)</f>
        <v/>
      </c>
      <c r="AK175">
        <f>IF(J175="","",IF(J175="男赤",COUNTIF($Y$2:$Y$51,"&lt;"&amp;K175),IF(J175="男白",COUNTIF($Z$2:$Z$51,"&lt;"&amp;K175),IF(J175="女赤",COUNTIF($AH$2:$AH$51,"&lt;"&amp;K175),COUNTIF($AI$2:$AI$51,"&lt;"&amp;K175))))+1)</f>
        <v/>
      </c>
      <c r="AL175">
        <f>IF(AK175="","",IF(AK175=1,0,IF(J175="男赤",INDEX($Y$2:$Y$51,AK175-1),IF(J175="男白",INDEX($Z$2:$Z$51,AK175-1),IF(J175="女赤",INDEX($AH$2:$AH$51,AK175-1),INDEX($AI$2:$AI$51,AK175-1))))))</f>
        <v/>
      </c>
      <c r="AM175">
        <f>IF(AK175="","",IF(RIGHT(J175,1)="赤",K175-AL175,IF(LEFT(J175,1)="男",INDEX($W$2:$W$51,AK175),INDEX($AF$2:$AF$51,AK175))+K175-AL175))</f>
        <v/>
      </c>
      <c r="AN175">
        <f>IF(AK175="","",F175&amp;AK175&amp;"-"&amp;AM175)</f>
        <v/>
      </c>
    </row>
    <row r="176">
      <c r="A176" s="21">
        <f>ROW()-1</f>
        <v/>
      </c>
      <c r="B176" s="21">
        <f>INT((A176-1)/37)+1</f>
        <v/>
      </c>
      <c r="C176" s="21">
        <f>MOD(A176-1,37)+1</f>
        <v/>
      </c>
      <c r="D176" s="21">
        <f>INDEX(①データ入力!$B$3:$Y$39,C176,(B176-1)*5+1)&amp;""</f>
        <v/>
      </c>
      <c r="E176" s="21">
        <f>INDEX(①データ入力!$B$3:$Y$39,C176,(B176-1)*5+2)&amp;""</f>
        <v/>
      </c>
      <c r="F176" s="21">
        <f>IF(OR(E176="1",E176="１",E176="男"),"男",IF(OR(E176="2",E176="２",E176="女"),"女",""))</f>
        <v/>
      </c>
      <c r="G176" s="21">
        <f>INDEX(①データ入力!$B$3:$Y$39,C176,(B176-1)*5+3)</f>
        <v/>
      </c>
      <c r="H176" s="21">
        <f>INDEX(①データ入力!$B$3:$Y$39,C176,(B176-1)*5+4)&amp;""</f>
        <v/>
      </c>
      <c r="I176" s="21">
        <f>IF(LEFT(TRIM(H176),1)="赤","赤",IF(LEFT(TRIM(H176),1)="白","白",""))</f>
        <v/>
      </c>
      <c r="J176" s="21">
        <f>IF(AND(D176&lt;&gt;"",F176&lt;&gt;"",I176&lt;&gt;"",ISNUMBER(G176)),F176&amp;I176,"")</f>
        <v/>
      </c>
      <c r="K176" s="21">
        <f>IF(J176="","",COUNTIFS($J$2:$J$186,J176,$G$2:$G$186,"&lt;"&amp;G176)+COUNTIFS($J$2:$J$186,J176,$G$2:$G$186,G176,$A$2:$A$186,"&lt;"&amp;A176)+1)</f>
        <v/>
      </c>
      <c r="L176" s="21">
        <f>IF(J176="","",J176&amp;K176)</f>
        <v/>
      </c>
      <c r="M176" s="21">
        <f>B176&amp;"組"</f>
        <v/>
      </c>
      <c r="N176" s="21">
        <f>IF(AND(D176&lt;&gt;"",J176=""),1,0)</f>
        <v/>
      </c>
      <c r="AK176">
        <f>IF(J176="","",IF(J176="男赤",COUNTIF($Y$2:$Y$51,"&lt;"&amp;K176),IF(J176="男白",COUNTIF($Z$2:$Z$51,"&lt;"&amp;K176),IF(J176="女赤",COUNTIF($AH$2:$AH$51,"&lt;"&amp;K176),COUNTIF($AI$2:$AI$51,"&lt;"&amp;K176))))+1)</f>
        <v/>
      </c>
      <c r="AL176">
        <f>IF(AK176="","",IF(AK176=1,0,IF(J176="男赤",INDEX($Y$2:$Y$51,AK176-1),IF(J176="男白",INDEX($Z$2:$Z$51,AK176-1),IF(J176="女赤",INDEX($AH$2:$AH$51,AK176-1),INDEX($AI$2:$AI$51,AK176-1))))))</f>
        <v/>
      </c>
      <c r="AM176">
        <f>IF(AK176="","",IF(RIGHT(J176,1)="赤",K176-AL176,IF(LEFT(J176,1)="男",INDEX($W$2:$W$51,AK176),INDEX($AF$2:$AF$51,AK176))+K176-AL176))</f>
        <v/>
      </c>
      <c r="AN176">
        <f>IF(AK176="","",F176&amp;AK176&amp;"-"&amp;AM176)</f>
        <v/>
      </c>
    </row>
    <row r="177">
      <c r="A177" s="21">
        <f>ROW()-1</f>
        <v/>
      </c>
      <c r="B177" s="21">
        <f>INT((A177-1)/37)+1</f>
        <v/>
      </c>
      <c r="C177" s="21">
        <f>MOD(A177-1,37)+1</f>
        <v/>
      </c>
      <c r="D177" s="21">
        <f>INDEX(①データ入力!$B$3:$Y$39,C177,(B177-1)*5+1)&amp;""</f>
        <v/>
      </c>
      <c r="E177" s="21">
        <f>INDEX(①データ入力!$B$3:$Y$39,C177,(B177-1)*5+2)&amp;""</f>
        <v/>
      </c>
      <c r="F177" s="21">
        <f>IF(OR(E177="1",E177="１",E177="男"),"男",IF(OR(E177="2",E177="２",E177="女"),"女",""))</f>
        <v/>
      </c>
      <c r="G177" s="21">
        <f>INDEX(①データ入力!$B$3:$Y$39,C177,(B177-1)*5+3)</f>
        <v/>
      </c>
      <c r="H177" s="21">
        <f>INDEX(①データ入力!$B$3:$Y$39,C177,(B177-1)*5+4)&amp;""</f>
        <v/>
      </c>
      <c r="I177" s="21">
        <f>IF(LEFT(TRIM(H177),1)="赤","赤",IF(LEFT(TRIM(H177),1)="白","白",""))</f>
        <v/>
      </c>
      <c r="J177" s="21">
        <f>IF(AND(D177&lt;&gt;"",F177&lt;&gt;"",I177&lt;&gt;"",ISNUMBER(G177)),F177&amp;I177,"")</f>
        <v/>
      </c>
      <c r="K177" s="21">
        <f>IF(J177="","",COUNTIFS($J$2:$J$186,J177,$G$2:$G$186,"&lt;"&amp;G177)+COUNTIFS($J$2:$J$186,J177,$G$2:$G$186,G177,$A$2:$A$186,"&lt;"&amp;A177)+1)</f>
        <v/>
      </c>
      <c r="L177" s="21">
        <f>IF(J177="","",J177&amp;K177)</f>
        <v/>
      </c>
      <c r="M177" s="21">
        <f>B177&amp;"組"</f>
        <v/>
      </c>
      <c r="N177" s="21">
        <f>IF(AND(D177&lt;&gt;"",J177=""),1,0)</f>
        <v/>
      </c>
      <c r="AK177">
        <f>IF(J177="","",IF(J177="男赤",COUNTIF($Y$2:$Y$51,"&lt;"&amp;K177),IF(J177="男白",COUNTIF($Z$2:$Z$51,"&lt;"&amp;K177),IF(J177="女赤",COUNTIF($AH$2:$AH$51,"&lt;"&amp;K177),COUNTIF($AI$2:$AI$51,"&lt;"&amp;K177))))+1)</f>
        <v/>
      </c>
      <c r="AL177">
        <f>IF(AK177="","",IF(AK177=1,0,IF(J177="男赤",INDEX($Y$2:$Y$51,AK177-1),IF(J177="男白",INDEX($Z$2:$Z$51,AK177-1),IF(J177="女赤",INDEX($AH$2:$AH$51,AK177-1),INDEX($AI$2:$AI$51,AK177-1))))))</f>
        <v/>
      </c>
      <c r="AM177">
        <f>IF(AK177="","",IF(RIGHT(J177,1)="赤",K177-AL177,IF(LEFT(J177,1)="男",INDEX($W$2:$W$51,AK177),INDEX($AF$2:$AF$51,AK177))+K177-AL177))</f>
        <v/>
      </c>
      <c r="AN177">
        <f>IF(AK177="","",F177&amp;AK177&amp;"-"&amp;AM177)</f>
        <v/>
      </c>
    </row>
    <row r="178">
      <c r="A178" s="21">
        <f>ROW()-1</f>
        <v/>
      </c>
      <c r="B178" s="21">
        <f>INT((A178-1)/37)+1</f>
        <v/>
      </c>
      <c r="C178" s="21">
        <f>MOD(A178-1,37)+1</f>
        <v/>
      </c>
      <c r="D178" s="21">
        <f>INDEX(①データ入力!$B$3:$Y$39,C178,(B178-1)*5+1)&amp;""</f>
        <v/>
      </c>
      <c r="E178" s="21">
        <f>INDEX(①データ入力!$B$3:$Y$39,C178,(B178-1)*5+2)&amp;""</f>
        <v/>
      </c>
      <c r="F178" s="21">
        <f>IF(OR(E178="1",E178="１",E178="男"),"男",IF(OR(E178="2",E178="２",E178="女"),"女",""))</f>
        <v/>
      </c>
      <c r="G178" s="21">
        <f>INDEX(①データ入力!$B$3:$Y$39,C178,(B178-1)*5+3)</f>
        <v/>
      </c>
      <c r="H178" s="21">
        <f>INDEX(①データ入力!$B$3:$Y$39,C178,(B178-1)*5+4)&amp;""</f>
        <v/>
      </c>
      <c r="I178" s="21">
        <f>IF(LEFT(TRIM(H178),1)="赤","赤",IF(LEFT(TRIM(H178),1)="白","白",""))</f>
        <v/>
      </c>
      <c r="J178" s="21">
        <f>IF(AND(D178&lt;&gt;"",F178&lt;&gt;"",I178&lt;&gt;"",ISNUMBER(G178)),F178&amp;I178,"")</f>
        <v/>
      </c>
      <c r="K178" s="21">
        <f>IF(J178="","",COUNTIFS($J$2:$J$186,J178,$G$2:$G$186,"&lt;"&amp;G178)+COUNTIFS($J$2:$J$186,J178,$G$2:$G$186,G178,$A$2:$A$186,"&lt;"&amp;A178)+1)</f>
        <v/>
      </c>
      <c r="L178" s="21">
        <f>IF(J178="","",J178&amp;K178)</f>
        <v/>
      </c>
      <c r="M178" s="21">
        <f>B178&amp;"組"</f>
        <v/>
      </c>
      <c r="N178" s="21">
        <f>IF(AND(D178&lt;&gt;"",J178=""),1,0)</f>
        <v/>
      </c>
      <c r="AK178">
        <f>IF(J178="","",IF(J178="男赤",COUNTIF($Y$2:$Y$51,"&lt;"&amp;K178),IF(J178="男白",COUNTIF($Z$2:$Z$51,"&lt;"&amp;K178),IF(J178="女赤",COUNTIF($AH$2:$AH$51,"&lt;"&amp;K178),COUNTIF($AI$2:$AI$51,"&lt;"&amp;K178))))+1)</f>
        <v/>
      </c>
      <c r="AL178">
        <f>IF(AK178="","",IF(AK178=1,0,IF(J178="男赤",INDEX($Y$2:$Y$51,AK178-1),IF(J178="男白",INDEX($Z$2:$Z$51,AK178-1),IF(J178="女赤",INDEX($AH$2:$AH$51,AK178-1),INDEX($AI$2:$AI$51,AK178-1))))))</f>
        <v/>
      </c>
      <c r="AM178">
        <f>IF(AK178="","",IF(RIGHT(J178,1)="赤",K178-AL178,IF(LEFT(J178,1)="男",INDEX($W$2:$W$51,AK178),INDEX($AF$2:$AF$51,AK178))+K178-AL178))</f>
        <v/>
      </c>
      <c r="AN178">
        <f>IF(AK178="","",F178&amp;AK178&amp;"-"&amp;AM178)</f>
        <v/>
      </c>
    </row>
    <row r="179">
      <c r="A179" s="21">
        <f>ROW()-1</f>
        <v/>
      </c>
      <c r="B179" s="21">
        <f>INT((A179-1)/37)+1</f>
        <v/>
      </c>
      <c r="C179" s="21">
        <f>MOD(A179-1,37)+1</f>
        <v/>
      </c>
      <c r="D179" s="21">
        <f>INDEX(①データ入力!$B$3:$Y$39,C179,(B179-1)*5+1)&amp;""</f>
        <v/>
      </c>
      <c r="E179" s="21">
        <f>INDEX(①データ入力!$B$3:$Y$39,C179,(B179-1)*5+2)&amp;""</f>
        <v/>
      </c>
      <c r="F179" s="21">
        <f>IF(OR(E179="1",E179="１",E179="男"),"男",IF(OR(E179="2",E179="２",E179="女"),"女",""))</f>
        <v/>
      </c>
      <c r="G179" s="21">
        <f>INDEX(①データ入力!$B$3:$Y$39,C179,(B179-1)*5+3)</f>
        <v/>
      </c>
      <c r="H179" s="21">
        <f>INDEX(①データ入力!$B$3:$Y$39,C179,(B179-1)*5+4)&amp;""</f>
        <v/>
      </c>
      <c r="I179" s="21">
        <f>IF(LEFT(TRIM(H179),1)="赤","赤",IF(LEFT(TRIM(H179),1)="白","白",""))</f>
        <v/>
      </c>
      <c r="J179" s="21">
        <f>IF(AND(D179&lt;&gt;"",F179&lt;&gt;"",I179&lt;&gt;"",ISNUMBER(G179)),F179&amp;I179,"")</f>
        <v/>
      </c>
      <c r="K179" s="21">
        <f>IF(J179="","",COUNTIFS($J$2:$J$186,J179,$G$2:$G$186,"&lt;"&amp;G179)+COUNTIFS($J$2:$J$186,J179,$G$2:$G$186,G179,$A$2:$A$186,"&lt;"&amp;A179)+1)</f>
        <v/>
      </c>
      <c r="L179" s="21">
        <f>IF(J179="","",J179&amp;K179)</f>
        <v/>
      </c>
      <c r="M179" s="21">
        <f>B179&amp;"組"</f>
        <v/>
      </c>
      <c r="N179" s="21">
        <f>IF(AND(D179&lt;&gt;"",J179=""),1,0)</f>
        <v/>
      </c>
      <c r="AK179">
        <f>IF(J179="","",IF(J179="男赤",COUNTIF($Y$2:$Y$51,"&lt;"&amp;K179),IF(J179="男白",COUNTIF($Z$2:$Z$51,"&lt;"&amp;K179),IF(J179="女赤",COUNTIF($AH$2:$AH$51,"&lt;"&amp;K179),COUNTIF($AI$2:$AI$51,"&lt;"&amp;K179))))+1)</f>
        <v/>
      </c>
      <c r="AL179">
        <f>IF(AK179="","",IF(AK179=1,0,IF(J179="男赤",INDEX($Y$2:$Y$51,AK179-1),IF(J179="男白",INDEX($Z$2:$Z$51,AK179-1),IF(J179="女赤",INDEX($AH$2:$AH$51,AK179-1),INDEX($AI$2:$AI$51,AK179-1))))))</f>
        <v/>
      </c>
      <c r="AM179">
        <f>IF(AK179="","",IF(RIGHT(J179,1)="赤",K179-AL179,IF(LEFT(J179,1)="男",INDEX($W$2:$W$51,AK179),INDEX($AF$2:$AF$51,AK179))+K179-AL179))</f>
        <v/>
      </c>
      <c r="AN179">
        <f>IF(AK179="","",F179&amp;AK179&amp;"-"&amp;AM179)</f>
        <v/>
      </c>
    </row>
    <row r="180">
      <c r="A180" s="21">
        <f>ROW()-1</f>
        <v/>
      </c>
      <c r="B180" s="21">
        <f>INT((A180-1)/37)+1</f>
        <v/>
      </c>
      <c r="C180" s="21">
        <f>MOD(A180-1,37)+1</f>
        <v/>
      </c>
      <c r="D180" s="21">
        <f>INDEX(①データ入力!$B$3:$Y$39,C180,(B180-1)*5+1)&amp;""</f>
        <v/>
      </c>
      <c r="E180" s="21">
        <f>INDEX(①データ入力!$B$3:$Y$39,C180,(B180-1)*5+2)&amp;""</f>
        <v/>
      </c>
      <c r="F180" s="21">
        <f>IF(OR(E180="1",E180="１",E180="男"),"男",IF(OR(E180="2",E180="２",E180="女"),"女",""))</f>
        <v/>
      </c>
      <c r="G180" s="21">
        <f>INDEX(①データ入力!$B$3:$Y$39,C180,(B180-1)*5+3)</f>
        <v/>
      </c>
      <c r="H180" s="21">
        <f>INDEX(①データ入力!$B$3:$Y$39,C180,(B180-1)*5+4)&amp;""</f>
        <v/>
      </c>
      <c r="I180" s="21">
        <f>IF(LEFT(TRIM(H180),1)="赤","赤",IF(LEFT(TRIM(H180),1)="白","白",""))</f>
        <v/>
      </c>
      <c r="J180" s="21">
        <f>IF(AND(D180&lt;&gt;"",F180&lt;&gt;"",I180&lt;&gt;"",ISNUMBER(G180)),F180&amp;I180,"")</f>
        <v/>
      </c>
      <c r="K180" s="21">
        <f>IF(J180="","",COUNTIFS($J$2:$J$186,J180,$G$2:$G$186,"&lt;"&amp;G180)+COUNTIFS($J$2:$J$186,J180,$G$2:$G$186,G180,$A$2:$A$186,"&lt;"&amp;A180)+1)</f>
        <v/>
      </c>
      <c r="L180" s="21">
        <f>IF(J180="","",J180&amp;K180)</f>
        <v/>
      </c>
      <c r="M180" s="21">
        <f>B180&amp;"組"</f>
        <v/>
      </c>
      <c r="N180" s="21">
        <f>IF(AND(D180&lt;&gt;"",J180=""),1,0)</f>
        <v/>
      </c>
      <c r="AK180">
        <f>IF(J180="","",IF(J180="男赤",COUNTIF($Y$2:$Y$51,"&lt;"&amp;K180),IF(J180="男白",COUNTIF($Z$2:$Z$51,"&lt;"&amp;K180),IF(J180="女赤",COUNTIF($AH$2:$AH$51,"&lt;"&amp;K180),COUNTIF($AI$2:$AI$51,"&lt;"&amp;K180))))+1)</f>
        <v/>
      </c>
      <c r="AL180">
        <f>IF(AK180="","",IF(AK180=1,0,IF(J180="男赤",INDEX($Y$2:$Y$51,AK180-1),IF(J180="男白",INDEX($Z$2:$Z$51,AK180-1),IF(J180="女赤",INDEX($AH$2:$AH$51,AK180-1),INDEX($AI$2:$AI$51,AK180-1))))))</f>
        <v/>
      </c>
      <c r="AM180">
        <f>IF(AK180="","",IF(RIGHT(J180,1)="赤",K180-AL180,IF(LEFT(J180,1)="男",INDEX($W$2:$W$51,AK180),INDEX($AF$2:$AF$51,AK180))+K180-AL180))</f>
        <v/>
      </c>
      <c r="AN180">
        <f>IF(AK180="","",F180&amp;AK180&amp;"-"&amp;AM180)</f>
        <v/>
      </c>
    </row>
    <row r="181">
      <c r="A181" s="21">
        <f>ROW()-1</f>
        <v/>
      </c>
      <c r="B181" s="21">
        <f>INT((A181-1)/37)+1</f>
        <v/>
      </c>
      <c r="C181" s="21">
        <f>MOD(A181-1,37)+1</f>
        <v/>
      </c>
      <c r="D181" s="21">
        <f>INDEX(①データ入力!$B$3:$Y$39,C181,(B181-1)*5+1)&amp;""</f>
        <v/>
      </c>
      <c r="E181" s="21">
        <f>INDEX(①データ入力!$B$3:$Y$39,C181,(B181-1)*5+2)&amp;""</f>
        <v/>
      </c>
      <c r="F181" s="21">
        <f>IF(OR(E181="1",E181="１",E181="男"),"男",IF(OR(E181="2",E181="２",E181="女"),"女",""))</f>
        <v/>
      </c>
      <c r="G181" s="21">
        <f>INDEX(①データ入力!$B$3:$Y$39,C181,(B181-1)*5+3)</f>
        <v/>
      </c>
      <c r="H181" s="21">
        <f>INDEX(①データ入力!$B$3:$Y$39,C181,(B181-1)*5+4)&amp;""</f>
        <v/>
      </c>
      <c r="I181" s="21">
        <f>IF(LEFT(TRIM(H181),1)="赤","赤",IF(LEFT(TRIM(H181),1)="白","白",""))</f>
        <v/>
      </c>
      <c r="J181" s="21">
        <f>IF(AND(D181&lt;&gt;"",F181&lt;&gt;"",I181&lt;&gt;"",ISNUMBER(G181)),F181&amp;I181,"")</f>
        <v/>
      </c>
      <c r="K181" s="21">
        <f>IF(J181="","",COUNTIFS($J$2:$J$186,J181,$G$2:$G$186,"&lt;"&amp;G181)+COUNTIFS($J$2:$J$186,J181,$G$2:$G$186,G181,$A$2:$A$186,"&lt;"&amp;A181)+1)</f>
        <v/>
      </c>
      <c r="L181" s="21">
        <f>IF(J181="","",J181&amp;K181)</f>
        <v/>
      </c>
      <c r="M181" s="21">
        <f>B181&amp;"組"</f>
        <v/>
      </c>
      <c r="N181" s="21">
        <f>IF(AND(D181&lt;&gt;"",J181=""),1,0)</f>
        <v/>
      </c>
      <c r="AK181">
        <f>IF(J181="","",IF(J181="男赤",COUNTIF($Y$2:$Y$51,"&lt;"&amp;K181),IF(J181="男白",COUNTIF($Z$2:$Z$51,"&lt;"&amp;K181),IF(J181="女赤",COUNTIF($AH$2:$AH$51,"&lt;"&amp;K181),COUNTIF($AI$2:$AI$51,"&lt;"&amp;K181))))+1)</f>
        <v/>
      </c>
      <c r="AL181">
        <f>IF(AK181="","",IF(AK181=1,0,IF(J181="男赤",INDEX($Y$2:$Y$51,AK181-1),IF(J181="男白",INDEX($Z$2:$Z$51,AK181-1),IF(J181="女赤",INDEX($AH$2:$AH$51,AK181-1),INDEX($AI$2:$AI$51,AK181-1))))))</f>
        <v/>
      </c>
      <c r="AM181">
        <f>IF(AK181="","",IF(RIGHT(J181,1)="赤",K181-AL181,IF(LEFT(J181,1)="男",INDEX($W$2:$W$51,AK181),INDEX($AF$2:$AF$51,AK181))+K181-AL181))</f>
        <v/>
      </c>
      <c r="AN181">
        <f>IF(AK181="","",F181&amp;AK181&amp;"-"&amp;AM181)</f>
        <v/>
      </c>
    </row>
    <row r="182">
      <c r="A182" s="21">
        <f>ROW()-1</f>
        <v/>
      </c>
      <c r="B182" s="21">
        <f>INT((A182-1)/37)+1</f>
        <v/>
      </c>
      <c r="C182" s="21">
        <f>MOD(A182-1,37)+1</f>
        <v/>
      </c>
      <c r="D182" s="21">
        <f>INDEX(①データ入力!$B$3:$Y$39,C182,(B182-1)*5+1)&amp;""</f>
        <v/>
      </c>
      <c r="E182" s="21">
        <f>INDEX(①データ入力!$B$3:$Y$39,C182,(B182-1)*5+2)&amp;""</f>
        <v/>
      </c>
      <c r="F182" s="21">
        <f>IF(OR(E182="1",E182="１",E182="男"),"男",IF(OR(E182="2",E182="２",E182="女"),"女",""))</f>
        <v/>
      </c>
      <c r="G182" s="21">
        <f>INDEX(①データ入力!$B$3:$Y$39,C182,(B182-1)*5+3)</f>
        <v/>
      </c>
      <c r="H182" s="21">
        <f>INDEX(①データ入力!$B$3:$Y$39,C182,(B182-1)*5+4)&amp;""</f>
        <v/>
      </c>
      <c r="I182" s="21">
        <f>IF(LEFT(TRIM(H182),1)="赤","赤",IF(LEFT(TRIM(H182),1)="白","白",""))</f>
        <v/>
      </c>
      <c r="J182" s="21">
        <f>IF(AND(D182&lt;&gt;"",F182&lt;&gt;"",I182&lt;&gt;"",ISNUMBER(G182)),F182&amp;I182,"")</f>
        <v/>
      </c>
      <c r="K182" s="21">
        <f>IF(J182="","",COUNTIFS($J$2:$J$186,J182,$G$2:$G$186,"&lt;"&amp;G182)+COUNTIFS($J$2:$J$186,J182,$G$2:$G$186,G182,$A$2:$A$186,"&lt;"&amp;A182)+1)</f>
        <v/>
      </c>
      <c r="L182" s="21">
        <f>IF(J182="","",J182&amp;K182)</f>
        <v/>
      </c>
      <c r="M182" s="21">
        <f>B182&amp;"組"</f>
        <v/>
      </c>
      <c r="N182" s="21">
        <f>IF(AND(D182&lt;&gt;"",J182=""),1,0)</f>
        <v/>
      </c>
      <c r="AK182">
        <f>IF(J182="","",IF(J182="男赤",COUNTIF($Y$2:$Y$51,"&lt;"&amp;K182),IF(J182="男白",COUNTIF($Z$2:$Z$51,"&lt;"&amp;K182),IF(J182="女赤",COUNTIF($AH$2:$AH$51,"&lt;"&amp;K182),COUNTIF($AI$2:$AI$51,"&lt;"&amp;K182))))+1)</f>
        <v/>
      </c>
      <c r="AL182">
        <f>IF(AK182="","",IF(AK182=1,0,IF(J182="男赤",INDEX($Y$2:$Y$51,AK182-1),IF(J182="男白",INDEX($Z$2:$Z$51,AK182-1),IF(J182="女赤",INDEX($AH$2:$AH$51,AK182-1),INDEX($AI$2:$AI$51,AK182-1))))))</f>
        <v/>
      </c>
      <c r="AM182">
        <f>IF(AK182="","",IF(RIGHT(J182,1)="赤",K182-AL182,IF(LEFT(J182,1)="男",INDEX($W$2:$W$51,AK182),INDEX($AF$2:$AF$51,AK182))+K182-AL182))</f>
        <v/>
      </c>
      <c r="AN182">
        <f>IF(AK182="","",F182&amp;AK182&amp;"-"&amp;AM182)</f>
        <v/>
      </c>
    </row>
    <row r="183">
      <c r="A183" s="21">
        <f>ROW()-1</f>
        <v/>
      </c>
      <c r="B183" s="21">
        <f>INT((A183-1)/37)+1</f>
        <v/>
      </c>
      <c r="C183" s="21">
        <f>MOD(A183-1,37)+1</f>
        <v/>
      </c>
      <c r="D183" s="21">
        <f>INDEX(①データ入力!$B$3:$Y$39,C183,(B183-1)*5+1)&amp;""</f>
        <v/>
      </c>
      <c r="E183" s="21">
        <f>INDEX(①データ入力!$B$3:$Y$39,C183,(B183-1)*5+2)&amp;""</f>
        <v/>
      </c>
      <c r="F183" s="21">
        <f>IF(OR(E183="1",E183="１",E183="男"),"男",IF(OR(E183="2",E183="２",E183="女"),"女",""))</f>
        <v/>
      </c>
      <c r="G183" s="21">
        <f>INDEX(①データ入力!$B$3:$Y$39,C183,(B183-1)*5+3)</f>
        <v/>
      </c>
      <c r="H183" s="21">
        <f>INDEX(①データ入力!$B$3:$Y$39,C183,(B183-1)*5+4)&amp;""</f>
        <v/>
      </c>
      <c r="I183" s="21">
        <f>IF(LEFT(TRIM(H183),1)="赤","赤",IF(LEFT(TRIM(H183),1)="白","白",""))</f>
        <v/>
      </c>
      <c r="J183" s="21">
        <f>IF(AND(D183&lt;&gt;"",F183&lt;&gt;"",I183&lt;&gt;"",ISNUMBER(G183)),F183&amp;I183,"")</f>
        <v/>
      </c>
      <c r="K183" s="21">
        <f>IF(J183="","",COUNTIFS($J$2:$J$186,J183,$G$2:$G$186,"&lt;"&amp;G183)+COUNTIFS($J$2:$J$186,J183,$G$2:$G$186,G183,$A$2:$A$186,"&lt;"&amp;A183)+1)</f>
        <v/>
      </c>
      <c r="L183" s="21">
        <f>IF(J183="","",J183&amp;K183)</f>
        <v/>
      </c>
      <c r="M183" s="21">
        <f>B183&amp;"組"</f>
        <v/>
      </c>
      <c r="N183" s="21">
        <f>IF(AND(D183&lt;&gt;"",J183=""),1,0)</f>
        <v/>
      </c>
      <c r="AK183">
        <f>IF(J183="","",IF(J183="男赤",COUNTIF($Y$2:$Y$51,"&lt;"&amp;K183),IF(J183="男白",COUNTIF($Z$2:$Z$51,"&lt;"&amp;K183),IF(J183="女赤",COUNTIF($AH$2:$AH$51,"&lt;"&amp;K183),COUNTIF($AI$2:$AI$51,"&lt;"&amp;K183))))+1)</f>
        <v/>
      </c>
      <c r="AL183">
        <f>IF(AK183="","",IF(AK183=1,0,IF(J183="男赤",INDEX($Y$2:$Y$51,AK183-1),IF(J183="男白",INDEX($Z$2:$Z$51,AK183-1),IF(J183="女赤",INDEX($AH$2:$AH$51,AK183-1),INDEX($AI$2:$AI$51,AK183-1))))))</f>
        <v/>
      </c>
      <c r="AM183">
        <f>IF(AK183="","",IF(RIGHT(J183,1)="赤",K183-AL183,IF(LEFT(J183,1)="男",INDEX($W$2:$W$51,AK183),INDEX($AF$2:$AF$51,AK183))+K183-AL183))</f>
        <v/>
      </c>
      <c r="AN183">
        <f>IF(AK183="","",F183&amp;AK183&amp;"-"&amp;AM183)</f>
        <v/>
      </c>
    </row>
    <row r="184">
      <c r="A184" s="21">
        <f>ROW()-1</f>
        <v/>
      </c>
      <c r="B184" s="21">
        <f>INT((A184-1)/37)+1</f>
        <v/>
      </c>
      <c r="C184" s="21">
        <f>MOD(A184-1,37)+1</f>
        <v/>
      </c>
      <c r="D184" s="21">
        <f>INDEX(①データ入力!$B$3:$Y$39,C184,(B184-1)*5+1)&amp;""</f>
        <v/>
      </c>
      <c r="E184" s="21">
        <f>INDEX(①データ入力!$B$3:$Y$39,C184,(B184-1)*5+2)&amp;""</f>
        <v/>
      </c>
      <c r="F184" s="21">
        <f>IF(OR(E184="1",E184="１",E184="男"),"男",IF(OR(E184="2",E184="２",E184="女"),"女",""))</f>
        <v/>
      </c>
      <c r="G184" s="21">
        <f>INDEX(①データ入力!$B$3:$Y$39,C184,(B184-1)*5+3)</f>
        <v/>
      </c>
      <c r="H184" s="21">
        <f>INDEX(①データ入力!$B$3:$Y$39,C184,(B184-1)*5+4)&amp;""</f>
        <v/>
      </c>
      <c r="I184" s="21">
        <f>IF(LEFT(TRIM(H184),1)="赤","赤",IF(LEFT(TRIM(H184),1)="白","白",""))</f>
        <v/>
      </c>
      <c r="J184" s="21">
        <f>IF(AND(D184&lt;&gt;"",F184&lt;&gt;"",I184&lt;&gt;"",ISNUMBER(G184)),F184&amp;I184,"")</f>
        <v/>
      </c>
      <c r="K184" s="21">
        <f>IF(J184="","",COUNTIFS($J$2:$J$186,J184,$G$2:$G$186,"&lt;"&amp;G184)+COUNTIFS($J$2:$J$186,J184,$G$2:$G$186,G184,$A$2:$A$186,"&lt;"&amp;A184)+1)</f>
        <v/>
      </c>
      <c r="L184" s="21">
        <f>IF(J184="","",J184&amp;K184)</f>
        <v/>
      </c>
      <c r="M184" s="21">
        <f>B184&amp;"組"</f>
        <v/>
      </c>
      <c r="N184" s="21">
        <f>IF(AND(D184&lt;&gt;"",J184=""),1,0)</f>
        <v/>
      </c>
      <c r="AK184">
        <f>IF(J184="","",IF(J184="男赤",COUNTIF($Y$2:$Y$51,"&lt;"&amp;K184),IF(J184="男白",COUNTIF($Z$2:$Z$51,"&lt;"&amp;K184),IF(J184="女赤",COUNTIF($AH$2:$AH$51,"&lt;"&amp;K184),COUNTIF($AI$2:$AI$51,"&lt;"&amp;K184))))+1)</f>
        <v/>
      </c>
      <c r="AL184">
        <f>IF(AK184="","",IF(AK184=1,0,IF(J184="男赤",INDEX($Y$2:$Y$51,AK184-1),IF(J184="男白",INDEX($Z$2:$Z$51,AK184-1),IF(J184="女赤",INDEX($AH$2:$AH$51,AK184-1),INDEX($AI$2:$AI$51,AK184-1))))))</f>
        <v/>
      </c>
      <c r="AM184">
        <f>IF(AK184="","",IF(RIGHT(J184,1)="赤",K184-AL184,IF(LEFT(J184,1)="男",INDEX($W$2:$W$51,AK184),INDEX($AF$2:$AF$51,AK184))+K184-AL184))</f>
        <v/>
      </c>
      <c r="AN184">
        <f>IF(AK184="","",F184&amp;AK184&amp;"-"&amp;AM184)</f>
        <v/>
      </c>
    </row>
    <row r="185">
      <c r="A185" s="21">
        <f>ROW()-1</f>
        <v/>
      </c>
      <c r="B185" s="21">
        <f>INT((A185-1)/37)+1</f>
        <v/>
      </c>
      <c r="C185" s="21">
        <f>MOD(A185-1,37)+1</f>
        <v/>
      </c>
      <c r="D185" s="21">
        <f>INDEX(①データ入力!$B$3:$Y$39,C185,(B185-1)*5+1)&amp;""</f>
        <v/>
      </c>
      <c r="E185" s="21">
        <f>INDEX(①データ入力!$B$3:$Y$39,C185,(B185-1)*5+2)&amp;""</f>
        <v/>
      </c>
      <c r="F185" s="21">
        <f>IF(OR(E185="1",E185="１",E185="男"),"男",IF(OR(E185="2",E185="２",E185="女"),"女",""))</f>
        <v/>
      </c>
      <c r="G185" s="21">
        <f>INDEX(①データ入力!$B$3:$Y$39,C185,(B185-1)*5+3)</f>
        <v/>
      </c>
      <c r="H185" s="21">
        <f>INDEX(①データ入力!$B$3:$Y$39,C185,(B185-1)*5+4)&amp;""</f>
        <v/>
      </c>
      <c r="I185" s="21">
        <f>IF(LEFT(TRIM(H185),1)="赤","赤",IF(LEFT(TRIM(H185),1)="白","白",""))</f>
        <v/>
      </c>
      <c r="J185" s="21">
        <f>IF(AND(D185&lt;&gt;"",F185&lt;&gt;"",I185&lt;&gt;"",ISNUMBER(G185)),F185&amp;I185,"")</f>
        <v/>
      </c>
      <c r="K185" s="21">
        <f>IF(J185="","",COUNTIFS($J$2:$J$186,J185,$G$2:$G$186,"&lt;"&amp;G185)+COUNTIFS($J$2:$J$186,J185,$G$2:$G$186,G185,$A$2:$A$186,"&lt;"&amp;A185)+1)</f>
        <v/>
      </c>
      <c r="L185" s="21">
        <f>IF(J185="","",J185&amp;K185)</f>
        <v/>
      </c>
      <c r="M185" s="21">
        <f>B185&amp;"組"</f>
        <v/>
      </c>
      <c r="N185" s="21">
        <f>IF(AND(D185&lt;&gt;"",J185=""),1,0)</f>
        <v/>
      </c>
      <c r="AK185">
        <f>IF(J185="","",IF(J185="男赤",COUNTIF($Y$2:$Y$51,"&lt;"&amp;K185),IF(J185="男白",COUNTIF($Z$2:$Z$51,"&lt;"&amp;K185),IF(J185="女赤",COUNTIF($AH$2:$AH$51,"&lt;"&amp;K185),COUNTIF($AI$2:$AI$51,"&lt;"&amp;K185))))+1)</f>
        <v/>
      </c>
      <c r="AL185">
        <f>IF(AK185="","",IF(AK185=1,0,IF(J185="男赤",INDEX($Y$2:$Y$51,AK185-1),IF(J185="男白",INDEX($Z$2:$Z$51,AK185-1),IF(J185="女赤",INDEX($AH$2:$AH$51,AK185-1),INDEX($AI$2:$AI$51,AK185-1))))))</f>
        <v/>
      </c>
      <c r="AM185">
        <f>IF(AK185="","",IF(RIGHT(J185,1)="赤",K185-AL185,IF(LEFT(J185,1)="男",INDEX($W$2:$W$51,AK185),INDEX($AF$2:$AF$51,AK185))+K185-AL185))</f>
        <v/>
      </c>
      <c r="AN185">
        <f>IF(AK185="","",F185&amp;AK185&amp;"-"&amp;AM185)</f>
        <v/>
      </c>
    </row>
    <row r="186">
      <c r="A186" s="21">
        <f>ROW()-1</f>
        <v/>
      </c>
      <c r="B186" s="21">
        <f>INT((A186-1)/37)+1</f>
        <v/>
      </c>
      <c r="C186" s="21">
        <f>MOD(A186-1,37)+1</f>
        <v/>
      </c>
      <c r="D186" s="21">
        <f>INDEX(①データ入力!$B$3:$Y$39,C186,(B186-1)*5+1)&amp;""</f>
        <v/>
      </c>
      <c r="E186" s="21">
        <f>INDEX(①データ入力!$B$3:$Y$39,C186,(B186-1)*5+2)&amp;""</f>
        <v/>
      </c>
      <c r="F186" s="21">
        <f>IF(OR(E186="1",E186="１",E186="男"),"男",IF(OR(E186="2",E186="２",E186="女"),"女",""))</f>
        <v/>
      </c>
      <c r="G186" s="21">
        <f>INDEX(①データ入力!$B$3:$Y$39,C186,(B186-1)*5+3)</f>
        <v/>
      </c>
      <c r="H186" s="21">
        <f>INDEX(①データ入力!$B$3:$Y$39,C186,(B186-1)*5+4)&amp;""</f>
        <v/>
      </c>
      <c r="I186" s="21">
        <f>IF(LEFT(TRIM(H186),1)="赤","赤",IF(LEFT(TRIM(H186),1)="白","白",""))</f>
        <v/>
      </c>
      <c r="J186" s="21">
        <f>IF(AND(D186&lt;&gt;"",F186&lt;&gt;"",I186&lt;&gt;"",ISNUMBER(G186)),F186&amp;I186,"")</f>
        <v/>
      </c>
      <c r="K186" s="21">
        <f>IF(J186="","",COUNTIFS($J$2:$J$186,J186,$G$2:$G$186,"&lt;"&amp;G186)+COUNTIFS($J$2:$J$186,J186,$G$2:$G$186,G186,$A$2:$A$186,"&lt;"&amp;A186)+1)</f>
        <v/>
      </c>
      <c r="L186" s="21">
        <f>IF(J186="","",J186&amp;K186)</f>
        <v/>
      </c>
      <c r="M186" s="21">
        <f>B186&amp;"組"</f>
        <v/>
      </c>
      <c r="N186" s="21">
        <f>IF(AND(D186&lt;&gt;"",J186=""),1,0)</f>
        <v/>
      </c>
      <c r="AK186">
        <f>IF(J186="","",IF(J186="男赤",COUNTIF($Y$2:$Y$51,"&lt;"&amp;K186),IF(J186="男白",COUNTIF($Z$2:$Z$51,"&lt;"&amp;K186),IF(J186="女赤",COUNTIF($AH$2:$AH$51,"&lt;"&amp;K186),COUNTIF($AI$2:$AI$51,"&lt;"&amp;K186))))+1)</f>
        <v/>
      </c>
      <c r="AL186">
        <f>IF(AK186="","",IF(AK186=1,0,IF(J186="男赤",INDEX($Y$2:$Y$51,AK186-1),IF(J186="男白",INDEX($Z$2:$Z$51,AK186-1),IF(J186="女赤",INDEX($AH$2:$AH$51,AK186-1),INDEX($AI$2:$AI$51,AK186-1))))))</f>
        <v/>
      </c>
      <c r="AM186">
        <f>IF(AK186="","",IF(RIGHT(J186,1)="赤",K186-AL186,IF(LEFT(J186,1)="男",INDEX($W$2:$W$51,AK186),INDEX($AF$2:$AF$51,AK186))+K186-AL186))</f>
        <v/>
      </c>
      <c r="AN186">
        <f>IF(AK186="","",F186&amp;AK186&amp;"-"&amp;AM186)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yudai kobayasi</dc:creator>
  <dc:language>en-US</dc:language>
  <dcterms:created xsi:type="dcterms:W3CDTF">2021-09-14T13:54:20Z</dcterms:created>
  <dcterms:modified xsi:type="dcterms:W3CDTF">2026-09-29T15:00:06Z</dcterms:modified>
  <cp:lastModifiedBy>馬場　久寿</cp:lastModifiedBy>
  <cp:revision>0</cp:revision>
  <cp:lastPrinted>2026-09-12T09:14:17Z</cp:lastPrinted>
</cp:coreProperties>
</file>