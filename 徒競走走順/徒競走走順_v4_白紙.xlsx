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4人組" sheetId="3" state="visible" r:id="rId3"/>
    <sheet name="手動調整" sheetId="4" state="visible" r:id="rId4"/>
    <sheet name="決定版" sheetId="5" state="visible" r:id="rId5"/>
    <sheet name="計算用" sheetId="6" state="visible" r:id="rId6"/>
  </sheets>
  <definedNames>
    <definedName name="_xlnm.Print_Area" localSheetId="1">OFFSET(組ごとタイム順!$A$1,0,0,3+MAX(計算用!$Q$2:$Q$5),17)</definedName>
    <definedName name="_xlnm.Print_Area" localSheetId="2">OFFSET('4人組'!$A$1,0,0,3+MAX(計算用!$Q$9,計算用!$Q$11),31)</definedName>
    <definedName name="_xlnm.Print_Area" localSheetId="4">OFFSET(決定版!$A$1,0,0,3+MAX(計算用!$Q$13,計算用!$Q$14),31)</definedName>
    <definedName name="_xlnm.Print_Titles" localSheetId="1">'組ごとタイム順'!$1:$3</definedName>
    <definedName name="_xlnm.Print_Titles" localSheetId="2">'4人組'!$1:$3</definedName>
    <definedName name="_xlnm.Print_Titles" localSheetId="3">'手動調整'!$3:$3</definedName>
    <definedName name="_xlnm.Print_Titles" localSheetId="4">'決定版'!$1:$3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color rgb="FFFF0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FFD96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9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2" fontId="0" fillId="0" borderId="0" pivotButton="0" quotePrefix="0" xfId="0"/>
  </cellXfs>
  <cellStyles count="2">
    <cellStyle name="標準" xfId="0" builtinId="0"/>
    <cellStyle name="標準 4" xfId="1"/>
  </cellStyles>
  <dxfs count="1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  <dxf>
      <fill>
        <patternFill patternType="solid">
          <bgColor rgb="FFDDEBF7"/>
        </patternFill>
      </fill>
      <border>
        <left style="thin"/>
        <right style="thin"/>
        <top style="thin"/>
        <bottom style="thin"/>
      </border>
    </dxf>
    <dxf>
      <font>
        <color rgb="FF999999"/>
      </font>
      <border>
        <left style="thin"/>
        <right style="thin"/>
        <top style="thin"/>
        <bottom style="thin"/>
      </border>
    </dxf>
    <dxf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>
      <c r="A1" s="6" t="n"/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n"/>
      <c r="C3" s="2" t="n"/>
      <c r="D3" s="8" t="n"/>
      <c r="E3" s="8" t="n"/>
      <c r="G3" s="4" t="n"/>
      <c r="H3" s="2" t="n"/>
      <c r="I3" s="8" t="n"/>
      <c r="J3" s="8" t="n"/>
      <c r="L3" s="4" t="n"/>
      <c r="M3" s="2" t="n"/>
      <c r="N3" s="8" t="n"/>
      <c r="O3" s="8" t="n"/>
      <c r="Q3" s="4" t="n"/>
      <c r="R3" s="2" t="n"/>
      <c r="S3" s="8" t="n"/>
      <c r="T3" s="8" t="n"/>
      <c r="V3" s="4" t="n"/>
      <c r="W3" s="2" t="n"/>
      <c r="X3" s="8" t="n"/>
      <c r="Y3" s="8" t="n"/>
    </row>
    <row r="4" ht="15" customHeight="1" s="11">
      <c r="A4" s="2" t="n">
        <v>2</v>
      </c>
      <c r="B4" s="4" t="n"/>
      <c r="C4" s="2" t="n"/>
      <c r="D4" s="8" t="n"/>
      <c r="E4" s="8" t="n"/>
      <c r="G4" s="4" t="n"/>
      <c r="H4" s="2" t="n"/>
      <c r="I4" s="8" t="n"/>
      <c r="J4" s="8" t="n"/>
      <c r="L4" s="4" t="n"/>
      <c r="M4" s="2" t="n"/>
      <c r="N4" s="8" t="n"/>
      <c r="O4" s="8" t="n"/>
      <c r="Q4" s="4" t="n"/>
      <c r="R4" s="2" t="n"/>
      <c r="S4" s="8" t="n"/>
      <c r="T4" s="8" t="n"/>
      <c r="V4" s="4" t="n"/>
      <c r="W4" s="2" t="n"/>
      <c r="X4" s="8" t="n"/>
      <c r="Y4" s="8" t="n"/>
    </row>
    <row r="5" ht="15" customHeight="1" s="11">
      <c r="A5" s="2" t="n">
        <v>3</v>
      </c>
      <c r="B5" s="4" t="n"/>
      <c r="C5" s="2" t="n"/>
      <c r="D5" s="8" t="n"/>
      <c r="E5" s="8" t="n"/>
      <c r="G5" s="4" t="n"/>
      <c r="H5" s="2" t="n"/>
      <c r="I5" s="8" t="n"/>
      <c r="J5" s="8" t="n"/>
      <c r="L5" s="4" t="n"/>
      <c r="M5" s="2" t="n"/>
      <c r="N5" s="8" t="n"/>
      <c r="O5" s="8" t="n"/>
      <c r="Q5" s="4" t="n"/>
      <c r="R5" s="2" t="n"/>
      <c r="S5" s="8" t="n"/>
      <c r="T5" s="8" t="n"/>
      <c r="V5" s="4" t="n"/>
      <c r="W5" s="2" t="n"/>
      <c r="X5" s="8" t="n"/>
      <c r="Y5" s="8" t="n"/>
    </row>
    <row r="6" ht="15" customHeight="1" s="11">
      <c r="A6" s="2" t="n">
        <v>4</v>
      </c>
      <c r="B6" s="4" t="n"/>
      <c r="C6" s="2" t="n"/>
      <c r="D6" s="8" t="n"/>
      <c r="E6" s="8" t="n"/>
      <c r="G6" s="4" t="n"/>
      <c r="H6" s="2" t="n"/>
      <c r="I6" s="8" t="n"/>
      <c r="J6" s="8" t="n"/>
      <c r="L6" s="4" t="n"/>
      <c r="M6" s="2" t="n"/>
      <c r="N6" s="8" t="n"/>
      <c r="O6" s="8" t="n"/>
      <c r="Q6" s="4" t="n"/>
      <c r="R6" s="2" t="n"/>
      <c r="S6" s="8" t="n"/>
      <c r="T6" s="8" t="n"/>
      <c r="V6" s="4" t="n"/>
      <c r="W6" s="2" t="n"/>
      <c r="X6" s="8" t="n"/>
      <c r="Y6" s="8" t="n"/>
    </row>
    <row r="7" ht="15" customHeight="1" s="11">
      <c r="A7" s="2" t="n">
        <v>5</v>
      </c>
      <c r="B7" s="4" t="n"/>
      <c r="C7" s="2" t="n"/>
      <c r="D7" s="8" t="n"/>
      <c r="E7" s="8" t="n"/>
      <c r="G7" s="4" t="n"/>
      <c r="H7" s="2" t="n"/>
      <c r="I7" s="8" t="n"/>
      <c r="J7" s="8" t="n"/>
      <c r="L7" s="4" t="n"/>
      <c r="M7" s="2" t="n"/>
      <c r="N7" s="8" t="n"/>
      <c r="O7" s="8" t="n"/>
      <c r="Q7" s="4" t="n"/>
      <c r="R7" s="2" t="n"/>
      <c r="S7" s="8" t="n"/>
      <c r="T7" s="8" t="n"/>
      <c r="V7" s="4" t="n"/>
      <c r="W7" s="2" t="n"/>
      <c r="X7" s="8" t="n"/>
      <c r="Y7" s="8" t="n"/>
    </row>
    <row r="8" ht="15" customHeight="1" s="11">
      <c r="A8" s="2" t="n">
        <v>6</v>
      </c>
      <c r="B8" s="4" t="n"/>
      <c r="C8" s="2" t="n"/>
      <c r="D8" s="8" t="n"/>
      <c r="E8" s="8" t="n"/>
      <c r="G8" s="4" t="n"/>
      <c r="H8" s="2" t="n"/>
      <c r="I8" s="8" t="n"/>
      <c r="J8" s="8" t="n"/>
      <c r="L8" s="4" t="n"/>
      <c r="M8" s="2" t="n"/>
      <c r="N8" s="8" t="n"/>
      <c r="O8" s="8" t="n"/>
      <c r="Q8" s="4" t="n"/>
      <c r="R8" s="2" t="n"/>
      <c r="S8" s="8" t="n"/>
      <c r="T8" s="8" t="n"/>
      <c r="V8" s="4" t="n"/>
      <c r="W8" s="2" t="n"/>
      <c r="X8" s="8" t="n"/>
      <c r="Y8" s="8" t="n"/>
    </row>
    <row r="9" ht="15" customHeight="1" s="11">
      <c r="A9" s="2" t="n">
        <v>7</v>
      </c>
      <c r="B9" s="4" t="n"/>
      <c r="C9" s="2" t="n"/>
      <c r="D9" s="8" t="n"/>
      <c r="E9" s="8" t="n"/>
      <c r="G9" s="4" t="n"/>
      <c r="H9" s="2" t="n"/>
      <c r="I9" s="8" t="n"/>
      <c r="J9" s="8" t="n"/>
      <c r="L9" s="4" t="n"/>
      <c r="M9" s="2" t="n"/>
      <c r="N9" s="8" t="n"/>
      <c r="O9" s="8" t="n"/>
      <c r="Q9" s="4" t="n"/>
      <c r="R9" s="2" t="n"/>
      <c r="S9" s="8" t="n"/>
      <c r="T9" s="8" t="n"/>
      <c r="V9" s="4" t="n"/>
      <c r="W9" s="2" t="n"/>
      <c r="X9" s="8" t="n"/>
      <c r="Y9" s="8" t="n"/>
    </row>
    <row r="10" ht="15" customHeight="1" s="11">
      <c r="A10" s="2" t="n">
        <v>8</v>
      </c>
      <c r="B10" s="4" t="n"/>
      <c r="C10" s="2" t="n"/>
      <c r="D10" s="8" t="n"/>
      <c r="E10" s="8" t="n"/>
      <c r="G10" s="4" t="n"/>
      <c r="H10" s="2" t="n"/>
      <c r="I10" s="8" t="n"/>
      <c r="J10" s="8" t="n"/>
      <c r="L10" s="4" t="n"/>
      <c r="M10" s="2" t="n"/>
      <c r="N10" s="8" t="n"/>
      <c r="O10" s="8" t="n"/>
      <c r="Q10" s="4" t="n"/>
      <c r="R10" s="2" t="n"/>
      <c r="S10" s="8" t="n"/>
      <c r="T10" s="8" t="n"/>
      <c r="V10" s="4" t="n"/>
      <c r="W10" s="2" t="n"/>
      <c r="X10" s="8" t="n"/>
      <c r="Y10" s="8" t="n"/>
    </row>
    <row r="11" ht="15" customHeight="1" s="11">
      <c r="A11" s="2" t="n">
        <v>9</v>
      </c>
      <c r="B11" s="4" t="n"/>
      <c r="C11" s="2" t="n"/>
      <c r="D11" s="8" t="n"/>
      <c r="E11" s="8" t="n"/>
      <c r="G11" s="4" t="n"/>
      <c r="H11" s="2" t="n"/>
      <c r="I11" s="8" t="n"/>
      <c r="J11" s="8" t="n"/>
      <c r="L11" s="4" t="n"/>
      <c r="M11" s="2" t="n"/>
      <c r="N11" s="8" t="n"/>
      <c r="O11" s="8" t="n"/>
      <c r="Q11" s="4" t="n"/>
      <c r="R11" s="2" t="n"/>
      <c r="S11" s="8" t="n"/>
      <c r="T11" s="8" t="n"/>
      <c r="V11" s="4" t="n"/>
      <c r="W11" s="2" t="n"/>
      <c r="X11" s="8" t="n"/>
      <c r="Y11" s="8" t="n"/>
    </row>
    <row r="12" ht="15" customHeight="1" s="11">
      <c r="A12" s="2" t="n">
        <v>10</v>
      </c>
      <c r="B12" s="4" t="n"/>
      <c r="C12" s="2" t="n"/>
      <c r="D12" s="8" t="n"/>
      <c r="E12" s="8" t="n"/>
      <c r="G12" s="4" t="n"/>
      <c r="H12" s="2" t="n"/>
      <c r="I12" s="8" t="n"/>
      <c r="J12" s="8" t="n"/>
      <c r="L12" s="4" t="n"/>
      <c r="M12" s="2" t="n"/>
      <c r="N12" s="8" t="n"/>
      <c r="O12" s="8" t="n"/>
      <c r="Q12" s="4" t="n"/>
      <c r="R12" s="2" t="n"/>
      <c r="S12" s="8" t="n"/>
      <c r="T12" s="8" t="n"/>
      <c r="V12" s="4" t="n"/>
      <c r="W12" s="2" t="n"/>
      <c r="X12" s="8" t="n"/>
      <c r="Y12" s="8" t="n"/>
    </row>
    <row r="13" ht="15" customHeight="1" s="11">
      <c r="A13" s="2" t="n">
        <v>11</v>
      </c>
      <c r="B13" s="4" t="n"/>
      <c r="C13" s="2" t="n"/>
      <c r="D13" s="8" t="n"/>
      <c r="E13" s="8" t="n"/>
      <c r="G13" s="4" t="n"/>
      <c r="H13" s="2" t="n"/>
      <c r="I13" s="8" t="n"/>
      <c r="J13" s="8" t="n"/>
      <c r="L13" s="4" t="n"/>
      <c r="M13" s="2" t="n"/>
      <c r="N13" s="8" t="n"/>
      <c r="O13" s="8" t="n"/>
      <c r="Q13" s="4" t="n"/>
      <c r="R13" s="2" t="n"/>
      <c r="S13" s="8" t="n"/>
      <c r="T13" s="8" t="n"/>
      <c r="V13" s="4" t="n"/>
      <c r="W13" s="2" t="n"/>
      <c r="X13" s="8" t="n"/>
      <c r="Y13" s="8" t="n"/>
    </row>
    <row r="14" ht="15" customHeight="1" s="11">
      <c r="A14" s="2" t="n">
        <v>12</v>
      </c>
      <c r="B14" s="4" t="n"/>
      <c r="C14" s="2" t="n"/>
      <c r="D14" s="8" t="n"/>
      <c r="E14" s="8" t="n"/>
      <c r="G14" s="4" t="n"/>
      <c r="H14" s="2" t="n"/>
      <c r="I14" s="8" t="n"/>
      <c r="J14" s="8" t="n"/>
      <c r="L14" s="4" t="n"/>
      <c r="M14" s="2" t="n"/>
      <c r="N14" s="8" t="n"/>
      <c r="O14" s="8" t="n"/>
      <c r="Q14" s="4" t="n"/>
      <c r="R14" s="2" t="n"/>
      <c r="S14" s="8" t="n"/>
      <c r="T14" s="8" t="n"/>
      <c r="V14" s="4" t="n"/>
      <c r="W14" s="2" t="n"/>
      <c r="X14" s="8" t="n"/>
      <c r="Y14" s="8" t="n"/>
    </row>
    <row r="15" ht="15" customHeight="1" s="11">
      <c r="A15" s="2" t="n">
        <v>13</v>
      </c>
      <c r="B15" s="4" t="n"/>
      <c r="C15" s="2" t="n"/>
      <c r="D15" s="8" t="n"/>
      <c r="E15" s="8" t="n"/>
      <c r="G15" s="4" t="n"/>
      <c r="H15" s="2" t="n"/>
      <c r="I15" s="8" t="n"/>
      <c r="J15" s="8" t="n"/>
      <c r="L15" s="4" t="n"/>
      <c r="M15" s="2" t="n"/>
      <c r="N15" s="8" t="n"/>
      <c r="O15" s="8" t="n"/>
      <c r="Q15" s="4" t="n"/>
      <c r="R15" s="2" t="n"/>
      <c r="S15" s="8" t="n"/>
      <c r="T15" s="8" t="n"/>
      <c r="V15" s="4" t="n"/>
      <c r="W15" s="2" t="n"/>
      <c r="X15" s="8" t="n"/>
      <c r="Y15" s="8" t="n"/>
    </row>
    <row r="16" ht="15" customHeight="1" s="11">
      <c r="A16" s="2" t="n">
        <v>14</v>
      </c>
      <c r="B16" s="4" t="n"/>
      <c r="C16" s="2" t="n"/>
      <c r="D16" s="8" t="n"/>
      <c r="E16" s="8" t="n"/>
      <c r="G16" s="4" t="n"/>
      <c r="H16" s="2" t="n"/>
      <c r="I16" s="8" t="n"/>
      <c r="J16" s="8" t="n"/>
      <c r="L16" s="4" t="n"/>
      <c r="M16" s="2" t="n"/>
      <c r="N16" s="8" t="n"/>
      <c r="O16" s="8" t="n"/>
      <c r="Q16" s="4" t="n"/>
      <c r="R16" s="2" t="n"/>
      <c r="S16" s="8" t="n"/>
      <c r="T16" s="8" t="n"/>
      <c r="V16" s="4" t="n"/>
      <c r="W16" s="2" t="n"/>
      <c r="X16" s="8" t="n"/>
      <c r="Y16" s="8" t="n"/>
    </row>
    <row r="17" ht="15" customHeight="1" s="11">
      <c r="A17" s="2" t="n">
        <v>15</v>
      </c>
      <c r="B17" s="4" t="n"/>
      <c r="C17" s="2" t="n"/>
      <c r="D17" s="8" t="n"/>
      <c r="E17" s="8" t="n"/>
      <c r="G17" s="4" t="n"/>
      <c r="H17" s="2" t="n"/>
      <c r="I17" s="8" t="n"/>
      <c r="J17" s="8" t="n"/>
      <c r="L17" s="4" t="n"/>
      <c r="M17" s="2" t="n"/>
      <c r="N17" s="8" t="n"/>
      <c r="O17" s="8" t="n"/>
      <c r="Q17" s="4" t="n"/>
      <c r="R17" s="2" t="n"/>
      <c r="S17" s="8" t="n"/>
      <c r="T17" s="8" t="n"/>
      <c r="V17" s="4" t="n"/>
      <c r="W17" s="2" t="n"/>
      <c r="X17" s="8" t="n"/>
      <c r="Y17" s="8" t="n"/>
    </row>
    <row r="18" ht="15" customHeight="1" s="11">
      <c r="A18" s="2" t="n">
        <v>16</v>
      </c>
      <c r="B18" s="4" t="n"/>
      <c r="C18" s="2" t="n"/>
      <c r="D18" s="8" t="n"/>
      <c r="E18" s="8" t="n"/>
      <c r="G18" s="4" t="n"/>
      <c r="H18" s="2" t="n"/>
      <c r="I18" s="8" t="n"/>
      <c r="J18" s="8" t="n"/>
      <c r="L18" s="4" t="n"/>
      <c r="M18" s="2" t="n"/>
      <c r="N18" s="8" t="n"/>
      <c r="O18" s="8" t="n"/>
      <c r="Q18" s="4" t="n"/>
      <c r="R18" s="2" t="n"/>
      <c r="S18" s="8" t="n"/>
      <c r="T18" s="8" t="n"/>
      <c r="V18" s="4" t="n"/>
      <c r="W18" s="2" t="n"/>
      <c r="X18" s="8" t="n"/>
      <c r="Y18" s="8" t="n"/>
    </row>
    <row r="19" ht="15" customHeight="1" s="11">
      <c r="A19" s="2" t="n">
        <v>17</v>
      </c>
      <c r="B19" s="4" t="n"/>
      <c r="C19" s="2" t="n"/>
      <c r="D19" s="8" t="n"/>
      <c r="E19" s="8" t="n"/>
      <c r="G19" s="4" t="n"/>
      <c r="H19" s="2" t="n"/>
      <c r="I19" s="8" t="n"/>
      <c r="J19" s="8" t="n"/>
      <c r="L19" s="4" t="n"/>
      <c r="M19" s="2" t="n"/>
      <c r="N19" s="8" t="n"/>
      <c r="O19" s="8" t="n"/>
      <c r="Q19" s="4" t="n"/>
      <c r="R19" s="2" t="n"/>
      <c r="S19" s="8" t="n"/>
      <c r="T19" s="8" t="n"/>
      <c r="V19" s="4" t="n"/>
      <c r="W19" s="2" t="n"/>
      <c r="X19" s="8" t="n"/>
      <c r="Y19" s="8" t="n"/>
    </row>
    <row r="20" ht="15" customHeight="1" s="11">
      <c r="A20" s="2" t="n">
        <v>18</v>
      </c>
      <c r="B20" s="4" t="n"/>
      <c r="C20" s="2" t="n"/>
      <c r="D20" s="8" t="n"/>
      <c r="E20" s="8" t="n"/>
      <c r="G20" s="4" t="n"/>
      <c r="H20" s="2" t="n"/>
      <c r="I20" s="8" t="n"/>
      <c r="J20" s="8" t="n"/>
      <c r="L20" s="4" t="n"/>
      <c r="M20" s="2" t="n"/>
      <c r="N20" s="8" t="n"/>
      <c r="O20" s="8" t="n"/>
      <c r="Q20" s="4" t="n"/>
      <c r="R20" s="2" t="n"/>
      <c r="S20" s="8" t="n"/>
      <c r="T20" s="8" t="n"/>
      <c r="V20" s="4" t="n"/>
      <c r="W20" s="2" t="n"/>
      <c r="X20" s="8" t="n"/>
      <c r="Y20" s="8" t="n"/>
    </row>
    <row r="21" ht="15" customHeight="1" s="11">
      <c r="A21" s="2" t="n">
        <v>19</v>
      </c>
      <c r="B21" s="4" t="n"/>
      <c r="C21" s="2" t="n"/>
      <c r="D21" s="8" t="n"/>
      <c r="E21" s="8" t="n"/>
      <c r="G21" s="4" t="n"/>
      <c r="H21" s="2" t="n"/>
      <c r="I21" s="8" t="n"/>
      <c r="J21" s="8" t="n"/>
      <c r="L21" s="4" t="n"/>
      <c r="M21" s="2" t="n"/>
      <c r="N21" s="8" t="n"/>
      <c r="O21" s="8" t="n"/>
      <c r="Q21" s="4" t="n"/>
      <c r="R21" s="2" t="n"/>
      <c r="S21" s="8" t="n"/>
      <c r="T21" s="8" t="n"/>
      <c r="V21" s="4" t="n"/>
      <c r="W21" s="2" t="n"/>
      <c r="X21" s="8" t="n"/>
      <c r="Y21" s="8" t="n"/>
    </row>
    <row r="22" ht="15" customHeight="1" s="11">
      <c r="A22" s="2" t="n">
        <v>20</v>
      </c>
      <c r="B22" s="4" t="n"/>
      <c r="C22" s="2" t="n"/>
      <c r="D22" s="8" t="n"/>
      <c r="E22" s="8" t="n"/>
      <c r="G22" s="4" t="n"/>
      <c r="H22" s="2" t="n"/>
      <c r="I22" s="8" t="n"/>
      <c r="J22" s="8" t="n"/>
      <c r="L22" s="4" t="n"/>
      <c r="M22" s="2" t="n"/>
      <c r="N22" s="8" t="n"/>
      <c r="O22" s="8" t="n"/>
      <c r="Q22" s="4" t="n"/>
      <c r="R22" s="2" t="n"/>
      <c r="S22" s="8" t="n"/>
      <c r="T22" s="8" t="n"/>
      <c r="V22" s="4" t="n"/>
      <c r="W22" s="2" t="n"/>
      <c r="X22" s="8" t="n"/>
      <c r="Y22" s="8" t="n"/>
    </row>
    <row r="23" ht="15" customHeight="1" s="11">
      <c r="A23" s="2" t="n">
        <v>21</v>
      </c>
      <c r="B23" s="4" t="n"/>
      <c r="C23" s="2" t="n"/>
      <c r="D23" s="8" t="n"/>
      <c r="E23" s="8" t="n"/>
      <c r="G23" s="4" t="n"/>
      <c r="H23" s="2" t="n"/>
      <c r="I23" s="8" t="n"/>
      <c r="J23" s="8" t="n"/>
      <c r="L23" s="4" t="n"/>
      <c r="M23" s="2" t="n"/>
      <c r="N23" s="8" t="n"/>
      <c r="O23" s="8" t="n"/>
      <c r="Q23" s="4" t="n"/>
      <c r="R23" s="2" t="n"/>
      <c r="S23" s="8" t="n"/>
      <c r="T23" s="8" t="n"/>
      <c r="V23" s="4" t="n"/>
      <c r="W23" s="2" t="n"/>
      <c r="X23" s="8" t="n"/>
      <c r="Y23" s="8" t="n"/>
    </row>
    <row r="24" ht="15" customHeight="1" s="11">
      <c r="A24" s="2" t="n">
        <v>22</v>
      </c>
      <c r="B24" s="4" t="n"/>
      <c r="C24" s="2" t="n"/>
      <c r="D24" s="8" t="n"/>
      <c r="E24" s="8" t="n"/>
      <c r="G24" s="4" t="n"/>
      <c r="H24" s="2" t="n"/>
      <c r="I24" s="8" t="n"/>
      <c r="J24" s="8" t="n"/>
      <c r="L24" s="4" t="n"/>
      <c r="M24" s="2" t="n"/>
      <c r="N24" s="8" t="n"/>
      <c r="O24" s="8" t="n"/>
      <c r="Q24" s="4" t="n"/>
      <c r="R24" s="2" t="n"/>
      <c r="S24" s="8" t="n"/>
      <c r="T24" s="8" t="n"/>
      <c r="V24" s="4" t="n"/>
      <c r="W24" s="2" t="n"/>
      <c r="X24" s="8" t="n"/>
      <c r="Y24" s="8" t="n"/>
    </row>
    <row r="25" ht="15" customHeight="1" s="11">
      <c r="A25" s="2" t="n">
        <v>23</v>
      </c>
      <c r="B25" s="4" t="n"/>
      <c r="C25" s="2" t="n"/>
      <c r="D25" s="8" t="n"/>
      <c r="E25" s="8" t="n"/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n"/>
      <c r="C26" s="2" t="n"/>
      <c r="D26" s="8" t="n"/>
      <c r="E26" s="8" t="n"/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2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IF(SUMPRODUCT((計算用!$T$2:$T$51&gt;0)*(((計算用!$T$2:$T$51&lt;&gt;4)+(計算用!$W$2:$W$51&lt;&gt;2))&gt;0))&gt;0,"※黄色の組は、人数の都合で調整した組です","")</f>
        <v/>
      </c>
      <c r="Q1" s="23" t="inlineStr">
        <is>
          <t>女子</t>
        </is>
      </c>
      <c r="T1" s="24">
        <f>IF(SUMPRODUCT((計算用!$AC$2:$AC$51&gt;0)*(((計算用!$AC$2:$AC$51&lt;&gt;4)+(計算用!$AF$2:$AF$51&lt;&gt;2))&gt;0))&gt;0,"※黄色の組は、人数の都合で調整した組です","")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IF(ROW()-3&lt;=計算用!$Q$9,ROW()-3,"")</f>
        <v/>
      </c>
      <c r="B4" s="26">
        <f>IF($A4="","",INDEX(計算用!$T$2:$T$51,$A4))</f>
        <v/>
      </c>
      <c r="C4" s="26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6">
        <f>IF($A4="","",IFERROR(INDEX(計算用!$M$2:$M$186,MATCH("男"&amp;$A4&amp;"-1",計算用!$AN$2:$AN$186,0)),""))</f>
        <v/>
      </c>
      <c r="F4" s="26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6">
        <f>IF($A4="","",IFERROR(INDEX(計算用!$M$2:$M$186,MATCH("男"&amp;$A4&amp;"-2",計算用!$AN$2:$AN$186,0)),""))</f>
        <v/>
      </c>
      <c r="I4" s="26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6">
        <f>IF($A4="","",IFERROR(INDEX(計算用!$M$2:$M$186,MATCH("男"&amp;$A4&amp;"-3",計算用!$AN$2:$AN$186,0)),""))</f>
        <v/>
      </c>
      <c r="L4" s="26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6">
        <f>IF($A4="","",IFERROR(INDEX(計算用!$M$2:$M$186,MATCH("男"&amp;$A4&amp;"-4",計算用!$AN$2:$AN$186,0)),""))</f>
        <v/>
      </c>
      <c r="O4" s="26">
        <f>IF($A4="","",IFERROR(INDEX(計算用!$I$2:$I$186,MATCH("男"&amp;$A4&amp;"-4",計算用!$AN$2:$AN$186,0)),""))</f>
        <v/>
      </c>
      <c r="Q4" s="26">
        <f>IF(ROW()-3&lt;=計算用!$Q$11,ROW()-3,"")</f>
        <v/>
      </c>
      <c r="R4" s="26">
        <f>IF($Q4="","",INDEX(計算用!$AC$2:$AC$51,$Q4))</f>
        <v/>
      </c>
      <c r="S4" s="26">
        <f>IF($Q4="","","赤"&amp;INDEX(計算用!$AF$2:$AF$51,$Q4)&amp;"白"&amp;INDEX(計算用!$AG$2:$AG$51,$Q4))</f>
        <v/>
      </c>
      <c r="T4">
        <f>IF($Q4="","",IFERROR(INDEX(計算用!$D$2:$D$186,MATCH("女"&amp;$Q4&amp;"-1",計算用!$AN$2:$AN$186,0)),""))</f>
        <v/>
      </c>
      <c r="U4" s="26">
        <f>IF($Q4="","",IFERROR(INDEX(計算用!$M$2:$M$186,MATCH("女"&amp;$Q4&amp;"-1",計算用!$AN$2:$AN$186,0)),""))</f>
        <v/>
      </c>
      <c r="V4" s="26">
        <f>IF($Q4="","",IFERROR(INDEX(計算用!$I$2:$I$186,MATCH("女"&amp;$Q4&amp;"-1",計算用!$AN$2:$AN$186,0)),""))</f>
        <v/>
      </c>
      <c r="W4">
        <f>IF($Q4="","",IFERROR(INDEX(計算用!$D$2:$D$186,MATCH("女"&amp;$Q4&amp;"-2",計算用!$AN$2:$AN$186,0)),""))</f>
        <v/>
      </c>
      <c r="X4" s="26">
        <f>IF($Q4="","",IFERROR(INDEX(計算用!$M$2:$M$186,MATCH("女"&amp;$Q4&amp;"-2",計算用!$AN$2:$AN$186,0)),""))</f>
        <v/>
      </c>
      <c r="Y4" s="26">
        <f>IF($Q4="","",IFERROR(INDEX(計算用!$I$2:$I$186,MATCH("女"&amp;$Q4&amp;"-2",計算用!$AN$2:$AN$186,0)),""))</f>
        <v/>
      </c>
      <c r="Z4">
        <f>IF($Q4="","",IFERROR(INDEX(計算用!$D$2:$D$186,MATCH("女"&amp;$Q4&amp;"-3",計算用!$AN$2:$AN$186,0)),""))</f>
        <v/>
      </c>
      <c r="AA4" s="26">
        <f>IF($Q4="","",IFERROR(INDEX(計算用!$M$2:$M$186,MATCH("女"&amp;$Q4&amp;"-3",計算用!$AN$2:$AN$186,0)),""))</f>
        <v/>
      </c>
      <c r="AB4" s="26">
        <f>IF($Q4="","",IFERROR(INDEX(計算用!$I$2:$I$186,MATCH("女"&amp;$Q4&amp;"-3",計算用!$AN$2:$AN$186,0)),""))</f>
        <v/>
      </c>
      <c r="AC4">
        <f>IF($Q4="","",IFERROR(INDEX(計算用!$D$2:$D$186,MATCH("女"&amp;$Q4&amp;"-4",計算用!$AN$2:$AN$186,0)),""))</f>
        <v/>
      </c>
      <c r="AD4" s="26">
        <f>IF($Q4="","",IFERROR(INDEX(計算用!$M$2:$M$186,MATCH("女"&amp;$Q4&amp;"-4",計算用!$AN$2:$AN$186,0)),""))</f>
        <v/>
      </c>
      <c r="AE4" s="26">
        <f>IF($Q4="","",IFERROR(INDEX(計算用!$I$2:$I$186,MATCH("女"&amp;$Q4&amp;"-4",計算用!$AN$2:$AN$186,0)),""))</f>
        <v/>
      </c>
    </row>
    <row r="5">
      <c r="A5" s="26">
        <f>IF(ROW()-3&lt;=計算用!$Q$9,ROW()-3,"")</f>
        <v/>
      </c>
      <c r="B5" s="26">
        <f>IF($A5="","",INDEX(計算用!$T$2:$T$51,$A5))</f>
        <v/>
      </c>
      <c r="C5" s="26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6">
        <f>IF($A5="","",IFERROR(INDEX(計算用!$M$2:$M$186,MATCH("男"&amp;$A5&amp;"-1",計算用!$AN$2:$AN$186,0)),""))</f>
        <v/>
      </c>
      <c r="F5" s="26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6">
        <f>IF($A5="","",IFERROR(INDEX(計算用!$M$2:$M$186,MATCH("男"&amp;$A5&amp;"-2",計算用!$AN$2:$AN$186,0)),""))</f>
        <v/>
      </c>
      <c r="I5" s="26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6">
        <f>IF($A5="","",IFERROR(INDEX(計算用!$M$2:$M$186,MATCH("男"&amp;$A5&amp;"-3",計算用!$AN$2:$AN$186,0)),""))</f>
        <v/>
      </c>
      <c r="L5" s="26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6">
        <f>IF($A5="","",IFERROR(INDEX(計算用!$M$2:$M$186,MATCH("男"&amp;$A5&amp;"-4",計算用!$AN$2:$AN$186,0)),""))</f>
        <v/>
      </c>
      <c r="O5" s="26">
        <f>IF($A5="","",IFERROR(INDEX(計算用!$I$2:$I$186,MATCH("男"&amp;$A5&amp;"-4",計算用!$AN$2:$AN$186,0)),""))</f>
        <v/>
      </c>
      <c r="Q5" s="26">
        <f>IF(ROW()-3&lt;=計算用!$Q$11,ROW()-3,"")</f>
        <v/>
      </c>
      <c r="R5" s="26">
        <f>IF($Q5="","",INDEX(計算用!$AC$2:$AC$51,$Q5))</f>
        <v/>
      </c>
      <c r="S5" s="26">
        <f>IF($Q5="","","赤"&amp;INDEX(計算用!$AF$2:$AF$51,$Q5)&amp;"白"&amp;INDEX(計算用!$AG$2:$AG$51,$Q5))</f>
        <v/>
      </c>
      <c r="T5">
        <f>IF($Q5="","",IFERROR(INDEX(計算用!$D$2:$D$186,MATCH("女"&amp;$Q5&amp;"-1",計算用!$AN$2:$AN$186,0)),""))</f>
        <v/>
      </c>
      <c r="U5" s="26">
        <f>IF($Q5="","",IFERROR(INDEX(計算用!$M$2:$M$186,MATCH("女"&amp;$Q5&amp;"-1",計算用!$AN$2:$AN$186,0)),""))</f>
        <v/>
      </c>
      <c r="V5" s="26">
        <f>IF($Q5="","",IFERROR(INDEX(計算用!$I$2:$I$186,MATCH("女"&amp;$Q5&amp;"-1",計算用!$AN$2:$AN$186,0)),""))</f>
        <v/>
      </c>
      <c r="W5">
        <f>IF($Q5="","",IFERROR(INDEX(計算用!$D$2:$D$186,MATCH("女"&amp;$Q5&amp;"-2",計算用!$AN$2:$AN$186,0)),""))</f>
        <v/>
      </c>
      <c r="X5" s="26">
        <f>IF($Q5="","",IFERROR(INDEX(計算用!$M$2:$M$186,MATCH("女"&amp;$Q5&amp;"-2",計算用!$AN$2:$AN$186,0)),""))</f>
        <v/>
      </c>
      <c r="Y5" s="26">
        <f>IF($Q5="","",IFERROR(INDEX(計算用!$I$2:$I$186,MATCH("女"&amp;$Q5&amp;"-2",計算用!$AN$2:$AN$186,0)),""))</f>
        <v/>
      </c>
      <c r="Z5">
        <f>IF($Q5="","",IFERROR(INDEX(計算用!$D$2:$D$186,MATCH("女"&amp;$Q5&amp;"-3",計算用!$AN$2:$AN$186,0)),""))</f>
        <v/>
      </c>
      <c r="AA5" s="26">
        <f>IF($Q5="","",IFERROR(INDEX(計算用!$M$2:$M$186,MATCH("女"&amp;$Q5&amp;"-3",計算用!$AN$2:$AN$186,0)),""))</f>
        <v/>
      </c>
      <c r="AB5" s="26">
        <f>IF($Q5="","",IFERROR(INDEX(計算用!$I$2:$I$186,MATCH("女"&amp;$Q5&amp;"-3",計算用!$AN$2:$AN$186,0)),""))</f>
        <v/>
      </c>
      <c r="AC5">
        <f>IF($Q5="","",IFERROR(INDEX(計算用!$D$2:$D$186,MATCH("女"&amp;$Q5&amp;"-4",計算用!$AN$2:$AN$186,0)),""))</f>
        <v/>
      </c>
      <c r="AD5" s="26">
        <f>IF($Q5="","",IFERROR(INDEX(計算用!$M$2:$M$186,MATCH("女"&amp;$Q5&amp;"-4",計算用!$AN$2:$AN$186,0)),""))</f>
        <v/>
      </c>
      <c r="AE5" s="26">
        <f>IF($Q5="","",IFERROR(INDEX(計算用!$I$2:$I$186,MATCH("女"&amp;$Q5&amp;"-4",計算用!$AN$2:$AN$186,0)),""))</f>
        <v/>
      </c>
    </row>
    <row r="6">
      <c r="A6" s="26">
        <f>IF(ROW()-3&lt;=計算用!$Q$9,ROW()-3,"")</f>
        <v/>
      </c>
      <c r="B6" s="26">
        <f>IF($A6="","",INDEX(計算用!$T$2:$T$51,$A6))</f>
        <v/>
      </c>
      <c r="C6" s="26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6">
        <f>IF($A6="","",IFERROR(INDEX(計算用!$M$2:$M$186,MATCH("男"&amp;$A6&amp;"-1",計算用!$AN$2:$AN$186,0)),""))</f>
        <v/>
      </c>
      <c r="F6" s="26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6">
        <f>IF($A6="","",IFERROR(INDEX(計算用!$M$2:$M$186,MATCH("男"&amp;$A6&amp;"-2",計算用!$AN$2:$AN$186,0)),""))</f>
        <v/>
      </c>
      <c r="I6" s="26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6">
        <f>IF($A6="","",IFERROR(INDEX(計算用!$M$2:$M$186,MATCH("男"&amp;$A6&amp;"-3",計算用!$AN$2:$AN$186,0)),""))</f>
        <v/>
      </c>
      <c r="L6" s="26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6">
        <f>IF($A6="","",IFERROR(INDEX(計算用!$M$2:$M$186,MATCH("男"&amp;$A6&amp;"-4",計算用!$AN$2:$AN$186,0)),""))</f>
        <v/>
      </c>
      <c r="O6" s="26">
        <f>IF($A6="","",IFERROR(INDEX(計算用!$I$2:$I$186,MATCH("男"&amp;$A6&amp;"-4",計算用!$AN$2:$AN$186,0)),""))</f>
        <v/>
      </c>
      <c r="Q6" s="26">
        <f>IF(ROW()-3&lt;=計算用!$Q$11,ROW()-3,"")</f>
        <v/>
      </c>
      <c r="R6" s="26">
        <f>IF($Q6="","",INDEX(計算用!$AC$2:$AC$51,$Q6))</f>
        <v/>
      </c>
      <c r="S6" s="26">
        <f>IF($Q6="","","赤"&amp;INDEX(計算用!$AF$2:$AF$51,$Q6)&amp;"白"&amp;INDEX(計算用!$AG$2:$AG$51,$Q6))</f>
        <v/>
      </c>
      <c r="T6">
        <f>IF($Q6="","",IFERROR(INDEX(計算用!$D$2:$D$186,MATCH("女"&amp;$Q6&amp;"-1",計算用!$AN$2:$AN$186,0)),""))</f>
        <v/>
      </c>
      <c r="U6" s="26">
        <f>IF($Q6="","",IFERROR(INDEX(計算用!$M$2:$M$186,MATCH("女"&amp;$Q6&amp;"-1",計算用!$AN$2:$AN$186,0)),""))</f>
        <v/>
      </c>
      <c r="V6" s="26">
        <f>IF($Q6="","",IFERROR(INDEX(計算用!$I$2:$I$186,MATCH("女"&amp;$Q6&amp;"-1",計算用!$AN$2:$AN$186,0)),""))</f>
        <v/>
      </c>
      <c r="W6">
        <f>IF($Q6="","",IFERROR(INDEX(計算用!$D$2:$D$186,MATCH("女"&amp;$Q6&amp;"-2",計算用!$AN$2:$AN$186,0)),""))</f>
        <v/>
      </c>
      <c r="X6" s="26">
        <f>IF($Q6="","",IFERROR(INDEX(計算用!$M$2:$M$186,MATCH("女"&amp;$Q6&amp;"-2",計算用!$AN$2:$AN$186,0)),""))</f>
        <v/>
      </c>
      <c r="Y6" s="26">
        <f>IF($Q6="","",IFERROR(INDEX(計算用!$I$2:$I$186,MATCH("女"&amp;$Q6&amp;"-2",計算用!$AN$2:$AN$186,0)),""))</f>
        <v/>
      </c>
      <c r="Z6">
        <f>IF($Q6="","",IFERROR(INDEX(計算用!$D$2:$D$186,MATCH("女"&amp;$Q6&amp;"-3",計算用!$AN$2:$AN$186,0)),""))</f>
        <v/>
      </c>
      <c r="AA6" s="26">
        <f>IF($Q6="","",IFERROR(INDEX(計算用!$M$2:$M$186,MATCH("女"&amp;$Q6&amp;"-3",計算用!$AN$2:$AN$186,0)),""))</f>
        <v/>
      </c>
      <c r="AB6" s="26">
        <f>IF($Q6="","",IFERROR(INDEX(計算用!$I$2:$I$186,MATCH("女"&amp;$Q6&amp;"-3",計算用!$AN$2:$AN$186,0)),""))</f>
        <v/>
      </c>
      <c r="AC6">
        <f>IF($Q6="","",IFERROR(INDEX(計算用!$D$2:$D$186,MATCH("女"&amp;$Q6&amp;"-4",計算用!$AN$2:$AN$186,0)),""))</f>
        <v/>
      </c>
      <c r="AD6" s="26">
        <f>IF($Q6="","",IFERROR(INDEX(計算用!$M$2:$M$186,MATCH("女"&amp;$Q6&amp;"-4",計算用!$AN$2:$AN$186,0)),""))</f>
        <v/>
      </c>
      <c r="AE6" s="26">
        <f>IF($Q6="","",IFERROR(INDEX(計算用!$I$2:$I$186,MATCH("女"&amp;$Q6&amp;"-4",計算用!$AN$2:$AN$186,0)),""))</f>
        <v/>
      </c>
    </row>
    <row r="7">
      <c r="A7" s="26">
        <f>IF(ROW()-3&lt;=計算用!$Q$9,ROW()-3,"")</f>
        <v/>
      </c>
      <c r="B7" s="26">
        <f>IF($A7="","",INDEX(計算用!$T$2:$T$51,$A7))</f>
        <v/>
      </c>
      <c r="C7" s="26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6">
        <f>IF($A7="","",IFERROR(INDEX(計算用!$M$2:$M$186,MATCH("男"&amp;$A7&amp;"-1",計算用!$AN$2:$AN$186,0)),""))</f>
        <v/>
      </c>
      <c r="F7" s="26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6">
        <f>IF($A7="","",IFERROR(INDEX(計算用!$M$2:$M$186,MATCH("男"&amp;$A7&amp;"-2",計算用!$AN$2:$AN$186,0)),""))</f>
        <v/>
      </c>
      <c r="I7" s="26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6">
        <f>IF($A7="","",IFERROR(INDEX(計算用!$M$2:$M$186,MATCH("男"&amp;$A7&amp;"-3",計算用!$AN$2:$AN$186,0)),""))</f>
        <v/>
      </c>
      <c r="L7" s="26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6">
        <f>IF($A7="","",IFERROR(INDEX(計算用!$M$2:$M$186,MATCH("男"&amp;$A7&amp;"-4",計算用!$AN$2:$AN$186,0)),""))</f>
        <v/>
      </c>
      <c r="O7" s="26">
        <f>IF($A7="","",IFERROR(INDEX(計算用!$I$2:$I$186,MATCH("男"&amp;$A7&amp;"-4",計算用!$AN$2:$AN$186,0)),""))</f>
        <v/>
      </c>
      <c r="Q7" s="26">
        <f>IF(ROW()-3&lt;=計算用!$Q$11,ROW()-3,"")</f>
        <v/>
      </c>
      <c r="R7" s="26">
        <f>IF($Q7="","",INDEX(計算用!$AC$2:$AC$51,$Q7))</f>
        <v/>
      </c>
      <c r="S7" s="26">
        <f>IF($Q7="","","赤"&amp;INDEX(計算用!$AF$2:$AF$51,$Q7)&amp;"白"&amp;INDEX(計算用!$AG$2:$AG$51,$Q7))</f>
        <v/>
      </c>
      <c r="T7">
        <f>IF($Q7="","",IFERROR(INDEX(計算用!$D$2:$D$186,MATCH("女"&amp;$Q7&amp;"-1",計算用!$AN$2:$AN$186,0)),""))</f>
        <v/>
      </c>
      <c r="U7" s="26">
        <f>IF($Q7="","",IFERROR(INDEX(計算用!$M$2:$M$186,MATCH("女"&amp;$Q7&amp;"-1",計算用!$AN$2:$AN$186,0)),""))</f>
        <v/>
      </c>
      <c r="V7" s="26">
        <f>IF($Q7="","",IFERROR(INDEX(計算用!$I$2:$I$186,MATCH("女"&amp;$Q7&amp;"-1",計算用!$AN$2:$AN$186,0)),""))</f>
        <v/>
      </c>
      <c r="W7">
        <f>IF($Q7="","",IFERROR(INDEX(計算用!$D$2:$D$186,MATCH("女"&amp;$Q7&amp;"-2",計算用!$AN$2:$AN$186,0)),""))</f>
        <v/>
      </c>
      <c r="X7" s="26">
        <f>IF($Q7="","",IFERROR(INDEX(計算用!$M$2:$M$186,MATCH("女"&amp;$Q7&amp;"-2",計算用!$AN$2:$AN$186,0)),""))</f>
        <v/>
      </c>
      <c r="Y7" s="26">
        <f>IF($Q7="","",IFERROR(INDEX(計算用!$I$2:$I$186,MATCH("女"&amp;$Q7&amp;"-2",計算用!$AN$2:$AN$186,0)),""))</f>
        <v/>
      </c>
      <c r="Z7">
        <f>IF($Q7="","",IFERROR(INDEX(計算用!$D$2:$D$186,MATCH("女"&amp;$Q7&amp;"-3",計算用!$AN$2:$AN$186,0)),""))</f>
        <v/>
      </c>
      <c r="AA7" s="26">
        <f>IF($Q7="","",IFERROR(INDEX(計算用!$M$2:$M$186,MATCH("女"&amp;$Q7&amp;"-3",計算用!$AN$2:$AN$186,0)),""))</f>
        <v/>
      </c>
      <c r="AB7" s="26">
        <f>IF($Q7="","",IFERROR(INDEX(計算用!$I$2:$I$186,MATCH("女"&amp;$Q7&amp;"-3",計算用!$AN$2:$AN$186,0)),""))</f>
        <v/>
      </c>
      <c r="AC7">
        <f>IF($Q7="","",IFERROR(INDEX(計算用!$D$2:$D$186,MATCH("女"&amp;$Q7&amp;"-4",計算用!$AN$2:$AN$186,0)),""))</f>
        <v/>
      </c>
      <c r="AD7" s="26">
        <f>IF($Q7="","",IFERROR(INDEX(計算用!$M$2:$M$186,MATCH("女"&amp;$Q7&amp;"-4",計算用!$AN$2:$AN$186,0)),""))</f>
        <v/>
      </c>
      <c r="AE7" s="26">
        <f>IF($Q7="","",IFERROR(INDEX(計算用!$I$2:$I$186,MATCH("女"&amp;$Q7&amp;"-4",計算用!$AN$2:$AN$186,0)),""))</f>
        <v/>
      </c>
    </row>
    <row r="8">
      <c r="A8" s="26">
        <f>IF(ROW()-3&lt;=計算用!$Q$9,ROW()-3,"")</f>
        <v/>
      </c>
      <c r="B8" s="26">
        <f>IF($A8="","",INDEX(計算用!$T$2:$T$51,$A8))</f>
        <v/>
      </c>
      <c r="C8" s="26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6">
        <f>IF($A8="","",IFERROR(INDEX(計算用!$M$2:$M$186,MATCH("男"&amp;$A8&amp;"-1",計算用!$AN$2:$AN$186,0)),""))</f>
        <v/>
      </c>
      <c r="F8" s="26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6">
        <f>IF($A8="","",IFERROR(INDEX(計算用!$M$2:$M$186,MATCH("男"&amp;$A8&amp;"-2",計算用!$AN$2:$AN$186,0)),""))</f>
        <v/>
      </c>
      <c r="I8" s="26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6">
        <f>IF($A8="","",IFERROR(INDEX(計算用!$M$2:$M$186,MATCH("男"&amp;$A8&amp;"-3",計算用!$AN$2:$AN$186,0)),""))</f>
        <v/>
      </c>
      <c r="L8" s="26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6">
        <f>IF($A8="","",IFERROR(INDEX(計算用!$M$2:$M$186,MATCH("男"&amp;$A8&amp;"-4",計算用!$AN$2:$AN$186,0)),""))</f>
        <v/>
      </c>
      <c r="O8" s="26">
        <f>IF($A8="","",IFERROR(INDEX(計算用!$I$2:$I$186,MATCH("男"&amp;$A8&amp;"-4",計算用!$AN$2:$AN$186,0)),""))</f>
        <v/>
      </c>
      <c r="Q8" s="26">
        <f>IF(ROW()-3&lt;=計算用!$Q$11,ROW()-3,"")</f>
        <v/>
      </c>
      <c r="R8" s="26">
        <f>IF($Q8="","",INDEX(計算用!$AC$2:$AC$51,$Q8))</f>
        <v/>
      </c>
      <c r="S8" s="26">
        <f>IF($Q8="","","赤"&amp;INDEX(計算用!$AF$2:$AF$51,$Q8)&amp;"白"&amp;INDEX(計算用!$AG$2:$AG$51,$Q8))</f>
        <v/>
      </c>
      <c r="T8">
        <f>IF($Q8="","",IFERROR(INDEX(計算用!$D$2:$D$186,MATCH("女"&amp;$Q8&amp;"-1",計算用!$AN$2:$AN$186,0)),""))</f>
        <v/>
      </c>
      <c r="U8" s="26">
        <f>IF($Q8="","",IFERROR(INDEX(計算用!$M$2:$M$186,MATCH("女"&amp;$Q8&amp;"-1",計算用!$AN$2:$AN$186,0)),""))</f>
        <v/>
      </c>
      <c r="V8" s="26">
        <f>IF($Q8="","",IFERROR(INDEX(計算用!$I$2:$I$186,MATCH("女"&amp;$Q8&amp;"-1",計算用!$AN$2:$AN$186,0)),""))</f>
        <v/>
      </c>
      <c r="W8">
        <f>IF($Q8="","",IFERROR(INDEX(計算用!$D$2:$D$186,MATCH("女"&amp;$Q8&amp;"-2",計算用!$AN$2:$AN$186,0)),""))</f>
        <v/>
      </c>
      <c r="X8" s="26">
        <f>IF($Q8="","",IFERROR(INDEX(計算用!$M$2:$M$186,MATCH("女"&amp;$Q8&amp;"-2",計算用!$AN$2:$AN$186,0)),""))</f>
        <v/>
      </c>
      <c r="Y8" s="26">
        <f>IF($Q8="","",IFERROR(INDEX(計算用!$I$2:$I$186,MATCH("女"&amp;$Q8&amp;"-2",計算用!$AN$2:$AN$186,0)),""))</f>
        <v/>
      </c>
      <c r="Z8">
        <f>IF($Q8="","",IFERROR(INDEX(計算用!$D$2:$D$186,MATCH("女"&amp;$Q8&amp;"-3",計算用!$AN$2:$AN$186,0)),""))</f>
        <v/>
      </c>
      <c r="AA8" s="26">
        <f>IF($Q8="","",IFERROR(INDEX(計算用!$M$2:$M$186,MATCH("女"&amp;$Q8&amp;"-3",計算用!$AN$2:$AN$186,0)),""))</f>
        <v/>
      </c>
      <c r="AB8" s="26">
        <f>IF($Q8="","",IFERROR(INDEX(計算用!$I$2:$I$186,MATCH("女"&amp;$Q8&amp;"-3",計算用!$AN$2:$AN$186,0)),""))</f>
        <v/>
      </c>
      <c r="AC8">
        <f>IF($Q8="","",IFERROR(INDEX(計算用!$D$2:$D$186,MATCH("女"&amp;$Q8&amp;"-4",計算用!$AN$2:$AN$186,0)),""))</f>
        <v/>
      </c>
      <c r="AD8" s="26">
        <f>IF($Q8="","",IFERROR(INDEX(計算用!$M$2:$M$186,MATCH("女"&amp;$Q8&amp;"-4",計算用!$AN$2:$AN$186,0)),""))</f>
        <v/>
      </c>
      <c r="AE8" s="26">
        <f>IF($Q8="","",IFERROR(INDEX(計算用!$I$2:$I$186,MATCH("女"&amp;$Q8&amp;"-4",計算用!$AN$2:$AN$186,0)),""))</f>
        <v/>
      </c>
    </row>
    <row r="9">
      <c r="A9" s="26">
        <f>IF(ROW()-3&lt;=計算用!$Q$9,ROW()-3,"")</f>
        <v/>
      </c>
      <c r="B9" s="26">
        <f>IF($A9="","",INDEX(計算用!$T$2:$T$51,$A9))</f>
        <v/>
      </c>
      <c r="C9" s="26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6">
        <f>IF($A9="","",IFERROR(INDEX(計算用!$M$2:$M$186,MATCH("男"&amp;$A9&amp;"-1",計算用!$AN$2:$AN$186,0)),""))</f>
        <v/>
      </c>
      <c r="F9" s="26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6">
        <f>IF($A9="","",IFERROR(INDEX(計算用!$M$2:$M$186,MATCH("男"&amp;$A9&amp;"-2",計算用!$AN$2:$AN$186,0)),""))</f>
        <v/>
      </c>
      <c r="I9" s="26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6">
        <f>IF($A9="","",IFERROR(INDEX(計算用!$M$2:$M$186,MATCH("男"&amp;$A9&amp;"-3",計算用!$AN$2:$AN$186,0)),""))</f>
        <v/>
      </c>
      <c r="L9" s="26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6">
        <f>IF($A9="","",IFERROR(INDEX(計算用!$M$2:$M$186,MATCH("男"&amp;$A9&amp;"-4",計算用!$AN$2:$AN$186,0)),""))</f>
        <v/>
      </c>
      <c r="O9" s="26">
        <f>IF($A9="","",IFERROR(INDEX(計算用!$I$2:$I$186,MATCH("男"&amp;$A9&amp;"-4",計算用!$AN$2:$AN$186,0)),""))</f>
        <v/>
      </c>
      <c r="Q9" s="26">
        <f>IF(ROW()-3&lt;=計算用!$Q$11,ROW()-3,"")</f>
        <v/>
      </c>
      <c r="R9" s="26">
        <f>IF($Q9="","",INDEX(計算用!$AC$2:$AC$51,$Q9))</f>
        <v/>
      </c>
      <c r="S9" s="26">
        <f>IF($Q9="","","赤"&amp;INDEX(計算用!$AF$2:$AF$51,$Q9)&amp;"白"&amp;INDEX(計算用!$AG$2:$AG$51,$Q9))</f>
        <v/>
      </c>
      <c r="T9">
        <f>IF($Q9="","",IFERROR(INDEX(計算用!$D$2:$D$186,MATCH("女"&amp;$Q9&amp;"-1",計算用!$AN$2:$AN$186,0)),""))</f>
        <v/>
      </c>
      <c r="U9" s="26">
        <f>IF($Q9="","",IFERROR(INDEX(計算用!$M$2:$M$186,MATCH("女"&amp;$Q9&amp;"-1",計算用!$AN$2:$AN$186,0)),""))</f>
        <v/>
      </c>
      <c r="V9" s="26">
        <f>IF($Q9="","",IFERROR(INDEX(計算用!$I$2:$I$186,MATCH("女"&amp;$Q9&amp;"-1",計算用!$AN$2:$AN$186,0)),""))</f>
        <v/>
      </c>
      <c r="W9">
        <f>IF($Q9="","",IFERROR(INDEX(計算用!$D$2:$D$186,MATCH("女"&amp;$Q9&amp;"-2",計算用!$AN$2:$AN$186,0)),""))</f>
        <v/>
      </c>
      <c r="X9" s="26">
        <f>IF($Q9="","",IFERROR(INDEX(計算用!$M$2:$M$186,MATCH("女"&amp;$Q9&amp;"-2",計算用!$AN$2:$AN$186,0)),""))</f>
        <v/>
      </c>
      <c r="Y9" s="26">
        <f>IF($Q9="","",IFERROR(INDEX(計算用!$I$2:$I$186,MATCH("女"&amp;$Q9&amp;"-2",計算用!$AN$2:$AN$186,0)),""))</f>
        <v/>
      </c>
      <c r="Z9">
        <f>IF($Q9="","",IFERROR(INDEX(計算用!$D$2:$D$186,MATCH("女"&amp;$Q9&amp;"-3",計算用!$AN$2:$AN$186,0)),""))</f>
        <v/>
      </c>
      <c r="AA9" s="26">
        <f>IF($Q9="","",IFERROR(INDEX(計算用!$M$2:$M$186,MATCH("女"&amp;$Q9&amp;"-3",計算用!$AN$2:$AN$186,0)),""))</f>
        <v/>
      </c>
      <c r="AB9" s="26">
        <f>IF($Q9="","",IFERROR(INDEX(計算用!$I$2:$I$186,MATCH("女"&amp;$Q9&amp;"-3",計算用!$AN$2:$AN$186,0)),""))</f>
        <v/>
      </c>
      <c r="AC9">
        <f>IF($Q9="","",IFERROR(INDEX(計算用!$D$2:$D$186,MATCH("女"&amp;$Q9&amp;"-4",計算用!$AN$2:$AN$186,0)),""))</f>
        <v/>
      </c>
      <c r="AD9" s="26">
        <f>IF($Q9="","",IFERROR(INDEX(計算用!$M$2:$M$186,MATCH("女"&amp;$Q9&amp;"-4",計算用!$AN$2:$AN$186,0)),""))</f>
        <v/>
      </c>
      <c r="AE9" s="26">
        <f>IF($Q9="","",IFERROR(INDEX(計算用!$I$2:$I$186,MATCH("女"&amp;$Q9&amp;"-4",計算用!$AN$2:$AN$186,0)),""))</f>
        <v/>
      </c>
    </row>
    <row r="10">
      <c r="A10" s="26">
        <f>IF(ROW()-3&lt;=計算用!$Q$9,ROW()-3,"")</f>
        <v/>
      </c>
      <c r="B10" s="26">
        <f>IF($A10="","",INDEX(計算用!$T$2:$T$51,$A10))</f>
        <v/>
      </c>
      <c r="C10" s="26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6">
        <f>IF($A10="","",IFERROR(INDEX(計算用!$M$2:$M$186,MATCH("男"&amp;$A10&amp;"-1",計算用!$AN$2:$AN$186,0)),""))</f>
        <v/>
      </c>
      <c r="F10" s="26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6">
        <f>IF($A10="","",IFERROR(INDEX(計算用!$M$2:$M$186,MATCH("男"&amp;$A10&amp;"-2",計算用!$AN$2:$AN$186,0)),""))</f>
        <v/>
      </c>
      <c r="I10" s="26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6">
        <f>IF($A10="","",IFERROR(INDEX(計算用!$M$2:$M$186,MATCH("男"&amp;$A10&amp;"-3",計算用!$AN$2:$AN$186,0)),""))</f>
        <v/>
      </c>
      <c r="L10" s="26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6">
        <f>IF($A10="","",IFERROR(INDEX(計算用!$M$2:$M$186,MATCH("男"&amp;$A10&amp;"-4",計算用!$AN$2:$AN$186,0)),""))</f>
        <v/>
      </c>
      <c r="O10" s="26">
        <f>IF($A10="","",IFERROR(INDEX(計算用!$I$2:$I$186,MATCH("男"&amp;$A10&amp;"-4",計算用!$AN$2:$AN$186,0)),""))</f>
        <v/>
      </c>
      <c r="Q10" s="26">
        <f>IF(ROW()-3&lt;=計算用!$Q$11,ROW()-3,"")</f>
        <v/>
      </c>
      <c r="R10" s="26">
        <f>IF($Q10="","",INDEX(計算用!$AC$2:$AC$51,$Q10))</f>
        <v/>
      </c>
      <c r="S10" s="26">
        <f>IF($Q10="","","赤"&amp;INDEX(計算用!$AF$2:$AF$51,$Q10)&amp;"白"&amp;INDEX(計算用!$AG$2:$AG$51,$Q10))</f>
        <v/>
      </c>
      <c r="T10">
        <f>IF($Q10="","",IFERROR(INDEX(計算用!$D$2:$D$186,MATCH("女"&amp;$Q10&amp;"-1",計算用!$AN$2:$AN$186,0)),""))</f>
        <v/>
      </c>
      <c r="U10" s="26">
        <f>IF($Q10="","",IFERROR(INDEX(計算用!$M$2:$M$186,MATCH("女"&amp;$Q10&amp;"-1",計算用!$AN$2:$AN$186,0)),""))</f>
        <v/>
      </c>
      <c r="V10" s="26">
        <f>IF($Q10="","",IFERROR(INDEX(計算用!$I$2:$I$186,MATCH("女"&amp;$Q10&amp;"-1",計算用!$AN$2:$AN$186,0)),""))</f>
        <v/>
      </c>
      <c r="W10">
        <f>IF($Q10="","",IFERROR(INDEX(計算用!$D$2:$D$186,MATCH("女"&amp;$Q10&amp;"-2",計算用!$AN$2:$AN$186,0)),""))</f>
        <v/>
      </c>
      <c r="X10" s="26">
        <f>IF($Q10="","",IFERROR(INDEX(計算用!$M$2:$M$186,MATCH("女"&amp;$Q10&amp;"-2",計算用!$AN$2:$AN$186,0)),""))</f>
        <v/>
      </c>
      <c r="Y10" s="26">
        <f>IF($Q10="","",IFERROR(INDEX(計算用!$I$2:$I$186,MATCH("女"&amp;$Q10&amp;"-2",計算用!$AN$2:$AN$186,0)),""))</f>
        <v/>
      </c>
      <c r="Z10">
        <f>IF($Q10="","",IFERROR(INDEX(計算用!$D$2:$D$186,MATCH("女"&amp;$Q10&amp;"-3",計算用!$AN$2:$AN$186,0)),""))</f>
        <v/>
      </c>
      <c r="AA10" s="26">
        <f>IF($Q10="","",IFERROR(INDEX(計算用!$M$2:$M$186,MATCH("女"&amp;$Q10&amp;"-3",計算用!$AN$2:$AN$186,0)),""))</f>
        <v/>
      </c>
      <c r="AB10" s="26">
        <f>IF($Q10="","",IFERROR(INDEX(計算用!$I$2:$I$186,MATCH("女"&amp;$Q10&amp;"-3",計算用!$AN$2:$AN$186,0)),""))</f>
        <v/>
      </c>
      <c r="AC10">
        <f>IF($Q10="","",IFERROR(INDEX(計算用!$D$2:$D$186,MATCH("女"&amp;$Q10&amp;"-4",計算用!$AN$2:$AN$186,0)),""))</f>
        <v/>
      </c>
      <c r="AD10" s="26">
        <f>IF($Q10="","",IFERROR(INDEX(計算用!$M$2:$M$186,MATCH("女"&amp;$Q10&amp;"-4",計算用!$AN$2:$AN$186,0)),""))</f>
        <v/>
      </c>
      <c r="AE10" s="26">
        <f>IF($Q10="","",IFERROR(INDEX(計算用!$I$2:$I$186,MATCH("女"&amp;$Q10&amp;"-4",計算用!$AN$2:$AN$186,0)),""))</f>
        <v/>
      </c>
    </row>
    <row r="11">
      <c r="A11" s="26">
        <f>IF(ROW()-3&lt;=計算用!$Q$9,ROW()-3,"")</f>
        <v/>
      </c>
      <c r="B11" s="26">
        <f>IF($A11="","",INDEX(計算用!$T$2:$T$51,$A11))</f>
        <v/>
      </c>
      <c r="C11" s="26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6">
        <f>IF($A11="","",IFERROR(INDEX(計算用!$M$2:$M$186,MATCH("男"&amp;$A11&amp;"-1",計算用!$AN$2:$AN$186,0)),""))</f>
        <v/>
      </c>
      <c r="F11" s="26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6">
        <f>IF($A11="","",IFERROR(INDEX(計算用!$M$2:$M$186,MATCH("男"&amp;$A11&amp;"-2",計算用!$AN$2:$AN$186,0)),""))</f>
        <v/>
      </c>
      <c r="I11" s="26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6">
        <f>IF($A11="","",IFERROR(INDEX(計算用!$M$2:$M$186,MATCH("男"&amp;$A11&amp;"-3",計算用!$AN$2:$AN$186,0)),""))</f>
        <v/>
      </c>
      <c r="L11" s="26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6">
        <f>IF($A11="","",IFERROR(INDEX(計算用!$M$2:$M$186,MATCH("男"&amp;$A11&amp;"-4",計算用!$AN$2:$AN$186,0)),""))</f>
        <v/>
      </c>
      <c r="O11" s="26">
        <f>IF($A11="","",IFERROR(INDEX(計算用!$I$2:$I$186,MATCH("男"&amp;$A11&amp;"-4",計算用!$AN$2:$AN$186,0)),""))</f>
        <v/>
      </c>
      <c r="Q11" s="26">
        <f>IF(ROW()-3&lt;=計算用!$Q$11,ROW()-3,"")</f>
        <v/>
      </c>
      <c r="R11" s="26">
        <f>IF($Q11="","",INDEX(計算用!$AC$2:$AC$51,$Q11))</f>
        <v/>
      </c>
      <c r="S11" s="26">
        <f>IF($Q11="","","赤"&amp;INDEX(計算用!$AF$2:$AF$51,$Q11)&amp;"白"&amp;INDEX(計算用!$AG$2:$AG$51,$Q11))</f>
        <v/>
      </c>
      <c r="T11">
        <f>IF($Q11="","",IFERROR(INDEX(計算用!$D$2:$D$186,MATCH("女"&amp;$Q11&amp;"-1",計算用!$AN$2:$AN$186,0)),""))</f>
        <v/>
      </c>
      <c r="U11" s="26">
        <f>IF($Q11="","",IFERROR(INDEX(計算用!$M$2:$M$186,MATCH("女"&amp;$Q11&amp;"-1",計算用!$AN$2:$AN$186,0)),""))</f>
        <v/>
      </c>
      <c r="V11" s="26">
        <f>IF($Q11="","",IFERROR(INDEX(計算用!$I$2:$I$186,MATCH("女"&amp;$Q11&amp;"-1",計算用!$AN$2:$AN$186,0)),""))</f>
        <v/>
      </c>
      <c r="W11">
        <f>IF($Q11="","",IFERROR(INDEX(計算用!$D$2:$D$186,MATCH("女"&amp;$Q11&amp;"-2",計算用!$AN$2:$AN$186,0)),""))</f>
        <v/>
      </c>
      <c r="X11" s="26">
        <f>IF($Q11="","",IFERROR(INDEX(計算用!$M$2:$M$186,MATCH("女"&amp;$Q11&amp;"-2",計算用!$AN$2:$AN$186,0)),""))</f>
        <v/>
      </c>
      <c r="Y11" s="26">
        <f>IF($Q11="","",IFERROR(INDEX(計算用!$I$2:$I$186,MATCH("女"&amp;$Q11&amp;"-2",計算用!$AN$2:$AN$186,0)),""))</f>
        <v/>
      </c>
      <c r="Z11">
        <f>IF($Q11="","",IFERROR(INDEX(計算用!$D$2:$D$186,MATCH("女"&amp;$Q11&amp;"-3",計算用!$AN$2:$AN$186,0)),""))</f>
        <v/>
      </c>
      <c r="AA11" s="26">
        <f>IF($Q11="","",IFERROR(INDEX(計算用!$M$2:$M$186,MATCH("女"&amp;$Q11&amp;"-3",計算用!$AN$2:$AN$186,0)),""))</f>
        <v/>
      </c>
      <c r="AB11" s="26">
        <f>IF($Q11="","",IFERROR(INDEX(計算用!$I$2:$I$186,MATCH("女"&amp;$Q11&amp;"-3",計算用!$AN$2:$AN$186,0)),""))</f>
        <v/>
      </c>
      <c r="AC11">
        <f>IF($Q11="","",IFERROR(INDEX(計算用!$D$2:$D$186,MATCH("女"&amp;$Q11&amp;"-4",計算用!$AN$2:$AN$186,0)),""))</f>
        <v/>
      </c>
      <c r="AD11" s="26">
        <f>IF($Q11="","",IFERROR(INDEX(計算用!$M$2:$M$186,MATCH("女"&amp;$Q11&amp;"-4",計算用!$AN$2:$AN$186,0)),""))</f>
        <v/>
      </c>
      <c r="AE11" s="26">
        <f>IF($Q11="","",IFERROR(INDEX(計算用!$I$2:$I$186,MATCH("女"&amp;$Q11&amp;"-4",計算用!$AN$2:$AN$186,0)),""))</f>
        <v/>
      </c>
    </row>
    <row r="12">
      <c r="A12" s="26">
        <f>IF(ROW()-3&lt;=計算用!$Q$9,ROW()-3,"")</f>
        <v/>
      </c>
      <c r="B12" s="26">
        <f>IF($A12="","",INDEX(計算用!$T$2:$T$51,$A12))</f>
        <v/>
      </c>
      <c r="C12" s="26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6">
        <f>IF($A12="","",IFERROR(INDEX(計算用!$M$2:$M$186,MATCH("男"&amp;$A12&amp;"-1",計算用!$AN$2:$AN$186,0)),""))</f>
        <v/>
      </c>
      <c r="F12" s="26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6">
        <f>IF($A12="","",IFERROR(INDEX(計算用!$M$2:$M$186,MATCH("男"&amp;$A12&amp;"-2",計算用!$AN$2:$AN$186,0)),""))</f>
        <v/>
      </c>
      <c r="I12" s="26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6">
        <f>IF($A12="","",IFERROR(INDEX(計算用!$M$2:$M$186,MATCH("男"&amp;$A12&amp;"-3",計算用!$AN$2:$AN$186,0)),""))</f>
        <v/>
      </c>
      <c r="L12" s="26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6">
        <f>IF($A12="","",IFERROR(INDEX(計算用!$M$2:$M$186,MATCH("男"&amp;$A12&amp;"-4",計算用!$AN$2:$AN$186,0)),""))</f>
        <v/>
      </c>
      <c r="O12" s="26">
        <f>IF($A12="","",IFERROR(INDEX(計算用!$I$2:$I$186,MATCH("男"&amp;$A12&amp;"-4",計算用!$AN$2:$AN$186,0)),""))</f>
        <v/>
      </c>
      <c r="Q12" s="26">
        <f>IF(ROW()-3&lt;=計算用!$Q$11,ROW()-3,"")</f>
        <v/>
      </c>
      <c r="R12" s="26">
        <f>IF($Q12="","",INDEX(計算用!$AC$2:$AC$51,$Q12))</f>
        <v/>
      </c>
      <c r="S12" s="26">
        <f>IF($Q12="","","赤"&amp;INDEX(計算用!$AF$2:$AF$51,$Q12)&amp;"白"&amp;INDEX(計算用!$AG$2:$AG$51,$Q12))</f>
        <v/>
      </c>
      <c r="T12">
        <f>IF($Q12="","",IFERROR(INDEX(計算用!$D$2:$D$186,MATCH("女"&amp;$Q12&amp;"-1",計算用!$AN$2:$AN$186,0)),""))</f>
        <v/>
      </c>
      <c r="U12" s="26">
        <f>IF($Q12="","",IFERROR(INDEX(計算用!$M$2:$M$186,MATCH("女"&amp;$Q12&amp;"-1",計算用!$AN$2:$AN$186,0)),""))</f>
        <v/>
      </c>
      <c r="V12" s="26">
        <f>IF($Q12="","",IFERROR(INDEX(計算用!$I$2:$I$186,MATCH("女"&amp;$Q12&amp;"-1",計算用!$AN$2:$AN$186,0)),""))</f>
        <v/>
      </c>
      <c r="W12">
        <f>IF($Q12="","",IFERROR(INDEX(計算用!$D$2:$D$186,MATCH("女"&amp;$Q12&amp;"-2",計算用!$AN$2:$AN$186,0)),""))</f>
        <v/>
      </c>
      <c r="X12" s="26">
        <f>IF($Q12="","",IFERROR(INDEX(計算用!$M$2:$M$186,MATCH("女"&amp;$Q12&amp;"-2",計算用!$AN$2:$AN$186,0)),""))</f>
        <v/>
      </c>
      <c r="Y12" s="26">
        <f>IF($Q12="","",IFERROR(INDEX(計算用!$I$2:$I$186,MATCH("女"&amp;$Q12&amp;"-2",計算用!$AN$2:$AN$186,0)),""))</f>
        <v/>
      </c>
      <c r="Z12">
        <f>IF($Q12="","",IFERROR(INDEX(計算用!$D$2:$D$186,MATCH("女"&amp;$Q12&amp;"-3",計算用!$AN$2:$AN$186,0)),""))</f>
        <v/>
      </c>
      <c r="AA12" s="26">
        <f>IF($Q12="","",IFERROR(INDEX(計算用!$M$2:$M$186,MATCH("女"&amp;$Q12&amp;"-3",計算用!$AN$2:$AN$186,0)),""))</f>
        <v/>
      </c>
      <c r="AB12" s="26">
        <f>IF($Q12="","",IFERROR(INDEX(計算用!$I$2:$I$186,MATCH("女"&amp;$Q12&amp;"-3",計算用!$AN$2:$AN$186,0)),""))</f>
        <v/>
      </c>
      <c r="AC12">
        <f>IF($Q12="","",IFERROR(INDEX(計算用!$D$2:$D$186,MATCH("女"&amp;$Q12&amp;"-4",計算用!$AN$2:$AN$186,0)),""))</f>
        <v/>
      </c>
      <c r="AD12" s="26">
        <f>IF($Q12="","",IFERROR(INDEX(計算用!$M$2:$M$186,MATCH("女"&amp;$Q12&amp;"-4",計算用!$AN$2:$AN$186,0)),""))</f>
        <v/>
      </c>
      <c r="AE12" s="26">
        <f>IF($Q12="","",IFERROR(INDEX(計算用!$I$2:$I$186,MATCH("女"&amp;$Q12&amp;"-4",計算用!$AN$2:$AN$186,0)),""))</f>
        <v/>
      </c>
    </row>
    <row r="13">
      <c r="A13" s="26">
        <f>IF(ROW()-3&lt;=計算用!$Q$9,ROW()-3,"")</f>
        <v/>
      </c>
      <c r="B13" s="26">
        <f>IF($A13="","",INDEX(計算用!$T$2:$T$51,$A13))</f>
        <v/>
      </c>
      <c r="C13" s="26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6">
        <f>IF($A13="","",IFERROR(INDEX(計算用!$M$2:$M$186,MATCH("男"&amp;$A13&amp;"-1",計算用!$AN$2:$AN$186,0)),""))</f>
        <v/>
      </c>
      <c r="F13" s="26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6">
        <f>IF($A13="","",IFERROR(INDEX(計算用!$M$2:$M$186,MATCH("男"&amp;$A13&amp;"-2",計算用!$AN$2:$AN$186,0)),""))</f>
        <v/>
      </c>
      <c r="I13" s="26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6">
        <f>IF($A13="","",IFERROR(INDEX(計算用!$M$2:$M$186,MATCH("男"&amp;$A13&amp;"-3",計算用!$AN$2:$AN$186,0)),""))</f>
        <v/>
      </c>
      <c r="L13" s="26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6">
        <f>IF($A13="","",IFERROR(INDEX(計算用!$M$2:$M$186,MATCH("男"&amp;$A13&amp;"-4",計算用!$AN$2:$AN$186,0)),""))</f>
        <v/>
      </c>
      <c r="O13" s="26">
        <f>IF($A13="","",IFERROR(INDEX(計算用!$I$2:$I$186,MATCH("男"&amp;$A13&amp;"-4",計算用!$AN$2:$AN$186,0)),""))</f>
        <v/>
      </c>
      <c r="Q13" s="26">
        <f>IF(ROW()-3&lt;=計算用!$Q$11,ROW()-3,"")</f>
        <v/>
      </c>
      <c r="R13" s="26">
        <f>IF($Q13="","",INDEX(計算用!$AC$2:$AC$51,$Q13))</f>
        <v/>
      </c>
      <c r="S13" s="26">
        <f>IF($Q13="","","赤"&amp;INDEX(計算用!$AF$2:$AF$51,$Q13)&amp;"白"&amp;INDEX(計算用!$AG$2:$AG$51,$Q13))</f>
        <v/>
      </c>
      <c r="T13">
        <f>IF($Q13="","",IFERROR(INDEX(計算用!$D$2:$D$186,MATCH("女"&amp;$Q13&amp;"-1",計算用!$AN$2:$AN$186,0)),""))</f>
        <v/>
      </c>
      <c r="U13" s="26">
        <f>IF($Q13="","",IFERROR(INDEX(計算用!$M$2:$M$186,MATCH("女"&amp;$Q13&amp;"-1",計算用!$AN$2:$AN$186,0)),""))</f>
        <v/>
      </c>
      <c r="V13" s="26">
        <f>IF($Q13="","",IFERROR(INDEX(計算用!$I$2:$I$186,MATCH("女"&amp;$Q13&amp;"-1",計算用!$AN$2:$AN$186,0)),""))</f>
        <v/>
      </c>
      <c r="W13">
        <f>IF($Q13="","",IFERROR(INDEX(計算用!$D$2:$D$186,MATCH("女"&amp;$Q13&amp;"-2",計算用!$AN$2:$AN$186,0)),""))</f>
        <v/>
      </c>
      <c r="X13" s="26">
        <f>IF($Q13="","",IFERROR(INDEX(計算用!$M$2:$M$186,MATCH("女"&amp;$Q13&amp;"-2",計算用!$AN$2:$AN$186,0)),""))</f>
        <v/>
      </c>
      <c r="Y13" s="26">
        <f>IF($Q13="","",IFERROR(INDEX(計算用!$I$2:$I$186,MATCH("女"&amp;$Q13&amp;"-2",計算用!$AN$2:$AN$186,0)),""))</f>
        <v/>
      </c>
      <c r="Z13">
        <f>IF($Q13="","",IFERROR(INDEX(計算用!$D$2:$D$186,MATCH("女"&amp;$Q13&amp;"-3",計算用!$AN$2:$AN$186,0)),""))</f>
        <v/>
      </c>
      <c r="AA13" s="26">
        <f>IF($Q13="","",IFERROR(INDEX(計算用!$M$2:$M$186,MATCH("女"&amp;$Q13&amp;"-3",計算用!$AN$2:$AN$186,0)),""))</f>
        <v/>
      </c>
      <c r="AB13" s="26">
        <f>IF($Q13="","",IFERROR(INDEX(計算用!$I$2:$I$186,MATCH("女"&amp;$Q13&amp;"-3",計算用!$AN$2:$AN$186,0)),""))</f>
        <v/>
      </c>
      <c r="AC13">
        <f>IF($Q13="","",IFERROR(INDEX(計算用!$D$2:$D$186,MATCH("女"&amp;$Q13&amp;"-4",計算用!$AN$2:$AN$186,0)),""))</f>
        <v/>
      </c>
      <c r="AD13" s="26">
        <f>IF($Q13="","",IFERROR(INDEX(計算用!$M$2:$M$186,MATCH("女"&amp;$Q13&amp;"-4",計算用!$AN$2:$AN$186,0)),""))</f>
        <v/>
      </c>
      <c r="AE13" s="26">
        <f>IF($Q13="","",IFERROR(INDEX(計算用!$I$2:$I$186,MATCH("女"&amp;$Q13&amp;"-4",計算用!$AN$2:$AN$186,0)),""))</f>
        <v/>
      </c>
    </row>
    <row r="14">
      <c r="A14" s="26">
        <f>IF(ROW()-3&lt;=計算用!$Q$9,ROW()-3,"")</f>
        <v/>
      </c>
      <c r="B14" s="26">
        <f>IF($A14="","",INDEX(計算用!$T$2:$T$51,$A14))</f>
        <v/>
      </c>
      <c r="C14" s="26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6">
        <f>IF($A14="","",IFERROR(INDEX(計算用!$M$2:$M$186,MATCH("男"&amp;$A14&amp;"-1",計算用!$AN$2:$AN$186,0)),""))</f>
        <v/>
      </c>
      <c r="F14" s="26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6">
        <f>IF($A14="","",IFERROR(INDEX(計算用!$M$2:$M$186,MATCH("男"&amp;$A14&amp;"-2",計算用!$AN$2:$AN$186,0)),""))</f>
        <v/>
      </c>
      <c r="I14" s="26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6">
        <f>IF($A14="","",IFERROR(INDEX(計算用!$M$2:$M$186,MATCH("男"&amp;$A14&amp;"-3",計算用!$AN$2:$AN$186,0)),""))</f>
        <v/>
      </c>
      <c r="L14" s="26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6">
        <f>IF($A14="","",IFERROR(INDEX(計算用!$M$2:$M$186,MATCH("男"&amp;$A14&amp;"-4",計算用!$AN$2:$AN$186,0)),""))</f>
        <v/>
      </c>
      <c r="O14" s="26">
        <f>IF($A14="","",IFERROR(INDEX(計算用!$I$2:$I$186,MATCH("男"&amp;$A14&amp;"-4",計算用!$AN$2:$AN$186,0)),""))</f>
        <v/>
      </c>
      <c r="Q14" s="26">
        <f>IF(ROW()-3&lt;=計算用!$Q$11,ROW()-3,"")</f>
        <v/>
      </c>
      <c r="R14" s="26">
        <f>IF($Q14="","",INDEX(計算用!$AC$2:$AC$51,$Q14))</f>
        <v/>
      </c>
      <c r="S14" s="26">
        <f>IF($Q14="","","赤"&amp;INDEX(計算用!$AF$2:$AF$51,$Q14)&amp;"白"&amp;INDEX(計算用!$AG$2:$AG$51,$Q14))</f>
        <v/>
      </c>
      <c r="T14">
        <f>IF($Q14="","",IFERROR(INDEX(計算用!$D$2:$D$186,MATCH("女"&amp;$Q14&amp;"-1",計算用!$AN$2:$AN$186,0)),""))</f>
        <v/>
      </c>
      <c r="U14" s="26">
        <f>IF($Q14="","",IFERROR(INDEX(計算用!$M$2:$M$186,MATCH("女"&amp;$Q14&amp;"-1",計算用!$AN$2:$AN$186,0)),""))</f>
        <v/>
      </c>
      <c r="V14" s="26">
        <f>IF($Q14="","",IFERROR(INDEX(計算用!$I$2:$I$186,MATCH("女"&amp;$Q14&amp;"-1",計算用!$AN$2:$AN$186,0)),""))</f>
        <v/>
      </c>
      <c r="W14">
        <f>IF($Q14="","",IFERROR(INDEX(計算用!$D$2:$D$186,MATCH("女"&amp;$Q14&amp;"-2",計算用!$AN$2:$AN$186,0)),""))</f>
        <v/>
      </c>
      <c r="X14" s="26">
        <f>IF($Q14="","",IFERROR(INDEX(計算用!$M$2:$M$186,MATCH("女"&amp;$Q14&amp;"-2",計算用!$AN$2:$AN$186,0)),""))</f>
        <v/>
      </c>
      <c r="Y14" s="26">
        <f>IF($Q14="","",IFERROR(INDEX(計算用!$I$2:$I$186,MATCH("女"&amp;$Q14&amp;"-2",計算用!$AN$2:$AN$186,0)),""))</f>
        <v/>
      </c>
      <c r="Z14">
        <f>IF($Q14="","",IFERROR(INDEX(計算用!$D$2:$D$186,MATCH("女"&amp;$Q14&amp;"-3",計算用!$AN$2:$AN$186,0)),""))</f>
        <v/>
      </c>
      <c r="AA14" s="26">
        <f>IF($Q14="","",IFERROR(INDEX(計算用!$M$2:$M$186,MATCH("女"&amp;$Q14&amp;"-3",計算用!$AN$2:$AN$186,0)),""))</f>
        <v/>
      </c>
      <c r="AB14" s="26">
        <f>IF($Q14="","",IFERROR(INDEX(計算用!$I$2:$I$186,MATCH("女"&amp;$Q14&amp;"-3",計算用!$AN$2:$AN$186,0)),""))</f>
        <v/>
      </c>
      <c r="AC14">
        <f>IF($Q14="","",IFERROR(INDEX(計算用!$D$2:$D$186,MATCH("女"&amp;$Q14&amp;"-4",計算用!$AN$2:$AN$186,0)),""))</f>
        <v/>
      </c>
      <c r="AD14" s="26">
        <f>IF($Q14="","",IFERROR(INDEX(計算用!$M$2:$M$186,MATCH("女"&amp;$Q14&amp;"-4",計算用!$AN$2:$AN$186,0)),""))</f>
        <v/>
      </c>
      <c r="AE14" s="26">
        <f>IF($Q14="","",IFERROR(INDEX(計算用!$I$2:$I$186,MATCH("女"&amp;$Q14&amp;"-4",計算用!$AN$2:$AN$186,0)),""))</f>
        <v/>
      </c>
    </row>
    <row r="15">
      <c r="A15" s="26">
        <f>IF(ROW()-3&lt;=計算用!$Q$9,ROW()-3,"")</f>
        <v/>
      </c>
      <c r="B15" s="26">
        <f>IF($A15="","",INDEX(計算用!$T$2:$T$51,$A15))</f>
        <v/>
      </c>
      <c r="C15" s="26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6">
        <f>IF($A15="","",IFERROR(INDEX(計算用!$M$2:$M$186,MATCH("男"&amp;$A15&amp;"-1",計算用!$AN$2:$AN$186,0)),""))</f>
        <v/>
      </c>
      <c r="F15" s="26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6">
        <f>IF($A15="","",IFERROR(INDEX(計算用!$M$2:$M$186,MATCH("男"&amp;$A15&amp;"-2",計算用!$AN$2:$AN$186,0)),""))</f>
        <v/>
      </c>
      <c r="I15" s="26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6">
        <f>IF($A15="","",IFERROR(INDEX(計算用!$M$2:$M$186,MATCH("男"&amp;$A15&amp;"-3",計算用!$AN$2:$AN$186,0)),""))</f>
        <v/>
      </c>
      <c r="L15" s="26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6">
        <f>IF($A15="","",IFERROR(INDEX(計算用!$M$2:$M$186,MATCH("男"&amp;$A15&amp;"-4",計算用!$AN$2:$AN$186,0)),""))</f>
        <v/>
      </c>
      <c r="O15" s="26">
        <f>IF($A15="","",IFERROR(INDEX(計算用!$I$2:$I$186,MATCH("男"&amp;$A15&amp;"-4",計算用!$AN$2:$AN$186,0)),""))</f>
        <v/>
      </c>
      <c r="Q15" s="26">
        <f>IF(ROW()-3&lt;=計算用!$Q$11,ROW()-3,"")</f>
        <v/>
      </c>
      <c r="R15" s="26">
        <f>IF($Q15="","",INDEX(計算用!$AC$2:$AC$51,$Q15))</f>
        <v/>
      </c>
      <c r="S15" s="26">
        <f>IF($Q15="","","赤"&amp;INDEX(計算用!$AF$2:$AF$51,$Q15)&amp;"白"&amp;INDEX(計算用!$AG$2:$AG$51,$Q15))</f>
        <v/>
      </c>
      <c r="T15">
        <f>IF($Q15="","",IFERROR(INDEX(計算用!$D$2:$D$186,MATCH("女"&amp;$Q15&amp;"-1",計算用!$AN$2:$AN$186,0)),""))</f>
        <v/>
      </c>
      <c r="U15" s="26">
        <f>IF($Q15="","",IFERROR(INDEX(計算用!$M$2:$M$186,MATCH("女"&amp;$Q15&amp;"-1",計算用!$AN$2:$AN$186,0)),""))</f>
        <v/>
      </c>
      <c r="V15" s="26">
        <f>IF($Q15="","",IFERROR(INDEX(計算用!$I$2:$I$186,MATCH("女"&amp;$Q15&amp;"-1",計算用!$AN$2:$AN$186,0)),""))</f>
        <v/>
      </c>
      <c r="W15">
        <f>IF($Q15="","",IFERROR(INDEX(計算用!$D$2:$D$186,MATCH("女"&amp;$Q15&amp;"-2",計算用!$AN$2:$AN$186,0)),""))</f>
        <v/>
      </c>
      <c r="X15" s="26">
        <f>IF($Q15="","",IFERROR(INDEX(計算用!$M$2:$M$186,MATCH("女"&amp;$Q15&amp;"-2",計算用!$AN$2:$AN$186,0)),""))</f>
        <v/>
      </c>
      <c r="Y15" s="26">
        <f>IF($Q15="","",IFERROR(INDEX(計算用!$I$2:$I$186,MATCH("女"&amp;$Q15&amp;"-2",計算用!$AN$2:$AN$186,0)),""))</f>
        <v/>
      </c>
      <c r="Z15">
        <f>IF($Q15="","",IFERROR(INDEX(計算用!$D$2:$D$186,MATCH("女"&amp;$Q15&amp;"-3",計算用!$AN$2:$AN$186,0)),""))</f>
        <v/>
      </c>
      <c r="AA15" s="26">
        <f>IF($Q15="","",IFERROR(INDEX(計算用!$M$2:$M$186,MATCH("女"&amp;$Q15&amp;"-3",計算用!$AN$2:$AN$186,0)),""))</f>
        <v/>
      </c>
      <c r="AB15" s="26">
        <f>IF($Q15="","",IFERROR(INDEX(計算用!$I$2:$I$186,MATCH("女"&amp;$Q15&amp;"-3",計算用!$AN$2:$AN$186,0)),""))</f>
        <v/>
      </c>
      <c r="AC15">
        <f>IF($Q15="","",IFERROR(INDEX(計算用!$D$2:$D$186,MATCH("女"&amp;$Q15&amp;"-4",計算用!$AN$2:$AN$186,0)),""))</f>
        <v/>
      </c>
      <c r="AD15" s="26">
        <f>IF($Q15="","",IFERROR(INDEX(計算用!$M$2:$M$186,MATCH("女"&amp;$Q15&amp;"-4",計算用!$AN$2:$AN$186,0)),""))</f>
        <v/>
      </c>
      <c r="AE15" s="26">
        <f>IF($Q15="","",IFERROR(INDEX(計算用!$I$2:$I$186,MATCH("女"&amp;$Q15&amp;"-4",計算用!$AN$2:$AN$186,0)),""))</f>
        <v/>
      </c>
    </row>
    <row r="16">
      <c r="A16" s="26">
        <f>IF(ROW()-3&lt;=計算用!$Q$9,ROW()-3,"")</f>
        <v/>
      </c>
      <c r="B16" s="26">
        <f>IF($A16="","",INDEX(計算用!$T$2:$T$51,$A16))</f>
        <v/>
      </c>
      <c r="C16" s="26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6">
        <f>IF($A16="","",IFERROR(INDEX(計算用!$M$2:$M$186,MATCH("男"&amp;$A16&amp;"-1",計算用!$AN$2:$AN$186,0)),""))</f>
        <v/>
      </c>
      <c r="F16" s="26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6">
        <f>IF($A16="","",IFERROR(INDEX(計算用!$M$2:$M$186,MATCH("男"&amp;$A16&amp;"-2",計算用!$AN$2:$AN$186,0)),""))</f>
        <v/>
      </c>
      <c r="I16" s="26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6">
        <f>IF($A16="","",IFERROR(INDEX(計算用!$M$2:$M$186,MATCH("男"&amp;$A16&amp;"-3",計算用!$AN$2:$AN$186,0)),""))</f>
        <v/>
      </c>
      <c r="L16" s="26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6">
        <f>IF($A16="","",IFERROR(INDEX(計算用!$M$2:$M$186,MATCH("男"&amp;$A16&amp;"-4",計算用!$AN$2:$AN$186,0)),""))</f>
        <v/>
      </c>
      <c r="O16" s="26">
        <f>IF($A16="","",IFERROR(INDEX(計算用!$I$2:$I$186,MATCH("男"&amp;$A16&amp;"-4",計算用!$AN$2:$AN$186,0)),""))</f>
        <v/>
      </c>
      <c r="Q16" s="26">
        <f>IF(ROW()-3&lt;=計算用!$Q$11,ROW()-3,"")</f>
        <v/>
      </c>
      <c r="R16" s="26">
        <f>IF($Q16="","",INDEX(計算用!$AC$2:$AC$51,$Q16))</f>
        <v/>
      </c>
      <c r="S16" s="26">
        <f>IF($Q16="","","赤"&amp;INDEX(計算用!$AF$2:$AF$51,$Q16)&amp;"白"&amp;INDEX(計算用!$AG$2:$AG$51,$Q16))</f>
        <v/>
      </c>
      <c r="T16">
        <f>IF($Q16="","",IFERROR(INDEX(計算用!$D$2:$D$186,MATCH("女"&amp;$Q16&amp;"-1",計算用!$AN$2:$AN$186,0)),""))</f>
        <v/>
      </c>
      <c r="U16" s="26">
        <f>IF($Q16="","",IFERROR(INDEX(計算用!$M$2:$M$186,MATCH("女"&amp;$Q16&amp;"-1",計算用!$AN$2:$AN$186,0)),""))</f>
        <v/>
      </c>
      <c r="V16" s="26">
        <f>IF($Q16="","",IFERROR(INDEX(計算用!$I$2:$I$186,MATCH("女"&amp;$Q16&amp;"-1",計算用!$AN$2:$AN$186,0)),""))</f>
        <v/>
      </c>
      <c r="W16">
        <f>IF($Q16="","",IFERROR(INDEX(計算用!$D$2:$D$186,MATCH("女"&amp;$Q16&amp;"-2",計算用!$AN$2:$AN$186,0)),""))</f>
        <v/>
      </c>
      <c r="X16" s="26">
        <f>IF($Q16="","",IFERROR(INDEX(計算用!$M$2:$M$186,MATCH("女"&amp;$Q16&amp;"-2",計算用!$AN$2:$AN$186,0)),""))</f>
        <v/>
      </c>
      <c r="Y16" s="26">
        <f>IF($Q16="","",IFERROR(INDEX(計算用!$I$2:$I$186,MATCH("女"&amp;$Q16&amp;"-2",計算用!$AN$2:$AN$186,0)),""))</f>
        <v/>
      </c>
      <c r="Z16">
        <f>IF($Q16="","",IFERROR(INDEX(計算用!$D$2:$D$186,MATCH("女"&amp;$Q16&amp;"-3",計算用!$AN$2:$AN$186,0)),""))</f>
        <v/>
      </c>
      <c r="AA16" s="26">
        <f>IF($Q16="","",IFERROR(INDEX(計算用!$M$2:$M$186,MATCH("女"&amp;$Q16&amp;"-3",計算用!$AN$2:$AN$186,0)),""))</f>
        <v/>
      </c>
      <c r="AB16" s="26">
        <f>IF($Q16="","",IFERROR(INDEX(計算用!$I$2:$I$186,MATCH("女"&amp;$Q16&amp;"-3",計算用!$AN$2:$AN$186,0)),""))</f>
        <v/>
      </c>
      <c r="AC16">
        <f>IF($Q16="","",IFERROR(INDEX(計算用!$D$2:$D$186,MATCH("女"&amp;$Q16&amp;"-4",計算用!$AN$2:$AN$186,0)),""))</f>
        <v/>
      </c>
      <c r="AD16" s="26">
        <f>IF($Q16="","",IFERROR(INDEX(計算用!$M$2:$M$186,MATCH("女"&amp;$Q16&amp;"-4",計算用!$AN$2:$AN$186,0)),""))</f>
        <v/>
      </c>
      <c r="AE16" s="26">
        <f>IF($Q16="","",IFERROR(INDEX(計算用!$I$2:$I$186,MATCH("女"&amp;$Q16&amp;"-4",計算用!$AN$2:$AN$186,0)),""))</f>
        <v/>
      </c>
    </row>
    <row r="17">
      <c r="A17" s="26">
        <f>IF(ROW()-3&lt;=計算用!$Q$9,ROW()-3,"")</f>
        <v/>
      </c>
      <c r="B17" s="26">
        <f>IF($A17="","",INDEX(計算用!$T$2:$T$51,$A17))</f>
        <v/>
      </c>
      <c r="C17" s="26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6">
        <f>IF($A17="","",IFERROR(INDEX(計算用!$M$2:$M$186,MATCH("男"&amp;$A17&amp;"-1",計算用!$AN$2:$AN$186,0)),""))</f>
        <v/>
      </c>
      <c r="F17" s="26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6">
        <f>IF($A17="","",IFERROR(INDEX(計算用!$M$2:$M$186,MATCH("男"&amp;$A17&amp;"-2",計算用!$AN$2:$AN$186,0)),""))</f>
        <v/>
      </c>
      <c r="I17" s="26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6">
        <f>IF($A17="","",IFERROR(INDEX(計算用!$M$2:$M$186,MATCH("男"&amp;$A17&amp;"-3",計算用!$AN$2:$AN$186,0)),""))</f>
        <v/>
      </c>
      <c r="L17" s="26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6">
        <f>IF($A17="","",IFERROR(INDEX(計算用!$M$2:$M$186,MATCH("男"&amp;$A17&amp;"-4",計算用!$AN$2:$AN$186,0)),""))</f>
        <v/>
      </c>
      <c r="O17" s="26">
        <f>IF($A17="","",IFERROR(INDEX(計算用!$I$2:$I$186,MATCH("男"&amp;$A17&amp;"-4",計算用!$AN$2:$AN$186,0)),""))</f>
        <v/>
      </c>
      <c r="Q17" s="26">
        <f>IF(ROW()-3&lt;=計算用!$Q$11,ROW()-3,"")</f>
        <v/>
      </c>
      <c r="R17" s="26">
        <f>IF($Q17="","",INDEX(計算用!$AC$2:$AC$51,$Q17))</f>
        <v/>
      </c>
      <c r="S17" s="26">
        <f>IF($Q17="","","赤"&amp;INDEX(計算用!$AF$2:$AF$51,$Q17)&amp;"白"&amp;INDEX(計算用!$AG$2:$AG$51,$Q17))</f>
        <v/>
      </c>
      <c r="T17">
        <f>IF($Q17="","",IFERROR(INDEX(計算用!$D$2:$D$186,MATCH("女"&amp;$Q17&amp;"-1",計算用!$AN$2:$AN$186,0)),""))</f>
        <v/>
      </c>
      <c r="U17" s="26">
        <f>IF($Q17="","",IFERROR(INDEX(計算用!$M$2:$M$186,MATCH("女"&amp;$Q17&amp;"-1",計算用!$AN$2:$AN$186,0)),""))</f>
        <v/>
      </c>
      <c r="V17" s="26">
        <f>IF($Q17="","",IFERROR(INDEX(計算用!$I$2:$I$186,MATCH("女"&amp;$Q17&amp;"-1",計算用!$AN$2:$AN$186,0)),""))</f>
        <v/>
      </c>
      <c r="W17">
        <f>IF($Q17="","",IFERROR(INDEX(計算用!$D$2:$D$186,MATCH("女"&amp;$Q17&amp;"-2",計算用!$AN$2:$AN$186,0)),""))</f>
        <v/>
      </c>
      <c r="X17" s="26">
        <f>IF($Q17="","",IFERROR(INDEX(計算用!$M$2:$M$186,MATCH("女"&amp;$Q17&amp;"-2",計算用!$AN$2:$AN$186,0)),""))</f>
        <v/>
      </c>
      <c r="Y17" s="26">
        <f>IF($Q17="","",IFERROR(INDEX(計算用!$I$2:$I$186,MATCH("女"&amp;$Q17&amp;"-2",計算用!$AN$2:$AN$186,0)),""))</f>
        <v/>
      </c>
      <c r="Z17">
        <f>IF($Q17="","",IFERROR(INDEX(計算用!$D$2:$D$186,MATCH("女"&amp;$Q17&amp;"-3",計算用!$AN$2:$AN$186,0)),""))</f>
        <v/>
      </c>
      <c r="AA17" s="26">
        <f>IF($Q17="","",IFERROR(INDEX(計算用!$M$2:$M$186,MATCH("女"&amp;$Q17&amp;"-3",計算用!$AN$2:$AN$186,0)),""))</f>
        <v/>
      </c>
      <c r="AB17" s="26">
        <f>IF($Q17="","",IFERROR(INDEX(計算用!$I$2:$I$186,MATCH("女"&amp;$Q17&amp;"-3",計算用!$AN$2:$AN$186,0)),""))</f>
        <v/>
      </c>
      <c r="AC17">
        <f>IF($Q17="","",IFERROR(INDEX(計算用!$D$2:$D$186,MATCH("女"&amp;$Q17&amp;"-4",計算用!$AN$2:$AN$186,0)),""))</f>
        <v/>
      </c>
      <c r="AD17" s="26">
        <f>IF($Q17="","",IFERROR(INDEX(計算用!$M$2:$M$186,MATCH("女"&amp;$Q17&amp;"-4",計算用!$AN$2:$AN$186,0)),""))</f>
        <v/>
      </c>
      <c r="AE17" s="26">
        <f>IF($Q17="","",IFERROR(INDEX(計算用!$I$2:$I$186,MATCH("女"&amp;$Q17&amp;"-4",計算用!$AN$2:$AN$186,0)),""))</f>
        <v/>
      </c>
    </row>
    <row r="18">
      <c r="A18" s="26">
        <f>IF(ROW()-3&lt;=計算用!$Q$9,ROW()-3,"")</f>
        <v/>
      </c>
      <c r="B18" s="26">
        <f>IF($A18="","",INDEX(計算用!$T$2:$T$51,$A18))</f>
        <v/>
      </c>
      <c r="C18" s="26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6">
        <f>IF($A18="","",IFERROR(INDEX(計算用!$M$2:$M$186,MATCH("男"&amp;$A18&amp;"-1",計算用!$AN$2:$AN$186,0)),""))</f>
        <v/>
      </c>
      <c r="F18" s="26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6">
        <f>IF($A18="","",IFERROR(INDEX(計算用!$M$2:$M$186,MATCH("男"&amp;$A18&amp;"-2",計算用!$AN$2:$AN$186,0)),""))</f>
        <v/>
      </c>
      <c r="I18" s="26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6">
        <f>IF($A18="","",IFERROR(INDEX(計算用!$M$2:$M$186,MATCH("男"&amp;$A18&amp;"-3",計算用!$AN$2:$AN$186,0)),""))</f>
        <v/>
      </c>
      <c r="L18" s="26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6">
        <f>IF($A18="","",IFERROR(INDEX(計算用!$M$2:$M$186,MATCH("男"&amp;$A18&amp;"-4",計算用!$AN$2:$AN$186,0)),""))</f>
        <v/>
      </c>
      <c r="O18" s="26">
        <f>IF($A18="","",IFERROR(INDEX(計算用!$I$2:$I$186,MATCH("男"&amp;$A18&amp;"-4",計算用!$AN$2:$AN$186,0)),""))</f>
        <v/>
      </c>
      <c r="Q18" s="26">
        <f>IF(ROW()-3&lt;=計算用!$Q$11,ROW()-3,"")</f>
        <v/>
      </c>
      <c r="R18" s="26">
        <f>IF($Q18="","",INDEX(計算用!$AC$2:$AC$51,$Q18))</f>
        <v/>
      </c>
      <c r="S18" s="26">
        <f>IF($Q18="","","赤"&amp;INDEX(計算用!$AF$2:$AF$51,$Q18)&amp;"白"&amp;INDEX(計算用!$AG$2:$AG$51,$Q18))</f>
        <v/>
      </c>
      <c r="T18">
        <f>IF($Q18="","",IFERROR(INDEX(計算用!$D$2:$D$186,MATCH("女"&amp;$Q18&amp;"-1",計算用!$AN$2:$AN$186,0)),""))</f>
        <v/>
      </c>
      <c r="U18" s="26">
        <f>IF($Q18="","",IFERROR(INDEX(計算用!$M$2:$M$186,MATCH("女"&amp;$Q18&amp;"-1",計算用!$AN$2:$AN$186,0)),""))</f>
        <v/>
      </c>
      <c r="V18" s="26">
        <f>IF($Q18="","",IFERROR(INDEX(計算用!$I$2:$I$186,MATCH("女"&amp;$Q18&amp;"-1",計算用!$AN$2:$AN$186,0)),""))</f>
        <v/>
      </c>
      <c r="W18">
        <f>IF($Q18="","",IFERROR(INDEX(計算用!$D$2:$D$186,MATCH("女"&amp;$Q18&amp;"-2",計算用!$AN$2:$AN$186,0)),""))</f>
        <v/>
      </c>
      <c r="X18" s="26">
        <f>IF($Q18="","",IFERROR(INDEX(計算用!$M$2:$M$186,MATCH("女"&amp;$Q18&amp;"-2",計算用!$AN$2:$AN$186,0)),""))</f>
        <v/>
      </c>
      <c r="Y18" s="26">
        <f>IF($Q18="","",IFERROR(INDEX(計算用!$I$2:$I$186,MATCH("女"&amp;$Q18&amp;"-2",計算用!$AN$2:$AN$186,0)),""))</f>
        <v/>
      </c>
      <c r="Z18">
        <f>IF($Q18="","",IFERROR(INDEX(計算用!$D$2:$D$186,MATCH("女"&amp;$Q18&amp;"-3",計算用!$AN$2:$AN$186,0)),""))</f>
        <v/>
      </c>
      <c r="AA18" s="26">
        <f>IF($Q18="","",IFERROR(INDEX(計算用!$M$2:$M$186,MATCH("女"&amp;$Q18&amp;"-3",計算用!$AN$2:$AN$186,0)),""))</f>
        <v/>
      </c>
      <c r="AB18" s="26">
        <f>IF($Q18="","",IFERROR(INDEX(計算用!$I$2:$I$186,MATCH("女"&amp;$Q18&amp;"-3",計算用!$AN$2:$AN$186,0)),""))</f>
        <v/>
      </c>
      <c r="AC18">
        <f>IF($Q18="","",IFERROR(INDEX(計算用!$D$2:$D$186,MATCH("女"&amp;$Q18&amp;"-4",計算用!$AN$2:$AN$186,0)),""))</f>
        <v/>
      </c>
      <c r="AD18" s="26">
        <f>IF($Q18="","",IFERROR(INDEX(計算用!$M$2:$M$186,MATCH("女"&amp;$Q18&amp;"-4",計算用!$AN$2:$AN$186,0)),""))</f>
        <v/>
      </c>
      <c r="AE18" s="26">
        <f>IF($Q18="","",IFERROR(INDEX(計算用!$I$2:$I$186,MATCH("女"&amp;$Q18&amp;"-4",計算用!$AN$2:$AN$186,0)),""))</f>
        <v/>
      </c>
    </row>
    <row r="19">
      <c r="A19" s="26">
        <f>IF(ROW()-3&lt;=計算用!$Q$9,ROW()-3,"")</f>
        <v/>
      </c>
      <c r="B19" s="26">
        <f>IF($A19="","",INDEX(計算用!$T$2:$T$51,$A19))</f>
        <v/>
      </c>
      <c r="C19" s="26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6">
        <f>IF($A19="","",IFERROR(INDEX(計算用!$M$2:$M$186,MATCH("男"&amp;$A19&amp;"-1",計算用!$AN$2:$AN$186,0)),""))</f>
        <v/>
      </c>
      <c r="F19" s="26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6">
        <f>IF($A19="","",IFERROR(INDEX(計算用!$M$2:$M$186,MATCH("男"&amp;$A19&amp;"-2",計算用!$AN$2:$AN$186,0)),""))</f>
        <v/>
      </c>
      <c r="I19" s="26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6">
        <f>IF($A19="","",IFERROR(INDEX(計算用!$M$2:$M$186,MATCH("男"&amp;$A19&amp;"-3",計算用!$AN$2:$AN$186,0)),""))</f>
        <v/>
      </c>
      <c r="L19" s="26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6">
        <f>IF($A19="","",IFERROR(INDEX(計算用!$M$2:$M$186,MATCH("男"&amp;$A19&amp;"-4",計算用!$AN$2:$AN$186,0)),""))</f>
        <v/>
      </c>
      <c r="O19" s="26">
        <f>IF($A19="","",IFERROR(INDEX(計算用!$I$2:$I$186,MATCH("男"&amp;$A19&amp;"-4",計算用!$AN$2:$AN$186,0)),""))</f>
        <v/>
      </c>
      <c r="Q19" s="26">
        <f>IF(ROW()-3&lt;=計算用!$Q$11,ROW()-3,"")</f>
        <v/>
      </c>
      <c r="R19" s="26">
        <f>IF($Q19="","",INDEX(計算用!$AC$2:$AC$51,$Q19))</f>
        <v/>
      </c>
      <c r="S19" s="26">
        <f>IF($Q19="","","赤"&amp;INDEX(計算用!$AF$2:$AF$51,$Q19)&amp;"白"&amp;INDEX(計算用!$AG$2:$AG$51,$Q19))</f>
        <v/>
      </c>
      <c r="T19">
        <f>IF($Q19="","",IFERROR(INDEX(計算用!$D$2:$D$186,MATCH("女"&amp;$Q19&amp;"-1",計算用!$AN$2:$AN$186,0)),""))</f>
        <v/>
      </c>
      <c r="U19" s="26">
        <f>IF($Q19="","",IFERROR(INDEX(計算用!$M$2:$M$186,MATCH("女"&amp;$Q19&amp;"-1",計算用!$AN$2:$AN$186,0)),""))</f>
        <v/>
      </c>
      <c r="V19" s="26">
        <f>IF($Q19="","",IFERROR(INDEX(計算用!$I$2:$I$186,MATCH("女"&amp;$Q19&amp;"-1",計算用!$AN$2:$AN$186,0)),""))</f>
        <v/>
      </c>
      <c r="W19">
        <f>IF($Q19="","",IFERROR(INDEX(計算用!$D$2:$D$186,MATCH("女"&amp;$Q19&amp;"-2",計算用!$AN$2:$AN$186,0)),""))</f>
        <v/>
      </c>
      <c r="X19" s="26">
        <f>IF($Q19="","",IFERROR(INDEX(計算用!$M$2:$M$186,MATCH("女"&amp;$Q19&amp;"-2",計算用!$AN$2:$AN$186,0)),""))</f>
        <v/>
      </c>
      <c r="Y19" s="26">
        <f>IF($Q19="","",IFERROR(INDEX(計算用!$I$2:$I$186,MATCH("女"&amp;$Q19&amp;"-2",計算用!$AN$2:$AN$186,0)),""))</f>
        <v/>
      </c>
      <c r="Z19">
        <f>IF($Q19="","",IFERROR(INDEX(計算用!$D$2:$D$186,MATCH("女"&amp;$Q19&amp;"-3",計算用!$AN$2:$AN$186,0)),""))</f>
        <v/>
      </c>
      <c r="AA19" s="26">
        <f>IF($Q19="","",IFERROR(INDEX(計算用!$M$2:$M$186,MATCH("女"&amp;$Q19&amp;"-3",計算用!$AN$2:$AN$186,0)),""))</f>
        <v/>
      </c>
      <c r="AB19" s="26">
        <f>IF($Q19="","",IFERROR(INDEX(計算用!$I$2:$I$186,MATCH("女"&amp;$Q19&amp;"-3",計算用!$AN$2:$AN$186,0)),""))</f>
        <v/>
      </c>
      <c r="AC19">
        <f>IF($Q19="","",IFERROR(INDEX(計算用!$D$2:$D$186,MATCH("女"&amp;$Q19&amp;"-4",計算用!$AN$2:$AN$186,0)),""))</f>
        <v/>
      </c>
      <c r="AD19" s="26">
        <f>IF($Q19="","",IFERROR(INDEX(計算用!$M$2:$M$186,MATCH("女"&amp;$Q19&amp;"-4",計算用!$AN$2:$AN$186,0)),""))</f>
        <v/>
      </c>
      <c r="AE19" s="26">
        <f>IF($Q19="","",IFERROR(INDEX(計算用!$I$2:$I$186,MATCH("女"&amp;$Q19&amp;"-4",計算用!$AN$2:$AN$186,0)),""))</f>
        <v/>
      </c>
    </row>
    <row r="20">
      <c r="A20" s="26">
        <f>IF(ROW()-3&lt;=計算用!$Q$9,ROW()-3,"")</f>
        <v/>
      </c>
      <c r="B20" s="26">
        <f>IF($A20="","",INDEX(計算用!$T$2:$T$51,$A20))</f>
        <v/>
      </c>
      <c r="C20" s="26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6">
        <f>IF($A20="","",IFERROR(INDEX(計算用!$M$2:$M$186,MATCH("男"&amp;$A20&amp;"-1",計算用!$AN$2:$AN$186,0)),""))</f>
        <v/>
      </c>
      <c r="F20" s="26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6">
        <f>IF($A20="","",IFERROR(INDEX(計算用!$M$2:$M$186,MATCH("男"&amp;$A20&amp;"-2",計算用!$AN$2:$AN$186,0)),""))</f>
        <v/>
      </c>
      <c r="I20" s="26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6">
        <f>IF($A20="","",IFERROR(INDEX(計算用!$M$2:$M$186,MATCH("男"&amp;$A20&amp;"-3",計算用!$AN$2:$AN$186,0)),""))</f>
        <v/>
      </c>
      <c r="L20" s="26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6">
        <f>IF($A20="","",IFERROR(INDEX(計算用!$M$2:$M$186,MATCH("男"&amp;$A20&amp;"-4",計算用!$AN$2:$AN$186,0)),""))</f>
        <v/>
      </c>
      <c r="O20" s="26">
        <f>IF($A20="","",IFERROR(INDEX(計算用!$I$2:$I$186,MATCH("男"&amp;$A20&amp;"-4",計算用!$AN$2:$AN$186,0)),""))</f>
        <v/>
      </c>
      <c r="Q20" s="26">
        <f>IF(ROW()-3&lt;=計算用!$Q$11,ROW()-3,"")</f>
        <v/>
      </c>
      <c r="R20" s="26">
        <f>IF($Q20="","",INDEX(計算用!$AC$2:$AC$51,$Q20))</f>
        <v/>
      </c>
      <c r="S20" s="26">
        <f>IF($Q20="","","赤"&amp;INDEX(計算用!$AF$2:$AF$51,$Q20)&amp;"白"&amp;INDEX(計算用!$AG$2:$AG$51,$Q20))</f>
        <v/>
      </c>
      <c r="T20">
        <f>IF($Q20="","",IFERROR(INDEX(計算用!$D$2:$D$186,MATCH("女"&amp;$Q20&amp;"-1",計算用!$AN$2:$AN$186,0)),""))</f>
        <v/>
      </c>
      <c r="U20" s="26">
        <f>IF($Q20="","",IFERROR(INDEX(計算用!$M$2:$M$186,MATCH("女"&amp;$Q20&amp;"-1",計算用!$AN$2:$AN$186,0)),""))</f>
        <v/>
      </c>
      <c r="V20" s="26">
        <f>IF($Q20="","",IFERROR(INDEX(計算用!$I$2:$I$186,MATCH("女"&amp;$Q20&amp;"-1",計算用!$AN$2:$AN$186,0)),""))</f>
        <v/>
      </c>
      <c r="W20">
        <f>IF($Q20="","",IFERROR(INDEX(計算用!$D$2:$D$186,MATCH("女"&amp;$Q20&amp;"-2",計算用!$AN$2:$AN$186,0)),""))</f>
        <v/>
      </c>
      <c r="X20" s="26">
        <f>IF($Q20="","",IFERROR(INDEX(計算用!$M$2:$M$186,MATCH("女"&amp;$Q20&amp;"-2",計算用!$AN$2:$AN$186,0)),""))</f>
        <v/>
      </c>
      <c r="Y20" s="26">
        <f>IF($Q20="","",IFERROR(INDEX(計算用!$I$2:$I$186,MATCH("女"&amp;$Q20&amp;"-2",計算用!$AN$2:$AN$186,0)),""))</f>
        <v/>
      </c>
      <c r="Z20">
        <f>IF($Q20="","",IFERROR(INDEX(計算用!$D$2:$D$186,MATCH("女"&amp;$Q20&amp;"-3",計算用!$AN$2:$AN$186,0)),""))</f>
        <v/>
      </c>
      <c r="AA20" s="26">
        <f>IF($Q20="","",IFERROR(INDEX(計算用!$M$2:$M$186,MATCH("女"&amp;$Q20&amp;"-3",計算用!$AN$2:$AN$186,0)),""))</f>
        <v/>
      </c>
      <c r="AB20" s="26">
        <f>IF($Q20="","",IFERROR(INDEX(計算用!$I$2:$I$186,MATCH("女"&amp;$Q20&amp;"-3",計算用!$AN$2:$AN$186,0)),""))</f>
        <v/>
      </c>
      <c r="AC20">
        <f>IF($Q20="","",IFERROR(INDEX(計算用!$D$2:$D$186,MATCH("女"&amp;$Q20&amp;"-4",計算用!$AN$2:$AN$186,0)),""))</f>
        <v/>
      </c>
      <c r="AD20" s="26">
        <f>IF($Q20="","",IFERROR(INDEX(計算用!$M$2:$M$186,MATCH("女"&amp;$Q20&amp;"-4",計算用!$AN$2:$AN$186,0)),""))</f>
        <v/>
      </c>
      <c r="AE20" s="26">
        <f>IF($Q20="","",IFERROR(INDEX(計算用!$I$2:$I$186,MATCH("女"&amp;$Q20&amp;"-4",計算用!$AN$2:$AN$186,0)),""))</f>
        <v/>
      </c>
    </row>
    <row r="21">
      <c r="A21" s="26">
        <f>IF(ROW()-3&lt;=計算用!$Q$9,ROW()-3,"")</f>
        <v/>
      </c>
      <c r="B21" s="26">
        <f>IF($A21="","",INDEX(計算用!$T$2:$T$51,$A21))</f>
        <v/>
      </c>
      <c r="C21" s="26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6">
        <f>IF($A21="","",IFERROR(INDEX(計算用!$M$2:$M$186,MATCH("男"&amp;$A21&amp;"-1",計算用!$AN$2:$AN$186,0)),""))</f>
        <v/>
      </c>
      <c r="F21" s="26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6">
        <f>IF($A21="","",IFERROR(INDEX(計算用!$M$2:$M$186,MATCH("男"&amp;$A21&amp;"-2",計算用!$AN$2:$AN$186,0)),""))</f>
        <v/>
      </c>
      <c r="I21" s="26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6">
        <f>IF($A21="","",IFERROR(INDEX(計算用!$M$2:$M$186,MATCH("男"&amp;$A21&amp;"-3",計算用!$AN$2:$AN$186,0)),""))</f>
        <v/>
      </c>
      <c r="L21" s="26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6">
        <f>IF($A21="","",IFERROR(INDEX(計算用!$M$2:$M$186,MATCH("男"&amp;$A21&amp;"-4",計算用!$AN$2:$AN$186,0)),""))</f>
        <v/>
      </c>
      <c r="O21" s="26">
        <f>IF($A21="","",IFERROR(INDEX(計算用!$I$2:$I$186,MATCH("男"&amp;$A21&amp;"-4",計算用!$AN$2:$AN$186,0)),""))</f>
        <v/>
      </c>
      <c r="Q21" s="26">
        <f>IF(ROW()-3&lt;=計算用!$Q$11,ROW()-3,"")</f>
        <v/>
      </c>
      <c r="R21" s="26">
        <f>IF($Q21="","",INDEX(計算用!$AC$2:$AC$51,$Q21))</f>
        <v/>
      </c>
      <c r="S21" s="26">
        <f>IF($Q21="","","赤"&amp;INDEX(計算用!$AF$2:$AF$51,$Q21)&amp;"白"&amp;INDEX(計算用!$AG$2:$AG$51,$Q21))</f>
        <v/>
      </c>
      <c r="T21">
        <f>IF($Q21="","",IFERROR(INDEX(計算用!$D$2:$D$186,MATCH("女"&amp;$Q21&amp;"-1",計算用!$AN$2:$AN$186,0)),""))</f>
        <v/>
      </c>
      <c r="U21" s="26">
        <f>IF($Q21="","",IFERROR(INDEX(計算用!$M$2:$M$186,MATCH("女"&amp;$Q21&amp;"-1",計算用!$AN$2:$AN$186,0)),""))</f>
        <v/>
      </c>
      <c r="V21" s="26">
        <f>IF($Q21="","",IFERROR(INDEX(計算用!$I$2:$I$186,MATCH("女"&amp;$Q21&amp;"-1",計算用!$AN$2:$AN$186,0)),""))</f>
        <v/>
      </c>
      <c r="W21">
        <f>IF($Q21="","",IFERROR(INDEX(計算用!$D$2:$D$186,MATCH("女"&amp;$Q21&amp;"-2",計算用!$AN$2:$AN$186,0)),""))</f>
        <v/>
      </c>
      <c r="X21" s="26">
        <f>IF($Q21="","",IFERROR(INDEX(計算用!$M$2:$M$186,MATCH("女"&amp;$Q21&amp;"-2",計算用!$AN$2:$AN$186,0)),""))</f>
        <v/>
      </c>
      <c r="Y21" s="26">
        <f>IF($Q21="","",IFERROR(INDEX(計算用!$I$2:$I$186,MATCH("女"&amp;$Q21&amp;"-2",計算用!$AN$2:$AN$186,0)),""))</f>
        <v/>
      </c>
      <c r="Z21">
        <f>IF($Q21="","",IFERROR(INDEX(計算用!$D$2:$D$186,MATCH("女"&amp;$Q21&amp;"-3",計算用!$AN$2:$AN$186,0)),""))</f>
        <v/>
      </c>
      <c r="AA21" s="26">
        <f>IF($Q21="","",IFERROR(INDEX(計算用!$M$2:$M$186,MATCH("女"&amp;$Q21&amp;"-3",計算用!$AN$2:$AN$186,0)),""))</f>
        <v/>
      </c>
      <c r="AB21" s="26">
        <f>IF($Q21="","",IFERROR(INDEX(計算用!$I$2:$I$186,MATCH("女"&amp;$Q21&amp;"-3",計算用!$AN$2:$AN$186,0)),""))</f>
        <v/>
      </c>
      <c r="AC21">
        <f>IF($Q21="","",IFERROR(INDEX(計算用!$D$2:$D$186,MATCH("女"&amp;$Q21&amp;"-4",計算用!$AN$2:$AN$186,0)),""))</f>
        <v/>
      </c>
      <c r="AD21" s="26">
        <f>IF($Q21="","",IFERROR(INDEX(計算用!$M$2:$M$186,MATCH("女"&amp;$Q21&amp;"-4",計算用!$AN$2:$AN$186,0)),""))</f>
        <v/>
      </c>
      <c r="AE21" s="26">
        <f>IF($Q21="","",IFERROR(INDEX(計算用!$I$2:$I$186,MATCH("女"&amp;$Q21&amp;"-4",計算用!$AN$2:$AN$186,0)),""))</f>
        <v/>
      </c>
    </row>
    <row r="22">
      <c r="A22" s="26">
        <f>IF(ROW()-3&lt;=計算用!$Q$9,ROW()-3,"")</f>
        <v/>
      </c>
      <c r="B22" s="26">
        <f>IF($A22="","",INDEX(計算用!$T$2:$T$51,$A22))</f>
        <v/>
      </c>
      <c r="C22" s="26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6">
        <f>IF($A22="","",IFERROR(INDEX(計算用!$M$2:$M$186,MATCH("男"&amp;$A22&amp;"-1",計算用!$AN$2:$AN$186,0)),""))</f>
        <v/>
      </c>
      <c r="F22" s="26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6">
        <f>IF($A22="","",IFERROR(INDEX(計算用!$M$2:$M$186,MATCH("男"&amp;$A22&amp;"-2",計算用!$AN$2:$AN$186,0)),""))</f>
        <v/>
      </c>
      <c r="I22" s="26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6">
        <f>IF($A22="","",IFERROR(INDEX(計算用!$M$2:$M$186,MATCH("男"&amp;$A22&amp;"-3",計算用!$AN$2:$AN$186,0)),""))</f>
        <v/>
      </c>
      <c r="L22" s="26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6">
        <f>IF($A22="","",IFERROR(INDEX(計算用!$M$2:$M$186,MATCH("男"&amp;$A22&amp;"-4",計算用!$AN$2:$AN$186,0)),""))</f>
        <v/>
      </c>
      <c r="O22" s="26">
        <f>IF($A22="","",IFERROR(INDEX(計算用!$I$2:$I$186,MATCH("男"&amp;$A22&amp;"-4",計算用!$AN$2:$AN$186,0)),""))</f>
        <v/>
      </c>
      <c r="Q22" s="26">
        <f>IF(ROW()-3&lt;=計算用!$Q$11,ROW()-3,"")</f>
        <v/>
      </c>
      <c r="R22" s="26">
        <f>IF($Q22="","",INDEX(計算用!$AC$2:$AC$51,$Q22))</f>
        <v/>
      </c>
      <c r="S22" s="26">
        <f>IF($Q22="","","赤"&amp;INDEX(計算用!$AF$2:$AF$51,$Q22)&amp;"白"&amp;INDEX(計算用!$AG$2:$AG$51,$Q22))</f>
        <v/>
      </c>
      <c r="T22">
        <f>IF($Q22="","",IFERROR(INDEX(計算用!$D$2:$D$186,MATCH("女"&amp;$Q22&amp;"-1",計算用!$AN$2:$AN$186,0)),""))</f>
        <v/>
      </c>
      <c r="U22" s="26">
        <f>IF($Q22="","",IFERROR(INDEX(計算用!$M$2:$M$186,MATCH("女"&amp;$Q22&amp;"-1",計算用!$AN$2:$AN$186,0)),""))</f>
        <v/>
      </c>
      <c r="V22" s="26">
        <f>IF($Q22="","",IFERROR(INDEX(計算用!$I$2:$I$186,MATCH("女"&amp;$Q22&amp;"-1",計算用!$AN$2:$AN$186,0)),""))</f>
        <v/>
      </c>
      <c r="W22">
        <f>IF($Q22="","",IFERROR(INDEX(計算用!$D$2:$D$186,MATCH("女"&amp;$Q22&amp;"-2",計算用!$AN$2:$AN$186,0)),""))</f>
        <v/>
      </c>
      <c r="X22" s="26">
        <f>IF($Q22="","",IFERROR(INDEX(計算用!$M$2:$M$186,MATCH("女"&amp;$Q22&amp;"-2",計算用!$AN$2:$AN$186,0)),""))</f>
        <v/>
      </c>
      <c r="Y22" s="26">
        <f>IF($Q22="","",IFERROR(INDEX(計算用!$I$2:$I$186,MATCH("女"&amp;$Q22&amp;"-2",計算用!$AN$2:$AN$186,0)),""))</f>
        <v/>
      </c>
      <c r="Z22">
        <f>IF($Q22="","",IFERROR(INDEX(計算用!$D$2:$D$186,MATCH("女"&amp;$Q22&amp;"-3",計算用!$AN$2:$AN$186,0)),""))</f>
        <v/>
      </c>
      <c r="AA22" s="26">
        <f>IF($Q22="","",IFERROR(INDEX(計算用!$M$2:$M$186,MATCH("女"&amp;$Q22&amp;"-3",計算用!$AN$2:$AN$186,0)),""))</f>
        <v/>
      </c>
      <c r="AB22" s="26">
        <f>IF($Q22="","",IFERROR(INDEX(計算用!$I$2:$I$186,MATCH("女"&amp;$Q22&amp;"-3",計算用!$AN$2:$AN$186,0)),""))</f>
        <v/>
      </c>
      <c r="AC22">
        <f>IF($Q22="","",IFERROR(INDEX(計算用!$D$2:$D$186,MATCH("女"&amp;$Q22&amp;"-4",計算用!$AN$2:$AN$186,0)),""))</f>
        <v/>
      </c>
      <c r="AD22" s="26">
        <f>IF($Q22="","",IFERROR(INDEX(計算用!$M$2:$M$186,MATCH("女"&amp;$Q22&amp;"-4",計算用!$AN$2:$AN$186,0)),""))</f>
        <v/>
      </c>
      <c r="AE22" s="26">
        <f>IF($Q22="","",IFERROR(INDEX(計算用!$I$2:$I$186,MATCH("女"&amp;$Q22&amp;"-4",計算用!$AN$2:$AN$186,0)),""))</f>
        <v/>
      </c>
    </row>
    <row r="23">
      <c r="A23" s="26">
        <f>IF(ROW()-3&lt;=計算用!$Q$9,ROW()-3,"")</f>
        <v/>
      </c>
      <c r="B23" s="26">
        <f>IF($A23="","",INDEX(計算用!$T$2:$T$51,$A23))</f>
        <v/>
      </c>
      <c r="C23" s="26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6">
        <f>IF($A23="","",IFERROR(INDEX(計算用!$M$2:$M$186,MATCH("男"&amp;$A23&amp;"-1",計算用!$AN$2:$AN$186,0)),""))</f>
        <v/>
      </c>
      <c r="F23" s="26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6">
        <f>IF($A23="","",IFERROR(INDEX(計算用!$M$2:$M$186,MATCH("男"&amp;$A23&amp;"-2",計算用!$AN$2:$AN$186,0)),""))</f>
        <v/>
      </c>
      <c r="I23" s="26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6">
        <f>IF($A23="","",IFERROR(INDEX(計算用!$M$2:$M$186,MATCH("男"&amp;$A23&amp;"-3",計算用!$AN$2:$AN$186,0)),""))</f>
        <v/>
      </c>
      <c r="L23" s="26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6">
        <f>IF($A23="","",IFERROR(INDEX(計算用!$M$2:$M$186,MATCH("男"&amp;$A23&amp;"-4",計算用!$AN$2:$AN$186,0)),""))</f>
        <v/>
      </c>
      <c r="O23" s="26">
        <f>IF($A23="","",IFERROR(INDEX(計算用!$I$2:$I$186,MATCH("男"&amp;$A23&amp;"-4",計算用!$AN$2:$AN$186,0)),""))</f>
        <v/>
      </c>
      <c r="Q23" s="26">
        <f>IF(ROW()-3&lt;=計算用!$Q$11,ROW()-3,"")</f>
        <v/>
      </c>
      <c r="R23" s="26">
        <f>IF($Q23="","",INDEX(計算用!$AC$2:$AC$51,$Q23))</f>
        <v/>
      </c>
      <c r="S23" s="26">
        <f>IF($Q23="","","赤"&amp;INDEX(計算用!$AF$2:$AF$51,$Q23)&amp;"白"&amp;INDEX(計算用!$AG$2:$AG$51,$Q23))</f>
        <v/>
      </c>
      <c r="T23">
        <f>IF($Q23="","",IFERROR(INDEX(計算用!$D$2:$D$186,MATCH("女"&amp;$Q23&amp;"-1",計算用!$AN$2:$AN$186,0)),""))</f>
        <v/>
      </c>
      <c r="U23" s="26">
        <f>IF($Q23="","",IFERROR(INDEX(計算用!$M$2:$M$186,MATCH("女"&amp;$Q23&amp;"-1",計算用!$AN$2:$AN$186,0)),""))</f>
        <v/>
      </c>
      <c r="V23" s="26">
        <f>IF($Q23="","",IFERROR(INDEX(計算用!$I$2:$I$186,MATCH("女"&amp;$Q23&amp;"-1",計算用!$AN$2:$AN$186,0)),""))</f>
        <v/>
      </c>
      <c r="W23">
        <f>IF($Q23="","",IFERROR(INDEX(計算用!$D$2:$D$186,MATCH("女"&amp;$Q23&amp;"-2",計算用!$AN$2:$AN$186,0)),""))</f>
        <v/>
      </c>
      <c r="X23" s="26">
        <f>IF($Q23="","",IFERROR(INDEX(計算用!$M$2:$M$186,MATCH("女"&amp;$Q23&amp;"-2",計算用!$AN$2:$AN$186,0)),""))</f>
        <v/>
      </c>
      <c r="Y23" s="26">
        <f>IF($Q23="","",IFERROR(INDEX(計算用!$I$2:$I$186,MATCH("女"&amp;$Q23&amp;"-2",計算用!$AN$2:$AN$186,0)),""))</f>
        <v/>
      </c>
      <c r="Z23">
        <f>IF($Q23="","",IFERROR(INDEX(計算用!$D$2:$D$186,MATCH("女"&amp;$Q23&amp;"-3",計算用!$AN$2:$AN$186,0)),""))</f>
        <v/>
      </c>
      <c r="AA23" s="26">
        <f>IF($Q23="","",IFERROR(INDEX(計算用!$M$2:$M$186,MATCH("女"&amp;$Q23&amp;"-3",計算用!$AN$2:$AN$186,0)),""))</f>
        <v/>
      </c>
      <c r="AB23" s="26">
        <f>IF($Q23="","",IFERROR(INDEX(計算用!$I$2:$I$186,MATCH("女"&amp;$Q23&amp;"-3",計算用!$AN$2:$AN$186,0)),""))</f>
        <v/>
      </c>
      <c r="AC23">
        <f>IF($Q23="","",IFERROR(INDEX(計算用!$D$2:$D$186,MATCH("女"&amp;$Q23&amp;"-4",計算用!$AN$2:$AN$186,0)),""))</f>
        <v/>
      </c>
      <c r="AD23" s="26">
        <f>IF($Q23="","",IFERROR(INDEX(計算用!$M$2:$M$186,MATCH("女"&amp;$Q23&amp;"-4",計算用!$AN$2:$AN$186,0)),""))</f>
        <v/>
      </c>
      <c r="AE23" s="26">
        <f>IF($Q23="","",IFERROR(INDEX(計算用!$I$2:$I$186,MATCH("女"&amp;$Q23&amp;"-4",計算用!$AN$2:$AN$186,0)),""))</f>
        <v/>
      </c>
    </row>
    <row r="24">
      <c r="A24" s="26">
        <f>IF(ROW()-3&lt;=計算用!$Q$9,ROW()-3,"")</f>
        <v/>
      </c>
      <c r="B24" s="26">
        <f>IF($A24="","",INDEX(計算用!$T$2:$T$51,$A24))</f>
        <v/>
      </c>
      <c r="C24" s="26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6">
        <f>IF($A24="","",IFERROR(INDEX(計算用!$M$2:$M$186,MATCH("男"&amp;$A24&amp;"-1",計算用!$AN$2:$AN$186,0)),""))</f>
        <v/>
      </c>
      <c r="F24" s="26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6">
        <f>IF($A24="","",IFERROR(INDEX(計算用!$M$2:$M$186,MATCH("男"&amp;$A24&amp;"-2",計算用!$AN$2:$AN$186,0)),""))</f>
        <v/>
      </c>
      <c r="I24" s="26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6">
        <f>IF($A24="","",IFERROR(INDEX(計算用!$M$2:$M$186,MATCH("男"&amp;$A24&amp;"-3",計算用!$AN$2:$AN$186,0)),""))</f>
        <v/>
      </c>
      <c r="L24" s="26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6">
        <f>IF($A24="","",IFERROR(INDEX(計算用!$M$2:$M$186,MATCH("男"&amp;$A24&amp;"-4",計算用!$AN$2:$AN$186,0)),""))</f>
        <v/>
      </c>
      <c r="O24" s="26">
        <f>IF($A24="","",IFERROR(INDEX(計算用!$I$2:$I$186,MATCH("男"&amp;$A24&amp;"-4",計算用!$AN$2:$AN$186,0)),""))</f>
        <v/>
      </c>
      <c r="Q24" s="26">
        <f>IF(ROW()-3&lt;=計算用!$Q$11,ROW()-3,"")</f>
        <v/>
      </c>
      <c r="R24" s="26">
        <f>IF($Q24="","",INDEX(計算用!$AC$2:$AC$51,$Q24))</f>
        <v/>
      </c>
      <c r="S24" s="26">
        <f>IF($Q24="","","赤"&amp;INDEX(計算用!$AF$2:$AF$51,$Q24)&amp;"白"&amp;INDEX(計算用!$AG$2:$AG$51,$Q24))</f>
        <v/>
      </c>
      <c r="T24">
        <f>IF($Q24="","",IFERROR(INDEX(計算用!$D$2:$D$186,MATCH("女"&amp;$Q24&amp;"-1",計算用!$AN$2:$AN$186,0)),""))</f>
        <v/>
      </c>
      <c r="U24" s="26">
        <f>IF($Q24="","",IFERROR(INDEX(計算用!$M$2:$M$186,MATCH("女"&amp;$Q24&amp;"-1",計算用!$AN$2:$AN$186,0)),""))</f>
        <v/>
      </c>
      <c r="V24" s="26">
        <f>IF($Q24="","",IFERROR(INDEX(計算用!$I$2:$I$186,MATCH("女"&amp;$Q24&amp;"-1",計算用!$AN$2:$AN$186,0)),""))</f>
        <v/>
      </c>
      <c r="W24">
        <f>IF($Q24="","",IFERROR(INDEX(計算用!$D$2:$D$186,MATCH("女"&amp;$Q24&amp;"-2",計算用!$AN$2:$AN$186,0)),""))</f>
        <v/>
      </c>
      <c r="X24" s="26">
        <f>IF($Q24="","",IFERROR(INDEX(計算用!$M$2:$M$186,MATCH("女"&amp;$Q24&amp;"-2",計算用!$AN$2:$AN$186,0)),""))</f>
        <v/>
      </c>
      <c r="Y24" s="26">
        <f>IF($Q24="","",IFERROR(INDEX(計算用!$I$2:$I$186,MATCH("女"&amp;$Q24&amp;"-2",計算用!$AN$2:$AN$186,0)),""))</f>
        <v/>
      </c>
      <c r="Z24">
        <f>IF($Q24="","",IFERROR(INDEX(計算用!$D$2:$D$186,MATCH("女"&amp;$Q24&amp;"-3",計算用!$AN$2:$AN$186,0)),""))</f>
        <v/>
      </c>
      <c r="AA24" s="26">
        <f>IF($Q24="","",IFERROR(INDEX(計算用!$M$2:$M$186,MATCH("女"&amp;$Q24&amp;"-3",計算用!$AN$2:$AN$186,0)),""))</f>
        <v/>
      </c>
      <c r="AB24" s="26">
        <f>IF($Q24="","",IFERROR(INDEX(計算用!$I$2:$I$186,MATCH("女"&amp;$Q24&amp;"-3",計算用!$AN$2:$AN$186,0)),""))</f>
        <v/>
      </c>
      <c r="AC24">
        <f>IF($Q24="","",IFERROR(INDEX(計算用!$D$2:$D$186,MATCH("女"&amp;$Q24&amp;"-4",計算用!$AN$2:$AN$186,0)),""))</f>
        <v/>
      </c>
      <c r="AD24" s="26">
        <f>IF($Q24="","",IFERROR(INDEX(計算用!$M$2:$M$186,MATCH("女"&amp;$Q24&amp;"-4",計算用!$AN$2:$AN$186,0)),""))</f>
        <v/>
      </c>
      <c r="AE24" s="26">
        <f>IF($Q24="","",IFERROR(INDEX(計算用!$I$2:$I$186,MATCH("女"&amp;$Q24&amp;"-4",計算用!$AN$2:$AN$186,0)),""))</f>
        <v/>
      </c>
    </row>
    <row r="25">
      <c r="A25" s="26">
        <f>IF(ROW()-3&lt;=計算用!$Q$9,ROW()-3,"")</f>
        <v/>
      </c>
      <c r="B25" s="26">
        <f>IF($A25="","",INDEX(計算用!$T$2:$T$51,$A25))</f>
        <v/>
      </c>
      <c r="C25" s="26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6">
        <f>IF($A25="","",IFERROR(INDEX(計算用!$M$2:$M$186,MATCH("男"&amp;$A25&amp;"-1",計算用!$AN$2:$AN$186,0)),""))</f>
        <v/>
      </c>
      <c r="F25" s="26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6">
        <f>IF($A25="","",IFERROR(INDEX(計算用!$M$2:$M$186,MATCH("男"&amp;$A25&amp;"-2",計算用!$AN$2:$AN$186,0)),""))</f>
        <v/>
      </c>
      <c r="I25" s="26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6">
        <f>IF($A25="","",IFERROR(INDEX(計算用!$M$2:$M$186,MATCH("男"&amp;$A25&amp;"-3",計算用!$AN$2:$AN$186,0)),""))</f>
        <v/>
      </c>
      <c r="L25" s="26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6">
        <f>IF($A25="","",IFERROR(INDEX(計算用!$M$2:$M$186,MATCH("男"&amp;$A25&amp;"-4",計算用!$AN$2:$AN$186,0)),""))</f>
        <v/>
      </c>
      <c r="O25" s="26">
        <f>IF($A25="","",IFERROR(INDEX(計算用!$I$2:$I$186,MATCH("男"&amp;$A25&amp;"-4",計算用!$AN$2:$AN$186,0)),""))</f>
        <v/>
      </c>
      <c r="Q25" s="26">
        <f>IF(ROW()-3&lt;=計算用!$Q$11,ROW()-3,"")</f>
        <v/>
      </c>
      <c r="R25" s="26">
        <f>IF($Q25="","",INDEX(計算用!$AC$2:$AC$51,$Q25))</f>
        <v/>
      </c>
      <c r="S25" s="26">
        <f>IF($Q25="","","赤"&amp;INDEX(計算用!$AF$2:$AF$51,$Q25)&amp;"白"&amp;INDEX(計算用!$AG$2:$AG$51,$Q25))</f>
        <v/>
      </c>
      <c r="T25">
        <f>IF($Q25="","",IFERROR(INDEX(計算用!$D$2:$D$186,MATCH("女"&amp;$Q25&amp;"-1",計算用!$AN$2:$AN$186,0)),""))</f>
        <v/>
      </c>
      <c r="U25" s="26">
        <f>IF($Q25="","",IFERROR(INDEX(計算用!$M$2:$M$186,MATCH("女"&amp;$Q25&amp;"-1",計算用!$AN$2:$AN$186,0)),""))</f>
        <v/>
      </c>
      <c r="V25" s="26">
        <f>IF($Q25="","",IFERROR(INDEX(計算用!$I$2:$I$186,MATCH("女"&amp;$Q25&amp;"-1",計算用!$AN$2:$AN$186,0)),""))</f>
        <v/>
      </c>
      <c r="W25">
        <f>IF($Q25="","",IFERROR(INDEX(計算用!$D$2:$D$186,MATCH("女"&amp;$Q25&amp;"-2",計算用!$AN$2:$AN$186,0)),""))</f>
        <v/>
      </c>
      <c r="X25" s="26">
        <f>IF($Q25="","",IFERROR(INDEX(計算用!$M$2:$M$186,MATCH("女"&amp;$Q25&amp;"-2",計算用!$AN$2:$AN$186,0)),""))</f>
        <v/>
      </c>
      <c r="Y25" s="26">
        <f>IF($Q25="","",IFERROR(INDEX(計算用!$I$2:$I$186,MATCH("女"&amp;$Q25&amp;"-2",計算用!$AN$2:$AN$186,0)),""))</f>
        <v/>
      </c>
      <c r="Z25">
        <f>IF($Q25="","",IFERROR(INDEX(計算用!$D$2:$D$186,MATCH("女"&amp;$Q25&amp;"-3",計算用!$AN$2:$AN$186,0)),""))</f>
        <v/>
      </c>
      <c r="AA25" s="26">
        <f>IF($Q25="","",IFERROR(INDEX(計算用!$M$2:$M$186,MATCH("女"&amp;$Q25&amp;"-3",計算用!$AN$2:$AN$186,0)),""))</f>
        <v/>
      </c>
      <c r="AB25" s="26">
        <f>IF($Q25="","",IFERROR(INDEX(計算用!$I$2:$I$186,MATCH("女"&amp;$Q25&amp;"-3",計算用!$AN$2:$AN$186,0)),""))</f>
        <v/>
      </c>
      <c r="AC25">
        <f>IF($Q25="","",IFERROR(INDEX(計算用!$D$2:$D$186,MATCH("女"&amp;$Q25&amp;"-4",計算用!$AN$2:$AN$186,0)),""))</f>
        <v/>
      </c>
      <c r="AD25" s="26">
        <f>IF($Q25="","",IFERROR(INDEX(計算用!$M$2:$M$186,MATCH("女"&amp;$Q25&amp;"-4",計算用!$AN$2:$AN$186,0)),""))</f>
        <v/>
      </c>
      <c r="AE25" s="26">
        <f>IF($Q25="","",IFERROR(INDEX(計算用!$I$2:$I$186,MATCH("女"&amp;$Q25&amp;"-4",計算用!$AN$2:$AN$186,0)),""))</f>
        <v/>
      </c>
    </row>
    <row r="26">
      <c r="A26" s="26">
        <f>IF(ROW()-3&lt;=計算用!$Q$9,ROW()-3,"")</f>
        <v/>
      </c>
      <c r="B26" s="26">
        <f>IF($A26="","",INDEX(計算用!$T$2:$T$51,$A26))</f>
        <v/>
      </c>
      <c r="C26" s="26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6">
        <f>IF($A26="","",IFERROR(INDEX(計算用!$M$2:$M$186,MATCH("男"&amp;$A26&amp;"-1",計算用!$AN$2:$AN$186,0)),""))</f>
        <v/>
      </c>
      <c r="F26" s="26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6">
        <f>IF($A26="","",IFERROR(INDEX(計算用!$M$2:$M$186,MATCH("男"&amp;$A26&amp;"-2",計算用!$AN$2:$AN$186,0)),""))</f>
        <v/>
      </c>
      <c r="I26" s="26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6">
        <f>IF($A26="","",IFERROR(INDEX(計算用!$M$2:$M$186,MATCH("男"&amp;$A26&amp;"-3",計算用!$AN$2:$AN$186,0)),""))</f>
        <v/>
      </c>
      <c r="L26" s="26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6">
        <f>IF($A26="","",IFERROR(INDEX(計算用!$M$2:$M$186,MATCH("男"&amp;$A26&amp;"-4",計算用!$AN$2:$AN$186,0)),""))</f>
        <v/>
      </c>
      <c r="O26" s="26">
        <f>IF($A26="","",IFERROR(INDEX(計算用!$I$2:$I$186,MATCH("男"&amp;$A26&amp;"-4",計算用!$AN$2:$AN$186,0)),""))</f>
        <v/>
      </c>
      <c r="Q26" s="26">
        <f>IF(ROW()-3&lt;=計算用!$Q$11,ROW()-3,"")</f>
        <v/>
      </c>
      <c r="R26" s="26">
        <f>IF($Q26="","",INDEX(計算用!$AC$2:$AC$51,$Q26))</f>
        <v/>
      </c>
      <c r="S26" s="26">
        <f>IF($Q26="","","赤"&amp;INDEX(計算用!$AF$2:$AF$51,$Q26)&amp;"白"&amp;INDEX(計算用!$AG$2:$AG$51,$Q26))</f>
        <v/>
      </c>
      <c r="T26">
        <f>IF($Q26="","",IFERROR(INDEX(計算用!$D$2:$D$186,MATCH("女"&amp;$Q26&amp;"-1",計算用!$AN$2:$AN$186,0)),""))</f>
        <v/>
      </c>
      <c r="U26" s="26">
        <f>IF($Q26="","",IFERROR(INDEX(計算用!$M$2:$M$186,MATCH("女"&amp;$Q26&amp;"-1",計算用!$AN$2:$AN$186,0)),""))</f>
        <v/>
      </c>
      <c r="V26" s="26">
        <f>IF($Q26="","",IFERROR(INDEX(計算用!$I$2:$I$186,MATCH("女"&amp;$Q26&amp;"-1",計算用!$AN$2:$AN$186,0)),""))</f>
        <v/>
      </c>
      <c r="W26">
        <f>IF($Q26="","",IFERROR(INDEX(計算用!$D$2:$D$186,MATCH("女"&amp;$Q26&amp;"-2",計算用!$AN$2:$AN$186,0)),""))</f>
        <v/>
      </c>
      <c r="X26" s="26">
        <f>IF($Q26="","",IFERROR(INDEX(計算用!$M$2:$M$186,MATCH("女"&amp;$Q26&amp;"-2",計算用!$AN$2:$AN$186,0)),""))</f>
        <v/>
      </c>
      <c r="Y26" s="26">
        <f>IF($Q26="","",IFERROR(INDEX(計算用!$I$2:$I$186,MATCH("女"&amp;$Q26&amp;"-2",計算用!$AN$2:$AN$186,0)),""))</f>
        <v/>
      </c>
      <c r="Z26">
        <f>IF($Q26="","",IFERROR(INDEX(計算用!$D$2:$D$186,MATCH("女"&amp;$Q26&amp;"-3",計算用!$AN$2:$AN$186,0)),""))</f>
        <v/>
      </c>
      <c r="AA26" s="26">
        <f>IF($Q26="","",IFERROR(INDEX(計算用!$M$2:$M$186,MATCH("女"&amp;$Q26&amp;"-3",計算用!$AN$2:$AN$186,0)),""))</f>
        <v/>
      </c>
      <c r="AB26" s="26">
        <f>IF($Q26="","",IFERROR(INDEX(計算用!$I$2:$I$186,MATCH("女"&amp;$Q26&amp;"-3",計算用!$AN$2:$AN$186,0)),""))</f>
        <v/>
      </c>
      <c r="AC26">
        <f>IF($Q26="","",IFERROR(INDEX(計算用!$D$2:$D$186,MATCH("女"&amp;$Q26&amp;"-4",計算用!$AN$2:$AN$186,0)),""))</f>
        <v/>
      </c>
      <c r="AD26" s="26">
        <f>IF($Q26="","",IFERROR(INDEX(計算用!$M$2:$M$186,MATCH("女"&amp;$Q26&amp;"-4",計算用!$AN$2:$AN$186,0)),""))</f>
        <v/>
      </c>
      <c r="AE26" s="26">
        <f>IF($Q26="","",IFERROR(INDEX(計算用!$I$2:$I$186,MATCH("女"&amp;$Q26&amp;"-4",計算用!$AN$2:$AN$186,0)),""))</f>
        <v/>
      </c>
    </row>
    <row r="27">
      <c r="A27" s="26">
        <f>IF(ROW()-3&lt;=計算用!$Q$9,ROW()-3,"")</f>
        <v/>
      </c>
      <c r="B27" s="26">
        <f>IF($A27="","",INDEX(計算用!$T$2:$T$51,$A27))</f>
        <v/>
      </c>
      <c r="C27" s="26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6">
        <f>IF($A27="","",IFERROR(INDEX(計算用!$M$2:$M$186,MATCH("男"&amp;$A27&amp;"-1",計算用!$AN$2:$AN$186,0)),""))</f>
        <v/>
      </c>
      <c r="F27" s="26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6">
        <f>IF($A27="","",IFERROR(INDEX(計算用!$M$2:$M$186,MATCH("男"&amp;$A27&amp;"-2",計算用!$AN$2:$AN$186,0)),""))</f>
        <v/>
      </c>
      <c r="I27" s="26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6">
        <f>IF($A27="","",IFERROR(INDEX(計算用!$M$2:$M$186,MATCH("男"&amp;$A27&amp;"-3",計算用!$AN$2:$AN$186,0)),""))</f>
        <v/>
      </c>
      <c r="L27" s="26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6">
        <f>IF($A27="","",IFERROR(INDEX(計算用!$M$2:$M$186,MATCH("男"&amp;$A27&amp;"-4",計算用!$AN$2:$AN$186,0)),""))</f>
        <v/>
      </c>
      <c r="O27" s="26">
        <f>IF($A27="","",IFERROR(INDEX(計算用!$I$2:$I$186,MATCH("男"&amp;$A27&amp;"-4",計算用!$AN$2:$AN$186,0)),""))</f>
        <v/>
      </c>
      <c r="Q27" s="26">
        <f>IF(ROW()-3&lt;=計算用!$Q$11,ROW()-3,"")</f>
        <v/>
      </c>
      <c r="R27" s="26">
        <f>IF($Q27="","",INDEX(計算用!$AC$2:$AC$51,$Q27))</f>
        <v/>
      </c>
      <c r="S27" s="26">
        <f>IF($Q27="","","赤"&amp;INDEX(計算用!$AF$2:$AF$51,$Q27)&amp;"白"&amp;INDEX(計算用!$AG$2:$AG$51,$Q27))</f>
        <v/>
      </c>
      <c r="T27">
        <f>IF($Q27="","",IFERROR(INDEX(計算用!$D$2:$D$186,MATCH("女"&amp;$Q27&amp;"-1",計算用!$AN$2:$AN$186,0)),""))</f>
        <v/>
      </c>
      <c r="U27" s="26">
        <f>IF($Q27="","",IFERROR(INDEX(計算用!$M$2:$M$186,MATCH("女"&amp;$Q27&amp;"-1",計算用!$AN$2:$AN$186,0)),""))</f>
        <v/>
      </c>
      <c r="V27" s="26">
        <f>IF($Q27="","",IFERROR(INDEX(計算用!$I$2:$I$186,MATCH("女"&amp;$Q27&amp;"-1",計算用!$AN$2:$AN$186,0)),""))</f>
        <v/>
      </c>
      <c r="W27">
        <f>IF($Q27="","",IFERROR(INDEX(計算用!$D$2:$D$186,MATCH("女"&amp;$Q27&amp;"-2",計算用!$AN$2:$AN$186,0)),""))</f>
        <v/>
      </c>
      <c r="X27" s="26">
        <f>IF($Q27="","",IFERROR(INDEX(計算用!$M$2:$M$186,MATCH("女"&amp;$Q27&amp;"-2",計算用!$AN$2:$AN$186,0)),""))</f>
        <v/>
      </c>
      <c r="Y27" s="26">
        <f>IF($Q27="","",IFERROR(INDEX(計算用!$I$2:$I$186,MATCH("女"&amp;$Q27&amp;"-2",計算用!$AN$2:$AN$186,0)),""))</f>
        <v/>
      </c>
      <c r="Z27">
        <f>IF($Q27="","",IFERROR(INDEX(計算用!$D$2:$D$186,MATCH("女"&amp;$Q27&amp;"-3",計算用!$AN$2:$AN$186,0)),""))</f>
        <v/>
      </c>
      <c r="AA27" s="26">
        <f>IF($Q27="","",IFERROR(INDEX(計算用!$M$2:$M$186,MATCH("女"&amp;$Q27&amp;"-3",計算用!$AN$2:$AN$186,0)),""))</f>
        <v/>
      </c>
      <c r="AB27" s="26">
        <f>IF($Q27="","",IFERROR(INDEX(計算用!$I$2:$I$186,MATCH("女"&amp;$Q27&amp;"-3",計算用!$AN$2:$AN$186,0)),""))</f>
        <v/>
      </c>
      <c r="AC27">
        <f>IF($Q27="","",IFERROR(INDEX(計算用!$D$2:$D$186,MATCH("女"&amp;$Q27&amp;"-4",計算用!$AN$2:$AN$186,0)),""))</f>
        <v/>
      </c>
      <c r="AD27" s="26">
        <f>IF($Q27="","",IFERROR(INDEX(計算用!$M$2:$M$186,MATCH("女"&amp;$Q27&amp;"-4",計算用!$AN$2:$AN$186,0)),""))</f>
        <v/>
      </c>
      <c r="AE27" s="26">
        <f>IF($Q27="","",IFERROR(INDEX(計算用!$I$2:$I$186,MATCH("女"&amp;$Q27&amp;"-4",計算用!$AN$2:$AN$186,0)),""))</f>
        <v/>
      </c>
    </row>
    <row r="28">
      <c r="A28" s="26">
        <f>IF(ROW()-3&lt;=計算用!$Q$9,ROW()-3,"")</f>
        <v/>
      </c>
      <c r="B28" s="26">
        <f>IF($A28="","",INDEX(計算用!$T$2:$T$51,$A28))</f>
        <v/>
      </c>
      <c r="C28" s="26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6">
        <f>IF($A28="","",IFERROR(INDEX(計算用!$M$2:$M$186,MATCH("男"&amp;$A28&amp;"-1",計算用!$AN$2:$AN$186,0)),""))</f>
        <v/>
      </c>
      <c r="F28" s="26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6">
        <f>IF($A28="","",IFERROR(INDEX(計算用!$M$2:$M$186,MATCH("男"&amp;$A28&amp;"-2",計算用!$AN$2:$AN$186,0)),""))</f>
        <v/>
      </c>
      <c r="I28" s="26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6">
        <f>IF($A28="","",IFERROR(INDEX(計算用!$M$2:$M$186,MATCH("男"&amp;$A28&amp;"-3",計算用!$AN$2:$AN$186,0)),""))</f>
        <v/>
      </c>
      <c r="L28" s="26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6">
        <f>IF($A28="","",IFERROR(INDEX(計算用!$M$2:$M$186,MATCH("男"&amp;$A28&amp;"-4",計算用!$AN$2:$AN$186,0)),""))</f>
        <v/>
      </c>
      <c r="O28" s="26">
        <f>IF($A28="","",IFERROR(INDEX(計算用!$I$2:$I$186,MATCH("男"&amp;$A28&amp;"-4",計算用!$AN$2:$AN$186,0)),""))</f>
        <v/>
      </c>
      <c r="Q28" s="26">
        <f>IF(ROW()-3&lt;=計算用!$Q$11,ROW()-3,"")</f>
        <v/>
      </c>
      <c r="R28" s="26">
        <f>IF($Q28="","",INDEX(計算用!$AC$2:$AC$51,$Q28))</f>
        <v/>
      </c>
      <c r="S28" s="26">
        <f>IF($Q28="","","赤"&amp;INDEX(計算用!$AF$2:$AF$51,$Q28)&amp;"白"&amp;INDEX(計算用!$AG$2:$AG$51,$Q28))</f>
        <v/>
      </c>
      <c r="T28">
        <f>IF($Q28="","",IFERROR(INDEX(計算用!$D$2:$D$186,MATCH("女"&amp;$Q28&amp;"-1",計算用!$AN$2:$AN$186,0)),""))</f>
        <v/>
      </c>
      <c r="U28" s="26">
        <f>IF($Q28="","",IFERROR(INDEX(計算用!$M$2:$M$186,MATCH("女"&amp;$Q28&amp;"-1",計算用!$AN$2:$AN$186,0)),""))</f>
        <v/>
      </c>
      <c r="V28" s="26">
        <f>IF($Q28="","",IFERROR(INDEX(計算用!$I$2:$I$186,MATCH("女"&amp;$Q28&amp;"-1",計算用!$AN$2:$AN$186,0)),""))</f>
        <v/>
      </c>
      <c r="W28">
        <f>IF($Q28="","",IFERROR(INDEX(計算用!$D$2:$D$186,MATCH("女"&amp;$Q28&amp;"-2",計算用!$AN$2:$AN$186,0)),""))</f>
        <v/>
      </c>
      <c r="X28" s="26">
        <f>IF($Q28="","",IFERROR(INDEX(計算用!$M$2:$M$186,MATCH("女"&amp;$Q28&amp;"-2",計算用!$AN$2:$AN$186,0)),""))</f>
        <v/>
      </c>
      <c r="Y28" s="26">
        <f>IF($Q28="","",IFERROR(INDEX(計算用!$I$2:$I$186,MATCH("女"&amp;$Q28&amp;"-2",計算用!$AN$2:$AN$186,0)),""))</f>
        <v/>
      </c>
      <c r="Z28">
        <f>IF($Q28="","",IFERROR(INDEX(計算用!$D$2:$D$186,MATCH("女"&amp;$Q28&amp;"-3",計算用!$AN$2:$AN$186,0)),""))</f>
        <v/>
      </c>
      <c r="AA28" s="26">
        <f>IF($Q28="","",IFERROR(INDEX(計算用!$M$2:$M$186,MATCH("女"&amp;$Q28&amp;"-3",計算用!$AN$2:$AN$186,0)),""))</f>
        <v/>
      </c>
      <c r="AB28" s="26">
        <f>IF($Q28="","",IFERROR(INDEX(計算用!$I$2:$I$186,MATCH("女"&amp;$Q28&amp;"-3",計算用!$AN$2:$AN$186,0)),""))</f>
        <v/>
      </c>
      <c r="AC28">
        <f>IF($Q28="","",IFERROR(INDEX(計算用!$D$2:$D$186,MATCH("女"&amp;$Q28&amp;"-4",計算用!$AN$2:$AN$186,0)),""))</f>
        <v/>
      </c>
      <c r="AD28" s="26">
        <f>IF($Q28="","",IFERROR(INDEX(計算用!$M$2:$M$186,MATCH("女"&amp;$Q28&amp;"-4",計算用!$AN$2:$AN$186,0)),""))</f>
        <v/>
      </c>
      <c r="AE28" s="26">
        <f>IF($Q28="","",IFERROR(INDEX(計算用!$I$2:$I$186,MATCH("女"&amp;$Q28&amp;"-4",計算用!$AN$2:$AN$186,0)),""))</f>
        <v/>
      </c>
    </row>
    <row r="29">
      <c r="A29" s="26">
        <f>IF(ROW()-3&lt;=計算用!$Q$9,ROW()-3,"")</f>
        <v/>
      </c>
      <c r="B29" s="26">
        <f>IF($A29="","",INDEX(計算用!$T$2:$T$51,$A29))</f>
        <v/>
      </c>
      <c r="C29" s="26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6">
        <f>IF($A29="","",IFERROR(INDEX(計算用!$M$2:$M$186,MATCH("男"&amp;$A29&amp;"-1",計算用!$AN$2:$AN$186,0)),""))</f>
        <v/>
      </c>
      <c r="F29" s="26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6">
        <f>IF($A29="","",IFERROR(INDEX(計算用!$M$2:$M$186,MATCH("男"&amp;$A29&amp;"-2",計算用!$AN$2:$AN$186,0)),""))</f>
        <v/>
      </c>
      <c r="I29" s="26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6">
        <f>IF($A29="","",IFERROR(INDEX(計算用!$M$2:$M$186,MATCH("男"&amp;$A29&amp;"-3",計算用!$AN$2:$AN$186,0)),""))</f>
        <v/>
      </c>
      <c r="L29" s="26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6">
        <f>IF($A29="","",IFERROR(INDEX(計算用!$M$2:$M$186,MATCH("男"&amp;$A29&amp;"-4",計算用!$AN$2:$AN$186,0)),""))</f>
        <v/>
      </c>
      <c r="O29" s="26">
        <f>IF($A29="","",IFERROR(INDEX(計算用!$I$2:$I$186,MATCH("男"&amp;$A29&amp;"-4",計算用!$AN$2:$AN$186,0)),""))</f>
        <v/>
      </c>
      <c r="Q29" s="26">
        <f>IF(ROW()-3&lt;=計算用!$Q$11,ROW()-3,"")</f>
        <v/>
      </c>
      <c r="R29" s="26">
        <f>IF($Q29="","",INDEX(計算用!$AC$2:$AC$51,$Q29))</f>
        <v/>
      </c>
      <c r="S29" s="26">
        <f>IF($Q29="","","赤"&amp;INDEX(計算用!$AF$2:$AF$51,$Q29)&amp;"白"&amp;INDEX(計算用!$AG$2:$AG$51,$Q29))</f>
        <v/>
      </c>
      <c r="T29">
        <f>IF($Q29="","",IFERROR(INDEX(計算用!$D$2:$D$186,MATCH("女"&amp;$Q29&amp;"-1",計算用!$AN$2:$AN$186,0)),""))</f>
        <v/>
      </c>
      <c r="U29" s="26">
        <f>IF($Q29="","",IFERROR(INDEX(計算用!$M$2:$M$186,MATCH("女"&amp;$Q29&amp;"-1",計算用!$AN$2:$AN$186,0)),""))</f>
        <v/>
      </c>
      <c r="V29" s="26">
        <f>IF($Q29="","",IFERROR(INDEX(計算用!$I$2:$I$186,MATCH("女"&amp;$Q29&amp;"-1",計算用!$AN$2:$AN$186,0)),""))</f>
        <v/>
      </c>
      <c r="W29">
        <f>IF($Q29="","",IFERROR(INDEX(計算用!$D$2:$D$186,MATCH("女"&amp;$Q29&amp;"-2",計算用!$AN$2:$AN$186,0)),""))</f>
        <v/>
      </c>
      <c r="X29" s="26">
        <f>IF($Q29="","",IFERROR(INDEX(計算用!$M$2:$M$186,MATCH("女"&amp;$Q29&amp;"-2",計算用!$AN$2:$AN$186,0)),""))</f>
        <v/>
      </c>
      <c r="Y29" s="26">
        <f>IF($Q29="","",IFERROR(INDEX(計算用!$I$2:$I$186,MATCH("女"&amp;$Q29&amp;"-2",計算用!$AN$2:$AN$186,0)),""))</f>
        <v/>
      </c>
      <c r="Z29">
        <f>IF($Q29="","",IFERROR(INDEX(計算用!$D$2:$D$186,MATCH("女"&amp;$Q29&amp;"-3",計算用!$AN$2:$AN$186,0)),""))</f>
        <v/>
      </c>
      <c r="AA29" s="26">
        <f>IF($Q29="","",IFERROR(INDEX(計算用!$M$2:$M$186,MATCH("女"&amp;$Q29&amp;"-3",計算用!$AN$2:$AN$186,0)),""))</f>
        <v/>
      </c>
      <c r="AB29" s="26">
        <f>IF($Q29="","",IFERROR(INDEX(計算用!$I$2:$I$186,MATCH("女"&amp;$Q29&amp;"-3",計算用!$AN$2:$AN$186,0)),""))</f>
        <v/>
      </c>
      <c r="AC29">
        <f>IF($Q29="","",IFERROR(INDEX(計算用!$D$2:$D$186,MATCH("女"&amp;$Q29&amp;"-4",計算用!$AN$2:$AN$186,0)),""))</f>
        <v/>
      </c>
      <c r="AD29" s="26">
        <f>IF($Q29="","",IFERROR(INDEX(計算用!$M$2:$M$186,MATCH("女"&amp;$Q29&amp;"-4",計算用!$AN$2:$AN$186,0)),""))</f>
        <v/>
      </c>
      <c r="AE29" s="26">
        <f>IF($Q29="","",IFERROR(INDEX(計算用!$I$2:$I$186,MATCH("女"&amp;$Q29&amp;"-4",計算用!$AN$2:$AN$186,0)),""))</f>
        <v/>
      </c>
    </row>
    <row r="30">
      <c r="A30" s="26">
        <f>IF(ROW()-3&lt;=計算用!$Q$9,ROW()-3,"")</f>
        <v/>
      </c>
      <c r="B30" s="26">
        <f>IF($A30="","",INDEX(計算用!$T$2:$T$51,$A30))</f>
        <v/>
      </c>
      <c r="C30" s="26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6">
        <f>IF($A30="","",IFERROR(INDEX(計算用!$M$2:$M$186,MATCH("男"&amp;$A30&amp;"-1",計算用!$AN$2:$AN$186,0)),""))</f>
        <v/>
      </c>
      <c r="F30" s="26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6">
        <f>IF($A30="","",IFERROR(INDEX(計算用!$M$2:$M$186,MATCH("男"&amp;$A30&amp;"-2",計算用!$AN$2:$AN$186,0)),""))</f>
        <v/>
      </c>
      <c r="I30" s="26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6">
        <f>IF($A30="","",IFERROR(INDEX(計算用!$M$2:$M$186,MATCH("男"&amp;$A30&amp;"-3",計算用!$AN$2:$AN$186,0)),""))</f>
        <v/>
      </c>
      <c r="L30" s="26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6">
        <f>IF($A30="","",IFERROR(INDEX(計算用!$M$2:$M$186,MATCH("男"&amp;$A30&amp;"-4",計算用!$AN$2:$AN$186,0)),""))</f>
        <v/>
      </c>
      <c r="O30" s="26">
        <f>IF($A30="","",IFERROR(INDEX(計算用!$I$2:$I$186,MATCH("男"&amp;$A30&amp;"-4",計算用!$AN$2:$AN$186,0)),""))</f>
        <v/>
      </c>
      <c r="Q30" s="26">
        <f>IF(ROW()-3&lt;=計算用!$Q$11,ROW()-3,"")</f>
        <v/>
      </c>
      <c r="R30" s="26">
        <f>IF($Q30="","",INDEX(計算用!$AC$2:$AC$51,$Q30))</f>
        <v/>
      </c>
      <c r="S30" s="26">
        <f>IF($Q30="","","赤"&amp;INDEX(計算用!$AF$2:$AF$51,$Q30)&amp;"白"&amp;INDEX(計算用!$AG$2:$AG$51,$Q30))</f>
        <v/>
      </c>
      <c r="T30">
        <f>IF($Q30="","",IFERROR(INDEX(計算用!$D$2:$D$186,MATCH("女"&amp;$Q30&amp;"-1",計算用!$AN$2:$AN$186,0)),""))</f>
        <v/>
      </c>
      <c r="U30" s="26">
        <f>IF($Q30="","",IFERROR(INDEX(計算用!$M$2:$M$186,MATCH("女"&amp;$Q30&amp;"-1",計算用!$AN$2:$AN$186,0)),""))</f>
        <v/>
      </c>
      <c r="V30" s="26">
        <f>IF($Q30="","",IFERROR(INDEX(計算用!$I$2:$I$186,MATCH("女"&amp;$Q30&amp;"-1",計算用!$AN$2:$AN$186,0)),""))</f>
        <v/>
      </c>
      <c r="W30">
        <f>IF($Q30="","",IFERROR(INDEX(計算用!$D$2:$D$186,MATCH("女"&amp;$Q30&amp;"-2",計算用!$AN$2:$AN$186,0)),""))</f>
        <v/>
      </c>
      <c r="X30" s="26">
        <f>IF($Q30="","",IFERROR(INDEX(計算用!$M$2:$M$186,MATCH("女"&amp;$Q30&amp;"-2",計算用!$AN$2:$AN$186,0)),""))</f>
        <v/>
      </c>
      <c r="Y30" s="26">
        <f>IF($Q30="","",IFERROR(INDEX(計算用!$I$2:$I$186,MATCH("女"&amp;$Q30&amp;"-2",計算用!$AN$2:$AN$186,0)),""))</f>
        <v/>
      </c>
      <c r="Z30">
        <f>IF($Q30="","",IFERROR(INDEX(計算用!$D$2:$D$186,MATCH("女"&amp;$Q30&amp;"-3",計算用!$AN$2:$AN$186,0)),""))</f>
        <v/>
      </c>
      <c r="AA30" s="26">
        <f>IF($Q30="","",IFERROR(INDEX(計算用!$M$2:$M$186,MATCH("女"&amp;$Q30&amp;"-3",計算用!$AN$2:$AN$186,0)),""))</f>
        <v/>
      </c>
      <c r="AB30" s="26">
        <f>IF($Q30="","",IFERROR(INDEX(計算用!$I$2:$I$186,MATCH("女"&amp;$Q30&amp;"-3",計算用!$AN$2:$AN$186,0)),""))</f>
        <v/>
      </c>
      <c r="AC30">
        <f>IF($Q30="","",IFERROR(INDEX(計算用!$D$2:$D$186,MATCH("女"&amp;$Q30&amp;"-4",計算用!$AN$2:$AN$186,0)),""))</f>
        <v/>
      </c>
      <c r="AD30" s="26">
        <f>IF($Q30="","",IFERROR(INDEX(計算用!$M$2:$M$186,MATCH("女"&amp;$Q30&amp;"-4",計算用!$AN$2:$AN$186,0)),""))</f>
        <v/>
      </c>
      <c r="AE30" s="26">
        <f>IF($Q30="","",IFERROR(INDEX(計算用!$I$2:$I$186,MATCH("女"&amp;$Q30&amp;"-4",計算用!$AN$2:$AN$186,0)),""))</f>
        <v/>
      </c>
    </row>
    <row r="31">
      <c r="A31" s="26">
        <f>IF(ROW()-3&lt;=計算用!$Q$9,ROW()-3,"")</f>
        <v/>
      </c>
      <c r="B31" s="26">
        <f>IF($A31="","",INDEX(計算用!$T$2:$T$51,$A31))</f>
        <v/>
      </c>
      <c r="C31" s="26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6">
        <f>IF($A31="","",IFERROR(INDEX(計算用!$M$2:$M$186,MATCH("男"&amp;$A31&amp;"-1",計算用!$AN$2:$AN$186,0)),""))</f>
        <v/>
      </c>
      <c r="F31" s="26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6">
        <f>IF($A31="","",IFERROR(INDEX(計算用!$M$2:$M$186,MATCH("男"&amp;$A31&amp;"-2",計算用!$AN$2:$AN$186,0)),""))</f>
        <v/>
      </c>
      <c r="I31" s="26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6">
        <f>IF($A31="","",IFERROR(INDEX(計算用!$M$2:$M$186,MATCH("男"&amp;$A31&amp;"-3",計算用!$AN$2:$AN$186,0)),""))</f>
        <v/>
      </c>
      <c r="L31" s="26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6">
        <f>IF($A31="","",IFERROR(INDEX(計算用!$M$2:$M$186,MATCH("男"&amp;$A31&amp;"-4",計算用!$AN$2:$AN$186,0)),""))</f>
        <v/>
      </c>
      <c r="O31" s="26">
        <f>IF($A31="","",IFERROR(INDEX(計算用!$I$2:$I$186,MATCH("男"&amp;$A31&amp;"-4",計算用!$AN$2:$AN$186,0)),""))</f>
        <v/>
      </c>
      <c r="Q31" s="26">
        <f>IF(ROW()-3&lt;=計算用!$Q$11,ROW()-3,"")</f>
        <v/>
      </c>
      <c r="R31" s="26">
        <f>IF($Q31="","",INDEX(計算用!$AC$2:$AC$51,$Q31))</f>
        <v/>
      </c>
      <c r="S31" s="26">
        <f>IF($Q31="","","赤"&amp;INDEX(計算用!$AF$2:$AF$51,$Q31)&amp;"白"&amp;INDEX(計算用!$AG$2:$AG$51,$Q31))</f>
        <v/>
      </c>
      <c r="T31">
        <f>IF($Q31="","",IFERROR(INDEX(計算用!$D$2:$D$186,MATCH("女"&amp;$Q31&amp;"-1",計算用!$AN$2:$AN$186,0)),""))</f>
        <v/>
      </c>
      <c r="U31" s="26">
        <f>IF($Q31="","",IFERROR(INDEX(計算用!$M$2:$M$186,MATCH("女"&amp;$Q31&amp;"-1",計算用!$AN$2:$AN$186,0)),""))</f>
        <v/>
      </c>
      <c r="V31" s="26">
        <f>IF($Q31="","",IFERROR(INDEX(計算用!$I$2:$I$186,MATCH("女"&amp;$Q31&amp;"-1",計算用!$AN$2:$AN$186,0)),""))</f>
        <v/>
      </c>
      <c r="W31">
        <f>IF($Q31="","",IFERROR(INDEX(計算用!$D$2:$D$186,MATCH("女"&amp;$Q31&amp;"-2",計算用!$AN$2:$AN$186,0)),""))</f>
        <v/>
      </c>
      <c r="X31" s="26">
        <f>IF($Q31="","",IFERROR(INDEX(計算用!$M$2:$M$186,MATCH("女"&amp;$Q31&amp;"-2",計算用!$AN$2:$AN$186,0)),""))</f>
        <v/>
      </c>
      <c r="Y31" s="26">
        <f>IF($Q31="","",IFERROR(INDEX(計算用!$I$2:$I$186,MATCH("女"&amp;$Q31&amp;"-2",計算用!$AN$2:$AN$186,0)),""))</f>
        <v/>
      </c>
      <c r="Z31">
        <f>IF($Q31="","",IFERROR(INDEX(計算用!$D$2:$D$186,MATCH("女"&amp;$Q31&amp;"-3",計算用!$AN$2:$AN$186,0)),""))</f>
        <v/>
      </c>
      <c r="AA31" s="26">
        <f>IF($Q31="","",IFERROR(INDEX(計算用!$M$2:$M$186,MATCH("女"&amp;$Q31&amp;"-3",計算用!$AN$2:$AN$186,0)),""))</f>
        <v/>
      </c>
      <c r="AB31" s="26">
        <f>IF($Q31="","",IFERROR(INDEX(計算用!$I$2:$I$186,MATCH("女"&amp;$Q31&amp;"-3",計算用!$AN$2:$AN$186,0)),""))</f>
        <v/>
      </c>
      <c r="AC31">
        <f>IF($Q31="","",IFERROR(INDEX(計算用!$D$2:$D$186,MATCH("女"&amp;$Q31&amp;"-4",計算用!$AN$2:$AN$186,0)),""))</f>
        <v/>
      </c>
      <c r="AD31" s="26">
        <f>IF($Q31="","",IFERROR(INDEX(計算用!$M$2:$M$186,MATCH("女"&amp;$Q31&amp;"-4",計算用!$AN$2:$AN$186,0)),""))</f>
        <v/>
      </c>
      <c r="AE31" s="26">
        <f>IF($Q31="","",IFERROR(INDEX(計算用!$I$2:$I$186,MATCH("女"&amp;$Q31&amp;"-4",計算用!$AN$2:$AN$186,0)),""))</f>
        <v/>
      </c>
    </row>
    <row r="32">
      <c r="A32" s="26">
        <f>IF(ROW()-3&lt;=計算用!$Q$9,ROW()-3,"")</f>
        <v/>
      </c>
      <c r="B32" s="26">
        <f>IF($A32="","",INDEX(計算用!$T$2:$T$51,$A32))</f>
        <v/>
      </c>
      <c r="C32" s="26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6">
        <f>IF($A32="","",IFERROR(INDEX(計算用!$M$2:$M$186,MATCH("男"&amp;$A32&amp;"-1",計算用!$AN$2:$AN$186,0)),""))</f>
        <v/>
      </c>
      <c r="F32" s="26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6">
        <f>IF($A32="","",IFERROR(INDEX(計算用!$M$2:$M$186,MATCH("男"&amp;$A32&amp;"-2",計算用!$AN$2:$AN$186,0)),""))</f>
        <v/>
      </c>
      <c r="I32" s="26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6">
        <f>IF($A32="","",IFERROR(INDEX(計算用!$M$2:$M$186,MATCH("男"&amp;$A32&amp;"-3",計算用!$AN$2:$AN$186,0)),""))</f>
        <v/>
      </c>
      <c r="L32" s="26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6">
        <f>IF($A32="","",IFERROR(INDEX(計算用!$M$2:$M$186,MATCH("男"&amp;$A32&amp;"-4",計算用!$AN$2:$AN$186,0)),""))</f>
        <v/>
      </c>
      <c r="O32" s="26">
        <f>IF($A32="","",IFERROR(INDEX(計算用!$I$2:$I$186,MATCH("男"&amp;$A32&amp;"-4",計算用!$AN$2:$AN$186,0)),""))</f>
        <v/>
      </c>
      <c r="Q32" s="26">
        <f>IF(ROW()-3&lt;=計算用!$Q$11,ROW()-3,"")</f>
        <v/>
      </c>
      <c r="R32" s="26">
        <f>IF($Q32="","",INDEX(計算用!$AC$2:$AC$51,$Q32))</f>
        <v/>
      </c>
      <c r="S32" s="26">
        <f>IF($Q32="","","赤"&amp;INDEX(計算用!$AF$2:$AF$51,$Q32)&amp;"白"&amp;INDEX(計算用!$AG$2:$AG$51,$Q32))</f>
        <v/>
      </c>
      <c r="T32">
        <f>IF($Q32="","",IFERROR(INDEX(計算用!$D$2:$D$186,MATCH("女"&amp;$Q32&amp;"-1",計算用!$AN$2:$AN$186,0)),""))</f>
        <v/>
      </c>
      <c r="U32" s="26">
        <f>IF($Q32="","",IFERROR(INDEX(計算用!$M$2:$M$186,MATCH("女"&amp;$Q32&amp;"-1",計算用!$AN$2:$AN$186,0)),""))</f>
        <v/>
      </c>
      <c r="V32" s="26">
        <f>IF($Q32="","",IFERROR(INDEX(計算用!$I$2:$I$186,MATCH("女"&amp;$Q32&amp;"-1",計算用!$AN$2:$AN$186,0)),""))</f>
        <v/>
      </c>
      <c r="W32">
        <f>IF($Q32="","",IFERROR(INDEX(計算用!$D$2:$D$186,MATCH("女"&amp;$Q32&amp;"-2",計算用!$AN$2:$AN$186,0)),""))</f>
        <v/>
      </c>
      <c r="X32" s="26">
        <f>IF($Q32="","",IFERROR(INDEX(計算用!$M$2:$M$186,MATCH("女"&amp;$Q32&amp;"-2",計算用!$AN$2:$AN$186,0)),""))</f>
        <v/>
      </c>
      <c r="Y32" s="26">
        <f>IF($Q32="","",IFERROR(INDEX(計算用!$I$2:$I$186,MATCH("女"&amp;$Q32&amp;"-2",計算用!$AN$2:$AN$186,0)),""))</f>
        <v/>
      </c>
      <c r="Z32">
        <f>IF($Q32="","",IFERROR(INDEX(計算用!$D$2:$D$186,MATCH("女"&amp;$Q32&amp;"-3",計算用!$AN$2:$AN$186,0)),""))</f>
        <v/>
      </c>
      <c r="AA32" s="26">
        <f>IF($Q32="","",IFERROR(INDEX(計算用!$M$2:$M$186,MATCH("女"&amp;$Q32&amp;"-3",計算用!$AN$2:$AN$186,0)),""))</f>
        <v/>
      </c>
      <c r="AB32" s="26">
        <f>IF($Q32="","",IFERROR(INDEX(計算用!$I$2:$I$186,MATCH("女"&amp;$Q32&amp;"-3",計算用!$AN$2:$AN$186,0)),""))</f>
        <v/>
      </c>
      <c r="AC32">
        <f>IF($Q32="","",IFERROR(INDEX(計算用!$D$2:$D$186,MATCH("女"&amp;$Q32&amp;"-4",計算用!$AN$2:$AN$186,0)),""))</f>
        <v/>
      </c>
      <c r="AD32" s="26">
        <f>IF($Q32="","",IFERROR(INDEX(計算用!$M$2:$M$186,MATCH("女"&amp;$Q32&amp;"-4",計算用!$AN$2:$AN$186,0)),""))</f>
        <v/>
      </c>
      <c r="AE32" s="26">
        <f>IF($Q32="","",IFERROR(INDEX(計算用!$I$2:$I$186,MATCH("女"&amp;$Q32&amp;"-4",計算用!$AN$2:$AN$186,0)),""))</f>
        <v/>
      </c>
    </row>
    <row r="33">
      <c r="A33" s="26">
        <f>IF(ROW()-3&lt;=計算用!$Q$9,ROW()-3,"")</f>
        <v/>
      </c>
      <c r="B33" s="26">
        <f>IF($A33="","",INDEX(計算用!$T$2:$T$51,$A33))</f>
        <v/>
      </c>
      <c r="C33" s="26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6">
        <f>IF($A33="","",IFERROR(INDEX(計算用!$M$2:$M$186,MATCH("男"&amp;$A33&amp;"-1",計算用!$AN$2:$AN$186,0)),""))</f>
        <v/>
      </c>
      <c r="F33" s="26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6">
        <f>IF($A33="","",IFERROR(INDEX(計算用!$M$2:$M$186,MATCH("男"&amp;$A33&amp;"-2",計算用!$AN$2:$AN$186,0)),""))</f>
        <v/>
      </c>
      <c r="I33" s="26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6">
        <f>IF($A33="","",IFERROR(INDEX(計算用!$M$2:$M$186,MATCH("男"&amp;$A33&amp;"-3",計算用!$AN$2:$AN$186,0)),""))</f>
        <v/>
      </c>
      <c r="L33" s="26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6">
        <f>IF($A33="","",IFERROR(INDEX(計算用!$M$2:$M$186,MATCH("男"&amp;$A33&amp;"-4",計算用!$AN$2:$AN$186,0)),""))</f>
        <v/>
      </c>
      <c r="O33" s="26">
        <f>IF($A33="","",IFERROR(INDEX(計算用!$I$2:$I$186,MATCH("男"&amp;$A33&amp;"-4",計算用!$AN$2:$AN$186,0)),""))</f>
        <v/>
      </c>
      <c r="Q33" s="26">
        <f>IF(ROW()-3&lt;=計算用!$Q$11,ROW()-3,"")</f>
        <v/>
      </c>
      <c r="R33" s="26">
        <f>IF($Q33="","",INDEX(計算用!$AC$2:$AC$51,$Q33))</f>
        <v/>
      </c>
      <c r="S33" s="26">
        <f>IF($Q33="","","赤"&amp;INDEX(計算用!$AF$2:$AF$51,$Q33)&amp;"白"&amp;INDEX(計算用!$AG$2:$AG$51,$Q33))</f>
        <v/>
      </c>
      <c r="T33">
        <f>IF($Q33="","",IFERROR(INDEX(計算用!$D$2:$D$186,MATCH("女"&amp;$Q33&amp;"-1",計算用!$AN$2:$AN$186,0)),""))</f>
        <v/>
      </c>
      <c r="U33" s="26">
        <f>IF($Q33="","",IFERROR(INDEX(計算用!$M$2:$M$186,MATCH("女"&amp;$Q33&amp;"-1",計算用!$AN$2:$AN$186,0)),""))</f>
        <v/>
      </c>
      <c r="V33" s="26">
        <f>IF($Q33="","",IFERROR(INDEX(計算用!$I$2:$I$186,MATCH("女"&amp;$Q33&amp;"-1",計算用!$AN$2:$AN$186,0)),""))</f>
        <v/>
      </c>
      <c r="W33">
        <f>IF($Q33="","",IFERROR(INDEX(計算用!$D$2:$D$186,MATCH("女"&amp;$Q33&amp;"-2",計算用!$AN$2:$AN$186,0)),""))</f>
        <v/>
      </c>
      <c r="X33" s="26">
        <f>IF($Q33="","",IFERROR(INDEX(計算用!$M$2:$M$186,MATCH("女"&amp;$Q33&amp;"-2",計算用!$AN$2:$AN$186,0)),""))</f>
        <v/>
      </c>
      <c r="Y33" s="26">
        <f>IF($Q33="","",IFERROR(INDEX(計算用!$I$2:$I$186,MATCH("女"&amp;$Q33&amp;"-2",計算用!$AN$2:$AN$186,0)),""))</f>
        <v/>
      </c>
      <c r="Z33">
        <f>IF($Q33="","",IFERROR(INDEX(計算用!$D$2:$D$186,MATCH("女"&amp;$Q33&amp;"-3",計算用!$AN$2:$AN$186,0)),""))</f>
        <v/>
      </c>
      <c r="AA33" s="26">
        <f>IF($Q33="","",IFERROR(INDEX(計算用!$M$2:$M$186,MATCH("女"&amp;$Q33&amp;"-3",計算用!$AN$2:$AN$186,0)),""))</f>
        <v/>
      </c>
      <c r="AB33" s="26">
        <f>IF($Q33="","",IFERROR(INDEX(計算用!$I$2:$I$186,MATCH("女"&amp;$Q33&amp;"-3",計算用!$AN$2:$AN$186,0)),""))</f>
        <v/>
      </c>
      <c r="AC33">
        <f>IF($Q33="","",IFERROR(INDEX(計算用!$D$2:$D$186,MATCH("女"&amp;$Q33&amp;"-4",計算用!$AN$2:$AN$186,0)),""))</f>
        <v/>
      </c>
      <c r="AD33" s="26">
        <f>IF($Q33="","",IFERROR(INDEX(計算用!$M$2:$M$186,MATCH("女"&amp;$Q33&amp;"-4",計算用!$AN$2:$AN$186,0)),""))</f>
        <v/>
      </c>
      <c r="AE33" s="26">
        <f>IF($Q33="","",IFERROR(INDEX(計算用!$I$2:$I$186,MATCH("女"&amp;$Q33&amp;"-4",計算用!$AN$2:$AN$186,0)),""))</f>
        <v/>
      </c>
    </row>
    <row r="34">
      <c r="A34" s="26">
        <f>IF(ROW()-3&lt;=計算用!$Q$9,ROW()-3,"")</f>
        <v/>
      </c>
      <c r="B34" s="26">
        <f>IF($A34="","",INDEX(計算用!$T$2:$T$51,$A34))</f>
        <v/>
      </c>
      <c r="C34" s="26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6">
        <f>IF($A34="","",IFERROR(INDEX(計算用!$M$2:$M$186,MATCH("男"&amp;$A34&amp;"-1",計算用!$AN$2:$AN$186,0)),""))</f>
        <v/>
      </c>
      <c r="F34" s="26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6">
        <f>IF($A34="","",IFERROR(INDEX(計算用!$M$2:$M$186,MATCH("男"&amp;$A34&amp;"-2",計算用!$AN$2:$AN$186,0)),""))</f>
        <v/>
      </c>
      <c r="I34" s="26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6">
        <f>IF($A34="","",IFERROR(INDEX(計算用!$M$2:$M$186,MATCH("男"&amp;$A34&amp;"-3",計算用!$AN$2:$AN$186,0)),""))</f>
        <v/>
      </c>
      <c r="L34" s="26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6">
        <f>IF($A34="","",IFERROR(INDEX(計算用!$M$2:$M$186,MATCH("男"&amp;$A34&amp;"-4",計算用!$AN$2:$AN$186,0)),""))</f>
        <v/>
      </c>
      <c r="O34" s="26">
        <f>IF($A34="","",IFERROR(INDEX(計算用!$I$2:$I$186,MATCH("男"&amp;$A34&amp;"-4",計算用!$AN$2:$AN$186,0)),""))</f>
        <v/>
      </c>
      <c r="Q34" s="26">
        <f>IF(ROW()-3&lt;=計算用!$Q$11,ROW()-3,"")</f>
        <v/>
      </c>
      <c r="R34" s="26">
        <f>IF($Q34="","",INDEX(計算用!$AC$2:$AC$51,$Q34))</f>
        <v/>
      </c>
      <c r="S34" s="26">
        <f>IF($Q34="","","赤"&amp;INDEX(計算用!$AF$2:$AF$51,$Q34)&amp;"白"&amp;INDEX(計算用!$AG$2:$AG$51,$Q34))</f>
        <v/>
      </c>
      <c r="T34">
        <f>IF($Q34="","",IFERROR(INDEX(計算用!$D$2:$D$186,MATCH("女"&amp;$Q34&amp;"-1",計算用!$AN$2:$AN$186,0)),""))</f>
        <v/>
      </c>
      <c r="U34" s="26">
        <f>IF($Q34="","",IFERROR(INDEX(計算用!$M$2:$M$186,MATCH("女"&amp;$Q34&amp;"-1",計算用!$AN$2:$AN$186,0)),""))</f>
        <v/>
      </c>
      <c r="V34" s="26">
        <f>IF($Q34="","",IFERROR(INDEX(計算用!$I$2:$I$186,MATCH("女"&amp;$Q34&amp;"-1",計算用!$AN$2:$AN$186,0)),""))</f>
        <v/>
      </c>
      <c r="W34">
        <f>IF($Q34="","",IFERROR(INDEX(計算用!$D$2:$D$186,MATCH("女"&amp;$Q34&amp;"-2",計算用!$AN$2:$AN$186,0)),""))</f>
        <v/>
      </c>
      <c r="X34" s="26">
        <f>IF($Q34="","",IFERROR(INDEX(計算用!$M$2:$M$186,MATCH("女"&amp;$Q34&amp;"-2",計算用!$AN$2:$AN$186,0)),""))</f>
        <v/>
      </c>
      <c r="Y34" s="26">
        <f>IF($Q34="","",IFERROR(INDEX(計算用!$I$2:$I$186,MATCH("女"&amp;$Q34&amp;"-2",計算用!$AN$2:$AN$186,0)),""))</f>
        <v/>
      </c>
      <c r="Z34">
        <f>IF($Q34="","",IFERROR(INDEX(計算用!$D$2:$D$186,MATCH("女"&amp;$Q34&amp;"-3",計算用!$AN$2:$AN$186,0)),""))</f>
        <v/>
      </c>
      <c r="AA34" s="26">
        <f>IF($Q34="","",IFERROR(INDEX(計算用!$M$2:$M$186,MATCH("女"&amp;$Q34&amp;"-3",計算用!$AN$2:$AN$186,0)),""))</f>
        <v/>
      </c>
      <c r="AB34" s="26">
        <f>IF($Q34="","",IFERROR(INDEX(計算用!$I$2:$I$186,MATCH("女"&amp;$Q34&amp;"-3",計算用!$AN$2:$AN$186,0)),""))</f>
        <v/>
      </c>
      <c r="AC34">
        <f>IF($Q34="","",IFERROR(INDEX(計算用!$D$2:$D$186,MATCH("女"&amp;$Q34&amp;"-4",計算用!$AN$2:$AN$186,0)),""))</f>
        <v/>
      </c>
      <c r="AD34" s="26">
        <f>IF($Q34="","",IFERROR(INDEX(計算用!$M$2:$M$186,MATCH("女"&amp;$Q34&amp;"-4",計算用!$AN$2:$AN$186,0)),""))</f>
        <v/>
      </c>
      <c r="AE34" s="26">
        <f>IF($Q34="","",IFERROR(INDEX(計算用!$I$2:$I$186,MATCH("女"&amp;$Q34&amp;"-4",計算用!$AN$2:$AN$186,0)),""))</f>
        <v/>
      </c>
    </row>
    <row r="35">
      <c r="A35" s="26">
        <f>IF(ROW()-3&lt;=計算用!$Q$9,ROW()-3,"")</f>
        <v/>
      </c>
      <c r="B35" s="26">
        <f>IF($A35="","",INDEX(計算用!$T$2:$T$51,$A35))</f>
        <v/>
      </c>
      <c r="C35" s="26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6">
        <f>IF($A35="","",IFERROR(INDEX(計算用!$M$2:$M$186,MATCH("男"&amp;$A35&amp;"-1",計算用!$AN$2:$AN$186,0)),""))</f>
        <v/>
      </c>
      <c r="F35" s="26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6">
        <f>IF($A35="","",IFERROR(INDEX(計算用!$M$2:$M$186,MATCH("男"&amp;$A35&amp;"-2",計算用!$AN$2:$AN$186,0)),""))</f>
        <v/>
      </c>
      <c r="I35" s="26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6">
        <f>IF($A35="","",IFERROR(INDEX(計算用!$M$2:$M$186,MATCH("男"&amp;$A35&amp;"-3",計算用!$AN$2:$AN$186,0)),""))</f>
        <v/>
      </c>
      <c r="L35" s="26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6">
        <f>IF($A35="","",IFERROR(INDEX(計算用!$M$2:$M$186,MATCH("男"&amp;$A35&amp;"-4",計算用!$AN$2:$AN$186,0)),""))</f>
        <v/>
      </c>
      <c r="O35" s="26">
        <f>IF($A35="","",IFERROR(INDEX(計算用!$I$2:$I$186,MATCH("男"&amp;$A35&amp;"-4",計算用!$AN$2:$AN$186,0)),""))</f>
        <v/>
      </c>
      <c r="Q35" s="26">
        <f>IF(ROW()-3&lt;=計算用!$Q$11,ROW()-3,"")</f>
        <v/>
      </c>
      <c r="R35" s="26">
        <f>IF($Q35="","",INDEX(計算用!$AC$2:$AC$51,$Q35))</f>
        <v/>
      </c>
      <c r="S35" s="26">
        <f>IF($Q35="","","赤"&amp;INDEX(計算用!$AF$2:$AF$51,$Q35)&amp;"白"&amp;INDEX(計算用!$AG$2:$AG$51,$Q35))</f>
        <v/>
      </c>
      <c r="T35">
        <f>IF($Q35="","",IFERROR(INDEX(計算用!$D$2:$D$186,MATCH("女"&amp;$Q35&amp;"-1",計算用!$AN$2:$AN$186,0)),""))</f>
        <v/>
      </c>
      <c r="U35" s="26">
        <f>IF($Q35="","",IFERROR(INDEX(計算用!$M$2:$M$186,MATCH("女"&amp;$Q35&amp;"-1",計算用!$AN$2:$AN$186,0)),""))</f>
        <v/>
      </c>
      <c r="V35" s="26">
        <f>IF($Q35="","",IFERROR(INDEX(計算用!$I$2:$I$186,MATCH("女"&amp;$Q35&amp;"-1",計算用!$AN$2:$AN$186,0)),""))</f>
        <v/>
      </c>
      <c r="W35">
        <f>IF($Q35="","",IFERROR(INDEX(計算用!$D$2:$D$186,MATCH("女"&amp;$Q35&amp;"-2",計算用!$AN$2:$AN$186,0)),""))</f>
        <v/>
      </c>
      <c r="X35" s="26">
        <f>IF($Q35="","",IFERROR(INDEX(計算用!$M$2:$M$186,MATCH("女"&amp;$Q35&amp;"-2",計算用!$AN$2:$AN$186,0)),""))</f>
        <v/>
      </c>
      <c r="Y35" s="26">
        <f>IF($Q35="","",IFERROR(INDEX(計算用!$I$2:$I$186,MATCH("女"&amp;$Q35&amp;"-2",計算用!$AN$2:$AN$186,0)),""))</f>
        <v/>
      </c>
      <c r="Z35">
        <f>IF($Q35="","",IFERROR(INDEX(計算用!$D$2:$D$186,MATCH("女"&amp;$Q35&amp;"-3",計算用!$AN$2:$AN$186,0)),""))</f>
        <v/>
      </c>
      <c r="AA35" s="26">
        <f>IF($Q35="","",IFERROR(INDEX(計算用!$M$2:$M$186,MATCH("女"&amp;$Q35&amp;"-3",計算用!$AN$2:$AN$186,0)),""))</f>
        <v/>
      </c>
      <c r="AB35" s="26">
        <f>IF($Q35="","",IFERROR(INDEX(計算用!$I$2:$I$186,MATCH("女"&amp;$Q35&amp;"-3",計算用!$AN$2:$AN$186,0)),""))</f>
        <v/>
      </c>
      <c r="AC35">
        <f>IF($Q35="","",IFERROR(INDEX(計算用!$D$2:$D$186,MATCH("女"&amp;$Q35&amp;"-4",計算用!$AN$2:$AN$186,0)),""))</f>
        <v/>
      </c>
      <c r="AD35" s="26">
        <f>IF($Q35="","",IFERROR(INDEX(計算用!$M$2:$M$186,MATCH("女"&amp;$Q35&amp;"-4",計算用!$AN$2:$AN$186,0)),""))</f>
        <v/>
      </c>
      <c r="AE35" s="26">
        <f>IF($Q35="","",IFERROR(INDEX(計算用!$I$2:$I$186,MATCH("女"&amp;$Q35&amp;"-4",計算用!$AN$2:$AN$186,0)),""))</f>
        <v/>
      </c>
    </row>
    <row r="36">
      <c r="A36" s="26">
        <f>IF(ROW()-3&lt;=計算用!$Q$9,ROW()-3,"")</f>
        <v/>
      </c>
      <c r="B36" s="26">
        <f>IF($A36="","",INDEX(計算用!$T$2:$T$51,$A36))</f>
        <v/>
      </c>
      <c r="C36" s="26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6">
        <f>IF($A36="","",IFERROR(INDEX(計算用!$M$2:$M$186,MATCH("男"&amp;$A36&amp;"-1",計算用!$AN$2:$AN$186,0)),""))</f>
        <v/>
      </c>
      <c r="F36" s="26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6">
        <f>IF($A36="","",IFERROR(INDEX(計算用!$M$2:$M$186,MATCH("男"&amp;$A36&amp;"-2",計算用!$AN$2:$AN$186,0)),""))</f>
        <v/>
      </c>
      <c r="I36" s="26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6">
        <f>IF($A36="","",IFERROR(INDEX(計算用!$M$2:$M$186,MATCH("男"&amp;$A36&amp;"-3",計算用!$AN$2:$AN$186,0)),""))</f>
        <v/>
      </c>
      <c r="L36" s="26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6">
        <f>IF($A36="","",IFERROR(INDEX(計算用!$M$2:$M$186,MATCH("男"&amp;$A36&amp;"-4",計算用!$AN$2:$AN$186,0)),""))</f>
        <v/>
      </c>
      <c r="O36" s="26">
        <f>IF($A36="","",IFERROR(INDEX(計算用!$I$2:$I$186,MATCH("男"&amp;$A36&amp;"-4",計算用!$AN$2:$AN$186,0)),""))</f>
        <v/>
      </c>
      <c r="Q36" s="26">
        <f>IF(ROW()-3&lt;=計算用!$Q$11,ROW()-3,"")</f>
        <v/>
      </c>
      <c r="R36" s="26">
        <f>IF($Q36="","",INDEX(計算用!$AC$2:$AC$51,$Q36))</f>
        <v/>
      </c>
      <c r="S36" s="26">
        <f>IF($Q36="","","赤"&amp;INDEX(計算用!$AF$2:$AF$51,$Q36)&amp;"白"&amp;INDEX(計算用!$AG$2:$AG$51,$Q36))</f>
        <v/>
      </c>
      <c r="T36">
        <f>IF($Q36="","",IFERROR(INDEX(計算用!$D$2:$D$186,MATCH("女"&amp;$Q36&amp;"-1",計算用!$AN$2:$AN$186,0)),""))</f>
        <v/>
      </c>
      <c r="U36" s="26">
        <f>IF($Q36="","",IFERROR(INDEX(計算用!$M$2:$M$186,MATCH("女"&amp;$Q36&amp;"-1",計算用!$AN$2:$AN$186,0)),""))</f>
        <v/>
      </c>
      <c r="V36" s="26">
        <f>IF($Q36="","",IFERROR(INDEX(計算用!$I$2:$I$186,MATCH("女"&amp;$Q36&amp;"-1",計算用!$AN$2:$AN$186,0)),""))</f>
        <v/>
      </c>
      <c r="W36">
        <f>IF($Q36="","",IFERROR(INDEX(計算用!$D$2:$D$186,MATCH("女"&amp;$Q36&amp;"-2",計算用!$AN$2:$AN$186,0)),""))</f>
        <v/>
      </c>
      <c r="X36" s="26">
        <f>IF($Q36="","",IFERROR(INDEX(計算用!$M$2:$M$186,MATCH("女"&amp;$Q36&amp;"-2",計算用!$AN$2:$AN$186,0)),""))</f>
        <v/>
      </c>
      <c r="Y36" s="26">
        <f>IF($Q36="","",IFERROR(INDEX(計算用!$I$2:$I$186,MATCH("女"&amp;$Q36&amp;"-2",計算用!$AN$2:$AN$186,0)),""))</f>
        <v/>
      </c>
      <c r="Z36">
        <f>IF($Q36="","",IFERROR(INDEX(計算用!$D$2:$D$186,MATCH("女"&amp;$Q36&amp;"-3",計算用!$AN$2:$AN$186,0)),""))</f>
        <v/>
      </c>
      <c r="AA36" s="26">
        <f>IF($Q36="","",IFERROR(INDEX(計算用!$M$2:$M$186,MATCH("女"&amp;$Q36&amp;"-3",計算用!$AN$2:$AN$186,0)),""))</f>
        <v/>
      </c>
      <c r="AB36" s="26">
        <f>IF($Q36="","",IFERROR(INDEX(計算用!$I$2:$I$186,MATCH("女"&amp;$Q36&amp;"-3",計算用!$AN$2:$AN$186,0)),""))</f>
        <v/>
      </c>
      <c r="AC36">
        <f>IF($Q36="","",IFERROR(INDEX(計算用!$D$2:$D$186,MATCH("女"&amp;$Q36&amp;"-4",計算用!$AN$2:$AN$186,0)),""))</f>
        <v/>
      </c>
      <c r="AD36" s="26">
        <f>IF($Q36="","",IFERROR(INDEX(計算用!$M$2:$M$186,MATCH("女"&amp;$Q36&amp;"-4",計算用!$AN$2:$AN$186,0)),""))</f>
        <v/>
      </c>
      <c r="AE36" s="26">
        <f>IF($Q36="","",IFERROR(INDEX(計算用!$I$2:$I$186,MATCH("女"&amp;$Q36&amp;"-4",計算用!$AN$2:$AN$186,0)),""))</f>
        <v/>
      </c>
    </row>
    <row r="37">
      <c r="A37" s="26">
        <f>IF(ROW()-3&lt;=計算用!$Q$9,ROW()-3,"")</f>
        <v/>
      </c>
      <c r="B37" s="26">
        <f>IF($A37="","",INDEX(計算用!$T$2:$T$51,$A37))</f>
        <v/>
      </c>
      <c r="C37" s="26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6">
        <f>IF($A37="","",IFERROR(INDEX(計算用!$M$2:$M$186,MATCH("男"&amp;$A37&amp;"-1",計算用!$AN$2:$AN$186,0)),""))</f>
        <v/>
      </c>
      <c r="F37" s="26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6">
        <f>IF($A37="","",IFERROR(INDEX(計算用!$M$2:$M$186,MATCH("男"&amp;$A37&amp;"-2",計算用!$AN$2:$AN$186,0)),""))</f>
        <v/>
      </c>
      <c r="I37" s="26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6">
        <f>IF($A37="","",IFERROR(INDEX(計算用!$M$2:$M$186,MATCH("男"&amp;$A37&amp;"-3",計算用!$AN$2:$AN$186,0)),""))</f>
        <v/>
      </c>
      <c r="L37" s="26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6">
        <f>IF($A37="","",IFERROR(INDEX(計算用!$M$2:$M$186,MATCH("男"&amp;$A37&amp;"-4",計算用!$AN$2:$AN$186,0)),""))</f>
        <v/>
      </c>
      <c r="O37" s="26">
        <f>IF($A37="","",IFERROR(INDEX(計算用!$I$2:$I$186,MATCH("男"&amp;$A37&amp;"-4",計算用!$AN$2:$AN$186,0)),""))</f>
        <v/>
      </c>
      <c r="Q37" s="26">
        <f>IF(ROW()-3&lt;=計算用!$Q$11,ROW()-3,"")</f>
        <v/>
      </c>
      <c r="R37" s="26">
        <f>IF($Q37="","",INDEX(計算用!$AC$2:$AC$51,$Q37))</f>
        <v/>
      </c>
      <c r="S37" s="26">
        <f>IF($Q37="","","赤"&amp;INDEX(計算用!$AF$2:$AF$51,$Q37)&amp;"白"&amp;INDEX(計算用!$AG$2:$AG$51,$Q37))</f>
        <v/>
      </c>
      <c r="T37">
        <f>IF($Q37="","",IFERROR(INDEX(計算用!$D$2:$D$186,MATCH("女"&amp;$Q37&amp;"-1",計算用!$AN$2:$AN$186,0)),""))</f>
        <v/>
      </c>
      <c r="U37" s="26">
        <f>IF($Q37="","",IFERROR(INDEX(計算用!$M$2:$M$186,MATCH("女"&amp;$Q37&amp;"-1",計算用!$AN$2:$AN$186,0)),""))</f>
        <v/>
      </c>
      <c r="V37" s="26">
        <f>IF($Q37="","",IFERROR(INDEX(計算用!$I$2:$I$186,MATCH("女"&amp;$Q37&amp;"-1",計算用!$AN$2:$AN$186,0)),""))</f>
        <v/>
      </c>
      <c r="W37">
        <f>IF($Q37="","",IFERROR(INDEX(計算用!$D$2:$D$186,MATCH("女"&amp;$Q37&amp;"-2",計算用!$AN$2:$AN$186,0)),""))</f>
        <v/>
      </c>
      <c r="X37" s="26">
        <f>IF($Q37="","",IFERROR(INDEX(計算用!$M$2:$M$186,MATCH("女"&amp;$Q37&amp;"-2",計算用!$AN$2:$AN$186,0)),""))</f>
        <v/>
      </c>
      <c r="Y37" s="26">
        <f>IF($Q37="","",IFERROR(INDEX(計算用!$I$2:$I$186,MATCH("女"&amp;$Q37&amp;"-2",計算用!$AN$2:$AN$186,0)),""))</f>
        <v/>
      </c>
      <c r="Z37">
        <f>IF($Q37="","",IFERROR(INDEX(計算用!$D$2:$D$186,MATCH("女"&amp;$Q37&amp;"-3",計算用!$AN$2:$AN$186,0)),""))</f>
        <v/>
      </c>
      <c r="AA37" s="26">
        <f>IF($Q37="","",IFERROR(INDEX(計算用!$M$2:$M$186,MATCH("女"&amp;$Q37&amp;"-3",計算用!$AN$2:$AN$186,0)),""))</f>
        <v/>
      </c>
      <c r="AB37" s="26">
        <f>IF($Q37="","",IFERROR(INDEX(計算用!$I$2:$I$186,MATCH("女"&amp;$Q37&amp;"-3",計算用!$AN$2:$AN$186,0)),""))</f>
        <v/>
      </c>
      <c r="AC37">
        <f>IF($Q37="","",IFERROR(INDEX(計算用!$D$2:$D$186,MATCH("女"&amp;$Q37&amp;"-4",計算用!$AN$2:$AN$186,0)),""))</f>
        <v/>
      </c>
      <c r="AD37" s="26">
        <f>IF($Q37="","",IFERROR(INDEX(計算用!$M$2:$M$186,MATCH("女"&amp;$Q37&amp;"-4",計算用!$AN$2:$AN$186,0)),""))</f>
        <v/>
      </c>
      <c r="AE37" s="26">
        <f>IF($Q37="","",IFERROR(INDEX(計算用!$I$2:$I$186,MATCH("女"&amp;$Q37&amp;"-4",計算用!$AN$2:$AN$186,0)),""))</f>
        <v/>
      </c>
    </row>
    <row r="38">
      <c r="A38" s="26">
        <f>IF(ROW()-3&lt;=計算用!$Q$9,ROW()-3,"")</f>
        <v/>
      </c>
      <c r="B38" s="26">
        <f>IF($A38="","",INDEX(計算用!$T$2:$T$51,$A38))</f>
        <v/>
      </c>
      <c r="C38" s="26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6">
        <f>IF($A38="","",IFERROR(INDEX(計算用!$M$2:$M$186,MATCH("男"&amp;$A38&amp;"-1",計算用!$AN$2:$AN$186,0)),""))</f>
        <v/>
      </c>
      <c r="F38" s="26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6">
        <f>IF($A38="","",IFERROR(INDEX(計算用!$M$2:$M$186,MATCH("男"&amp;$A38&amp;"-2",計算用!$AN$2:$AN$186,0)),""))</f>
        <v/>
      </c>
      <c r="I38" s="26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6">
        <f>IF($A38="","",IFERROR(INDEX(計算用!$M$2:$M$186,MATCH("男"&amp;$A38&amp;"-3",計算用!$AN$2:$AN$186,0)),""))</f>
        <v/>
      </c>
      <c r="L38" s="26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6">
        <f>IF($A38="","",IFERROR(INDEX(計算用!$M$2:$M$186,MATCH("男"&amp;$A38&amp;"-4",計算用!$AN$2:$AN$186,0)),""))</f>
        <v/>
      </c>
      <c r="O38" s="26">
        <f>IF($A38="","",IFERROR(INDEX(計算用!$I$2:$I$186,MATCH("男"&amp;$A38&amp;"-4",計算用!$AN$2:$AN$186,0)),""))</f>
        <v/>
      </c>
      <c r="Q38" s="26">
        <f>IF(ROW()-3&lt;=計算用!$Q$11,ROW()-3,"")</f>
        <v/>
      </c>
      <c r="R38" s="26">
        <f>IF($Q38="","",INDEX(計算用!$AC$2:$AC$51,$Q38))</f>
        <v/>
      </c>
      <c r="S38" s="26">
        <f>IF($Q38="","","赤"&amp;INDEX(計算用!$AF$2:$AF$51,$Q38)&amp;"白"&amp;INDEX(計算用!$AG$2:$AG$51,$Q38))</f>
        <v/>
      </c>
      <c r="T38">
        <f>IF($Q38="","",IFERROR(INDEX(計算用!$D$2:$D$186,MATCH("女"&amp;$Q38&amp;"-1",計算用!$AN$2:$AN$186,0)),""))</f>
        <v/>
      </c>
      <c r="U38" s="26">
        <f>IF($Q38="","",IFERROR(INDEX(計算用!$M$2:$M$186,MATCH("女"&amp;$Q38&amp;"-1",計算用!$AN$2:$AN$186,0)),""))</f>
        <v/>
      </c>
      <c r="V38" s="26">
        <f>IF($Q38="","",IFERROR(INDEX(計算用!$I$2:$I$186,MATCH("女"&amp;$Q38&amp;"-1",計算用!$AN$2:$AN$186,0)),""))</f>
        <v/>
      </c>
      <c r="W38">
        <f>IF($Q38="","",IFERROR(INDEX(計算用!$D$2:$D$186,MATCH("女"&amp;$Q38&amp;"-2",計算用!$AN$2:$AN$186,0)),""))</f>
        <v/>
      </c>
      <c r="X38" s="26">
        <f>IF($Q38="","",IFERROR(INDEX(計算用!$M$2:$M$186,MATCH("女"&amp;$Q38&amp;"-2",計算用!$AN$2:$AN$186,0)),""))</f>
        <v/>
      </c>
      <c r="Y38" s="26">
        <f>IF($Q38="","",IFERROR(INDEX(計算用!$I$2:$I$186,MATCH("女"&amp;$Q38&amp;"-2",計算用!$AN$2:$AN$186,0)),""))</f>
        <v/>
      </c>
      <c r="Z38">
        <f>IF($Q38="","",IFERROR(INDEX(計算用!$D$2:$D$186,MATCH("女"&amp;$Q38&amp;"-3",計算用!$AN$2:$AN$186,0)),""))</f>
        <v/>
      </c>
      <c r="AA38" s="26">
        <f>IF($Q38="","",IFERROR(INDEX(計算用!$M$2:$M$186,MATCH("女"&amp;$Q38&amp;"-3",計算用!$AN$2:$AN$186,0)),""))</f>
        <v/>
      </c>
      <c r="AB38" s="26">
        <f>IF($Q38="","",IFERROR(INDEX(計算用!$I$2:$I$186,MATCH("女"&amp;$Q38&amp;"-3",計算用!$AN$2:$AN$186,0)),""))</f>
        <v/>
      </c>
      <c r="AC38">
        <f>IF($Q38="","",IFERROR(INDEX(計算用!$D$2:$D$186,MATCH("女"&amp;$Q38&amp;"-4",計算用!$AN$2:$AN$186,0)),""))</f>
        <v/>
      </c>
      <c r="AD38" s="26">
        <f>IF($Q38="","",IFERROR(INDEX(計算用!$M$2:$M$186,MATCH("女"&amp;$Q38&amp;"-4",計算用!$AN$2:$AN$186,0)),""))</f>
        <v/>
      </c>
      <c r="AE38" s="26">
        <f>IF($Q38="","",IFERROR(INDEX(計算用!$I$2:$I$186,MATCH("女"&amp;$Q38&amp;"-4",計算用!$AN$2:$AN$186,0)),""))</f>
        <v/>
      </c>
    </row>
    <row r="39">
      <c r="A39" s="26">
        <f>IF(ROW()-3&lt;=計算用!$Q$9,ROW()-3,"")</f>
        <v/>
      </c>
      <c r="B39" s="26">
        <f>IF($A39="","",INDEX(計算用!$T$2:$T$51,$A39))</f>
        <v/>
      </c>
      <c r="C39" s="26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6">
        <f>IF($A39="","",IFERROR(INDEX(計算用!$M$2:$M$186,MATCH("男"&amp;$A39&amp;"-1",計算用!$AN$2:$AN$186,0)),""))</f>
        <v/>
      </c>
      <c r="F39" s="26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6">
        <f>IF($A39="","",IFERROR(INDEX(計算用!$M$2:$M$186,MATCH("男"&amp;$A39&amp;"-2",計算用!$AN$2:$AN$186,0)),""))</f>
        <v/>
      </c>
      <c r="I39" s="26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6">
        <f>IF($A39="","",IFERROR(INDEX(計算用!$M$2:$M$186,MATCH("男"&amp;$A39&amp;"-3",計算用!$AN$2:$AN$186,0)),""))</f>
        <v/>
      </c>
      <c r="L39" s="26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6">
        <f>IF($A39="","",IFERROR(INDEX(計算用!$M$2:$M$186,MATCH("男"&amp;$A39&amp;"-4",計算用!$AN$2:$AN$186,0)),""))</f>
        <v/>
      </c>
      <c r="O39" s="26">
        <f>IF($A39="","",IFERROR(INDEX(計算用!$I$2:$I$186,MATCH("男"&amp;$A39&amp;"-4",計算用!$AN$2:$AN$186,0)),""))</f>
        <v/>
      </c>
      <c r="Q39" s="26">
        <f>IF(ROW()-3&lt;=計算用!$Q$11,ROW()-3,"")</f>
        <v/>
      </c>
      <c r="R39" s="26">
        <f>IF($Q39="","",INDEX(計算用!$AC$2:$AC$51,$Q39))</f>
        <v/>
      </c>
      <c r="S39" s="26">
        <f>IF($Q39="","","赤"&amp;INDEX(計算用!$AF$2:$AF$51,$Q39)&amp;"白"&amp;INDEX(計算用!$AG$2:$AG$51,$Q39))</f>
        <v/>
      </c>
      <c r="T39">
        <f>IF($Q39="","",IFERROR(INDEX(計算用!$D$2:$D$186,MATCH("女"&amp;$Q39&amp;"-1",計算用!$AN$2:$AN$186,0)),""))</f>
        <v/>
      </c>
      <c r="U39" s="26">
        <f>IF($Q39="","",IFERROR(INDEX(計算用!$M$2:$M$186,MATCH("女"&amp;$Q39&amp;"-1",計算用!$AN$2:$AN$186,0)),""))</f>
        <v/>
      </c>
      <c r="V39" s="26">
        <f>IF($Q39="","",IFERROR(INDEX(計算用!$I$2:$I$186,MATCH("女"&amp;$Q39&amp;"-1",計算用!$AN$2:$AN$186,0)),""))</f>
        <v/>
      </c>
      <c r="W39">
        <f>IF($Q39="","",IFERROR(INDEX(計算用!$D$2:$D$186,MATCH("女"&amp;$Q39&amp;"-2",計算用!$AN$2:$AN$186,0)),""))</f>
        <v/>
      </c>
      <c r="X39" s="26">
        <f>IF($Q39="","",IFERROR(INDEX(計算用!$M$2:$M$186,MATCH("女"&amp;$Q39&amp;"-2",計算用!$AN$2:$AN$186,0)),""))</f>
        <v/>
      </c>
      <c r="Y39" s="26">
        <f>IF($Q39="","",IFERROR(INDEX(計算用!$I$2:$I$186,MATCH("女"&amp;$Q39&amp;"-2",計算用!$AN$2:$AN$186,0)),""))</f>
        <v/>
      </c>
      <c r="Z39">
        <f>IF($Q39="","",IFERROR(INDEX(計算用!$D$2:$D$186,MATCH("女"&amp;$Q39&amp;"-3",計算用!$AN$2:$AN$186,0)),""))</f>
        <v/>
      </c>
      <c r="AA39" s="26">
        <f>IF($Q39="","",IFERROR(INDEX(計算用!$M$2:$M$186,MATCH("女"&amp;$Q39&amp;"-3",計算用!$AN$2:$AN$186,0)),""))</f>
        <v/>
      </c>
      <c r="AB39" s="26">
        <f>IF($Q39="","",IFERROR(INDEX(計算用!$I$2:$I$186,MATCH("女"&amp;$Q39&amp;"-3",計算用!$AN$2:$AN$186,0)),""))</f>
        <v/>
      </c>
      <c r="AC39">
        <f>IF($Q39="","",IFERROR(INDEX(計算用!$D$2:$D$186,MATCH("女"&amp;$Q39&amp;"-4",計算用!$AN$2:$AN$186,0)),""))</f>
        <v/>
      </c>
      <c r="AD39" s="26">
        <f>IF($Q39="","",IFERROR(INDEX(計算用!$M$2:$M$186,MATCH("女"&amp;$Q39&amp;"-4",計算用!$AN$2:$AN$186,0)),""))</f>
        <v/>
      </c>
      <c r="AE39" s="26">
        <f>IF($Q39="","",IFERROR(INDEX(計算用!$I$2:$I$186,MATCH("女"&amp;$Q39&amp;"-4",計算用!$AN$2:$AN$186,0)),""))</f>
        <v/>
      </c>
    </row>
    <row r="40">
      <c r="A40" s="26">
        <f>IF(ROW()-3&lt;=計算用!$Q$9,ROW()-3,"")</f>
        <v/>
      </c>
      <c r="B40" s="26">
        <f>IF($A40="","",INDEX(計算用!$T$2:$T$51,$A40))</f>
        <v/>
      </c>
      <c r="C40" s="26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6">
        <f>IF($A40="","",IFERROR(INDEX(計算用!$M$2:$M$186,MATCH("男"&amp;$A40&amp;"-1",計算用!$AN$2:$AN$186,0)),""))</f>
        <v/>
      </c>
      <c r="F40" s="26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6">
        <f>IF($A40="","",IFERROR(INDEX(計算用!$M$2:$M$186,MATCH("男"&amp;$A40&amp;"-2",計算用!$AN$2:$AN$186,0)),""))</f>
        <v/>
      </c>
      <c r="I40" s="26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6">
        <f>IF($A40="","",IFERROR(INDEX(計算用!$M$2:$M$186,MATCH("男"&amp;$A40&amp;"-3",計算用!$AN$2:$AN$186,0)),""))</f>
        <v/>
      </c>
      <c r="L40" s="26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6">
        <f>IF($A40="","",IFERROR(INDEX(計算用!$M$2:$M$186,MATCH("男"&amp;$A40&amp;"-4",計算用!$AN$2:$AN$186,0)),""))</f>
        <v/>
      </c>
      <c r="O40" s="26">
        <f>IF($A40="","",IFERROR(INDEX(計算用!$I$2:$I$186,MATCH("男"&amp;$A40&amp;"-4",計算用!$AN$2:$AN$186,0)),""))</f>
        <v/>
      </c>
      <c r="Q40" s="26">
        <f>IF(ROW()-3&lt;=計算用!$Q$11,ROW()-3,"")</f>
        <v/>
      </c>
      <c r="R40" s="26">
        <f>IF($Q40="","",INDEX(計算用!$AC$2:$AC$51,$Q40))</f>
        <v/>
      </c>
      <c r="S40" s="26">
        <f>IF($Q40="","","赤"&amp;INDEX(計算用!$AF$2:$AF$51,$Q40)&amp;"白"&amp;INDEX(計算用!$AG$2:$AG$51,$Q40))</f>
        <v/>
      </c>
      <c r="T40">
        <f>IF($Q40="","",IFERROR(INDEX(計算用!$D$2:$D$186,MATCH("女"&amp;$Q40&amp;"-1",計算用!$AN$2:$AN$186,0)),""))</f>
        <v/>
      </c>
      <c r="U40" s="26">
        <f>IF($Q40="","",IFERROR(INDEX(計算用!$M$2:$M$186,MATCH("女"&amp;$Q40&amp;"-1",計算用!$AN$2:$AN$186,0)),""))</f>
        <v/>
      </c>
      <c r="V40" s="26">
        <f>IF($Q40="","",IFERROR(INDEX(計算用!$I$2:$I$186,MATCH("女"&amp;$Q40&amp;"-1",計算用!$AN$2:$AN$186,0)),""))</f>
        <v/>
      </c>
      <c r="W40">
        <f>IF($Q40="","",IFERROR(INDEX(計算用!$D$2:$D$186,MATCH("女"&amp;$Q40&amp;"-2",計算用!$AN$2:$AN$186,0)),""))</f>
        <v/>
      </c>
      <c r="X40" s="26">
        <f>IF($Q40="","",IFERROR(INDEX(計算用!$M$2:$M$186,MATCH("女"&amp;$Q40&amp;"-2",計算用!$AN$2:$AN$186,0)),""))</f>
        <v/>
      </c>
      <c r="Y40" s="26">
        <f>IF($Q40="","",IFERROR(INDEX(計算用!$I$2:$I$186,MATCH("女"&amp;$Q40&amp;"-2",計算用!$AN$2:$AN$186,0)),""))</f>
        <v/>
      </c>
      <c r="Z40">
        <f>IF($Q40="","",IFERROR(INDEX(計算用!$D$2:$D$186,MATCH("女"&amp;$Q40&amp;"-3",計算用!$AN$2:$AN$186,0)),""))</f>
        <v/>
      </c>
      <c r="AA40" s="26">
        <f>IF($Q40="","",IFERROR(INDEX(計算用!$M$2:$M$186,MATCH("女"&amp;$Q40&amp;"-3",計算用!$AN$2:$AN$186,0)),""))</f>
        <v/>
      </c>
      <c r="AB40" s="26">
        <f>IF($Q40="","",IFERROR(INDEX(計算用!$I$2:$I$186,MATCH("女"&amp;$Q40&amp;"-3",計算用!$AN$2:$AN$186,0)),""))</f>
        <v/>
      </c>
      <c r="AC40">
        <f>IF($Q40="","",IFERROR(INDEX(計算用!$D$2:$D$186,MATCH("女"&amp;$Q40&amp;"-4",計算用!$AN$2:$AN$186,0)),""))</f>
        <v/>
      </c>
      <c r="AD40" s="26">
        <f>IF($Q40="","",IFERROR(INDEX(計算用!$M$2:$M$186,MATCH("女"&amp;$Q40&amp;"-4",計算用!$AN$2:$AN$186,0)),""))</f>
        <v/>
      </c>
      <c r="AE40" s="26">
        <f>IF($Q40="","",IFERROR(INDEX(計算用!$I$2:$I$186,MATCH("女"&amp;$Q40&amp;"-4",計算用!$AN$2:$AN$186,0)),""))</f>
        <v/>
      </c>
    </row>
    <row r="41">
      <c r="A41" s="26">
        <f>IF(ROW()-3&lt;=計算用!$Q$9,ROW()-3,"")</f>
        <v/>
      </c>
      <c r="B41" s="26">
        <f>IF($A41="","",INDEX(計算用!$T$2:$T$51,$A41))</f>
        <v/>
      </c>
      <c r="C41" s="26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6">
        <f>IF($A41="","",IFERROR(INDEX(計算用!$M$2:$M$186,MATCH("男"&amp;$A41&amp;"-1",計算用!$AN$2:$AN$186,0)),""))</f>
        <v/>
      </c>
      <c r="F41" s="26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6">
        <f>IF($A41="","",IFERROR(INDEX(計算用!$M$2:$M$186,MATCH("男"&amp;$A41&amp;"-2",計算用!$AN$2:$AN$186,0)),""))</f>
        <v/>
      </c>
      <c r="I41" s="26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6">
        <f>IF($A41="","",IFERROR(INDEX(計算用!$M$2:$M$186,MATCH("男"&amp;$A41&amp;"-3",計算用!$AN$2:$AN$186,0)),""))</f>
        <v/>
      </c>
      <c r="L41" s="26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6">
        <f>IF($A41="","",IFERROR(INDEX(計算用!$M$2:$M$186,MATCH("男"&amp;$A41&amp;"-4",計算用!$AN$2:$AN$186,0)),""))</f>
        <v/>
      </c>
      <c r="O41" s="26">
        <f>IF($A41="","",IFERROR(INDEX(計算用!$I$2:$I$186,MATCH("男"&amp;$A41&amp;"-4",計算用!$AN$2:$AN$186,0)),""))</f>
        <v/>
      </c>
      <c r="Q41" s="26">
        <f>IF(ROW()-3&lt;=計算用!$Q$11,ROW()-3,"")</f>
        <v/>
      </c>
      <c r="R41" s="26">
        <f>IF($Q41="","",INDEX(計算用!$AC$2:$AC$51,$Q41))</f>
        <v/>
      </c>
      <c r="S41" s="26">
        <f>IF($Q41="","","赤"&amp;INDEX(計算用!$AF$2:$AF$51,$Q41)&amp;"白"&amp;INDEX(計算用!$AG$2:$AG$51,$Q41))</f>
        <v/>
      </c>
      <c r="T41">
        <f>IF($Q41="","",IFERROR(INDEX(計算用!$D$2:$D$186,MATCH("女"&amp;$Q41&amp;"-1",計算用!$AN$2:$AN$186,0)),""))</f>
        <v/>
      </c>
      <c r="U41" s="26">
        <f>IF($Q41="","",IFERROR(INDEX(計算用!$M$2:$M$186,MATCH("女"&amp;$Q41&amp;"-1",計算用!$AN$2:$AN$186,0)),""))</f>
        <v/>
      </c>
      <c r="V41" s="26">
        <f>IF($Q41="","",IFERROR(INDEX(計算用!$I$2:$I$186,MATCH("女"&amp;$Q41&amp;"-1",計算用!$AN$2:$AN$186,0)),""))</f>
        <v/>
      </c>
      <c r="W41">
        <f>IF($Q41="","",IFERROR(INDEX(計算用!$D$2:$D$186,MATCH("女"&amp;$Q41&amp;"-2",計算用!$AN$2:$AN$186,0)),""))</f>
        <v/>
      </c>
      <c r="X41" s="26">
        <f>IF($Q41="","",IFERROR(INDEX(計算用!$M$2:$M$186,MATCH("女"&amp;$Q41&amp;"-2",計算用!$AN$2:$AN$186,0)),""))</f>
        <v/>
      </c>
      <c r="Y41" s="26">
        <f>IF($Q41="","",IFERROR(INDEX(計算用!$I$2:$I$186,MATCH("女"&amp;$Q41&amp;"-2",計算用!$AN$2:$AN$186,0)),""))</f>
        <v/>
      </c>
      <c r="Z41">
        <f>IF($Q41="","",IFERROR(INDEX(計算用!$D$2:$D$186,MATCH("女"&amp;$Q41&amp;"-3",計算用!$AN$2:$AN$186,0)),""))</f>
        <v/>
      </c>
      <c r="AA41" s="26">
        <f>IF($Q41="","",IFERROR(INDEX(計算用!$M$2:$M$186,MATCH("女"&amp;$Q41&amp;"-3",計算用!$AN$2:$AN$186,0)),""))</f>
        <v/>
      </c>
      <c r="AB41" s="26">
        <f>IF($Q41="","",IFERROR(INDEX(計算用!$I$2:$I$186,MATCH("女"&amp;$Q41&amp;"-3",計算用!$AN$2:$AN$186,0)),""))</f>
        <v/>
      </c>
      <c r="AC41">
        <f>IF($Q41="","",IFERROR(INDEX(計算用!$D$2:$D$186,MATCH("女"&amp;$Q41&amp;"-4",計算用!$AN$2:$AN$186,0)),""))</f>
        <v/>
      </c>
      <c r="AD41" s="26">
        <f>IF($Q41="","",IFERROR(INDEX(計算用!$M$2:$M$186,MATCH("女"&amp;$Q41&amp;"-4",計算用!$AN$2:$AN$186,0)),""))</f>
        <v/>
      </c>
      <c r="AE41" s="26">
        <f>IF($Q41="","",IFERROR(INDEX(計算用!$I$2:$I$186,MATCH("女"&amp;$Q41&amp;"-4",計算用!$AN$2:$AN$186,0)),""))</f>
        <v/>
      </c>
    </row>
    <row r="42">
      <c r="A42" s="26">
        <f>IF(ROW()-3&lt;=計算用!$Q$9,ROW()-3,"")</f>
        <v/>
      </c>
      <c r="B42" s="26">
        <f>IF($A42="","",INDEX(計算用!$T$2:$T$51,$A42))</f>
        <v/>
      </c>
      <c r="C42" s="26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6">
        <f>IF($A42="","",IFERROR(INDEX(計算用!$M$2:$M$186,MATCH("男"&amp;$A42&amp;"-1",計算用!$AN$2:$AN$186,0)),""))</f>
        <v/>
      </c>
      <c r="F42" s="26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6">
        <f>IF($A42="","",IFERROR(INDEX(計算用!$M$2:$M$186,MATCH("男"&amp;$A42&amp;"-2",計算用!$AN$2:$AN$186,0)),""))</f>
        <v/>
      </c>
      <c r="I42" s="26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6">
        <f>IF($A42="","",IFERROR(INDEX(計算用!$M$2:$M$186,MATCH("男"&amp;$A42&amp;"-3",計算用!$AN$2:$AN$186,0)),""))</f>
        <v/>
      </c>
      <c r="L42" s="26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6">
        <f>IF($A42="","",IFERROR(INDEX(計算用!$M$2:$M$186,MATCH("男"&amp;$A42&amp;"-4",計算用!$AN$2:$AN$186,0)),""))</f>
        <v/>
      </c>
      <c r="O42" s="26">
        <f>IF($A42="","",IFERROR(INDEX(計算用!$I$2:$I$186,MATCH("男"&amp;$A42&amp;"-4",計算用!$AN$2:$AN$186,0)),""))</f>
        <v/>
      </c>
      <c r="Q42" s="26">
        <f>IF(ROW()-3&lt;=計算用!$Q$11,ROW()-3,"")</f>
        <v/>
      </c>
      <c r="R42" s="26">
        <f>IF($Q42="","",INDEX(計算用!$AC$2:$AC$51,$Q42))</f>
        <v/>
      </c>
      <c r="S42" s="26">
        <f>IF($Q42="","","赤"&amp;INDEX(計算用!$AF$2:$AF$51,$Q42)&amp;"白"&amp;INDEX(計算用!$AG$2:$AG$51,$Q42))</f>
        <v/>
      </c>
      <c r="T42">
        <f>IF($Q42="","",IFERROR(INDEX(計算用!$D$2:$D$186,MATCH("女"&amp;$Q42&amp;"-1",計算用!$AN$2:$AN$186,0)),""))</f>
        <v/>
      </c>
      <c r="U42" s="26">
        <f>IF($Q42="","",IFERROR(INDEX(計算用!$M$2:$M$186,MATCH("女"&amp;$Q42&amp;"-1",計算用!$AN$2:$AN$186,0)),""))</f>
        <v/>
      </c>
      <c r="V42" s="26">
        <f>IF($Q42="","",IFERROR(INDEX(計算用!$I$2:$I$186,MATCH("女"&amp;$Q42&amp;"-1",計算用!$AN$2:$AN$186,0)),""))</f>
        <v/>
      </c>
      <c r="W42">
        <f>IF($Q42="","",IFERROR(INDEX(計算用!$D$2:$D$186,MATCH("女"&amp;$Q42&amp;"-2",計算用!$AN$2:$AN$186,0)),""))</f>
        <v/>
      </c>
      <c r="X42" s="26">
        <f>IF($Q42="","",IFERROR(INDEX(計算用!$M$2:$M$186,MATCH("女"&amp;$Q42&amp;"-2",計算用!$AN$2:$AN$186,0)),""))</f>
        <v/>
      </c>
      <c r="Y42" s="26">
        <f>IF($Q42="","",IFERROR(INDEX(計算用!$I$2:$I$186,MATCH("女"&amp;$Q42&amp;"-2",計算用!$AN$2:$AN$186,0)),""))</f>
        <v/>
      </c>
      <c r="Z42">
        <f>IF($Q42="","",IFERROR(INDEX(計算用!$D$2:$D$186,MATCH("女"&amp;$Q42&amp;"-3",計算用!$AN$2:$AN$186,0)),""))</f>
        <v/>
      </c>
      <c r="AA42" s="26">
        <f>IF($Q42="","",IFERROR(INDEX(計算用!$M$2:$M$186,MATCH("女"&amp;$Q42&amp;"-3",計算用!$AN$2:$AN$186,0)),""))</f>
        <v/>
      </c>
      <c r="AB42" s="26">
        <f>IF($Q42="","",IFERROR(INDEX(計算用!$I$2:$I$186,MATCH("女"&amp;$Q42&amp;"-3",計算用!$AN$2:$AN$186,0)),""))</f>
        <v/>
      </c>
      <c r="AC42">
        <f>IF($Q42="","",IFERROR(INDEX(計算用!$D$2:$D$186,MATCH("女"&amp;$Q42&amp;"-4",計算用!$AN$2:$AN$186,0)),""))</f>
        <v/>
      </c>
      <c r="AD42" s="26">
        <f>IF($Q42="","",IFERROR(INDEX(計算用!$M$2:$M$186,MATCH("女"&amp;$Q42&amp;"-4",計算用!$AN$2:$AN$186,0)),""))</f>
        <v/>
      </c>
      <c r="AE42" s="26">
        <f>IF($Q42="","",IFERROR(INDEX(計算用!$I$2:$I$186,MATCH("女"&amp;$Q42&amp;"-4",計算用!$AN$2:$AN$186,0)),""))</f>
        <v/>
      </c>
    </row>
    <row r="43">
      <c r="A43" s="26">
        <f>IF(ROW()-3&lt;=計算用!$Q$9,ROW()-3,"")</f>
        <v/>
      </c>
      <c r="B43" s="26">
        <f>IF($A43="","",INDEX(計算用!$T$2:$T$51,$A43))</f>
        <v/>
      </c>
      <c r="C43" s="26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6">
        <f>IF($A43="","",IFERROR(INDEX(計算用!$M$2:$M$186,MATCH("男"&amp;$A43&amp;"-1",計算用!$AN$2:$AN$186,0)),""))</f>
        <v/>
      </c>
      <c r="F43" s="26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6">
        <f>IF($A43="","",IFERROR(INDEX(計算用!$M$2:$M$186,MATCH("男"&amp;$A43&amp;"-2",計算用!$AN$2:$AN$186,0)),""))</f>
        <v/>
      </c>
      <c r="I43" s="26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6">
        <f>IF($A43="","",IFERROR(INDEX(計算用!$M$2:$M$186,MATCH("男"&amp;$A43&amp;"-3",計算用!$AN$2:$AN$186,0)),""))</f>
        <v/>
      </c>
      <c r="L43" s="26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6">
        <f>IF($A43="","",IFERROR(INDEX(計算用!$M$2:$M$186,MATCH("男"&amp;$A43&amp;"-4",計算用!$AN$2:$AN$186,0)),""))</f>
        <v/>
      </c>
      <c r="O43" s="26">
        <f>IF($A43="","",IFERROR(INDEX(計算用!$I$2:$I$186,MATCH("男"&amp;$A43&amp;"-4",計算用!$AN$2:$AN$186,0)),""))</f>
        <v/>
      </c>
      <c r="Q43" s="26">
        <f>IF(ROW()-3&lt;=計算用!$Q$11,ROW()-3,"")</f>
        <v/>
      </c>
      <c r="R43" s="26">
        <f>IF($Q43="","",INDEX(計算用!$AC$2:$AC$51,$Q43))</f>
        <v/>
      </c>
      <c r="S43" s="26">
        <f>IF($Q43="","","赤"&amp;INDEX(計算用!$AF$2:$AF$51,$Q43)&amp;"白"&amp;INDEX(計算用!$AG$2:$AG$51,$Q43))</f>
        <v/>
      </c>
      <c r="T43">
        <f>IF($Q43="","",IFERROR(INDEX(計算用!$D$2:$D$186,MATCH("女"&amp;$Q43&amp;"-1",計算用!$AN$2:$AN$186,0)),""))</f>
        <v/>
      </c>
      <c r="U43" s="26">
        <f>IF($Q43="","",IFERROR(INDEX(計算用!$M$2:$M$186,MATCH("女"&amp;$Q43&amp;"-1",計算用!$AN$2:$AN$186,0)),""))</f>
        <v/>
      </c>
      <c r="V43" s="26">
        <f>IF($Q43="","",IFERROR(INDEX(計算用!$I$2:$I$186,MATCH("女"&amp;$Q43&amp;"-1",計算用!$AN$2:$AN$186,0)),""))</f>
        <v/>
      </c>
      <c r="W43">
        <f>IF($Q43="","",IFERROR(INDEX(計算用!$D$2:$D$186,MATCH("女"&amp;$Q43&amp;"-2",計算用!$AN$2:$AN$186,0)),""))</f>
        <v/>
      </c>
      <c r="X43" s="26">
        <f>IF($Q43="","",IFERROR(INDEX(計算用!$M$2:$M$186,MATCH("女"&amp;$Q43&amp;"-2",計算用!$AN$2:$AN$186,0)),""))</f>
        <v/>
      </c>
      <c r="Y43" s="26">
        <f>IF($Q43="","",IFERROR(INDEX(計算用!$I$2:$I$186,MATCH("女"&amp;$Q43&amp;"-2",計算用!$AN$2:$AN$186,0)),""))</f>
        <v/>
      </c>
      <c r="Z43">
        <f>IF($Q43="","",IFERROR(INDEX(計算用!$D$2:$D$186,MATCH("女"&amp;$Q43&amp;"-3",計算用!$AN$2:$AN$186,0)),""))</f>
        <v/>
      </c>
      <c r="AA43" s="26">
        <f>IF($Q43="","",IFERROR(INDEX(計算用!$M$2:$M$186,MATCH("女"&amp;$Q43&amp;"-3",計算用!$AN$2:$AN$186,0)),""))</f>
        <v/>
      </c>
      <c r="AB43" s="26">
        <f>IF($Q43="","",IFERROR(INDEX(計算用!$I$2:$I$186,MATCH("女"&amp;$Q43&amp;"-3",計算用!$AN$2:$AN$186,0)),""))</f>
        <v/>
      </c>
      <c r="AC43">
        <f>IF($Q43="","",IFERROR(INDEX(計算用!$D$2:$D$186,MATCH("女"&amp;$Q43&amp;"-4",計算用!$AN$2:$AN$186,0)),""))</f>
        <v/>
      </c>
      <c r="AD43" s="26">
        <f>IF($Q43="","",IFERROR(INDEX(計算用!$M$2:$M$186,MATCH("女"&amp;$Q43&amp;"-4",計算用!$AN$2:$AN$186,0)),""))</f>
        <v/>
      </c>
      <c r="AE43" s="26">
        <f>IF($Q43="","",IFERROR(INDEX(計算用!$I$2:$I$186,MATCH("女"&amp;$Q43&amp;"-4",計算用!$AN$2:$AN$186,0)),""))</f>
        <v/>
      </c>
    </row>
    <row r="44">
      <c r="A44" s="26">
        <f>IF(ROW()-3&lt;=計算用!$Q$9,ROW()-3,"")</f>
        <v/>
      </c>
      <c r="B44" s="26">
        <f>IF($A44="","",INDEX(計算用!$T$2:$T$51,$A44))</f>
        <v/>
      </c>
      <c r="C44" s="26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6">
        <f>IF($A44="","",IFERROR(INDEX(計算用!$M$2:$M$186,MATCH("男"&amp;$A44&amp;"-1",計算用!$AN$2:$AN$186,0)),""))</f>
        <v/>
      </c>
      <c r="F44" s="26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6">
        <f>IF($A44="","",IFERROR(INDEX(計算用!$M$2:$M$186,MATCH("男"&amp;$A44&amp;"-2",計算用!$AN$2:$AN$186,0)),""))</f>
        <v/>
      </c>
      <c r="I44" s="26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6">
        <f>IF($A44="","",IFERROR(INDEX(計算用!$M$2:$M$186,MATCH("男"&amp;$A44&amp;"-3",計算用!$AN$2:$AN$186,0)),""))</f>
        <v/>
      </c>
      <c r="L44" s="26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6">
        <f>IF($A44="","",IFERROR(INDEX(計算用!$M$2:$M$186,MATCH("男"&amp;$A44&amp;"-4",計算用!$AN$2:$AN$186,0)),""))</f>
        <v/>
      </c>
      <c r="O44" s="26">
        <f>IF($A44="","",IFERROR(INDEX(計算用!$I$2:$I$186,MATCH("男"&amp;$A44&amp;"-4",計算用!$AN$2:$AN$186,0)),""))</f>
        <v/>
      </c>
      <c r="Q44" s="26">
        <f>IF(ROW()-3&lt;=計算用!$Q$11,ROW()-3,"")</f>
        <v/>
      </c>
      <c r="R44" s="26">
        <f>IF($Q44="","",INDEX(計算用!$AC$2:$AC$51,$Q44))</f>
        <v/>
      </c>
      <c r="S44" s="26">
        <f>IF($Q44="","","赤"&amp;INDEX(計算用!$AF$2:$AF$51,$Q44)&amp;"白"&amp;INDEX(計算用!$AG$2:$AG$51,$Q44))</f>
        <v/>
      </c>
      <c r="T44">
        <f>IF($Q44="","",IFERROR(INDEX(計算用!$D$2:$D$186,MATCH("女"&amp;$Q44&amp;"-1",計算用!$AN$2:$AN$186,0)),""))</f>
        <v/>
      </c>
      <c r="U44" s="26">
        <f>IF($Q44="","",IFERROR(INDEX(計算用!$M$2:$M$186,MATCH("女"&amp;$Q44&amp;"-1",計算用!$AN$2:$AN$186,0)),""))</f>
        <v/>
      </c>
      <c r="V44" s="26">
        <f>IF($Q44="","",IFERROR(INDEX(計算用!$I$2:$I$186,MATCH("女"&amp;$Q44&amp;"-1",計算用!$AN$2:$AN$186,0)),""))</f>
        <v/>
      </c>
      <c r="W44">
        <f>IF($Q44="","",IFERROR(INDEX(計算用!$D$2:$D$186,MATCH("女"&amp;$Q44&amp;"-2",計算用!$AN$2:$AN$186,0)),""))</f>
        <v/>
      </c>
      <c r="X44" s="26">
        <f>IF($Q44="","",IFERROR(INDEX(計算用!$M$2:$M$186,MATCH("女"&amp;$Q44&amp;"-2",計算用!$AN$2:$AN$186,0)),""))</f>
        <v/>
      </c>
      <c r="Y44" s="26">
        <f>IF($Q44="","",IFERROR(INDEX(計算用!$I$2:$I$186,MATCH("女"&amp;$Q44&amp;"-2",計算用!$AN$2:$AN$186,0)),""))</f>
        <v/>
      </c>
      <c r="Z44">
        <f>IF($Q44="","",IFERROR(INDEX(計算用!$D$2:$D$186,MATCH("女"&amp;$Q44&amp;"-3",計算用!$AN$2:$AN$186,0)),""))</f>
        <v/>
      </c>
      <c r="AA44" s="26">
        <f>IF($Q44="","",IFERROR(INDEX(計算用!$M$2:$M$186,MATCH("女"&amp;$Q44&amp;"-3",計算用!$AN$2:$AN$186,0)),""))</f>
        <v/>
      </c>
      <c r="AB44" s="26">
        <f>IF($Q44="","",IFERROR(INDEX(計算用!$I$2:$I$186,MATCH("女"&amp;$Q44&amp;"-3",計算用!$AN$2:$AN$186,0)),""))</f>
        <v/>
      </c>
      <c r="AC44">
        <f>IF($Q44="","",IFERROR(INDEX(計算用!$D$2:$D$186,MATCH("女"&amp;$Q44&amp;"-4",計算用!$AN$2:$AN$186,0)),""))</f>
        <v/>
      </c>
      <c r="AD44" s="26">
        <f>IF($Q44="","",IFERROR(INDEX(計算用!$M$2:$M$186,MATCH("女"&amp;$Q44&amp;"-4",計算用!$AN$2:$AN$186,0)),""))</f>
        <v/>
      </c>
      <c r="AE44" s="26">
        <f>IF($Q44="","",IFERROR(INDEX(計算用!$I$2:$I$186,MATCH("女"&amp;$Q44&amp;"-4",計算用!$AN$2:$AN$186,0)),""))</f>
        <v/>
      </c>
    </row>
    <row r="45">
      <c r="A45" s="26">
        <f>IF(ROW()-3&lt;=計算用!$Q$9,ROW()-3,"")</f>
        <v/>
      </c>
      <c r="B45" s="26">
        <f>IF($A45="","",INDEX(計算用!$T$2:$T$51,$A45))</f>
        <v/>
      </c>
      <c r="C45" s="26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6">
        <f>IF($A45="","",IFERROR(INDEX(計算用!$M$2:$M$186,MATCH("男"&amp;$A45&amp;"-1",計算用!$AN$2:$AN$186,0)),""))</f>
        <v/>
      </c>
      <c r="F45" s="26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6">
        <f>IF($A45="","",IFERROR(INDEX(計算用!$M$2:$M$186,MATCH("男"&amp;$A45&amp;"-2",計算用!$AN$2:$AN$186,0)),""))</f>
        <v/>
      </c>
      <c r="I45" s="26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6">
        <f>IF($A45="","",IFERROR(INDEX(計算用!$M$2:$M$186,MATCH("男"&amp;$A45&amp;"-3",計算用!$AN$2:$AN$186,0)),""))</f>
        <v/>
      </c>
      <c r="L45" s="26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6">
        <f>IF($A45="","",IFERROR(INDEX(計算用!$M$2:$M$186,MATCH("男"&amp;$A45&amp;"-4",計算用!$AN$2:$AN$186,0)),""))</f>
        <v/>
      </c>
      <c r="O45" s="26">
        <f>IF($A45="","",IFERROR(INDEX(計算用!$I$2:$I$186,MATCH("男"&amp;$A45&amp;"-4",計算用!$AN$2:$AN$186,0)),""))</f>
        <v/>
      </c>
      <c r="Q45" s="26">
        <f>IF(ROW()-3&lt;=計算用!$Q$11,ROW()-3,"")</f>
        <v/>
      </c>
      <c r="R45" s="26">
        <f>IF($Q45="","",INDEX(計算用!$AC$2:$AC$51,$Q45))</f>
        <v/>
      </c>
      <c r="S45" s="26">
        <f>IF($Q45="","","赤"&amp;INDEX(計算用!$AF$2:$AF$51,$Q45)&amp;"白"&amp;INDEX(計算用!$AG$2:$AG$51,$Q45))</f>
        <v/>
      </c>
      <c r="T45">
        <f>IF($Q45="","",IFERROR(INDEX(計算用!$D$2:$D$186,MATCH("女"&amp;$Q45&amp;"-1",計算用!$AN$2:$AN$186,0)),""))</f>
        <v/>
      </c>
      <c r="U45" s="26">
        <f>IF($Q45="","",IFERROR(INDEX(計算用!$M$2:$M$186,MATCH("女"&amp;$Q45&amp;"-1",計算用!$AN$2:$AN$186,0)),""))</f>
        <v/>
      </c>
      <c r="V45" s="26">
        <f>IF($Q45="","",IFERROR(INDEX(計算用!$I$2:$I$186,MATCH("女"&amp;$Q45&amp;"-1",計算用!$AN$2:$AN$186,0)),""))</f>
        <v/>
      </c>
      <c r="W45">
        <f>IF($Q45="","",IFERROR(INDEX(計算用!$D$2:$D$186,MATCH("女"&amp;$Q45&amp;"-2",計算用!$AN$2:$AN$186,0)),""))</f>
        <v/>
      </c>
      <c r="X45" s="26">
        <f>IF($Q45="","",IFERROR(INDEX(計算用!$M$2:$M$186,MATCH("女"&amp;$Q45&amp;"-2",計算用!$AN$2:$AN$186,0)),""))</f>
        <v/>
      </c>
      <c r="Y45" s="26">
        <f>IF($Q45="","",IFERROR(INDEX(計算用!$I$2:$I$186,MATCH("女"&amp;$Q45&amp;"-2",計算用!$AN$2:$AN$186,0)),""))</f>
        <v/>
      </c>
      <c r="Z45">
        <f>IF($Q45="","",IFERROR(INDEX(計算用!$D$2:$D$186,MATCH("女"&amp;$Q45&amp;"-3",計算用!$AN$2:$AN$186,0)),""))</f>
        <v/>
      </c>
      <c r="AA45" s="26">
        <f>IF($Q45="","",IFERROR(INDEX(計算用!$M$2:$M$186,MATCH("女"&amp;$Q45&amp;"-3",計算用!$AN$2:$AN$186,0)),""))</f>
        <v/>
      </c>
      <c r="AB45" s="26">
        <f>IF($Q45="","",IFERROR(INDEX(計算用!$I$2:$I$186,MATCH("女"&amp;$Q45&amp;"-3",計算用!$AN$2:$AN$186,0)),""))</f>
        <v/>
      </c>
      <c r="AC45">
        <f>IF($Q45="","",IFERROR(INDEX(計算用!$D$2:$D$186,MATCH("女"&amp;$Q45&amp;"-4",計算用!$AN$2:$AN$186,0)),""))</f>
        <v/>
      </c>
      <c r="AD45" s="26">
        <f>IF($Q45="","",IFERROR(INDEX(計算用!$M$2:$M$186,MATCH("女"&amp;$Q45&amp;"-4",計算用!$AN$2:$AN$186,0)),""))</f>
        <v/>
      </c>
      <c r="AE45" s="26">
        <f>IF($Q45="","",IFERROR(INDEX(計算用!$I$2:$I$186,MATCH("女"&amp;$Q45&amp;"-4",計算用!$AN$2:$AN$186,0)),""))</f>
        <v/>
      </c>
    </row>
    <row r="46">
      <c r="A46" s="26">
        <f>IF(ROW()-3&lt;=計算用!$Q$9,ROW()-3,"")</f>
        <v/>
      </c>
      <c r="B46" s="26">
        <f>IF($A46="","",INDEX(計算用!$T$2:$T$51,$A46))</f>
        <v/>
      </c>
      <c r="C46" s="26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6">
        <f>IF($A46="","",IFERROR(INDEX(計算用!$M$2:$M$186,MATCH("男"&amp;$A46&amp;"-1",計算用!$AN$2:$AN$186,0)),""))</f>
        <v/>
      </c>
      <c r="F46" s="26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6">
        <f>IF($A46="","",IFERROR(INDEX(計算用!$M$2:$M$186,MATCH("男"&amp;$A46&amp;"-2",計算用!$AN$2:$AN$186,0)),""))</f>
        <v/>
      </c>
      <c r="I46" s="26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6">
        <f>IF($A46="","",IFERROR(INDEX(計算用!$M$2:$M$186,MATCH("男"&amp;$A46&amp;"-3",計算用!$AN$2:$AN$186,0)),""))</f>
        <v/>
      </c>
      <c r="L46" s="26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6">
        <f>IF($A46="","",IFERROR(INDEX(計算用!$M$2:$M$186,MATCH("男"&amp;$A46&amp;"-4",計算用!$AN$2:$AN$186,0)),""))</f>
        <v/>
      </c>
      <c r="O46" s="26">
        <f>IF($A46="","",IFERROR(INDEX(計算用!$I$2:$I$186,MATCH("男"&amp;$A46&amp;"-4",計算用!$AN$2:$AN$186,0)),""))</f>
        <v/>
      </c>
      <c r="Q46" s="26">
        <f>IF(ROW()-3&lt;=計算用!$Q$11,ROW()-3,"")</f>
        <v/>
      </c>
      <c r="R46" s="26">
        <f>IF($Q46="","",INDEX(計算用!$AC$2:$AC$51,$Q46))</f>
        <v/>
      </c>
      <c r="S46" s="26">
        <f>IF($Q46="","","赤"&amp;INDEX(計算用!$AF$2:$AF$51,$Q46)&amp;"白"&amp;INDEX(計算用!$AG$2:$AG$51,$Q46))</f>
        <v/>
      </c>
      <c r="T46">
        <f>IF($Q46="","",IFERROR(INDEX(計算用!$D$2:$D$186,MATCH("女"&amp;$Q46&amp;"-1",計算用!$AN$2:$AN$186,0)),""))</f>
        <v/>
      </c>
      <c r="U46" s="26">
        <f>IF($Q46="","",IFERROR(INDEX(計算用!$M$2:$M$186,MATCH("女"&amp;$Q46&amp;"-1",計算用!$AN$2:$AN$186,0)),""))</f>
        <v/>
      </c>
      <c r="V46" s="26">
        <f>IF($Q46="","",IFERROR(INDEX(計算用!$I$2:$I$186,MATCH("女"&amp;$Q46&amp;"-1",計算用!$AN$2:$AN$186,0)),""))</f>
        <v/>
      </c>
      <c r="W46">
        <f>IF($Q46="","",IFERROR(INDEX(計算用!$D$2:$D$186,MATCH("女"&amp;$Q46&amp;"-2",計算用!$AN$2:$AN$186,0)),""))</f>
        <v/>
      </c>
      <c r="X46" s="26">
        <f>IF($Q46="","",IFERROR(INDEX(計算用!$M$2:$M$186,MATCH("女"&amp;$Q46&amp;"-2",計算用!$AN$2:$AN$186,0)),""))</f>
        <v/>
      </c>
      <c r="Y46" s="26">
        <f>IF($Q46="","",IFERROR(INDEX(計算用!$I$2:$I$186,MATCH("女"&amp;$Q46&amp;"-2",計算用!$AN$2:$AN$186,0)),""))</f>
        <v/>
      </c>
      <c r="Z46">
        <f>IF($Q46="","",IFERROR(INDEX(計算用!$D$2:$D$186,MATCH("女"&amp;$Q46&amp;"-3",計算用!$AN$2:$AN$186,0)),""))</f>
        <v/>
      </c>
      <c r="AA46" s="26">
        <f>IF($Q46="","",IFERROR(INDEX(計算用!$M$2:$M$186,MATCH("女"&amp;$Q46&amp;"-3",計算用!$AN$2:$AN$186,0)),""))</f>
        <v/>
      </c>
      <c r="AB46" s="26">
        <f>IF($Q46="","",IFERROR(INDEX(計算用!$I$2:$I$186,MATCH("女"&amp;$Q46&amp;"-3",計算用!$AN$2:$AN$186,0)),""))</f>
        <v/>
      </c>
      <c r="AC46">
        <f>IF($Q46="","",IFERROR(INDEX(計算用!$D$2:$D$186,MATCH("女"&amp;$Q46&amp;"-4",計算用!$AN$2:$AN$186,0)),""))</f>
        <v/>
      </c>
      <c r="AD46" s="26">
        <f>IF($Q46="","",IFERROR(INDEX(計算用!$M$2:$M$186,MATCH("女"&amp;$Q46&amp;"-4",計算用!$AN$2:$AN$186,0)),""))</f>
        <v/>
      </c>
      <c r="AE46" s="26">
        <f>IF($Q46="","",IFERROR(INDEX(計算用!$I$2:$I$186,MATCH("女"&amp;$Q46&amp;"-4",計算用!$AN$2:$AN$186,0)),""))</f>
        <v/>
      </c>
    </row>
    <row r="47">
      <c r="A47" s="26">
        <f>IF(ROW()-3&lt;=計算用!$Q$9,ROW()-3,"")</f>
        <v/>
      </c>
      <c r="B47" s="26">
        <f>IF($A47="","",INDEX(計算用!$T$2:$T$51,$A47))</f>
        <v/>
      </c>
      <c r="C47" s="26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6">
        <f>IF($A47="","",IFERROR(INDEX(計算用!$M$2:$M$186,MATCH("男"&amp;$A47&amp;"-1",計算用!$AN$2:$AN$186,0)),""))</f>
        <v/>
      </c>
      <c r="F47" s="26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6">
        <f>IF($A47="","",IFERROR(INDEX(計算用!$M$2:$M$186,MATCH("男"&amp;$A47&amp;"-2",計算用!$AN$2:$AN$186,0)),""))</f>
        <v/>
      </c>
      <c r="I47" s="26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6">
        <f>IF($A47="","",IFERROR(INDEX(計算用!$M$2:$M$186,MATCH("男"&amp;$A47&amp;"-3",計算用!$AN$2:$AN$186,0)),""))</f>
        <v/>
      </c>
      <c r="L47" s="26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6">
        <f>IF($A47="","",IFERROR(INDEX(計算用!$M$2:$M$186,MATCH("男"&amp;$A47&amp;"-4",計算用!$AN$2:$AN$186,0)),""))</f>
        <v/>
      </c>
      <c r="O47" s="26">
        <f>IF($A47="","",IFERROR(INDEX(計算用!$I$2:$I$186,MATCH("男"&amp;$A47&amp;"-4",計算用!$AN$2:$AN$186,0)),""))</f>
        <v/>
      </c>
      <c r="Q47" s="26">
        <f>IF(ROW()-3&lt;=計算用!$Q$11,ROW()-3,"")</f>
        <v/>
      </c>
      <c r="R47" s="26">
        <f>IF($Q47="","",INDEX(計算用!$AC$2:$AC$51,$Q47))</f>
        <v/>
      </c>
      <c r="S47" s="26">
        <f>IF($Q47="","","赤"&amp;INDEX(計算用!$AF$2:$AF$51,$Q47)&amp;"白"&amp;INDEX(計算用!$AG$2:$AG$51,$Q47))</f>
        <v/>
      </c>
      <c r="T47">
        <f>IF($Q47="","",IFERROR(INDEX(計算用!$D$2:$D$186,MATCH("女"&amp;$Q47&amp;"-1",計算用!$AN$2:$AN$186,0)),""))</f>
        <v/>
      </c>
      <c r="U47" s="26">
        <f>IF($Q47="","",IFERROR(INDEX(計算用!$M$2:$M$186,MATCH("女"&amp;$Q47&amp;"-1",計算用!$AN$2:$AN$186,0)),""))</f>
        <v/>
      </c>
      <c r="V47" s="26">
        <f>IF($Q47="","",IFERROR(INDEX(計算用!$I$2:$I$186,MATCH("女"&amp;$Q47&amp;"-1",計算用!$AN$2:$AN$186,0)),""))</f>
        <v/>
      </c>
      <c r="W47">
        <f>IF($Q47="","",IFERROR(INDEX(計算用!$D$2:$D$186,MATCH("女"&amp;$Q47&amp;"-2",計算用!$AN$2:$AN$186,0)),""))</f>
        <v/>
      </c>
      <c r="X47" s="26">
        <f>IF($Q47="","",IFERROR(INDEX(計算用!$M$2:$M$186,MATCH("女"&amp;$Q47&amp;"-2",計算用!$AN$2:$AN$186,0)),""))</f>
        <v/>
      </c>
      <c r="Y47" s="26">
        <f>IF($Q47="","",IFERROR(INDEX(計算用!$I$2:$I$186,MATCH("女"&amp;$Q47&amp;"-2",計算用!$AN$2:$AN$186,0)),""))</f>
        <v/>
      </c>
      <c r="Z47">
        <f>IF($Q47="","",IFERROR(INDEX(計算用!$D$2:$D$186,MATCH("女"&amp;$Q47&amp;"-3",計算用!$AN$2:$AN$186,0)),""))</f>
        <v/>
      </c>
      <c r="AA47" s="26">
        <f>IF($Q47="","",IFERROR(INDEX(計算用!$M$2:$M$186,MATCH("女"&amp;$Q47&amp;"-3",計算用!$AN$2:$AN$186,0)),""))</f>
        <v/>
      </c>
      <c r="AB47" s="26">
        <f>IF($Q47="","",IFERROR(INDEX(計算用!$I$2:$I$186,MATCH("女"&amp;$Q47&amp;"-3",計算用!$AN$2:$AN$186,0)),""))</f>
        <v/>
      </c>
      <c r="AC47">
        <f>IF($Q47="","",IFERROR(INDEX(計算用!$D$2:$D$186,MATCH("女"&amp;$Q47&amp;"-4",計算用!$AN$2:$AN$186,0)),""))</f>
        <v/>
      </c>
      <c r="AD47" s="26">
        <f>IF($Q47="","",IFERROR(INDEX(計算用!$M$2:$M$186,MATCH("女"&amp;$Q47&amp;"-4",計算用!$AN$2:$AN$186,0)),""))</f>
        <v/>
      </c>
      <c r="AE47" s="26">
        <f>IF($Q47="","",IFERROR(INDEX(計算用!$I$2:$I$186,MATCH("女"&amp;$Q47&amp;"-4",計算用!$AN$2:$AN$186,0)),""))</f>
        <v/>
      </c>
    </row>
    <row r="48">
      <c r="A48" s="26">
        <f>IF(ROW()-3&lt;=計算用!$Q$9,ROW()-3,"")</f>
        <v/>
      </c>
      <c r="B48" s="26">
        <f>IF($A48="","",INDEX(計算用!$T$2:$T$51,$A48))</f>
        <v/>
      </c>
      <c r="C48" s="26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6">
        <f>IF($A48="","",IFERROR(INDEX(計算用!$M$2:$M$186,MATCH("男"&amp;$A48&amp;"-1",計算用!$AN$2:$AN$186,0)),""))</f>
        <v/>
      </c>
      <c r="F48" s="26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6">
        <f>IF($A48="","",IFERROR(INDEX(計算用!$M$2:$M$186,MATCH("男"&amp;$A48&amp;"-2",計算用!$AN$2:$AN$186,0)),""))</f>
        <v/>
      </c>
      <c r="I48" s="26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6">
        <f>IF($A48="","",IFERROR(INDEX(計算用!$M$2:$M$186,MATCH("男"&amp;$A48&amp;"-3",計算用!$AN$2:$AN$186,0)),""))</f>
        <v/>
      </c>
      <c r="L48" s="26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6">
        <f>IF($A48="","",IFERROR(INDEX(計算用!$M$2:$M$186,MATCH("男"&amp;$A48&amp;"-4",計算用!$AN$2:$AN$186,0)),""))</f>
        <v/>
      </c>
      <c r="O48" s="26">
        <f>IF($A48="","",IFERROR(INDEX(計算用!$I$2:$I$186,MATCH("男"&amp;$A48&amp;"-4",計算用!$AN$2:$AN$186,0)),""))</f>
        <v/>
      </c>
      <c r="Q48" s="26">
        <f>IF(ROW()-3&lt;=計算用!$Q$11,ROW()-3,"")</f>
        <v/>
      </c>
      <c r="R48" s="26">
        <f>IF($Q48="","",INDEX(計算用!$AC$2:$AC$51,$Q48))</f>
        <v/>
      </c>
      <c r="S48" s="26">
        <f>IF($Q48="","","赤"&amp;INDEX(計算用!$AF$2:$AF$51,$Q48)&amp;"白"&amp;INDEX(計算用!$AG$2:$AG$51,$Q48))</f>
        <v/>
      </c>
      <c r="T48">
        <f>IF($Q48="","",IFERROR(INDEX(計算用!$D$2:$D$186,MATCH("女"&amp;$Q48&amp;"-1",計算用!$AN$2:$AN$186,0)),""))</f>
        <v/>
      </c>
      <c r="U48" s="26">
        <f>IF($Q48="","",IFERROR(INDEX(計算用!$M$2:$M$186,MATCH("女"&amp;$Q48&amp;"-1",計算用!$AN$2:$AN$186,0)),""))</f>
        <v/>
      </c>
      <c r="V48" s="26">
        <f>IF($Q48="","",IFERROR(INDEX(計算用!$I$2:$I$186,MATCH("女"&amp;$Q48&amp;"-1",計算用!$AN$2:$AN$186,0)),""))</f>
        <v/>
      </c>
      <c r="W48">
        <f>IF($Q48="","",IFERROR(INDEX(計算用!$D$2:$D$186,MATCH("女"&amp;$Q48&amp;"-2",計算用!$AN$2:$AN$186,0)),""))</f>
        <v/>
      </c>
      <c r="X48" s="26">
        <f>IF($Q48="","",IFERROR(INDEX(計算用!$M$2:$M$186,MATCH("女"&amp;$Q48&amp;"-2",計算用!$AN$2:$AN$186,0)),""))</f>
        <v/>
      </c>
      <c r="Y48" s="26">
        <f>IF($Q48="","",IFERROR(INDEX(計算用!$I$2:$I$186,MATCH("女"&amp;$Q48&amp;"-2",計算用!$AN$2:$AN$186,0)),""))</f>
        <v/>
      </c>
      <c r="Z48">
        <f>IF($Q48="","",IFERROR(INDEX(計算用!$D$2:$D$186,MATCH("女"&amp;$Q48&amp;"-3",計算用!$AN$2:$AN$186,0)),""))</f>
        <v/>
      </c>
      <c r="AA48" s="26">
        <f>IF($Q48="","",IFERROR(INDEX(計算用!$M$2:$M$186,MATCH("女"&amp;$Q48&amp;"-3",計算用!$AN$2:$AN$186,0)),""))</f>
        <v/>
      </c>
      <c r="AB48" s="26">
        <f>IF($Q48="","",IFERROR(INDEX(計算用!$I$2:$I$186,MATCH("女"&amp;$Q48&amp;"-3",計算用!$AN$2:$AN$186,0)),""))</f>
        <v/>
      </c>
      <c r="AC48">
        <f>IF($Q48="","",IFERROR(INDEX(計算用!$D$2:$D$186,MATCH("女"&amp;$Q48&amp;"-4",計算用!$AN$2:$AN$186,0)),""))</f>
        <v/>
      </c>
      <c r="AD48" s="26">
        <f>IF($Q48="","",IFERROR(INDEX(計算用!$M$2:$M$186,MATCH("女"&amp;$Q48&amp;"-4",計算用!$AN$2:$AN$186,0)),""))</f>
        <v/>
      </c>
      <c r="AE48" s="26">
        <f>IF($Q48="","",IFERROR(INDEX(計算用!$I$2:$I$186,MATCH("女"&amp;$Q48&amp;"-4",計算用!$AN$2:$AN$186,0)),""))</f>
        <v/>
      </c>
    </row>
    <row r="49">
      <c r="A49" s="26">
        <f>IF(ROW()-3&lt;=計算用!$Q$9,ROW()-3,"")</f>
        <v/>
      </c>
      <c r="B49" s="26">
        <f>IF($A49="","",INDEX(計算用!$T$2:$T$51,$A49))</f>
        <v/>
      </c>
      <c r="C49" s="26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6">
        <f>IF($A49="","",IFERROR(INDEX(計算用!$M$2:$M$186,MATCH("男"&amp;$A49&amp;"-1",計算用!$AN$2:$AN$186,0)),""))</f>
        <v/>
      </c>
      <c r="F49" s="26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6">
        <f>IF($A49="","",IFERROR(INDEX(計算用!$M$2:$M$186,MATCH("男"&amp;$A49&amp;"-2",計算用!$AN$2:$AN$186,0)),""))</f>
        <v/>
      </c>
      <c r="I49" s="26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6">
        <f>IF($A49="","",IFERROR(INDEX(計算用!$M$2:$M$186,MATCH("男"&amp;$A49&amp;"-3",計算用!$AN$2:$AN$186,0)),""))</f>
        <v/>
      </c>
      <c r="L49" s="26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6">
        <f>IF($A49="","",IFERROR(INDEX(計算用!$M$2:$M$186,MATCH("男"&amp;$A49&amp;"-4",計算用!$AN$2:$AN$186,0)),""))</f>
        <v/>
      </c>
      <c r="O49" s="26">
        <f>IF($A49="","",IFERROR(INDEX(計算用!$I$2:$I$186,MATCH("男"&amp;$A49&amp;"-4",計算用!$AN$2:$AN$186,0)),""))</f>
        <v/>
      </c>
      <c r="Q49" s="26">
        <f>IF(ROW()-3&lt;=計算用!$Q$11,ROW()-3,"")</f>
        <v/>
      </c>
      <c r="R49" s="26">
        <f>IF($Q49="","",INDEX(計算用!$AC$2:$AC$51,$Q49))</f>
        <v/>
      </c>
      <c r="S49" s="26">
        <f>IF($Q49="","","赤"&amp;INDEX(計算用!$AF$2:$AF$51,$Q49)&amp;"白"&amp;INDEX(計算用!$AG$2:$AG$51,$Q49))</f>
        <v/>
      </c>
      <c r="T49">
        <f>IF($Q49="","",IFERROR(INDEX(計算用!$D$2:$D$186,MATCH("女"&amp;$Q49&amp;"-1",計算用!$AN$2:$AN$186,0)),""))</f>
        <v/>
      </c>
      <c r="U49" s="26">
        <f>IF($Q49="","",IFERROR(INDEX(計算用!$M$2:$M$186,MATCH("女"&amp;$Q49&amp;"-1",計算用!$AN$2:$AN$186,0)),""))</f>
        <v/>
      </c>
      <c r="V49" s="26">
        <f>IF($Q49="","",IFERROR(INDEX(計算用!$I$2:$I$186,MATCH("女"&amp;$Q49&amp;"-1",計算用!$AN$2:$AN$186,0)),""))</f>
        <v/>
      </c>
      <c r="W49">
        <f>IF($Q49="","",IFERROR(INDEX(計算用!$D$2:$D$186,MATCH("女"&amp;$Q49&amp;"-2",計算用!$AN$2:$AN$186,0)),""))</f>
        <v/>
      </c>
      <c r="X49" s="26">
        <f>IF($Q49="","",IFERROR(INDEX(計算用!$M$2:$M$186,MATCH("女"&amp;$Q49&amp;"-2",計算用!$AN$2:$AN$186,0)),""))</f>
        <v/>
      </c>
      <c r="Y49" s="26">
        <f>IF($Q49="","",IFERROR(INDEX(計算用!$I$2:$I$186,MATCH("女"&amp;$Q49&amp;"-2",計算用!$AN$2:$AN$186,0)),""))</f>
        <v/>
      </c>
      <c r="Z49">
        <f>IF($Q49="","",IFERROR(INDEX(計算用!$D$2:$D$186,MATCH("女"&amp;$Q49&amp;"-3",計算用!$AN$2:$AN$186,0)),""))</f>
        <v/>
      </c>
      <c r="AA49" s="26">
        <f>IF($Q49="","",IFERROR(INDEX(計算用!$M$2:$M$186,MATCH("女"&amp;$Q49&amp;"-3",計算用!$AN$2:$AN$186,0)),""))</f>
        <v/>
      </c>
      <c r="AB49" s="26">
        <f>IF($Q49="","",IFERROR(INDEX(計算用!$I$2:$I$186,MATCH("女"&amp;$Q49&amp;"-3",計算用!$AN$2:$AN$186,0)),""))</f>
        <v/>
      </c>
      <c r="AC49">
        <f>IF($Q49="","",IFERROR(INDEX(計算用!$D$2:$D$186,MATCH("女"&amp;$Q49&amp;"-4",計算用!$AN$2:$AN$186,0)),""))</f>
        <v/>
      </c>
      <c r="AD49" s="26">
        <f>IF($Q49="","",IFERROR(INDEX(計算用!$M$2:$M$186,MATCH("女"&amp;$Q49&amp;"-4",計算用!$AN$2:$AN$186,0)),""))</f>
        <v/>
      </c>
      <c r="AE49" s="26">
        <f>IF($Q49="","",IFERROR(INDEX(計算用!$I$2:$I$186,MATCH("女"&amp;$Q49&amp;"-4",計算用!$AN$2:$AN$186,0)),""))</f>
        <v/>
      </c>
    </row>
    <row r="50">
      <c r="A50" s="26">
        <f>IF(ROW()-3&lt;=計算用!$Q$9,ROW()-3,"")</f>
        <v/>
      </c>
      <c r="B50" s="26">
        <f>IF($A50="","",INDEX(計算用!$T$2:$T$51,$A50))</f>
        <v/>
      </c>
      <c r="C50" s="26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6">
        <f>IF($A50="","",IFERROR(INDEX(計算用!$M$2:$M$186,MATCH("男"&amp;$A50&amp;"-1",計算用!$AN$2:$AN$186,0)),""))</f>
        <v/>
      </c>
      <c r="F50" s="26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6">
        <f>IF($A50="","",IFERROR(INDEX(計算用!$M$2:$M$186,MATCH("男"&amp;$A50&amp;"-2",計算用!$AN$2:$AN$186,0)),""))</f>
        <v/>
      </c>
      <c r="I50" s="26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6">
        <f>IF($A50="","",IFERROR(INDEX(計算用!$M$2:$M$186,MATCH("男"&amp;$A50&amp;"-3",計算用!$AN$2:$AN$186,0)),""))</f>
        <v/>
      </c>
      <c r="L50" s="26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6">
        <f>IF($A50="","",IFERROR(INDEX(計算用!$M$2:$M$186,MATCH("男"&amp;$A50&amp;"-4",計算用!$AN$2:$AN$186,0)),""))</f>
        <v/>
      </c>
      <c r="O50" s="26">
        <f>IF($A50="","",IFERROR(INDEX(計算用!$I$2:$I$186,MATCH("男"&amp;$A50&amp;"-4",計算用!$AN$2:$AN$186,0)),""))</f>
        <v/>
      </c>
      <c r="Q50" s="26">
        <f>IF(ROW()-3&lt;=計算用!$Q$11,ROW()-3,"")</f>
        <v/>
      </c>
      <c r="R50" s="26">
        <f>IF($Q50="","",INDEX(計算用!$AC$2:$AC$51,$Q50))</f>
        <v/>
      </c>
      <c r="S50" s="26">
        <f>IF($Q50="","","赤"&amp;INDEX(計算用!$AF$2:$AF$51,$Q50)&amp;"白"&amp;INDEX(計算用!$AG$2:$AG$51,$Q50))</f>
        <v/>
      </c>
      <c r="T50">
        <f>IF($Q50="","",IFERROR(INDEX(計算用!$D$2:$D$186,MATCH("女"&amp;$Q50&amp;"-1",計算用!$AN$2:$AN$186,0)),""))</f>
        <v/>
      </c>
      <c r="U50" s="26">
        <f>IF($Q50="","",IFERROR(INDEX(計算用!$M$2:$M$186,MATCH("女"&amp;$Q50&amp;"-1",計算用!$AN$2:$AN$186,0)),""))</f>
        <v/>
      </c>
      <c r="V50" s="26">
        <f>IF($Q50="","",IFERROR(INDEX(計算用!$I$2:$I$186,MATCH("女"&amp;$Q50&amp;"-1",計算用!$AN$2:$AN$186,0)),""))</f>
        <v/>
      </c>
      <c r="W50">
        <f>IF($Q50="","",IFERROR(INDEX(計算用!$D$2:$D$186,MATCH("女"&amp;$Q50&amp;"-2",計算用!$AN$2:$AN$186,0)),""))</f>
        <v/>
      </c>
      <c r="X50" s="26">
        <f>IF($Q50="","",IFERROR(INDEX(計算用!$M$2:$M$186,MATCH("女"&amp;$Q50&amp;"-2",計算用!$AN$2:$AN$186,0)),""))</f>
        <v/>
      </c>
      <c r="Y50" s="26">
        <f>IF($Q50="","",IFERROR(INDEX(計算用!$I$2:$I$186,MATCH("女"&amp;$Q50&amp;"-2",計算用!$AN$2:$AN$186,0)),""))</f>
        <v/>
      </c>
      <c r="Z50">
        <f>IF($Q50="","",IFERROR(INDEX(計算用!$D$2:$D$186,MATCH("女"&amp;$Q50&amp;"-3",計算用!$AN$2:$AN$186,0)),""))</f>
        <v/>
      </c>
      <c r="AA50" s="26">
        <f>IF($Q50="","",IFERROR(INDEX(計算用!$M$2:$M$186,MATCH("女"&amp;$Q50&amp;"-3",計算用!$AN$2:$AN$186,0)),""))</f>
        <v/>
      </c>
      <c r="AB50" s="26">
        <f>IF($Q50="","",IFERROR(INDEX(計算用!$I$2:$I$186,MATCH("女"&amp;$Q50&amp;"-3",計算用!$AN$2:$AN$186,0)),""))</f>
        <v/>
      </c>
      <c r="AC50">
        <f>IF($Q50="","",IFERROR(INDEX(計算用!$D$2:$D$186,MATCH("女"&amp;$Q50&amp;"-4",計算用!$AN$2:$AN$186,0)),""))</f>
        <v/>
      </c>
      <c r="AD50" s="26">
        <f>IF($Q50="","",IFERROR(INDEX(計算用!$M$2:$M$186,MATCH("女"&amp;$Q50&amp;"-4",計算用!$AN$2:$AN$186,0)),""))</f>
        <v/>
      </c>
      <c r="AE50" s="26">
        <f>IF($Q50="","",IFERROR(INDEX(計算用!$I$2:$I$186,MATCH("女"&amp;$Q50&amp;"-4",計算用!$AN$2:$AN$186,0)),""))</f>
        <v/>
      </c>
    </row>
    <row r="51">
      <c r="A51" s="26">
        <f>IF(ROW()-3&lt;=計算用!$Q$9,ROW()-3,"")</f>
        <v/>
      </c>
      <c r="B51" s="26">
        <f>IF($A51="","",INDEX(計算用!$T$2:$T$51,$A51))</f>
        <v/>
      </c>
      <c r="C51" s="26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6">
        <f>IF($A51="","",IFERROR(INDEX(計算用!$M$2:$M$186,MATCH("男"&amp;$A51&amp;"-1",計算用!$AN$2:$AN$186,0)),""))</f>
        <v/>
      </c>
      <c r="F51" s="26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6">
        <f>IF($A51="","",IFERROR(INDEX(計算用!$M$2:$M$186,MATCH("男"&amp;$A51&amp;"-2",計算用!$AN$2:$AN$186,0)),""))</f>
        <v/>
      </c>
      <c r="I51" s="26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6">
        <f>IF($A51="","",IFERROR(INDEX(計算用!$M$2:$M$186,MATCH("男"&amp;$A51&amp;"-3",計算用!$AN$2:$AN$186,0)),""))</f>
        <v/>
      </c>
      <c r="L51" s="26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6">
        <f>IF($A51="","",IFERROR(INDEX(計算用!$M$2:$M$186,MATCH("男"&amp;$A51&amp;"-4",計算用!$AN$2:$AN$186,0)),""))</f>
        <v/>
      </c>
      <c r="O51" s="26">
        <f>IF($A51="","",IFERROR(INDEX(計算用!$I$2:$I$186,MATCH("男"&amp;$A51&amp;"-4",計算用!$AN$2:$AN$186,0)),""))</f>
        <v/>
      </c>
      <c r="Q51" s="26">
        <f>IF(ROW()-3&lt;=計算用!$Q$11,ROW()-3,"")</f>
        <v/>
      </c>
      <c r="R51" s="26">
        <f>IF($Q51="","",INDEX(計算用!$AC$2:$AC$51,$Q51))</f>
        <v/>
      </c>
      <c r="S51" s="26">
        <f>IF($Q51="","","赤"&amp;INDEX(計算用!$AF$2:$AF$51,$Q51)&amp;"白"&amp;INDEX(計算用!$AG$2:$AG$51,$Q51))</f>
        <v/>
      </c>
      <c r="T51">
        <f>IF($Q51="","",IFERROR(INDEX(計算用!$D$2:$D$186,MATCH("女"&amp;$Q51&amp;"-1",計算用!$AN$2:$AN$186,0)),""))</f>
        <v/>
      </c>
      <c r="U51" s="26">
        <f>IF($Q51="","",IFERROR(INDEX(計算用!$M$2:$M$186,MATCH("女"&amp;$Q51&amp;"-1",計算用!$AN$2:$AN$186,0)),""))</f>
        <v/>
      </c>
      <c r="V51" s="26">
        <f>IF($Q51="","",IFERROR(INDEX(計算用!$I$2:$I$186,MATCH("女"&amp;$Q51&amp;"-1",計算用!$AN$2:$AN$186,0)),""))</f>
        <v/>
      </c>
      <c r="W51">
        <f>IF($Q51="","",IFERROR(INDEX(計算用!$D$2:$D$186,MATCH("女"&amp;$Q51&amp;"-2",計算用!$AN$2:$AN$186,0)),""))</f>
        <v/>
      </c>
      <c r="X51" s="26">
        <f>IF($Q51="","",IFERROR(INDEX(計算用!$M$2:$M$186,MATCH("女"&amp;$Q51&amp;"-2",計算用!$AN$2:$AN$186,0)),""))</f>
        <v/>
      </c>
      <c r="Y51" s="26">
        <f>IF($Q51="","",IFERROR(INDEX(計算用!$I$2:$I$186,MATCH("女"&amp;$Q51&amp;"-2",計算用!$AN$2:$AN$186,0)),""))</f>
        <v/>
      </c>
      <c r="Z51">
        <f>IF($Q51="","",IFERROR(INDEX(計算用!$D$2:$D$186,MATCH("女"&amp;$Q51&amp;"-3",計算用!$AN$2:$AN$186,0)),""))</f>
        <v/>
      </c>
      <c r="AA51" s="26">
        <f>IF($Q51="","",IFERROR(INDEX(計算用!$M$2:$M$186,MATCH("女"&amp;$Q51&amp;"-3",計算用!$AN$2:$AN$186,0)),""))</f>
        <v/>
      </c>
      <c r="AB51" s="26">
        <f>IF($Q51="","",IFERROR(INDEX(計算用!$I$2:$I$186,MATCH("女"&amp;$Q51&amp;"-3",計算用!$AN$2:$AN$186,0)),""))</f>
        <v/>
      </c>
      <c r="AC51">
        <f>IF($Q51="","",IFERROR(INDEX(計算用!$D$2:$D$186,MATCH("女"&amp;$Q51&amp;"-4",計算用!$AN$2:$AN$186,0)),""))</f>
        <v/>
      </c>
      <c r="AD51" s="26">
        <f>IF($Q51="","",IFERROR(INDEX(計算用!$M$2:$M$186,MATCH("女"&amp;$Q51&amp;"-4",計算用!$AN$2:$AN$186,0)),""))</f>
        <v/>
      </c>
      <c r="AE51" s="26">
        <f>IF($Q51="","",IFERROR(INDEX(計算用!$I$2:$I$186,MATCH("女"&amp;$Q51&amp;"-4",計算用!$AN$2:$AN$186,0)),""))</f>
        <v/>
      </c>
    </row>
    <row r="52">
      <c r="A52" s="26">
        <f>IF(ROW()-3&lt;=計算用!$Q$9,ROW()-3,"")</f>
        <v/>
      </c>
      <c r="B52" s="26">
        <f>IF($A52="","",INDEX(計算用!$T$2:$T$51,$A52))</f>
        <v/>
      </c>
      <c r="C52" s="26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6">
        <f>IF($A52="","",IFERROR(INDEX(計算用!$M$2:$M$186,MATCH("男"&amp;$A52&amp;"-1",計算用!$AN$2:$AN$186,0)),""))</f>
        <v/>
      </c>
      <c r="F52" s="26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6">
        <f>IF($A52="","",IFERROR(INDEX(計算用!$M$2:$M$186,MATCH("男"&amp;$A52&amp;"-2",計算用!$AN$2:$AN$186,0)),""))</f>
        <v/>
      </c>
      <c r="I52" s="26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6">
        <f>IF($A52="","",IFERROR(INDEX(計算用!$M$2:$M$186,MATCH("男"&amp;$A52&amp;"-3",計算用!$AN$2:$AN$186,0)),""))</f>
        <v/>
      </c>
      <c r="L52" s="26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6">
        <f>IF($A52="","",IFERROR(INDEX(計算用!$M$2:$M$186,MATCH("男"&amp;$A52&amp;"-4",計算用!$AN$2:$AN$186,0)),""))</f>
        <v/>
      </c>
      <c r="O52" s="26">
        <f>IF($A52="","",IFERROR(INDEX(計算用!$I$2:$I$186,MATCH("男"&amp;$A52&amp;"-4",計算用!$AN$2:$AN$186,0)),""))</f>
        <v/>
      </c>
      <c r="Q52" s="26">
        <f>IF(ROW()-3&lt;=計算用!$Q$11,ROW()-3,"")</f>
        <v/>
      </c>
      <c r="R52" s="26">
        <f>IF($Q52="","",INDEX(計算用!$AC$2:$AC$51,$Q52))</f>
        <v/>
      </c>
      <c r="S52" s="26">
        <f>IF($Q52="","","赤"&amp;INDEX(計算用!$AF$2:$AF$51,$Q52)&amp;"白"&amp;INDEX(計算用!$AG$2:$AG$51,$Q52))</f>
        <v/>
      </c>
      <c r="T52">
        <f>IF($Q52="","",IFERROR(INDEX(計算用!$D$2:$D$186,MATCH("女"&amp;$Q52&amp;"-1",計算用!$AN$2:$AN$186,0)),""))</f>
        <v/>
      </c>
      <c r="U52" s="26">
        <f>IF($Q52="","",IFERROR(INDEX(計算用!$M$2:$M$186,MATCH("女"&amp;$Q52&amp;"-1",計算用!$AN$2:$AN$186,0)),""))</f>
        <v/>
      </c>
      <c r="V52" s="26">
        <f>IF($Q52="","",IFERROR(INDEX(計算用!$I$2:$I$186,MATCH("女"&amp;$Q52&amp;"-1",計算用!$AN$2:$AN$186,0)),""))</f>
        <v/>
      </c>
      <c r="W52">
        <f>IF($Q52="","",IFERROR(INDEX(計算用!$D$2:$D$186,MATCH("女"&amp;$Q52&amp;"-2",計算用!$AN$2:$AN$186,0)),""))</f>
        <v/>
      </c>
      <c r="X52" s="26">
        <f>IF($Q52="","",IFERROR(INDEX(計算用!$M$2:$M$186,MATCH("女"&amp;$Q52&amp;"-2",計算用!$AN$2:$AN$186,0)),""))</f>
        <v/>
      </c>
      <c r="Y52" s="26">
        <f>IF($Q52="","",IFERROR(INDEX(計算用!$I$2:$I$186,MATCH("女"&amp;$Q52&amp;"-2",計算用!$AN$2:$AN$186,0)),""))</f>
        <v/>
      </c>
      <c r="Z52">
        <f>IF($Q52="","",IFERROR(INDEX(計算用!$D$2:$D$186,MATCH("女"&amp;$Q52&amp;"-3",計算用!$AN$2:$AN$186,0)),""))</f>
        <v/>
      </c>
      <c r="AA52" s="26">
        <f>IF($Q52="","",IFERROR(INDEX(計算用!$M$2:$M$186,MATCH("女"&amp;$Q52&amp;"-3",計算用!$AN$2:$AN$186,0)),""))</f>
        <v/>
      </c>
      <c r="AB52" s="26">
        <f>IF($Q52="","",IFERROR(INDEX(計算用!$I$2:$I$186,MATCH("女"&amp;$Q52&amp;"-3",計算用!$AN$2:$AN$186,0)),""))</f>
        <v/>
      </c>
      <c r="AC52">
        <f>IF($Q52="","",IFERROR(INDEX(計算用!$D$2:$D$186,MATCH("女"&amp;$Q52&amp;"-4",計算用!$AN$2:$AN$186,0)),""))</f>
        <v/>
      </c>
      <c r="AD52" s="26">
        <f>IF($Q52="","",IFERROR(INDEX(計算用!$M$2:$M$186,MATCH("女"&amp;$Q52&amp;"-4",計算用!$AN$2:$AN$186,0)),""))</f>
        <v/>
      </c>
      <c r="AE52" s="26">
        <f>IF($Q52="","",IFERROR(INDEX(計算用!$I$2:$I$186,MATCH("女"&amp;$Q52&amp;"-4",計算用!$AN$2:$AN$186,0)),""))</f>
        <v/>
      </c>
    </row>
    <row r="53">
      <c r="A53" s="26">
        <f>IF(ROW()-3&lt;=計算用!$Q$9,ROW()-3,"")</f>
        <v/>
      </c>
      <c r="B53" s="26">
        <f>IF($A53="","",INDEX(計算用!$T$2:$T$51,$A53))</f>
        <v/>
      </c>
      <c r="C53" s="26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6">
        <f>IF($A53="","",IFERROR(INDEX(計算用!$M$2:$M$186,MATCH("男"&amp;$A53&amp;"-1",計算用!$AN$2:$AN$186,0)),""))</f>
        <v/>
      </c>
      <c r="F53" s="26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6">
        <f>IF($A53="","",IFERROR(INDEX(計算用!$M$2:$M$186,MATCH("男"&amp;$A53&amp;"-2",計算用!$AN$2:$AN$186,0)),""))</f>
        <v/>
      </c>
      <c r="I53" s="26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6">
        <f>IF($A53="","",IFERROR(INDEX(計算用!$M$2:$M$186,MATCH("男"&amp;$A53&amp;"-3",計算用!$AN$2:$AN$186,0)),""))</f>
        <v/>
      </c>
      <c r="L53" s="26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6">
        <f>IF($A53="","",IFERROR(INDEX(計算用!$M$2:$M$186,MATCH("男"&amp;$A53&amp;"-4",計算用!$AN$2:$AN$186,0)),""))</f>
        <v/>
      </c>
      <c r="O53" s="26">
        <f>IF($A53="","",IFERROR(INDEX(計算用!$I$2:$I$186,MATCH("男"&amp;$A53&amp;"-4",計算用!$AN$2:$AN$186,0)),""))</f>
        <v/>
      </c>
      <c r="Q53" s="26">
        <f>IF(ROW()-3&lt;=計算用!$Q$11,ROW()-3,"")</f>
        <v/>
      </c>
      <c r="R53" s="26">
        <f>IF($Q53="","",INDEX(計算用!$AC$2:$AC$51,$Q53))</f>
        <v/>
      </c>
      <c r="S53" s="26">
        <f>IF($Q53="","","赤"&amp;INDEX(計算用!$AF$2:$AF$51,$Q53)&amp;"白"&amp;INDEX(計算用!$AG$2:$AG$51,$Q53))</f>
        <v/>
      </c>
      <c r="T53">
        <f>IF($Q53="","",IFERROR(INDEX(計算用!$D$2:$D$186,MATCH("女"&amp;$Q53&amp;"-1",計算用!$AN$2:$AN$186,0)),""))</f>
        <v/>
      </c>
      <c r="U53" s="26">
        <f>IF($Q53="","",IFERROR(INDEX(計算用!$M$2:$M$186,MATCH("女"&amp;$Q53&amp;"-1",計算用!$AN$2:$AN$186,0)),""))</f>
        <v/>
      </c>
      <c r="V53" s="26">
        <f>IF($Q53="","",IFERROR(INDEX(計算用!$I$2:$I$186,MATCH("女"&amp;$Q53&amp;"-1",計算用!$AN$2:$AN$186,0)),""))</f>
        <v/>
      </c>
      <c r="W53">
        <f>IF($Q53="","",IFERROR(INDEX(計算用!$D$2:$D$186,MATCH("女"&amp;$Q53&amp;"-2",計算用!$AN$2:$AN$186,0)),""))</f>
        <v/>
      </c>
      <c r="X53" s="26">
        <f>IF($Q53="","",IFERROR(INDEX(計算用!$M$2:$M$186,MATCH("女"&amp;$Q53&amp;"-2",計算用!$AN$2:$AN$186,0)),""))</f>
        <v/>
      </c>
      <c r="Y53" s="26">
        <f>IF($Q53="","",IFERROR(INDEX(計算用!$I$2:$I$186,MATCH("女"&amp;$Q53&amp;"-2",計算用!$AN$2:$AN$186,0)),""))</f>
        <v/>
      </c>
      <c r="Z53">
        <f>IF($Q53="","",IFERROR(INDEX(計算用!$D$2:$D$186,MATCH("女"&amp;$Q53&amp;"-3",計算用!$AN$2:$AN$186,0)),""))</f>
        <v/>
      </c>
      <c r="AA53" s="26">
        <f>IF($Q53="","",IFERROR(INDEX(計算用!$M$2:$M$186,MATCH("女"&amp;$Q53&amp;"-3",計算用!$AN$2:$AN$186,0)),""))</f>
        <v/>
      </c>
      <c r="AB53" s="26">
        <f>IF($Q53="","",IFERROR(INDEX(計算用!$I$2:$I$186,MATCH("女"&amp;$Q53&amp;"-3",計算用!$AN$2:$AN$186,0)),""))</f>
        <v/>
      </c>
      <c r="AC53">
        <f>IF($Q53="","",IFERROR(INDEX(計算用!$D$2:$D$186,MATCH("女"&amp;$Q53&amp;"-4",計算用!$AN$2:$AN$186,0)),""))</f>
        <v/>
      </c>
      <c r="AD53" s="26">
        <f>IF($Q53="","",IFERROR(INDEX(計算用!$M$2:$M$186,MATCH("女"&amp;$Q53&amp;"-4",計算用!$AN$2:$AN$186,0)),""))</f>
        <v/>
      </c>
      <c r="AE53" s="26">
        <f>IF($Q53="","",IFERROR(INDEX(計算用!$I$2:$I$186,MATCH("女"&amp;$Q53&amp;"-4",計算用!$AN$2:$AN$186,0)),""))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8" stopIfTrue="0">
      <formula>AND($A4&lt;&gt;"",OR($B4&lt;&gt;4,$C4&lt;&gt;"赤2白2"))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A4:O53">
    <cfRule type="expression" priority="6" dxfId="10">
      <formula>$A4&lt;&gt;""</formula>
    </cfRule>
  </conditionalFormatting>
  <conditionalFormatting sqref="Q4:S53">
    <cfRule type="expression" priority="7" dxfId="8" stopIfTrue="0">
      <formula>AND($Q4&lt;&gt;"",OR($R4&lt;&gt;4,$S4&lt;&gt;"赤2白2"))</formula>
    </cfRule>
  </conditionalFormatting>
  <conditionalFormatting sqref="V4:V53">
    <cfRule type="expression" priority="8" dxfId="9">
      <formula>V4="赤"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Q4:AE53">
    <cfRule type="expression" priority="12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8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11" min="1" max="1"/>
    <col width="5" customWidth="1" style="11" min="2" max="2"/>
    <col width="14" customWidth="1" style="11" min="3" max="3"/>
    <col width="5" customWidth="1" style="11" min="4" max="4"/>
    <col width="5" customWidth="1" style="11" min="5" max="5"/>
    <col width="7" customWidth="1" style="11" min="6" max="6"/>
    <col width="7" customWidth="1" style="11" min="7" max="7"/>
    <col width="7" customWidth="1" style="11" min="8" max="8"/>
    <col width="9" customWidth="1" style="11" min="9" max="9"/>
    <col width="7" customWidth="1" style="11" min="10" max="10"/>
    <col width="7" customWidth="1" style="11" min="11" max="11"/>
    <col width="7" customWidth="1" style="11" min="12" max="12"/>
    <col width="26" customWidth="1" style="11" min="13" max="13"/>
  </cols>
  <sheetData>
    <row r="1" ht="42" customHeight="1" s="11">
      <c r="A1" s="27" t="inlineStr">
        <is>
          <t>手動調整</t>
        </is>
      </c>
      <c r="C1" s="28" t="inlineStr">
        <is>
          <t>組を変えたい子だけ、「変更後の組」に組の番号を入れてください。「何人目」は組の中で並べたい順番です（空いていれば自動の順番）。結果は「決定版」シートに出ます。※このシートは並べかえないでください。</t>
        </is>
      </c>
    </row>
    <row r="2">
      <c r="C2" s="23">
        <f>"男子：自動 "&amp;計算用!$Q$9&amp;"組 → 決定版 "&amp;計算用!$Q$13&amp;"組"&amp;IF(SUMPRODUCT((計算用!$BB$2:$BB$51&gt;4)*1)&gt;0,"　5人以上の組 "&amp;SUMPRODUCT((計算用!$BB$2:$BB$51&gt;4)*1)&amp;"つ","")&amp;IF(SUMPRODUCT((計算用!$BA$2:$BA$51&lt;=計算用!$Q$13)*(計算用!$BB$2:$BB$51=0))&gt;0,"　だれもいない組 "&amp;SUMPRODUCT((計算用!$BA$2:$BA$51&lt;=計算用!$Q$13)*(計算用!$BB$2:$BB$51=0))&amp;"つ","")</f>
        <v/>
      </c>
      <c r="I2" s="23">
        <f>"女子：自動 "&amp;計算用!$Q$11&amp;"組 → 決定版 "&amp;計算用!$Q$14&amp;"組"&amp;IF(SUMPRODUCT((計算用!$BG$2:$BG$51&gt;4)*1)&gt;0,"　5人以上の組 "&amp;SUMPRODUCT((計算用!$BG$2:$BG$51&gt;4)*1)&amp;"つ","")&amp;IF(SUMPRODUCT((計算用!$BF$2:$BF$51&lt;=計算用!$Q$14)*(計算用!$BG$2:$BG$51=0))&gt;0,"　だれもいない組 "&amp;SUMPRODUCT((計算用!$BF$2:$BF$51&lt;=計算用!$Q$14)*(計算用!$BG$2:$BG$51=0))&amp;"つ","")</f>
        <v/>
      </c>
    </row>
    <row r="3" ht="30" customHeight="1" s="11">
      <c r="A3" s="29" t="inlineStr">
        <is>
          <t>クラス</t>
        </is>
      </c>
      <c r="B3" s="29" t="inlineStr">
        <is>
          <t>No.</t>
        </is>
      </c>
      <c r="C3" s="29" t="inlineStr">
        <is>
          <t>名前</t>
        </is>
      </c>
      <c r="D3" s="29" t="inlineStr">
        <is>
          <t>性別</t>
        </is>
      </c>
      <c r="E3" s="29" t="inlineStr">
        <is>
          <t>色</t>
        </is>
      </c>
      <c r="F3" s="29" t="inlineStr">
        <is>
          <t>タイム</t>
        </is>
      </c>
      <c r="G3" s="29" t="inlineStr">
        <is>
          <t>自動の組</t>
        </is>
      </c>
      <c r="H3" s="29" t="inlineStr">
        <is>
          <t>自動の
何人目</t>
        </is>
      </c>
      <c r="I3" s="30" t="inlineStr">
        <is>
          <t>変更後の組</t>
        </is>
      </c>
      <c r="J3" s="30" t="inlineStr">
        <is>
          <t>何人目</t>
        </is>
      </c>
      <c r="K3" s="29" t="inlineStr">
        <is>
          <t>決定の組</t>
        </is>
      </c>
      <c r="L3" s="29" t="inlineStr">
        <is>
          <t>決定の
何人目</t>
        </is>
      </c>
      <c r="M3" s="29" t="inlineStr">
        <is>
          <t>確認</t>
        </is>
      </c>
    </row>
    <row r="4">
      <c r="A4" s="26">
        <f>IF(計算用!$D$2="","",計算用!$M$2)</f>
        <v/>
      </c>
      <c r="B4" s="26">
        <f>IF(計算用!$D$2="","",計算用!$C$2)</f>
        <v/>
      </c>
      <c r="C4">
        <f>IF(計算用!$D$2="","",計算用!$D$2)</f>
        <v/>
      </c>
      <c r="D4" s="26">
        <f>IF(計算用!$D$2="","",計算用!$F$2)</f>
        <v/>
      </c>
      <c r="E4" s="26">
        <f>IF(計算用!$D$2="","",計算用!$I$2)</f>
        <v/>
      </c>
      <c r="F4" s="31">
        <f>IF(計算用!$D$2="","",計算用!$G$2)</f>
        <v/>
      </c>
      <c r="G4" s="26">
        <f>IF(計算用!$D$2="","",計算用!$AK$2)</f>
        <v/>
      </c>
      <c r="H4" s="26">
        <f>IF(計算用!$D$2="","",計算用!$AM$2)</f>
        <v/>
      </c>
      <c r="I4" s="26" t="n"/>
      <c r="J4" s="26" t="n"/>
      <c r="K4" s="26">
        <f>IF(計算用!$D$2="","",計算用!$AP$2)</f>
        <v/>
      </c>
      <c r="L4" s="26">
        <f>IF(計算用!$D$2="","",計算用!$AR$2)</f>
        <v/>
      </c>
      <c r="M4">
        <f>IF(計算用!$D$2="",IF(OR(I4&lt;&gt;"",J4&lt;&gt;""),"名前がありません",""),IF(計算用!$J$2="",IF(OR(I4&lt;&gt;"",J4&lt;&gt;""),"入力不足のため組に入りません","入力不足"),IF(AND(I4&lt;&gt;"",I4&lt;&gt;G4),"組を変更",IF(J4&lt;&gt;"","順番を指定",""))))</f>
        <v/>
      </c>
    </row>
    <row r="5">
      <c r="A5" s="26">
        <f>IF(計算用!$D$3="","",計算用!$M$3)</f>
        <v/>
      </c>
      <c r="B5" s="26">
        <f>IF(計算用!$D$3="","",計算用!$C$3)</f>
        <v/>
      </c>
      <c r="C5">
        <f>IF(計算用!$D$3="","",計算用!$D$3)</f>
        <v/>
      </c>
      <c r="D5" s="26">
        <f>IF(計算用!$D$3="","",計算用!$F$3)</f>
        <v/>
      </c>
      <c r="E5" s="26">
        <f>IF(計算用!$D$3="","",計算用!$I$3)</f>
        <v/>
      </c>
      <c r="F5" s="31">
        <f>IF(計算用!$D$3="","",計算用!$G$3)</f>
        <v/>
      </c>
      <c r="G5" s="26">
        <f>IF(計算用!$D$3="","",計算用!$AK$3)</f>
        <v/>
      </c>
      <c r="H5" s="26">
        <f>IF(計算用!$D$3="","",計算用!$AM$3)</f>
        <v/>
      </c>
      <c r="I5" s="26" t="n"/>
      <c r="J5" s="26" t="n"/>
      <c r="K5" s="26">
        <f>IF(計算用!$D$3="","",計算用!$AP$3)</f>
        <v/>
      </c>
      <c r="L5" s="26">
        <f>IF(計算用!$D$3="","",計算用!$AR$3)</f>
        <v/>
      </c>
      <c r="M5">
        <f>IF(計算用!$D$3="",IF(OR(I5&lt;&gt;"",J5&lt;&gt;""),"名前がありません",""),IF(計算用!$J$3="",IF(OR(I5&lt;&gt;"",J5&lt;&gt;""),"入力不足のため組に入りません","入力不足"),IF(AND(I5&lt;&gt;"",I5&lt;&gt;G5),"組を変更",IF(J5&lt;&gt;"","順番を指定",""))))</f>
        <v/>
      </c>
    </row>
    <row r="6">
      <c r="A6" s="26">
        <f>IF(計算用!$D$4="","",計算用!$M$4)</f>
        <v/>
      </c>
      <c r="B6" s="26">
        <f>IF(計算用!$D$4="","",計算用!$C$4)</f>
        <v/>
      </c>
      <c r="C6">
        <f>IF(計算用!$D$4="","",計算用!$D$4)</f>
        <v/>
      </c>
      <c r="D6" s="26">
        <f>IF(計算用!$D$4="","",計算用!$F$4)</f>
        <v/>
      </c>
      <c r="E6" s="26">
        <f>IF(計算用!$D$4="","",計算用!$I$4)</f>
        <v/>
      </c>
      <c r="F6" s="31">
        <f>IF(計算用!$D$4="","",計算用!$G$4)</f>
        <v/>
      </c>
      <c r="G6" s="26">
        <f>IF(計算用!$D$4="","",計算用!$AK$4)</f>
        <v/>
      </c>
      <c r="H6" s="26">
        <f>IF(計算用!$D$4="","",計算用!$AM$4)</f>
        <v/>
      </c>
      <c r="I6" s="26" t="n"/>
      <c r="J6" s="26" t="n"/>
      <c r="K6" s="26">
        <f>IF(計算用!$D$4="","",計算用!$AP$4)</f>
        <v/>
      </c>
      <c r="L6" s="26">
        <f>IF(計算用!$D$4="","",計算用!$AR$4)</f>
        <v/>
      </c>
      <c r="M6">
        <f>IF(計算用!$D$4="",IF(OR(I6&lt;&gt;"",J6&lt;&gt;""),"名前がありません",""),IF(計算用!$J$4="",IF(OR(I6&lt;&gt;"",J6&lt;&gt;""),"入力不足のため組に入りません","入力不足"),IF(AND(I6&lt;&gt;"",I6&lt;&gt;G6),"組を変更",IF(J6&lt;&gt;"","順番を指定",""))))</f>
        <v/>
      </c>
    </row>
    <row r="7">
      <c r="A7" s="26">
        <f>IF(計算用!$D$5="","",計算用!$M$5)</f>
        <v/>
      </c>
      <c r="B7" s="26">
        <f>IF(計算用!$D$5="","",計算用!$C$5)</f>
        <v/>
      </c>
      <c r="C7">
        <f>IF(計算用!$D$5="","",計算用!$D$5)</f>
        <v/>
      </c>
      <c r="D7" s="26">
        <f>IF(計算用!$D$5="","",計算用!$F$5)</f>
        <v/>
      </c>
      <c r="E7" s="26">
        <f>IF(計算用!$D$5="","",計算用!$I$5)</f>
        <v/>
      </c>
      <c r="F7" s="31">
        <f>IF(計算用!$D$5="","",計算用!$G$5)</f>
        <v/>
      </c>
      <c r="G7" s="26">
        <f>IF(計算用!$D$5="","",計算用!$AK$5)</f>
        <v/>
      </c>
      <c r="H7" s="26">
        <f>IF(計算用!$D$5="","",計算用!$AM$5)</f>
        <v/>
      </c>
      <c r="I7" s="26" t="n"/>
      <c r="J7" s="26" t="n"/>
      <c r="K7" s="26">
        <f>IF(計算用!$D$5="","",計算用!$AP$5)</f>
        <v/>
      </c>
      <c r="L7" s="26">
        <f>IF(計算用!$D$5="","",計算用!$AR$5)</f>
        <v/>
      </c>
      <c r="M7">
        <f>IF(計算用!$D$5="",IF(OR(I7&lt;&gt;"",J7&lt;&gt;""),"名前がありません",""),IF(計算用!$J$5="",IF(OR(I7&lt;&gt;"",J7&lt;&gt;""),"入力不足のため組に入りません","入力不足"),IF(AND(I7&lt;&gt;"",I7&lt;&gt;G7),"組を変更",IF(J7&lt;&gt;"","順番を指定",""))))</f>
        <v/>
      </c>
    </row>
    <row r="8">
      <c r="A8" s="26">
        <f>IF(計算用!$D$6="","",計算用!$M$6)</f>
        <v/>
      </c>
      <c r="B8" s="26">
        <f>IF(計算用!$D$6="","",計算用!$C$6)</f>
        <v/>
      </c>
      <c r="C8">
        <f>IF(計算用!$D$6="","",計算用!$D$6)</f>
        <v/>
      </c>
      <c r="D8" s="26">
        <f>IF(計算用!$D$6="","",計算用!$F$6)</f>
        <v/>
      </c>
      <c r="E8" s="26">
        <f>IF(計算用!$D$6="","",計算用!$I$6)</f>
        <v/>
      </c>
      <c r="F8" s="31">
        <f>IF(計算用!$D$6="","",計算用!$G$6)</f>
        <v/>
      </c>
      <c r="G8" s="26">
        <f>IF(計算用!$D$6="","",計算用!$AK$6)</f>
        <v/>
      </c>
      <c r="H8" s="26">
        <f>IF(計算用!$D$6="","",計算用!$AM$6)</f>
        <v/>
      </c>
      <c r="I8" s="26" t="n"/>
      <c r="J8" s="26" t="n"/>
      <c r="K8" s="26">
        <f>IF(計算用!$D$6="","",計算用!$AP$6)</f>
        <v/>
      </c>
      <c r="L8" s="26">
        <f>IF(計算用!$D$6="","",計算用!$AR$6)</f>
        <v/>
      </c>
      <c r="M8">
        <f>IF(計算用!$D$6="",IF(OR(I8&lt;&gt;"",J8&lt;&gt;""),"名前がありません",""),IF(計算用!$J$6="",IF(OR(I8&lt;&gt;"",J8&lt;&gt;""),"入力不足のため組に入りません","入力不足"),IF(AND(I8&lt;&gt;"",I8&lt;&gt;G8),"組を変更",IF(J8&lt;&gt;"","順番を指定",""))))</f>
        <v/>
      </c>
    </row>
    <row r="9">
      <c r="A9" s="26">
        <f>IF(計算用!$D$7="","",計算用!$M$7)</f>
        <v/>
      </c>
      <c r="B9" s="26">
        <f>IF(計算用!$D$7="","",計算用!$C$7)</f>
        <v/>
      </c>
      <c r="C9">
        <f>IF(計算用!$D$7="","",計算用!$D$7)</f>
        <v/>
      </c>
      <c r="D9" s="26">
        <f>IF(計算用!$D$7="","",計算用!$F$7)</f>
        <v/>
      </c>
      <c r="E9" s="26">
        <f>IF(計算用!$D$7="","",計算用!$I$7)</f>
        <v/>
      </c>
      <c r="F9" s="31">
        <f>IF(計算用!$D$7="","",計算用!$G$7)</f>
        <v/>
      </c>
      <c r="G9" s="26">
        <f>IF(計算用!$D$7="","",計算用!$AK$7)</f>
        <v/>
      </c>
      <c r="H9" s="26">
        <f>IF(計算用!$D$7="","",計算用!$AM$7)</f>
        <v/>
      </c>
      <c r="I9" s="26" t="n"/>
      <c r="J9" s="26" t="n"/>
      <c r="K9" s="26">
        <f>IF(計算用!$D$7="","",計算用!$AP$7)</f>
        <v/>
      </c>
      <c r="L9" s="26">
        <f>IF(計算用!$D$7="","",計算用!$AR$7)</f>
        <v/>
      </c>
      <c r="M9">
        <f>IF(計算用!$D$7="",IF(OR(I9&lt;&gt;"",J9&lt;&gt;""),"名前がありません",""),IF(計算用!$J$7="",IF(OR(I9&lt;&gt;"",J9&lt;&gt;""),"入力不足のため組に入りません","入力不足"),IF(AND(I9&lt;&gt;"",I9&lt;&gt;G9),"組を変更",IF(J9&lt;&gt;"","順番を指定",""))))</f>
        <v/>
      </c>
    </row>
    <row r="10">
      <c r="A10" s="26">
        <f>IF(計算用!$D$8="","",計算用!$M$8)</f>
        <v/>
      </c>
      <c r="B10" s="26">
        <f>IF(計算用!$D$8="","",計算用!$C$8)</f>
        <v/>
      </c>
      <c r="C10">
        <f>IF(計算用!$D$8="","",計算用!$D$8)</f>
        <v/>
      </c>
      <c r="D10" s="26">
        <f>IF(計算用!$D$8="","",計算用!$F$8)</f>
        <v/>
      </c>
      <c r="E10" s="26">
        <f>IF(計算用!$D$8="","",計算用!$I$8)</f>
        <v/>
      </c>
      <c r="F10" s="31">
        <f>IF(計算用!$D$8="","",計算用!$G$8)</f>
        <v/>
      </c>
      <c r="G10" s="26">
        <f>IF(計算用!$D$8="","",計算用!$AK$8)</f>
        <v/>
      </c>
      <c r="H10" s="26">
        <f>IF(計算用!$D$8="","",計算用!$AM$8)</f>
        <v/>
      </c>
      <c r="I10" s="26" t="n"/>
      <c r="J10" s="26" t="n"/>
      <c r="K10" s="26">
        <f>IF(計算用!$D$8="","",計算用!$AP$8)</f>
        <v/>
      </c>
      <c r="L10" s="26">
        <f>IF(計算用!$D$8="","",計算用!$AR$8)</f>
        <v/>
      </c>
      <c r="M10">
        <f>IF(計算用!$D$8="",IF(OR(I10&lt;&gt;"",J10&lt;&gt;""),"名前がありません",""),IF(計算用!$J$8="",IF(OR(I10&lt;&gt;"",J10&lt;&gt;""),"入力不足のため組に入りません","入力不足"),IF(AND(I10&lt;&gt;"",I10&lt;&gt;G10),"組を変更",IF(J10&lt;&gt;"","順番を指定",""))))</f>
        <v/>
      </c>
    </row>
    <row r="11">
      <c r="A11" s="26">
        <f>IF(計算用!$D$9="","",計算用!$M$9)</f>
        <v/>
      </c>
      <c r="B11" s="26">
        <f>IF(計算用!$D$9="","",計算用!$C$9)</f>
        <v/>
      </c>
      <c r="C11">
        <f>IF(計算用!$D$9="","",計算用!$D$9)</f>
        <v/>
      </c>
      <c r="D11" s="26">
        <f>IF(計算用!$D$9="","",計算用!$F$9)</f>
        <v/>
      </c>
      <c r="E11" s="26">
        <f>IF(計算用!$D$9="","",計算用!$I$9)</f>
        <v/>
      </c>
      <c r="F11" s="31">
        <f>IF(計算用!$D$9="","",計算用!$G$9)</f>
        <v/>
      </c>
      <c r="G11" s="26">
        <f>IF(計算用!$D$9="","",計算用!$AK$9)</f>
        <v/>
      </c>
      <c r="H11" s="26">
        <f>IF(計算用!$D$9="","",計算用!$AM$9)</f>
        <v/>
      </c>
      <c r="I11" s="26" t="n"/>
      <c r="J11" s="26" t="n"/>
      <c r="K11" s="26">
        <f>IF(計算用!$D$9="","",計算用!$AP$9)</f>
        <v/>
      </c>
      <c r="L11" s="26">
        <f>IF(計算用!$D$9="","",計算用!$AR$9)</f>
        <v/>
      </c>
      <c r="M11">
        <f>IF(計算用!$D$9="",IF(OR(I11&lt;&gt;"",J11&lt;&gt;""),"名前がありません",""),IF(計算用!$J$9="",IF(OR(I11&lt;&gt;"",J11&lt;&gt;""),"入力不足のため組に入りません","入力不足"),IF(AND(I11&lt;&gt;"",I11&lt;&gt;G11),"組を変更",IF(J11&lt;&gt;"","順番を指定",""))))</f>
        <v/>
      </c>
    </row>
    <row r="12">
      <c r="A12" s="26">
        <f>IF(計算用!$D$10="","",計算用!$M$10)</f>
        <v/>
      </c>
      <c r="B12" s="26">
        <f>IF(計算用!$D$10="","",計算用!$C$10)</f>
        <v/>
      </c>
      <c r="C12">
        <f>IF(計算用!$D$10="","",計算用!$D$10)</f>
        <v/>
      </c>
      <c r="D12" s="26">
        <f>IF(計算用!$D$10="","",計算用!$F$10)</f>
        <v/>
      </c>
      <c r="E12" s="26">
        <f>IF(計算用!$D$10="","",計算用!$I$10)</f>
        <v/>
      </c>
      <c r="F12" s="31">
        <f>IF(計算用!$D$10="","",計算用!$G$10)</f>
        <v/>
      </c>
      <c r="G12" s="26">
        <f>IF(計算用!$D$10="","",計算用!$AK$10)</f>
        <v/>
      </c>
      <c r="H12" s="26">
        <f>IF(計算用!$D$10="","",計算用!$AM$10)</f>
        <v/>
      </c>
      <c r="I12" s="26" t="n"/>
      <c r="J12" s="26" t="n"/>
      <c r="K12" s="26">
        <f>IF(計算用!$D$10="","",計算用!$AP$10)</f>
        <v/>
      </c>
      <c r="L12" s="26">
        <f>IF(計算用!$D$10="","",計算用!$AR$10)</f>
        <v/>
      </c>
      <c r="M12">
        <f>IF(計算用!$D$10="",IF(OR(I12&lt;&gt;"",J12&lt;&gt;""),"名前がありません",""),IF(計算用!$J$10="",IF(OR(I12&lt;&gt;"",J12&lt;&gt;""),"入力不足のため組に入りません","入力不足"),IF(AND(I12&lt;&gt;"",I12&lt;&gt;G12),"組を変更",IF(J12&lt;&gt;"","順番を指定",""))))</f>
        <v/>
      </c>
    </row>
    <row r="13">
      <c r="A13" s="26">
        <f>IF(計算用!$D$11="","",計算用!$M$11)</f>
        <v/>
      </c>
      <c r="B13" s="26">
        <f>IF(計算用!$D$11="","",計算用!$C$11)</f>
        <v/>
      </c>
      <c r="C13">
        <f>IF(計算用!$D$11="","",計算用!$D$11)</f>
        <v/>
      </c>
      <c r="D13" s="26">
        <f>IF(計算用!$D$11="","",計算用!$F$11)</f>
        <v/>
      </c>
      <c r="E13" s="26">
        <f>IF(計算用!$D$11="","",計算用!$I$11)</f>
        <v/>
      </c>
      <c r="F13" s="31">
        <f>IF(計算用!$D$11="","",計算用!$G$11)</f>
        <v/>
      </c>
      <c r="G13" s="26">
        <f>IF(計算用!$D$11="","",計算用!$AK$11)</f>
        <v/>
      </c>
      <c r="H13" s="26">
        <f>IF(計算用!$D$11="","",計算用!$AM$11)</f>
        <v/>
      </c>
      <c r="I13" s="26" t="n"/>
      <c r="J13" s="26" t="n"/>
      <c r="K13" s="26">
        <f>IF(計算用!$D$11="","",計算用!$AP$11)</f>
        <v/>
      </c>
      <c r="L13" s="26">
        <f>IF(計算用!$D$11="","",計算用!$AR$11)</f>
        <v/>
      </c>
      <c r="M13">
        <f>IF(計算用!$D$11="",IF(OR(I13&lt;&gt;"",J13&lt;&gt;""),"名前がありません",""),IF(計算用!$J$11="",IF(OR(I13&lt;&gt;"",J13&lt;&gt;""),"入力不足のため組に入りません","入力不足"),IF(AND(I13&lt;&gt;"",I13&lt;&gt;G13),"組を変更",IF(J13&lt;&gt;"","順番を指定",""))))</f>
        <v/>
      </c>
    </row>
    <row r="14">
      <c r="A14" s="26">
        <f>IF(計算用!$D$12="","",計算用!$M$12)</f>
        <v/>
      </c>
      <c r="B14" s="26">
        <f>IF(計算用!$D$12="","",計算用!$C$12)</f>
        <v/>
      </c>
      <c r="C14">
        <f>IF(計算用!$D$12="","",計算用!$D$12)</f>
        <v/>
      </c>
      <c r="D14" s="26">
        <f>IF(計算用!$D$12="","",計算用!$F$12)</f>
        <v/>
      </c>
      <c r="E14" s="26">
        <f>IF(計算用!$D$12="","",計算用!$I$12)</f>
        <v/>
      </c>
      <c r="F14" s="31">
        <f>IF(計算用!$D$12="","",計算用!$G$12)</f>
        <v/>
      </c>
      <c r="G14" s="26">
        <f>IF(計算用!$D$12="","",計算用!$AK$12)</f>
        <v/>
      </c>
      <c r="H14" s="26">
        <f>IF(計算用!$D$12="","",計算用!$AM$12)</f>
        <v/>
      </c>
      <c r="I14" s="26" t="n"/>
      <c r="J14" s="26" t="n"/>
      <c r="K14" s="26">
        <f>IF(計算用!$D$12="","",計算用!$AP$12)</f>
        <v/>
      </c>
      <c r="L14" s="26">
        <f>IF(計算用!$D$12="","",計算用!$AR$12)</f>
        <v/>
      </c>
      <c r="M14">
        <f>IF(計算用!$D$12="",IF(OR(I14&lt;&gt;"",J14&lt;&gt;""),"名前がありません",""),IF(計算用!$J$12="",IF(OR(I14&lt;&gt;"",J14&lt;&gt;""),"入力不足のため組に入りません","入力不足"),IF(AND(I14&lt;&gt;"",I14&lt;&gt;G14),"組を変更",IF(J14&lt;&gt;"","順番を指定",""))))</f>
        <v/>
      </c>
    </row>
    <row r="15">
      <c r="A15" s="26">
        <f>IF(計算用!$D$13="","",計算用!$M$13)</f>
        <v/>
      </c>
      <c r="B15" s="26">
        <f>IF(計算用!$D$13="","",計算用!$C$13)</f>
        <v/>
      </c>
      <c r="C15">
        <f>IF(計算用!$D$13="","",計算用!$D$13)</f>
        <v/>
      </c>
      <c r="D15" s="26">
        <f>IF(計算用!$D$13="","",計算用!$F$13)</f>
        <v/>
      </c>
      <c r="E15" s="26">
        <f>IF(計算用!$D$13="","",計算用!$I$13)</f>
        <v/>
      </c>
      <c r="F15" s="31">
        <f>IF(計算用!$D$13="","",計算用!$G$13)</f>
        <v/>
      </c>
      <c r="G15" s="26">
        <f>IF(計算用!$D$13="","",計算用!$AK$13)</f>
        <v/>
      </c>
      <c r="H15" s="26">
        <f>IF(計算用!$D$13="","",計算用!$AM$13)</f>
        <v/>
      </c>
      <c r="I15" s="26" t="n"/>
      <c r="J15" s="26" t="n"/>
      <c r="K15" s="26">
        <f>IF(計算用!$D$13="","",計算用!$AP$13)</f>
        <v/>
      </c>
      <c r="L15" s="26">
        <f>IF(計算用!$D$13="","",計算用!$AR$13)</f>
        <v/>
      </c>
      <c r="M15">
        <f>IF(計算用!$D$13="",IF(OR(I15&lt;&gt;"",J15&lt;&gt;""),"名前がありません",""),IF(計算用!$J$13="",IF(OR(I15&lt;&gt;"",J15&lt;&gt;""),"入力不足のため組に入りません","入力不足"),IF(AND(I15&lt;&gt;"",I15&lt;&gt;G15),"組を変更",IF(J15&lt;&gt;"","順番を指定",""))))</f>
        <v/>
      </c>
    </row>
    <row r="16">
      <c r="A16" s="26">
        <f>IF(計算用!$D$14="","",計算用!$M$14)</f>
        <v/>
      </c>
      <c r="B16" s="26">
        <f>IF(計算用!$D$14="","",計算用!$C$14)</f>
        <v/>
      </c>
      <c r="C16">
        <f>IF(計算用!$D$14="","",計算用!$D$14)</f>
        <v/>
      </c>
      <c r="D16" s="26">
        <f>IF(計算用!$D$14="","",計算用!$F$14)</f>
        <v/>
      </c>
      <c r="E16" s="26">
        <f>IF(計算用!$D$14="","",計算用!$I$14)</f>
        <v/>
      </c>
      <c r="F16" s="31">
        <f>IF(計算用!$D$14="","",計算用!$G$14)</f>
        <v/>
      </c>
      <c r="G16" s="26">
        <f>IF(計算用!$D$14="","",計算用!$AK$14)</f>
        <v/>
      </c>
      <c r="H16" s="26">
        <f>IF(計算用!$D$14="","",計算用!$AM$14)</f>
        <v/>
      </c>
      <c r="I16" s="26" t="n"/>
      <c r="J16" s="26" t="n"/>
      <c r="K16" s="26">
        <f>IF(計算用!$D$14="","",計算用!$AP$14)</f>
        <v/>
      </c>
      <c r="L16" s="26">
        <f>IF(計算用!$D$14="","",計算用!$AR$14)</f>
        <v/>
      </c>
      <c r="M16">
        <f>IF(計算用!$D$14="",IF(OR(I16&lt;&gt;"",J16&lt;&gt;""),"名前がありません",""),IF(計算用!$J$14="",IF(OR(I16&lt;&gt;"",J16&lt;&gt;""),"入力不足のため組に入りません","入力不足"),IF(AND(I16&lt;&gt;"",I16&lt;&gt;G16),"組を変更",IF(J16&lt;&gt;"","順番を指定",""))))</f>
        <v/>
      </c>
    </row>
    <row r="17">
      <c r="A17" s="26">
        <f>IF(計算用!$D$15="","",計算用!$M$15)</f>
        <v/>
      </c>
      <c r="B17" s="26">
        <f>IF(計算用!$D$15="","",計算用!$C$15)</f>
        <v/>
      </c>
      <c r="C17">
        <f>IF(計算用!$D$15="","",計算用!$D$15)</f>
        <v/>
      </c>
      <c r="D17" s="26">
        <f>IF(計算用!$D$15="","",計算用!$F$15)</f>
        <v/>
      </c>
      <c r="E17" s="26">
        <f>IF(計算用!$D$15="","",計算用!$I$15)</f>
        <v/>
      </c>
      <c r="F17" s="31">
        <f>IF(計算用!$D$15="","",計算用!$G$15)</f>
        <v/>
      </c>
      <c r="G17" s="26">
        <f>IF(計算用!$D$15="","",計算用!$AK$15)</f>
        <v/>
      </c>
      <c r="H17" s="26">
        <f>IF(計算用!$D$15="","",計算用!$AM$15)</f>
        <v/>
      </c>
      <c r="I17" s="26" t="n"/>
      <c r="J17" s="26" t="n"/>
      <c r="K17" s="26">
        <f>IF(計算用!$D$15="","",計算用!$AP$15)</f>
        <v/>
      </c>
      <c r="L17" s="26">
        <f>IF(計算用!$D$15="","",計算用!$AR$15)</f>
        <v/>
      </c>
      <c r="M17">
        <f>IF(計算用!$D$15="",IF(OR(I17&lt;&gt;"",J17&lt;&gt;""),"名前がありません",""),IF(計算用!$J$15="",IF(OR(I17&lt;&gt;"",J17&lt;&gt;""),"入力不足のため組に入りません","入力不足"),IF(AND(I17&lt;&gt;"",I17&lt;&gt;G17),"組を変更",IF(J17&lt;&gt;"","順番を指定",""))))</f>
        <v/>
      </c>
    </row>
    <row r="18">
      <c r="A18" s="26">
        <f>IF(計算用!$D$16="","",計算用!$M$16)</f>
        <v/>
      </c>
      <c r="B18" s="26">
        <f>IF(計算用!$D$16="","",計算用!$C$16)</f>
        <v/>
      </c>
      <c r="C18">
        <f>IF(計算用!$D$16="","",計算用!$D$16)</f>
        <v/>
      </c>
      <c r="D18" s="26">
        <f>IF(計算用!$D$16="","",計算用!$F$16)</f>
        <v/>
      </c>
      <c r="E18" s="26">
        <f>IF(計算用!$D$16="","",計算用!$I$16)</f>
        <v/>
      </c>
      <c r="F18" s="31">
        <f>IF(計算用!$D$16="","",計算用!$G$16)</f>
        <v/>
      </c>
      <c r="G18" s="26">
        <f>IF(計算用!$D$16="","",計算用!$AK$16)</f>
        <v/>
      </c>
      <c r="H18" s="26">
        <f>IF(計算用!$D$16="","",計算用!$AM$16)</f>
        <v/>
      </c>
      <c r="I18" s="26" t="n"/>
      <c r="J18" s="26" t="n"/>
      <c r="K18" s="26">
        <f>IF(計算用!$D$16="","",計算用!$AP$16)</f>
        <v/>
      </c>
      <c r="L18" s="26">
        <f>IF(計算用!$D$16="","",計算用!$AR$16)</f>
        <v/>
      </c>
      <c r="M18">
        <f>IF(計算用!$D$16="",IF(OR(I18&lt;&gt;"",J18&lt;&gt;""),"名前がありません",""),IF(計算用!$J$16="",IF(OR(I18&lt;&gt;"",J18&lt;&gt;""),"入力不足のため組に入りません","入力不足"),IF(AND(I18&lt;&gt;"",I18&lt;&gt;G18),"組を変更",IF(J18&lt;&gt;"","順番を指定",""))))</f>
        <v/>
      </c>
    </row>
    <row r="19">
      <c r="A19" s="26">
        <f>IF(計算用!$D$17="","",計算用!$M$17)</f>
        <v/>
      </c>
      <c r="B19" s="26">
        <f>IF(計算用!$D$17="","",計算用!$C$17)</f>
        <v/>
      </c>
      <c r="C19">
        <f>IF(計算用!$D$17="","",計算用!$D$17)</f>
        <v/>
      </c>
      <c r="D19" s="26">
        <f>IF(計算用!$D$17="","",計算用!$F$17)</f>
        <v/>
      </c>
      <c r="E19" s="26">
        <f>IF(計算用!$D$17="","",計算用!$I$17)</f>
        <v/>
      </c>
      <c r="F19" s="31">
        <f>IF(計算用!$D$17="","",計算用!$G$17)</f>
        <v/>
      </c>
      <c r="G19" s="26">
        <f>IF(計算用!$D$17="","",計算用!$AK$17)</f>
        <v/>
      </c>
      <c r="H19" s="26">
        <f>IF(計算用!$D$17="","",計算用!$AM$17)</f>
        <v/>
      </c>
      <c r="I19" s="26" t="n"/>
      <c r="J19" s="26" t="n"/>
      <c r="K19" s="26">
        <f>IF(計算用!$D$17="","",計算用!$AP$17)</f>
        <v/>
      </c>
      <c r="L19" s="26">
        <f>IF(計算用!$D$17="","",計算用!$AR$17)</f>
        <v/>
      </c>
      <c r="M19">
        <f>IF(計算用!$D$17="",IF(OR(I19&lt;&gt;"",J19&lt;&gt;""),"名前がありません",""),IF(計算用!$J$17="",IF(OR(I19&lt;&gt;"",J19&lt;&gt;""),"入力不足のため組に入りません","入力不足"),IF(AND(I19&lt;&gt;"",I19&lt;&gt;G19),"組を変更",IF(J19&lt;&gt;"","順番を指定",""))))</f>
        <v/>
      </c>
    </row>
    <row r="20">
      <c r="A20" s="26">
        <f>IF(計算用!$D$18="","",計算用!$M$18)</f>
        <v/>
      </c>
      <c r="B20" s="26">
        <f>IF(計算用!$D$18="","",計算用!$C$18)</f>
        <v/>
      </c>
      <c r="C20">
        <f>IF(計算用!$D$18="","",計算用!$D$18)</f>
        <v/>
      </c>
      <c r="D20" s="26">
        <f>IF(計算用!$D$18="","",計算用!$F$18)</f>
        <v/>
      </c>
      <c r="E20" s="26">
        <f>IF(計算用!$D$18="","",計算用!$I$18)</f>
        <v/>
      </c>
      <c r="F20" s="31">
        <f>IF(計算用!$D$18="","",計算用!$G$18)</f>
        <v/>
      </c>
      <c r="G20" s="26">
        <f>IF(計算用!$D$18="","",計算用!$AK$18)</f>
        <v/>
      </c>
      <c r="H20" s="26">
        <f>IF(計算用!$D$18="","",計算用!$AM$18)</f>
        <v/>
      </c>
      <c r="I20" s="26" t="n"/>
      <c r="J20" s="26" t="n"/>
      <c r="K20" s="26">
        <f>IF(計算用!$D$18="","",計算用!$AP$18)</f>
        <v/>
      </c>
      <c r="L20" s="26">
        <f>IF(計算用!$D$18="","",計算用!$AR$18)</f>
        <v/>
      </c>
      <c r="M20">
        <f>IF(計算用!$D$18="",IF(OR(I20&lt;&gt;"",J20&lt;&gt;""),"名前がありません",""),IF(計算用!$J$18="",IF(OR(I20&lt;&gt;"",J20&lt;&gt;""),"入力不足のため組に入りません","入力不足"),IF(AND(I20&lt;&gt;"",I20&lt;&gt;G20),"組を変更",IF(J20&lt;&gt;"","順番を指定",""))))</f>
        <v/>
      </c>
    </row>
    <row r="21">
      <c r="A21" s="26">
        <f>IF(計算用!$D$19="","",計算用!$M$19)</f>
        <v/>
      </c>
      <c r="B21" s="26">
        <f>IF(計算用!$D$19="","",計算用!$C$19)</f>
        <v/>
      </c>
      <c r="C21">
        <f>IF(計算用!$D$19="","",計算用!$D$19)</f>
        <v/>
      </c>
      <c r="D21" s="26">
        <f>IF(計算用!$D$19="","",計算用!$F$19)</f>
        <v/>
      </c>
      <c r="E21" s="26">
        <f>IF(計算用!$D$19="","",計算用!$I$19)</f>
        <v/>
      </c>
      <c r="F21" s="31">
        <f>IF(計算用!$D$19="","",計算用!$G$19)</f>
        <v/>
      </c>
      <c r="G21" s="26">
        <f>IF(計算用!$D$19="","",計算用!$AK$19)</f>
        <v/>
      </c>
      <c r="H21" s="26">
        <f>IF(計算用!$D$19="","",計算用!$AM$19)</f>
        <v/>
      </c>
      <c r="I21" s="26" t="n"/>
      <c r="J21" s="26" t="n"/>
      <c r="K21" s="26">
        <f>IF(計算用!$D$19="","",計算用!$AP$19)</f>
        <v/>
      </c>
      <c r="L21" s="26">
        <f>IF(計算用!$D$19="","",計算用!$AR$19)</f>
        <v/>
      </c>
      <c r="M21">
        <f>IF(計算用!$D$19="",IF(OR(I21&lt;&gt;"",J21&lt;&gt;""),"名前がありません",""),IF(計算用!$J$19="",IF(OR(I21&lt;&gt;"",J21&lt;&gt;""),"入力不足のため組に入りません","入力不足"),IF(AND(I21&lt;&gt;"",I21&lt;&gt;G21),"組を変更",IF(J21&lt;&gt;"","順番を指定",""))))</f>
        <v/>
      </c>
    </row>
    <row r="22">
      <c r="A22" s="26">
        <f>IF(計算用!$D$20="","",計算用!$M$20)</f>
        <v/>
      </c>
      <c r="B22" s="26">
        <f>IF(計算用!$D$20="","",計算用!$C$20)</f>
        <v/>
      </c>
      <c r="C22">
        <f>IF(計算用!$D$20="","",計算用!$D$20)</f>
        <v/>
      </c>
      <c r="D22" s="26">
        <f>IF(計算用!$D$20="","",計算用!$F$20)</f>
        <v/>
      </c>
      <c r="E22" s="26">
        <f>IF(計算用!$D$20="","",計算用!$I$20)</f>
        <v/>
      </c>
      <c r="F22" s="31">
        <f>IF(計算用!$D$20="","",計算用!$G$20)</f>
        <v/>
      </c>
      <c r="G22" s="26">
        <f>IF(計算用!$D$20="","",計算用!$AK$20)</f>
        <v/>
      </c>
      <c r="H22" s="26">
        <f>IF(計算用!$D$20="","",計算用!$AM$20)</f>
        <v/>
      </c>
      <c r="I22" s="26" t="n"/>
      <c r="J22" s="26" t="n"/>
      <c r="K22" s="26">
        <f>IF(計算用!$D$20="","",計算用!$AP$20)</f>
        <v/>
      </c>
      <c r="L22" s="26">
        <f>IF(計算用!$D$20="","",計算用!$AR$20)</f>
        <v/>
      </c>
      <c r="M22">
        <f>IF(計算用!$D$20="",IF(OR(I22&lt;&gt;"",J22&lt;&gt;""),"名前がありません",""),IF(計算用!$J$20="",IF(OR(I22&lt;&gt;"",J22&lt;&gt;""),"入力不足のため組に入りません","入力不足"),IF(AND(I22&lt;&gt;"",I22&lt;&gt;G22),"組を変更",IF(J22&lt;&gt;"","順番を指定",""))))</f>
        <v/>
      </c>
    </row>
    <row r="23">
      <c r="A23" s="26">
        <f>IF(計算用!$D$21="","",計算用!$M$21)</f>
        <v/>
      </c>
      <c r="B23" s="26">
        <f>IF(計算用!$D$21="","",計算用!$C$21)</f>
        <v/>
      </c>
      <c r="C23">
        <f>IF(計算用!$D$21="","",計算用!$D$21)</f>
        <v/>
      </c>
      <c r="D23" s="26">
        <f>IF(計算用!$D$21="","",計算用!$F$21)</f>
        <v/>
      </c>
      <c r="E23" s="26">
        <f>IF(計算用!$D$21="","",計算用!$I$21)</f>
        <v/>
      </c>
      <c r="F23" s="31">
        <f>IF(計算用!$D$21="","",計算用!$G$21)</f>
        <v/>
      </c>
      <c r="G23" s="26">
        <f>IF(計算用!$D$21="","",計算用!$AK$21)</f>
        <v/>
      </c>
      <c r="H23" s="26">
        <f>IF(計算用!$D$21="","",計算用!$AM$21)</f>
        <v/>
      </c>
      <c r="I23" s="26" t="n"/>
      <c r="J23" s="26" t="n"/>
      <c r="K23" s="26">
        <f>IF(計算用!$D$21="","",計算用!$AP$21)</f>
        <v/>
      </c>
      <c r="L23" s="26">
        <f>IF(計算用!$D$21="","",計算用!$AR$21)</f>
        <v/>
      </c>
      <c r="M23">
        <f>IF(計算用!$D$21="",IF(OR(I23&lt;&gt;"",J23&lt;&gt;""),"名前がありません",""),IF(計算用!$J$21="",IF(OR(I23&lt;&gt;"",J23&lt;&gt;""),"入力不足のため組に入りません","入力不足"),IF(AND(I23&lt;&gt;"",I23&lt;&gt;G23),"組を変更",IF(J23&lt;&gt;"","順番を指定",""))))</f>
        <v/>
      </c>
    </row>
    <row r="24">
      <c r="A24" s="26">
        <f>IF(計算用!$D$22="","",計算用!$M$22)</f>
        <v/>
      </c>
      <c r="B24" s="26">
        <f>IF(計算用!$D$22="","",計算用!$C$22)</f>
        <v/>
      </c>
      <c r="C24">
        <f>IF(計算用!$D$22="","",計算用!$D$22)</f>
        <v/>
      </c>
      <c r="D24" s="26">
        <f>IF(計算用!$D$22="","",計算用!$F$22)</f>
        <v/>
      </c>
      <c r="E24" s="26">
        <f>IF(計算用!$D$22="","",計算用!$I$22)</f>
        <v/>
      </c>
      <c r="F24" s="31">
        <f>IF(計算用!$D$22="","",計算用!$G$22)</f>
        <v/>
      </c>
      <c r="G24" s="26">
        <f>IF(計算用!$D$22="","",計算用!$AK$22)</f>
        <v/>
      </c>
      <c r="H24" s="26">
        <f>IF(計算用!$D$22="","",計算用!$AM$22)</f>
        <v/>
      </c>
      <c r="I24" s="26" t="n"/>
      <c r="J24" s="26" t="n"/>
      <c r="K24" s="26">
        <f>IF(計算用!$D$22="","",計算用!$AP$22)</f>
        <v/>
      </c>
      <c r="L24" s="26">
        <f>IF(計算用!$D$22="","",計算用!$AR$22)</f>
        <v/>
      </c>
      <c r="M24">
        <f>IF(計算用!$D$22="",IF(OR(I24&lt;&gt;"",J24&lt;&gt;""),"名前がありません",""),IF(計算用!$J$22="",IF(OR(I24&lt;&gt;"",J24&lt;&gt;""),"入力不足のため組に入りません","入力不足"),IF(AND(I24&lt;&gt;"",I24&lt;&gt;G24),"組を変更",IF(J24&lt;&gt;"","順番を指定",""))))</f>
        <v/>
      </c>
    </row>
    <row r="25">
      <c r="A25" s="26">
        <f>IF(計算用!$D$23="","",計算用!$M$23)</f>
        <v/>
      </c>
      <c r="B25" s="26">
        <f>IF(計算用!$D$23="","",計算用!$C$23)</f>
        <v/>
      </c>
      <c r="C25">
        <f>IF(計算用!$D$23="","",計算用!$D$23)</f>
        <v/>
      </c>
      <c r="D25" s="26">
        <f>IF(計算用!$D$23="","",計算用!$F$23)</f>
        <v/>
      </c>
      <c r="E25" s="26">
        <f>IF(計算用!$D$23="","",計算用!$I$23)</f>
        <v/>
      </c>
      <c r="F25" s="31">
        <f>IF(計算用!$D$23="","",計算用!$G$23)</f>
        <v/>
      </c>
      <c r="G25" s="26">
        <f>IF(計算用!$D$23="","",計算用!$AK$23)</f>
        <v/>
      </c>
      <c r="H25" s="26">
        <f>IF(計算用!$D$23="","",計算用!$AM$23)</f>
        <v/>
      </c>
      <c r="I25" s="26" t="n"/>
      <c r="J25" s="26" t="n"/>
      <c r="K25" s="26">
        <f>IF(計算用!$D$23="","",計算用!$AP$23)</f>
        <v/>
      </c>
      <c r="L25" s="26">
        <f>IF(計算用!$D$23="","",計算用!$AR$23)</f>
        <v/>
      </c>
      <c r="M25">
        <f>IF(計算用!$D$23="",IF(OR(I25&lt;&gt;"",J25&lt;&gt;""),"名前がありません",""),IF(計算用!$J$23="",IF(OR(I25&lt;&gt;"",J25&lt;&gt;""),"入力不足のため組に入りません","入力不足"),IF(AND(I25&lt;&gt;"",I25&lt;&gt;G25),"組を変更",IF(J25&lt;&gt;"","順番を指定",""))))</f>
        <v/>
      </c>
    </row>
    <row r="26">
      <c r="A26" s="26">
        <f>IF(計算用!$D$24="","",計算用!$M$24)</f>
        <v/>
      </c>
      <c r="B26" s="26">
        <f>IF(計算用!$D$24="","",計算用!$C$24)</f>
        <v/>
      </c>
      <c r="C26">
        <f>IF(計算用!$D$24="","",計算用!$D$24)</f>
        <v/>
      </c>
      <c r="D26" s="26">
        <f>IF(計算用!$D$24="","",計算用!$F$24)</f>
        <v/>
      </c>
      <c r="E26" s="26">
        <f>IF(計算用!$D$24="","",計算用!$I$24)</f>
        <v/>
      </c>
      <c r="F26" s="31">
        <f>IF(計算用!$D$24="","",計算用!$G$24)</f>
        <v/>
      </c>
      <c r="G26" s="26">
        <f>IF(計算用!$D$24="","",計算用!$AK$24)</f>
        <v/>
      </c>
      <c r="H26" s="26">
        <f>IF(計算用!$D$24="","",計算用!$AM$24)</f>
        <v/>
      </c>
      <c r="I26" s="26" t="n"/>
      <c r="J26" s="26" t="n"/>
      <c r="K26" s="26">
        <f>IF(計算用!$D$24="","",計算用!$AP$24)</f>
        <v/>
      </c>
      <c r="L26" s="26">
        <f>IF(計算用!$D$24="","",計算用!$AR$24)</f>
        <v/>
      </c>
      <c r="M26">
        <f>IF(計算用!$D$24="",IF(OR(I26&lt;&gt;"",J26&lt;&gt;""),"名前がありません",""),IF(計算用!$J$24="",IF(OR(I26&lt;&gt;"",J26&lt;&gt;""),"入力不足のため組に入りません","入力不足"),IF(AND(I26&lt;&gt;"",I26&lt;&gt;G26),"組を変更",IF(J26&lt;&gt;"","順番を指定",""))))</f>
        <v/>
      </c>
    </row>
    <row r="27">
      <c r="A27" s="26">
        <f>IF(計算用!$D$25="","",計算用!$M$25)</f>
        <v/>
      </c>
      <c r="B27" s="26">
        <f>IF(計算用!$D$25="","",計算用!$C$25)</f>
        <v/>
      </c>
      <c r="C27">
        <f>IF(計算用!$D$25="","",計算用!$D$25)</f>
        <v/>
      </c>
      <c r="D27" s="26">
        <f>IF(計算用!$D$25="","",計算用!$F$25)</f>
        <v/>
      </c>
      <c r="E27" s="26">
        <f>IF(計算用!$D$25="","",計算用!$I$25)</f>
        <v/>
      </c>
      <c r="F27" s="31">
        <f>IF(計算用!$D$25="","",計算用!$G$25)</f>
        <v/>
      </c>
      <c r="G27" s="26">
        <f>IF(計算用!$D$25="","",計算用!$AK$25)</f>
        <v/>
      </c>
      <c r="H27" s="26">
        <f>IF(計算用!$D$25="","",計算用!$AM$25)</f>
        <v/>
      </c>
      <c r="I27" s="26" t="n"/>
      <c r="J27" s="26" t="n"/>
      <c r="K27" s="26">
        <f>IF(計算用!$D$25="","",計算用!$AP$25)</f>
        <v/>
      </c>
      <c r="L27" s="26">
        <f>IF(計算用!$D$25="","",計算用!$AR$25)</f>
        <v/>
      </c>
      <c r="M27">
        <f>IF(計算用!$D$25="",IF(OR(I27&lt;&gt;"",J27&lt;&gt;""),"名前がありません",""),IF(計算用!$J$25="",IF(OR(I27&lt;&gt;"",J27&lt;&gt;""),"入力不足のため組に入りません","入力不足"),IF(AND(I27&lt;&gt;"",I27&lt;&gt;G27),"組を変更",IF(J27&lt;&gt;"","順番を指定",""))))</f>
        <v/>
      </c>
    </row>
    <row r="28">
      <c r="A28" s="26">
        <f>IF(計算用!$D$26="","",計算用!$M$26)</f>
        <v/>
      </c>
      <c r="B28" s="26">
        <f>IF(計算用!$D$26="","",計算用!$C$26)</f>
        <v/>
      </c>
      <c r="C28">
        <f>IF(計算用!$D$26="","",計算用!$D$26)</f>
        <v/>
      </c>
      <c r="D28" s="26">
        <f>IF(計算用!$D$26="","",計算用!$F$26)</f>
        <v/>
      </c>
      <c r="E28" s="26">
        <f>IF(計算用!$D$26="","",計算用!$I$26)</f>
        <v/>
      </c>
      <c r="F28" s="31">
        <f>IF(計算用!$D$26="","",計算用!$G$26)</f>
        <v/>
      </c>
      <c r="G28" s="26">
        <f>IF(計算用!$D$26="","",計算用!$AK$26)</f>
        <v/>
      </c>
      <c r="H28" s="26">
        <f>IF(計算用!$D$26="","",計算用!$AM$26)</f>
        <v/>
      </c>
      <c r="I28" s="26" t="n"/>
      <c r="J28" s="26" t="n"/>
      <c r="K28" s="26">
        <f>IF(計算用!$D$26="","",計算用!$AP$26)</f>
        <v/>
      </c>
      <c r="L28" s="26">
        <f>IF(計算用!$D$26="","",計算用!$AR$26)</f>
        <v/>
      </c>
      <c r="M28">
        <f>IF(計算用!$D$26="",IF(OR(I28&lt;&gt;"",J28&lt;&gt;""),"名前がありません",""),IF(計算用!$J$26="",IF(OR(I28&lt;&gt;"",J28&lt;&gt;""),"入力不足のため組に入りません","入力不足"),IF(AND(I28&lt;&gt;"",I28&lt;&gt;G28),"組を変更",IF(J28&lt;&gt;"","順番を指定",""))))</f>
        <v/>
      </c>
    </row>
    <row r="29">
      <c r="A29" s="26">
        <f>IF(計算用!$D$27="","",計算用!$M$27)</f>
        <v/>
      </c>
      <c r="B29" s="26">
        <f>IF(計算用!$D$27="","",計算用!$C$27)</f>
        <v/>
      </c>
      <c r="C29">
        <f>IF(計算用!$D$27="","",計算用!$D$27)</f>
        <v/>
      </c>
      <c r="D29" s="26">
        <f>IF(計算用!$D$27="","",計算用!$F$27)</f>
        <v/>
      </c>
      <c r="E29" s="26">
        <f>IF(計算用!$D$27="","",計算用!$I$27)</f>
        <v/>
      </c>
      <c r="F29" s="31">
        <f>IF(計算用!$D$27="","",計算用!$G$27)</f>
        <v/>
      </c>
      <c r="G29" s="26">
        <f>IF(計算用!$D$27="","",計算用!$AK$27)</f>
        <v/>
      </c>
      <c r="H29" s="26">
        <f>IF(計算用!$D$27="","",計算用!$AM$27)</f>
        <v/>
      </c>
      <c r="I29" s="26" t="n"/>
      <c r="J29" s="26" t="n"/>
      <c r="K29" s="26">
        <f>IF(計算用!$D$27="","",計算用!$AP$27)</f>
        <v/>
      </c>
      <c r="L29" s="26">
        <f>IF(計算用!$D$27="","",計算用!$AR$27)</f>
        <v/>
      </c>
      <c r="M29">
        <f>IF(計算用!$D$27="",IF(OR(I29&lt;&gt;"",J29&lt;&gt;""),"名前がありません",""),IF(計算用!$J$27="",IF(OR(I29&lt;&gt;"",J29&lt;&gt;""),"入力不足のため組に入りません","入力不足"),IF(AND(I29&lt;&gt;"",I29&lt;&gt;G29),"組を変更",IF(J29&lt;&gt;"","順番を指定",""))))</f>
        <v/>
      </c>
    </row>
    <row r="30">
      <c r="A30" s="26">
        <f>IF(計算用!$D$28="","",計算用!$M$28)</f>
        <v/>
      </c>
      <c r="B30" s="26">
        <f>IF(計算用!$D$28="","",計算用!$C$28)</f>
        <v/>
      </c>
      <c r="C30">
        <f>IF(計算用!$D$28="","",計算用!$D$28)</f>
        <v/>
      </c>
      <c r="D30" s="26">
        <f>IF(計算用!$D$28="","",計算用!$F$28)</f>
        <v/>
      </c>
      <c r="E30" s="26">
        <f>IF(計算用!$D$28="","",計算用!$I$28)</f>
        <v/>
      </c>
      <c r="F30" s="31">
        <f>IF(計算用!$D$28="","",計算用!$G$28)</f>
        <v/>
      </c>
      <c r="G30" s="26">
        <f>IF(計算用!$D$28="","",計算用!$AK$28)</f>
        <v/>
      </c>
      <c r="H30" s="26">
        <f>IF(計算用!$D$28="","",計算用!$AM$28)</f>
        <v/>
      </c>
      <c r="I30" s="26" t="n"/>
      <c r="J30" s="26" t="n"/>
      <c r="K30" s="26">
        <f>IF(計算用!$D$28="","",計算用!$AP$28)</f>
        <v/>
      </c>
      <c r="L30" s="26">
        <f>IF(計算用!$D$28="","",計算用!$AR$28)</f>
        <v/>
      </c>
      <c r="M30">
        <f>IF(計算用!$D$28="",IF(OR(I30&lt;&gt;"",J30&lt;&gt;""),"名前がありません",""),IF(計算用!$J$28="",IF(OR(I30&lt;&gt;"",J30&lt;&gt;""),"入力不足のため組に入りません","入力不足"),IF(AND(I30&lt;&gt;"",I30&lt;&gt;G30),"組を変更",IF(J30&lt;&gt;"","順番を指定",""))))</f>
        <v/>
      </c>
    </row>
    <row r="31">
      <c r="A31" s="26">
        <f>IF(計算用!$D$29="","",計算用!$M$29)</f>
        <v/>
      </c>
      <c r="B31" s="26">
        <f>IF(計算用!$D$29="","",計算用!$C$29)</f>
        <v/>
      </c>
      <c r="C31">
        <f>IF(計算用!$D$29="","",計算用!$D$29)</f>
        <v/>
      </c>
      <c r="D31" s="26">
        <f>IF(計算用!$D$29="","",計算用!$F$29)</f>
        <v/>
      </c>
      <c r="E31" s="26">
        <f>IF(計算用!$D$29="","",計算用!$I$29)</f>
        <v/>
      </c>
      <c r="F31" s="31">
        <f>IF(計算用!$D$29="","",計算用!$G$29)</f>
        <v/>
      </c>
      <c r="G31" s="26">
        <f>IF(計算用!$D$29="","",計算用!$AK$29)</f>
        <v/>
      </c>
      <c r="H31" s="26">
        <f>IF(計算用!$D$29="","",計算用!$AM$29)</f>
        <v/>
      </c>
      <c r="I31" s="26" t="n"/>
      <c r="J31" s="26" t="n"/>
      <c r="K31" s="26">
        <f>IF(計算用!$D$29="","",計算用!$AP$29)</f>
        <v/>
      </c>
      <c r="L31" s="26">
        <f>IF(計算用!$D$29="","",計算用!$AR$29)</f>
        <v/>
      </c>
      <c r="M31">
        <f>IF(計算用!$D$29="",IF(OR(I31&lt;&gt;"",J31&lt;&gt;""),"名前がありません",""),IF(計算用!$J$29="",IF(OR(I31&lt;&gt;"",J31&lt;&gt;""),"入力不足のため組に入りません","入力不足"),IF(AND(I31&lt;&gt;"",I31&lt;&gt;G31),"組を変更",IF(J31&lt;&gt;"","順番を指定",""))))</f>
        <v/>
      </c>
    </row>
    <row r="32">
      <c r="A32" s="26">
        <f>IF(計算用!$D$30="","",計算用!$M$30)</f>
        <v/>
      </c>
      <c r="B32" s="26">
        <f>IF(計算用!$D$30="","",計算用!$C$30)</f>
        <v/>
      </c>
      <c r="C32">
        <f>IF(計算用!$D$30="","",計算用!$D$30)</f>
        <v/>
      </c>
      <c r="D32" s="26">
        <f>IF(計算用!$D$30="","",計算用!$F$30)</f>
        <v/>
      </c>
      <c r="E32" s="26">
        <f>IF(計算用!$D$30="","",計算用!$I$30)</f>
        <v/>
      </c>
      <c r="F32" s="31">
        <f>IF(計算用!$D$30="","",計算用!$G$30)</f>
        <v/>
      </c>
      <c r="G32" s="26">
        <f>IF(計算用!$D$30="","",計算用!$AK$30)</f>
        <v/>
      </c>
      <c r="H32" s="26">
        <f>IF(計算用!$D$30="","",計算用!$AM$30)</f>
        <v/>
      </c>
      <c r="I32" s="26" t="n"/>
      <c r="J32" s="26" t="n"/>
      <c r="K32" s="26">
        <f>IF(計算用!$D$30="","",計算用!$AP$30)</f>
        <v/>
      </c>
      <c r="L32" s="26">
        <f>IF(計算用!$D$30="","",計算用!$AR$30)</f>
        <v/>
      </c>
      <c r="M32">
        <f>IF(計算用!$D$30="",IF(OR(I32&lt;&gt;"",J32&lt;&gt;""),"名前がありません",""),IF(計算用!$J$30="",IF(OR(I32&lt;&gt;"",J32&lt;&gt;""),"入力不足のため組に入りません","入力不足"),IF(AND(I32&lt;&gt;"",I32&lt;&gt;G32),"組を変更",IF(J32&lt;&gt;"","順番を指定",""))))</f>
        <v/>
      </c>
    </row>
    <row r="33">
      <c r="A33" s="26">
        <f>IF(計算用!$D$31="","",計算用!$M$31)</f>
        <v/>
      </c>
      <c r="B33" s="26">
        <f>IF(計算用!$D$31="","",計算用!$C$31)</f>
        <v/>
      </c>
      <c r="C33">
        <f>IF(計算用!$D$31="","",計算用!$D$31)</f>
        <v/>
      </c>
      <c r="D33" s="26">
        <f>IF(計算用!$D$31="","",計算用!$F$31)</f>
        <v/>
      </c>
      <c r="E33" s="26">
        <f>IF(計算用!$D$31="","",計算用!$I$31)</f>
        <v/>
      </c>
      <c r="F33" s="31">
        <f>IF(計算用!$D$31="","",計算用!$G$31)</f>
        <v/>
      </c>
      <c r="G33" s="26">
        <f>IF(計算用!$D$31="","",計算用!$AK$31)</f>
        <v/>
      </c>
      <c r="H33" s="26">
        <f>IF(計算用!$D$31="","",計算用!$AM$31)</f>
        <v/>
      </c>
      <c r="I33" s="26" t="n"/>
      <c r="J33" s="26" t="n"/>
      <c r="K33" s="26">
        <f>IF(計算用!$D$31="","",計算用!$AP$31)</f>
        <v/>
      </c>
      <c r="L33" s="26">
        <f>IF(計算用!$D$31="","",計算用!$AR$31)</f>
        <v/>
      </c>
      <c r="M33">
        <f>IF(計算用!$D$31="",IF(OR(I33&lt;&gt;"",J33&lt;&gt;""),"名前がありません",""),IF(計算用!$J$31="",IF(OR(I33&lt;&gt;"",J33&lt;&gt;""),"入力不足のため組に入りません","入力不足"),IF(AND(I33&lt;&gt;"",I33&lt;&gt;G33),"組を変更",IF(J33&lt;&gt;"","順番を指定",""))))</f>
        <v/>
      </c>
    </row>
    <row r="34">
      <c r="A34" s="26">
        <f>IF(計算用!$D$32="","",計算用!$M$32)</f>
        <v/>
      </c>
      <c r="B34" s="26">
        <f>IF(計算用!$D$32="","",計算用!$C$32)</f>
        <v/>
      </c>
      <c r="C34">
        <f>IF(計算用!$D$32="","",計算用!$D$32)</f>
        <v/>
      </c>
      <c r="D34" s="26">
        <f>IF(計算用!$D$32="","",計算用!$F$32)</f>
        <v/>
      </c>
      <c r="E34" s="26">
        <f>IF(計算用!$D$32="","",計算用!$I$32)</f>
        <v/>
      </c>
      <c r="F34" s="31">
        <f>IF(計算用!$D$32="","",計算用!$G$32)</f>
        <v/>
      </c>
      <c r="G34" s="26">
        <f>IF(計算用!$D$32="","",計算用!$AK$32)</f>
        <v/>
      </c>
      <c r="H34" s="26">
        <f>IF(計算用!$D$32="","",計算用!$AM$32)</f>
        <v/>
      </c>
      <c r="I34" s="26" t="n"/>
      <c r="J34" s="26" t="n"/>
      <c r="K34" s="26">
        <f>IF(計算用!$D$32="","",計算用!$AP$32)</f>
        <v/>
      </c>
      <c r="L34" s="26">
        <f>IF(計算用!$D$32="","",計算用!$AR$32)</f>
        <v/>
      </c>
      <c r="M34">
        <f>IF(計算用!$D$32="",IF(OR(I34&lt;&gt;"",J34&lt;&gt;""),"名前がありません",""),IF(計算用!$J$32="",IF(OR(I34&lt;&gt;"",J34&lt;&gt;""),"入力不足のため組に入りません","入力不足"),IF(AND(I34&lt;&gt;"",I34&lt;&gt;G34),"組を変更",IF(J34&lt;&gt;"","順番を指定",""))))</f>
        <v/>
      </c>
    </row>
    <row r="35">
      <c r="A35" s="26">
        <f>IF(計算用!$D$33="","",計算用!$M$33)</f>
        <v/>
      </c>
      <c r="B35" s="26">
        <f>IF(計算用!$D$33="","",計算用!$C$33)</f>
        <v/>
      </c>
      <c r="C35">
        <f>IF(計算用!$D$33="","",計算用!$D$33)</f>
        <v/>
      </c>
      <c r="D35" s="26">
        <f>IF(計算用!$D$33="","",計算用!$F$33)</f>
        <v/>
      </c>
      <c r="E35" s="26">
        <f>IF(計算用!$D$33="","",計算用!$I$33)</f>
        <v/>
      </c>
      <c r="F35" s="31">
        <f>IF(計算用!$D$33="","",計算用!$G$33)</f>
        <v/>
      </c>
      <c r="G35" s="26">
        <f>IF(計算用!$D$33="","",計算用!$AK$33)</f>
        <v/>
      </c>
      <c r="H35" s="26">
        <f>IF(計算用!$D$33="","",計算用!$AM$33)</f>
        <v/>
      </c>
      <c r="I35" s="26" t="n"/>
      <c r="J35" s="26" t="n"/>
      <c r="K35" s="26">
        <f>IF(計算用!$D$33="","",計算用!$AP$33)</f>
        <v/>
      </c>
      <c r="L35" s="26">
        <f>IF(計算用!$D$33="","",計算用!$AR$33)</f>
        <v/>
      </c>
      <c r="M35">
        <f>IF(計算用!$D$33="",IF(OR(I35&lt;&gt;"",J35&lt;&gt;""),"名前がありません",""),IF(計算用!$J$33="",IF(OR(I35&lt;&gt;"",J35&lt;&gt;""),"入力不足のため組に入りません","入力不足"),IF(AND(I35&lt;&gt;"",I35&lt;&gt;G35),"組を変更",IF(J35&lt;&gt;"","順番を指定",""))))</f>
        <v/>
      </c>
    </row>
    <row r="36">
      <c r="A36" s="26">
        <f>IF(計算用!$D$34="","",計算用!$M$34)</f>
        <v/>
      </c>
      <c r="B36" s="26">
        <f>IF(計算用!$D$34="","",計算用!$C$34)</f>
        <v/>
      </c>
      <c r="C36">
        <f>IF(計算用!$D$34="","",計算用!$D$34)</f>
        <v/>
      </c>
      <c r="D36" s="26">
        <f>IF(計算用!$D$34="","",計算用!$F$34)</f>
        <v/>
      </c>
      <c r="E36" s="26">
        <f>IF(計算用!$D$34="","",計算用!$I$34)</f>
        <v/>
      </c>
      <c r="F36" s="31">
        <f>IF(計算用!$D$34="","",計算用!$G$34)</f>
        <v/>
      </c>
      <c r="G36" s="26">
        <f>IF(計算用!$D$34="","",計算用!$AK$34)</f>
        <v/>
      </c>
      <c r="H36" s="26">
        <f>IF(計算用!$D$34="","",計算用!$AM$34)</f>
        <v/>
      </c>
      <c r="I36" s="26" t="n"/>
      <c r="J36" s="26" t="n"/>
      <c r="K36" s="26">
        <f>IF(計算用!$D$34="","",計算用!$AP$34)</f>
        <v/>
      </c>
      <c r="L36" s="26">
        <f>IF(計算用!$D$34="","",計算用!$AR$34)</f>
        <v/>
      </c>
      <c r="M36">
        <f>IF(計算用!$D$34="",IF(OR(I36&lt;&gt;"",J36&lt;&gt;""),"名前がありません",""),IF(計算用!$J$34="",IF(OR(I36&lt;&gt;"",J36&lt;&gt;""),"入力不足のため組に入りません","入力不足"),IF(AND(I36&lt;&gt;"",I36&lt;&gt;G36),"組を変更",IF(J36&lt;&gt;"","順番を指定",""))))</f>
        <v/>
      </c>
    </row>
    <row r="37">
      <c r="A37" s="26">
        <f>IF(計算用!$D$35="","",計算用!$M$35)</f>
        <v/>
      </c>
      <c r="B37" s="26">
        <f>IF(計算用!$D$35="","",計算用!$C$35)</f>
        <v/>
      </c>
      <c r="C37">
        <f>IF(計算用!$D$35="","",計算用!$D$35)</f>
        <v/>
      </c>
      <c r="D37" s="26">
        <f>IF(計算用!$D$35="","",計算用!$F$35)</f>
        <v/>
      </c>
      <c r="E37" s="26">
        <f>IF(計算用!$D$35="","",計算用!$I$35)</f>
        <v/>
      </c>
      <c r="F37" s="31">
        <f>IF(計算用!$D$35="","",計算用!$G$35)</f>
        <v/>
      </c>
      <c r="G37" s="26">
        <f>IF(計算用!$D$35="","",計算用!$AK$35)</f>
        <v/>
      </c>
      <c r="H37" s="26">
        <f>IF(計算用!$D$35="","",計算用!$AM$35)</f>
        <v/>
      </c>
      <c r="I37" s="26" t="n"/>
      <c r="J37" s="26" t="n"/>
      <c r="K37" s="26">
        <f>IF(計算用!$D$35="","",計算用!$AP$35)</f>
        <v/>
      </c>
      <c r="L37" s="26">
        <f>IF(計算用!$D$35="","",計算用!$AR$35)</f>
        <v/>
      </c>
      <c r="M37">
        <f>IF(計算用!$D$35="",IF(OR(I37&lt;&gt;"",J37&lt;&gt;""),"名前がありません",""),IF(計算用!$J$35="",IF(OR(I37&lt;&gt;"",J37&lt;&gt;""),"入力不足のため組に入りません","入力不足"),IF(AND(I37&lt;&gt;"",I37&lt;&gt;G37),"組を変更",IF(J37&lt;&gt;"","順番を指定",""))))</f>
        <v/>
      </c>
    </row>
    <row r="38">
      <c r="A38" s="26">
        <f>IF(計算用!$D$36="","",計算用!$M$36)</f>
        <v/>
      </c>
      <c r="B38" s="26">
        <f>IF(計算用!$D$36="","",計算用!$C$36)</f>
        <v/>
      </c>
      <c r="C38">
        <f>IF(計算用!$D$36="","",計算用!$D$36)</f>
        <v/>
      </c>
      <c r="D38" s="26">
        <f>IF(計算用!$D$36="","",計算用!$F$36)</f>
        <v/>
      </c>
      <c r="E38" s="26">
        <f>IF(計算用!$D$36="","",計算用!$I$36)</f>
        <v/>
      </c>
      <c r="F38" s="31">
        <f>IF(計算用!$D$36="","",計算用!$G$36)</f>
        <v/>
      </c>
      <c r="G38" s="26">
        <f>IF(計算用!$D$36="","",計算用!$AK$36)</f>
        <v/>
      </c>
      <c r="H38" s="26">
        <f>IF(計算用!$D$36="","",計算用!$AM$36)</f>
        <v/>
      </c>
      <c r="I38" s="26" t="n"/>
      <c r="J38" s="26" t="n"/>
      <c r="K38" s="26">
        <f>IF(計算用!$D$36="","",計算用!$AP$36)</f>
        <v/>
      </c>
      <c r="L38" s="26">
        <f>IF(計算用!$D$36="","",計算用!$AR$36)</f>
        <v/>
      </c>
      <c r="M38">
        <f>IF(計算用!$D$36="",IF(OR(I38&lt;&gt;"",J38&lt;&gt;""),"名前がありません",""),IF(計算用!$J$36="",IF(OR(I38&lt;&gt;"",J38&lt;&gt;""),"入力不足のため組に入りません","入力不足"),IF(AND(I38&lt;&gt;"",I38&lt;&gt;G38),"組を変更",IF(J38&lt;&gt;"","順番を指定",""))))</f>
        <v/>
      </c>
    </row>
    <row r="39">
      <c r="A39" s="26">
        <f>IF(計算用!$D$37="","",計算用!$M$37)</f>
        <v/>
      </c>
      <c r="B39" s="26">
        <f>IF(計算用!$D$37="","",計算用!$C$37)</f>
        <v/>
      </c>
      <c r="C39">
        <f>IF(計算用!$D$37="","",計算用!$D$37)</f>
        <v/>
      </c>
      <c r="D39" s="26">
        <f>IF(計算用!$D$37="","",計算用!$F$37)</f>
        <v/>
      </c>
      <c r="E39" s="26">
        <f>IF(計算用!$D$37="","",計算用!$I$37)</f>
        <v/>
      </c>
      <c r="F39" s="31">
        <f>IF(計算用!$D$37="","",計算用!$G$37)</f>
        <v/>
      </c>
      <c r="G39" s="26">
        <f>IF(計算用!$D$37="","",計算用!$AK$37)</f>
        <v/>
      </c>
      <c r="H39" s="26">
        <f>IF(計算用!$D$37="","",計算用!$AM$37)</f>
        <v/>
      </c>
      <c r="I39" s="26" t="n"/>
      <c r="J39" s="26" t="n"/>
      <c r="K39" s="26">
        <f>IF(計算用!$D$37="","",計算用!$AP$37)</f>
        <v/>
      </c>
      <c r="L39" s="26">
        <f>IF(計算用!$D$37="","",計算用!$AR$37)</f>
        <v/>
      </c>
      <c r="M39">
        <f>IF(計算用!$D$37="",IF(OR(I39&lt;&gt;"",J39&lt;&gt;""),"名前がありません",""),IF(計算用!$J$37="",IF(OR(I39&lt;&gt;"",J39&lt;&gt;""),"入力不足のため組に入りません","入力不足"),IF(AND(I39&lt;&gt;"",I39&lt;&gt;G39),"組を変更",IF(J39&lt;&gt;"","順番を指定",""))))</f>
        <v/>
      </c>
    </row>
    <row r="40">
      <c r="A40" s="26">
        <f>IF(計算用!$D$38="","",計算用!$M$38)</f>
        <v/>
      </c>
      <c r="B40" s="26">
        <f>IF(計算用!$D$38="","",計算用!$C$38)</f>
        <v/>
      </c>
      <c r="C40">
        <f>IF(計算用!$D$38="","",計算用!$D$38)</f>
        <v/>
      </c>
      <c r="D40" s="26">
        <f>IF(計算用!$D$38="","",計算用!$F$38)</f>
        <v/>
      </c>
      <c r="E40" s="26">
        <f>IF(計算用!$D$38="","",計算用!$I$38)</f>
        <v/>
      </c>
      <c r="F40" s="31">
        <f>IF(計算用!$D$38="","",計算用!$G$38)</f>
        <v/>
      </c>
      <c r="G40" s="26">
        <f>IF(計算用!$D$38="","",計算用!$AK$38)</f>
        <v/>
      </c>
      <c r="H40" s="26">
        <f>IF(計算用!$D$38="","",計算用!$AM$38)</f>
        <v/>
      </c>
      <c r="I40" s="26" t="n"/>
      <c r="J40" s="26" t="n"/>
      <c r="K40" s="26">
        <f>IF(計算用!$D$38="","",計算用!$AP$38)</f>
        <v/>
      </c>
      <c r="L40" s="26">
        <f>IF(計算用!$D$38="","",計算用!$AR$38)</f>
        <v/>
      </c>
      <c r="M40">
        <f>IF(計算用!$D$38="",IF(OR(I40&lt;&gt;"",J40&lt;&gt;""),"名前がありません",""),IF(計算用!$J$38="",IF(OR(I40&lt;&gt;"",J40&lt;&gt;""),"入力不足のため組に入りません","入力不足"),IF(AND(I40&lt;&gt;"",I40&lt;&gt;G40),"組を変更",IF(J40&lt;&gt;"","順番を指定",""))))</f>
        <v/>
      </c>
    </row>
    <row r="41">
      <c r="A41" s="26">
        <f>IF(計算用!$D$39="","",計算用!$M$39)</f>
        <v/>
      </c>
      <c r="B41" s="26">
        <f>IF(計算用!$D$39="","",計算用!$C$39)</f>
        <v/>
      </c>
      <c r="C41">
        <f>IF(計算用!$D$39="","",計算用!$D$39)</f>
        <v/>
      </c>
      <c r="D41" s="26">
        <f>IF(計算用!$D$39="","",計算用!$F$39)</f>
        <v/>
      </c>
      <c r="E41" s="26">
        <f>IF(計算用!$D$39="","",計算用!$I$39)</f>
        <v/>
      </c>
      <c r="F41" s="31">
        <f>IF(計算用!$D$39="","",計算用!$G$39)</f>
        <v/>
      </c>
      <c r="G41" s="26">
        <f>IF(計算用!$D$39="","",計算用!$AK$39)</f>
        <v/>
      </c>
      <c r="H41" s="26">
        <f>IF(計算用!$D$39="","",計算用!$AM$39)</f>
        <v/>
      </c>
      <c r="I41" s="26" t="n"/>
      <c r="J41" s="26" t="n"/>
      <c r="K41" s="26">
        <f>IF(計算用!$D$39="","",計算用!$AP$39)</f>
        <v/>
      </c>
      <c r="L41" s="26">
        <f>IF(計算用!$D$39="","",計算用!$AR$39)</f>
        <v/>
      </c>
      <c r="M41">
        <f>IF(計算用!$D$39="",IF(OR(I41&lt;&gt;"",J41&lt;&gt;""),"名前がありません",""),IF(計算用!$J$39="",IF(OR(I41&lt;&gt;"",J41&lt;&gt;""),"入力不足のため組に入りません","入力不足"),IF(AND(I41&lt;&gt;"",I41&lt;&gt;G41),"組を変更",IF(J41&lt;&gt;"","順番を指定",""))))</f>
        <v/>
      </c>
    </row>
    <row r="42">
      <c r="A42" s="26">
        <f>IF(計算用!$D$40="","",計算用!$M$40)</f>
        <v/>
      </c>
      <c r="B42" s="26">
        <f>IF(計算用!$D$40="","",計算用!$C$40)</f>
        <v/>
      </c>
      <c r="C42">
        <f>IF(計算用!$D$40="","",計算用!$D$40)</f>
        <v/>
      </c>
      <c r="D42" s="26">
        <f>IF(計算用!$D$40="","",計算用!$F$40)</f>
        <v/>
      </c>
      <c r="E42" s="26">
        <f>IF(計算用!$D$40="","",計算用!$I$40)</f>
        <v/>
      </c>
      <c r="F42" s="31">
        <f>IF(計算用!$D$40="","",計算用!$G$40)</f>
        <v/>
      </c>
      <c r="G42" s="26">
        <f>IF(計算用!$D$40="","",計算用!$AK$40)</f>
        <v/>
      </c>
      <c r="H42" s="26">
        <f>IF(計算用!$D$40="","",計算用!$AM$40)</f>
        <v/>
      </c>
      <c r="I42" s="26" t="n"/>
      <c r="J42" s="26" t="n"/>
      <c r="K42" s="26">
        <f>IF(計算用!$D$40="","",計算用!$AP$40)</f>
        <v/>
      </c>
      <c r="L42" s="26">
        <f>IF(計算用!$D$40="","",計算用!$AR$40)</f>
        <v/>
      </c>
      <c r="M42">
        <f>IF(計算用!$D$40="",IF(OR(I42&lt;&gt;"",J42&lt;&gt;""),"名前がありません",""),IF(計算用!$J$40="",IF(OR(I42&lt;&gt;"",J42&lt;&gt;""),"入力不足のため組に入りません","入力不足"),IF(AND(I42&lt;&gt;"",I42&lt;&gt;G42),"組を変更",IF(J42&lt;&gt;"","順番を指定",""))))</f>
        <v/>
      </c>
    </row>
    <row r="43">
      <c r="A43" s="26">
        <f>IF(計算用!$D$41="","",計算用!$M$41)</f>
        <v/>
      </c>
      <c r="B43" s="26">
        <f>IF(計算用!$D$41="","",計算用!$C$41)</f>
        <v/>
      </c>
      <c r="C43">
        <f>IF(計算用!$D$41="","",計算用!$D$41)</f>
        <v/>
      </c>
      <c r="D43" s="26">
        <f>IF(計算用!$D$41="","",計算用!$F$41)</f>
        <v/>
      </c>
      <c r="E43" s="26">
        <f>IF(計算用!$D$41="","",計算用!$I$41)</f>
        <v/>
      </c>
      <c r="F43" s="31">
        <f>IF(計算用!$D$41="","",計算用!$G$41)</f>
        <v/>
      </c>
      <c r="G43" s="26">
        <f>IF(計算用!$D$41="","",計算用!$AK$41)</f>
        <v/>
      </c>
      <c r="H43" s="26">
        <f>IF(計算用!$D$41="","",計算用!$AM$41)</f>
        <v/>
      </c>
      <c r="I43" s="26" t="n"/>
      <c r="J43" s="26" t="n"/>
      <c r="K43" s="26">
        <f>IF(計算用!$D$41="","",計算用!$AP$41)</f>
        <v/>
      </c>
      <c r="L43" s="26">
        <f>IF(計算用!$D$41="","",計算用!$AR$41)</f>
        <v/>
      </c>
      <c r="M43">
        <f>IF(計算用!$D$41="",IF(OR(I43&lt;&gt;"",J43&lt;&gt;""),"名前がありません",""),IF(計算用!$J$41="",IF(OR(I43&lt;&gt;"",J43&lt;&gt;""),"入力不足のため組に入りません","入力不足"),IF(AND(I43&lt;&gt;"",I43&lt;&gt;G43),"組を変更",IF(J43&lt;&gt;"","順番を指定",""))))</f>
        <v/>
      </c>
    </row>
    <row r="44">
      <c r="A44" s="26">
        <f>IF(計算用!$D$42="","",計算用!$M$42)</f>
        <v/>
      </c>
      <c r="B44" s="26">
        <f>IF(計算用!$D$42="","",計算用!$C$42)</f>
        <v/>
      </c>
      <c r="C44">
        <f>IF(計算用!$D$42="","",計算用!$D$42)</f>
        <v/>
      </c>
      <c r="D44" s="26">
        <f>IF(計算用!$D$42="","",計算用!$F$42)</f>
        <v/>
      </c>
      <c r="E44" s="26">
        <f>IF(計算用!$D$42="","",計算用!$I$42)</f>
        <v/>
      </c>
      <c r="F44" s="31">
        <f>IF(計算用!$D$42="","",計算用!$G$42)</f>
        <v/>
      </c>
      <c r="G44" s="26">
        <f>IF(計算用!$D$42="","",計算用!$AK$42)</f>
        <v/>
      </c>
      <c r="H44" s="26">
        <f>IF(計算用!$D$42="","",計算用!$AM$42)</f>
        <v/>
      </c>
      <c r="I44" s="26" t="n"/>
      <c r="J44" s="26" t="n"/>
      <c r="K44" s="26">
        <f>IF(計算用!$D$42="","",計算用!$AP$42)</f>
        <v/>
      </c>
      <c r="L44" s="26">
        <f>IF(計算用!$D$42="","",計算用!$AR$42)</f>
        <v/>
      </c>
      <c r="M44">
        <f>IF(計算用!$D$42="",IF(OR(I44&lt;&gt;"",J44&lt;&gt;""),"名前がありません",""),IF(計算用!$J$42="",IF(OR(I44&lt;&gt;"",J44&lt;&gt;""),"入力不足のため組に入りません","入力不足"),IF(AND(I44&lt;&gt;"",I44&lt;&gt;G44),"組を変更",IF(J44&lt;&gt;"","順番を指定",""))))</f>
        <v/>
      </c>
    </row>
    <row r="45">
      <c r="A45" s="26">
        <f>IF(計算用!$D$43="","",計算用!$M$43)</f>
        <v/>
      </c>
      <c r="B45" s="26">
        <f>IF(計算用!$D$43="","",計算用!$C$43)</f>
        <v/>
      </c>
      <c r="C45">
        <f>IF(計算用!$D$43="","",計算用!$D$43)</f>
        <v/>
      </c>
      <c r="D45" s="26">
        <f>IF(計算用!$D$43="","",計算用!$F$43)</f>
        <v/>
      </c>
      <c r="E45" s="26">
        <f>IF(計算用!$D$43="","",計算用!$I$43)</f>
        <v/>
      </c>
      <c r="F45" s="31">
        <f>IF(計算用!$D$43="","",計算用!$G$43)</f>
        <v/>
      </c>
      <c r="G45" s="26">
        <f>IF(計算用!$D$43="","",計算用!$AK$43)</f>
        <v/>
      </c>
      <c r="H45" s="26">
        <f>IF(計算用!$D$43="","",計算用!$AM$43)</f>
        <v/>
      </c>
      <c r="I45" s="26" t="n"/>
      <c r="J45" s="26" t="n"/>
      <c r="K45" s="26">
        <f>IF(計算用!$D$43="","",計算用!$AP$43)</f>
        <v/>
      </c>
      <c r="L45" s="26">
        <f>IF(計算用!$D$43="","",計算用!$AR$43)</f>
        <v/>
      </c>
      <c r="M45">
        <f>IF(計算用!$D$43="",IF(OR(I45&lt;&gt;"",J45&lt;&gt;""),"名前がありません",""),IF(計算用!$J$43="",IF(OR(I45&lt;&gt;"",J45&lt;&gt;""),"入力不足のため組に入りません","入力不足"),IF(AND(I45&lt;&gt;"",I45&lt;&gt;G45),"組を変更",IF(J45&lt;&gt;"","順番を指定",""))))</f>
        <v/>
      </c>
    </row>
    <row r="46">
      <c r="A46" s="26">
        <f>IF(計算用!$D$44="","",計算用!$M$44)</f>
        <v/>
      </c>
      <c r="B46" s="26">
        <f>IF(計算用!$D$44="","",計算用!$C$44)</f>
        <v/>
      </c>
      <c r="C46">
        <f>IF(計算用!$D$44="","",計算用!$D$44)</f>
        <v/>
      </c>
      <c r="D46" s="26">
        <f>IF(計算用!$D$44="","",計算用!$F$44)</f>
        <v/>
      </c>
      <c r="E46" s="26">
        <f>IF(計算用!$D$44="","",計算用!$I$44)</f>
        <v/>
      </c>
      <c r="F46" s="31">
        <f>IF(計算用!$D$44="","",計算用!$G$44)</f>
        <v/>
      </c>
      <c r="G46" s="26">
        <f>IF(計算用!$D$44="","",計算用!$AK$44)</f>
        <v/>
      </c>
      <c r="H46" s="26">
        <f>IF(計算用!$D$44="","",計算用!$AM$44)</f>
        <v/>
      </c>
      <c r="I46" s="26" t="n"/>
      <c r="J46" s="26" t="n"/>
      <c r="K46" s="26">
        <f>IF(計算用!$D$44="","",計算用!$AP$44)</f>
        <v/>
      </c>
      <c r="L46" s="26">
        <f>IF(計算用!$D$44="","",計算用!$AR$44)</f>
        <v/>
      </c>
      <c r="M46">
        <f>IF(計算用!$D$44="",IF(OR(I46&lt;&gt;"",J46&lt;&gt;""),"名前がありません",""),IF(計算用!$J$44="",IF(OR(I46&lt;&gt;"",J46&lt;&gt;""),"入力不足のため組に入りません","入力不足"),IF(AND(I46&lt;&gt;"",I46&lt;&gt;G46),"組を変更",IF(J46&lt;&gt;"","順番を指定",""))))</f>
        <v/>
      </c>
    </row>
    <row r="47">
      <c r="A47" s="26">
        <f>IF(計算用!$D$45="","",計算用!$M$45)</f>
        <v/>
      </c>
      <c r="B47" s="26">
        <f>IF(計算用!$D$45="","",計算用!$C$45)</f>
        <v/>
      </c>
      <c r="C47">
        <f>IF(計算用!$D$45="","",計算用!$D$45)</f>
        <v/>
      </c>
      <c r="D47" s="26">
        <f>IF(計算用!$D$45="","",計算用!$F$45)</f>
        <v/>
      </c>
      <c r="E47" s="26">
        <f>IF(計算用!$D$45="","",計算用!$I$45)</f>
        <v/>
      </c>
      <c r="F47" s="31">
        <f>IF(計算用!$D$45="","",計算用!$G$45)</f>
        <v/>
      </c>
      <c r="G47" s="26">
        <f>IF(計算用!$D$45="","",計算用!$AK$45)</f>
        <v/>
      </c>
      <c r="H47" s="26">
        <f>IF(計算用!$D$45="","",計算用!$AM$45)</f>
        <v/>
      </c>
      <c r="I47" s="26" t="n"/>
      <c r="J47" s="26" t="n"/>
      <c r="K47" s="26">
        <f>IF(計算用!$D$45="","",計算用!$AP$45)</f>
        <v/>
      </c>
      <c r="L47" s="26">
        <f>IF(計算用!$D$45="","",計算用!$AR$45)</f>
        <v/>
      </c>
      <c r="M47">
        <f>IF(計算用!$D$45="",IF(OR(I47&lt;&gt;"",J47&lt;&gt;""),"名前がありません",""),IF(計算用!$J$45="",IF(OR(I47&lt;&gt;"",J47&lt;&gt;""),"入力不足のため組に入りません","入力不足"),IF(AND(I47&lt;&gt;"",I47&lt;&gt;G47),"組を変更",IF(J47&lt;&gt;"","順番を指定",""))))</f>
        <v/>
      </c>
    </row>
    <row r="48">
      <c r="A48" s="26">
        <f>IF(計算用!$D$46="","",計算用!$M$46)</f>
        <v/>
      </c>
      <c r="B48" s="26">
        <f>IF(計算用!$D$46="","",計算用!$C$46)</f>
        <v/>
      </c>
      <c r="C48">
        <f>IF(計算用!$D$46="","",計算用!$D$46)</f>
        <v/>
      </c>
      <c r="D48" s="26">
        <f>IF(計算用!$D$46="","",計算用!$F$46)</f>
        <v/>
      </c>
      <c r="E48" s="26">
        <f>IF(計算用!$D$46="","",計算用!$I$46)</f>
        <v/>
      </c>
      <c r="F48" s="31">
        <f>IF(計算用!$D$46="","",計算用!$G$46)</f>
        <v/>
      </c>
      <c r="G48" s="26">
        <f>IF(計算用!$D$46="","",計算用!$AK$46)</f>
        <v/>
      </c>
      <c r="H48" s="26">
        <f>IF(計算用!$D$46="","",計算用!$AM$46)</f>
        <v/>
      </c>
      <c r="I48" s="26" t="n"/>
      <c r="J48" s="26" t="n"/>
      <c r="K48" s="26">
        <f>IF(計算用!$D$46="","",計算用!$AP$46)</f>
        <v/>
      </c>
      <c r="L48" s="26">
        <f>IF(計算用!$D$46="","",計算用!$AR$46)</f>
        <v/>
      </c>
      <c r="M48">
        <f>IF(計算用!$D$46="",IF(OR(I48&lt;&gt;"",J48&lt;&gt;""),"名前がありません",""),IF(計算用!$J$46="",IF(OR(I48&lt;&gt;"",J48&lt;&gt;""),"入力不足のため組に入りません","入力不足"),IF(AND(I48&lt;&gt;"",I48&lt;&gt;G48),"組を変更",IF(J48&lt;&gt;"","順番を指定",""))))</f>
        <v/>
      </c>
    </row>
    <row r="49">
      <c r="A49" s="26">
        <f>IF(計算用!$D$47="","",計算用!$M$47)</f>
        <v/>
      </c>
      <c r="B49" s="26">
        <f>IF(計算用!$D$47="","",計算用!$C$47)</f>
        <v/>
      </c>
      <c r="C49">
        <f>IF(計算用!$D$47="","",計算用!$D$47)</f>
        <v/>
      </c>
      <c r="D49" s="26">
        <f>IF(計算用!$D$47="","",計算用!$F$47)</f>
        <v/>
      </c>
      <c r="E49" s="26">
        <f>IF(計算用!$D$47="","",計算用!$I$47)</f>
        <v/>
      </c>
      <c r="F49" s="31">
        <f>IF(計算用!$D$47="","",計算用!$G$47)</f>
        <v/>
      </c>
      <c r="G49" s="26">
        <f>IF(計算用!$D$47="","",計算用!$AK$47)</f>
        <v/>
      </c>
      <c r="H49" s="26">
        <f>IF(計算用!$D$47="","",計算用!$AM$47)</f>
        <v/>
      </c>
      <c r="I49" s="26" t="n"/>
      <c r="J49" s="26" t="n"/>
      <c r="K49" s="26">
        <f>IF(計算用!$D$47="","",計算用!$AP$47)</f>
        <v/>
      </c>
      <c r="L49" s="26">
        <f>IF(計算用!$D$47="","",計算用!$AR$47)</f>
        <v/>
      </c>
      <c r="M49">
        <f>IF(計算用!$D$47="",IF(OR(I49&lt;&gt;"",J49&lt;&gt;""),"名前がありません",""),IF(計算用!$J$47="",IF(OR(I49&lt;&gt;"",J49&lt;&gt;""),"入力不足のため組に入りません","入力不足"),IF(AND(I49&lt;&gt;"",I49&lt;&gt;G49),"組を変更",IF(J49&lt;&gt;"","順番を指定",""))))</f>
        <v/>
      </c>
    </row>
    <row r="50">
      <c r="A50" s="26">
        <f>IF(計算用!$D$48="","",計算用!$M$48)</f>
        <v/>
      </c>
      <c r="B50" s="26">
        <f>IF(計算用!$D$48="","",計算用!$C$48)</f>
        <v/>
      </c>
      <c r="C50">
        <f>IF(計算用!$D$48="","",計算用!$D$48)</f>
        <v/>
      </c>
      <c r="D50" s="26">
        <f>IF(計算用!$D$48="","",計算用!$F$48)</f>
        <v/>
      </c>
      <c r="E50" s="26">
        <f>IF(計算用!$D$48="","",計算用!$I$48)</f>
        <v/>
      </c>
      <c r="F50" s="31">
        <f>IF(計算用!$D$48="","",計算用!$G$48)</f>
        <v/>
      </c>
      <c r="G50" s="26">
        <f>IF(計算用!$D$48="","",計算用!$AK$48)</f>
        <v/>
      </c>
      <c r="H50" s="26">
        <f>IF(計算用!$D$48="","",計算用!$AM$48)</f>
        <v/>
      </c>
      <c r="I50" s="26" t="n"/>
      <c r="J50" s="26" t="n"/>
      <c r="K50" s="26">
        <f>IF(計算用!$D$48="","",計算用!$AP$48)</f>
        <v/>
      </c>
      <c r="L50" s="26">
        <f>IF(計算用!$D$48="","",計算用!$AR$48)</f>
        <v/>
      </c>
      <c r="M50">
        <f>IF(計算用!$D$48="",IF(OR(I50&lt;&gt;"",J50&lt;&gt;""),"名前がありません",""),IF(計算用!$J$48="",IF(OR(I50&lt;&gt;"",J50&lt;&gt;""),"入力不足のため組に入りません","入力不足"),IF(AND(I50&lt;&gt;"",I50&lt;&gt;G50),"組を変更",IF(J50&lt;&gt;"","順番を指定",""))))</f>
        <v/>
      </c>
    </row>
    <row r="51">
      <c r="A51" s="26">
        <f>IF(計算用!$D$49="","",計算用!$M$49)</f>
        <v/>
      </c>
      <c r="B51" s="26">
        <f>IF(計算用!$D$49="","",計算用!$C$49)</f>
        <v/>
      </c>
      <c r="C51">
        <f>IF(計算用!$D$49="","",計算用!$D$49)</f>
        <v/>
      </c>
      <c r="D51" s="26">
        <f>IF(計算用!$D$49="","",計算用!$F$49)</f>
        <v/>
      </c>
      <c r="E51" s="26">
        <f>IF(計算用!$D$49="","",計算用!$I$49)</f>
        <v/>
      </c>
      <c r="F51" s="31">
        <f>IF(計算用!$D$49="","",計算用!$G$49)</f>
        <v/>
      </c>
      <c r="G51" s="26">
        <f>IF(計算用!$D$49="","",計算用!$AK$49)</f>
        <v/>
      </c>
      <c r="H51" s="26">
        <f>IF(計算用!$D$49="","",計算用!$AM$49)</f>
        <v/>
      </c>
      <c r="I51" s="26" t="n"/>
      <c r="J51" s="26" t="n"/>
      <c r="K51" s="26">
        <f>IF(計算用!$D$49="","",計算用!$AP$49)</f>
        <v/>
      </c>
      <c r="L51" s="26">
        <f>IF(計算用!$D$49="","",計算用!$AR$49)</f>
        <v/>
      </c>
      <c r="M51">
        <f>IF(計算用!$D$49="",IF(OR(I51&lt;&gt;"",J51&lt;&gt;""),"名前がありません",""),IF(計算用!$J$49="",IF(OR(I51&lt;&gt;"",J51&lt;&gt;""),"入力不足のため組に入りません","入力不足"),IF(AND(I51&lt;&gt;"",I51&lt;&gt;G51),"組を変更",IF(J51&lt;&gt;"","順番を指定",""))))</f>
        <v/>
      </c>
    </row>
    <row r="52">
      <c r="A52" s="26">
        <f>IF(計算用!$D$50="","",計算用!$M$50)</f>
        <v/>
      </c>
      <c r="B52" s="26">
        <f>IF(計算用!$D$50="","",計算用!$C$50)</f>
        <v/>
      </c>
      <c r="C52">
        <f>IF(計算用!$D$50="","",計算用!$D$50)</f>
        <v/>
      </c>
      <c r="D52" s="26">
        <f>IF(計算用!$D$50="","",計算用!$F$50)</f>
        <v/>
      </c>
      <c r="E52" s="26">
        <f>IF(計算用!$D$50="","",計算用!$I$50)</f>
        <v/>
      </c>
      <c r="F52" s="31">
        <f>IF(計算用!$D$50="","",計算用!$G$50)</f>
        <v/>
      </c>
      <c r="G52" s="26">
        <f>IF(計算用!$D$50="","",計算用!$AK$50)</f>
        <v/>
      </c>
      <c r="H52" s="26">
        <f>IF(計算用!$D$50="","",計算用!$AM$50)</f>
        <v/>
      </c>
      <c r="I52" s="26" t="n"/>
      <c r="J52" s="26" t="n"/>
      <c r="K52" s="26">
        <f>IF(計算用!$D$50="","",計算用!$AP$50)</f>
        <v/>
      </c>
      <c r="L52" s="26">
        <f>IF(計算用!$D$50="","",計算用!$AR$50)</f>
        <v/>
      </c>
      <c r="M52">
        <f>IF(計算用!$D$50="",IF(OR(I52&lt;&gt;"",J52&lt;&gt;""),"名前がありません",""),IF(計算用!$J$50="",IF(OR(I52&lt;&gt;"",J52&lt;&gt;""),"入力不足のため組に入りません","入力不足"),IF(AND(I52&lt;&gt;"",I52&lt;&gt;G52),"組を変更",IF(J52&lt;&gt;"","順番を指定",""))))</f>
        <v/>
      </c>
    </row>
    <row r="53">
      <c r="A53" s="26">
        <f>IF(計算用!$D$51="","",計算用!$M$51)</f>
        <v/>
      </c>
      <c r="B53" s="26">
        <f>IF(計算用!$D$51="","",計算用!$C$51)</f>
        <v/>
      </c>
      <c r="C53">
        <f>IF(計算用!$D$51="","",計算用!$D$51)</f>
        <v/>
      </c>
      <c r="D53" s="26">
        <f>IF(計算用!$D$51="","",計算用!$F$51)</f>
        <v/>
      </c>
      <c r="E53" s="26">
        <f>IF(計算用!$D$51="","",計算用!$I$51)</f>
        <v/>
      </c>
      <c r="F53" s="31">
        <f>IF(計算用!$D$51="","",計算用!$G$51)</f>
        <v/>
      </c>
      <c r="G53" s="26">
        <f>IF(計算用!$D$51="","",計算用!$AK$51)</f>
        <v/>
      </c>
      <c r="H53" s="26">
        <f>IF(計算用!$D$51="","",計算用!$AM$51)</f>
        <v/>
      </c>
      <c r="I53" s="26" t="n"/>
      <c r="J53" s="26" t="n"/>
      <c r="K53" s="26">
        <f>IF(計算用!$D$51="","",計算用!$AP$51)</f>
        <v/>
      </c>
      <c r="L53" s="26">
        <f>IF(計算用!$D$51="","",計算用!$AR$51)</f>
        <v/>
      </c>
      <c r="M53">
        <f>IF(計算用!$D$51="",IF(OR(I53&lt;&gt;"",J53&lt;&gt;""),"名前がありません",""),IF(計算用!$J$51="",IF(OR(I53&lt;&gt;"",J53&lt;&gt;""),"入力不足のため組に入りません","入力不足"),IF(AND(I53&lt;&gt;"",I53&lt;&gt;G53),"組を変更",IF(J53&lt;&gt;"","順番を指定",""))))</f>
        <v/>
      </c>
    </row>
    <row r="54">
      <c r="A54" s="26">
        <f>IF(計算用!$D$52="","",計算用!$M$52)</f>
        <v/>
      </c>
      <c r="B54" s="26">
        <f>IF(計算用!$D$52="","",計算用!$C$52)</f>
        <v/>
      </c>
      <c r="C54">
        <f>IF(計算用!$D$52="","",計算用!$D$52)</f>
        <v/>
      </c>
      <c r="D54" s="26">
        <f>IF(計算用!$D$52="","",計算用!$F$52)</f>
        <v/>
      </c>
      <c r="E54" s="26">
        <f>IF(計算用!$D$52="","",計算用!$I$52)</f>
        <v/>
      </c>
      <c r="F54" s="31">
        <f>IF(計算用!$D$52="","",計算用!$G$52)</f>
        <v/>
      </c>
      <c r="G54" s="26">
        <f>IF(計算用!$D$52="","",計算用!$AK$52)</f>
        <v/>
      </c>
      <c r="H54" s="26">
        <f>IF(計算用!$D$52="","",計算用!$AM$52)</f>
        <v/>
      </c>
      <c r="I54" s="26" t="n"/>
      <c r="J54" s="26" t="n"/>
      <c r="K54" s="26">
        <f>IF(計算用!$D$52="","",計算用!$AP$52)</f>
        <v/>
      </c>
      <c r="L54" s="26">
        <f>IF(計算用!$D$52="","",計算用!$AR$52)</f>
        <v/>
      </c>
      <c r="M54">
        <f>IF(計算用!$D$52="",IF(OR(I54&lt;&gt;"",J54&lt;&gt;""),"名前がありません",""),IF(計算用!$J$52="",IF(OR(I54&lt;&gt;"",J54&lt;&gt;""),"入力不足のため組に入りません","入力不足"),IF(AND(I54&lt;&gt;"",I54&lt;&gt;G54),"組を変更",IF(J54&lt;&gt;"","順番を指定",""))))</f>
        <v/>
      </c>
    </row>
    <row r="55">
      <c r="A55" s="26">
        <f>IF(計算用!$D$53="","",計算用!$M$53)</f>
        <v/>
      </c>
      <c r="B55" s="26">
        <f>IF(計算用!$D$53="","",計算用!$C$53)</f>
        <v/>
      </c>
      <c r="C55">
        <f>IF(計算用!$D$53="","",計算用!$D$53)</f>
        <v/>
      </c>
      <c r="D55" s="26">
        <f>IF(計算用!$D$53="","",計算用!$F$53)</f>
        <v/>
      </c>
      <c r="E55" s="26">
        <f>IF(計算用!$D$53="","",計算用!$I$53)</f>
        <v/>
      </c>
      <c r="F55" s="31">
        <f>IF(計算用!$D$53="","",計算用!$G$53)</f>
        <v/>
      </c>
      <c r="G55" s="26">
        <f>IF(計算用!$D$53="","",計算用!$AK$53)</f>
        <v/>
      </c>
      <c r="H55" s="26">
        <f>IF(計算用!$D$53="","",計算用!$AM$53)</f>
        <v/>
      </c>
      <c r="I55" s="26" t="n"/>
      <c r="J55" s="26" t="n"/>
      <c r="K55" s="26">
        <f>IF(計算用!$D$53="","",計算用!$AP$53)</f>
        <v/>
      </c>
      <c r="L55" s="26">
        <f>IF(計算用!$D$53="","",計算用!$AR$53)</f>
        <v/>
      </c>
      <c r="M55">
        <f>IF(計算用!$D$53="",IF(OR(I55&lt;&gt;"",J55&lt;&gt;""),"名前がありません",""),IF(計算用!$J$53="",IF(OR(I55&lt;&gt;"",J55&lt;&gt;""),"入力不足のため組に入りません","入力不足"),IF(AND(I55&lt;&gt;"",I55&lt;&gt;G55),"組を変更",IF(J55&lt;&gt;"","順番を指定",""))))</f>
        <v/>
      </c>
    </row>
    <row r="56">
      <c r="A56" s="26">
        <f>IF(計算用!$D$54="","",計算用!$M$54)</f>
        <v/>
      </c>
      <c r="B56" s="26">
        <f>IF(計算用!$D$54="","",計算用!$C$54)</f>
        <v/>
      </c>
      <c r="C56">
        <f>IF(計算用!$D$54="","",計算用!$D$54)</f>
        <v/>
      </c>
      <c r="D56" s="26">
        <f>IF(計算用!$D$54="","",計算用!$F$54)</f>
        <v/>
      </c>
      <c r="E56" s="26">
        <f>IF(計算用!$D$54="","",計算用!$I$54)</f>
        <v/>
      </c>
      <c r="F56" s="31">
        <f>IF(計算用!$D$54="","",計算用!$G$54)</f>
        <v/>
      </c>
      <c r="G56" s="26">
        <f>IF(計算用!$D$54="","",計算用!$AK$54)</f>
        <v/>
      </c>
      <c r="H56" s="26">
        <f>IF(計算用!$D$54="","",計算用!$AM$54)</f>
        <v/>
      </c>
      <c r="I56" s="26" t="n"/>
      <c r="J56" s="26" t="n"/>
      <c r="K56" s="26">
        <f>IF(計算用!$D$54="","",計算用!$AP$54)</f>
        <v/>
      </c>
      <c r="L56" s="26">
        <f>IF(計算用!$D$54="","",計算用!$AR$54)</f>
        <v/>
      </c>
      <c r="M56">
        <f>IF(計算用!$D$54="",IF(OR(I56&lt;&gt;"",J56&lt;&gt;""),"名前がありません",""),IF(計算用!$J$54="",IF(OR(I56&lt;&gt;"",J56&lt;&gt;""),"入力不足のため組に入りません","入力不足"),IF(AND(I56&lt;&gt;"",I56&lt;&gt;G56),"組を変更",IF(J56&lt;&gt;"","順番を指定",""))))</f>
        <v/>
      </c>
    </row>
    <row r="57">
      <c r="A57" s="26">
        <f>IF(計算用!$D$55="","",計算用!$M$55)</f>
        <v/>
      </c>
      <c r="B57" s="26">
        <f>IF(計算用!$D$55="","",計算用!$C$55)</f>
        <v/>
      </c>
      <c r="C57">
        <f>IF(計算用!$D$55="","",計算用!$D$55)</f>
        <v/>
      </c>
      <c r="D57" s="26">
        <f>IF(計算用!$D$55="","",計算用!$F$55)</f>
        <v/>
      </c>
      <c r="E57" s="26">
        <f>IF(計算用!$D$55="","",計算用!$I$55)</f>
        <v/>
      </c>
      <c r="F57" s="31">
        <f>IF(計算用!$D$55="","",計算用!$G$55)</f>
        <v/>
      </c>
      <c r="G57" s="26">
        <f>IF(計算用!$D$55="","",計算用!$AK$55)</f>
        <v/>
      </c>
      <c r="H57" s="26">
        <f>IF(計算用!$D$55="","",計算用!$AM$55)</f>
        <v/>
      </c>
      <c r="I57" s="26" t="n"/>
      <c r="J57" s="26" t="n"/>
      <c r="K57" s="26">
        <f>IF(計算用!$D$55="","",計算用!$AP$55)</f>
        <v/>
      </c>
      <c r="L57" s="26">
        <f>IF(計算用!$D$55="","",計算用!$AR$55)</f>
        <v/>
      </c>
      <c r="M57">
        <f>IF(計算用!$D$55="",IF(OR(I57&lt;&gt;"",J57&lt;&gt;""),"名前がありません",""),IF(計算用!$J$55="",IF(OR(I57&lt;&gt;"",J57&lt;&gt;""),"入力不足のため組に入りません","入力不足"),IF(AND(I57&lt;&gt;"",I57&lt;&gt;G57),"組を変更",IF(J57&lt;&gt;"","順番を指定",""))))</f>
        <v/>
      </c>
    </row>
    <row r="58">
      <c r="A58" s="26">
        <f>IF(計算用!$D$56="","",計算用!$M$56)</f>
        <v/>
      </c>
      <c r="B58" s="26">
        <f>IF(計算用!$D$56="","",計算用!$C$56)</f>
        <v/>
      </c>
      <c r="C58">
        <f>IF(計算用!$D$56="","",計算用!$D$56)</f>
        <v/>
      </c>
      <c r="D58" s="26">
        <f>IF(計算用!$D$56="","",計算用!$F$56)</f>
        <v/>
      </c>
      <c r="E58" s="26">
        <f>IF(計算用!$D$56="","",計算用!$I$56)</f>
        <v/>
      </c>
      <c r="F58" s="31">
        <f>IF(計算用!$D$56="","",計算用!$G$56)</f>
        <v/>
      </c>
      <c r="G58" s="26">
        <f>IF(計算用!$D$56="","",計算用!$AK$56)</f>
        <v/>
      </c>
      <c r="H58" s="26">
        <f>IF(計算用!$D$56="","",計算用!$AM$56)</f>
        <v/>
      </c>
      <c r="I58" s="26" t="n"/>
      <c r="J58" s="26" t="n"/>
      <c r="K58" s="26">
        <f>IF(計算用!$D$56="","",計算用!$AP$56)</f>
        <v/>
      </c>
      <c r="L58" s="26">
        <f>IF(計算用!$D$56="","",計算用!$AR$56)</f>
        <v/>
      </c>
      <c r="M58">
        <f>IF(計算用!$D$56="",IF(OR(I58&lt;&gt;"",J58&lt;&gt;""),"名前がありません",""),IF(計算用!$J$56="",IF(OR(I58&lt;&gt;"",J58&lt;&gt;""),"入力不足のため組に入りません","入力不足"),IF(AND(I58&lt;&gt;"",I58&lt;&gt;G58),"組を変更",IF(J58&lt;&gt;"","順番を指定",""))))</f>
        <v/>
      </c>
    </row>
    <row r="59">
      <c r="A59" s="26">
        <f>IF(計算用!$D$57="","",計算用!$M$57)</f>
        <v/>
      </c>
      <c r="B59" s="26">
        <f>IF(計算用!$D$57="","",計算用!$C$57)</f>
        <v/>
      </c>
      <c r="C59">
        <f>IF(計算用!$D$57="","",計算用!$D$57)</f>
        <v/>
      </c>
      <c r="D59" s="26">
        <f>IF(計算用!$D$57="","",計算用!$F$57)</f>
        <v/>
      </c>
      <c r="E59" s="26">
        <f>IF(計算用!$D$57="","",計算用!$I$57)</f>
        <v/>
      </c>
      <c r="F59" s="31">
        <f>IF(計算用!$D$57="","",計算用!$G$57)</f>
        <v/>
      </c>
      <c r="G59" s="26">
        <f>IF(計算用!$D$57="","",計算用!$AK$57)</f>
        <v/>
      </c>
      <c r="H59" s="26">
        <f>IF(計算用!$D$57="","",計算用!$AM$57)</f>
        <v/>
      </c>
      <c r="I59" s="26" t="n"/>
      <c r="J59" s="26" t="n"/>
      <c r="K59" s="26">
        <f>IF(計算用!$D$57="","",計算用!$AP$57)</f>
        <v/>
      </c>
      <c r="L59" s="26">
        <f>IF(計算用!$D$57="","",計算用!$AR$57)</f>
        <v/>
      </c>
      <c r="M59">
        <f>IF(計算用!$D$57="",IF(OR(I59&lt;&gt;"",J59&lt;&gt;""),"名前がありません",""),IF(計算用!$J$57="",IF(OR(I59&lt;&gt;"",J59&lt;&gt;""),"入力不足のため組に入りません","入力不足"),IF(AND(I59&lt;&gt;"",I59&lt;&gt;G59),"組を変更",IF(J59&lt;&gt;"","順番を指定",""))))</f>
        <v/>
      </c>
    </row>
    <row r="60">
      <c r="A60" s="26">
        <f>IF(計算用!$D$58="","",計算用!$M$58)</f>
        <v/>
      </c>
      <c r="B60" s="26">
        <f>IF(計算用!$D$58="","",計算用!$C$58)</f>
        <v/>
      </c>
      <c r="C60">
        <f>IF(計算用!$D$58="","",計算用!$D$58)</f>
        <v/>
      </c>
      <c r="D60" s="26">
        <f>IF(計算用!$D$58="","",計算用!$F$58)</f>
        <v/>
      </c>
      <c r="E60" s="26">
        <f>IF(計算用!$D$58="","",計算用!$I$58)</f>
        <v/>
      </c>
      <c r="F60" s="31">
        <f>IF(計算用!$D$58="","",計算用!$G$58)</f>
        <v/>
      </c>
      <c r="G60" s="26">
        <f>IF(計算用!$D$58="","",計算用!$AK$58)</f>
        <v/>
      </c>
      <c r="H60" s="26">
        <f>IF(計算用!$D$58="","",計算用!$AM$58)</f>
        <v/>
      </c>
      <c r="I60" s="26" t="n"/>
      <c r="J60" s="26" t="n"/>
      <c r="K60" s="26">
        <f>IF(計算用!$D$58="","",計算用!$AP$58)</f>
        <v/>
      </c>
      <c r="L60" s="26">
        <f>IF(計算用!$D$58="","",計算用!$AR$58)</f>
        <v/>
      </c>
      <c r="M60">
        <f>IF(計算用!$D$58="",IF(OR(I60&lt;&gt;"",J60&lt;&gt;""),"名前がありません",""),IF(計算用!$J$58="",IF(OR(I60&lt;&gt;"",J60&lt;&gt;""),"入力不足のため組に入りません","入力不足"),IF(AND(I60&lt;&gt;"",I60&lt;&gt;G60),"組を変更",IF(J60&lt;&gt;"","順番を指定",""))))</f>
        <v/>
      </c>
    </row>
    <row r="61">
      <c r="A61" s="26">
        <f>IF(計算用!$D$59="","",計算用!$M$59)</f>
        <v/>
      </c>
      <c r="B61" s="26">
        <f>IF(計算用!$D$59="","",計算用!$C$59)</f>
        <v/>
      </c>
      <c r="C61">
        <f>IF(計算用!$D$59="","",計算用!$D$59)</f>
        <v/>
      </c>
      <c r="D61" s="26">
        <f>IF(計算用!$D$59="","",計算用!$F$59)</f>
        <v/>
      </c>
      <c r="E61" s="26">
        <f>IF(計算用!$D$59="","",計算用!$I$59)</f>
        <v/>
      </c>
      <c r="F61" s="31">
        <f>IF(計算用!$D$59="","",計算用!$G$59)</f>
        <v/>
      </c>
      <c r="G61" s="26">
        <f>IF(計算用!$D$59="","",計算用!$AK$59)</f>
        <v/>
      </c>
      <c r="H61" s="26">
        <f>IF(計算用!$D$59="","",計算用!$AM$59)</f>
        <v/>
      </c>
      <c r="I61" s="26" t="n"/>
      <c r="J61" s="26" t="n"/>
      <c r="K61" s="26">
        <f>IF(計算用!$D$59="","",計算用!$AP$59)</f>
        <v/>
      </c>
      <c r="L61" s="26">
        <f>IF(計算用!$D$59="","",計算用!$AR$59)</f>
        <v/>
      </c>
      <c r="M61">
        <f>IF(計算用!$D$59="",IF(OR(I61&lt;&gt;"",J61&lt;&gt;""),"名前がありません",""),IF(計算用!$J$59="",IF(OR(I61&lt;&gt;"",J61&lt;&gt;""),"入力不足のため組に入りません","入力不足"),IF(AND(I61&lt;&gt;"",I61&lt;&gt;G61),"組を変更",IF(J61&lt;&gt;"","順番を指定",""))))</f>
        <v/>
      </c>
    </row>
    <row r="62">
      <c r="A62" s="26">
        <f>IF(計算用!$D$60="","",計算用!$M$60)</f>
        <v/>
      </c>
      <c r="B62" s="26">
        <f>IF(計算用!$D$60="","",計算用!$C$60)</f>
        <v/>
      </c>
      <c r="C62">
        <f>IF(計算用!$D$60="","",計算用!$D$60)</f>
        <v/>
      </c>
      <c r="D62" s="26">
        <f>IF(計算用!$D$60="","",計算用!$F$60)</f>
        <v/>
      </c>
      <c r="E62" s="26">
        <f>IF(計算用!$D$60="","",計算用!$I$60)</f>
        <v/>
      </c>
      <c r="F62" s="31">
        <f>IF(計算用!$D$60="","",計算用!$G$60)</f>
        <v/>
      </c>
      <c r="G62" s="26">
        <f>IF(計算用!$D$60="","",計算用!$AK$60)</f>
        <v/>
      </c>
      <c r="H62" s="26">
        <f>IF(計算用!$D$60="","",計算用!$AM$60)</f>
        <v/>
      </c>
      <c r="I62" s="26" t="n"/>
      <c r="J62" s="26" t="n"/>
      <c r="K62" s="26">
        <f>IF(計算用!$D$60="","",計算用!$AP$60)</f>
        <v/>
      </c>
      <c r="L62" s="26">
        <f>IF(計算用!$D$60="","",計算用!$AR$60)</f>
        <v/>
      </c>
      <c r="M62">
        <f>IF(計算用!$D$60="",IF(OR(I62&lt;&gt;"",J62&lt;&gt;""),"名前がありません",""),IF(計算用!$J$60="",IF(OR(I62&lt;&gt;"",J62&lt;&gt;""),"入力不足のため組に入りません","入力不足"),IF(AND(I62&lt;&gt;"",I62&lt;&gt;G62),"組を変更",IF(J62&lt;&gt;"","順番を指定",""))))</f>
        <v/>
      </c>
    </row>
    <row r="63">
      <c r="A63" s="26">
        <f>IF(計算用!$D$61="","",計算用!$M$61)</f>
        <v/>
      </c>
      <c r="B63" s="26">
        <f>IF(計算用!$D$61="","",計算用!$C$61)</f>
        <v/>
      </c>
      <c r="C63">
        <f>IF(計算用!$D$61="","",計算用!$D$61)</f>
        <v/>
      </c>
      <c r="D63" s="26">
        <f>IF(計算用!$D$61="","",計算用!$F$61)</f>
        <v/>
      </c>
      <c r="E63" s="26">
        <f>IF(計算用!$D$61="","",計算用!$I$61)</f>
        <v/>
      </c>
      <c r="F63" s="31">
        <f>IF(計算用!$D$61="","",計算用!$G$61)</f>
        <v/>
      </c>
      <c r="G63" s="26">
        <f>IF(計算用!$D$61="","",計算用!$AK$61)</f>
        <v/>
      </c>
      <c r="H63" s="26">
        <f>IF(計算用!$D$61="","",計算用!$AM$61)</f>
        <v/>
      </c>
      <c r="I63" s="26" t="n"/>
      <c r="J63" s="26" t="n"/>
      <c r="K63" s="26">
        <f>IF(計算用!$D$61="","",計算用!$AP$61)</f>
        <v/>
      </c>
      <c r="L63" s="26">
        <f>IF(計算用!$D$61="","",計算用!$AR$61)</f>
        <v/>
      </c>
      <c r="M63">
        <f>IF(計算用!$D$61="",IF(OR(I63&lt;&gt;"",J63&lt;&gt;""),"名前がありません",""),IF(計算用!$J$61="",IF(OR(I63&lt;&gt;"",J63&lt;&gt;""),"入力不足のため組に入りません","入力不足"),IF(AND(I63&lt;&gt;"",I63&lt;&gt;G63),"組を変更",IF(J63&lt;&gt;"","順番を指定",""))))</f>
        <v/>
      </c>
    </row>
    <row r="64">
      <c r="A64" s="26">
        <f>IF(計算用!$D$62="","",計算用!$M$62)</f>
        <v/>
      </c>
      <c r="B64" s="26">
        <f>IF(計算用!$D$62="","",計算用!$C$62)</f>
        <v/>
      </c>
      <c r="C64">
        <f>IF(計算用!$D$62="","",計算用!$D$62)</f>
        <v/>
      </c>
      <c r="D64" s="26">
        <f>IF(計算用!$D$62="","",計算用!$F$62)</f>
        <v/>
      </c>
      <c r="E64" s="26">
        <f>IF(計算用!$D$62="","",計算用!$I$62)</f>
        <v/>
      </c>
      <c r="F64" s="31">
        <f>IF(計算用!$D$62="","",計算用!$G$62)</f>
        <v/>
      </c>
      <c r="G64" s="26">
        <f>IF(計算用!$D$62="","",計算用!$AK$62)</f>
        <v/>
      </c>
      <c r="H64" s="26">
        <f>IF(計算用!$D$62="","",計算用!$AM$62)</f>
        <v/>
      </c>
      <c r="I64" s="26" t="n"/>
      <c r="J64" s="26" t="n"/>
      <c r="K64" s="26">
        <f>IF(計算用!$D$62="","",計算用!$AP$62)</f>
        <v/>
      </c>
      <c r="L64" s="26">
        <f>IF(計算用!$D$62="","",計算用!$AR$62)</f>
        <v/>
      </c>
      <c r="M64">
        <f>IF(計算用!$D$62="",IF(OR(I64&lt;&gt;"",J64&lt;&gt;""),"名前がありません",""),IF(計算用!$J$62="",IF(OR(I64&lt;&gt;"",J64&lt;&gt;""),"入力不足のため組に入りません","入力不足"),IF(AND(I64&lt;&gt;"",I64&lt;&gt;G64),"組を変更",IF(J64&lt;&gt;"","順番を指定",""))))</f>
        <v/>
      </c>
    </row>
    <row r="65">
      <c r="A65" s="26">
        <f>IF(計算用!$D$63="","",計算用!$M$63)</f>
        <v/>
      </c>
      <c r="B65" s="26">
        <f>IF(計算用!$D$63="","",計算用!$C$63)</f>
        <v/>
      </c>
      <c r="C65">
        <f>IF(計算用!$D$63="","",計算用!$D$63)</f>
        <v/>
      </c>
      <c r="D65" s="26">
        <f>IF(計算用!$D$63="","",計算用!$F$63)</f>
        <v/>
      </c>
      <c r="E65" s="26">
        <f>IF(計算用!$D$63="","",計算用!$I$63)</f>
        <v/>
      </c>
      <c r="F65" s="31">
        <f>IF(計算用!$D$63="","",計算用!$G$63)</f>
        <v/>
      </c>
      <c r="G65" s="26">
        <f>IF(計算用!$D$63="","",計算用!$AK$63)</f>
        <v/>
      </c>
      <c r="H65" s="26">
        <f>IF(計算用!$D$63="","",計算用!$AM$63)</f>
        <v/>
      </c>
      <c r="I65" s="26" t="n"/>
      <c r="J65" s="26" t="n"/>
      <c r="K65" s="26">
        <f>IF(計算用!$D$63="","",計算用!$AP$63)</f>
        <v/>
      </c>
      <c r="L65" s="26">
        <f>IF(計算用!$D$63="","",計算用!$AR$63)</f>
        <v/>
      </c>
      <c r="M65">
        <f>IF(計算用!$D$63="",IF(OR(I65&lt;&gt;"",J65&lt;&gt;""),"名前がありません",""),IF(計算用!$J$63="",IF(OR(I65&lt;&gt;"",J65&lt;&gt;""),"入力不足のため組に入りません","入力不足"),IF(AND(I65&lt;&gt;"",I65&lt;&gt;G65),"組を変更",IF(J65&lt;&gt;"","順番を指定",""))))</f>
        <v/>
      </c>
    </row>
    <row r="66">
      <c r="A66" s="26">
        <f>IF(計算用!$D$64="","",計算用!$M$64)</f>
        <v/>
      </c>
      <c r="B66" s="26">
        <f>IF(計算用!$D$64="","",計算用!$C$64)</f>
        <v/>
      </c>
      <c r="C66">
        <f>IF(計算用!$D$64="","",計算用!$D$64)</f>
        <v/>
      </c>
      <c r="D66" s="26">
        <f>IF(計算用!$D$64="","",計算用!$F$64)</f>
        <v/>
      </c>
      <c r="E66" s="26">
        <f>IF(計算用!$D$64="","",計算用!$I$64)</f>
        <v/>
      </c>
      <c r="F66" s="31">
        <f>IF(計算用!$D$64="","",計算用!$G$64)</f>
        <v/>
      </c>
      <c r="G66" s="26">
        <f>IF(計算用!$D$64="","",計算用!$AK$64)</f>
        <v/>
      </c>
      <c r="H66" s="26">
        <f>IF(計算用!$D$64="","",計算用!$AM$64)</f>
        <v/>
      </c>
      <c r="I66" s="26" t="n"/>
      <c r="J66" s="26" t="n"/>
      <c r="K66" s="26">
        <f>IF(計算用!$D$64="","",計算用!$AP$64)</f>
        <v/>
      </c>
      <c r="L66" s="26">
        <f>IF(計算用!$D$64="","",計算用!$AR$64)</f>
        <v/>
      </c>
      <c r="M66">
        <f>IF(計算用!$D$64="",IF(OR(I66&lt;&gt;"",J66&lt;&gt;""),"名前がありません",""),IF(計算用!$J$64="",IF(OR(I66&lt;&gt;"",J66&lt;&gt;""),"入力不足のため組に入りません","入力不足"),IF(AND(I66&lt;&gt;"",I66&lt;&gt;G66),"組を変更",IF(J66&lt;&gt;"","順番を指定",""))))</f>
        <v/>
      </c>
    </row>
    <row r="67">
      <c r="A67" s="26">
        <f>IF(計算用!$D$65="","",計算用!$M$65)</f>
        <v/>
      </c>
      <c r="B67" s="26">
        <f>IF(計算用!$D$65="","",計算用!$C$65)</f>
        <v/>
      </c>
      <c r="C67">
        <f>IF(計算用!$D$65="","",計算用!$D$65)</f>
        <v/>
      </c>
      <c r="D67" s="26">
        <f>IF(計算用!$D$65="","",計算用!$F$65)</f>
        <v/>
      </c>
      <c r="E67" s="26">
        <f>IF(計算用!$D$65="","",計算用!$I$65)</f>
        <v/>
      </c>
      <c r="F67" s="31">
        <f>IF(計算用!$D$65="","",計算用!$G$65)</f>
        <v/>
      </c>
      <c r="G67" s="26">
        <f>IF(計算用!$D$65="","",計算用!$AK$65)</f>
        <v/>
      </c>
      <c r="H67" s="26">
        <f>IF(計算用!$D$65="","",計算用!$AM$65)</f>
        <v/>
      </c>
      <c r="I67" s="26" t="n"/>
      <c r="J67" s="26" t="n"/>
      <c r="K67" s="26">
        <f>IF(計算用!$D$65="","",計算用!$AP$65)</f>
        <v/>
      </c>
      <c r="L67" s="26">
        <f>IF(計算用!$D$65="","",計算用!$AR$65)</f>
        <v/>
      </c>
      <c r="M67">
        <f>IF(計算用!$D$65="",IF(OR(I67&lt;&gt;"",J67&lt;&gt;""),"名前がありません",""),IF(計算用!$J$65="",IF(OR(I67&lt;&gt;"",J67&lt;&gt;""),"入力不足のため組に入りません","入力不足"),IF(AND(I67&lt;&gt;"",I67&lt;&gt;G67),"組を変更",IF(J67&lt;&gt;"","順番を指定",""))))</f>
        <v/>
      </c>
    </row>
    <row r="68">
      <c r="A68" s="26">
        <f>IF(計算用!$D$66="","",計算用!$M$66)</f>
        <v/>
      </c>
      <c r="B68" s="26">
        <f>IF(計算用!$D$66="","",計算用!$C$66)</f>
        <v/>
      </c>
      <c r="C68">
        <f>IF(計算用!$D$66="","",計算用!$D$66)</f>
        <v/>
      </c>
      <c r="D68" s="26">
        <f>IF(計算用!$D$66="","",計算用!$F$66)</f>
        <v/>
      </c>
      <c r="E68" s="26">
        <f>IF(計算用!$D$66="","",計算用!$I$66)</f>
        <v/>
      </c>
      <c r="F68" s="31">
        <f>IF(計算用!$D$66="","",計算用!$G$66)</f>
        <v/>
      </c>
      <c r="G68" s="26">
        <f>IF(計算用!$D$66="","",計算用!$AK$66)</f>
        <v/>
      </c>
      <c r="H68" s="26">
        <f>IF(計算用!$D$66="","",計算用!$AM$66)</f>
        <v/>
      </c>
      <c r="I68" s="26" t="n"/>
      <c r="J68" s="26" t="n"/>
      <c r="K68" s="26">
        <f>IF(計算用!$D$66="","",計算用!$AP$66)</f>
        <v/>
      </c>
      <c r="L68" s="26">
        <f>IF(計算用!$D$66="","",計算用!$AR$66)</f>
        <v/>
      </c>
      <c r="M68">
        <f>IF(計算用!$D$66="",IF(OR(I68&lt;&gt;"",J68&lt;&gt;""),"名前がありません",""),IF(計算用!$J$66="",IF(OR(I68&lt;&gt;"",J68&lt;&gt;""),"入力不足のため組に入りません","入力不足"),IF(AND(I68&lt;&gt;"",I68&lt;&gt;G68),"組を変更",IF(J68&lt;&gt;"","順番を指定",""))))</f>
        <v/>
      </c>
    </row>
    <row r="69">
      <c r="A69" s="26">
        <f>IF(計算用!$D$67="","",計算用!$M$67)</f>
        <v/>
      </c>
      <c r="B69" s="26">
        <f>IF(計算用!$D$67="","",計算用!$C$67)</f>
        <v/>
      </c>
      <c r="C69">
        <f>IF(計算用!$D$67="","",計算用!$D$67)</f>
        <v/>
      </c>
      <c r="D69" s="26">
        <f>IF(計算用!$D$67="","",計算用!$F$67)</f>
        <v/>
      </c>
      <c r="E69" s="26">
        <f>IF(計算用!$D$67="","",計算用!$I$67)</f>
        <v/>
      </c>
      <c r="F69" s="31">
        <f>IF(計算用!$D$67="","",計算用!$G$67)</f>
        <v/>
      </c>
      <c r="G69" s="26">
        <f>IF(計算用!$D$67="","",計算用!$AK$67)</f>
        <v/>
      </c>
      <c r="H69" s="26">
        <f>IF(計算用!$D$67="","",計算用!$AM$67)</f>
        <v/>
      </c>
      <c r="I69" s="26" t="n"/>
      <c r="J69" s="26" t="n"/>
      <c r="K69" s="26">
        <f>IF(計算用!$D$67="","",計算用!$AP$67)</f>
        <v/>
      </c>
      <c r="L69" s="26">
        <f>IF(計算用!$D$67="","",計算用!$AR$67)</f>
        <v/>
      </c>
      <c r="M69">
        <f>IF(計算用!$D$67="",IF(OR(I69&lt;&gt;"",J69&lt;&gt;""),"名前がありません",""),IF(計算用!$J$67="",IF(OR(I69&lt;&gt;"",J69&lt;&gt;""),"入力不足のため組に入りません","入力不足"),IF(AND(I69&lt;&gt;"",I69&lt;&gt;G69),"組を変更",IF(J69&lt;&gt;"","順番を指定",""))))</f>
        <v/>
      </c>
    </row>
    <row r="70">
      <c r="A70" s="26">
        <f>IF(計算用!$D$68="","",計算用!$M$68)</f>
        <v/>
      </c>
      <c r="B70" s="26">
        <f>IF(計算用!$D$68="","",計算用!$C$68)</f>
        <v/>
      </c>
      <c r="C70">
        <f>IF(計算用!$D$68="","",計算用!$D$68)</f>
        <v/>
      </c>
      <c r="D70" s="26">
        <f>IF(計算用!$D$68="","",計算用!$F$68)</f>
        <v/>
      </c>
      <c r="E70" s="26">
        <f>IF(計算用!$D$68="","",計算用!$I$68)</f>
        <v/>
      </c>
      <c r="F70" s="31">
        <f>IF(計算用!$D$68="","",計算用!$G$68)</f>
        <v/>
      </c>
      <c r="G70" s="26">
        <f>IF(計算用!$D$68="","",計算用!$AK$68)</f>
        <v/>
      </c>
      <c r="H70" s="26">
        <f>IF(計算用!$D$68="","",計算用!$AM$68)</f>
        <v/>
      </c>
      <c r="I70" s="26" t="n"/>
      <c r="J70" s="26" t="n"/>
      <c r="K70" s="26">
        <f>IF(計算用!$D$68="","",計算用!$AP$68)</f>
        <v/>
      </c>
      <c r="L70" s="26">
        <f>IF(計算用!$D$68="","",計算用!$AR$68)</f>
        <v/>
      </c>
      <c r="M70">
        <f>IF(計算用!$D$68="",IF(OR(I70&lt;&gt;"",J70&lt;&gt;""),"名前がありません",""),IF(計算用!$J$68="",IF(OR(I70&lt;&gt;"",J70&lt;&gt;""),"入力不足のため組に入りません","入力不足"),IF(AND(I70&lt;&gt;"",I70&lt;&gt;G70),"組を変更",IF(J70&lt;&gt;"","順番を指定",""))))</f>
        <v/>
      </c>
    </row>
    <row r="71">
      <c r="A71" s="26">
        <f>IF(計算用!$D$69="","",計算用!$M$69)</f>
        <v/>
      </c>
      <c r="B71" s="26">
        <f>IF(計算用!$D$69="","",計算用!$C$69)</f>
        <v/>
      </c>
      <c r="C71">
        <f>IF(計算用!$D$69="","",計算用!$D$69)</f>
        <v/>
      </c>
      <c r="D71" s="26">
        <f>IF(計算用!$D$69="","",計算用!$F$69)</f>
        <v/>
      </c>
      <c r="E71" s="26">
        <f>IF(計算用!$D$69="","",計算用!$I$69)</f>
        <v/>
      </c>
      <c r="F71" s="31">
        <f>IF(計算用!$D$69="","",計算用!$G$69)</f>
        <v/>
      </c>
      <c r="G71" s="26">
        <f>IF(計算用!$D$69="","",計算用!$AK$69)</f>
        <v/>
      </c>
      <c r="H71" s="26">
        <f>IF(計算用!$D$69="","",計算用!$AM$69)</f>
        <v/>
      </c>
      <c r="I71" s="26" t="n"/>
      <c r="J71" s="26" t="n"/>
      <c r="K71" s="26">
        <f>IF(計算用!$D$69="","",計算用!$AP$69)</f>
        <v/>
      </c>
      <c r="L71" s="26">
        <f>IF(計算用!$D$69="","",計算用!$AR$69)</f>
        <v/>
      </c>
      <c r="M71">
        <f>IF(計算用!$D$69="",IF(OR(I71&lt;&gt;"",J71&lt;&gt;""),"名前がありません",""),IF(計算用!$J$69="",IF(OR(I71&lt;&gt;"",J71&lt;&gt;""),"入力不足のため組に入りません","入力不足"),IF(AND(I71&lt;&gt;"",I71&lt;&gt;G71),"組を変更",IF(J71&lt;&gt;"","順番を指定",""))))</f>
        <v/>
      </c>
    </row>
    <row r="72">
      <c r="A72" s="26">
        <f>IF(計算用!$D$70="","",計算用!$M$70)</f>
        <v/>
      </c>
      <c r="B72" s="26">
        <f>IF(計算用!$D$70="","",計算用!$C$70)</f>
        <v/>
      </c>
      <c r="C72">
        <f>IF(計算用!$D$70="","",計算用!$D$70)</f>
        <v/>
      </c>
      <c r="D72" s="26">
        <f>IF(計算用!$D$70="","",計算用!$F$70)</f>
        <v/>
      </c>
      <c r="E72" s="26">
        <f>IF(計算用!$D$70="","",計算用!$I$70)</f>
        <v/>
      </c>
      <c r="F72" s="31">
        <f>IF(計算用!$D$70="","",計算用!$G$70)</f>
        <v/>
      </c>
      <c r="G72" s="26">
        <f>IF(計算用!$D$70="","",計算用!$AK$70)</f>
        <v/>
      </c>
      <c r="H72" s="26">
        <f>IF(計算用!$D$70="","",計算用!$AM$70)</f>
        <v/>
      </c>
      <c r="I72" s="26" t="n"/>
      <c r="J72" s="26" t="n"/>
      <c r="K72" s="26">
        <f>IF(計算用!$D$70="","",計算用!$AP$70)</f>
        <v/>
      </c>
      <c r="L72" s="26">
        <f>IF(計算用!$D$70="","",計算用!$AR$70)</f>
        <v/>
      </c>
      <c r="M72">
        <f>IF(計算用!$D$70="",IF(OR(I72&lt;&gt;"",J72&lt;&gt;""),"名前がありません",""),IF(計算用!$J$70="",IF(OR(I72&lt;&gt;"",J72&lt;&gt;""),"入力不足のため組に入りません","入力不足"),IF(AND(I72&lt;&gt;"",I72&lt;&gt;G72),"組を変更",IF(J72&lt;&gt;"","順番を指定",""))))</f>
        <v/>
      </c>
    </row>
    <row r="73">
      <c r="A73" s="26">
        <f>IF(計算用!$D$71="","",計算用!$M$71)</f>
        <v/>
      </c>
      <c r="B73" s="26">
        <f>IF(計算用!$D$71="","",計算用!$C$71)</f>
        <v/>
      </c>
      <c r="C73">
        <f>IF(計算用!$D$71="","",計算用!$D$71)</f>
        <v/>
      </c>
      <c r="D73" s="26">
        <f>IF(計算用!$D$71="","",計算用!$F$71)</f>
        <v/>
      </c>
      <c r="E73" s="26">
        <f>IF(計算用!$D$71="","",計算用!$I$71)</f>
        <v/>
      </c>
      <c r="F73" s="31">
        <f>IF(計算用!$D$71="","",計算用!$G$71)</f>
        <v/>
      </c>
      <c r="G73" s="26">
        <f>IF(計算用!$D$71="","",計算用!$AK$71)</f>
        <v/>
      </c>
      <c r="H73" s="26">
        <f>IF(計算用!$D$71="","",計算用!$AM$71)</f>
        <v/>
      </c>
      <c r="I73" s="26" t="n"/>
      <c r="J73" s="26" t="n"/>
      <c r="K73" s="26">
        <f>IF(計算用!$D$71="","",計算用!$AP$71)</f>
        <v/>
      </c>
      <c r="L73" s="26">
        <f>IF(計算用!$D$71="","",計算用!$AR$71)</f>
        <v/>
      </c>
      <c r="M73">
        <f>IF(計算用!$D$71="",IF(OR(I73&lt;&gt;"",J73&lt;&gt;""),"名前がありません",""),IF(計算用!$J$71="",IF(OR(I73&lt;&gt;"",J73&lt;&gt;""),"入力不足のため組に入りません","入力不足"),IF(AND(I73&lt;&gt;"",I73&lt;&gt;G73),"組を変更",IF(J73&lt;&gt;"","順番を指定",""))))</f>
        <v/>
      </c>
    </row>
    <row r="74">
      <c r="A74" s="26">
        <f>IF(計算用!$D$72="","",計算用!$M$72)</f>
        <v/>
      </c>
      <c r="B74" s="26">
        <f>IF(計算用!$D$72="","",計算用!$C$72)</f>
        <v/>
      </c>
      <c r="C74">
        <f>IF(計算用!$D$72="","",計算用!$D$72)</f>
        <v/>
      </c>
      <c r="D74" s="26">
        <f>IF(計算用!$D$72="","",計算用!$F$72)</f>
        <v/>
      </c>
      <c r="E74" s="26">
        <f>IF(計算用!$D$72="","",計算用!$I$72)</f>
        <v/>
      </c>
      <c r="F74" s="31">
        <f>IF(計算用!$D$72="","",計算用!$G$72)</f>
        <v/>
      </c>
      <c r="G74" s="26">
        <f>IF(計算用!$D$72="","",計算用!$AK$72)</f>
        <v/>
      </c>
      <c r="H74" s="26">
        <f>IF(計算用!$D$72="","",計算用!$AM$72)</f>
        <v/>
      </c>
      <c r="I74" s="26" t="n"/>
      <c r="J74" s="26" t="n"/>
      <c r="K74" s="26">
        <f>IF(計算用!$D$72="","",計算用!$AP$72)</f>
        <v/>
      </c>
      <c r="L74" s="26">
        <f>IF(計算用!$D$72="","",計算用!$AR$72)</f>
        <v/>
      </c>
      <c r="M74">
        <f>IF(計算用!$D$72="",IF(OR(I74&lt;&gt;"",J74&lt;&gt;""),"名前がありません",""),IF(計算用!$J$72="",IF(OR(I74&lt;&gt;"",J74&lt;&gt;""),"入力不足のため組に入りません","入力不足"),IF(AND(I74&lt;&gt;"",I74&lt;&gt;G74),"組を変更",IF(J74&lt;&gt;"","順番を指定",""))))</f>
        <v/>
      </c>
    </row>
    <row r="75">
      <c r="A75" s="26">
        <f>IF(計算用!$D$73="","",計算用!$M$73)</f>
        <v/>
      </c>
      <c r="B75" s="26">
        <f>IF(計算用!$D$73="","",計算用!$C$73)</f>
        <v/>
      </c>
      <c r="C75">
        <f>IF(計算用!$D$73="","",計算用!$D$73)</f>
        <v/>
      </c>
      <c r="D75" s="26">
        <f>IF(計算用!$D$73="","",計算用!$F$73)</f>
        <v/>
      </c>
      <c r="E75" s="26">
        <f>IF(計算用!$D$73="","",計算用!$I$73)</f>
        <v/>
      </c>
      <c r="F75" s="31">
        <f>IF(計算用!$D$73="","",計算用!$G$73)</f>
        <v/>
      </c>
      <c r="G75" s="26">
        <f>IF(計算用!$D$73="","",計算用!$AK$73)</f>
        <v/>
      </c>
      <c r="H75" s="26">
        <f>IF(計算用!$D$73="","",計算用!$AM$73)</f>
        <v/>
      </c>
      <c r="I75" s="26" t="n"/>
      <c r="J75" s="26" t="n"/>
      <c r="K75" s="26">
        <f>IF(計算用!$D$73="","",計算用!$AP$73)</f>
        <v/>
      </c>
      <c r="L75" s="26">
        <f>IF(計算用!$D$73="","",計算用!$AR$73)</f>
        <v/>
      </c>
      <c r="M75">
        <f>IF(計算用!$D$73="",IF(OR(I75&lt;&gt;"",J75&lt;&gt;""),"名前がありません",""),IF(計算用!$J$73="",IF(OR(I75&lt;&gt;"",J75&lt;&gt;""),"入力不足のため組に入りません","入力不足"),IF(AND(I75&lt;&gt;"",I75&lt;&gt;G75),"組を変更",IF(J75&lt;&gt;"","順番を指定",""))))</f>
        <v/>
      </c>
    </row>
    <row r="76">
      <c r="A76" s="26">
        <f>IF(計算用!$D$74="","",計算用!$M$74)</f>
        <v/>
      </c>
      <c r="B76" s="26">
        <f>IF(計算用!$D$74="","",計算用!$C$74)</f>
        <v/>
      </c>
      <c r="C76">
        <f>IF(計算用!$D$74="","",計算用!$D$74)</f>
        <v/>
      </c>
      <c r="D76" s="26">
        <f>IF(計算用!$D$74="","",計算用!$F$74)</f>
        <v/>
      </c>
      <c r="E76" s="26">
        <f>IF(計算用!$D$74="","",計算用!$I$74)</f>
        <v/>
      </c>
      <c r="F76" s="31">
        <f>IF(計算用!$D$74="","",計算用!$G$74)</f>
        <v/>
      </c>
      <c r="G76" s="26">
        <f>IF(計算用!$D$74="","",計算用!$AK$74)</f>
        <v/>
      </c>
      <c r="H76" s="26">
        <f>IF(計算用!$D$74="","",計算用!$AM$74)</f>
        <v/>
      </c>
      <c r="I76" s="26" t="n"/>
      <c r="J76" s="26" t="n"/>
      <c r="K76" s="26">
        <f>IF(計算用!$D$74="","",計算用!$AP$74)</f>
        <v/>
      </c>
      <c r="L76" s="26">
        <f>IF(計算用!$D$74="","",計算用!$AR$74)</f>
        <v/>
      </c>
      <c r="M76">
        <f>IF(計算用!$D$74="",IF(OR(I76&lt;&gt;"",J76&lt;&gt;""),"名前がありません",""),IF(計算用!$J$74="",IF(OR(I76&lt;&gt;"",J76&lt;&gt;""),"入力不足のため組に入りません","入力不足"),IF(AND(I76&lt;&gt;"",I76&lt;&gt;G76),"組を変更",IF(J76&lt;&gt;"","順番を指定",""))))</f>
        <v/>
      </c>
    </row>
    <row r="77">
      <c r="A77" s="26">
        <f>IF(計算用!$D$75="","",計算用!$M$75)</f>
        <v/>
      </c>
      <c r="B77" s="26">
        <f>IF(計算用!$D$75="","",計算用!$C$75)</f>
        <v/>
      </c>
      <c r="C77">
        <f>IF(計算用!$D$75="","",計算用!$D$75)</f>
        <v/>
      </c>
      <c r="D77" s="26">
        <f>IF(計算用!$D$75="","",計算用!$F$75)</f>
        <v/>
      </c>
      <c r="E77" s="26">
        <f>IF(計算用!$D$75="","",計算用!$I$75)</f>
        <v/>
      </c>
      <c r="F77" s="31">
        <f>IF(計算用!$D$75="","",計算用!$G$75)</f>
        <v/>
      </c>
      <c r="G77" s="26">
        <f>IF(計算用!$D$75="","",計算用!$AK$75)</f>
        <v/>
      </c>
      <c r="H77" s="26">
        <f>IF(計算用!$D$75="","",計算用!$AM$75)</f>
        <v/>
      </c>
      <c r="I77" s="26" t="n"/>
      <c r="J77" s="26" t="n"/>
      <c r="K77" s="26">
        <f>IF(計算用!$D$75="","",計算用!$AP$75)</f>
        <v/>
      </c>
      <c r="L77" s="26">
        <f>IF(計算用!$D$75="","",計算用!$AR$75)</f>
        <v/>
      </c>
      <c r="M77">
        <f>IF(計算用!$D$75="",IF(OR(I77&lt;&gt;"",J77&lt;&gt;""),"名前がありません",""),IF(計算用!$J$75="",IF(OR(I77&lt;&gt;"",J77&lt;&gt;""),"入力不足のため組に入りません","入力不足"),IF(AND(I77&lt;&gt;"",I77&lt;&gt;G77),"組を変更",IF(J77&lt;&gt;"","順番を指定",""))))</f>
        <v/>
      </c>
    </row>
    <row r="78">
      <c r="A78" s="26">
        <f>IF(計算用!$D$76="","",計算用!$M$76)</f>
        <v/>
      </c>
      <c r="B78" s="26">
        <f>IF(計算用!$D$76="","",計算用!$C$76)</f>
        <v/>
      </c>
      <c r="C78">
        <f>IF(計算用!$D$76="","",計算用!$D$76)</f>
        <v/>
      </c>
      <c r="D78" s="26">
        <f>IF(計算用!$D$76="","",計算用!$F$76)</f>
        <v/>
      </c>
      <c r="E78" s="26">
        <f>IF(計算用!$D$76="","",計算用!$I$76)</f>
        <v/>
      </c>
      <c r="F78" s="31">
        <f>IF(計算用!$D$76="","",計算用!$G$76)</f>
        <v/>
      </c>
      <c r="G78" s="26">
        <f>IF(計算用!$D$76="","",計算用!$AK$76)</f>
        <v/>
      </c>
      <c r="H78" s="26">
        <f>IF(計算用!$D$76="","",計算用!$AM$76)</f>
        <v/>
      </c>
      <c r="I78" s="26" t="n"/>
      <c r="J78" s="26" t="n"/>
      <c r="K78" s="26">
        <f>IF(計算用!$D$76="","",計算用!$AP$76)</f>
        <v/>
      </c>
      <c r="L78" s="26">
        <f>IF(計算用!$D$76="","",計算用!$AR$76)</f>
        <v/>
      </c>
      <c r="M78">
        <f>IF(計算用!$D$76="",IF(OR(I78&lt;&gt;"",J78&lt;&gt;""),"名前がありません",""),IF(計算用!$J$76="",IF(OR(I78&lt;&gt;"",J78&lt;&gt;""),"入力不足のため組に入りません","入力不足"),IF(AND(I78&lt;&gt;"",I78&lt;&gt;G78),"組を変更",IF(J78&lt;&gt;"","順番を指定",""))))</f>
        <v/>
      </c>
    </row>
    <row r="79">
      <c r="A79" s="26">
        <f>IF(計算用!$D$77="","",計算用!$M$77)</f>
        <v/>
      </c>
      <c r="B79" s="26">
        <f>IF(計算用!$D$77="","",計算用!$C$77)</f>
        <v/>
      </c>
      <c r="C79">
        <f>IF(計算用!$D$77="","",計算用!$D$77)</f>
        <v/>
      </c>
      <c r="D79" s="26">
        <f>IF(計算用!$D$77="","",計算用!$F$77)</f>
        <v/>
      </c>
      <c r="E79" s="26">
        <f>IF(計算用!$D$77="","",計算用!$I$77)</f>
        <v/>
      </c>
      <c r="F79" s="31">
        <f>IF(計算用!$D$77="","",計算用!$G$77)</f>
        <v/>
      </c>
      <c r="G79" s="26">
        <f>IF(計算用!$D$77="","",計算用!$AK$77)</f>
        <v/>
      </c>
      <c r="H79" s="26">
        <f>IF(計算用!$D$77="","",計算用!$AM$77)</f>
        <v/>
      </c>
      <c r="I79" s="26" t="n"/>
      <c r="J79" s="26" t="n"/>
      <c r="K79" s="26">
        <f>IF(計算用!$D$77="","",計算用!$AP$77)</f>
        <v/>
      </c>
      <c r="L79" s="26">
        <f>IF(計算用!$D$77="","",計算用!$AR$77)</f>
        <v/>
      </c>
      <c r="M79">
        <f>IF(計算用!$D$77="",IF(OR(I79&lt;&gt;"",J79&lt;&gt;""),"名前がありません",""),IF(計算用!$J$77="",IF(OR(I79&lt;&gt;"",J79&lt;&gt;""),"入力不足のため組に入りません","入力不足"),IF(AND(I79&lt;&gt;"",I79&lt;&gt;G79),"組を変更",IF(J79&lt;&gt;"","順番を指定",""))))</f>
        <v/>
      </c>
    </row>
    <row r="80">
      <c r="A80" s="26">
        <f>IF(計算用!$D$78="","",計算用!$M$78)</f>
        <v/>
      </c>
      <c r="B80" s="26">
        <f>IF(計算用!$D$78="","",計算用!$C$78)</f>
        <v/>
      </c>
      <c r="C80">
        <f>IF(計算用!$D$78="","",計算用!$D$78)</f>
        <v/>
      </c>
      <c r="D80" s="26">
        <f>IF(計算用!$D$78="","",計算用!$F$78)</f>
        <v/>
      </c>
      <c r="E80" s="26">
        <f>IF(計算用!$D$78="","",計算用!$I$78)</f>
        <v/>
      </c>
      <c r="F80" s="31">
        <f>IF(計算用!$D$78="","",計算用!$G$78)</f>
        <v/>
      </c>
      <c r="G80" s="26">
        <f>IF(計算用!$D$78="","",計算用!$AK$78)</f>
        <v/>
      </c>
      <c r="H80" s="26">
        <f>IF(計算用!$D$78="","",計算用!$AM$78)</f>
        <v/>
      </c>
      <c r="I80" s="26" t="n"/>
      <c r="J80" s="26" t="n"/>
      <c r="K80" s="26">
        <f>IF(計算用!$D$78="","",計算用!$AP$78)</f>
        <v/>
      </c>
      <c r="L80" s="26">
        <f>IF(計算用!$D$78="","",計算用!$AR$78)</f>
        <v/>
      </c>
      <c r="M80">
        <f>IF(計算用!$D$78="",IF(OR(I80&lt;&gt;"",J80&lt;&gt;""),"名前がありません",""),IF(計算用!$J$78="",IF(OR(I80&lt;&gt;"",J80&lt;&gt;""),"入力不足のため組に入りません","入力不足"),IF(AND(I80&lt;&gt;"",I80&lt;&gt;G80),"組を変更",IF(J80&lt;&gt;"","順番を指定",""))))</f>
        <v/>
      </c>
    </row>
    <row r="81">
      <c r="A81" s="26">
        <f>IF(計算用!$D$79="","",計算用!$M$79)</f>
        <v/>
      </c>
      <c r="B81" s="26">
        <f>IF(計算用!$D$79="","",計算用!$C$79)</f>
        <v/>
      </c>
      <c r="C81">
        <f>IF(計算用!$D$79="","",計算用!$D$79)</f>
        <v/>
      </c>
      <c r="D81" s="26">
        <f>IF(計算用!$D$79="","",計算用!$F$79)</f>
        <v/>
      </c>
      <c r="E81" s="26">
        <f>IF(計算用!$D$79="","",計算用!$I$79)</f>
        <v/>
      </c>
      <c r="F81" s="31">
        <f>IF(計算用!$D$79="","",計算用!$G$79)</f>
        <v/>
      </c>
      <c r="G81" s="26">
        <f>IF(計算用!$D$79="","",計算用!$AK$79)</f>
        <v/>
      </c>
      <c r="H81" s="26">
        <f>IF(計算用!$D$79="","",計算用!$AM$79)</f>
        <v/>
      </c>
      <c r="I81" s="26" t="n"/>
      <c r="J81" s="26" t="n"/>
      <c r="K81" s="26">
        <f>IF(計算用!$D$79="","",計算用!$AP$79)</f>
        <v/>
      </c>
      <c r="L81" s="26">
        <f>IF(計算用!$D$79="","",計算用!$AR$79)</f>
        <v/>
      </c>
      <c r="M81">
        <f>IF(計算用!$D$79="",IF(OR(I81&lt;&gt;"",J81&lt;&gt;""),"名前がありません",""),IF(計算用!$J$79="",IF(OR(I81&lt;&gt;"",J81&lt;&gt;""),"入力不足のため組に入りません","入力不足"),IF(AND(I81&lt;&gt;"",I81&lt;&gt;G81),"組を変更",IF(J81&lt;&gt;"","順番を指定",""))))</f>
        <v/>
      </c>
    </row>
    <row r="82">
      <c r="A82" s="26">
        <f>IF(計算用!$D$80="","",計算用!$M$80)</f>
        <v/>
      </c>
      <c r="B82" s="26">
        <f>IF(計算用!$D$80="","",計算用!$C$80)</f>
        <v/>
      </c>
      <c r="C82">
        <f>IF(計算用!$D$80="","",計算用!$D$80)</f>
        <v/>
      </c>
      <c r="D82" s="26">
        <f>IF(計算用!$D$80="","",計算用!$F$80)</f>
        <v/>
      </c>
      <c r="E82" s="26">
        <f>IF(計算用!$D$80="","",計算用!$I$80)</f>
        <v/>
      </c>
      <c r="F82" s="31">
        <f>IF(計算用!$D$80="","",計算用!$G$80)</f>
        <v/>
      </c>
      <c r="G82" s="26">
        <f>IF(計算用!$D$80="","",計算用!$AK$80)</f>
        <v/>
      </c>
      <c r="H82" s="26">
        <f>IF(計算用!$D$80="","",計算用!$AM$80)</f>
        <v/>
      </c>
      <c r="I82" s="26" t="n"/>
      <c r="J82" s="26" t="n"/>
      <c r="K82" s="26">
        <f>IF(計算用!$D$80="","",計算用!$AP$80)</f>
        <v/>
      </c>
      <c r="L82" s="26">
        <f>IF(計算用!$D$80="","",計算用!$AR$80)</f>
        <v/>
      </c>
      <c r="M82">
        <f>IF(計算用!$D$80="",IF(OR(I82&lt;&gt;"",J82&lt;&gt;""),"名前がありません",""),IF(計算用!$J$80="",IF(OR(I82&lt;&gt;"",J82&lt;&gt;""),"入力不足のため組に入りません","入力不足"),IF(AND(I82&lt;&gt;"",I82&lt;&gt;G82),"組を変更",IF(J82&lt;&gt;"","順番を指定",""))))</f>
        <v/>
      </c>
    </row>
    <row r="83">
      <c r="A83" s="26">
        <f>IF(計算用!$D$81="","",計算用!$M$81)</f>
        <v/>
      </c>
      <c r="B83" s="26">
        <f>IF(計算用!$D$81="","",計算用!$C$81)</f>
        <v/>
      </c>
      <c r="C83">
        <f>IF(計算用!$D$81="","",計算用!$D$81)</f>
        <v/>
      </c>
      <c r="D83" s="26">
        <f>IF(計算用!$D$81="","",計算用!$F$81)</f>
        <v/>
      </c>
      <c r="E83" s="26">
        <f>IF(計算用!$D$81="","",計算用!$I$81)</f>
        <v/>
      </c>
      <c r="F83" s="31">
        <f>IF(計算用!$D$81="","",計算用!$G$81)</f>
        <v/>
      </c>
      <c r="G83" s="26">
        <f>IF(計算用!$D$81="","",計算用!$AK$81)</f>
        <v/>
      </c>
      <c r="H83" s="26">
        <f>IF(計算用!$D$81="","",計算用!$AM$81)</f>
        <v/>
      </c>
      <c r="I83" s="26" t="n"/>
      <c r="J83" s="26" t="n"/>
      <c r="K83" s="26">
        <f>IF(計算用!$D$81="","",計算用!$AP$81)</f>
        <v/>
      </c>
      <c r="L83" s="26">
        <f>IF(計算用!$D$81="","",計算用!$AR$81)</f>
        <v/>
      </c>
      <c r="M83">
        <f>IF(計算用!$D$81="",IF(OR(I83&lt;&gt;"",J83&lt;&gt;""),"名前がありません",""),IF(計算用!$J$81="",IF(OR(I83&lt;&gt;"",J83&lt;&gt;""),"入力不足のため組に入りません","入力不足"),IF(AND(I83&lt;&gt;"",I83&lt;&gt;G83),"組を変更",IF(J83&lt;&gt;"","順番を指定",""))))</f>
        <v/>
      </c>
    </row>
    <row r="84">
      <c r="A84" s="26">
        <f>IF(計算用!$D$82="","",計算用!$M$82)</f>
        <v/>
      </c>
      <c r="B84" s="26">
        <f>IF(計算用!$D$82="","",計算用!$C$82)</f>
        <v/>
      </c>
      <c r="C84">
        <f>IF(計算用!$D$82="","",計算用!$D$82)</f>
        <v/>
      </c>
      <c r="D84" s="26">
        <f>IF(計算用!$D$82="","",計算用!$F$82)</f>
        <v/>
      </c>
      <c r="E84" s="26">
        <f>IF(計算用!$D$82="","",計算用!$I$82)</f>
        <v/>
      </c>
      <c r="F84" s="31">
        <f>IF(計算用!$D$82="","",計算用!$G$82)</f>
        <v/>
      </c>
      <c r="G84" s="26">
        <f>IF(計算用!$D$82="","",計算用!$AK$82)</f>
        <v/>
      </c>
      <c r="H84" s="26">
        <f>IF(計算用!$D$82="","",計算用!$AM$82)</f>
        <v/>
      </c>
      <c r="I84" s="26" t="n"/>
      <c r="J84" s="26" t="n"/>
      <c r="K84" s="26">
        <f>IF(計算用!$D$82="","",計算用!$AP$82)</f>
        <v/>
      </c>
      <c r="L84" s="26">
        <f>IF(計算用!$D$82="","",計算用!$AR$82)</f>
        <v/>
      </c>
      <c r="M84">
        <f>IF(計算用!$D$82="",IF(OR(I84&lt;&gt;"",J84&lt;&gt;""),"名前がありません",""),IF(計算用!$J$82="",IF(OR(I84&lt;&gt;"",J84&lt;&gt;""),"入力不足のため組に入りません","入力不足"),IF(AND(I84&lt;&gt;"",I84&lt;&gt;G84),"組を変更",IF(J84&lt;&gt;"","順番を指定",""))))</f>
        <v/>
      </c>
    </row>
    <row r="85">
      <c r="A85" s="26">
        <f>IF(計算用!$D$83="","",計算用!$M$83)</f>
        <v/>
      </c>
      <c r="B85" s="26">
        <f>IF(計算用!$D$83="","",計算用!$C$83)</f>
        <v/>
      </c>
      <c r="C85">
        <f>IF(計算用!$D$83="","",計算用!$D$83)</f>
        <v/>
      </c>
      <c r="D85" s="26">
        <f>IF(計算用!$D$83="","",計算用!$F$83)</f>
        <v/>
      </c>
      <c r="E85" s="26">
        <f>IF(計算用!$D$83="","",計算用!$I$83)</f>
        <v/>
      </c>
      <c r="F85" s="31">
        <f>IF(計算用!$D$83="","",計算用!$G$83)</f>
        <v/>
      </c>
      <c r="G85" s="26">
        <f>IF(計算用!$D$83="","",計算用!$AK$83)</f>
        <v/>
      </c>
      <c r="H85" s="26">
        <f>IF(計算用!$D$83="","",計算用!$AM$83)</f>
        <v/>
      </c>
      <c r="I85" s="26" t="n"/>
      <c r="J85" s="26" t="n"/>
      <c r="K85" s="26">
        <f>IF(計算用!$D$83="","",計算用!$AP$83)</f>
        <v/>
      </c>
      <c r="L85" s="26">
        <f>IF(計算用!$D$83="","",計算用!$AR$83)</f>
        <v/>
      </c>
      <c r="M85">
        <f>IF(計算用!$D$83="",IF(OR(I85&lt;&gt;"",J85&lt;&gt;""),"名前がありません",""),IF(計算用!$J$83="",IF(OR(I85&lt;&gt;"",J85&lt;&gt;""),"入力不足のため組に入りません","入力不足"),IF(AND(I85&lt;&gt;"",I85&lt;&gt;G85),"組を変更",IF(J85&lt;&gt;"","順番を指定",""))))</f>
        <v/>
      </c>
    </row>
    <row r="86">
      <c r="A86" s="26">
        <f>IF(計算用!$D$84="","",計算用!$M$84)</f>
        <v/>
      </c>
      <c r="B86" s="26">
        <f>IF(計算用!$D$84="","",計算用!$C$84)</f>
        <v/>
      </c>
      <c r="C86">
        <f>IF(計算用!$D$84="","",計算用!$D$84)</f>
        <v/>
      </c>
      <c r="D86" s="26">
        <f>IF(計算用!$D$84="","",計算用!$F$84)</f>
        <v/>
      </c>
      <c r="E86" s="26">
        <f>IF(計算用!$D$84="","",計算用!$I$84)</f>
        <v/>
      </c>
      <c r="F86" s="31">
        <f>IF(計算用!$D$84="","",計算用!$G$84)</f>
        <v/>
      </c>
      <c r="G86" s="26">
        <f>IF(計算用!$D$84="","",計算用!$AK$84)</f>
        <v/>
      </c>
      <c r="H86" s="26">
        <f>IF(計算用!$D$84="","",計算用!$AM$84)</f>
        <v/>
      </c>
      <c r="I86" s="26" t="n"/>
      <c r="J86" s="26" t="n"/>
      <c r="K86" s="26">
        <f>IF(計算用!$D$84="","",計算用!$AP$84)</f>
        <v/>
      </c>
      <c r="L86" s="26">
        <f>IF(計算用!$D$84="","",計算用!$AR$84)</f>
        <v/>
      </c>
      <c r="M86">
        <f>IF(計算用!$D$84="",IF(OR(I86&lt;&gt;"",J86&lt;&gt;""),"名前がありません",""),IF(計算用!$J$84="",IF(OR(I86&lt;&gt;"",J86&lt;&gt;""),"入力不足のため組に入りません","入力不足"),IF(AND(I86&lt;&gt;"",I86&lt;&gt;G86),"組を変更",IF(J86&lt;&gt;"","順番を指定",""))))</f>
        <v/>
      </c>
    </row>
    <row r="87">
      <c r="A87" s="26">
        <f>IF(計算用!$D$85="","",計算用!$M$85)</f>
        <v/>
      </c>
      <c r="B87" s="26">
        <f>IF(計算用!$D$85="","",計算用!$C$85)</f>
        <v/>
      </c>
      <c r="C87">
        <f>IF(計算用!$D$85="","",計算用!$D$85)</f>
        <v/>
      </c>
      <c r="D87" s="26">
        <f>IF(計算用!$D$85="","",計算用!$F$85)</f>
        <v/>
      </c>
      <c r="E87" s="26">
        <f>IF(計算用!$D$85="","",計算用!$I$85)</f>
        <v/>
      </c>
      <c r="F87" s="31">
        <f>IF(計算用!$D$85="","",計算用!$G$85)</f>
        <v/>
      </c>
      <c r="G87" s="26">
        <f>IF(計算用!$D$85="","",計算用!$AK$85)</f>
        <v/>
      </c>
      <c r="H87" s="26">
        <f>IF(計算用!$D$85="","",計算用!$AM$85)</f>
        <v/>
      </c>
      <c r="I87" s="26" t="n"/>
      <c r="J87" s="26" t="n"/>
      <c r="K87" s="26">
        <f>IF(計算用!$D$85="","",計算用!$AP$85)</f>
        <v/>
      </c>
      <c r="L87" s="26">
        <f>IF(計算用!$D$85="","",計算用!$AR$85)</f>
        <v/>
      </c>
      <c r="M87">
        <f>IF(計算用!$D$85="",IF(OR(I87&lt;&gt;"",J87&lt;&gt;""),"名前がありません",""),IF(計算用!$J$85="",IF(OR(I87&lt;&gt;"",J87&lt;&gt;""),"入力不足のため組に入りません","入力不足"),IF(AND(I87&lt;&gt;"",I87&lt;&gt;G87),"組を変更",IF(J87&lt;&gt;"","順番を指定",""))))</f>
        <v/>
      </c>
    </row>
    <row r="88">
      <c r="A88" s="26">
        <f>IF(計算用!$D$86="","",計算用!$M$86)</f>
        <v/>
      </c>
      <c r="B88" s="26">
        <f>IF(計算用!$D$86="","",計算用!$C$86)</f>
        <v/>
      </c>
      <c r="C88">
        <f>IF(計算用!$D$86="","",計算用!$D$86)</f>
        <v/>
      </c>
      <c r="D88" s="26">
        <f>IF(計算用!$D$86="","",計算用!$F$86)</f>
        <v/>
      </c>
      <c r="E88" s="26">
        <f>IF(計算用!$D$86="","",計算用!$I$86)</f>
        <v/>
      </c>
      <c r="F88" s="31">
        <f>IF(計算用!$D$86="","",計算用!$G$86)</f>
        <v/>
      </c>
      <c r="G88" s="26">
        <f>IF(計算用!$D$86="","",計算用!$AK$86)</f>
        <v/>
      </c>
      <c r="H88" s="26">
        <f>IF(計算用!$D$86="","",計算用!$AM$86)</f>
        <v/>
      </c>
      <c r="I88" s="26" t="n"/>
      <c r="J88" s="26" t="n"/>
      <c r="K88" s="26">
        <f>IF(計算用!$D$86="","",計算用!$AP$86)</f>
        <v/>
      </c>
      <c r="L88" s="26">
        <f>IF(計算用!$D$86="","",計算用!$AR$86)</f>
        <v/>
      </c>
      <c r="M88">
        <f>IF(計算用!$D$86="",IF(OR(I88&lt;&gt;"",J88&lt;&gt;""),"名前がありません",""),IF(計算用!$J$86="",IF(OR(I88&lt;&gt;"",J88&lt;&gt;""),"入力不足のため組に入りません","入力不足"),IF(AND(I88&lt;&gt;"",I88&lt;&gt;G88),"組を変更",IF(J88&lt;&gt;"","順番を指定",""))))</f>
        <v/>
      </c>
    </row>
    <row r="89">
      <c r="A89" s="26">
        <f>IF(計算用!$D$87="","",計算用!$M$87)</f>
        <v/>
      </c>
      <c r="B89" s="26">
        <f>IF(計算用!$D$87="","",計算用!$C$87)</f>
        <v/>
      </c>
      <c r="C89">
        <f>IF(計算用!$D$87="","",計算用!$D$87)</f>
        <v/>
      </c>
      <c r="D89" s="26">
        <f>IF(計算用!$D$87="","",計算用!$F$87)</f>
        <v/>
      </c>
      <c r="E89" s="26">
        <f>IF(計算用!$D$87="","",計算用!$I$87)</f>
        <v/>
      </c>
      <c r="F89" s="31">
        <f>IF(計算用!$D$87="","",計算用!$G$87)</f>
        <v/>
      </c>
      <c r="G89" s="26">
        <f>IF(計算用!$D$87="","",計算用!$AK$87)</f>
        <v/>
      </c>
      <c r="H89" s="26">
        <f>IF(計算用!$D$87="","",計算用!$AM$87)</f>
        <v/>
      </c>
      <c r="I89" s="26" t="n"/>
      <c r="J89" s="26" t="n"/>
      <c r="K89" s="26">
        <f>IF(計算用!$D$87="","",計算用!$AP$87)</f>
        <v/>
      </c>
      <c r="L89" s="26">
        <f>IF(計算用!$D$87="","",計算用!$AR$87)</f>
        <v/>
      </c>
      <c r="M89">
        <f>IF(計算用!$D$87="",IF(OR(I89&lt;&gt;"",J89&lt;&gt;""),"名前がありません",""),IF(計算用!$J$87="",IF(OR(I89&lt;&gt;"",J89&lt;&gt;""),"入力不足のため組に入りません","入力不足"),IF(AND(I89&lt;&gt;"",I89&lt;&gt;G89),"組を変更",IF(J89&lt;&gt;"","順番を指定",""))))</f>
        <v/>
      </c>
    </row>
    <row r="90">
      <c r="A90" s="26">
        <f>IF(計算用!$D$88="","",計算用!$M$88)</f>
        <v/>
      </c>
      <c r="B90" s="26">
        <f>IF(計算用!$D$88="","",計算用!$C$88)</f>
        <v/>
      </c>
      <c r="C90">
        <f>IF(計算用!$D$88="","",計算用!$D$88)</f>
        <v/>
      </c>
      <c r="D90" s="26">
        <f>IF(計算用!$D$88="","",計算用!$F$88)</f>
        <v/>
      </c>
      <c r="E90" s="26">
        <f>IF(計算用!$D$88="","",計算用!$I$88)</f>
        <v/>
      </c>
      <c r="F90" s="31">
        <f>IF(計算用!$D$88="","",計算用!$G$88)</f>
        <v/>
      </c>
      <c r="G90" s="26">
        <f>IF(計算用!$D$88="","",計算用!$AK$88)</f>
        <v/>
      </c>
      <c r="H90" s="26">
        <f>IF(計算用!$D$88="","",計算用!$AM$88)</f>
        <v/>
      </c>
      <c r="I90" s="26" t="n"/>
      <c r="J90" s="26" t="n"/>
      <c r="K90" s="26">
        <f>IF(計算用!$D$88="","",計算用!$AP$88)</f>
        <v/>
      </c>
      <c r="L90" s="26">
        <f>IF(計算用!$D$88="","",計算用!$AR$88)</f>
        <v/>
      </c>
      <c r="M90">
        <f>IF(計算用!$D$88="",IF(OR(I90&lt;&gt;"",J90&lt;&gt;""),"名前がありません",""),IF(計算用!$J$88="",IF(OR(I90&lt;&gt;"",J90&lt;&gt;""),"入力不足のため組に入りません","入力不足"),IF(AND(I90&lt;&gt;"",I90&lt;&gt;G90),"組を変更",IF(J90&lt;&gt;"","順番を指定",""))))</f>
        <v/>
      </c>
    </row>
    <row r="91">
      <c r="A91" s="26">
        <f>IF(計算用!$D$89="","",計算用!$M$89)</f>
        <v/>
      </c>
      <c r="B91" s="26">
        <f>IF(計算用!$D$89="","",計算用!$C$89)</f>
        <v/>
      </c>
      <c r="C91">
        <f>IF(計算用!$D$89="","",計算用!$D$89)</f>
        <v/>
      </c>
      <c r="D91" s="26">
        <f>IF(計算用!$D$89="","",計算用!$F$89)</f>
        <v/>
      </c>
      <c r="E91" s="26">
        <f>IF(計算用!$D$89="","",計算用!$I$89)</f>
        <v/>
      </c>
      <c r="F91" s="31">
        <f>IF(計算用!$D$89="","",計算用!$G$89)</f>
        <v/>
      </c>
      <c r="G91" s="26">
        <f>IF(計算用!$D$89="","",計算用!$AK$89)</f>
        <v/>
      </c>
      <c r="H91" s="26">
        <f>IF(計算用!$D$89="","",計算用!$AM$89)</f>
        <v/>
      </c>
      <c r="I91" s="26" t="n"/>
      <c r="J91" s="26" t="n"/>
      <c r="K91" s="26">
        <f>IF(計算用!$D$89="","",計算用!$AP$89)</f>
        <v/>
      </c>
      <c r="L91" s="26">
        <f>IF(計算用!$D$89="","",計算用!$AR$89)</f>
        <v/>
      </c>
      <c r="M91">
        <f>IF(計算用!$D$89="",IF(OR(I91&lt;&gt;"",J91&lt;&gt;""),"名前がありません",""),IF(計算用!$J$89="",IF(OR(I91&lt;&gt;"",J91&lt;&gt;""),"入力不足のため組に入りません","入力不足"),IF(AND(I91&lt;&gt;"",I91&lt;&gt;G91),"組を変更",IF(J91&lt;&gt;"","順番を指定",""))))</f>
        <v/>
      </c>
    </row>
    <row r="92">
      <c r="A92" s="26">
        <f>IF(計算用!$D$90="","",計算用!$M$90)</f>
        <v/>
      </c>
      <c r="B92" s="26">
        <f>IF(計算用!$D$90="","",計算用!$C$90)</f>
        <v/>
      </c>
      <c r="C92">
        <f>IF(計算用!$D$90="","",計算用!$D$90)</f>
        <v/>
      </c>
      <c r="D92" s="26">
        <f>IF(計算用!$D$90="","",計算用!$F$90)</f>
        <v/>
      </c>
      <c r="E92" s="26">
        <f>IF(計算用!$D$90="","",計算用!$I$90)</f>
        <v/>
      </c>
      <c r="F92" s="31">
        <f>IF(計算用!$D$90="","",計算用!$G$90)</f>
        <v/>
      </c>
      <c r="G92" s="26">
        <f>IF(計算用!$D$90="","",計算用!$AK$90)</f>
        <v/>
      </c>
      <c r="H92" s="26">
        <f>IF(計算用!$D$90="","",計算用!$AM$90)</f>
        <v/>
      </c>
      <c r="I92" s="26" t="n"/>
      <c r="J92" s="26" t="n"/>
      <c r="K92" s="26">
        <f>IF(計算用!$D$90="","",計算用!$AP$90)</f>
        <v/>
      </c>
      <c r="L92" s="26">
        <f>IF(計算用!$D$90="","",計算用!$AR$90)</f>
        <v/>
      </c>
      <c r="M92">
        <f>IF(計算用!$D$90="",IF(OR(I92&lt;&gt;"",J92&lt;&gt;""),"名前がありません",""),IF(計算用!$J$90="",IF(OR(I92&lt;&gt;"",J92&lt;&gt;""),"入力不足のため組に入りません","入力不足"),IF(AND(I92&lt;&gt;"",I92&lt;&gt;G92),"組を変更",IF(J92&lt;&gt;"","順番を指定",""))))</f>
        <v/>
      </c>
    </row>
    <row r="93">
      <c r="A93" s="26">
        <f>IF(計算用!$D$91="","",計算用!$M$91)</f>
        <v/>
      </c>
      <c r="B93" s="26">
        <f>IF(計算用!$D$91="","",計算用!$C$91)</f>
        <v/>
      </c>
      <c r="C93">
        <f>IF(計算用!$D$91="","",計算用!$D$91)</f>
        <v/>
      </c>
      <c r="D93" s="26">
        <f>IF(計算用!$D$91="","",計算用!$F$91)</f>
        <v/>
      </c>
      <c r="E93" s="26">
        <f>IF(計算用!$D$91="","",計算用!$I$91)</f>
        <v/>
      </c>
      <c r="F93" s="31">
        <f>IF(計算用!$D$91="","",計算用!$G$91)</f>
        <v/>
      </c>
      <c r="G93" s="26">
        <f>IF(計算用!$D$91="","",計算用!$AK$91)</f>
        <v/>
      </c>
      <c r="H93" s="26">
        <f>IF(計算用!$D$91="","",計算用!$AM$91)</f>
        <v/>
      </c>
      <c r="I93" s="26" t="n"/>
      <c r="J93" s="26" t="n"/>
      <c r="K93" s="26">
        <f>IF(計算用!$D$91="","",計算用!$AP$91)</f>
        <v/>
      </c>
      <c r="L93" s="26">
        <f>IF(計算用!$D$91="","",計算用!$AR$91)</f>
        <v/>
      </c>
      <c r="M93">
        <f>IF(計算用!$D$91="",IF(OR(I93&lt;&gt;"",J93&lt;&gt;""),"名前がありません",""),IF(計算用!$J$91="",IF(OR(I93&lt;&gt;"",J93&lt;&gt;""),"入力不足のため組に入りません","入力不足"),IF(AND(I93&lt;&gt;"",I93&lt;&gt;G93),"組を変更",IF(J93&lt;&gt;"","順番を指定",""))))</f>
        <v/>
      </c>
    </row>
    <row r="94">
      <c r="A94" s="26">
        <f>IF(計算用!$D$92="","",計算用!$M$92)</f>
        <v/>
      </c>
      <c r="B94" s="26">
        <f>IF(計算用!$D$92="","",計算用!$C$92)</f>
        <v/>
      </c>
      <c r="C94">
        <f>IF(計算用!$D$92="","",計算用!$D$92)</f>
        <v/>
      </c>
      <c r="D94" s="26">
        <f>IF(計算用!$D$92="","",計算用!$F$92)</f>
        <v/>
      </c>
      <c r="E94" s="26">
        <f>IF(計算用!$D$92="","",計算用!$I$92)</f>
        <v/>
      </c>
      <c r="F94" s="31">
        <f>IF(計算用!$D$92="","",計算用!$G$92)</f>
        <v/>
      </c>
      <c r="G94" s="26">
        <f>IF(計算用!$D$92="","",計算用!$AK$92)</f>
        <v/>
      </c>
      <c r="H94" s="26">
        <f>IF(計算用!$D$92="","",計算用!$AM$92)</f>
        <v/>
      </c>
      <c r="I94" s="26" t="n"/>
      <c r="J94" s="26" t="n"/>
      <c r="K94" s="26">
        <f>IF(計算用!$D$92="","",計算用!$AP$92)</f>
        <v/>
      </c>
      <c r="L94" s="26">
        <f>IF(計算用!$D$92="","",計算用!$AR$92)</f>
        <v/>
      </c>
      <c r="M94">
        <f>IF(計算用!$D$92="",IF(OR(I94&lt;&gt;"",J94&lt;&gt;""),"名前がありません",""),IF(計算用!$J$92="",IF(OR(I94&lt;&gt;"",J94&lt;&gt;""),"入力不足のため組に入りません","入力不足"),IF(AND(I94&lt;&gt;"",I94&lt;&gt;G94),"組を変更",IF(J94&lt;&gt;"","順番を指定",""))))</f>
        <v/>
      </c>
    </row>
    <row r="95">
      <c r="A95" s="26">
        <f>IF(計算用!$D$93="","",計算用!$M$93)</f>
        <v/>
      </c>
      <c r="B95" s="26">
        <f>IF(計算用!$D$93="","",計算用!$C$93)</f>
        <v/>
      </c>
      <c r="C95">
        <f>IF(計算用!$D$93="","",計算用!$D$93)</f>
        <v/>
      </c>
      <c r="D95" s="26">
        <f>IF(計算用!$D$93="","",計算用!$F$93)</f>
        <v/>
      </c>
      <c r="E95" s="26">
        <f>IF(計算用!$D$93="","",計算用!$I$93)</f>
        <v/>
      </c>
      <c r="F95" s="31">
        <f>IF(計算用!$D$93="","",計算用!$G$93)</f>
        <v/>
      </c>
      <c r="G95" s="26">
        <f>IF(計算用!$D$93="","",計算用!$AK$93)</f>
        <v/>
      </c>
      <c r="H95" s="26">
        <f>IF(計算用!$D$93="","",計算用!$AM$93)</f>
        <v/>
      </c>
      <c r="I95" s="26" t="n"/>
      <c r="J95" s="26" t="n"/>
      <c r="K95" s="26">
        <f>IF(計算用!$D$93="","",計算用!$AP$93)</f>
        <v/>
      </c>
      <c r="L95" s="26">
        <f>IF(計算用!$D$93="","",計算用!$AR$93)</f>
        <v/>
      </c>
      <c r="M95">
        <f>IF(計算用!$D$93="",IF(OR(I95&lt;&gt;"",J95&lt;&gt;""),"名前がありません",""),IF(計算用!$J$93="",IF(OR(I95&lt;&gt;"",J95&lt;&gt;""),"入力不足のため組に入りません","入力不足"),IF(AND(I95&lt;&gt;"",I95&lt;&gt;G95),"組を変更",IF(J95&lt;&gt;"","順番を指定",""))))</f>
        <v/>
      </c>
    </row>
    <row r="96">
      <c r="A96" s="26">
        <f>IF(計算用!$D$94="","",計算用!$M$94)</f>
        <v/>
      </c>
      <c r="B96" s="26">
        <f>IF(計算用!$D$94="","",計算用!$C$94)</f>
        <v/>
      </c>
      <c r="C96">
        <f>IF(計算用!$D$94="","",計算用!$D$94)</f>
        <v/>
      </c>
      <c r="D96" s="26">
        <f>IF(計算用!$D$94="","",計算用!$F$94)</f>
        <v/>
      </c>
      <c r="E96" s="26">
        <f>IF(計算用!$D$94="","",計算用!$I$94)</f>
        <v/>
      </c>
      <c r="F96" s="31">
        <f>IF(計算用!$D$94="","",計算用!$G$94)</f>
        <v/>
      </c>
      <c r="G96" s="26">
        <f>IF(計算用!$D$94="","",計算用!$AK$94)</f>
        <v/>
      </c>
      <c r="H96" s="26">
        <f>IF(計算用!$D$94="","",計算用!$AM$94)</f>
        <v/>
      </c>
      <c r="I96" s="26" t="n"/>
      <c r="J96" s="26" t="n"/>
      <c r="K96" s="26">
        <f>IF(計算用!$D$94="","",計算用!$AP$94)</f>
        <v/>
      </c>
      <c r="L96" s="26">
        <f>IF(計算用!$D$94="","",計算用!$AR$94)</f>
        <v/>
      </c>
      <c r="M96">
        <f>IF(計算用!$D$94="",IF(OR(I96&lt;&gt;"",J96&lt;&gt;""),"名前がありません",""),IF(計算用!$J$94="",IF(OR(I96&lt;&gt;"",J96&lt;&gt;""),"入力不足のため組に入りません","入力不足"),IF(AND(I96&lt;&gt;"",I96&lt;&gt;G96),"組を変更",IF(J96&lt;&gt;"","順番を指定",""))))</f>
        <v/>
      </c>
    </row>
    <row r="97">
      <c r="A97" s="26">
        <f>IF(計算用!$D$95="","",計算用!$M$95)</f>
        <v/>
      </c>
      <c r="B97" s="26">
        <f>IF(計算用!$D$95="","",計算用!$C$95)</f>
        <v/>
      </c>
      <c r="C97">
        <f>IF(計算用!$D$95="","",計算用!$D$95)</f>
        <v/>
      </c>
      <c r="D97" s="26">
        <f>IF(計算用!$D$95="","",計算用!$F$95)</f>
        <v/>
      </c>
      <c r="E97" s="26">
        <f>IF(計算用!$D$95="","",計算用!$I$95)</f>
        <v/>
      </c>
      <c r="F97" s="31">
        <f>IF(計算用!$D$95="","",計算用!$G$95)</f>
        <v/>
      </c>
      <c r="G97" s="26">
        <f>IF(計算用!$D$95="","",計算用!$AK$95)</f>
        <v/>
      </c>
      <c r="H97" s="26">
        <f>IF(計算用!$D$95="","",計算用!$AM$95)</f>
        <v/>
      </c>
      <c r="I97" s="26" t="n"/>
      <c r="J97" s="26" t="n"/>
      <c r="K97" s="26">
        <f>IF(計算用!$D$95="","",計算用!$AP$95)</f>
        <v/>
      </c>
      <c r="L97" s="26">
        <f>IF(計算用!$D$95="","",計算用!$AR$95)</f>
        <v/>
      </c>
      <c r="M97">
        <f>IF(計算用!$D$95="",IF(OR(I97&lt;&gt;"",J97&lt;&gt;""),"名前がありません",""),IF(計算用!$J$95="",IF(OR(I97&lt;&gt;"",J97&lt;&gt;""),"入力不足のため組に入りません","入力不足"),IF(AND(I97&lt;&gt;"",I97&lt;&gt;G97),"組を変更",IF(J97&lt;&gt;"","順番を指定",""))))</f>
        <v/>
      </c>
    </row>
    <row r="98">
      <c r="A98" s="26">
        <f>IF(計算用!$D$96="","",計算用!$M$96)</f>
        <v/>
      </c>
      <c r="B98" s="26">
        <f>IF(計算用!$D$96="","",計算用!$C$96)</f>
        <v/>
      </c>
      <c r="C98">
        <f>IF(計算用!$D$96="","",計算用!$D$96)</f>
        <v/>
      </c>
      <c r="D98" s="26">
        <f>IF(計算用!$D$96="","",計算用!$F$96)</f>
        <v/>
      </c>
      <c r="E98" s="26">
        <f>IF(計算用!$D$96="","",計算用!$I$96)</f>
        <v/>
      </c>
      <c r="F98" s="31">
        <f>IF(計算用!$D$96="","",計算用!$G$96)</f>
        <v/>
      </c>
      <c r="G98" s="26">
        <f>IF(計算用!$D$96="","",計算用!$AK$96)</f>
        <v/>
      </c>
      <c r="H98" s="26">
        <f>IF(計算用!$D$96="","",計算用!$AM$96)</f>
        <v/>
      </c>
      <c r="I98" s="26" t="n"/>
      <c r="J98" s="26" t="n"/>
      <c r="K98" s="26">
        <f>IF(計算用!$D$96="","",計算用!$AP$96)</f>
        <v/>
      </c>
      <c r="L98" s="26">
        <f>IF(計算用!$D$96="","",計算用!$AR$96)</f>
        <v/>
      </c>
      <c r="M98">
        <f>IF(計算用!$D$96="",IF(OR(I98&lt;&gt;"",J98&lt;&gt;""),"名前がありません",""),IF(計算用!$J$96="",IF(OR(I98&lt;&gt;"",J98&lt;&gt;""),"入力不足のため組に入りません","入力不足"),IF(AND(I98&lt;&gt;"",I98&lt;&gt;G98),"組を変更",IF(J98&lt;&gt;"","順番を指定",""))))</f>
        <v/>
      </c>
    </row>
    <row r="99">
      <c r="A99" s="26">
        <f>IF(計算用!$D$97="","",計算用!$M$97)</f>
        <v/>
      </c>
      <c r="B99" s="26">
        <f>IF(計算用!$D$97="","",計算用!$C$97)</f>
        <v/>
      </c>
      <c r="C99">
        <f>IF(計算用!$D$97="","",計算用!$D$97)</f>
        <v/>
      </c>
      <c r="D99" s="26">
        <f>IF(計算用!$D$97="","",計算用!$F$97)</f>
        <v/>
      </c>
      <c r="E99" s="26">
        <f>IF(計算用!$D$97="","",計算用!$I$97)</f>
        <v/>
      </c>
      <c r="F99" s="31">
        <f>IF(計算用!$D$97="","",計算用!$G$97)</f>
        <v/>
      </c>
      <c r="G99" s="26">
        <f>IF(計算用!$D$97="","",計算用!$AK$97)</f>
        <v/>
      </c>
      <c r="H99" s="26">
        <f>IF(計算用!$D$97="","",計算用!$AM$97)</f>
        <v/>
      </c>
      <c r="I99" s="26" t="n"/>
      <c r="J99" s="26" t="n"/>
      <c r="K99" s="26">
        <f>IF(計算用!$D$97="","",計算用!$AP$97)</f>
        <v/>
      </c>
      <c r="L99" s="26">
        <f>IF(計算用!$D$97="","",計算用!$AR$97)</f>
        <v/>
      </c>
      <c r="M99">
        <f>IF(計算用!$D$97="",IF(OR(I99&lt;&gt;"",J99&lt;&gt;""),"名前がありません",""),IF(計算用!$J$97="",IF(OR(I99&lt;&gt;"",J99&lt;&gt;""),"入力不足のため組に入りません","入力不足"),IF(AND(I99&lt;&gt;"",I99&lt;&gt;G99),"組を変更",IF(J99&lt;&gt;"","順番を指定",""))))</f>
        <v/>
      </c>
    </row>
    <row r="100">
      <c r="A100" s="26">
        <f>IF(計算用!$D$98="","",計算用!$M$98)</f>
        <v/>
      </c>
      <c r="B100" s="26">
        <f>IF(計算用!$D$98="","",計算用!$C$98)</f>
        <v/>
      </c>
      <c r="C100">
        <f>IF(計算用!$D$98="","",計算用!$D$98)</f>
        <v/>
      </c>
      <c r="D100" s="26">
        <f>IF(計算用!$D$98="","",計算用!$F$98)</f>
        <v/>
      </c>
      <c r="E100" s="26">
        <f>IF(計算用!$D$98="","",計算用!$I$98)</f>
        <v/>
      </c>
      <c r="F100" s="31">
        <f>IF(計算用!$D$98="","",計算用!$G$98)</f>
        <v/>
      </c>
      <c r="G100" s="26">
        <f>IF(計算用!$D$98="","",計算用!$AK$98)</f>
        <v/>
      </c>
      <c r="H100" s="26">
        <f>IF(計算用!$D$98="","",計算用!$AM$98)</f>
        <v/>
      </c>
      <c r="I100" s="26" t="n"/>
      <c r="J100" s="26" t="n"/>
      <c r="K100" s="26">
        <f>IF(計算用!$D$98="","",計算用!$AP$98)</f>
        <v/>
      </c>
      <c r="L100" s="26">
        <f>IF(計算用!$D$98="","",計算用!$AR$98)</f>
        <v/>
      </c>
      <c r="M100">
        <f>IF(計算用!$D$98="",IF(OR(I100&lt;&gt;"",J100&lt;&gt;""),"名前がありません",""),IF(計算用!$J$98="",IF(OR(I100&lt;&gt;"",J100&lt;&gt;""),"入力不足のため組に入りません","入力不足"),IF(AND(I100&lt;&gt;"",I100&lt;&gt;G100),"組を変更",IF(J100&lt;&gt;"","順番を指定",""))))</f>
        <v/>
      </c>
    </row>
    <row r="101">
      <c r="A101" s="26">
        <f>IF(計算用!$D$99="","",計算用!$M$99)</f>
        <v/>
      </c>
      <c r="B101" s="26">
        <f>IF(計算用!$D$99="","",計算用!$C$99)</f>
        <v/>
      </c>
      <c r="C101">
        <f>IF(計算用!$D$99="","",計算用!$D$99)</f>
        <v/>
      </c>
      <c r="D101" s="26">
        <f>IF(計算用!$D$99="","",計算用!$F$99)</f>
        <v/>
      </c>
      <c r="E101" s="26">
        <f>IF(計算用!$D$99="","",計算用!$I$99)</f>
        <v/>
      </c>
      <c r="F101" s="31">
        <f>IF(計算用!$D$99="","",計算用!$G$99)</f>
        <v/>
      </c>
      <c r="G101" s="26">
        <f>IF(計算用!$D$99="","",計算用!$AK$99)</f>
        <v/>
      </c>
      <c r="H101" s="26">
        <f>IF(計算用!$D$99="","",計算用!$AM$99)</f>
        <v/>
      </c>
      <c r="I101" s="26" t="n"/>
      <c r="J101" s="26" t="n"/>
      <c r="K101" s="26">
        <f>IF(計算用!$D$99="","",計算用!$AP$99)</f>
        <v/>
      </c>
      <c r="L101" s="26">
        <f>IF(計算用!$D$99="","",計算用!$AR$99)</f>
        <v/>
      </c>
      <c r="M101">
        <f>IF(計算用!$D$99="",IF(OR(I101&lt;&gt;"",J101&lt;&gt;""),"名前がありません",""),IF(計算用!$J$99="",IF(OR(I101&lt;&gt;"",J101&lt;&gt;""),"入力不足のため組に入りません","入力不足"),IF(AND(I101&lt;&gt;"",I101&lt;&gt;G101),"組を変更",IF(J101&lt;&gt;"","順番を指定",""))))</f>
        <v/>
      </c>
    </row>
    <row r="102">
      <c r="A102" s="26">
        <f>IF(計算用!$D$100="","",計算用!$M$100)</f>
        <v/>
      </c>
      <c r="B102" s="26">
        <f>IF(計算用!$D$100="","",計算用!$C$100)</f>
        <v/>
      </c>
      <c r="C102">
        <f>IF(計算用!$D$100="","",計算用!$D$100)</f>
        <v/>
      </c>
      <c r="D102" s="26">
        <f>IF(計算用!$D$100="","",計算用!$F$100)</f>
        <v/>
      </c>
      <c r="E102" s="26">
        <f>IF(計算用!$D$100="","",計算用!$I$100)</f>
        <v/>
      </c>
      <c r="F102" s="31">
        <f>IF(計算用!$D$100="","",計算用!$G$100)</f>
        <v/>
      </c>
      <c r="G102" s="26">
        <f>IF(計算用!$D$100="","",計算用!$AK$100)</f>
        <v/>
      </c>
      <c r="H102" s="26">
        <f>IF(計算用!$D$100="","",計算用!$AM$100)</f>
        <v/>
      </c>
      <c r="I102" s="26" t="n"/>
      <c r="J102" s="26" t="n"/>
      <c r="K102" s="26">
        <f>IF(計算用!$D$100="","",計算用!$AP$100)</f>
        <v/>
      </c>
      <c r="L102" s="26">
        <f>IF(計算用!$D$100="","",計算用!$AR$100)</f>
        <v/>
      </c>
      <c r="M102">
        <f>IF(計算用!$D$100="",IF(OR(I102&lt;&gt;"",J102&lt;&gt;""),"名前がありません",""),IF(計算用!$J$100="",IF(OR(I102&lt;&gt;"",J102&lt;&gt;""),"入力不足のため組に入りません","入力不足"),IF(AND(I102&lt;&gt;"",I102&lt;&gt;G102),"組を変更",IF(J102&lt;&gt;"","順番を指定",""))))</f>
        <v/>
      </c>
    </row>
    <row r="103">
      <c r="A103" s="26">
        <f>IF(計算用!$D$101="","",計算用!$M$101)</f>
        <v/>
      </c>
      <c r="B103" s="26">
        <f>IF(計算用!$D$101="","",計算用!$C$101)</f>
        <v/>
      </c>
      <c r="C103">
        <f>IF(計算用!$D$101="","",計算用!$D$101)</f>
        <v/>
      </c>
      <c r="D103" s="26">
        <f>IF(計算用!$D$101="","",計算用!$F$101)</f>
        <v/>
      </c>
      <c r="E103" s="26">
        <f>IF(計算用!$D$101="","",計算用!$I$101)</f>
        <v/>
      </c>
      <c r="F103" s="31">
        <f>IF(計算用!$D$101="","",計算用!$G$101)</f>
        <v/>
      </c>
      <c r="G103" s="26">
        <f>IF(計算用!$D$101="","",計算用!$AK$101)</f>
        <v/>
      </c>
      <c r="H103" s="26">
        <f>IF(計算用!$D$101="","",計算用!$AM$101)</f>
        <v/>
      </c>
      <c r="I103" s="26" t="n"/>
      <c r="J103" s="26" t="n"/>
      <c r="K103" s="26">
        <f>IF(計算用!$D$101="","",計算用!$AP$101)</f>
        <v/>
      </c>
      <c r="L103" s="26">
        <f>IF(計算用!$D$101="","",計算用!$AR$101)</f>
        <v/>
      </c>
      <c r="M103">
        <f>IF(計算用!$D$101="",IF(OR(I103&lt;&gt;"",J103&lt;&gt;""),"名前がありません",""),IF(計算用!$J$101="",IF(OR(I103&lt;&gt;"",J103&lt;&gt;""),"入力不足のため組に入りません","入力不足"),IF(AND(I103&lt;&gt;"",I103&lt;&gt;G103),"組を変更",IF(J103&lt;&gt;"","順番を指定",""))))</f>
        <v/>
      </c>
    </row>
    <row r="104">
      <c r="A104" s="26">
        <f>IF(計算用!$D$102="","",計算用!$M$102)</f>
        <v/>
      </c>
      <c r="B104" s="26">
        <f>IF(計算用!$D$102="","",計算用!$C$102)</f>
        <v/>
      </c>
      <c r="C104">
        <f>IF(計算用!$D$102="","",計算用!$D$102)</f>
        <v/>
      </c>
      <c r="D104" s="26">
        <f>IF(計算用!$D$102="","",計算用!$F$102)</f>
        <v/>
      </c>
      <c r="E104" s="26">
        <f>IF(計算用!$D$102="","",計算用!$I$102)</f>
        <v/>
      </c>
      <c r="F104" s="31">
        <f>IF(計算用!$D$102="","",計算用!$G$102)</f>
        <v/>
      </c>
      <c r="G104" s="26">
        <f>IF(計算用!$D$102="","",計算用!$AK$102)</f>
        <v/>
      </c>
      <c r="H104" s="26">
        <f>IF(計算用!$D$102="","",計算用!$AM$102)</f>
        <v/>
      </c>
      <c r="I104" s="26" t="n"/>
      <c r="J104" s="26" t="n"/>
      <c r="K104" s="26">
        <f>IF(計算用!$D$102="","",計算用!$AP$102)</f>
        <v/>
      </c>
      <c r="L104" s="26">
        <f>IF(計算用!$D$102="","",計算用!$AR$102)</f>
        <v/>
      </c>
      <c r="M104">
        <f>IF(計算用!$D$102="",IF(OR(I104&lt;&gt;"",J104&lt;&gt;""),"名前がありません",""),IF(計算用!$J$102="",IF(OR(I104&lt;&gt;"",J104&lt;&gt;""),"入力不足のため組に入りません","入力不足"),IF(AND(I104&lt;&gt;"",I104&lt;&gt;G104),"組を変更",IF(J104&lt;&gt;"","順番を指定",""))))</f>
        <v/>
      </c>
    </row>
    <row r="105">
      <c r="A105" s="26">
        <f>IF(計算用!$D$103="","",計算用!$M$103)</f>
        <v/>
      </c>
      <c r="B105" s="26">
        <f>IF(計算用!$D$103="","",計算用!$C$103)</f>
        <v/>
      </c>
      <c r="C105">
        <f>IF(計算用!$D$103="","",計算用!$D$103)</f>
        <v/>
      </c>
      <c r="D105" s="26">
        <f>IF(計算用!$D$103="","",計算用!$F$103)</f>
        <v/>
      </c>
      <c r="E105" s="26">
        <f>IF(計算用!$D$103="","",計算用!$I$103)</f>
        <v/>
      </c>
      <c r="F105" s="31">
        <f>IF(計算用!$D$103="","",計算用!$G$103)</f>
        <v/>
      </c>
      <c r="G105" s="26">
        <f>IF(計算用!$D$103="","",計算用!$AK$103)</f>
        <v/>
      </c>
      <c r="H105" s="26">
        <f>IF(計算用!$D$103="","",計算用!$AM$103)</f>
        <v/>
      </c>
      <c r="I105" s="26" t="n"/>
      <c r="J105" s="26" t="n"/>
      <c r="K105" s="26">
        <f>IF(計算用!$D$103="","",計算用!$AP$103)</f>
        <v/>
      </c>
      <c r="L105" s="26">
        <f>IF(計算用!$D$103="","",計算用!$AR$103)</f>
        <v/>
      </c>
      <c r="M105">
        <f>IF(計算用!$D$103="",IF(OR(I105&lt;&gt;"",J105&lt;&gt;""),"名前がありません",""),IF(計算用!$J$103="",IF(OR(I105&lt;&gt;"",J105&lt;&gt;""),"入力不足のため組に入りません","入力不足"),IF(AND(I105&lt;&gt;"",I105&lt;&gt;G105),"組を変更",IF(J105&lt;&gt;"","順番を指定",""))))</f>
        <v/>
      </c>
    </row>
    <row r="106">
      <c r="A106" s="26">
        <f>IF(計算用!$D$104="","",計算用!$M$104)</f>
        <v/>
      </c>
      <c r="B106" s="26">
        <f>IF(計算用!$D$104="","",計算用!$C$104)</f>
        <v/>
      </c>
      <c r="C106">
        <f>IF(計算用!$D$104="","",計算用!$D$104)</f>
        <v/>
      </c>
      <c r="D106" s="26">
        <f>IF(計算用!$D$104="","",計算用!$F$104)</f>
        <v/>
      </c>
      <c r="E106" s="26">
        <f>IF(計算用!$D$104="","",計算用!$I$104)</f>
        <v/>
      </c>
      <c r="F106" s="31">
        <f>IF(計算用!$D$104="","",計算用!$G$104)</f>
        <v/>
      </c>
      <c r="G106" s="26">
        <f>IF(計算用!$D$104="","",計算用!$AK$104)</f>
        <v/>
      </c>
      <c r="H106" s="26">
        <f>IF(計算用!$D$104="","",計算用!$AM$104)</f>
        <v/>
      </c>
      <c r="I106" s="26" t="n"/>
      <c r="J106" s="26" t="n"/>
      <c r="K106" s="26">
        <f>IF(計算用!$D$104="","",計算用!$AP$104)</f>
        <v/>
      </c>
      <c r="L106" s="26">
        <f>IF(計算用!$D$104="","",計算用!$AR$104)</f>
        <v/>
      </c>
      <c r="M106">
        <f>IF(計算用!$D$104="",IF(OR(I106&lt;&gt;"",J106&lt;&gt;""),"名前がありません",""),IF(計算用!$J$104="",IF(OR(I106&lt;&gt;"",J106&lt;&gt;""),"入力不足のため組に入りません","入力不足"),IF(AND(I106&lt;&gt;"",I106&lt;&gt;G106),"組を変更",IF(J106&lt;&gt;"","順番を指定",""))))</f>
        <v/>
      </c>
    </row>
    <row r="107">
      <c r="A107" s="26">
        <f>IF(計算用!$D$105="","",計算用!$M$105)</f>
        <v/>
      </c>
      <c r="B107" s="26">
        <f>IF(計算用!$D$105="","",計算用!$C$105)</f>
        <v/>
      </c>
      <c r="C107">
        <f>IF(計算用!$D$105="","",計算用!$D$105)</f>
        <v/>
      </c>
      <c r="D107" s="26">
        <f>IF(計算用!$D$105="","",計算用!$F$105)</f>
        <v/>
      </c>
      <c r="E107" s="26">
        <f>IF(計算用!$D$105="","",計算用!$I$105)</f>
        <v/>
      </c>
      <c r="F107" s="31">
        <f>IF(計算用!$D$105="","",計算用!$G$105)</f>
        <v/>
      </c>
      <c r="G107" s="26">
        <f>IF(計算用!$D$105="","",計算用!$AK$105)</f>
        <v/>
      </c>
      <c r="H107" s="26">
        <f>IF(計算用!$D$105="","",計算用!$AM$105)</f>
        <v/>
      </c>
      <c r="I107" s="26" t="n"/>
      <c r="J107" s="26" t="n"/>
      <c r="K107" s="26">
        <f>IF(計算用!$D$105="","",計算用!$AP$105)</f>
        <v/>
      </c>
      <c r="L107" s="26">
        <f>IF(計算用!$D$105="","",計算用!$AR$105)</f>
        <v/>
      </c>
      <c r="M107">
        <f>IF(計算用!$D$105="",IF(OR(I107&lt;&gt;"",J107&lt;&gt;""),"名前がありません",""),IF(計算用!$J$105="",IF(OR(I107&lt;&gt;"",J107&lt;&gt;""),"入力不足のため組に入りません","入力不足"),IF(AND(I107&lt;&gt;"",I107&lt;&gt;G107),"組を変更",IF(J107&lt;&gt;"","順番を指定",""))))</f>
        <v/>
      </c>
    </row>
    <row r="108">
      <c r="A108" s="26">
        <f>IF(計算用!$D$106="","",計算用!$M$106)</f>
        <v/>
      </c>
      <c r="B108" s="26">
        <f>IF(計算用!$D$106="","",計算用!$C$106)</f>
        <v/>
      </c>
      <c r="C108">
        <f>IF(計算用!$D$106="","",計算用!$D$106)</f>
        <v/>
      </c>
      <c r="D108" s="26">
        <f>IF(計算用!$D$106="","",計算用!$F$106)</f>
        <v/>
      </c>
      <c r="E108" s="26">
        <f>IF(計算用!$D$106="","",計算用!$I$106)</f>
        <v/>
      </c>
      <c r="F108" s="31">
        <f>IF(計算用!$D$106="","",計算用!$G$106)</f>
        <v/>
      </c>
      <c r="G108" s="26">
        <f>IF(計算用!$D$106="","",計算用!$AK$106)</f>
        <v/>
      </c>
      <c r="H108" s="26">
        <f>IF(計算用!$D$106="","",計算用!$AM$106)</f>
        <v/>
      </c>
      <c r="I108" s="26" t="n"/>
      <c r="J108" s="26" t="n"/>
      <c r="K108" s="26">
        <f>IF(計算用!$D$106="","",計算用!$AP$106)</f>
        <v/>
      </c>
      <c r="L108" s="26">
        <f>IF(計算用!$D$106="","",計算用!$AR$106)</f>
        <v/>
      </c>
      <c r="M108">
        <f>IF(計算用!$D$106="",IF(OR(I108&lt;&gt;"",J108&lt;&gt;""),"名前がありません",""),IF(計算用!$J$106="",IF(OR(I108&lt;&gt;"",J108&lt;&gt;""),"入力不足のため組に入りません","入力不足"),IF(AND(I108&lt;&gt;"",I108&lt;&gt;G108),"組を変更",IF(J108&lt;&gt;"","順番を指定",""))))</f>
        <v/>
      </c>
    </row>
    <row r="109">
      <c r="A109" s="26">
        <f>IF(計算用!$D$107="","",計算用!$M$107)</f>
        <v/>
      </c>
      <c r="B109" s="26">
        <f>IF(計算用!$D$107="","",計算用!$C$107)</f>
        <v/>
      </c>
      <c r="C109">
        <f>IF(計算用!$D$107="","",計算用!$D$107)</f>
        <v/>
      </c>
      <c r="D109" s="26">
        <f>IF(計算用!$D$107="","",計算用!$F$107)</f>
        <v/>
      </c>
      <c r="E109" s="26">
        <f>IF(計算用!$D$107="","",計算用!$I$107)</f>
        <v/>
      </c>
      <c r="F109" s="31">
        <f>IF(計算用!$D$107="","",計算用!$G$107)</f>
        <v/>
      </c>
      <c r="G109" s="26">
        <f>IF(計算用!$D$107="","",計算用!$AK$107)</f>
        <v/>
      </c>
      <c r="H109" s="26">
        <f>IF(計算用!$D$107="","",計算用!$AM$107)</f>
        <v/>
      </c>
      <c r="I109" s="26" t="n"/>
      <c r="J109" s="26" t="n"/>
      <c r="K109" s="26">
        <f>IF(計算用!$D$107="","",計算用!$AP$107)</f>
        <v/>
      </c>
      <c r="L109" s="26">
        <f>IF(計算用!$D$107="","",計算用!$AR$107)</f>
        <v/>
      </c>
      <c r="M109">
        <f>IF(計算用!$D$107="",IF(OR(I109&lt;&gt;"",J109&lt;&gt;""),"名前がありません",""),IF(計算用!$J$107="",IF(OR(I109&lt;&gt;"",J109&lt;&gt;""),"入力不足のため組に入りません","入力不足"),IF(AND(I109&lt;&gt;"",I109&lt;&gt;G109),"組を変更",IF(J109&lt;&gt;"","順番を指定",""))))</f>
        <v/>
      </c>
    </row>
    <row r="110">
      <c r="A110" s="26">
        <f>IF(計算用!$D$108="","",計算用!$M$108)</f>
        <v/>
      </c>
      <c r="B110" s="26">
        <f>IF(計算用!$D$108="","",計算用!$C$108)</f>
        <v/>
      </c>
      <c r="C110">
        <f>IF(計算用!$D$108="","",計算用!$D$108)</f>
        <v/>
      </c>
      <c r="D110" s="26">
        <f>IF(計算用!$D$108="","",計算用!$F$108)</f>
        <v/>
      </c>
      <c r="E110" s="26">
        <f>IF(計算用!$D$108="","",計算用!$I$108)</f>
        <v/>
      </c>
      <c r="F110" s="31">
        <f>IF(計算用!$D$108="","",計算用!$G$108)</f>
        <v/>
      </c>
      <c r="G110" s="26">
        <f>IF(計算用!$D$108="","",計算用!$AK$108)</f>
        <v/>
      </c>
      <c r="H110" s="26">
        <f>IF(計算用!$D$108="","",計算用!$AM$108)</f>
        <v/>
      </c>
      <c r="I110" s="26" t="n"/>
      <c r="J110" s="26" t="n"/>
      <c r="K110" s="26">
        <f>IF(計算用!$D$108="","",計算用!$AP$108)</f>
        <v/>
      </c>
      <c r="L110" s="26">
        <f>IF(計算用!$D$108="","",計算用!$AR$108)</f>
        <v/>
      </c>
      <c r="M110">
        <f>IF(計算用!$D$108="",IF(OR(I110&lt;&gt;"",J110&lt;&gt;""),"名前がありません",""),IF(計算用!$J$108="",IF(OR(I110&lt;&gt;"",J110&lt;&gt;""),"入力不足のため組に入りません","入力不足"),IF(AND(I110&lt;&gt;"",I110&lt;&gt;G110),"組を変更",IF(J110&lt;&gt;"","順番を指定",""))))</f>
        <v/>
      </c>
    </row>
    <row r="111">
      <c r="A111" s="26">
        <f>IF(計算用!$D$109="","",計算用!$M$109)</f>
        <v/>
      </c>
      <c r="B111" s="26">
        <f>IF(計算用!$D$109="","",計算用!$C$109)</f>
        <v/>
      </c>
      <c r="C111">
        <f>IF(計算用!$D$109="","",計算用!$D$109)</f>
        <v/>
      </c>
      <c r="D111" s="26">
        <f>IF(計算用!$D$109="","",計算用!$F$109)</f>
        <v/>
      </c>
      <c r="E111" s="26">
        <f>IF(計算用!$D$109="","",計算用!$I$109)</f>
        <v/>
      </c>
      <c r="F111" s="31">
        <f>IF(計算用!$D$109="","",計算用!$G$109)</f>
        <v/>
      </c>
      <c r="G111" s="26">
        <f>IF(計算用!$D$109="","",計算用!$AK$109)</f>
        <v/>
      </c>
      <c r="H111" s="26">
        <f>IF(計算用!$D$109="","",計算用!$AM$109)</f>
        <v/>
      </c>
      <c r="I111" s="26" t="n"/>
      <c r="J111" s="26" t="n"/>
      <c r="K111" s="26">
        <f>IF(計算用!$D$109="","",計算用!$AP$109)</f>
        <v/>
      </c>
      <c r="L111" s="26">
        <f>IF(計算用!$D$109="","",計算用!$AR$109)</f>
        <v/>
      </c>
      <c r="M111">
        <f>IF(計算用!$D$109="",IF(OR(I111&lt;&gt;"",J111&lt;&gt;""),"名前がありません",""),IF(計算用!$J$109="",IF(OR(I111&lt;&gt;"",J111&lt;&gt;""),"入力不足のため組に入りません","入力不足"),IF(AND(I111&lt;&gt;"",I111&lt;&gt;G111),"組を変更",IF(J111&lt;&gt;"","順番を指定",""))))</f>
        <v/>
      </c>
    </row>
    <row r="112">
      <c r="A112" s="26">
        <f>IF(計算用!$D$110="","",計算用!$M$110)</f>
        <v/>
      </c>
      <c r="B112" s="26">
        <f>IF(計算用!$D$110="","",計算用!$C$110)</f>
        <v/>
      </c>
      <c r="C112">
        <f>IF(計算用!$D$110="","",計算用!$D$110)</f>
        <v/>
      </c>
      <c r="D112" s="26">
        <f>IF(計算用!$D$110="","",計算用!$F$110)</f>
        <v/>
      </c>
      <c r="E112" s="26">
        <f>IF(計算用!$D$110="","",計算用!$I$110)</f>
        <v/>
      </c>
      <c r="F112" s="31">
        <f>IF(計算用!$D$110="","",計算用!$G$110)</f>
        <v/>
      </c>
      <c r="G112" s="26">
        <f>IF(計算用!$D$110="","",計算用!$AK$110)</f>
        <v/>
      </c>
      <c r="H112" s="26">
        <f>IF(計算用!$D$110="","",計算用!$AM$110)</f>
        <v/>
      </c>
      <c r="I112" s="26" t="n"/>
      <c r="J112" s="26" t="n"/>
      <c r="K112" s="26">
        <f>IF(計算用!$D$110="","",計算用!$AP$110)</f>
        <v/>
      </c>
      <c r="L112" s="26">
        <f>IF(計算用!$D$110="","",計算用!$AR$110)</f>
        <v/>
      </c>
      <c r="M112">
        <f>IF(計算用!$D$110="",IF(OR(I112&lt;&gt;"",J112&lt;&gt;""),"名前がありません",""),IF(計算用!$J$110="",IF(OR(I112&lt;&gt;"",J112&lt;&gt;""),"入力不足のため組に入りません","入力不足"),IF(AND(I112&lt;&gt;"",I112&lt;&gt;G112),"組を変更",IF(J112&lt;&gt;"","順番を指定",""))))</f>
        <v/>
      </c>
    </row>
    <row r="113">
      <c r="A113" s="26">
        <f>IF(計算用!$D$111="","",計算用!$M$111)</f>
        <v/>
      </c>
      <c r="B113" s="26">
        <f>IF(計算用!$D$111="","",計算用!$C$111)</f>
        <v/>
      </c>
      <c r="C113">
        <f>IF(計算用!$D$111="","",計算用!$D$111)</f>
        <v/>
      </c>
      <c r="D113" s="26">
        <f>IF(計算用!$D$111="","",計算用!$F$111)</f>
        <v/>
      </c>
      <c r="E113" s="26">
        <f>IF(計算用!$D$111="","",計算用!$I$111)</f>
        <v/>
      </c>
      <c r="F113" s="31">
        <f>IF(計算用!$D$111="","",計算用!$G$111)</f>
        <v/>
      </c>
      <c r="G113" s="26">
        <f>IF(計算用!$D$111="","",計算用!$AK$111)</f>
        <v/>
      </c>
      <c r="H113" s="26">
        <f>IF(計算用!$D$111="","",計算用!$AM$111)</f>
        <v/>
      </c>
      <c r="I113" s="26" t="n"/>
      <c r="J113" s="26" t="n"/>
      <c r="K113" s="26">
        <f>IF(計算用!$D$111="","",計算用!$AP$111)</f>
        <v/>
      </c>
      <c r="L113" s="26">
        <f>IF(計算用!$D$111="","",計算用!$AR$111)</f>
        <v/>
      </c>
      <c r="M113">
        <f>IF(計算用!$D$111="",IF(OR(I113&lt;&gt;"",J113&lt;&gt;""),"名前がありません",""),IF(計算用!$J$111="",IF(OR(I113&lt;&gt;"",J113&lt;&gt;""),"入力不足のため組に入りません","入力不足"),IF(AND(I113&lt;&gt;"",I113&lt;&gt;G113),"組を変更",IF(J113&lt;&gt;"","順番を指定",""))))</f>
        <v/>
      </c>
    </row>
    <row r="114">
      <c r="A114" s="26">
        <f>IF(計算用!$D$112="","",計算用!$M$112)</f>
        <v/>
      </c>
      <c r="B114" s="26">
        <f>IF(計算用!$D$112="","",計算用!$C$112)</f>
        <v/>
      </c>
      <c r="C114">
        <f>IF(計算用!$D$112="","",計算用!$D$112)</f>
        <v/>
      </c>
      <c r="D114" s="26">
        <f>IF(計算用!$D$112="","",計算用!$F$112)</f>
        <v/>
      </c>
      <c r="E114" s="26">
        <f>IF(計算用!$D$112="","",計算用!$I$112)</f>
        <v/>
      </c>
      <c r="F114" s="31">
        <f>IF(計算用!$D$112="","",計算用!$G$112)</f>
        <v/>
      </c>
      <c r="G114" s="26">
        <f>IF(計算用!$D$112="","",計算用!$AK$112)</f>
        <v/>
      </c>
      <c r="H114" s="26">
        <f>IF(計算用!$D$112="","",計算用!$AM$112)</f>
        <v/>
      </c>
      <c r="I114" s="26" t="n"/>
      <c r="J114" s="26" t="n"/>
      <c r="K114" s="26">
        <f>IF(計算用!$D$112="","",計算用!$AP$112)</f>
        <v/>
      </c>
      <c r="L114" s="26">
        <f>IF(計算用!$D$112="","",計算用!$AR$112)</f>
        <v/>
      </c>
      <c r="M114">
        <f>IF(計算用!$D$112="",IF(OR(I114&lt;&gt;"",J114&lt;&gt;""),"名前がありません",""),IF(計算用!$J$112="",IF(OR(I114&lt;&gt;"",J114&lt;&gt;""),"入力不足のため組に入りません","入力不足"),IF(AND(I114&lt;&gt;"",I114&lt;&gt;G114),"組を変更",IF(J114&lt;&gt;"","順番を指定",""))))</f>
        <v/>
      </c>
    </row>
    <row r="115">
      <c r="A115" s="26">
        <f>IF(計算用!$D$113="","",計算用!$M$113)</f>
        <v/>
      </c>
      <c r="B115" s="26">
        <f>IF(計算用!$D$113="","",計算用!$C$113)</f>
        <v/>
      </c>
      <c r="C115">
        <f>IF(計算用!$D$113="","",計算用!$D$113)</f>
        <v/>
      </c>
      <c r="D115" s="26">
        <f>IF(計算用!$D$113="","",計算用!$F$113)</f>
        <v/>
      </c>
      <c r="E115" s="26">
        <f>IF(計算用!$D$113="","",計算用!$I$113)</f>
        <v/>
      </c>
      <c r="F115" s="31">
        <f>IF(計算用!$D$113="","",計算用!$G$113)</f>
        <v/>
      </c>
      <c r="G115" s="26">
        <f>IF(計算用!$D$113="","",計算用!$AK$113)</f>
        <v/>
      </c>
      <c r="H115" s="26">
        <f>IF(計算用!$D$113="","",計算用!$AM$113)</f>
        <v/>
      </c>
      <c r="I115" s="26" t="n"/>
      <c r="J115" s="26" t="n"/>
      <c r="K115" s="26">
        <f>IF(計算用!$D$113="","",計算用!$AP$113)</f>
        <v/>
      </c>
      <c r="L115" s="26">
        <f>IF(計算用!$D$113="","",計算用!$AR$113)</f>
        <v/>
      </c>
      <c r="M115">
        <f>IF(計算用!$D$113="",IF(OR(I115&lt;&gt;"",J115&lt;&gt;""),"名前がありません",""),IF(計算用!$J$113="",IF(OR(I115&lt;&gt;"",J115&lt;&gt;""),"入力不足のため組に入りません","入力不足"),IF(AND(I115&lt;&gt;"",I115&lt;&gt;G115),"組を変更",IF(J115&lt;&gt;"","順番を指定",""))))</f>
        <v/>
      </c>
    </row>
    <row r="116">
      <c r="A116" s="26">
        <f>IF(計算用!$D$114="","",計算用!$M$114)</f>
        <v/>
      </c>
      <c r="B116" s="26">
        <f>IF(計算用!$D$114="","",計算用!$C$114)</f>
        <v/>
      </c>
      <c r="C116">
        <f>IF(計算用!$D$114="","",計算用!$D$114)</f>
        <v/>
      </c>
      <c r="D116" s="26">
        <f>IF(計算用!$D$114="","",計算用!$F$114)</f>
        <v/>
      </c>
      <c r="E116" s="26">
        <f>IF(計算用!$D$114="","",計算用!$I$114)</f>
        <v/>
      </c>
      <c r="F116" s="31">
        <f>IF(計算用!$D$114="","",計算用!$G$114)</f>
        <v/>
      </c>
      <c r="G116" s="26">
        <f>IF(計算用!$D$114="","",計算用!$AK$114)</f>
        <v/>
      </c>
      <c r="H116" s="26">
        <f>IF(計算用!$D$114="","",計算用!$AM$114)</f>
        <v/>
      </c>
      <c r="I116" s="26" t="n"/>
      <c r="J116" s="26" t="n"/>
      <c r="K116" s="26">
        <f>IF(計算用!$D$114="","",計算用!$AP$114)</f>
        <v/>
      </c>
      <c r="L116" s="26">
        <f>IF(計算用!$D$114="","",計算用!$AR$114)</f>
        <v/>
      </c>
      <c r="M116">
        <f>IF(計算用!$D$114="",IF(OR(I116&lt;&gt;"",J116&lt;&gt;""),"名前がありません",""),IF(計算用!$J$114="",IF(OR(I116&lt;&gt;"",J116&lt;&gt;""),"入力不足のため組に入りません","入力不足"),IF(AND(I116&lt;&gt;"",I116&lt;&gt;G116),"組を変更",IF(J116&lt;&gt;"","順番を指定",""))))</f>
        <v/>
      </c>
    </row>
    <row r="117">
      <c r="A117" s="26">
        <f>IF(計算用!$D$115="","",計算用!$M$115)</f>
        <v/>
      </c>
      <c r="B117" s="26">
        <f>IF(計算用!$D$115="","",計算用!$C$115)</f>
        <v/>
      </c>
      <c r="C117">
        <f>IF(計算用!$D$115="","",計算用!$D$115)</f>
        <v/>
      </c>
      <c r="D117" s="26">
        <f>IF(計算用!$D$115="","",計算用!$F$115)</f>
        <v/>
      </c>
      <c r="E117" s="26">
        <f>IF(計算用!$D$115="","",計算用!$I$115)</f>
        <v/>
      </c>
      <c r="F117" s="31">
        <f>IF(計算用!$D$115="","",計算用!$G$115)</f>
        <v/>
      </c>
      <c r="G117" s="26">
        <f>IF(計算用!$D$115="","",計算用!$AK$115)</f>
        <v/>
      </c>
      <c r="H117" s="26">
        <f>IF(計算用!$D$115="","",計算用!$AM$115)</f>
        <v/>
      </c>
      <c r="I117" s="26" t="n"/>
      <c r="J117" s="26" t="n"/>
      <c r="K117" s="26">
        <f>IF(計算用!$D$115="","",計算用!$AP$115)</f>
        <v/>
      </c>
      <c r="L117" s="26">
        <f>IF(計算用!$D$115="","",計算用!$AR$115)</f>
        <v/>
      </c>
      <c r="M117">
        <f>IF(計算用!$D$115="",IF(OR(I117&lt;&gt;"",J117&lt;&gt;""),"名前がありません",""),IF(計算用!$J$115="",IF(OR(I117&lt;&gt;"",J117&lt;&gt;""),"入力不足のため組に入りません","入力不足"),IF(AND(I117&lt;&gt;"",I117&lt;&gt;G117),"組を変更",IF(J117&lt;&gt;"","順番を指定",""))))</f>
        <v/>
      </c>
    </row>
    <row r="118">
      <c r="A118" s="26">
        <f>IF(計算用!$D$116="","",計算用!$M$116)</f>
        <v/>
      </c>
      <c r="B118" s="26">
        <f>IF(計算用!$D$116="","",計算用!$C$116)</f>
        <v/>
      </c>
      <c r="C118">
        <f>IF(計算用!$D$116="","",計算用!$D$116)</f>
        <v/>
      </c>
      <c r="D118" s="26">
        <f>IF(計算用!$D$116="","",計算用!$F$116)</f>
        <v/>
      </c>
      <c r="E118" s="26">
        <f>IF(計算用!$D$116="","",計算用!$I$116)</f>
        <v/>
      </c>
      <c r="F118" s="31">
        <f>IF(計算用!$D$116="","",計算用!$G$116)</f>
        <v/>
      </c>
      <c r="G118" s="26">
        <f>IF(計算用!$D$116="","",計算用!$AK$116)</f>
        <v/>
      </c>
      <c r="H118" s="26">
        <f>IF(計算用!$D$116="","",計算用!$AM$116)</f>
        <v/>
      </c>
      <c r="I118" s="26" t="n"/>
      <c r="J118" s="26" t="n"/>
      <c r="K118" s="26">
        <f>IF(計算用!$D$116="","",計算用!$AP$116)</f>
        <v/>
      </c>
      <c r="L118" s="26">
        <f>IF(計算用!$D$116="","",計算用!$AR$116)</f>
        <v/>
      </c>
      <c r="M118">
        <f>IF(計算用!$D$116="",IF(OR(I118&lt;&gt;"",J118&lt;&gt;""),"名前がありません",""),IF(計算用!$J$116="",IF(OR(I118&lt;&gt;"",J118&lt;&gt;""),"入力不足のため組に入りません","入力不足"),IF(AND(I118&lt;&gt;"",I118&lt;&gt;G118),"組を変更",IF(J118&lt;&gt;"","順番を指定",""))))</f>
        <v/>
      </c>
    </row>
    <row r="119">
      <c r="A119" s="26">
        <f>IF(計算用!$D$117="","",計算用!$M$117)</f>
        <v/>
      </c>
      <c r="B119" s="26">
        <f>IF(計算用!$D$117="","",計算用!$C$117)</f>
        <v/>
      </c>
      <c r="C119">
        <f>IF(計算用!$D$117="","",計算用!$D$117)</f>
        <v/>
      </c>
      <c r="D119" s="26">
        <f>IF(計算用!$D$117="","",計算用!$F$117)</f>
        <v/>
      </c>
      <c r="E119" s="26">
        <f>IF(計算用!$D$117="","",計算用!$I$117)</f>
        <v/>
      </c>
      <c r="F119" s="31">
        <f>IF(計算用!$D$117="","",計算用!$G$117)</f>
        <v/>
      </c>
      <c r="G119" s="26">
        <f>IF(計算用!$D$117="","",計算用!$AK$117)</f>
        <v/>
      </c>
      <c r="H119" s="26">
        <f>IF(計算用!$D$117="","",計算用!$AM$117)</f>
        <v/>
      </c>
      <c r="I119" s="26" t="n"/>
      <c r="J119" s="26" t="n"/>
      <c r="K119" s="26">
        <f>IF(計算用!$D$117="","",計算用!$AP$117)</f>
        <v/>
      </c>
      <c r="L119" s="26">
        <f>IF(計算用!$D$117="","",計算用!$AR$117)</f>
        <v/>
      </c>
      <c r="M119">
        <f>IF(計算用!$D$117="",IF(OR(I119&lt;&gt;"",J119&lt;&gt;""),"名前がありません",""),IF(計算用!$J$117="",IF(OR(I119&lt;&gt;"",J119&lt;&gt;""),"入力不足のため組に入りません","入力不足"),IF(AND(I119&lt;&gt;"",I119&lt;&gt;G119),"組を変更",IF(J119&lt;&gt;"","順番を指定",""))))</f>
        <v/>
      </c>
    </row>
    <row r="120">
      <c r="A120" s="26">
        <f>IF(計算用!$D$118="","",計算用!$M$118)</f>
        <v/>
      </c>
      <c r="B120" s="26">
        <f>IF(計算用!$D$118="","",計算用!$C$118)</f>
        <v/>
      </c>
      <c r="C120">
        <f>IF(計算用!$D$118="","",計算用!$D$118)</f>
        <v/>
      </c>
      <c r="D120" s="26">
        <f>IF(計算用!$D$118="","",計算用!$F$118)</f>
        <v/>
      </c>
      <c r="E120" s="26">
        <f>IF(計算用!$D$118="","",計算用!$I$118)</f>
        <v/>
      </c>
      <c r="F120" s="31">
        <f>IF(計算用!$D$118="","",計算用!$G$118)</f>
        <v/>
      </c>
      <c r="G120" s="26">
        <f>IF(計算用!$D$118="","",計算用!$AK$118)</f>
        <v/>
      </c>
      <c r="H120" s="26">
        <f>IF(計算用!$D$118="","",計算用!$AM$118)</f>
        <v/>
      </c>
      <c r="I120" s="26" t="n"/>
      <c r="J120" s="26" t="n"/>
      <c r="K120" s="26">
        <f>IF(計算用!$D$118="","",計算用!$AP$118)</f>
        <v/>
      </c>
      <c r="L120" s="26">
        <f>IF(計算用!$D$118="","",計算用!$AR$118)</f>
        <v/>
      </c>
      <c r="M120">
        <f>IF(計算用!$D$118="",IF(OR(I120&lt;&gt;"",J120&lt;&gt;""),"名前がありません",""),IF(計算用!$J$118="",IF(OR(I120&lt;&gt;"",J120&lt;&gt;""),"入力不足のため組に入りません","入力不足"),IF(AND(I120&lt;&gt;"",I120&lt;&gt;G120),"組を変更",IF(J120&lt;&gt;"","順番を指定",""))))</f>
        <v/>
      </c>
    </row>
    <row r="121">
      <c r="A121" s="26">
        <f>IF(計算用!$D$119="","",計算用!$M$119)</f>
        <v/>
      </c>
      <c r="B121" s="26">
        <f>IF(計算用!$D$119="","",計算用!$C$119)</f>
        <v/>
      </c>
      <c r="C121">
        <f>IF(計算用!$D$119="","",計算用!$D$119)</f>
        <v/>
      </c>
      <c r="D121" s="26">
        <f>IF(計算用!$D$119="","",計算用!$F$119)</f>
        <v/>
      </c>
      <c r="E121" s="26">
        <f>IF(計算用!$D$119="","",計算用!$I$119)</f>
        <v/>
      </c>
      <c r="F121" s="31">
        <f>IF(計算用!$D$119="","",計算用!$G$119)</f>
        <v/>
      </c>
      <c r="G121" s="26">
        <f>IF(計算用!$D$119="","",計算用!$AK$119)</f>
        <v/>
      </c>
      <c r="H121" s="26">
        <f>IF(計算用!$D$119="","",計算用!$AM$119)</f>
        <v/>
      </c>
      <c r="I121" s="26" t="n"/>
      <c r="J121" s="26" t="n"/>
      <c r="K121" s="26">
        <f>IF(計算用!$D$119="","",計算用!$AP$119)</f>
        <v/>
      </c>
      <c r="L121" s="26">
        <f>IF(計算用!$D$119="","",計算用!$AR$119)</f>
        <v/>
      </c>
      <c r="M121">
        <f>IF(計算用!$D$119="",IF(OR(I121&lt;&gt;"",J121&lt;&gt;""),"名前がありません",""),IF(計算用!$J$119="",IF(OR(I121&lt;&gt;"",J121&lt;&gt;""),"入力不足のため組に入りません","入力不足"),IF(AND(I121&lt;&gt;"",I121&lt;&gt;G121),"組を変更",IF(J121&lt;&gt;"","順番を指定",""))))</f>
        <v/>
      </c>
    </row>
    <row r="122">
      <c r="A122" s="26">
        <f>IF(計算用!$D$120="","",計算用!$M$120)</f>
        <v/>
      </c>
      <c r="B122" s="26">
        <f>IF(計算用!$D$120="","",計算用!$C$120)</f>
        <v/>
      </c>
      <c r="C122">
        <f>IF(計算用!$D$120="","",計算用!$D$120)</f>
        <v/>
      </c>
      <c r="D122" s="26">
        <f>IF(計算用!$D$120="","",計算用!$F$120)</f>
        <v/>
      </c>
      <c r="E122" s="26">
        <f>IF(計算用!$D$120="","",計算用!$I$120)</f>
        <v/>
      </c>
      <c r="F122" s="31">
        <f>IF(計算用!$D$120="","",計算用!$G$120)</f>
        <v/>
      </c>
      <c r="G122" s="26">
        <f>IF(計算用!$D$120="","",計算用!$AK$120)</f>
        <v/>
      </c>
      <c r="H122" s="26">
        <f>IF(計算用!$D$120="","",計算用!$AM$120)</f>
        <v/>
      </c>
      <c r="I122" s="26" t="n"/>
      <c r="J122" s="26" t="n"/>
      <c r="K122" s="26">
        <f>IF(計算用!$D$120="","",計算用!$AP$120)</f>
        <v/>
      </c>
      <c r="L122" s="26">
        <f>IF(計算用!$D$120="","",計算用!$AR$120)</f>
        <v/>
      </c>
      <c r="M122">
        <f>IF(計算用!$D$120="",IF(OR(I122&lt;&gt;"",J122&lt;&gt;""),"名前がありません",""),IF(計算用!$J$120="",IF(OR(I122&lt;&gt;"",J122&lt;&gt;""),"入力不足のため組に入りません","入力不足"),IF(AND(I122&lt;&gt;"",I122&lt;&gt;G122),"組を変更",IF(J122&lt;&gt;"","順番を指定",""))))</f>
        <v/>
      </c>
    </row>
    <row r="123">
      <c r="A123" s="26">
        <f>IF(計算用!$D$121="","",計算用!$M$121)</f>
        <v/>
      </c>
      <c r="B123" s="26">
        <f>IF(計算用!$D$121="","",計算用!$C$121)</f>
        <v/>
      </c>
      <c r="C123">
        <f>IF(計算用!$D$121="","",計算用!$D$121)</f>
        <v/>
      </c>
      <c r="D123" s="26">
        <f>IF(計算用!$D$121="","",計算用!$F$121)</f>
        <v/>
      </c>
      <c r="E123" s="26">
        <f>IF(計算用!$D$121="","",計算用!$I$121)</f>
        <v/>
      </c>
      <c r="F123" s="31">
        <f>IF(計算用!$D$121="","",計算用!$G$121)</f>
        <v/>
      </c>
      <c r="G123" s="26">
        <f>IF(計算用!$D$121="","",計算用!$AK$121)</f>
        <v/>
      </c>
      <c r="H123" s="26">
        <f>IF(計算用!$D$121="","",計算用!$AM$121)</f>
        <v/>
      </c>
      <c r="I123" s="26" t="n"/>
      <c r="J123" s="26" t="n"/>
      <c r="K123" s="26">
        <f>IF(計算用!$D$121="","",計算用!$AP$121)</f>
        <v/>
      </c>
      <c r="L123" s="26">
        <f>IF(計算用!$D$121="","",計算用!$AR$121)</f>
        <v/>
      </c>
      <c r="M123">
        <f>IF(計算用!$D$121="",IF(OR(I123&lt;&gt;"",J123&lt;&gt;""),"名前がありません",""),IF(計算用!$J$121="",IF(OR(I123&lt;&gt;"",J123&lt;&gt;""),"入力不足のため組に入りません","入力不足"),IF(AND(I123&lt;&gt;"",I123&lt;&gt;G123),"組を変更",IF(J123&lt;&gt;"","順番を指定",""))))</f>
        <v/>
      </c>
    </row>
    <row r="124">
      <c r="A124" s="26">
        <f>IF(計算用!$D$122="","",計算用!$M$122)</f>
        <v/>
      </c>
      <c r="B124" s="26">
        <f>IF(計算用!$D$122="","",計算用!$C$122)</f>
        <v/>
      </c>
      <c r="C124">
        <f>IF(計算用!$D$122="","",計算用!$D$122)</f>
        <v/>
      </c>
      <c r="D124" s="26">
        <f>IF(計算用!$D$122="","",計算用!$F$122)</f>
        <v/>
      </c>
      <c r="E124" s="26">
        <f>IF(計算用!$D$122="","",計算用!$I$122)</f>
        <v/>
      </c>
      <c r="F124" s="31">
        <f>IF(計算用!$D$122="","",計算用!$G$122)</f>
        <v/>
      </c>
      <c r="G124" s="26">
        <f>IF(計算用!$D$122="","",計算用!$AK$122)</f>
        <v/>
      </c>
      <c r="H124" s="26">
        <f>IF(計算用!$D$122="","",計算用!$AM$122)</f>
        <v/>
      </c>
      <c r="I124" s="26" t="n"/>
      <c r="J124" s="26" t="n"/>
      <c r="K124" s="26">
        <f>IF(計算用!$D$122="","",計算用!$AP$122)</f>
        <v/>
      </c>
      <c r="L124" s="26">
        <f>IF(計算用!$D$122="","",計算用!$AR$122)</f>
        <v/>
      </c>
      <c r="M124">
        <f>IF(計算用!$D$122="",IF(OR(I124&lt;&gt;"",J124&lt;&gt;""),"名前がありません",""),IF(計算用!$J$122="",IF(OR(I124&lt;&gt;"",J124&lt;&gt;""),"入力不足のため組に入りません","入力不足"),IF(AND(I124&lt;&gt;"",I124&lt;&gt;G124),"組を変更",IF(J124&lt;&gt;"","順番を指定",""))))</f>
        <v/>
      </c>
    </row>
    <row r="125">
      <c r="A125" s="26">
        <f>IF(計算用!$D$123="","",計算用!$M$123)</f>
        <v/>
      </c>
      <c r="B125" s="26">
        <f>IF(計算用!$D$123="","",計算用!$C$123)</f>
        <v/>
      </c>
      <c r="C125">
        <f>IF(計算用!$D$123="","",計算用!$D$123)</f>
        <v/>
      </c>
      <c r="D125" s="26">
        <f>IF(計算用!$D$123="","",計算用!$F$123)</f>
        <v/>
      </c>
      <c r="E125" s="26">
        <f>IF(計算用!$D$123="","",計算用!$I$123)</f>
        <v/>
      </c>
      <c r="F125" s="31">
        <f>IF(計算用!$D$123="","",計算用!$G$123)</f>
        <v/>
      </c>
      <c r="G125" s="26">
        <f>IF(計算用!$D$123="","",計算用!$AK$123)</f>
        <v/>
      </c>
      <c r="H125" s="26">
        <f>IF(計算用!$D$123="","",計算用!$AM$123)</f>
        <v/>
      </c>
      <c r="I125" s="26" t="n"/>
      <c r="J125" s="26" t="n"/>
      <c r="K125" s="26">
        <f>IF(計算用!$D$123="","",計算用!$AP$123)</f>
        <v/>
      </c>
      <c r="L125" s="26">
        <f>IF(計算用!$D$123="","",計算用!$AR$123)</f>
        <v/>
      </c>
      <c r="M125">
        <f>IF(計算用!$D$123="",IF(OR(I125&lt;&gt;"",J125&lt;&gt;""),"名前がありません",""),IF(計算用!$J$123="",IF(OR(I125&lt;&gt;"",J125&lt;&gt;""),"入力不足のため組に入りません","入力不足"),IF(AND(I125&lt;&gt;"",I125&lt;&gt;G125),"組を変更",IF(J125&lt;&gt;"","順番を指定",""))))</f>
        <v/>
      </c>
    </row>
    <row r="126">
      <c r="A126" s="26">
        <f>IF(計算用!$D$124="","",計算用!$M$124)</f>
        <v/>
      </c>
      <c r="B126" s="26">
        <f>IF(計算用!$D$124="","",計算用!$C$124)</f>
        <v/>
      </c>
      <c r="C126">
        <f>IF(計算用!$D$124="","",計算用!$D$124)</f>
        <v/>
      </c>
      <c r="D126" s="26">
        <f>IF(計算用!$D$124="","",計算用!$F$124)</f>
        <v/>
      </c>
      <c r="E126" s="26">
        <f>IF(計算用!$D$124="","",計算用!$I$124)</f>
        <v/>
      </c>
      <c r="F126" s="31">
        <f>IF(計算用!$D$124="","",計算用!$G$124)</f>
        <v/>
      </c>
      <c r="G126" s="26">
        <f>IF(計算用!$D$124="","",計算用!$AK$124)</f>
        <v/>
      </c>
      <c r="H126" s="26">
        <f>IF(計算用!$D$124="","",計算用!$AM$124)</f>
        <v/>
      </c>
      <c r="I126" s="26" t="n"/>
      <c r="J126" s="26" t="n"/>
      <c r="K126" s="26">
        <f>IF(計算用!$D$124="","",計算用!$AP$124)</f>
        <v/>
      </c>
      <c r="L126" s="26">
        <f>IF(計算用!$D$124="","",計算用!$AR$124)</f>
        <v/>
      </c>
      <c r="M126">
        <f>IF(計算用!$D$124="",IF(OR(I126&lt;&gt;"",J126&lt;&gt;""),"名前がありません",""),IF(計算用!$J$124="",IF(OR(I126&lt;&gt;"",J126&lt;&gt;""),"入力不足のため組に入りません","入力不足"),IF(AND(I126&lt;&gt;"",I126&lt;&gt;G126),"組を変更",IF(J126&lt;&gt;"","順番を指定",""))))</f>
        <v/>
      </c>
    </row>
    <row r="127">
      <c r="A127" s="26">
        <f>IF(計算用!$D$125="","",計算用!$M$125)</f>
        <v/>
      </c>
      <c r="B127" s="26">
        <f>IF(計算用!$D$125="","",計算用!$C$125)</f>
        <v/>
      </c>
      <c r="C127">
        <f>IF(計算用!$D$125="","",計算用!$D$125)</f>
        <v/>
      </c>
      <c r="D127" s="26">
        <f>IF(計算用!$D$125="","",計算用!$F$125)</f>
        <v/>
      </c>
      <c r="E127" s="26">
        <f>IF(計算用!$D$125="","",計算用!$I$125)</f>
        <v/>
      </c>
      <c r="F127" s="31">
        <f>IF(計算用!$D$125="","",計算用!$G$125)</f>
        <v/>
      </c>
      <c r="G127" s="26">
        <f>IF(計算用!$D$125="","",計算用!$AK$125)</f>
        <v/>
      </c>
      <c r="H127" s="26">
        <f>IF(計算用!$D$125="","",計算用!$AM$125)</f>
        <v/>
      </c>
      <c r="I127" s="26" t="n"/>
      <c r="J127" s="26" t="n"/>
      <c r="K127" s="26">
        <f>IF(計算用!$D$125="","",計算用!$AP$125)</f>
        <v/>
      </c>
      <c r="L127" s="26">
        <f>IF(計算用!$D$125="","",計算用!$AR$125)</f>
        <v/>
      </c>
      <c r="M127">
        <f>IF(計算用!$D$125="",IF(OR(I127&lt;&gt;"",J127&lt;&gt;""),"名前がありません",""),IF(計算用!$J$125="",IF(OR(I127&lt;&gt;"",J127&lt;&gt;""),"入力不足のため組に入りません","入力不足"),IF(AND(I127&lt;&gt;"",I127&lt;&gt;G127),"組を変更",IF(J127&lt;&gt;"","順番を指定",""))))</f>
        <v/>
      </c>
    </row>
    <row r="128">
      <c r="A128" s="26">
        <f>IF(計算用!$D$126="","",計算用!$M$126)</f>
        <v/>
      </c>
      <c r="B128" s="26">
        <f>IF(計算用!$D$126="","",計算用!$C$126)</f>
        <v/>
      </c>
      <c r="C128">
        <f>IF(計算用!$D$126="","",計算用!$D$126)</f>
        <v/>
      </c>
      <c r="D128" s="26">
        <f>IF(計算用!$D$126="","",計算用!$F$126)</f>
        <v/>
      </c>
      <c r="E128" s="26">
        <f>IF(計算用!$D$126="","",計算用!$I$126)</f>
        <v/>
      </c>
      <c r="F128" s="31">
        <f>IF(計算用!$D$126="","",計算用!$G$126)</f>
        <v/>
      </c>
      <c r="G128" s="26">
        <f>IF(計算用!$D$126="","",計算用!$AK$126)</f>
        <v/>
      </c>
      <c r="H128" s="26">
        <f>IF(計算用!$D$126="","",計算用!$AM$126)</f>
        <v/>
      </c>
      <c r="I128" s="26" t="n"/>
      <c r="J128" s="26" t="n"/>
      <c r="K128" s="26">
        <f>IF(計算用!$D$126="","",計算用!$AP$126)</f>
        <v/>
      </c>
      <c r="L128" s="26">
        <f>IF(計算用!$D$126="","",計算用!$AR$126)</f>
        <v/>
      </c>
      <c r="M128">
        <f>IF(計算用!$D$126="",IF(OR(I128&lt;&gt;"",J128&lt;&gt;""),"名前がありません",""),IF(計算用!$J$126="",IF(OR(I128&lt;&gt;"",J128&lt;&gt;""),"入力不足のため組に入りません","入力不足"),IF(AND(I128&lt;&gt;"",I128&lt;&gt;G128),"組を変更",IF(J128&lt;&gt;"","順番を指定",""))))</f>
        <v/>
      </c>
    </row>
    <row r="129">
      <c r="A129" s="26">
        <f>IF(計算用!$D$127="","",計算用!$M$127)</f>
        <v/>
      </c>
      <c r="B129" s="26">
        <f>IF(計算用!$D$127="","",計算用!$C$127)</f>
        <v/>
      </c>
      <c r="C129">
        <f>IF(計算用!$D$127="","",計算用!$D$127)</f>
        <v/>
      </c>
      <c r="D129" s="26">
        <f>IF(計算用!$D$127="","",計算用!$F$127)</f>
        <v/>
      </c>
      <c r="E129" s="26">
        <f>IF(計算用!$D$127="","",計算用!$I$127)</f>
        <v/>
      </c>
      <c r="F129" s="31">
        <f>IF(計算用!$D$127="","",計算用!$G$127)</f>
        <v/>
      </c>
      <c r="G129" s="26">
        <f>IF(計算用!$D$127="","",計算用!$AK$127)</f>
        <v/>
      </c>
      <c r="H129" s="26">
        <f>IF(計算用!$D$127="","",計算用!$AM$127)</f>
        <v/>
      </c>
      <c r="I129" s="26" t="n"/>
      <c r="J129" s="26" t="n"/>
      <c r="K129" s="26">
        <f>IF(計算用!$D$127="","",計算用!$AP$127)</f>
        <v/>
      </c>
      <c r="L129" s="26">
        <f>IF(計算用!$D$127="","",計算用!$AR$127)</f>
        <v/>
      </c>
      <c r="M129">
        <f>IF(計算用!$D$127="",IF(OR(I129&lt;&gt;"",J129&lt;&gt;""),"名前がありません",""),IF(計算用!$J$127="",IF(OR(I129&lt;&gt;"",J129&lt;&gt;""),"入力不足のため組に入りません","入力不足"),IF(AND(I129&lt;&gt;"",I129&lt;&gt;G129),"組を変更",IF(J129&lt;&gt;"","順番を指定",""))))</f>
        <v/>
      </c>
    </row>
    <row r="130">
      <c r="A130" s="26">
        <f>IF(計算用!$D$128="","",計算用!$M$128)</f>
        <v/>
      </c>
      <c r="B130" s="26">
        <f>IF(計算用!$D$128="","",計算用!$C$128)</f>
        <v/>
      </c>
      <c r="C130">
        <f>IF(計算用!$D$128="","",計算用!$D$128)</f>
        <v/>
      </c>
      <c r="D130" s="26">
        <f>IF(計算用!$D$128="","",計算用!$F$128)</f>
        <v/>
      </c>
      <c r="E130" s="26">
        <f>IF(計算用!$D$128="","",計算用!$I$128)</f>
        <v/>
      </c>
      <c r="F130" s="31">
        <f>IF(計算用!$D$128="","",計算用!$G$128)</f>
        <v/>
      </c>
      <c r="G130" s="26">
        <f>IF(計算用!$D$128="","",計算用!$AK$128)</f>
        <v/>
      </c>
      <c r="H130" s="26">
        <f>IF(計算用!$D$128="","",計算用!$AM$128)</f>
        <v/>
      </c>
      <c r="I130" s="26" t="n"/>
      <c r="J130" s="26" t="n"/>
      <c r="K130" s="26">
        <f>IF(計算用!$D$128="","",計算用!$AP$128)</f>
        <v/>
      </c>
      <c r="L130" s="26">
        <f>IF(計算用!$D$128="","",計算用!$AR$128)</f>
        <v/>
      </c>
      <c r="M130">
        <f>IF(計算用!$D$128="",IF(OR(I130&lt;&gt;"",J130&lt;&gt;""),"名前がありません",""),IF(計算用!$J$128="",IF(OR(I130&lt;&gt;"",J130&lt;&gt;""),"入力不足のため組に入りません","入力不足"),IF(AND(I130&lt;&gt;"",I130&lt;&gt;G130),"組を変更",IF(J130&lt;&gt;"","順番を指定",""))))</f>
        <v/>
      </c>
    </row>
    <row r="131">
      <c r="A131" s="26">
        <f>IF(計算用!$D$129="","",計算用!$M$129)</f>
        <v/>
      </c>
      <c r="B131" s="26">
        <f>IF(計算用!$D$129="","",計算用!$C$129)</f>
        <v/>
      </c>
      <c r="C131">
        <f>IF(計算用!$D$129="","",計算用!$D$129)</f>
        <v/>
      </c>
      <c r="D131" s="26">
        <f>IF(計算用!$D$129="","",計算用!$F$129)</f>
        <v/>
      </c>
      <c r="E131" s="26">
        <f>IF(計算用!$D$129="","",計算用!$I$129)</f>
        <v/>
      </c>
      <c r="F131" s="31">
        <f>IF(計算用!$D$129="","",計算用!$G$129)</f>
        <v/>
      </c>
      <c r="G131" s="26">
        <f>IF(計算用!$D$129="","",計算用!$AK$129)</f>
        <v/>
      </c>
      <c r="H131" s="26">
        <f>IF(計算用!$D$129="","",計算用!$AM$129)</f>
        <v/>
      </c>
      <c r="I131" s="26" t="n"/>
      <c r="J131" s="26" t="n"/>
      <c r="K131" s="26">
        <f>IF(計算用!$D$129="","",計算用!$AP$129)</f>
        <v/>
      </c>
      <c r="L131" s="26">
        <f>IF(計算用!$D$129="","",計算用!$AR$129)</f>
        <v/>
      </c>
      <c r="M131">
        <f>IF(計算用!$D$129="",IF(OR(I131&lt;&gt;"",J131&lt;&gt;""),"名前がありません",""),IF(計算用!$J$129="",IF(OR(I131&lt;&gt;"",J131&lt;&gt;""),"入力不足のため組に入りません","入力不足"),IF(AND(I131&lt;&gt;"",I131&lt;&gt;G131),"組を変更",IF(J131&lt;&gt;"","順番を指定",""))))</f>
        <v/>
      </c>
    </row>
    <row r="132">
      <c r="A132" s="26">
        <f>IF(計算用!$D$130="","",計算用!$M$130)</f>
        <v/>
      </c>
      <c r="B132" s="26">
        <f>IF(計算用!$D$130="","",計算用!$C$130)</f>
        <v/>
      </c>
      <c r="C132">
        <f>IF(計算用!$D$130="","",計算用!$D$130)</f>
        <v/>
      </c>
      <c r="D132" s="26">
        <f>IF(計算用!$D$130="","",計算用!$F$130)</f>
        <v/>
      </c>
      <c r="E132" s="26">
        <f>IF(計算用!$D$130="","",計算用!$I$130)</f>
        <v/>
      </c>
      <c r="F132" s="31">
        <f>IF(計算用!$D$130="","",計算用!$G$130)</f>
        <v/>
      </c>
      <c r="G132" s="26">
        <f>IF(計算用!$D$130="","",計算用!$AK$130)</f>
        <v/>
      </c>
      <c r="H132" s="26">
        <f>IF(計算用!$D$130="","",計算用!$AM$130)</f>
        <v/>
      </c>
      <c r="I132" s="26" t="n"/>
      <c r="J132" s="26" t="n"/>
      <c r="K132" s="26">
        <f>IF(計算用!$D$130="","",計算用!$AP$130)</f>
        <v/>
      </c>
      <c r="L132" s="26">
        <f>IF(計算用!$D$130="","",計算用!$AR$130)</f>
        <v/>
      </c>
      <c r="M132">
        <f>IF(計算用!$D$130="",IF(OR(I132&lt;&gt;"",J132&lt;&gt;""),"名前がありません",""),IF(計算用!$J$130="",IF(OR(I132&lt;&gt;"",J132&lt;&gt;""),"入力不足のため組に入りません","入力不足"),IF(AND(I132&lt;&gt;"",I132&lt;&gt;G132),"組を変更",IF(J132&lt;&gt;"","順番を指定",""))))</f>
        <v/>
      </c>
    </row>
    <row r="133">
      <c r="A133" s="26">
        <f>IF(計算用!$D$131="","",計算用!$M$131)</f>
        <v/>
      </c>
      <c r="B133" s="26">
        <f>IF(計算用!$D$131="","",計算用!$C$131)</f>
        <v/>
      </c>
      <c r="C133">
        <f>IF(計算用!$D$131="","",計算用!$D$131)</f>
        <v/>
      </c>
      <c r="D133" s="26">
        <f>IF(計算用!$D$131="","",計算用!$F$131)</f>
        <v/>
      </c>
      <c r="E133" s="26">
        <f>IF(計算用!$D$131="","",計算用!$I$131)</f>
        <v/>
      </c>
      <c r="F133" s="31">
        <f>IF(計算用!$D$131="","",計算用!$G$131)</f>
        <v/>
      </c>
      <c r="G133" s="26">
        <f>IF(計算用!$D$131="","",計算用!$AK$131)</f>
        <v/>
      </c>
      <c r="H133" s="26">
        <f>IF(計算用!$D$131="","",計算用!$AM$131)</f>
        <v/>
      </c>
      <c r="I133" s="26" t="n"/>
      <c r="J133" s="26" t="n"/>
      <c r="K133" s="26">
        <f>IF(計算用!$D$131="","",計算用!$AP$131)</f>
        <v/>
      </c>
      <c r="L133" s="26">
        <f>IF(計算用!$D$131="","",計算用!$AR$131)</f>
        <v/>
      </c>
      <c r="M133">
        <f>IF(計算用!$D$131="",IF(OR(I133&lt;&gt;"",J133&lt;&gt;""),"名前がありません",""),IF(計算用!$J$131="",IF(OR(I133&lt;&gt;"",J133&lt;&gt;""),"入力不足のため組に入りません","入力不足"),IF(AND(I133&lt;&gt;"",I133&lt;&gt;G133),"組を変更",IF(J133&lt;&gt;"","順番を指定",""))))</f>
        <v/>
      </c>
    </row>
    <row r="134">
      <c r="A134" s="26">
        <f>IF(計算用!$D$132="","",計算用!$M$132)</f>
        <v/>
      </c>
      <c r="B134" s="26">
        <f>IF(計算用!$D$132="","",計算用!$C$132)</f>
        <v/>
      </c>
      <c r="C134">
        <f>IF(計算用!$D$132="","",計算用!$D$132)</f>
        <v/>
      </c>
      <c r="D134" s="26">
        <f>IF(計算用!$D$132="","",計算用!$F$132)</f>
        <v/>
      </c>
      <c r="E134" s="26">
        <f>IF(計算用!$D$132="","",計算用!$I$132)</f>
        <v/>
      </c>
      <c r="F134" s="31">
        <f>IF(計算用!$D$132="","",計算用!$G$132)</f>
        <v/>
      </c>
      <c r="G134" s="26">
        <f>IF(計算用!$D$132="","",計算用!$AK$132)</f>
        <v/>
      </c>
      <c r="H134" s="26">
        <f>IF(計算用!$D$132="","",計算用!$AM$132)</f>
        <v/>
      </c>
      <c r="I134" s="26" t="n"/>
      <c r="J134" s="26" t="n"/>
      <c r="K134" s="26">
        <f>IF(計算用!$D$132="","",計算用!$AP$132)</f>
        <v/>
      </c>
      <c r="L134" s="26">
        <f>IF(計算用!$D$132="","",計算用!$AR$132)</f>
        <v/>
      </c>
      <c r="M134">
        <f>IF(計算用!$D$132="",IF(OR(I134&lt;&gt;"",J134&lt;&gt;""),"名前がありません",""),IF(計算用!$J$132="",IF(OR(I134&lt;&gt;"",J134&lt;&gt;""),"入力不足のため組に入りません","入力不足"),IF(AND(I134&lt;&gt;"",I134&lt;&gt;G134),"組を変更",IF(J134&lt;&gt;"","順番を指定",""))))</f>
        <v/>
      </c>
    </row>
    <row r="135">
      <c r="A135" s="26">
        <f>IF(計算用!$D$133="","",計算用!$M$133)</f>
        <v/>
      </c>
      <c r="B135" s="26">
        <f>IF(計算用!$D$133="","",計算用!$C$133)</f>
        <v/>
      </c>
      <c r="C135">
        <f>IF(計算用!$D$133="","",計算用!$D$133)</f>
        <v/>
      </c>
      <c r="D135" s="26">
        <f>IF(計算用!$D$133="","",計算用!$F$133)</f>
        <v/>
      </c>
      <c r="E135" s="26">
        <f>IF(計算用!$D$133="","",計算用!$I$133)</f>
        <v/>
      </c>
      <c r="F135" s="31">
        <f>IF(計算用!$D$133="","",計算用!$G$133)</f>
        <v/>
      </c>
      <c r="G135" s="26">
        <f>IF(計算用!$D$133="","",計算用!$AK$133)</f>
        <v/>
      </c>
      <c r="H135" s="26">
        <f>IF(計算用!$D$133="","",計算用!$AM$133)</f>
        <v/>
      </c>
      <c r="I135" s="26" t="n"/>
      <c r="J135" s="26" t="n"/>
      <c r="K135" s="26">
        <f>IF(計算用!$D$133="","",計算用!$AP$133)</f>
        <v/>
      </c>
      <c r="L135" s="26">
        <f>IF(計算用!$D$133="","",計算用!$AR$133)</f>
        <v/>
      </c>
      <c r="M135">
        <f>IF(計算用!$D$133="",IF(OR(I135&lt;&gt;"",J135&lt;&gt;""),"名前がありません",""),IF(計算用!$J$133="",IF(OR(I135&lt;&gt;"",J135&lt;&gt;""),"入力不足のため組に入りません","入力不足"),IF(AND(I135&lt;&gt;"",I135&lt;&gt;G135),"組を変更",IF(J135&lt;&gt;"","順番を指定",""))))</f>
        <v/>
      </c>
    </row>
    <row r="136">
      <c r="A136" s="26">
        <f>IF(計算用!$D$134="","",計算用!$M$134)</f>
        <v/>
      </c>
      <c r="B136" s="26">
        <f>IF(計算用!$D$134="","",計算用!$C$134)</f>
        <v/>
      </c>
      <c r="C136">
        <f>IF(計算用!$D$134="","",計算用!$D$134)</f>
        <v/>
      </c>
      <c r="D136" s="26">
        <f>IF(計算用!$D$134="","",計算用!$F$134)</f>
        <v/>
      </c>
      <c r="E136" s="26">
        <f>IF(計算用!$D$134="","",計算用!$I$134)</f>
        <v/>
      </c>
      <c r="F136" s="31">
        <f>IF(計算用!$D$134="","",計算用!$G$134)</f>
        <v/>
      </c>
      <c r="G136" s="26">
        <f>IF(計算用!$D$134="","",計算用!$AK$134)</f>
        <v/>
      </c>
      <c r="H136" s="26">
        <f>IF(計算用!$D$134="","",計算用!$AM$134)</f>
        <v/>
      </c>
      <c r="I136" s="26" t="n"/>
      <c r="J136" s="26" t="n"/>
      <c r="K136" s="26">
        <f>IF(計算用!$D$134="","",計算用!$AP$134)</f>
        <v/>
      </c>
      <c r="L136" s="26">
        <f>IF(計算用!$D$134="","",計算用!$AR$134)</f>
        <v/>
      </c>
      <c r="M136">
        <f>IF(計算用!$D$134="",IF(OR(I136&lt;&gt;"",J136&lt;&gt;""),"名前がありません",""),IF(計算用!$J$134="",IF(OR(I136&lt;&gt;"",J136&lt;&gt;""),"入力不足のため組に入りません","入力不足"),IF(AND(I136&lt;&gt;"",I136&lt;&gt;G136),"組を変更",IF(J136&lt;&gt;"","順番を指定",""))))</f>
        <v/>
      </c>
    </row>
    <row r="137">
      <c r="A137" s="26">
        <f>IF(計算用!$D$135="","",計算用!$M$135)</f>
        <v/>
      </c>
      <c r="B137" s="26">
        <f>IF(計算用!$D$135="","",計算用!$C$135)</f>
        <v/>
      </c>
      <c r="C137">
        <f>IF(計算用!$D$135="","",計算用!$D$135)</f>
        <v/>
      </c>
      <c r="D137" s="26">
        <f>IF(計算用!$D$135="","",計算用!$F$135)</f>
        <v/>
      </c>
      <c r="E137" s="26">
        <f>IF(計算用!$D$135="","",計算用!$I$135)</f>
        <v/>
      </c>
      <c r="F137" s="31">
        <f>IF(計算用!$D$135="","",計算用!$G$135)</f>
        <v/>
      </c>
      <c r="G137" s="26">
        <f>IF(計算用!$D$135="","",計算用!$AK$135)</f>
        <v/>
      </c>
      <c r="H137" s="26">
        <f>IF(計算用!$D$135="","",計算用!$AM$135)</f>
        <v/>
      </c>
      <c r="I137" s="26" t="n"/>
      <c r="J137" s="26" t="n"/>
      <c r="K137" s="26">
        <f>IF(計算用!$D$135="","",計算用!$AP$135)</f>
        <v/>
      </c>
      <c r="L137" s="26">
        <f>IF(計算用!$D$135="","",計算用!$AR$135)</f>
        <v/>
      </c>
      <c r="M137">
        <f>IF(計算用!$D$135="",IF(OR(I137&lt;&gt;"",J137&lt;&gt;""),"名前がありません",""),IF(計算用!$J$135="",IF(OR(I137&lt;&gt;"",J137&lt;&gt;""),"入力不足のため組に入りません","入力不足"),IF(AND(I137&lt;&gt;"",I137&lt;&gt;G137),"組を変更",IF(J137&lt;&gt;"","順番を指定",""))))</f>
        <v/>
      </c>
    </row>
    <row r="138">
      <c r="A138" s="26">
        <f>IF(計算用!$D$136="","",計算用!$M$136)</f>
        <v/>
      </c>
      <c r="B138" s="26">
        <f>IF(計算用!$D$136="","",計算用!$C$136)</f>
        <v/>
      </c>
      <c r="C138">
        <f>IF(計算用!$D$136="","",計算用!$D$136)</f>
        <v/>
      </c>
      <c r="D138" s="26">
        <f>IF(計算用!$D$136="","",計算用!$F$136)</f>
        <v/>
      </c>
      <c r="E138" s="26">
        <f>IF(計算用!$D$136="","",計算用!$I$136)</f>
        <v/>
      </c>
      <c r="F138" s="31">
        <f>IF(計算用!$D$136="","",計算用!$G$136)</f>
        <v/>
      </c>
      <c r="G138" s="26">
        <f>IF(計算用!$D$136="","",計算用!$AK$136)</f>
        <v/>
      </c>
      <c r="H138" s="26">
        <f>IF(計算用!$D$136="","",計算用!$AM$136)</f>
        <v/>
      </c>
      <c r="I138" s="26" t="n"/>
      <c r="J138" s="26" t="n"/>
      <c r="K138" s="26">
        <f>IF(計算用!$D$136="","",計算用!$AP$136)</f>
        <v/>
      </c>
      <c r="L138" s="26">
        <f>IF(計算用!$D$136="","",計算用!$AR$136)</f>
        <v/>
      </c>
      <c r="M138">
        <f>IF(計算用!$D$136="",IF(OR(I138&lt;&gt;"",J138&lt;&gt;""),"名前がありません",""),IF(計算用!$J$136="",IF(OR(I138&lt;&gt;"",J138&lt;&gt;""),"入力不足のため組に入りません","入力不足"),IF(AND(I138&lt;&gt;"",I138&lt;&gt;G138),"組を変更",IF(J138&lt;&gt;"","順番を指定",""))))</f>
        <v/>
      </c>
    </row>
    <row r="139">
      <c r="A139" s="26">
        <f>IF(計算用!$D$137="","",計算用!$M$137)</f>
        <v/>
      </c>
      <c r="B139" s="26">
        <f>IF(計算用!$D$137="","",計算用!$C$137)</f>
        <v/>
      </c>
      <c r="C139">
        <f>IF(計算用!$D$137="","",計算用!$D$137)</f>
        <v/>
      </c>
      <c r="D139" s="26">
        <f>IF(計算用!$D$137="","",計算用!$F$137)</f>
        <v/>
      </c>
      <c r="E139" s="26">
        <f>IF(計算用!$D$137="","",計算用!$I$137)</f>
        <v/>
      </c>
      <c r="F139" s="31">
        <f>IF(計算用!$D$137="","",計算用!$G$137)</f>
        <v/>
      </c>
      <c r="G139" s="26">
        <f>IF(計算用!$D$137="","",計算用!$AK$137)</f>
        <v/>
      </c>
      <c r="H139" s="26">
        <f>IF(計算用!$D$137="","",計算用!$AM$137)</f>
        <v/>
      </c>
      <c r="I139" s="26" t="n"/>
      <c r="J139" s="26" t="n"/>
      <c r="K139" s="26">
        <f>IF(計算用!$D$137="","",計算用!$AP$137)</f>
        <v/>
      </c>
      <c r="L139" s="26">
        <f>IF(計算用!$D$137="","",計算用!$AR$137)</f>
        <v/>
      </c>
      <c r="M139">
        <f>IF(計算用!$D$137="",IF(OR(I139&lt;&gt;"",J139&lt;&gt;""),"名前がありません",""),IF(計算用!$J$137="",IF(OR(I139&lt;&gt;"",J139&lt;&gt;""),"入力不足のため組に入りません","入力不足"),IF(AND(I139&lt;&gt;"",I139&lt;&gt;G139),"組を変更",IF(J139&lt;&gt;"","順番を指定",""))))</f>
        <v/>
      </c>
    </row>
    <row r="140">
      <c r="A140" s="26">
        <f>IF(計算用!$D$138="","",計算用!$M$138)</f>
        <v/>
      </c>
      <c r="B140" s="26">
        <f>IF(計算用!$D$138="","",計算用!$C$138)</f>
        <v/>
      </c>
      <c r="C140">
        <f>IF(計算用!$D$138="","",計算用!$D$138)</f>
        <v/>
      </c>
      <c r="D140" s="26">
        <f>IF(計算用!$D$138="","",計算用!$F$138)</f>
        <v/>
      </c>
      <c r="E140" s="26">
        <f>IF(計算用!$D$138="","",計算用!$I$138)</f>
        <v/>
      </c>
      <c r="F140" s="31">
        <f>IF(計算用!$D$138="","",計算用!$G$138)</f>
        <v/>
      </c>
      <c r="G140" s="26">
        <f>IF(計算用!$D$138="","",計算用!$AK$138)</f>
        <v/>
      </c>
      <c r="H140" s="26">
        <f>IF(計算用!$D$138="","",計算用!$AM$138)</f>
        <v/>
      </c>
      <c r="I140" s="26" t="n"/>
      <c r="J140" s="26" t="n"/>
      <c r="K140" s="26">
        <f>IF(計算用!$D$138="","",計算用!$AP$138)</f>
        <v/>
      </c>
      <c r="L140" s="26">
        <f>IF(計算用!$D$138="","",計算用!$AR$138)</f>
        <v/>
      </c>
      <c r="M140">
        <f>IF(計算用!$D$138="",IF(OR(I140&lt;&gt;"",J140&lt;&gt;""),"名前がありません",""),IF(計算用!$J$138="",IF(OR(I140&lt;&gt;"",J140&lt;&gt;""),"入力不足のため組に入りません","入力不足"),IF(AND(I140&lt;&gt;"",I140&lt;&gt;G140),"組を変更",IF(J140&lt;&gt;"","順番を指定",""))))</f>
        <v/>
      </c>
    </row>
    <row r="141">
      <c r="A141" s="26">
        <f>IF(計算用!$D$139="","",計算用!$M$139)</f>
        <v/>
      </c>
      <c r="B141" s="26">
        <f>IF(計算用!$D$139="","",計算用!$C$139)</f>
        <v/>
      </c>
      <c r="C141">
        <f>IF(計算用!$D$139="","",計算用!$D$139)</f>
        <v/>
      </c>
      <c r="D141" s="26">
        <f>IF(計算用!$D$139="","",計算用!$F$139)</f>
        <v/>
      </c>
      <c r="E141" s="26">
        <f>IF(計算用!$D$139="","",計算用!$I$139)</f>
        <v/>
      </c>
      <c r="F141" s="31">
        <f>IF(計算用!$D$139="","",計算用!$G$139)</f>
        <v/>
      </c>
      <c r="G141" s="26">
        <f>IF(計算用!$D$139="","",計算用!$AK$139)</f>
        <v/>
      </c>
      <c r="H141" s="26">
        <f>IF(計算用!$D$139="","",計算用!$AM$139)</f>
        <v/>
      </c>
      <c r="I141" s="26" t="n"/>
      <c r="J141" s="26" t="n"/>
      <c r="K141" s="26">
        <f>IF(計算用!$D$139="","",計算用!$AP$139)</f>
        <v/>
      </c>
      <c r="L141" s="26">
        <f>IF(計算用!$D$139="","",計算用!$AR$139)</f>
        <v/>
      </c>
      <c r="M141">
        <f>IF(計算用!$D$139="",IF(OR(I141&lt;&gt;"",J141&lt;&gt;""),"名前がありません",""),IF(計算用!$J$139="",IF(OR(I141&lt;&gt;"",J141&lt;&gt;""),"入力不足のため組に入りません","入力不足"),IF(AND(I141&lt;&gt;"",I141&lt;&gt;G141),"組を変更",IF(J141&lt;&gt;"","順番を指定",""))))</f>
        <v/>
      </c>
    </row>
    <row r="142">
      <c r="A142" s="26">
        <f>IF(計算用!$D$140="","",計算用!$M$140)</f>
        <v/>
      </c>
      <c r="B142" s="26">
        <f>IF(計算用!$D$140="","",計算用!$C$140)</f>
        <v/>
      </c>
      <c r="C142">
        <f>IF(計算用!$D$140="","",計算用!$D$140)</f>
        <v/>
      </c>
      <c r="D142" s="26">
        <f>IF(計算用!$D$140="","",計算用!$F$140)</f>
        <v/>
      </c>
      <c r="E142" s="26">
        <f>IF(計算用!$D$140="","",計算用!$I$140)</f>
        <v/>
      </c>
      <c r="F142" s="31">
        <f>IF(計算用!$D$140="","",計算用!$G$140)</f>
        <v/>
      </c>
      <c r="G142" s="26">
        <f>IF(計算用!$D$140="","",計算用!$AK$140)</f>
        <v/>
      </c>
      <c r="H142" s="26">
        <f>IF(計算用!$D$140="","",計算用!$AM$140)</f>
        <v/>
      </c>
      <c r="I142" s="26" t="n"/>
      <c r="J142" s="26" t="n"/>
      <c r="K142" s="26">
        <f>IF(計算用!$D$140="","",計算用!$AP$140)</f>
        <v/>
      </c>
      <c r="L142" s="26">
        <f>IF(計算用!$D$140="","",計算用!$AR$140)</f>
        <v/>
      </c>
      <c r="M142">
        <f>IF(計算用!$D$140="",IF(OR(I142&lt;&gt;"",J142&lt;&gt;""),"名前がありません",""),IF(計算用!$J$140="",IF(OR(I142&lt;&gt;"",J142&lt;&gt;""),"入力不足のため組に入りません","入力不足"),IF(AND(I142&lt;&gt;"",I142&lt;&gt;G142),"組を変更",IF(J142&lt;&gt;"","順番を指定",""))))</f>
        <v/>
      </c>
    </row>
    <row r="143">
      <c r="A143" s="26">
        <f>IF(計算用!$D$141="","",計算用!$M$141)</f>
        <v/>
      </c>
      <c r="B143" s="26">
        <f>IF(計算用!$D$141="","",計算用!$C$141)</f>
        <v/>
      </c>
      <c r="C143">
        <f>IF(計算用!$D$141="","",計算用!$D$141)</f>
        <v/>
      </c>
      <c r="D143" s="26">
        <f>IF(計算用!$D$141="","",計算用!$F$141)</f>
        <v/>
      </c>
      <c r="E143" s="26">
        <f>IF(計算用!$D$141="","",計算用!$I$141)</f>
        <v/>
      </c>
      <c r="F143" s="31">
        <f>IF(計算用!$D$141="","",計算用!$G$141)</f>
        <v/>
      </c>
      <c r="G143" s="26">
        <f>IF(計算用!$D$141="","",計算用!$AK$141)</f>
        <v/>
      </c>
      <c r="H143" s="26">
        <f>IF(計算用!$D$141="","",計算用!$AM$141)</f>
        <v/>
      </c>
      <c r="I143" s="26" t="n"/>
      <c r="J143" s="26" t="n"/>
      <c r="K143" s="26">
        <f>IF(計算用!$D$141="","",計算用!$AP$141)</f>
        <v/>
      </c>
      <c r="L143" s="26">
        <f>IF(計算用!$D$141="","",計算用!$AR$141)</f>
        <v/>
      </c>
      <c r="M143">
        <f>IF(計算用!$D$141="",IF(OR(I143&lt;&gt;"",J143&lt;&gt;""),"名前がありません",""),IF(計算用!$J$141="",IF(OR(I143&lt;&gt;"",J143&lt;&gt;""),"入力不足のため組に入りません","入力不足"),IF(AND(I143&lt;&gt;"",I143&lt;&gt;G143),"組を変更",IF(J143&lt;&gt;"","順番を指定",""))))</f>
        <v/>
      </c>
    </row>
    <row r="144">
      <c r="A144" s="26">
        <f>IF(計算用!$D$142="","",計算用!$M$142)</f>
        <v/>
      </c>
      <c r="B144" s="26">
        <f>IF(計算用!$D$142="","",計算用!$C$142)</f>
        <v/>
      </c>
      <c r="C144">
        <f>IF(計算用!$D$142="","",計算用!$D$142)</f>
        <v/>
      </c>
      <c r="D144" s="26">
        <f>IF(計算用!$D$142="","",計算用!$F$142)</f>
        <v/>
      </c>
      <c r="E144" s="26">
        <f>IF(計算用!$D$142="","",計算用!$I$142)</f>
        <v/>
      </c>
      <c r="F144" s="31">
        <f>IF(計算用!$D$142="","",計算用!$G$142)</f>
        <v/>
      </c>
      <c r="G144" s="26">
        <f>IF(計算用!$D$142="","",計算用!$AK$142)</f>
        <v/>
      </c>
      <c r="H144" s="26">
        <f>IF(計算用!$D$142="","",計算用!$AM$142)</f>
        <v/>
      </c>
      <c r="I144" s="26" t="n"/>
      <c r="J144" s="26" t="n"/>
      <c r="K144" s="26">
        <f>IF(計算用!$D$142="","",計算用!$AP$142)</f>
        <v/>
      </c>
      <c r="L144" s="26">
        <f>IF(計算用!$D$142="","",計算用!$AR$142)</f>
        <v/>
      </c>
      <c r="M144">
        <f>IF(計算用!$D$142="",IF(OR(I144&lt;&gt;"",J144&lt;&gt;""),"名前がありません",""),IF(計算用!$J$142="",IF(OR(I144&lt;&gt;"",J144&lt;&gt;""),"入力不足のため組に入りません","入力不足"),IF(AND(I144&lt;&gt;"",I144&lt;&gt;G144),"組を変更",IF(J144&lt;&gt;"","順番を指定",""))))</f>
        <v/>
      </c>
    </row>
    <row r="145">
      <c r="A145" s="26">
        <f>IF(計算用!$D$143="","",計算用!$M$143)</f>
        <v/>
      </c>
      <c r="B145" s="26">
        <f>IF(計算用!$D$143="","",計算用!$C$143)</f>
        <v/>
      </c>
      <c r="C145">
        <f>IF(計算用!$D$143="","",計算用!$D$143)</f>
        <v/>
      </c>
      <c r="D145" s="26">
        <f>IF(計算用!$D$143="","",計算用!$F$143)</f>
        <v/>
      </c>
      <c r="E145" s="26">
        <f>IF(計算用!$D$143="","",計算用!$I$143)</f>
        <v/>
      </c>
      <c r="F145" s="31">
        <f>IF(計算用!$D$143="","",計算用!$G$143)</f>
        <v/>
      </c>
      <c r="G145" s="26">
        <f>IF(計算用!$D$143="","",計算用!$AK$143)</f>
        <v/>
      </c>
      <c r="H145" s="26">
        <f>IF(計算用!$D$143="","",計算用!$AM$143)</f>
        <v/>
      </c>
      <c r="I145" s="26" t="n"/>
      <c r="J145" s="26" t="n"/>
      <c r="K145" s="26">
        <f>IF(計算用!$D$143="","",計算用!$AP$143)</f>
        <v/>
      </c>
      <c r="L145" s="26">
        <f>IF(計算用!$D$143="","",計算用!$AR$143)</f>
        <v/>
      </c>
      <c r="M145">
        <f>IF(計算用!$D$143="",IF(OR(I145&lt;&gt;"",J145&lt;&gt;""),"名前がありません",""),IF(計算用!$J$143="",IF(OR(I145&lt;&gt;"",J145&lt;&gt;""),"入力不足のため組に入りません","入力不足"),IF(AND(I145&lt;&gt;"",I145&lt;&gt;G145),"組を変更",IF(J145&lt;&gt;"","順番を指定",""))))</f>
        <v/>
      </c>
    </row>
    <row r="146">
      <c r="A146" s="26">
        <f>IF(計算用!$D$144="","",計算用!$M$144)</f>
        <v/>
      </c>
      <c r="B146" s="26">
        <f>IF(計算用!$D$144="","",計算用!$C$144)</f>
        <v/>
      </c>
      <c r="C146">
        <f>IF(計算用!$D$144="","",計算用!$D$144)</f>
        <v/>
      </c>
      <c r="D146" s="26">
        <f>IF(計算用!$D$144="","",計算用!$F$144)</f>
        <v/>
      </c>
      <c r="E146" s="26">
        <f>IF(計算用!$D$144="","",計算用!$I$144)</f>
        <v/>
      </c>
      <c r="F146" s="31">
        <f>IF(計算用!$D$144="","",計算用!$G$144)</f>
        <v/>
      </c>
      <c r="G146" s="26">
        <f>IF(計算用!$D$144="","",計算用!$AK$144)</f>
        <v/>
      </c>
      <c r="H146" s="26">
        <f>IF(計算用!$D$144="","",計算用!$AM$144)</f>
        <v/>
      </c>
      <c r="I146" s="26" t="n"/>
      <c r="J146" s="26" t="n"/>
      <c r="K146" s="26">
        <f>IF(計算用!$D$144="","",計算用!$AP$144)</f>
        <v/>
      </c>
      <c r="L146" s="26">
        <f>IF(計算用!$D$144="","",計算用!$AR$144)</f>
        <v/>
      </c>
      <c r="M146">
        <f>IF(計算用!$D$144="",IF(OR(I146&lt;&gt;"",J146&lt;&gt;""),"名前がありません",""),IF(計算用!$J$144="",IF(OR(I146&lt;&gt;"",J146&lt;&gt;""),"入力不足のため組に入りません","入力不足"),IF(AND(I146&lt;&gt;"",I146&lt;&gt;G146),"組を変更",IF(J146&lt;&gt;"","順番を指定",""))))</f>
        <v/>
      </c>
    </row>
    <row r="147">
      <c r="A147" s="26">
        <f>IF(計算用!$D$145="","",計算用!$M$145)</f>
        <v/>
      </c>
      <c r="B147" s="26">
        <f>IF(計算用!$D$145="","",計算用!$C$145)</f>
        <v/>
      </c>
      <c r="C147">
        <f>IF(計算用!$D$145="","",計算用!$D$145)</f>
        <v/>
      </c>
      <c r="D147" s="26">
        <f>IF(計算用!$D$145="","",計算用!$F$145)</f>
        <v/>
      </c>
      <c r="E147" s="26">
        <f>IF(計算用!$D$145="","",計算用!$I$145)</f>
        <v/>
      </c>
      <c r="F147" s="31">
        <f>IF(計算用!$D$145="","",計算用!$G$145)</f>
        <v/>
      </c>
      <c r="G147" s="26">
        <f>IF(計算用!$D$145="","",計算用!$AK$145)</f>
        <v/>
      </c>
      <c r="H147" s="26">
        <f>IF(計算用!$D$145="","",計算用!$AM$145)</f>
        <v/>
      </c>
      <c r="I147" s="26" t="n"/>
      <c r="J147" s="26" t="n"/>
      <c r="K147" s="26">
        <f>IF(計算用!$D$145="","",計算用!$AP$145)</f>
        <v/>
      </c>
      <c r="L147" s="26">
        <f>IF(計算用!$D$145="","",計算用!$AR$145)</f>
        <v/>
      </c>
      <c r="M147">
        <f>IF(計算用!$D$145="",IF(OR(I147&lt;&gt;"",J147&lt;&gt;""),"名前がありません",""),IF(計算用!$J$145="",IF(OR(I147&lt;&gt;"",J147&lt;&gt;""),"入力不足のため組に入りません","入力不足"),IF(AND(I147&lt;&gt;"",I147&lt;&gt;G147),"組を変更",IF(J147&lt;&gt;"","順番を指定",""))))</f>
        <v/>
      </c>
    </row>
    <row r="148">
      <c r="A148" s="26">
        <f>IF(計算用!$D$146="","",計算用!$M$146)</f>
        <v/>
      </c>
      <c r="B148" s="26">
        <f>IF(計算用!$D$146="","",計算用!$C$146)</f>
        <v/>
      </c>
      <c r="C148">
        <f>IF(計算用!$D$146="","",計算用!$D$146)</f>
        <v/>
      </c>
      <c r="D148" s="26">
        <f>IF(計算用!$D$146="","",計算用!$F$146)</f>
        <v/>
      </c>
      <c r="E148" s="26">
        <f>IF(計算用!$D$146="","",計算用!$I$146)</f>
        <v/>
      </c>
      <c r="F148" s="31">
        <f>IF(計算用!$D$146="","",計算用!$G$146)</f>
        <v/>
      </c>
      <c r="G148" s="26">
        <f>IF(計算用!$D$146="","",計算用!$AK$146)</f>
        <v/>
      </c>
      <c r="H148" s="26">
        <f>IF(計算用!$D$146="","",計算用!$AM$146)</f>
        <v/>
      </c>
      <c r="I148" s="26" t="n"/>
      <c r="J148" s="26" t="n"/>
      <c r="K148" s="26">
        <f>IF(計算用!$D$146="","",計算用!$AP$146)</f>
        <v/>
      </c>
      <c r="L148" s="26">
        <f>IF(計算用!$D$146="","",計算用!$AR$146)</f>
        <v/>
      </c>
      <c r="M148">
        <f>IF(計算用!$D$146="",IF(OR(I148&lt;&gt;"",J148&lt;&gt;""),"名前がありません",""),IF(計算用!$J$146="",IF(OR(I148&lt;&gt;"",J148&lt;&gt;""),"入力不足のため組に入りません","入力不足"),IF(AND(I148&lt;&gt;"",I148&lt;&gt;G148),"組を変更",IF(J148&lt;&gt;"","順番を指定",""))))</f>
        <v/>
      </c>
    </row>
    <row r="149">
      <c r="A149" s="26">
        <f>IF(計算用!$D$147="","",計算用!$M$147)</f>
        <v/>
      </c>
      <c r="B149" s="26">
        <f>IF(計算用!$D$147="","",計算用!$C$147)</f>
        <v/>
      </c>
      <c r="C149">
        <f>IF(計算用!$D$147="","",計算用!$D$147)</f>
        <v/>
      </c>
      <c r="D149" s="26">
        <f>IF(計算用!$D$147="","",計算用!$F$147)</f>
        <v/>
      </c>
      <c r="E149" s="26">
        <f>IF(計算用!$D$147="","",計算用!$I$147)</f>
        <v/>
      </c>
      <c r="F149" s="31">
        <f>IF(計算用!$D$147="","",計算用!$G$147)</f>
        <v/>
      </c>
      <c r="G149" s="26">
        <f>IF(計算用!$D$147="","",計算用!$AK$147)</f>
        <v/>
      </c>
      <c r="H149" s="26">
        <f>IF(計算用!$D$147="","",計算用!$AM$147)</f>
        <v/>
      </c>
      <c r="I149" s="26" t="n"/>
      <c r="J149" s="26" t="n"/>
      <c r="K149" s="26">
        <f>IF(計算用!$D$147="","",計算用!$AP$147)</f>
        <v/>
      </c>
      <c r="L149" s="26">
        <f>IF(計算用!$D$147="","",計算用!$AR$147)</f>
        <v/>
      </c>
      <c r="M149">
        <f>IF(計算用!$D$147="",IF(OR(I149&lt;&gt;"",J149&lt;&gt;""),"名前がありません",""),IF(計算用!$J$147="",IF(OR(I149&lt;&gt;"",J149&lt;&gt;""),"入力不足のため組に入りません","入力不足"),IF(AND(I149&lt;&gt;"",I149&lt;&gt;G149),"組を変更",IF(J149&lt;&gt;"","順番を指定",""))))</f>
        <v/>
      </c>
    </row>
    <row r="150">
      <c r="A150" s="26">
        <f>IF(計算用!$D$148="","",計算用!$M$148)</f>
        <v/>
      </c>
      <c r="B150" s="26">
        <f>IF(計算用!$D$148="","",計算用!$C$148)</f>
        <v/>
      </c>
      <c r="C150">
        <f>IF(計算用!$D$148="","",計算用!$D$148)</f>
        <v/>
      </c>
      <c r="D150" s="26">
        <f>IF(計算用!$D$148="","",計算用!$F$148)</f>
        <v/>
      </c>
      <c r="E150" s="26">
        <f>IF(計算用!$D$148="","",計算用!$I$148)</f>
        <v/>
      </c>
      <c r="F150" s="31">
        <f>IF(計算用!$D$148="","",計算用!$G$148)</f>
        <v/>
      </c>
      <c r="G150" s="26">
        <f>IF(計算用!$D$148="","",計算用!$AK$148)</f>
        <v/>
      </c>
      <c r="H150" s="26">
        <f>IF(計算用!$D$148="","",計算用!$AM$148)</f>
        <v/>
      </c>
      <c r="I150" s="26" t="n"/>
      <c r="J150" s="26" t="n"/>
      <c r="K150" s="26">
        <f>IF(計算用!$D$148="","",計算用!$AP$148)</f>
        <v/>
      </c>
      <c r="L150" s="26">
        <f>IF(計算用!$D$148="","",計算用!$AR$148)</f>
        <v/>
      </c>
      <c r="M150">
        <f>IF(計算用!$D$148="",IF(OR(I150&lt;&gt;"",J150&lt;&gt;""),"名前がありません",""),IF(計算用!$J$148="",IF(OR(I150&lt;&gt;"",J150&lt;&gt;""),"入力不足のため組に入りません","入力不足"),IF(AND(I150&lt;&gt;"",I150&lt;&gt;G150),"組を変更",IF(J150&lt;&gt;"","順番を指定",""))))</f>
        <v/>
      </c>
    </row>
    <row r="151">
      <c r="A151" s="26">
        <f>IF(計算用!$D$149="","",計算用!$M$149)</f>
        <v/>
      </c>
      <c r="B151" s="26">
        <f>IF(計算用!$D$149="","",計算用!$C$149)</f>
        <v/>
      </c>
      <c r="C151">
        <f>IF(計算用!$D$149="","",計算用!$D$149)</f>
        <v/>
      </c>
      <c r="D151" s="26">
        <f>IF(計算用!$D$149="","",計算用!$F$149)</f>
        <v/>
      </c>
      <c r="E151" s="26">
        <f>IF(計算用!$D$149="","",計算用!$I$149)</f>
        <v/>
      </c>
      <c r="F151" s="31">
        <f>IF(計算用!$D$149="","",計算用!$G$149)</f>
        <v/>
      </c>
      <c r="G151" s="26">
        <f>IF(計算用!$D$149="","",計算用!$AK$149)</f>
        <v/>
      </c>
      <c r="H151" s="26">
        <f>IF(計算用!$D$149="","",計算用!$AM$149)</f>
        <v/>
      </c>
      <c r="I151" s="26" t="n"/>
      <c r="J151" s="26" t="n"/>
      <c r="K151" s="26">
        <f>IF(計算用!$D$149="","",計算用!$AP$149)</f>
        <v/>
      </c>
      <c r="L151" s="26">
        <f>IF(計算用!$D$149="","",計算用!$AR$149)</f>
        <v/>
      </c>
      <c r="M151">
        <f>IF(計算用!$D$149="",IF(OR(I151&lt;&gt;"",J151&lt;&gt;""),"名前がありません",""),IF(計算用!$J$149="",IF(OR(I151&lt;&gt;"",J151&lt;&gt;""),"入力不足のため組に入りません","入力不足"),IF(AND(I151&lt;&gt;"",I151&lt;&gt;G151),"組を変更",IF(J151&lt;&gt;"","順番を指定",""))))</f>
        <v/>
      </c>
    </row>
    <row r="152">
      <c r="A152" s="26">
        <f>IF(計算用!$D$150="","",計算用!$M$150)</f>
        <v/>
      </c>
      <c r="B152" s="26">
        <f>IF(計算用!$D$150="","",計算用!$C$150)</f>
        <v/>
      </c>
      <c r="C152">
        <f>IF(計算用!$D$150="","",計算用!$D$150)</f>
        <v/>
      </c>
      <c r="D152" s="26">
        <f>IF(計算用!$D$150="","",計算用!$F$150)</f>
        <v/>
      </c>
      <c r="E152" s="26">
        <f>IF(計算用!$D$150="","",計算用!$I$150)</f>
        <v/>
      </c>
      <c r="F152" s="31">
        <f>IF(計算用!$D$150="","",計算用!$G$150)</f>
        <v/>
      </c>
      <c r="G152" s="26">
        <f>IF(計算用!$D$150="","",計算用!$AK$150)</f>
        <v/>
      </c>
      <c r="H152" s="26">
        <f>IF(計算用!$D$150="","",計算用!$AM$150)</f>
        <v/>
      </c>
      <c r="I152" s="26" t="n"/>
      <c r="J152" s="26" t="n"/>
      <c r="K152" s="26">
        <f>IF(計算用!$D$150="","",計算用!$AP$150)</f>
        <v/>
      </c>
      <c r="L152" s="26">
        <f>IF(計算用!$D$150="","",計算用!$AR$150)</f>
        <v/>
      </c>
      <c r="M152">
        <f>IF(計算用!$D$150="",IF(OR(I152&lt;&gt;"",J152&lt;&gt;""),"名前がありません",""),IF(計算用!$J$150="",IF(OR(I152&lt;&gt;"",J152&lt;&gt;""),"入力不足のため組に入りません","入力不足"),IF(AND(I152&lt;&gt;"",I152&lt;&gt;G152),"組を変更",IF(J152&lt;&gt;"","順番を指定",""))))</f>
        <v/>
      </c>
    </row>
    <row r="153">
      <c r="A153" s="26">
        <f>IF(計算用!$D$151="","",計算用!$M$151)</f>
        <v/>
      </c>
      <c r="B153" s="26">
        <f>IF(計算用!$D$151="","",計算用!$C$151)</f>
        <v/>
      </c>
      <c r="C153">
        <f>IF(計算用!$D$151="","",計算用!$D$151)</f>
        <v/>
      </c>
      <c r="D153" s="26">
        <f>IF(計算用!$D$151="","",計算用!$F$151)</f>
        <v/>
      </c>
      <c r="E153" s="26">
        <f>IF(計算用!$D$151="","",計算用!$I$151)</f>
        <v/>
      </c>
      <c r="F153" s="31">
        <f>IF(計算用!$D$151="","",計算用!$G$151)</f>
        <v/>
      </c>
      <c r="G153" s="26">
        <f>IF(計算用!$D$151="","",計算用!$AK$151)</f>
        <v/>
      </c>
      <c r="H153" s="26">
        <f>IF(計算用!$D$151="","",計算用!$AM$151)</f>
        <v/>
      </c>
      <c r="I153" s="26" t="n"/>
      <c r="J153" s="26" t="n"/>
      <c r="K153" s="26">
        <f>IF(計算用!$D$151="","",計算用!$AP$151)</f>
        <v/>
      </c>
      <c r="L153" s="26">
        <f>IF(計算用!$D$151="","",計算用!$AR$151)</f>
        <v/>
      </c>
      <c r="M153">
        <f>IF(計算用!$D$151="",IF(OR(I153&lt;&gt;"",J153&lt;&gt;""),"名前がありません",""),IF(計算用!$J$151="",IF(OR(I153&lt;&gt;"",J153&lt;&gt;""),"入力不足のため組に入りません","入力不足"),IF(AND(I153&lt;&gt;"",I153&lt;&gt;G153),"組を変更",IF(J153&lt;&gt;"","順番を指定",""))))</f>
        <v/>
      </c>
    </row>
    <row r="154">
      <c r="A154" s="26">
        <f>IF(計算用!$D$152="","",計算用!$M$152)</f>
        <v/>
      </c>
      <c r="B154" s="26">
        <f>IF(計算用!$D$152="","",計算用!$C$152)</f>
        <v/>
      </c>
      <c r="C154">
        <f>IF(計算用!$D$152="","",計算用!$D$152)</f>
        <v/>
      </c>
      <c r="D154" s="26">
        <f>IF(計算用!$D$152="","",計算用!$F$152)</f>
        <v/>
      </c>
      <c r="E154" s="26">
        <f>IF(計算用!$D$152="","",計算用!$I$152)</f>
        <v/>
      </c>
      <c r="F154" s="31">
        <f>IF(計算用!$D$152="","",計算用!$G$152)</f>
        <v/>
      </c>
      <c r="G154" s="26">
        <f>IF(計算用!$D$152="","",計算用!$AK$152)</f>
        <v/>
      </c>
      <c r="H154" s="26">
        <f>IF(計算用!$D$152="","",計算用!$AM$152)</f>
        <v/>
      </c>
      <c r="I154" s="26" t="n"/>
      <c r="J154" s="26" t="n"/>
      <c r="K154" s="26">
        <f>IF(計算用!$D$152="","",計算用!$AP$152)</f>
        <v/>
      </c>
      <c r="L154" s="26">
        <f>IF(計算用!$D$152="","",計算用!$AR$152)</f>
        <v/>
      </c>
      <c r="M154">
        <f>IF(計算用!$D$152="",IF(OR(I154&lt;&gt;"",J154&lt;&gt;""),"名前がありません",""),IF(計算用!$J$152="",IF(OR(I154&lt;&gt;"",J154&lt;&gt;""),"入力不足のため組に入りません","入力不足"),IF(AND(I154&lt;&gt;"",I154&lt;&gt;G154),"組を変更",IF(J154&lt;&gt;"","順番を指定",""))))</f>
        <v/>
      </c>
    </row>
    <row r="155">
      <c r="A155" s="26">
        <f>IF(計算用!$D$153="","",計算用!$M$153)</f>
        <v/>
      </c>
      <c r="B155" s="26">
        <f>IF(計算用!$D$153="","",計算用!$C$153)</f>
        <v/>
      </c>
      <c r="C155">
        <f>IF(計算用!$D$153="","",計算用!$D$153)</f>
        <v/>
      </c>
      <c r="D155" s="26">
        <f>IF(計算用!$D$153="","",計算用!$F$153)</f>
        <v/>
      </c>
      <c r="E155" s="26">
        <f>IF(計算用!$D$153="","",計算用!$I$153)</f>
        <v/>
      </c>
      <c r="F155" s="31">
        <f>IF(計算用!$D$153="","",計算用!$G$153)</f>
        <v/>
      </c>
      <c r="G155" s="26">
        <f>IF(計算用!$D$153="","",計算用!$AK$153)</f>
        <v/>
      </c>
      <c r="H155" s="26">
        <f>IF(計算用!$D$153="","",計算用!$AM$153)</f>
        <v/>
      </c>
      <c r="I155" s="26" t="n"/>
      <c r="J155" s="26" t="n"/>
      <c r="K155" s="26">
        <f>IF(計算用!$D$153="","",計算用!$AP$153)</f>
        <v/>
      </c>
      <c r="L155" s="26">
        <f>IF(計算用!$D$153="","",計算用!$AR$153)</f>
        <v/>
      </c>
      <c r="M155">
        <f>IF(計算用!$D$153="",IF(OR(I155&lt;&gt;"",J155&lt;&gt;""),"名前がありません",""),IF(計算用!$J$153="",IF(OR(I155&lt;&gt;"",J155&lt;&gt;""),"入力不足のため組に入りません","入力不足"),IF(AND(I155&lt;&gt;"",I155&lt;&gt;G155),"組を変更",IF(J155&lt;&gt;"","順番を指定",""))))</f>
        <v/>
      </c>
    </row>
    <row r="156">
      <c r="A156" s="26">
        <f>IF(計算用!$D$154="","",計算用!$M$154)</f>
        <v/>
      </c>
      <c r="B156" s="26">
        <f>IF(計算用!$D$154="","",計算用!$C$154)</f>
        <v/>
      </c>
      <c r="C156">
        <f>IF(計算用!$D$154="","",計算用!$D$154)</f>
        <v/>
      </c>
      <c r="D156" s="26">
        <f>IF(計算用!$D$154="","",計算用!$F$154)</f>
        <v/>
      </c>
      <c r="E156" s="26">
        <f>IF(計算用!$D$154="","",計算用!$I$154)</f>
        <v/>
      </c>
      <c r="F156" s="31">
        <f>IF(計算用!$D$154="","",計算用!$G$154)</f>
        <v/>
      </c>
      <c r="G156" s="26">
        <f>IF(計算用!$D$154="","",計算用!$AK$154)</f>
        <v/>
      </c>
      <c r="H156" s="26">
        <f>IF(計算用!$D$154="","",計算用!$AM$154)</f>
        <v/>
      </c>
      <c r="I156" s="26" t="n"/>
      <c r="J156" s="26" t="n"/>
      <c r="K156" s="26">
        <f>IF(計算用!$D$154="","",計算用!$AP$154)</f>
        <v/>
      </c>
      <c r="L156" s="26">
        <f>IF(計算用!$D$154="","",計算用!$AR$154)</f>
        <v/>
      </c>
      <c r="M156">
        <f>IF(計算用!$D$154="",IF(OR(I156&lt;&gt;"",J156&lt;&gt;""),"名前がありません",""),IF(計算用!$J$154="",IF(OR(I156&lt;&gt;"",J156&lt;&gt;""),"入力不足のため組に入りません","入力不足"),IF(AND(I156&lt;&gt;"",I156&lt;&gt;G156),"組を変更",IF(J156&lt;&gt;"","順番を指定",""))))</f>
        <v/>
      </c>
    </row>
    <row r="157">
      <c r="A157" s="26">
        <f>IF(計算用!$D$155="","",計算用!$M$155)</f>
        <v/>
      </c>
      <c r="B157" s="26">
        <f>IF(計算用!$D$155="","",計算用!$C$155)</f>
        <v/>
      </c>
      <c r="C157">
        <f>IF(計算用!$D$155="","",計算用!$D$155)</f>
        <v/>
      </c>
      <c r="D157" s="26">
        <f>IF(計算用!$D$155="","",計算用!$F$155)</f>
        <v/>
      </c>
      <c r="E157" s="26">
        <f>IF(計算用!$D$155="","",計算用!$I$155)</f>
        <v/>
      </c>
      <c r="F157" s="31">
        <f>IF(計算用!$D$155="","",計算用!$G$155)</f>
        <v/>
      </c>
      <c r="G157" s="26">
        <f>IF(計算用!$D$155="","",計算用!$AK$155)</f>
        <v/>
      </c>
      <c r="H157" s="26">
        <f>IF(計算用!$D$155="","",計算用!$AM$155)</f>
        <v/>
      </c>
      <c r="I157" s="26" t="n"/>
      <c r="J157" s="26" t="n"/>
      <c r="K157" s="26">
        <f>IF(計算用!$D$155="","",計算用!$AP$155)</f>
        <v/>
      </c>
      <c r="L157" s="26">
        <f>IF(計算用!$D$155="","",計算用!$AR$155)</f>
        <v/>
      </c>
      <c r="M157">
        <f>IF(計算用!$D$155="",IF(OR(I157&lt;&gt;"",J157&lt;&gt;""),"名前がありません",""),IF(計算用!$J$155="",IF(OR(I157&lt;&gt;"",J157&lt;&gt;""),"入力不足のため組に入りません","入力不足"),IF(AND(I157&lt;&gt;"",I157&lt;&gt;G157),"組を変更",IF(J157&lt;&gt;"","順番を指定",""))))</f>
        <v/>
      </c>
    </row>
    <row r="158">
      <c r="A158" s="26">
        <f>IF(計算用!$D$156="","",計算用!$M$156)</f>
        <v/>
      </c>
      <c r="B158" s="26">
        <f>IF(計算用!$D$156="","",計算用!$C$156)</f>
        <v/>
      </c>
      <c r="C158">
        <f>IF(計算用!$D$156="","",計算用!$D$156)</f>
        <v/>
      </c>
      <c r="D158" s="26">
        <f>IF(計算用!$D$156="","",計算用!$F$156)</f>
        <v/>
      </c>
      <c r="E158" s="26">
        <f>IF(計算用!$D$156="","",計算用!$I$156)</f>
        <v/>
      </c>
      <c r="F158" s="31">
        <f>IF(計算用!$D$156="","",計算用!$G$156)</f>
        <v/>
      </c>
      <c r="G158" s="26">
        <f>IF(計算用!$D$156="","",計算用!$AK$156)</f>
        <v/>
      </c>
      <c r="H158" s="26">
        <f>IF(計算用!$D$156="","",計算用!$AM$156)</f>
        <v/>
      </c>
      <c r="I158" s="26" t="n"/>
      <c r="J158" s="26" t="n"/>
      <c r="K158" s="26">
        <f>IF(計算用!$D$156="","",計算用!$AP$156)</f>
        <v/>
      </c>
      <c r="L158" s="26">
        <f>IF(計算用!$D$156="","",計算用!$AR$156)</f>
        <v/>
      </c>
      <c r="M158">
        <f>IF(計算用!$D$156="",IF(OR(I158&lt;&gt;"",J158&lt;&gt;""),"名前がありません",""),IF(計算用!$J$156="",IF(OR(I158&lt;&gt;"",J158&lt;&gt;""),"入力不足のため組に入りません","入力不足"),IF(AND(I158&lt;&gt;"",I158&lt;&gt;G158),"組を変更",IF(J158&lt;&gt;"","順番を指定",""))))</f>
        <v/>
      </c>
    </row>
    <row r="159">
      <c r="A159" s="26">
        <f>IF(計算用!$D$157="","",計算用!$M$157)</f>
        <v/>
      </c>
      <c r="B159" s="26">
        <f>IF(計算用!$D$157="","",計算用!$C$157)</f>
        <v/>
      </c>
      <c r="C159">
        <f>IF(計算用!$D$157="","",計算用!$D$157)</f>
        <v/>
      </c>
      <c r="D159" s="26">
        <f>IF(計算用!$D$157="","",計算用!$F$157)</f>
        <v/>
      </c>
      <c r="E159" s="26">
        <f>IF(計算用!$D$157="","",計算用!$I$157)</f>
        <v/>
      </c>
      <c r="F159" s="31">
        <f>IF(計算用!$D$157="","",計算用!$G$157)</f>
        <v/>
      </c>
      <c r="G159" s="26">
        <f>IF(計算用!$D$157="","",計算用!$AK$157)</f>
        <v/>
      </c>
      <c r="H159" s="26">
        <f>IF(計算用!$D$157="","",計算用!$AM$157)</f>
        <v/>
      </c>
      <c r="I159" s="26" t="n"/>
      <c r="J159" s="26" t="n"/>
      <c r="K159" s="26">
        <f>IF(計算用!$D$157="","",計算用!$AP$157)</f>
        <v/>
      </c>
      <c r="L159" s="26">
        <f>IF(計算用!$D$157="","",計算用!$AR$157)</f>
        <v/>
      </c>
      <c r="M159">
        <f>IF(計算用!$D$157="",IF(OR(I159&lt;&gt;"",J159&lt;&gt;""),"名前がありません",""),IF(計算用!$J$157="",IF(OR(I159&lt;&gt;"",J159&lt;&gt;""),"入力不足のため組に入りません","入力不足"),IF(AND(I159&lt;&gt;"",I159&lt;&gt;G159),"組を変更",IF(J159&lt;&gt;"","順番を指定",""))))</f>
        <v/>
      </c>
    </row>
    <row r="160">
      <c r="A160" s="26">
        <f>IF(計算用!$D$158="","",計算用!$M$158)</f>
        <v/>
      </c>
      <c r="B160" s="26">
        <f>IF(計算用!$D$158="","",計算用!$C$158)</f>
        <v/>
      </c>
      <c r="C160">
        <f>IF(計算用!$D$158="","",計算用!$D$158)</f>
        <v/>
      </c>
      <c r="D160" s="26">
        <f>IF(計算用!$D$158="","",計算用!$F$158)</f>
        <v/>
      </c>
      <c r="E160" s="26">
        <f>IF(計算用!$D$158="","",計算用!$I$158)</f>
        <v/>
      </c>
      <c r="F160" s="31">
        <f>IF(計算用!$D$158="","",計算用!$G$158)</f>
        <v/>
      </c>
      <c r="G160" s="26">
        <f>IF(計算用!$D$158="","",計算用!$AK$158)</f>
        <v/>
      </c>
      <c r="H160" s="26">
        <f>IF(計算用!$D$158="","",計算用!$AM$158)</f>
        <v/>
      </c>
      <c r="I160" s="26" t="n"/>
      <c r="J160" s="26" t="n"/>
      <c r="K160" s="26">
        <f>IF(計算用!$D$158="","",計算用!$AP$158)</f>
        <v/>
      </c>
      <c r="L160" s="26">
        <f>IF(計算用!$D$158="","",計算用!$AR$158)</f>
        <v/>
      </c>
      <c r="M160">
        <f>IF(計算用!$D$158="",IF(OR(I160&lt;&gt;"",J160&lt;&gt;""),"名前がありません",""),IF(計算用!$J$158="",IF(OR(I160&lt;&gt;"",J160&lt;&gt;""),"入力不足のため組に入りません","入力不足"),IF(AND(I160&lt;&gt;"",I160&lt;&gt;G160),"組を変更",IF(J160&lt;&gt;"","順番を指定",""))))</f>
        <v/>
      </c>
    </row>
    <row r="161">
      <c r="A161" s="26">
        <f>IF(計算用!$D$159="","",計算用!$M$159)</f>
        <v/>
      </c>
      <c r="B161" s="26">
        <f>IF(計算用!$D$159="","",計算用!$C$159)</f>
        <v/>
      </c>
      <c r="C161">
        <f>IF(計算用!$D$159="","",計算用!$D$159)</f>
        <v/>
      </c>
      <c r="D161" s="26">
        <f>IF(計算用!$D$159="","",計算用!$F$159)</f>
        <v/>
      </c>
      <c r="E161" s="26">
        <f>IF(計算用!$D$159="","",計算用!$I$159)</f>
        <v/>
      </c>
      <c r="F161" s="31">
        <f>IF(計算用!$D$159="","",計算用!$G$159)</f>
        <v/>
      </c>
      <c r="G161" s="26">
        <f>IF(計算用!$D$159="","",計算用!$AK$159)</f>
        <v/>
      </c>
      <c r="H161" s="26">
        <f>IF(計算用!$D$159="","",計算用!$AM$159)</f>
        <v/>
      </c>
      <c r="I161" s="26" t="n"/>
      <c r="J161" s="26" t="n"/>
      <c r="K161" s="26">
        <f>IF(計算用!$D$159="","",計算用!$AP$159)</f>
        <v/>
      </c>
      <c r="L161" s="26">
        <f>IF(計算用!$D$159="","",計算用!$AR$159)</f>
        <v/>
      </c>
      <c r="M161">
        <f>IF(計算用!$D$159="",IF(OR(I161&lt;&gt;"",J161&lt;&gt;""),"名前がありません",""),IF(計算用!$J$159="",IF(OR(I161&lt;&gt;"",J161&lt;&gt;""),"入力不足のため組に入りません","入力不足"),IF(AND(I161&lt;&gt;"",I161&lt;&gt;G161),"組を変更",IF(J161&lt;&gt;"","順番を指定",""))))</f>
        <v/>
      </c>
    </row>
    <row r="162">
      <c r="A162" s="26">
        <f>IF(計算用!$D$160="","",計算用!$M$160)</f>
        <v/>
      </c>
      <c r="B162" s="26">
        <f>IF(計算用!$D$160="","",計算用!$C$160)</f>
        <v/>
      </c>
      <c r="C162">
        <f>IF(計算用!$D$160="","",計算用!$D$160)</f>
        <v/>
      </c>
      <c r="D162" s="26">
        <f>IF(計算用!$D$160="","",計算用!$F$160)</f>
        <v/>
      </c>
      <c r="E162" s="26">
        <f>IF(計算用!$D$160="","",計算用!$I$160)</f>
        <v/>
      </c>
      <c r="F162" s="31">
        <f>IF(計算用!$D$160="","",計算用!$G$160)</f>
        <v/>
      </c>
      <c r="G162" s="26">
        <f>IF(計算用!$D$160="","",計算用!$AK$160)</f>
        <v/>
      </c>
      <c r="H162" s="26">
        <f>IF(計算用!$D$160="","",計算用!$AM$160)</f>
        <v/>
      </c>
      <c r="I162" s="26" t="n"/>
      <c r="J162" s="26" t="n"/>
      <c r="K162" s="26">
        <f>IF(計算用!$D$160="","",計算用!$AP$160)</f>
        <v/>
      </c>
      <c r="L162" s="26">
        <f>IF(計算用!$D$160="","",計算用!$AR$160)</f>
        <v/>
      </c>
      <c r="M162">
        <f>IF(計算用!$D$160="",IF(OR(I162&lt;&gt;"",J162&lt;&gt;""),"名前がありません",""),IF(計算用!$J$160="",IF(OR(I162&lt;&gt;"",J162&lt;&gt;""),"入力不足のため組に入りません","入力不足"),IF(AND(I162&lt;&gt;"",I162&lt;&gt;G162),"組を変更",IF(J162&lt;&gt;"","順番を指定",""))))</f>
        <v/>
      </c>
    </row>
    <row r="163">
      <c r="A163" s="26">
        <f>IF(計算用!$D$161="","",計算用!$M$161)</f>
        <v/>
      </c>
      <c r="B163" s="26">
        <f>IF(計算用!$D$161="","",計算用!$C$161)</f>
        <v/>
      </c>
      <c r="C163">
        <f>IF(計算用!$D$161="","",計算用!$D$161)</f>
        <v/>
      </c>
      <c r="D163" s="26">
        <f>IF(計算用!$D$161="","",計算用!$F$161)</f>
        <v/>
      </c>
      <c r="E163" s="26">
        <f>IF(計算用!$D$161="","",計算用!$I$161)</f>
        <v/>
      </c>
      <c r="F163" s="31">
        <f>IF(計算用!$D$161="","",計算用!$G$161)</f>
        <v/>
      </c>
      <c r="G163" s="26">
        <f>IF(計算用!$D$161="","",計算用!$AK$161)</f>
        <v/>
      </c>
      <c r="H163" s="26">
        <f>IF(計算用!$D$161="","",計算用!$AM$161)</f>
        <v/>
      </c>
      <c r="I163" s="26" t="n"/>
      <c r="J163" s="26" t="n"/>
      <c r="K163" s="26">
        <f>IF(計算用!$D$161="","",計算用!$AP$161)</f>
        <v/>
      </c>
      <c r="L163" s="26">
        <f>IF(計算用!$D$161="","",計算用!$AR$161)</f>
        <v/>
      </c>
      <c r="M163">
        <f>IF(計算用!$D$161="",IF(OR(I163&lt;&gt;"",J163&lt;&gt;""),"名前がありません",""),IF(計算用!$J$161="",IF(OR(I163&lt;&gt;"",J163&lt;&gt;""),"入力不足のため組に入りません","入力不足"),IF(AND(I163&lt;&gt;"",I163&lt;&gt;G163),"組を変更",IF(J163&lt;&gt;"","順番を指定",""))))</f>
        <v/>
      </c>
    </row>
    <row r="164">
      <c r="A164" s="26">
        <f>IF(計算用!$D$162="","",計算用!$M$162)</f>
        <v/>
      </c>
      <c r="B164" s="26">
        <f>IF(計算用!$D$162="","",計算用!$C$162)</f>
        <v/>
      </c>
      <c r="C164">
        <f>IF(計算用!$D$162="","",計算用!$D$162)</f>
        <v/>
      </c>
      <c r="D164" s="26">
        <f>IF(計算用!$D$162="","",計算用!$F$162)</f>
        <v/>
      </c>
      <c r="E164" s="26">
        <f>IF(計算用!$D$162="","",計算用!$I$162)</f>
        <v/>
      </c>
      <c r="F164" s="31">
        <f>IF(計算用!$D$162="","",計算用!$G$162)</f>
        <v/>
      </c>
      <c r="G164" s="26">
        <f>IF(計算用!$D$162="","",計算用!$AK$162)</f>
        <v/>
      </c>
      <c r="H164" s="26">
        <f>IF(計算用!$D$162="","",計算用!$AM$162)</f>
        <v/>
      </c>
      <c r="I164" s="26" t="n"/>
      <c r="J164" s="26" t="n"/>
      <c r="K164" s="26">
        <f>IF(計算用!$D$162="","",計算用!$AP$162)</f>
        <v/>
      </c>
      <c r="L164" s="26">
        <f>IF(計算用!$D$162="","",計算用!$AR$162)</f>
        <v/>
      </c>
      <c r="M164">
        <f>IF(計算用!$D$162="",IF(OR(I164&lt;&gt;"",J164&lt;&gt;""),"名前がありません",""),IF(計算用!$J$162="",IF(OR(I164&lt;&gt;"",J164&lt;&gt;""),"入力不足のため組に入りません","入力不足"),IF(AND(I164&lt;&gt;"",I164&lt;&gt;G164),"組を変更",IF(J164&lt;&gt;"","順番を指定",""))))</f>
        <v/>
      </c>
    </row>
    <row r="165">
      <c r="A165" s="26">
        <f>IF(計算用!$D$163="","",計算用!$M$163)</f>
        <v/>
      </c>
      <c r="B165" s="26">
        <f>IF(計算用!$D$163="","",計算用!$C$163)</f>
        <v/>
      </c>
      <c r="C165">
        <f>IF(計算用!$D$163="","",計算用!$D$163)</f>
        <v/>
      </c>
      <c r="D165" s="26">
        <f>IF(計算用!$D$163="","",計算用!$F$163)</f>
        <v/>
      </c>
      <c r="E165" s="26">
        <f>IF(計算用!$D$163="","",計算用!$I$163)</f>
        <v/>
      </c>
      <c r="F165" s="31">
        <f>IF(計算用!$D$163="","",計算用!$G$163)</f>
        <v/>
      </c>
      <c r="G165" s="26">
        <f>IF(計算用!$D$163="","",計算用!$AK$163)</f>
        <v/>
      </c>
      <c r="H165" s="26">
        <f>IF(計算用!$D$163="","",計算用!$AM$163)</f>
        <v/>
      </c>
      <c r="I165" s="26" t="n"/>
      <c r="J165" s="26" t="n"/>
      <c r="K165" s="26">
        <f>IF(計算用!$D$163="","",計算用!$AP$163)</f>
        <v/>
      </c>
      <c r="L165" s="26">
        <f>IF(計算用!$D$163="","",計算用!$AR$163)</f>
        <v/>
      </c>
      <c r="M165">
        <f>IF(計算用!$D$163="",IF(OR(I165&lt;&gt;"",J165&lt;&gt;""),"名前がありません",""),IF(計算用!$J$163="",IF(OR(I165&lt;&gt;"",J165&lt;&gt;""),"入力不足のため組に入りません","入力不足"),IF(AND(I165&lt;&gt;"",I165&lt;&gt;G165),"組を変更",IF(J165&lt;&gt;"","順番を指定",""))))</f>
        <v/>
      </c>
    </row>
    <row r="166">
      <c r="A166" s="26">
        <f>IF(計算用!$D$164="","",計算用!$M$164)</f>
        <v/>
      </c>
      <c r="B166" s="26">
        <f>IF(計算用!$D$164="","",計算用!$C$164)</f>
        <v/>
      </c>
      <c r="C166">
        <f>IF(計算用!$D$164="","",計算用!$D$164)</f>
        <v/>
      </c>
      <c r="D166" s="26">
        <f>IF(計算用!$D$164="","",計算用!$F$164)</f>
        <v/>
      </c>
      <c r="E166" s="26">
        <f>IF(計算用!$D$164="","",計算用!$I$164)</f>
        <v/>
      </c>
      <c r="F166" s="31">
        <f>IF(計算用!$D$164="","",計算用!$G$164)</f>
        <v/>
      </c>
      <c r="G166" s="26">
        <f>IF(計算用!$D$164="","",計算用!$AK$164)</f>
        <v/>
      </c>
      <c r="H166" s="26">
        <f>IF(計算用!$D$164="","",計算用!$AM$164)</f>
        <v/>
      </c>
      <c r="I166" s="26" t="n"/>
      <c r="J166" s="26" t="n"/>
      <c r="K166" s="26">
        <f>IF(計算用!$D$164="","",計算用!$AP$164)</f>
        <v/>
      </c>
      <c r="L166" s="26">
        <f>IF(計算用!$D$164="","",計算用!$AR$164)</f>
        <v/>
      </c>
      <c r="M166">
        <f>IF(計算用!$D$164="",IF(OR(I166&lt;&gt;"",J166&lt;&gt;""),"名前がありません",""),IF(計算用!$J$164="",IF(OR(I166&lt;&gt;"",J166&lt;&gt;""),"入力不足のため組に入りません","入力不足"),IF(AND(I166&lt;&gt;"",I166&lt;&gt;G166),"組を変更",IF(J166&lt;&gt;"","順番を指定",""))))</f>
        <v/>
      </c>
    </row>
    <row r="167">
      <c r="A167" s="26">
        <f>IF(計算用!$D$165="","",計算用!$M$165)</f>
        <v/>
      </c>
      <c r="B167" s="26">
        <f>IF(計算用!$D$165="","",計算用!$C$165)</f>
        <v/>
      </c>
      <c r="C167">
        <f>IF(計算用!$D$165="","",計算用!$D$165)</f>
        <v/>
      </c>
      <c r="D167" s="26">
        <f>IF(計算用!$D$165="","",計算用!$F$165)</f>
        <v/>
      </c>
      <c r="E167" s="26">
        <f>IF(計算用!$D$165="","",計算用!$I$165)</f>
        <v/>
      </c>
      <c r="F167" s="31">
        <f>IF(計算用!$D$165="","",計算用!$G$165)</f>
        <v/>
      </c>
      <c r="G167" s="26">
        <f>IF(計算用!$D$165="","",計算用!$AK$165)</f>
        <v/>
      </c>
      <c r="H167" s="26">
        <f>IF(計算用!$D$165="","",計算用!$AM$165)</f>
        <v/>
      </c>
      <c r="I167" s="26" t="n"/>
      <c r="J167" s="26" t="n"/>
      <c r="K167" s="26">
        <f>IF(計算用!$D$165="","",計算用!$AP$165)</f>
        <v/>
      </c>
      <c r="L167" s="26">
        <f>IF(計算用!$D$165="","",計算用!$AR$165)</f>
        <v/>
      </c>
      <c r="M167">
        <f>IF(計算用!$D$165="",IF(OR(I167&lt;&gt;"",J167&lt;&gt;""),"名前がありません",""),IF(計算用!$J$165="",IF(OR(I167&lt;&gt;"",J167&lt;&gt;""),"入力不足のため組に入りません","入力不足"),IF(AND(I167&lt;&gt;"",I167&lt;&gt;G167),"組を変更",IF(J167&lt;&gt;"","順番を指定",""))))</f>
        <v/>
      </c>
    </row>
    <row r="168">
      <c r="A168" s="26">
        <f>IF(計算用!$D$166="","",計算用!$M$166)</f>
        <v/>
      </c>
      <c r="B168" s="26">
        <f>IF(計算用!$D$166="","",計算用!$C$166)</f>
        <v/>
      </c>
      <c r="C168">
        <f>IF(計算用!$D$166="","",計算用!$D$166)</f>
        <v/>
      </c>
      <c r="D168" s="26">
        <f>IF(計算用!$D$166="","",計算用!$F$166)</f>
        <v/>
      </c>
      <c r="E168" s="26">
        <f>IF(計算用!$D$166="","",計算用!$I$166)</f>
        <v/>
      </c>
      <c r="F168" s="31">
        <f>IF(計算用!$D$166="","",計算用!$G$166)</f>
        <v/>
      </c>
      <c r="G168" s="26">
        <f>IF(計算用!$D$166="","",計算用!$AK$166)</f>
        <v/>
      </c>
      <c r="H168" s="26">
        <f>IF(計算用!$D$166="","",計算用!$AM$166)</f>
        <v/>
      </c>
      <c r="I168" s="26" t="n"/>
      <c r="J168" s="26" t="n"/>
      <c r="K168" s="26">
        <f>IF(計算用!$D$166="","",計算用!$AP$166)</f>
        <v/>
      </c>
      <c r="L168" s="26">
        <f>IF(計算用!$D$166="","",計算用!$AR$166)</f>
        <v/>
      </c>
      <c r="M168">
        <f>IF(計算用!$D$166="",IF(OR(I168&lt;&gt;"",J168&lt;&gt;""),"名前がありません",""),IF(計算用!$J$166="",IF(OR(I168&lt;&gt;"",J168&lt;&gt;""),"入力不足のため組に入りません","入力不足"),IF(AND(I168&lt;&gt;"",I168&lt;&gt;G168),"組を変更",IF(J168&lt;&gt;"","順番を指定",""))))</f>
        <v/>
      </c>
    </row>
    <row r="169">
      <c r="A169" s="26">
        <f>IF(計算用!$D$167="","",計算用!$M$167)</f>
        <v/>
      </c>
      <c r="B169" s="26">
        <f>IF(計算用!$D$167="","",計算用!$C$167)</f>
        <v/>
      </c>
      <c r="C169">
        <f>IF(計算用!$D$167="","",計算用!$D$167)</f>
        <v/>
      </c>
      <c r="D169" s="26">
        <f>IF(計算用!$D$167="","",計算用!$F$167)</f>
        <v/>
      </c>
      <c r="E169" s="26">
        <f>IF(計算用!$D$167="","",計算用!$I$167)</f>
        <v/>
      </c>
      <c r="F169" s="31">
        <f>IF(計算用!$D$167="","",計算用!$G$167)</f>
        <v/>
      </c>
      <c r="G169" s="26">
        <f>IF(計算用!$D$167="","",計算用!$AK$167)</f>
        <v/>
      </c>
      <c r="H169" s="26">
        <f>IF(計算用!$D$167="","",計算用!$AM$167)</f>
        <v/>
      </c>
      <c r="I169" s="26" t="n"/>
      <c r="J169" s="26" t="n"/>
      <c r="K169" s="26">
        <f>IF(計算用!$D$167="","",計算用!$AP$167)</f>
        <v/>
      </c>
      <c r="L169" s="26">
        <f>IF(計算用!$D$167="","",計算用!$AR$167)</f>
        <v/>
      </c>
      <c r="M169">
        <f>IF(計算用!$D$167="",IF(OR(I169&lt;&gt;"",J169&lt;&gt;""),"名前がありません",""),IF(計算用!$J$167="",IF(OR(I169&lt;&gt;"",J169&lt;&gt;""),"入力不足のため組に入りません","入力不足"),IF(AND(I169&lt;&gt;"",I169&lt;&gt;G169),"組を変更",IF(J169&lt;&gt;"","順番を指定",""))))</f>
        <v/>
      </c>
    </row>
    <row r="170">
      <c r="A170" s="26">
        <f>IF(計算用!$D$168="","",計算用!$M$168)</f>
        <v/>
      </c>
      <c r="B170" s="26">
        <f>IF(計算用!$D$168="","",計算用!$C$168)</f>
        <v/>
      </c>
      <c r="C170">
        <f>IF(計算用!$D$168="","",計算用!$D$168)</f>
        <v/>
      </c>
      <c r="D170" s="26">
        <f>IF(計算用!$D$168="","",計算用!$F$168)</f>
        <v/>
      </c>
      <c r="E170" s="26">
        <f>IF(計算用!$D$168="","",計算用!$I$168)</f>
        <v/>
      </c>
      <c r="F170" s="31">
        <f>IF(計算用!$D$168="","",計算用!$G$168)</f>
        <v/>
      </c>
      <c r="G170" s="26">
        <f>IF(計算用!$D$168="","",計算用!$AK$168)</f>
        <v/>
      </c>
      <c r="H170" s="26">
        <f>IF(計算用!$D$168="","",計算用!$AM$168)</f>
        <v/>
      </c>
      <c r="I170" s="26" t="n"/>
      <c r="J170" s="26" t="n"/>
      <c r="K170" s="26">
        <f>IF(計算用!$D$168="","",計算用!$AP$168)</f>
        <v/>
      </c>
      <c r="L170" s="26">
        <f>IF(計算用!$D$168="","",計算用!$AR$168)</f>
        <v/>
      </c>
      <c r="M170">
        <f>IF(計算用!$D$168="",IF(OR(I170&lt;&gt;"",J170&lt;&gt;""),"名前がありません",""),IF(計算用!$J$168="",IF(OR(I170&lt;&gt;"",J170&lt;&gt;""),"入力不足のため組に入りません","入力不足"),IF(AND(I170&lt;&gt;"",I170&lt;&gt;G170),"組を変更",IF(J170&lt;&gt;"","順番を指定",""))))</f>
        <v/>
      </c>
    </row>
    <row r="171">
      <c r="A171" s="26">
        <f>IF(計算用!$D$169="","",計算用!$M$169)</f>
        <v/>
      </c>
      <c r="B171" s="26">
        <f>IF(計算用!$D$169="","",計算用!$C$169)</f>
        <v/>
      </c>
      <c r="C171">
        <f>IF(計算用!$D$169="","",計算用!$D$169)</f>
        <v/>
      </c>
      <c r="D171" s="26">
        <f>IF(計算用!$D$169="","",計算用!$F$169)</f>
        <v/>
      </c>
      <c r="E171" s="26">
        <f>IF(計算用!$D$169="","",計算用!$I$169)</f>
        <v/>
      </c>
      <c r="F171" s="31">
        <f>IF(計算用!$D$169="","",計算用!$G$169)</f>
        <v/>
      </c>
      <c r="G171" s="26">
        <f>IF(計算用!$D$169="","",計算用!$AK$169)</f>
        <v/>
      </c>
      <c r="H171" s="26">
        <f>IF(計算用!$D$169="","",計算用!$AM$169)</f>
        <v/>
      </c>
      <c r="I171" s="26" t="n"/>
      <c r="J171" s="26" t="n"/>
      <c r="K171" s="26">
        <f>IF(計算用!$D$169="","",計算用!$AP$169)</f>
        <v/>
      </c>
      <c r="L171" s="26">
        <f>IF(計算用!$D$169="","",計算用!$AR$169)</f>
        <v/>
      </c>
      <c r="M171">
        <f>IF(計算用!$D$169="",IF(OR(I171&lt;&gt;"",J171&lt;&gt;""),"名前がありません",""),IF(計算用!$J$169="",IF(OR(I171&lt;&gt;"",J171&lt;&gt;""),"入力不足のため組に入りません","入力不足"),IF(AND(I171&lt;&gt;"",I171&lt;&gt;G171),"組を変更",IF(J171&lt;&gt;"","順番を指定",""))))</f>
        <v/>
      </c>
    </row>
    <row r="172">
      <c r="A172" s="26">
        <f>IF(計算用!$D$170="","",計算用!$M$170)</f>
        <v/>
      </c>
      <c r="B172" s="26">
        <f>IF(計算用!$D$170="","",計算用!$C$170)</f>
        <v/>
      </c>
      <c r="C172">
        <f>IF(計算用!$D$170="","",計算用!$D$170)</f>
        <v/>
      </c>
      <c r="D172" s="26">
        <f>IF(計算用!$D$170="","",計算用!$F$170)</f>
        <v/>
      </c>
      <c r="E172" s="26">
        <f>IF(計算用!$D$170="","",計算用!$I$170)</f>
        <v/>
      </c>
      <c r="F172" s="31">
        <f>IF(計算用!$D$170="","",計算用!$G$170)</f>
        <v/>
      </c>
      <c r="G172" s="26">
        <f>IF(計算用!$D$170="","",計算用!$AK$170)</f>
        <v/>
      </c>
      <c r="H172" s="26">
        <f>IF(計算用!$D$170="","",計算用!$AM$170)</f>
        <v/>
      </c>
      <c r="I172" s="26" t="n"/>
      <c r="J172" s="26" t="n"/>
      <c r="K172" s="26">
        <f>IF(計算用!$D$170="","",計算用!$AP$170)</f>
        <v/>
      </c>
      <c r="L172" s="26">
        <f>IF(計算用!$D$170="","",計算用!$AR$170)</f>
        <v/>
      </c>
      <c r="M172">
        <f>IF(計算用!$D$170="",IF(OR(I172&lt;&gt;"",J172&lt;&gt;""),"名前がありません",""),IF(計算用!$J$170="",IF(OR(I172&lt;&gt;"",J172&lt;&gt;""),"入力不足のため組に入りません","入力不足"),IF(AND(I172&lt;&gt;"",I172&lt;&gt;G172),"組を変更",IF(J172&lt;&gt;"","順番を指定",""))))</f>
        <v/>
      </c>
    </row>
    <row r="173">
      <c r="A173" s="26">
        <f>IF(計算用!$D$171="","",計算用!$M$171)</f>
        <v/>
      </c>
      <c r="B173" s="26">
        <f>IF(計算用!$D$171="","",計算用!$C$171)</f>
        <v/>
      </c>
      <c r="C173">
        <f>IF(計算用!$D$171="","",計算用!$D$171)</f>
        <v/>
      </c>
      <c r="D173" s="26">
        <f>IF(計算用!$D$171="","",計算用!$F$171)</f>
        <v/>
      </c>
      <c r="E173" s="26">
        <f>IF(計算用!$D$171="","",計算用!$I$171)</f>
        <v/>
      </c>
      <c r="F173" s="31">
        <f>IF(計算用!$D$171="","",計算用!$G$171)</f>
        <v/>
      </c>
      <c r="G173" s="26">
        <f>IF(計算用!$D$171="","",計算用!$AK$171)</f>
        <v/>
      </c>
      <c r="H173" s="26">
        <f>IF(計算用!$D$171="","",計算用!$AM$171)</f>
        <v/>
      </c>
      <c r="I173" s="26" t="n"/>
      <c r="J173" s="26" t="n"/>
      <c r="K173" s="26">
        <f>IF(計算用!$D$171="","",計算用!$AP$171)</f>
        <v/>
      </c>
      <c r="L173" s="26">
        <f>IF(計算用!$D$171="","",計算用!$AR$171)</f>
        <v/>
      </c>
      <c r="M173">
        <f>IF(計算用!$D$171="",IF(OR(I173&lt;&gt;"",J173&lt;&gt;""),"名前がありません",""),IF(計算用!$J$171="",IF(OR(I173&lt;&gt;"",J173&lt;&gt;""),"入力不足のため組に入りません","入力不足"),IF(AND(I173&lt;&gt;"",I173&lt;&gt;G173),"組を変更",IF(J173&lt;&gt;"","順番を指定",""))))</f>
        <v/>
      </c>
    </row>
    <row r="174">
      <c r="A174" s="26">
        <f>IF(計算用!$D$172="","",計算用!$M$172)</f>
        <v/>
      </c>
      <c r="B174" s="26">
        <f>IF(計算用!$D$172="","",計算用!$C$172)</f>
        <v/>
      </c>
      <c r="C174">
        <f>IF(計算用!$D$172="","",計算用!$D$172)</f>
        <v/>
      </c>
      <c r="D174" s="26">
        <f>IF(計算用!$D$172="","",計算用!$F$172)</f>
        <v/>
      </c>
      <c r="E174" s="26">
        <f>IF(計算用!$D$172="","",計算用!$I$172)</f>
        <v/>
      </c>
      <c r="F174" s="31">
        <f>IF(計算用!$D$172="","",計算用!$G$172)</f>
        <v/>
      </c>
      <c r="G174" s="26">
        <f>IF(計算用!$D$172="","",計算用!$AK$172)</f>
        <v/>
      </c>
      <c r="H174" s="26">
        <f>IF(計算用!$D$172="","",計算用!$AM$172)</f>
        <v/>
      </c>
      <c r="I174" s="26" t="n"/>
      <c r="J174" s="26" t="n"/>
      <c r="K174" s="26">
        <f>IF(計算用!$D$172="","",計算用!$AP$172)</f>
        <v/>
      </c>
      <c r="L174" s="26">
        <f>IF(計算用!$D$172="","",計算用!$AR$172)</f>
        <v/>
      </c>
      <c r="M174">
        <f>IF(計算用!$D$172="",IF(OR(I174&lt;&gt;"",J174&lt;&gt;""),"名前がありません",""),IF(計算用!$J$172="",IF(OR(I174&lt;&gt;"",J174&lt;&gt;""),"入力不足のため組に入りません","入力不足"),IF(AND(I174&lt;&gt;"",I174&lt;&gt;G174),"組を変更",IF(J174&lt;&gt;"","順番を指定",""))))</f>
        <v/>
      </c>
    </row>
    <row r="175">
      <c r="A175" s="26">
        <f>IF(計算用!$D$173="","",計算用!$M$173)</f>
        <v/>
      </c>
      <c r="B175" s="26">
        <f>IF(計算用!$D$173="","",計算用!$C$173)</f>
        <v/>
      </c>
      <c r="C175">
        <f>IF(計算用!$D$173="","",計算用!$D$173)</f>
        <v/>
      </c>
      <c r="D175" s="26">
        <f>IF(計算用!$D$173="","",計算用!$F$173)</f>
        <v/>
      </c>
      <c r="E175" s="26">
        <f>IF(計算用!$D$173="","",計算用!$I$173)</f>
        <v/>
      </c>
      <c r="F175" s="31">
        <f>IF(計算用!$D$173="","",計算用!$G$173)</f>
        <v/>
      </c>
      <c r="G175" s="26">
        <f>IF(計算用!$D$173="","",計算用!$AK$173)</f>
        <v/>
      </c>
      <c r="H175" s="26">
        <f>IF(計算用!$D$173="","",計算用!$AM$173)</f>
        <v/>
      </c>
      <c r="I175" s="26" t="n"/>
      <c r="J175" s="26" t="n"/>
      <c r="K175" s="26">
        <f>IF(計算用!$D$173="","",計算用!$AP$173)</f>
        <v/>
      </c>
      <c r="L175" s="26">
        <f>IF(計算用!$D$173="","",計算用!$AR$173)</f>
        <v/>
      </c>
      <c r="M175">
        <f>IF(計算用!$D$173="",IF(OR(I175&lt;&gt;"",J175&lt;&gt;""),"名前がありません",""),IF(計算用!$J$173="",IF(OR(I175&lt;&gt;"",J175&lt;&gt;""),"入力不足のため組に入りません","入力不足"),IF(AND(I175&lt;&gt;"",I175&lt;&gt;G175),"組を変更",IF(J175&lt;&gt;"","順番を指定",""))))</f>
        <v/>
      </c>
    </row>
    <row r="176">
      <c r="A176" s="26">
        <f>IF(計算用!$D$174="","",計算用!$M$174)</f>
        <v/>
      </c>
      <c r="B176" s="26">
        <f>IF(計算用!$D$174="","",計算用!$C$174)</f>
        <v/>
      </c>
      <c r="C176">
        <f>IF(計算用!$D$174="","",計算用!$D$174)</f>
        <v/>
      </c>
      <c r="D176" s="26">
        <f>IF(計算用!$D$174="","",計算用!$F$174)</f>
        <v/>
      </c>
      <c r="E176" s="26">
        <f>IF(計算用!$D$174="","",計算用!$I$174)</f>
        <v/>
      </c>
      <c r="F176" s="31">
        <f>IF(計算用!$D$174="","",計算用!$G$174)</f>
        <v/>
      </c>
      <c r="G176" s="26">
        <f>IF(計算用!$D$174="","",計算用!$AK$174)</f>
        <v/>
      </c>
      <c r="H176" s="26">
        <f>IF(計算用!$D$174="","",計算用!$AM$174)</f>
        <v/>
      </c>
      <c r="I176" s="26" t="n"/>
      <c r="J176" s="26" t="n"/>
      <c r="K176" s="26">
        <f>IF(計算用!$D$174="","",計算用!$AP$174)</f>
        <v/>
      </c>
      <c r="L176" s="26">
        <f>IF(計算用!$D$174="","",計算用!$AR$174)</f>
        <v/>
      </c>
      <c r="M176">
        <f>IF(計算用!$D$174="",IF(OR(I176&lt;&gt;"",J176&lt;&gt;""),"名前がありません",""),IF(計算用!$J$174="",IF(OR(I176&lt;&gt;"",J176&lt;&gt;""),"入力不足のため組に入りません","入力不足"),IF(AND(I176&lt;&gt;"",I176&lt;&gt;G176),"組を変更",IF(J176&lt;&gt;"","順番を指定",""))))</f>
        <v/>
      </c>
    </row>
    <row r="177">
      <c r="A177" s="26">
        <f>IF(計算用!$D$175="","",計算用!$M$175)</f>
        <v/>
      </c>
      <c r="B177" s="26">
        <f>IF(計算用!$D$175="","",計算用!$C$175)</f>
        <v/>
      </c>
      <c r="C177">
        <f>IF(計算用!$D$175="","",計算用!$D$175)</f>
        <v/>
      </c>
      <c r="D177" s="26">
        <f>IF(計算用!$D$175="","",計算用!$F$175)</f>
        <v/>
      </c>
      <c r="E177" s="26">
        <f>IF(計算用!$D$175="","",計算用!$I$175)</f>
        <v/>
      </c>
      <c r="F177" s="31">
        <f>IF(計算用!$D$175="","",計算用!$G$175)</f>
        <v/>
      </c>
      <c r="G177" s="26">
        <f>IF(計算用!$D$175="","",計算用!$AK$175)</f>
        <v/>
      </c>
      <c r="H177" s="26">
        <f>IF(計算用!$D$175="","",計算用!$AM$175)</f>
        <v/>
      </c>
      <c r="I177" s="26" t="n"/>
      <c r="J177" s="26" t="n"/>
      <c r="K177" s="26">
        <f>IF(計算用!$D$175="","",計算用!$AP$175)</f>
        <v/>
      </c>
      <c r="L177" s="26">
        <f>IF(計算用!$D$175="","",計算用!$AR$175)</f>
        <v/>
      </c>
      <c r="M177">
        <f>IF(計算用!$D$175="",IF(OR(I177&lt;&gt;"",J177&lt;&gt;""),"名前がありません",""),IF(計算用!$J$175="",IF(OR(I177&lt;&gt;"",J177&lt;&gt;""),"入力不足のため組に入りません","入力不足"),IF(AND(I177&lt;&gt;"",I177&lt;&gt;G177),"組を変更",IF(J177&lt;&gt;"","順番を指定",""))))</f>
        <v/>
      </c>
    </row>
    <row r="178">
      <c r="A178" s="26">
        <f>IF(計算用!$D$176="","",計算用!$M$176)</f>
        <v/>
      </c>
      <c r="B178" s="26">
        <f>IF(計算用!$D$176="","",計算用!$C$176)</f>
        <v/>
      </c>
      <c r="C178">
        <f>IF(計算用!$D$176="","",計算用!$D$176)</f>
        <v/>
      </c>
      <c r="D178" s="26">
        <f>IF(計算用!$D$176="","",計算用!$F$176)</f>
        <v/>
      </c>
      <c r="E178" s="26">
        <f>IF(計算用!$D$176="","",計算用!$I$176)</f>
        <v/>
      </c>
      <c r="F178" s="31">
        <f>IF(計算用!$D$176="","",計算用!$G$176)</f>
        <v/>
      </c>
      <c r="G178" s="26">
        <f>IF(計算用!$D$176="","",計算用!$AK$176)</f>
        <v/>
      </c>
      <c r="H178" s="26">
        <f>IF(計算用!$D$176="","",計算用!$AM$176)</f>
        <v/>
      </c>
      <c r="I178" s="26" t="n"/>
      <c r="J178" s="26" t="n"/>
      <c r="K178" s="26">
        <f>IF(計算用!$D$176="","",計算用!$AP$176)</f>
        <v/>
      </c>
      <c r="L178" s="26">
        <f>IF(計算用!$D$176="","",計算用!$AR$176)</f>
        <v/>
      </c>
      <c r="M178">
        <f>IF(計算用!$D$176="",IF(OR(I178&lt;&gt;"",J178&lt;&gt;""),"名前がありません",""),IF(計算用!$J$176="",IF(OR(I178&lt;&gt;"",J178&lt;&gt;""),"入力不足のため組に入りません","入力不足"),IF(AND(I178&lt;&gt;"",I178&lt;&gt;G178),"組を変更",IF(J178&lt;&gt;"","順番を指定",""))))</f>
        <v/>
      </c>
    </row>
    <row r="179">
      <c r="A179" s="26">
        <f>IF(計算用!$D$177="","",計算用!$M$177)</f>
        <v/>
      </c>
      <c r="B179" s="26">
        <f>IF(計算用!$D$177="","",計算用!$C$177)</f>
        <v/>
      </c>
      <c r="C179">
        <f>IF(計算用!$D$177="","",計算用!$D$177)</f>
        <v/>
      </c>
      <c r="D179" s="26">
        <f>IF(計算用!$D$177="","",計算用!$F$177)</f>
        <v/>
      </c>
      <c r="E179" s="26">
        <f>IF(計算用!$D$177="","",計算用!$I$177)</f>
        <v/>
      </c>
      <c r="F179" s="31">
        <f>IF(計算用!$D$177="","",計算用!$G$177)</f>
        <v/>
      </c>
      <c r="G179" s="26">
        <f>IF(計算用!$D$177="","",計算用!$AK$177)</f>
        <v/>
      </c>
      <c r="H179" s="26">
        <f>IF(計算用!$D$177="","",計算用!$AM$177)</f>
        <v/>
      </c>
      <c r="I179" s="26" t="n"/>
      <c r="J179" s="26" t="n"/>
      <c r="K179" s="26">
        <f>IF(計算用!$D$177="","",計算用!$AP$177)</f>
        <v/>
      </c>
      <c r="L179" s="26">
        <f>IF(計算用!$D$177="","",計算用!$AR$177)</f>
        <v/>
      </c>
      <c r="M179">
        <f>IF(計算用!$D$177="",IF(OR(I179&lt;&gt;"",J179&lt;&gt;""),"名前がありません",""),IF(計算用!$J$177="",IF(OR(I179&lt;&gt;"",J179&lt;&gt;""),"入力不足のため組に入りません","入力不足"),IF(AND(I179&lt;&gt;"",I179&lt;&gt;G179),"組を変更",IF(J179&lt;&gt;"","順番を指定",""))))</f>
        <v/>
      </c>
    </row>
    <row r="180">
      <c r="A180" s="26">
        <f>IF(計算用!$D$178="","",計算用!$M$178)</f>
        <v/>
      </c>
      <c r="B180" s="26">
        <f>IF(計算用!$D$178="","",計算用!$C$178)</f>
        <v/>
      </c>
      <c r="C180">
        <f>IF(計算用!$D$178="","",計算用!$D$178)</f>
        <v/>
      </c>
      <c r="D180" s="26">
        <f>IF(計算用!$D$178="","",計算用!$F$178)</f>
        <v/>
      </c>
      <c r="E180" s="26">
        <f>IF(計算用!$D$178="","",計算用!$I$178)</f>
        <v/>
      </c>
      <c r="F180" s="31">
        <f>IF(計算用!$D$178="","",計算用!$G$178)</f>
        <v/>
      </c>
      <c r="G180" s="26">
        <f>IF(計算用!$D$178="","",計算用!$AK$178)</f>
        <v/>
      </c>
      <c r="H180" s="26">
        <f>IF(計算用!$D$178="","",計算用!$AM$178)</f>
        <v/>
      </c>
      <c r="I180" s="26" t="n"/>
      <c r="J180" s="26" t="n"/>
      <c r="K180" s="26">
        <f>IF(計算用!$D$178="","",計算用!$AP$178)</f>
        <v/>
      </c>
      <c r="L180" s="26">
        <f>IF(計算用!$D$178="","",計算用!$AR$178)</f>
        <v/>
      </c>
      <c r="M180">
        <f>IF(計算用!$D$178="",IF(OR(I180&lt;&gt;"",J180&lt;&gt;""),"名前がありません",""),IF(計算用!$J$178="",IF(OR(I180&lt;&gt;"",J180&lt;&gt;""),"入力不足のため組に入りません","入力不足"),IF(AND(I180&lt;&gt;"",I180&lt;&gt;G180),"組を変更",IF(J180&lt;&gt;"","順番を指定",""))))</f>
        <v/>
      </c>
    </row>
    <row r="181">
      <c r="A181" s="26">
        <f>IF(計算用!$D$179="","",計算用!$M$179)</f>
        <v/>
      </c>
      <c r="B181" s="26">
        <f>IF(計算用!$D$179="","",計算用!$C$179)</f>
        <v/>
      </c>
      <c r="C181">
        <f>IF(計算用!$D$179="","",計算用!$D$179)</f>
        <v/>
      </c>
      <c r="D181" s="26">
        <f>IF(計算用!$D$179="","",計算用!$F$179)</f>
        <v/>
      </c>
      <c r="E181" s="26">
        <f>IF(計算用!$D$179="","",計算用!$I$179)</f>
        <v/>
      </c>
      <c r="F181" s="31">
        <f>IF(計算用!$D$179="","",計算用!$G$179)</f>
        <v/>
      </c>
      <c r="G181" s="26">
        <f>IF(計算用!$D$179="","",計算用!$AK$179)</f>
        <v/>
      </c>
      <c r="H181" s="26">
        <f>IF(計算用!$D$179="","",計算用!$AM$179)</f>
        <v/>
      </c>
      <c r="I181" s="26" t="n"/>
      <c r="J181" s="26" t="n"/>
      <c r="K181" s="26">
        <f>IF(計算用!$D$179="","",計算用!$AP$179)</f>
        <v/>
      </c>
      <c r="L181" s="26">
        <f>IF(計算用!$D$179="","",計算用!$AR$179)</f>
        <v/>
      </c>
      <c r="M181">
        <f>IF(計算用!$D$179="",IF(OR(I181&lt;&gt;"",J181&lt;&gt;""),"名前がありません",""),IF(計算用!$J$179="",IF(OR(I181&lt;&gt;"",J181&lt;&gt;""),"入力不足のため組に入りません","入力不足"),IF(AND(I181&lt;&gt;"",I181&lt;&gt;G181),"組を変更",IF(J181&lt;&gt;"","順番を指定",""))))</f>
        <v/>
      </c>
    </row>
    <row r="182">
      <c r="A182" s="26">
        <f>IF(計算用!$D$180="","",計算用!$M$180)</f>
        <v/>
      </c>
      <c r="B182" s="26">
        <f>IF(計算用!$D$180="","",計算用!$C$180)</f>
        <v/>
      </c>
      <c r="C182">
        <f>IF(計算用!$D$180="","",計算用!$D$180)</f>
        <v/>
      </c>
      <c r="D182" s="26">
        <f>IF(計算用!$D$180="","",計算用!$F$180)</f>
        <v/>
      </c>
      <c r="E182" s="26">
        <f>IF(計算用!$D$180="","",計算用!$I$180)</f>
        <v/>
      </c>
      <c r="F182" s="31">
        <f>IF(計算用!$D$180="","",計算用!$G$180)</f>
        <v/>
      </c>
      <c r="G182" s="26">
        <f>IF(計算用!$D$180="","",計算用!$AK$180)</f>
        <v/>
      </c>
      <c r="H182" s="26">
        <f>IF(計算用!$D$180="","",計算用!$AM$180)</f>
        <v/>
      </c>
      <c r="I182" s="26" t="n"/>
      <c r="J182" s="26" t="n"/>
      <c r="K182" s="26">
        <f>IF(計算用!$D$180="","",計算用!$AP$180)</f>
        <v/>
      </c>
      <c r="L182" s="26">
        <f>IF(計算用!$D$180="","",計算用!$AR$180)</f>
        <v/>
      </c>
      <c r="M182">
        <f>IF(計算用!$D$180="",IF(OR(I182&lt;&gt;"",J182&lt;&gt;""),"名前がありません",""),IF(計算用!$J$180="",IF(OR(I182&lt;&gt;"",J182&lt;&gt;""),"入力不足のため組に入りません","入力不足"),IF(AND(I182&lt;&gt;"",I182&lt;&gt;G182),"組を変更",IF(J182&lt;&gt;"","順番を指定",""))))</f>
        <v/>
      </c>
    </row>
    <row r="183">
      <c r="A183" s="26">
        <f>IF(計算用!$D$181="","",計算用!$M$181)</f>
        <v/>
      </c>
      <c r="B183" s="26">
        <f>IF(計算用!$D$181="","",計算用!$C$181)</f>
        <v/>
      </c>
      <c r="C183">
        <f>IF(計算用!$D$181="","",計算用!$D$181)</f>
        <v/>
      </c>
      <c r="D183" s="26">
        <f>IF(計算用!$D$181="","",計算用!$F$181)</f>
        <v/>
      </c>
      <c r="E183" s="26">
        <f>IF(計算用!$D$181="","",計算用!$I$181)</f>
        <v/>
      </c>
      <c r="F183" s="31">
        <f>IF(計算用!$D$181="","",計算用!$G$181)</f>
        <v/>
      </c>
      <c r="G183" s="26">
        <f>IF(計算用!$D$181="","",計算用!$AK$181)</f>
        <v/>
      </c>
      <c r="H183" s="26">
        <f>IF(計算用!$D$181="","",計算用!$AM$181)</f>
        <v/>
      </c>
      <c r="I183" s="26" t="n"/>
      <c r="J183" s="26" t="n"/>
      <c r="K183" s="26">
        <f>IF(計算用!$D$181="","",計算用!$AP$181)</f>
        <v/>
      </c>
      <c r="L183" s="26">
        <f>IF(計算用!$D$181="","",計算用!$AR$181)</f>
        <v/>
      </c>
      <c r="M183">
        <f>IF(計算用!$D$181="",IF(OR(I183&lt;&gt;"",J183&lt;&gt;""),"名前がありません",""),IF(計算用!$J$181="",IF(OR(I183&lt;&gt;"",J183&lt;&gt;""),"入力不足のため組に入りません","入力不足"),IF(AND(I183&lt;&gt;"",I183&lt;&gt;G183),"組を変更",IF(J183&lt;&gt;"","順番を指定",""))))</f>
        <v/>
      </c>
    </row>
    <row r="184">
      <c r="A184" s="26">
        <f>IF(計算用!$D$182="","",計算用!$M$182)</f>
        <v/>
      </c>
      <c r="B184" s="26">
        <f>IF(計算用!$D$182="","",計算用!$C$182)</f>
        <v/>
      </c>
      <c r="C184">
        <f>IF(計算用!$D$182="","",計算用!$D$182)</f>
        <v/>
      </c>
      <c r="D184" s="26">
        <f>IF(計算用!$D$182="","",計算用!$F$182)</f>
        <v/>
      </c>
      <c r="E184" s="26">
        <f>IF(計算用!$D$182="","",計算用!$I$182)</f>
        <v/>
      </c>
      <c r="F184" s="31">
        <f>IF(計算用!$D$182="","",計算用!$G$182)</f>
        <v/>
      </c>
      <c r="G184" s="26">
        <f>IF(計算用!$D$182="","",計算用!$AK$182)</f>
        <v/>
      </c>
      <c r="H184" s="26">
        <f>IF(計算用!$D$182="","",計算用!$AM$182)</f>
        <v/>
      </c>
      <c r="I184" s="26" t="n"/>
      <c r="J184" s="26" t="n"/>
      <c r="K184" s="26">
        <f>IF(計算用!$D$182="","",計算用!$AP$182)</f>
        <v/>
      </c>
      <c r="L184" s="26">
        <f>IF(計算用!$D$182="","",計算用!$AR$182)</f>
        <v/>
      </c>
      <c r="M184">
        <f>IF(計算用!$D$182="",IF(OR(I184&lt;&gt;"",J184&lt;&gt;""),"名前がありません",""),IF(計算用!$J$182="",IF(OR(I184&lt;&gt;"",J184&lt;&gt;""),"入力不足のため組に入りません","入力不足"),IF(AND(I184&lt;&gt;"",I184&lt;&gt;G184),"組を変更",IF(J184&lt;&gt;"","順番を指定",""))))</f>
        <v/>
      </c>
    </row>
    <row r="185">
      <c r="A185" s="26">
        <f>IF(計算用!$D$183="","",計算用!$M$183)</f>
        <v/>
      </c>
      <c r="B185" s="26">
        <f>IF(計算用!$D$183="","",計算用!$C$183)</f>
        <v/>
      </c>
      <c r="C185">
        <f>IF(計算用!$D$183="","",計算用!$D$183)</f>
        <v/>
      </c>
      <c r="D185" s="26">
        <f>IF(計算用!$D$183="","",計算用!$F$183)</f>
        <v/>
      </c>
      <c r="E185" s="26">
        <f>IF(計算用!$D$183="","",計算用!$I$183)</f>
        <v/>
      </c>
      <c r="F185" s="31">
        <f>IF(計算用!$D$183="","",計算用!$G$183)</f>
        <v/>
      </c>
      <c r="G185" s="26">
        <f>IF(計算用!$D$183="","",計算用!$AK$183)</f>
        <v/>
      </c>
      <c r="H185" s="26">
        <f>IF(計算用!$D$183="","",計算用!$AM$183)</f>
        <v/>
      </c>
      <c r="I185" s="26" t="n"/>
      <c r="J185" s="26" t="n"/>
      <c r="K185" s="26">
        <f>IF(計算用!$D$183="","",計算用!$AP$183)</f>
        <v/>
      </c>
      <c r="L185" s="26">
        <f>IF(計算用!$D$183="","",計算用!$AR$183)</f>
        <v/>
      </c>
      <c r="M185">
        <f>IF(計算用!$D$183="",IF(OR(I185&lt;&gt;"",J185&lt;&gt;""),"名前がありません",""),IF(計算用!$J$183="",IF(OR(I185&lt;&gt;"",J185&lt;&gt;""),"入力不足のため組に入りません","入力不足"),IF(AND(I185&lt;&gt;"",I185&lt;&gt;G185),"組を変更",IF(J185&lt;&gt;"","順番を指定",""))))</f>
        <v/>
      </c>
    </row>
    <row r="186">
      <c r="A186" s="26">
        <f>IF(計算用!$D$184="","",計算用!$M$184)</f>
        <v/>
      </c>
      <c r="B186" s="26">
        <f>IF(計算用!$D$184="","",計算用!$C$184)</f>
        <v/>
      </c>
      <c r="C186">
        <f>IF(計算用!$D$184="","",計算用!$D$184)</f>
        <v/>
      </c>
      <c r="D186" s="26">
        <f>IF(計算用!$D$184="","",計算用!$F$184)</f>
        <v/>
      </c>
      <c r="E186" s="26">
        <f>IF(計算用!$D$184="","",計算用!$I$184)</f>
        <v/>
      </c>
      <c r="F186" s="31">
        <f>IF(計算用!$D$184="","",計算用!$G$184)</f>
        <v/>
      </c>
      <c r="G186" s="26">
        <f>IF(計算用!$D$184="","",計算用!$AK$184)</f>
        <v/>
      </c>
      <c r="H186" s="26">
        <f>IF(計算用!$D$184="","",計算用!$AM$184)</f>
        <v/>
      </c>
      <c r="I186" s="26" t="n"/>
      <c r="J186" s="26" t="n"/>
      <c r="K186" s="26">
        <f>IF(計算用!$D$184="","",計算用!$AP$184)</f>
        <v/>
      </c>
      <c r="L186" s="26">
        <f>IF(計算用!$D$184="","",計算用!$AR$184)</f>
        <v/>
      </c>
      <c r="M186">
        <f>IF(計算用!$D$184="",IF(OR(I186&lt;&gt;"",J186&lt;&gt;""),"名前がありません",""),IF(計算用!$J$184="",IF(OR(I186&lt;&gt;"",J186&lt;&gt;""),"入力不足のため組に入りません","入力不足"),IF(AND(I186&lt;&gt;"",I186&lt;&gt;G186),"組を変更",IF(J186&lt;&gt;"","順番を指定",""))))</f>
        <v/>
      </c>
    </row>
    <row r="187">
      <c r="A187" s="26">
        <f>IF(計算用!$D$185="","",計算用!$M$185)</f>
        <v/>
      </c>
      <c r="B187" s="26">
        <f>IF(計算用!$D$185="","",計算用!$C$185)</f>
        <v/>
      </c>
      <c r="C187">
        <f>IF(計算用!$D$185="","",計算用!$D$185)</f>
        <v/>
      </c>
      <c r="D187" s="26">
        <f>IF(計算用!$D$185="","",計算用!$F$185)</f>
        <v/>
      </c>
      <c r="E187" s="26">
        <f>IF(計算用!$D$185="","",計算用!$I$185)</f>
        <v/>
      </c>
      <c r="F187" s="31">
        <f>IF(計算用!$D$185="","",計算用!$G$185)</f>
        <v/>
      </c>
      <c r="G187" s="26">
        <f>IF(計算用!$D$185="","",計算用!$AK$185)</f>
        <v/>
      </c>
      <c r="H187" s="26">
        <f>IF(計算用!$D$185="","",計算用!$AM$185)</f>
        <v/>
      </c>
      <c r="I187" s="26" t="n"/>
      <c r="J187" s="26" t="n"/>
      <c r="K187" s="26">
        <f>IF(計算用!$D$185="","",計算用!$AP$185)</f>
        <v/>
      </c>
      <c r="L187" s="26">
        <f>IF(計算用!$D$185="","",計算用!$AR$185)</f>
        <v/>
      </c>
      <c r="M187">
        <f>IF(計算用!$D$185="",IF(OR(I187&lt;&gt;"",J187&lt;&gt;""),"名前がありません",""),IF(計算用!$J$185="",IF(OR(I187&lt;&gt;"",J187&lt;&gt;""),"入力不足のため組に入りません","入力不足"),IF(AND(I187&lt;&gt;"",I187&lt;&gt;G187),"組を変更",IF(J187&lt;&gt;"","順番を指定",""))))</f>
        <v/>
      </c>
    </row>
    <row r="188">
      <c r="A188" s="26">
        <f>IF(計算用!$D$186="","",計算用!$M$186)</f>
        <v/>
      </c>
      <c r="B188" s="26">
        <f>IF(計算用!$D$186="","",計算用!$C$186)</f>
        <v/>
      </c>
      <c r="C188">
        <f>IF(計算用!$D$186="","",計算用!$D$186)</f>
        <v/>
      </c>
      <c r="D188" s="26">
        <f>IF(計算用!$D$186="","",計算用!$F$186)</f>
        <v/>
      </c>
      <c r="E188" s="26">
        <f>IF(計算用!$D$186="","",計算用!$I$186)</f>
        <v/>
      </c>
      <c r="F188" s="31">
        <f>IF(計算用!$D$186="","",計算用!$G$186)</f>
        <v/>
      </c>
      <c r="G188" s="26">
        <f>IF(計算用!$D$186="","",計算用!$AK$186)</f>
        <v/>
      </c>
      <c r="H188" s="26">
        <f>IF(計算用!$D$186="","",計算用!$AM$186)</f>
        <v/>
      </c>
      <c r="I188" s="26" t="n"/>
      <c r="J188" s="26" t="n"/>
      <c r="K188" s="26">
        <f>IF(計算用!$D$186="","",計算用!$AP$186)</f>
        <v/>
      </c>
      <c r="L188" s="26">
        <f>IF(計算用!$D$186="","",計算用!$AR$186)</f>
        <v/>
      </c>
      <c r="M188">
        <f>IF(計算用!$D$186="",IF(OR(I188&lt;&gt;"",J188&lt;&gt;""),"名前がありません",""),IF(計算用!$J$186="",IF(OR(I188&lt;&gt;"",J188&lt;&gt;""),"入力不足のため組に入りません","入力不足"),IF(AND(I188&lt;&gt;"",I188&lt;&gt;G188),"組を変更",IF(J188&lt;&gt;"","順番を指定",""))))</f>
        <v/>
      </c>
    </row>
  </sheetData>
  <mergeCells count="1">
    <mergeCell ref="C1:M1"/>
  </mergeCells>
  <conditionalFormatting sqref="A4:M188">
    <cfRule type="expression" priority="1" dxfId="11">
      <formula>AND($C4&lt;&gt;"",$M4="組を変更")</formula>
    </cfRule>
    <cfRule type="expression" priority="2" dxfId="12">
      <formula>AND($C4&lt;&gt;"",LEFT($M4,4)="入力不足")</formula>
    </cfRule>
  </conditionalFormatting>
  <conditionalFormatting sqref="I4:J188">
    <cfRule type="expression" priority="3" dxfId="8">
      <formula>$C4&lt;&gt;""</formula>
    </cfRule>
  </conditionalFormatting>
  <conditionalFormatting sqref="A4:H188 K4:M188">
    <cfRule type="expression" priority="4" dxfId="10">
      <formula>$C4&lt;&gt;""</formula>
    </cfRule>
  </conditionalFormatting>
  <conditionalFormatting sqref="E4:E188">
    <cfRule type="expression" priority="5" dxfId="9">
      <formula>E4="赤"</formula>
    </cfRule>
  </conditionalFormatting>
  <dataValidations count="2">
    <dataValidation sqref="I4:I188" showDropDown="0" showInputMessage="0" showErrorMessage="1" allowBlank="0" errorTitle="組の番号" error="1〜50の数字を入れてください" type="whole" operator="between">
      <formula1>1</formula1>
      <formula2>50</formula2>
    </dataValidation>
    <dataValidation sqref="J4:J188" showDropDown="0" showInputMessage="0" showErrorMessage="1" allowBlank="0" errorTitle="何人目" error="1〜6の数字を入れてください" type="whole" operator="between">
      <formula1>1</formula1>
      <formula2>6</formula2>
    </dataValidation>
  </dataValidation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SUMPRODUCT((計算用!$BB$2:$BB$51&gt;4)*1)&gt;0,"※5人以上の組があります（赤い組）。5人目からは表に出ません",IF(SUMPRODUCT((計算用!$BA$2:$BA$51&lt;=計算用!$Q$13)*(計算用!$BB$2:$BB$51=0))&gt;0,"※だれもいない組があります（赤い組）",IF(SUMPRODUCT((計算用!$BB$2:$BB$51&gt;0)*(((計算用!$BB$2:$BB$51&lt;&gt;4)+(計算用!$BC$2:$BC$51&lt;&gt;2))&gt;0))&gt;0,"※黄色の組は、人数の都合で調整した組です","")))</f>
        <v/>
      </c>
      <c r="Q1" s="23" t="inlineStr">
        <is>
          <t>女子</t>
        </is>
      </c>
      <c r="T1" s="24">
        <f>IF(SUMPRODUCT((計算用!$BG$2:$BG$51&gt;4)*1)&gt;0,"※5人以上の組があります（赤い組）。5人目からは表に出ません",IF(SUMPRODUCT((計算用!$BF$2:$BF$51&lt;=計算用!$Q$14)*(計算用!$BG$2:$BG$51=0))&gt;0,"※だれもいない組があります（赤い組）",IF(SUMPRODUCT((計算用!$BG$2:$BG$51&gt;0)*(((計算用!$BG$2:$BG$51&lt;&gt;4)+(計算用!$BH$2:$BH$51&lt;&gt;2))&gt;0))&gt;0,"※黄色の組は、人数の都合で調整した組です",""))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IF(ROW()-3&lt;=計算用!$Q$13,ROW()-3,"")</f>
        <v/>
      </c>
      <c r="B4" s="26">
        <f>IF($A4="","",INDEX(計算用!$BB$2:$BB$51,$A4))</f>
        <v/>
      </c>
      <c r="C4" s="26">
        <f>IF($A4="","","赤"&amp;INDEX(計算用!$BC$2:$BC$51,$A4)&amp;"白"&amp;INDEX(計算用!$BD$2:$BD$51,$A4))</f>
        <v/>
      </c>
      <c r="D4">
        <f>IF($A4="","",IFERROR(INDEX(計算用!$D$2:$D$186,MATCH("男"&amp;$A4&amp;"-1",計算用!$AS$2:$AS$186,0)),""))</f>
        <v/>
      </c>
      <c r="E4" s="26">
        <f>IF($A4="","",IFERROR(INDEX(計算用!$M$2:$M$186,MATCH("男"&amp;$A4&amp;"-1",計算用!$AS$2:$AS$186,0)),""))</f>
        <v/>
      </c>
      <c r="F4" s="26">
        <f>IF($A4="","",IFERROR(INDEX(計算用!$I$2:$I$186,MATCH("男"&amp;$A4&amp;"-1",計算用!$AS$2:$AS$186,0)),""))</f>
        <v/>
      </c>
      <c r="G4">
        <f>IF($A4="","",IFERROR(INDEX(計算用!$D$2:$D$186,MATCH("男"&amp;$A4&amp;"-2",計算用!$AS$2:$AS$186,0)),""))</f>
        <v/>
      </c>
      <c r="H4" s="26">
        <f>IF($A4="","",IFERROR(INDEX(計算用!$M$2:$M$186,MATCH("男"&amp;$A4&amp;"-2",計算用!$AS$2:$AS$186,0)),""))</f>
        <v/>
      </c>
      <c r="I4" s="26">
        <f>IF($A4="","",IFERROR(INDEX(計算用!$I$2:$I$186,MATCH("男"&amp;$A4&amp;"-2",計算用!$AS$2:$AS$186,0)),""))</f>
        <v/>
      </c>
      <c r="J4">
        <f>IF($A4="","",IFERROR(INDEX(計算用!$D$2:$D$186,MATCH("男"&amp;$A4&amp;"-3",計算用!$AS$2:$AS$186,0)),""))</f>
        <v/>
      </c>
      <c r="K4" s="26">
        <f>IF($A4="","",IFERROR(INDEX(計算用!$M$2:$M$186,MATCH("男"&amp;$A4&amp;"-3",計算用!$AS$2:$AS$186,0)),""))</f>
        <v/>
      </c>
      <c r="L4" s="26">
        <f>IF($A4="","",IFERROR(INDEX(計算用!$I$2:$I$186,MATCH("男"&amp;$A4&amp;"-3",計算用!$AS$2:$AS$186,0)),""))</f>
        <v/>
      </c>
      <c r="M4">
        <f>IF($A4="","",IFERROR(INDEX(計算用!$D$2:$D$186,MATCH("男"&amp;$A4&amp;"-4",計算用!$AS$2:$AS$186,0)),""))</f>
        <v/>
      </c>
      <c r="N4" s="26">
        <f>IF($A4="","",IFERROR(INDEX(計算用!$M$2:$M$186,MATCH("男"&amp;$A4&amp;"-4",計算用!$AS$2:$AS$186,0)),""))</f>
        <v/>
      </c>
      <c r="O4" s="26">
        <f>IF($A4="","",IFERROR(INDEX(計算用!$I$2:$I$186,MATCH("男"&amp;$A4&amp;"-4",計算用!$AS$2:$AS$186,0)),""))</f>
        <v/>
      </c>
      <c r="Q4" s="26">
        <f>IF(ROW()-3&lt;=計算用!$Q$14,ROW()-3,"")</f>
        <v/>
      </c>
      <c r="R4" s="26">
        <f>IF($Q4="","",INDEX(計算用!$BG$2:$BG$51,$Q4))</f>
        <v/>
      </c>
      <c r="S4" s="26">
        <f>IF($Q4="","","赤"&amp;INDEX(計算用!$BH$2:$BH$51,$Q4)&amp;"白"&amp;INDEX(計算用!$BI$2:$BI$51,$Q4))</f>
        <v/>
      </c>
      <c r="T4">
        <f>IF($Q4="","",IFERROR(INDEX(計算用!$D$2:$D$186,MATCH("女"&amp;$Q4&amp;"-1",計算用!$AS$2:$AS$186,0)),""))</f>
        <v/>
      </c>
      <c r="U4" s="26">
        <f>IF($Q4="","",IFERROR(INDEX(計算用!$M$2:$M$186,MATCH("女"&amp;$Q4&amp;"-1",計算用!$AS$2:$AS$186,0)),""))</f>
        <v/>
      </c>
      <c r="V4" s="26">
        <f>IF($Q4="","",IFERROR(INDEX(計算用!$I$2:$I$186,MATCH("女"&amp;$Q4&amp;"-1",計算用!$AS$2:$AS$186,0)),""))</f>
        <v/>
      </c>
      <c r="W4">
        <f>IF($Q4="","",IFERROR(INDEX(計算用!$D$2:$D$186,MATCH("女"&amp;$Q4&amp;"-2",計算用!$AS$2:$AS$186,0)),""))</f>
        <v/>
      </c>
      <c r="X4" s="26">
        <f>IF($Q4="","",IFERROR(INDEX(計算用!$M$2:$M$186,MATCH("女"&amp;$Q4&amp;"-2",計算用!$AS$2:$AS$186,0)),""))</f>
        <v/>
      </c>
      <c r="Y4" s="26">
        <f>IF($Q4="","",IFERROR(INDEX(計算用!$I$2:$I$186,MATCH("女"&amp;$Q4&amp;"-2",計算用!$AS$2:$AS$186,0)),""))</f>
        <v/>
      </c>
      <c r="Z4">
        <f>IF($Q4="","",IFERROR(INDEX(計算用!$D$2:$D$186,MATCH("女"&amp;$Q4&amp;"-3",計算用!$AS$2:$AS$186,0)),""))</f>
        <v/>
      </c>
      <c r="AA4" s="26">
        <f>IF($Q4="","",IFERROR(INDEX(計算用!$M$2:$M$186,MATCH("女"&amp;$Q4&amp;"-3",計算用!$AS$2:$AS$186,0)),""))</f>
        <v/>
      </c>
      <c r="AB4" s="26">
        <f>IF($Q4="","",IFERROR(INDEX(計算用!$I$2:$I$186,MATCH("女"&amp;$Q4&amp;"-3",計算用!$AS$2:$AS$186,0)),""))</f>
        <v/>
      </c>
      <c r="AC4">
        <f>IF($Q4="","",IFERROR(INDEX(計算用!$D$2:$D$186,MATCH("女"&amp;$Q4&amp;"-4",計算用!$AS$2:$AS$186,0)),""))</f>
        <v/>
      </c>
      <c r="AD4" s="26">
        <f>IF($Q4="","",IFERROR(INDEX(計算用!$M$2:$M$186,MATCH("女"&amp;$Q4&amp;"-4",計算用!$AS$2:$AS$186,0)),""))</f>
        <v/>
      </c>
      <c r="AE4" s="26">
        <f>IF($Q4="","",IFERROR(INDEX(計算用!$I$2:$I$186,MATCH("女"&amp;$Q4&amp;"-4",計算用!$AS$2:$AS$186,0)),""))</f>
        <v/>
      </c>
    </row>
    <row r="5">
      <c r="A5" s="26">
        <f>IF(ROW()-3&lt;=計算用!$Q$13,ROW()-3,"")</f>
        <v/>
      </c>
      <c r="B5" s="26">
        <f>IF($A5="","",INDEX(計算用!$BB$2:$BB$51,$A5))</f>
        <v/>
      </c>
      <c r="C5" s="26">
        <f>IF($A5="","","赤"&amp;INDEX(計算用!$BC$2:$BC$51,$A5)&amp;"白"&amp;INDEX(計算用!$BD$2:$BD$51,$A5))</f>
        <v/>
      </c>
      <c r="D5">
        <f>IF($A5="","",IFERROR(INDEX(計算用!$D$2:$D$186,MATCH("男"&amp;$A5&amp;"-1",計算用!$AS$2:$AS$186,0)),""))</f>
        <v/>
      </c>
      <c r="E5" s="26">
        <f>IF($A5="","",IFERROR(INDEX(計算用!$M$2:$M$186,MATCH("男"&amp;$A5&amp;"-1",計算用!$AS$2:$AS$186,0)),""))</f>
        <v/>
      </c>
      <c r="F5" s="26">
        <f>IF($A5="","",IFERROR(INDEX(計算用!$I$2:$I$186,MATCH("男"&amp;$A5&amp;"-1",計算用!$AS$2:$AS$186,0)),""))</f>
        <v/>
      </c>
      <c r="G5">
        <f>IF($A5="","",IFERROR(INDEX(計算用!$D$2:$D$186,MATCH("男"&amp;$A5&amp;"-2",計算用!$AS$2:$AS$186,0)),""))</f>
        <v/>
      </c>
      <c r="H5" s="26">
        <f>IF($A5="","",IFERROR(INDEX(計算用!$M$2:$M$186,MATCH("男"&amp;$A5&amp;"-2",計算用!$AS$2:$AS$186,0)),""))</f>
        <v/>
      </c>
      <c r="I5" s="26">
        <f>IF($A5="","",IFERROR(INDEX(計算用!$I$2:$I$186,MATCH("男"&amp;$A5&amp;"-2",計算用!$AS$2:$AS$186,0)),""))</f>
        <v/>
      </c>
      <c r="J5">
        <f>IF($A5="","",IFERROR(INDEX(計算用!$D$2:$D$186,MATCH("男"&amp;$A5&amp;"-3",計算用!$AS$2:$AS$186,0)),""))</f>
        <v/>
      </c>
      <c r="K5" s="26">
        <f>IF($A5="","",IFERROR(INDEX(計算用!$M$2:$M$186,MATCH("男"&amp;$A5&amp;"-3",計算用!$AS$2:$AS$186,0)),""))</f>
        <v/>
      </c>
      <c r="L5" s="26">
        <f>IF($A5="","",IFERROR(INDEX(計算用!$I$2:$I$186,MATCH("男"&amp;$A5&amp;"-3",計算用!$AS$2:$AS$186,0)),""))</f>
        <v/>
      </c>
      <c r="M5">
        <f>IF($A5="","",IFERROR(INDEX(計算用!$D$2:$D$186,MATCH("男"&amp;$A5&amp;"-4",計算用!$AS$2:$AS$186,0)),""))</f>
        <v/>
      </c>
      <c r="N5" s="26">
        <f>IF($A5="","",IFERROR(INDEX(計算用!$M$2:$M$186,MATCH("男"&amp;$A5&amp;"-4",計算用!$AS$2:$AS$186,0)),""))</f>
        <v/>
      </c>
      <c r="O5" s="26">
        <f>IF($A5="","",IFERROR(INDEX(計算用!$I$2:$I$186,MATCH("男"&amp;$A5&amp;"-4",計算用!$AS$2:$AS$186,0)),""))</f>
        <v/>
      </c>
      <c r="Q5" s="26">
        <f>IF(ROW()-3&lt;=計算用!$Q$14,ROW()-3,"")</f>
        <v/>
      </c>
      <c r="R5" s="26">
        <f>IF($Q5="","",INDEX(計算用!$BG$2:$BG$51,$Q5))</f>
        <v/>
      </c>
      <c r="S5" s="26">
        <f>IF($Q5="","","赤"&amp;INDEX(計算用!$BH$2:$BH$51,$Q5)&amp;"白"&amp;INDEX(計算用!$BI$2:$BI$51,$Q5))</f>
        <v/>
      </c>
      <c r="T5">
        <f>IF($Q5="","",IFERROR(INDEX(計算用!$D$2:$D$186,MATCH("女"&amp;$Q5&amp;"-1",計算用!$AS$2:$AS$186,0)),""))</f>
        <v/>
      </c>
      <c r="U5" s="26">
        <f>IF($Q5="","",IFERROR(INDEX(計算用!$M$2:$M$186,MATCH("女"&amp;$Q5&amp;"-1",計算用!$AS$2:$AS$186,0)),""))</f>
        <v/>
      </c>
      <c r="V5" s="26">
        <f>IF($Q5="","",IFERROR(INDEX(計算用!$I$2:$I$186,MATCH("女"&amp;$Q5&amp;"-1",計算用!$AS$2:$AS$186,0)),""))</f>
        <v/>
      </c>
      <c r="W5">
        <f>IF($Q5="","",IFERROR(INDEX(計算用!$D$2:$D$186,MATCH("女"&amp;$Q5&amp;"-2",計算用!$AS$2:$AS$186,0)),""))</f>
        <v/>
      </c>
      <c r="X5" s="26">
        <f>IF($Q5="","",IFERROR(INDEX(計算用!$M$2:$M$186,MATCH("女"&amp;$Q5&amp;"-2",計算用!$AS$2:$AS$186,0)),""))</f>
        <v/>
      </c>
      <c r="Y5" s="26">
        <f>IF($Q5="","",IFERROR(INDEX(計算用!$I$2:$I$186,MATCH("女"&amp;$Q5&amp;"-2",計算用!$AS$2:$AS$186,0)),""))</f>
        <v/>
      </c>
      <c r="Z5">
        <f>IF($Q5="","",IFERROR(INDEX(計算用!$D$2:$D$186,MATCH("女"&amp;$Q5&amp;"-3",計算用!$AS$2:$AS$186,0)),""))</f>
        <v/>
      </c>
      <c r="AA5" s="26">
        <f>IF($Q5="","",IFERROR(INDEX(計算用!$M$2:$M$186,MATCH("女"&amp;$Q5&amp;"-3",計算用!$AS$2:$AS$186,0)),""))</f>
        <v/>
      </c>
      <c r="AB5" s="26">
        <f>IF($Q5="","",IFERROR(INDEX(計算用!$I$2:$I$186,MATCH("女"&amp;$Q5&amp;"-3",計算用!$AS$2:$AS$186,0)),""))</f>
        <v/>
      </c>
      <c r="AC5">
        <f>IF($Q5="","",IFERROR(INDEX(計算用!$D$2:$D$186,MATCH("女"&amp;$Q5&amp;"-4",計算用!$AS$2:$AS$186,0)),""))</f>
        <v/>
      </c>
      <c r="AD5" s="26">
        <f>IF($Q5="","",IFERROR(INDEX(計算用!$M$2:$M$186,MATCH("女"&amp;$Q5&amp;"-4",計算用!$AS$2:$AS$186,0)),""))</f>
        <v/>
      </c>
      <c r="AE5" s="26">
        <f>IF($Q5="","",IFERROR(INDEX(計算用!$I$2:$I$186,MATCH("女"&amp;$Q5&amp;"-4",計算用!$AS$2:$AS$186,0)),""))</f>
        <v/>
      </c>
    </row>
    <row r="6">
      <c r="A6" s="26">
        <f>IF(ROW()-3&lt;=計算用!$Q$13,ROW()-3,"")</f>
        <v/>
      </c>
      <c r="B6" s="26">
        <f>IF($A6="","",INDEX(計算用!$BB$2:$BB$51,$A6))</f>
        <v/>
      </c>
      <c r="C6" s="26">
        <f>IF($A6="","","赤"&amp;INDEX(計算用!$BC$2:$BC$51,$A6)&amp;"白"&amp;INDEX(計算用!$BD$2:$BD$51,$A6))</f>
        <v/>
      </c>
      <c r="D6">
        <f>IF($A6="","",IFERROR(INDEX(計算用!$D$2:$D$186,MATCH("男"&amp;$A6&amp;"-1",計算用!$AS$2:$AS$186,0)),""))</f>
        <v/>
      </c>
      <c r="E6" s="26">
        <f>IF($A6="","",IFERROR(INDEX(計算用!$M$2:$M$186,MATCH("男"&amp;$A6&amp;"-1",計算用!$AS$2:$AS$186,0)),""))</f>
        <v/>
      </c>
      <c r="F6" s="26">
        <f>IF($A6="","",IFERROR(INDEX(計算用!$I$2:$I$186,MATCH("男"&amp;$A6&amp;"-1",計算用!$AS$2:$AS$186,0)),""))</f>
        <v/>
      </c>
      <c r="G6">
        <f>IF($A6="","",IFERROR(INDEX(計算用!$D$2:$D$186,MATCH("男"&amp;$A6&amp;"-2",計算用!$AS$2:$AS$186,0)),""))</f>
        <v/>
      </c>
      <c r="H6" s="26">
        <f>IF($A6="","",IFERROR(INDEX(計算用!$M$2:$M$186,MATCH("男"&amp;$A6&amp;"-2",計算用!$AS$2:$AS$186,0)),""))</f>
        <v/>
      </c>
      <c r="I6" s="26">
        <f>IF($A6="","",IFERROR(INDEX(計算用!$I$2:$I$186,MATCH("男"&amp;$A6&amp;"-2",計算用!$AS$2:$AS$186,0)),""))</f>
        <v/>
      </c>
      <c r="J6">
        <f>IF($A6="","",IFERROR(INDEX(計算用!$D$2:$D$186,MATCH("男"&amp;$A6&amp;"-3",計算用!$AS$2:$AS$186,0)),""))</f>
        <v/>
      </c>
      <c r="K6" s="26">
        <f>IF($A6="","",IFERROR(INDEX(計算用!$M$2:$M$186,MATCH("男"&amp;$A6&amp;"-3",計算用!$AS$2:$AS$186,0)),""))</f>
        <v/>
      </c>
      <c r="L6" s="26">
        <f>IF($A6="","",IFERROR(INDEX(計算用!$I$2:$I$186,MATCH("男"&amp;$A6&amp;"-3",計算用!$AS$2:$AS$186,0)),""))</f>
        <v/>
      </c>
      <c r="M6">
        <f>IF($A6="","",IFERROR(INDEX(計算用!$D$2:$D$186,MATCH("男"&amp;$A6&amp;"-4",計算用!$AS$2:$AS$186,0)),""))</f>
        <v/>
      </c>
      <c r="N6" s="26">
        <f>IF($A6="","",IFERROR(INDEX(計算用!$M$2:$M$186,MATCH("男"&amp;$A6&amp;"-4",計算用!$AS$2:$AS$186,0)),""))</f>
        <v/>
      </c>
      <c r="O6" s="26">
        <f>IF($A6="","",IFERROR(INDEX(計算用!$I$2:$I$186,MATCH("男"&amp;$A6&amp;"-4",計算用!$AS$2:$AS$186,0)),""))</f>
        <v/>
      </c>
      <c r="Q6" s="26">
        <f>IF(ROW()-3&lt;=計算用!$Q$14,ROW()-3,"")</f>
        <v/>
      </c>
      <c r="R6" s="26">
        <f>IF($Q6="","",INDEX(計算用!$BG$2:$BG$51,$Q6))</f>
        <v/>
      </c>
      <c r="S6" s="26">
        <f>IF($Q6="","","赤"&amp;INDEX(計算用!$BH$2:$BH$51,$Q6)&amp;"白"&amp;INDEX(計算用!$BI$2:$BI$51,$Q6))</f>
        <v/>
      </c>
      <c r="T6">
        <f>IF($Q6="","",IFERROR(INDEX(計算用!$D$2:$D$186,MATCH("女"&amp;$Q6&amp;"-1",計算用!$AS$2:$AS$186,0)),""))</f>
        <v/>
      </c>
      <c r="U6" s="26">
        <f>IF($Q6="","",IFERROR(INDEX(計算用!$M$2:$M$186,MATCH("女"&amp;$Q6&amp;"-1",計算用!$AS$2:$AS$186,0)),""))</f>
        <v/>
      </c>
      <c r="V6" s="26">
        <f>IF($Q6="","",IFERROR(INDEX(計算用!$I$2:$I$186,MATCH("女"&amp;$Q6&amp;"-1",計算用!$AS$2:$AS$186,0)),""))</f>
        <v/>
      </c>
      <c r="W6">
        <f>IF($Q6="","",IFERROR(INDEX(計算用!$D$2:$D$186,MATCH("女"&amp;$Q6&amp;"-2",計算用!$AS$2:$AS$186,0)),""))</f>
        <v/>
      </c>
      <c r="X6" s="26">
        <f>IF($Q6="","",IFERROR(INDEX(計算用!$M$2:$M$186,MATCH("女"&amp;$Q6&amp;"-2",計算用!$AS$2:$AS$186,0)),""))</f>
        <v/>
      </c>
      <c r="Y6" s="26">
        <f>IF($Q6="","",IFERROR(INDEX(計算用!$I$2:$I$186,MATCH("女"&amp;$Q6&amp;"-2",計算用!$AS$2:$AS$186,0)),""))</f>
        <v/>
      </c>
      <c r="Z6">
        <f>IF($Q6="","",IFERROR(INDEX(計算用!$D$2:$D$186,MATCH("女"&amp;$Q6&amp;"-3",計算用!$AS$2:$AS$186,0)),""))</f>
        <v/>
      </c>
      <c r="AA6" s="26">
        <f>IF($Q6="","",IFERROR(INDEX(計算用!$M$2:$M$186,MATCH("女"&amp;$Q6&amp;"-3",計算用!$AS$2:$AS$186,0)),""))</f>
        <v/>
      </c>
      <c r="AB6" s="26">
        <f>IF($Q6="","",IFERROR(INDEX(計算用!$I$2:$I$186,MATCH("女"&amp;$Q6&amp;"-3",計算用!$AS$2:$AS$186,0)),""))</f>
        <v/>
      </c>
      <c r="AC6">
        <f>IF($Q6="","",IFERROR(INDEX(計算用!$D$2:$D$186,MATCH("女"&amp;$Q6&amp;"-4",計算用!$AS$2:$AS$186,0)),""))</f>
        <v/>
      </c>
      <c r="AD6" s="26">
        <f>IF($Q6="","",IFERROR(INDEX(計算用!$M$2:$M$186,MATCH("女"&amp;$Q6&amp;"-4",計算用!$AS$2:$AS$186,0)),""))</f>
        <v/>
      </c>
      <c r="AE6" s="26">
        <f>IF($Q6="","",IFERROR(INDEX(計算用!$I$2:$I$186,MATCH("女"&amp;$Q6&amp;"-4",計算用!$AS$2:$AS$186,0)),""))</f>
        <v/>
      </c>
    </row>
    <row r="7">
      <c r="A7" s="26">
        <f>IF(ROW()-3&lt;=計算用!$Q$13,ROW()-3,"")</f>
        <v/>
      </c>
      <c r="B7" s="26">
        <f>IF($A7="","",INDEX(計算用!$BB$2:$BB$51,$A7))</f>
        <v/>
      </c>
      <c r="C7" s="26">
        <f>IF($A7="","","赤"&amp;INDEX(計算用!$BC$2:$BC$51,$A7)&amp;"白"&amp;INDEX(計算用!$BD$2:$BD$51,$A7))</f>
        <v/>
      </c>
      <c r="D7">
        <f>IF($A7="","",IFERROR(INDEX(計算用!$D$2:$D$186,MATCH("男"&amp;$A7&amp;"-1",計算用!$AS$2:$AS$186,0)),""))</f>
        <v/>
      </c>
      <c r="E7" s="26">
        <f>IF($A7="","",IFERROR(INDEX(計算用!$M$2:$M$186,MATCH("男"&amp;$A7&amp;"-1",計算用!$AS$2:$AS$186,0)),""))</f>
        <v/>
      </c>
      <c r="F7" s="26">
        <f>IF($A7="","",IFERROR(INDEX(計算用!$I$2:$I$186,MATCH("男"&amp;$A7&amp;"-1",計算用!$AS$2:$AS$186,0)),""))</f>
        <v/>
      </c>
      <c r="G7">
        <f>IF($A7="","",IFERROR(INDEX(計算用!$D$2:$D$186,MATCH("男"&amp;$A7&amp;"-2",計算用!$AS$2:$AS$186,0)),""))</f>
        <v/>
      </c>
      <c r="H7" s="26">
        <f>IF($A7="","",IFERROR(INDEX(計算用!$M$2:$M$186,MATCH("男"&amp;$A7&amp;"-2",計算用!$AS$2:$AS$186,0)),""))</f>
        <v/>
      </c>
      <c r="I7" s="26">
        <f>IF($A7="","",IFERROR(INDEX(計算用!$I$2:$I$186,MATCH("男"&amp;$A7&amp;"-2",計算用!$AS$2:$AS$186,0)),""))</f>
        <v/>
      </c>
      <c r="J7">
        <f>IF($A7="","",IFERROR(INDEX(計算用!$D$2:$D$186,MATCH("男"&amp;$A7&amp;"-3",計算用!$AS$2:$AS$186,0)),""))</f>
        <v/>
      </c>
      <c r="K7" s="26">
        <f>IF($A7="","",IFERROR(INDEX(計算用!$M$2:$M$186,MATCH("男"&amp;$A7&amp;"-3",計算用!$AS$2:$AS$186,0)),""))</f>
        <v/>
      </c>
      <c r="L7" s="26">
        <f>IF($A7="","",IFERROR(INDEX(計算用!$I$2:$I$186,MATCH("男"&amp;$A7&amp;"-3",計算用!$AS$2:$AS$186,0)),""))</f>
        <v/>
      </c>
      <c r="M7">
        <f>IF($A7="","",IFERROR(INDEX(計算用!$D$2:$D$186,MATCH("男"&amp;$A7&amp;"-4",計算用!$AS$2:$AS$186,0)),""))</f>
        <v/>
      </c>
      <c r="N7" s="26">
        <f>IF($A7="","",IFERROR(INDEX(計算用!$M$2:$M$186,MATCH("男"&amp;$A7&amp;"-4",計算用!$AS$2:$AS$186,0)),""))</f>
        <v/>
      </c>
      <c r="O7" s="26">
        <f>IF($A7="","",IFERROR(INDEX(計算用!$I$2:$I$186,MATCH("男"&amp;$A7&amp;"-4",計算用!$AS$2:$AS$186,0)),""))</f>
        <v/>
      </c>
      <c r="Q7" s="26">
        <f>IF(ROW()-3&lt;=計算用!$Q$14,ROW()-3,"")</f>
        <v/>
      </c>
      <c r="R7" s="26">
        <f>IF($Q7="","",INDEX(計算用!$BG$2:$BG$51,$Q7))</f>
        <v/>
      </c>
      <c r="S7" s="26">
        <f>IF($Q7="","","赤"&amp;INDEX(計算用!$BH$2:$BH$51,$Q7)&amp;"白"&amp;INDEX(計算用!$BI$2:$BI$51,$Q7))</f>
        <v/>
      </c>
      <c r="T7">
        <f>IF($Q7="","",IFERROR(INDEX(計算用!$D$2:$D$186,MATCH("女"&amp;$Q7&amp;"-1",計算用!$AS$2:$AS$186,0)),""))</f>
        <v/>
      </c>
      <c r="U7" s="26">
        <f>IF($Q7="","",IFERROR(INDEX(計算用!$M$2:$M$186,MATCH("女"&amp;$Q7&amp;"-1",計算用!$AS$2:$AS$186,0)),""))</f>
        <v/>
      </c>
      <c r="V7" s="26">
        <f>IF($Q7="","",IFERROR(INDEX(計算用!$I$2:$I$186,MATCH("女"&amp;$Q7&amp;"-1",計算用!$AS$2:$AS$186,0)),""))</f>
        <v/>
      </c>
      <c r="W7">
        <f>IF($Q7="","",IFERROR(INDEX(計算用!$D$2:$D$186,MATCH("女"&amp;$Q7&amp;"-2",計算用!$AS$2:$AS$186,0)),""))</f>
        <v/>
      </c>
      <c r="X7" s="26">
        <f>IF($Q7="","",IFERROR(INDEX(計算用!$M$2:$M$186,MATCH("女"&amp;$Q7&amp;"-2",計算用!$AS$2:$AS$186,0)),""))</f>
        <v/>
      </c>
      <c r="Y7" s="26">
        <f>IF($Q7="","",IFERROR(INDEX(計算用!$I$2:$I$186,MATCH("女"&amp;$Q7&amp;"-2",計算用!$AS$2:$AS$186,0)),""))</f>
        <v/>
      </c>
      <c r="Z7">
        <f>IF($Q7="","",IFERROR(INDEX(計算用!$D$2:$D$186,MATCH("女"&amp;$Q7&amp;"-3",計算用!$AS$2:$AS$186,0)),""))</f>
        <v/>
      </c>
      <c r="AA7" s="26">
        <f>IF($Q7="","",IFERROR(INDEX(計算用!$M$2:$M$186,MATCH("女"&amp;$Q7&amp;"-3",計算用!$AS$2:$AS$186,0)),""))</f>
        <v/>
      </c>
      <c r="AB7" s="26">
        <f>IF($Q7="","",IFERROR(INDEX(計算用!$I$2:$I$186,MATCH("女"&amp;$Q7&amp;"-3",計算用!$AS$2:$AS$186,0)),""))</f>
        <v/>
      </c>
      <c r="AC7">
        <f>IF($Q7="","",IFERROR(INDEX(計算用!$D$2:$D$186,MATCH("女"&amp;$Q7&amp;"-4",計算用!$AS$2:$AS$186,0)),""))</f>
        <v/>
      </c>
      <c r="AD7" s="26">
        <f>IF($Q7="","",IFERROR(INDEX(計算用!$M$2:$M$186,MATCH("女"&amp;$Q7&amp;"-4",計算用!$AS$2:$AS$186,0)),""))</f>
        <v/>
      </c>
      <c r="AE7" s="26">
        <f>IF($Q7="","",IFERROR(INDEX(計算用!$I$2:$I$186,MATCH("女"&amp;$Q7&amp;"-4",計算用!$AS$2:$AS$186,0)),""))</f>
        <v/>
      </c>
    </row>
    <row r="8">
      <c r="A8" s="26">
        <f>IF(ROW()-3&lt;=計算用!$Q$13,ROW()-3,"")</f>
        <v/>
      </c>
      <c r="B8" s="26">
        <f>IF($A8="","",INDEX(計算用!$BB$2:$BB$51,$A8))</f>
        <v/>
      </c>
      <c r="C8" s="26">
        <f>IF($A8="","","赤"&amp;INDEX(計算用!$BC$2:$BC$51,$A8)&amp;"白"&amp;INDEX(計算用!$BD$2:$BD$51,$A8))</f>
        <v/>
      </c>
      <c r="D8">
        <f>IF($A8="","",IFERROR(INDEX(計算用!$D$2:$D$186,MATCH("男"&amp;$A8&amp;"-1",計算用!$AS$2:$AS$186,0)),""))</f>
        <v/>
      </c>
      <c r="E8" s="26">
        <f>IF($A8="","",IFERROR(INDEX(計算用!$M$2:$M$186,MATCH("男"&amp;$A8&amp;"-1",計算用!$AS$2:$AS$186,0)),""))</f>
        <v/>
      </c>
      <c r="F8" s="26">
        <f>IF($A8="","",IFERROR(INDEX(計算用!$I$2:$I$186,MATCH("男"&amp;$A8&amp;"-1",計算用!$AS$2:$AS$186,0)),""))</f>
        <v/>
      </c>
      <c r="G8">
        <f>IF($A8="","",IFERROR(INDEX(計算用!$D$2:$D$186,MATCH("男"&amp;$A8&amp;"-2",計算用!$AS$2:$AS$186,0)),""))</f>
        <v/>
      </c>
      <c r="H8" s="26">
        <f>IF($A8="","",IFERROR(INDEX(計算用!$M$2:$M$186,MATCH("男"&amp;$A8&amp;"-2",計算用!$AS$2:$AS$186,0)),""))</f>
        <v/>
      </c>
      <c r="I8" s="26">
        <f>IF($A8="","",IFERROR(INDEX(計算用!$I$2:$I$186,MATCH("男"&amp;$A8&amp;"-2",計算用!$AS$2:$AS$186,0)),""))</f>
        <v/>
      </c>
      <c r="J8">
        <f>IF($A8="","",IFERROR(INDEX(計算用!$D$2:$D$186,MATCH("男"&amp;$A8&amp;"-3",計算用!$AS$2:$AS$186,0)),""))</f>
        <v/>
      </c>
      <c r="K8" s="26">
        <f>IF($A8="","",IFERROR(INDEX(計算用!$M$2:$M$186,MATCH("男"&amp;$A8&amp;"-3",計算用!$AS$2:$AS$186,0)),""))</f>
        <v/>
      </c>
      <c r="L8" s="26">
        <f>IF($A8="","",IFERROR(INDEX(計算用!$I$2:$I$186,MATCH("男"&amp;$A8&amp;"-3",計算用!$AS$2:$AS$186,0)),""))</f>
        <v/>
      </c>
      <c r="M8">
        <f>IF($A8="","",IFERROR(INDEX(計算用!$D$2:$D$186,MATCH("男"&amp;$A8&amp;"-4",計算用!$AS$2:$AS$186,0)),""))</f>
        <v/>
      </c>
      <c r="N8" s="26">
        <f>IF($A8="","",IFERROR(INDEX(計算用!$M$2:$M$186,MATCH("男"&amp;$A8&amp;"-4",計算用!$AS$2:$AS$186,0)),""))</f>
        <v/>
      </c>
      <c r="O8" s="26">
        <f>IF($A8="","",IFERROR(INDEX(計算用!$I$2:$I$186,MATCH("男"&amp;$A8&amp;"-4",計算用!$AS$2:$AS$186,0)),""))</f>
        <v/>
      </c>
      <c r="Q8" s="26">
        <f>IF(ROW()-3&lt;=計算用!$Q$14,ROW()-3,"")</f>
        <v/>
      </c>
      <c r="R8" s="26">
        <f>IF($Q8="","",INDEX(計算用!$BG$2:$BG$51,$Q8))</f>
        <v/>
      </c>
      <c r="S8" s="26">
        <f>IF($Q8="","","赤"&amp;INDEX(計算用!$BH$2:$BH$51,$Q8)&amp;"白"&amp;INDEX(計算用!$BI$2:$BI$51,$Q8))</f>
        <v/>
      </c>
      <c r="T8">
        <f>IF($Q8="","",IFERROR(INDEX(計算用!$D$2:$D$186,MATCH("女"&amp;$Q8&amp;"-1",計算用!$AS$2:$AS$186,0)),""))</f>
        <v/>
      </c>
      <c r="U8" s="26">
        <f>IF($Q8="","",IFERROR(INDEX(計算用!$M$2:$M$186,MATCH("女"&amp;$Q8&amp;"-1",計算用!$AS$2:$AS$186,0)),""))</f>
        <v/>
      </c>
      <c r="V8" s="26">
        <f>IF($Q8="","",IFERROR(INDEX(計算用!$I$2:$I$186,MATCH("女"&amp;$Q8&amp;"-1",計算用!$AS$2:$AS$186,0)),""))</f>
        <v/>
      </c>
      <c r="W8">
        <f>IF($Q8="","",IFERROR(INDEX(計算用!$D$2:$D$186,MATCH("女"&amp;$Q8&amp;"-2",計算用!$AS$2:$AS$186,0)),""))</f>
        <v/>
      </c>
      <c r="X8" s="26">
        <f>IF($Q8="","",IFERROR(INDEX(計算用!$M$2:$M$186,MATCH("女"&amp;$Q8&amp;"-2",計算用!$AS$2:$AS$186,0)),""))</f>
        <v/>
      </c>
      <c r="Y8" s="26">
        <f>IF($Q8="","",IFERROR(INDEX(計算用!$I$2:$I$186,MATCH("女"&amp;$Q8&amp;"-2",計算用!$AS$2:$AS$186,0)),""))</f>
        <v/>
      </c>
      <c r="Z8">
        <f>IF($Q8="","",IFERROR(INDEX(計算用!$D$2:$D$186,MATCH("女"&amp;$Q8&amp;"-3",計算用!$AS$2:$AS$186,0)),""))</f>
        <v/>
      </c>
      <c r="AA8" s="26">
        <f>IF($Q8="","",IFERROR(INDEX(計算用!$M$2:$M$186,MATCH("女"&amp;$Q8&amp;"-3",計算用!$AS$2:$AS$186,0)),""))</f>
        <v/>
      </c>
      <c r="AB8" s="26">
        <f>IF($Q8="","",IFERROR(INDEX(計算用!$I$2:$I$186,MATCH("女"&amp;$Q8&amp;"-3",計算用!$AS$2:$AS$186,0)),""))</f>
        <v/>
      </c>
      <c r="AC8">
        <f>IF($Q8="","",IFERROR(INDEX(計算用!$D$2:$D$186,MATCH("女"&amp;$Q8&amp;"-4",計算用!$AS$2:$AS$186,0)),""))</f>
        <v/>
      </c>
      <c r="AD8" s="26">
        <f>IF($Q8="","",IFERROR(INDEX(計算用!$M$2:$M$186,MATCH("女"&amp;$Q8&amp;"-4",計算用!$AS$2:$AS$186,0)),""))</f>
        <v/>
      </c>
      <c r="AE8" s="26">
        <f>IF($Q8="","",IFERROR(INDEX(計算用!$I$2:$I$186,MATCH("女"&amp;$Q8&amp;"-4",計算用!$AS$2:$AS$186,0)),""))</f>
        <v/>
      </c>
    </row>
    <row r="9">
      <c r="A9" s="26">
        <f>IF(ROW()-3&lt;=計算用!$Q$13,ROW()-3,"")</f>
        <v/>
      </c>
      <c r="B9" s="26">
        <f>IF($A9="","",INDEX(計算用!$BB$2:$BB$51,$A9))</f>
        <v/>
      </c>
      <c r="C9" s="26">
        <f>IF($A9="","","赤"&amp;INDEX(計算用!$BC$2:$BC$51,$A9)&amp;"白"&amp;INDEX(計算用!$BD$2:$BD$51,$A9))</f>
        <v/>
      </c>
      <c r="D9">
        <f>IF($A9="","",IFERROR(INDEX(計算用!$D$2:$D$186,MATCH("男"&amp;$A9&amp;"-1",計算用!$AS$2:$AS$186,0)),""))</f>
        <v/>
      </c>
      <c r="E9" s="26">
        <f>IF($A9="","",IFERROR(INDEX(計算用!$M$2:$M$186,MATCH("男"&amp;$A9&amp;"-1",計算用!$AS$2:$AS$186,0)),""))</f>
        <v/>
      </c>
      <c r="F9" s="26">
        <f>IF($A9="","",IFERROR(INDEX(計算用!$I$2:$I$186,MATCH("男"&amp;$A9&amp;"-1",計算用!$AS$2:$AS$186,0)),""))</f>
        <v/>
      </c>
      <c r="G9">
        <f>IF($A9="","",IFERROR(INDEX(計算用!$D$2:$D$186,MATCH("男"&amp;$A9&amp;"-2",計算用!$AS$2:$AS$186,0)),""))</f>
        <v/>
      </c>
      <c r="H9" s="26">
        <f>IF($A9="","",IFERROR(INDEX(計算用!$M$2:$M$186,MATCH("男"&amp;$A9&amp;"-2",計算用!$AS$2:$AS$186,0)),""))</f>
        <v/>
      </c>
      <c r="I9" s="26">
        <f>IF($A9="","",IFERROR(INDEX(計算用!$I$2:$I$186,MATCH("男"&amp;$A9&amp;"-2",計算用!$AS$2:$AS$186,0)),""))</f>
        <v/>
      </c>
      <c r="J9">
        <f>IF($A9="","",IFERROR(INDEX(計算用!$D$2:$D$186,MATCH("男"&amp;$A9&amp;"-3",計算用!$AS$2:$AS$186,0)),""))</f>
        <v/>
      </c>
      <c r="K9" s="26">
        <f>IF($A9="","",IFERROR(INDEX(計算用!$M$2:$M$186,MATCH("男"&amp;$A9&amp;"-3",計算用!$AS$2:$AS$186,0)),""))</f>
        <v/>
      </c>
      <c r="L9" s="26">
        <f>IF($A9="","",IFERROR(INDEX(計算用!$I$2:$I$186,MATCH("男"&amp;$A9&amp;"-3",計算用!$AS$2:$AS$186,0)),""))</f>
        <v/>
      </c>
      <c r="M9">
        <f>IF($A9="","",IFERROR(INDEX(計算用!$D$2:$D$186,MATCH("男"&amp;$A9&amp;"-4",計算用!$AS$2:$AS$186,0)),""))</f>
        <v/>
      </c>
      <c r="N9" s="26">
        <f>IF($A9="","",IFERROR(INDEX(計算用!$M$2:$M$186,MATCH("男"&amp;$A9&amp;"-4",計算用!$AS$2:$AS$186,0)),""))</f>
        <v/>
      </c>
      <c r="O9" s="26">
        <f>IF($A9="","",IFERROR(INDEX(計算用!$I$2:$I$186,MATCH("男"&amp;$A9&amp;"-4",計算用!$AS$2:$AS$186,0)),""))</f>
        <v/>
      </c>
      <c r="Q9" s="26">
        <f>IF(ROW()-3&lt;=計算用!$Q$14,ROW()-3,"")</f>
        <v/>
      </c>
      <c r="R9" s="26">
        <f>IF($Q9="","",INDEX(計算用!$BG$2:$BG$51,$Q9))</f>
        <v/>
      </c>
      <c r="S9" s="26">
        <f>IF($Q9="","","赤"&amp;INDEX(計算用!$BH$2:$BH$51,$Q9)&amp;"白"&amp;INDEX(計算用!$BI$2:$BI$51,$Q9))</f>
        <v/>
      </c>
      <c r="T9">
        <f>IF($Q9="","",IFERROR(INDEX(計算用!$D$2:$D$186,MATCH("女"&amp;$Q9&amp;"-1",計算用!$AS$2:$AS$186,0)),""))</f>
        <v/>
      </c>
      <c r="U9" s="26">
        <f>IF($Q9="","",IFERROR(INDEX(計算用!$M$2:$M$186,MATCH("女"&amp;$Q9&amp;"-1",計算用!$AS$2:$AS$186,0)),""))</f>
        <v/>
      </c>
      <c r="V9" s="26">
        <f>IF($Q9="","",IFERROR(INDEX(計算用!$I$2:$I$186,MATCH("女"&amp;$Q9&amp;"-1",計算用!$AS$2:$AS$186,0)),""))</f>
        <v/>
      </c>
      <c r="W9">
        <f>IF($Q9="","",IFERROR(INDEX(計算用!$D$2:$D$186,MATCH("女"&amp;$Q9&amp;"-2",計算用!$AS$2:$AS$186,0)),""))</f>
        <v/>
      </c>
      <c r="X9" s="26">
        <f>IF($Q9="","",IFERROR(INDEX(計算用!$M$2:$M$186,MATCH("女"&amp;$Q9&amp;"-2",計算用!$AS$2:$AS$186,0)),""))</f>
        <v/>
      </c>
      <c r="Y9" s="26">
        <f>IF($Q9="","",IFERROR(INDEX(計算用!$I$2:$I$186,MATCH("女"&amp;$Q9&amp;"-2",計算用!$AS$2:$AS$186,0)),""))</f>
        <v/>
      </c>
      <c r="Z9">
        <f>IF($Q9="","",IFERROR(INDEX(計算用!$D$2:$D$186,MATCH("女"&amp;$Q9&amp;"-3",計算用!$AS$2:$AS$186,0)),""))</f>
        <v/>
      </c>
      <c r="AA9" s="26">
        <f>IF($Q9="","",IFERROR(INDEX(計算用!$M$2:$M$186,MATCH("女"&amp;$Q9&amp;"-3",計算用!$AS$2:$AS$186,0)),""))</f>
        <v/>
      </c>
      <c r="AB9" s="26">
        <f>IF($Q9="","",IFERROR(INDEX(計算用!$I$2:$I$186,MATCH("女"&amp;$Q9&amp;"-3",計算用!$AS$2:$AS$186,0)),""))</f>
        <v/>
      </c>
      <c r="AC9">
        <f>IF($Q9="","",IFERROR(INDEX(計算用!$D$2:$D$186,MATCH("女"&amp;$Q9&amp;"-4",計算用!$AS$2:$AS$186,0)),""))</f>
        <v/>
      </c>
      <c r="AD9" s="26">
        <f>IF($Q9="","",IFERROR(INDEX(計算用!$M$2:$M$186,MATCH("女"&amp;$Q9&amp;"-4",計算用!$AS$2:$AS$186,0)),""))</f>
        <v/>
      </c>
      <c r="AE9" s="26">
        <f>IF($Q9="","",IFERROR(INDEX(計算用!$I$2:$I$186,MATCH("女"&amp;$Q9&amp;"-4",計算用!$AS$2:$AS$186,0)),""))</f>
        <v/>
      </c>
    </row>
    <row r="10">
      <c r="A10" s="26">
        <f>IF(ROW()-3&lt;=計算用!$Q$13,ROW()-3,"")</f>
        <v/>
      </c>
      <c r="B10" s="26">
        <f>IF($A10="","",INDEX(計算用!$BB$2:$BB$51,$A10))</f>
        <v/>
      </c>
      <c r="C10" s="26">
        <f>IF($A10="","","赤"&amp;INDEX(計算用!$BC$2:$BC$51,$A10)&amp;"白"&amp;INDEX(計算用!$BD$2:$BD$51,$A10))</f>
        <v/>
      </c>
      <c r="D10">
        <f>IF($A10="","",IFERROR(INDEX(計算用!$D$2:$D$186,MATCH("男"&amp;$A10&amp;"-1",計算用!$AS$2:$AS$186,0)),""))</f>
        <v/>
      </c>
      <c r="E10" s="26">
        <f>IF($A10="","",IFERROR(INDEX(計算用!$M$2:$M$186,MATCH("男"&amp;$A10&amp;"-1",計算用!$AS$2:$AS$186,0)),""))</f>
        <v/>
      </c>
      <c r="F10" s="26">
        <f>IF($A10="","",IFERROR(INDEX(計算用!$I$2:$I$186,MATCH("男"&amp;$A10&amp;"-1",計算用!$AS$2:$AS$186,0)),""))</f>
        <v/>
      </c>
      <c r="G10">
        <f>IF($A10="","",IFERROR(INDEX(計算用!$D$2:$D$186,MATCH("男"&amp;$A10&amp;"-2",計算用!$AS$2:$AS$186,0)),""))</f>
        <v/>
      </c>
      <c r="H10" s="26">
        <f>IF($A10="","",IFERROR(INDEX(計算用!$M$2:$M$186,MATCH("男"&amp;$A10&amp;"-2",計算用!$AS$2:$AS$186,0)),""))</f>
        <v/>
      </c>
      <c r="I10" s="26">
        <f>IF($A10="","",IFERROR(INDEX(計算用!$I$2:$I$186,MATCH("男"&amp;$A10&amp;"-2",計算用!$AS$2:$AS$186,0)),""))</f>
        <v/>
      </c>
      <c r="J10">
        <f>IF($A10="","",IFERROR(INDEX(計算用!$D$2:$D$186,MATCH("男"&amp;$A10&amp;"-3",計算用!$AS$2:$AS$186,0)),""))</f>
        <v/>
      </c>
      <c r="K10" s="26">
        <f>IF($A10="","",IFERROR(INDEX(計算用!$M$2:$M$186,MATCH("男"&amp;$A10&amp;"-3",計算用!$AS$2:$AS$186,0)),""))</f>
        <v/>
      </c>
      <c r="L10" s="26">
        <f>IF($A10="","",IFERROR(INDEX(計算用!$I$2:$I$186,MATCH("男"&amp;$A10&amp;"-3",計算用!$AS$2:$AS$186,0)),""))</f>
        <v/>
      </c>
      <c r="M10">
        <f>IF($A10="","",IFERROR(INDEX(計算用!$D$2:$D$186,MATCH("男"&amp;$A10&amp;"-4",計算用!$AS$2:$AS$186,0)),""))</f>
        <v/>
      </c>
      <c r="N10" s="26">
        <f>IF($A10="","",IFERROR(INDEX(計算用!$M$2:$M$186,MATCH("男"&amp;$A10&amp;"-4",計算用!$AS$2:$AS$186,0)),""))</f>
        <v/>
      </c>
      <c r="O10" s="26">
        <f>IF($A10="","",IFERROR(INDEX(計算用!$I$2:$I$186,MATCH("男"&amp;$A10&amp;"-4",計算用!$AS$2:$AS$186,0)),""))</f>
        <v/>
      </c>
      <c r="Q10" s="26">
        <f>IF(ROW()-3&lt;=計算用!$Q$14,ROW()-3,"")</f>
        <v/>
      </c>
      <c r="R10" s="26">
        <f>IF($Q10="","",INDEX(計算用!$BG$2:$BG$51,$Q10))</f>
        <v/>
      </c>
      <c r="S10" s="26">
        <f>IF($Q10="","","赤"&amp;INDEX(計算用!$BH$2:$BH$51,$Q10)&amp;"白"&amp;INDEX(計算用!$BI$2:$BI$51,$Q10))</f>
        <v/>
      </c>
      <c r="T10">
        <f>IF($Q10="","",IFERROR(INDEX(計算用!$D$2:$D$186,MATCH("女"&amp;$Q10&amp;"-1",計算用!$AS$2:$AS$186,0)),""))</f>
        <v/>
      </c>
      <c r="U10" s="26">
        <f>IF($Q10="","",IFERROR(INDEX(計算用!$M$2:$M$186,MATCH("女"&amp;$Q10&amp;"-1",計算用!$AS$2:$AS$186,0)),""))</f>
        <v/>
      </c>
      <c r="V10" s="26">
        <f>IF($Q10="","",IFERROR(INDEX(計算用!$I$2:$I$186,MATCH("女"&amp;$Q10&amp;"-1",計算用!$AS$2:$AS$186,0)),""))</f>
        <v/>
      </c>
      <c r="W10">
        <f>IF($Q10="","",IFERROR(INDEX(計算用!$D$2:$D$186,MATCH("女"&amp;$Q10&amp;"-2",計算用!$AS$2:$AS$186,0)),""))</f>
        <v/>
      </c>
      <c r="X10" s="26">
        <f>IF($Q10="","",IFERROR(INDEX(計算用!$M$2:$M$186,MATCH("女"&amp;$Q10&amp;"-2",計算用!$AS$2:$AS$186,0)),""))</f>
        <v/>
      </c>
      <c r="Y10" s="26">
        <f>IF($Q10="","",IFERROR(INDEX(計算用!$I$2:$I$186,MATCH("女"&amp;$Q10&amp;"-2",計算用!$AS$2:$AS$186,0)),""))</f>
        <v/>
      </c>
      <c r="Z10">
        <f>IF($Q10="","",IFERROR(INDEX(計算用!$D$2:$D$186,MATCH("女"&amp;$Q10&amp;"-3",計算用!$AS$2:$AS$186,0)),""))</f>
        <v/>
      </c>
      <c r="AA10" s="26">
        <f>IF($Q10="","",IFERROR(INDEX(計算用!$M$2:$M$186,MATCH("女"&amp;$Q10&amp;"-3",計算用!$AS$2:$AS$186,0)),""))</f>
        <v/>
      </c>
      <c r="AB10" s="26">
        <f>IF($Q10="","",IFERROR(INDEX(計算用!$I$2:$I$186,MATCH("女"&amp;$Q10&amp;"-3",計算用!$AS$2:$AS$186,0)),""))</f>
        <v/>
      </c>
      <c r="AC10">
        <f>IF($Q10="","",IFERROR(INDEX(計算用!$D$2:$D$186,MATCH("女"&amp;$Q10&amp;"-4",計算用!$AS$2:$AS$186,0)),""))</f>
        <v/>
      </c>
      <c r="AD10" s="26">
        <f>IF($Q10="","",IFERROR(INDEX(計算用!$M$2:$M$186,MATCH("女"&amp;$Q10&amp;"-4",計算用!$AS$2:$AS$186,0)),""))</f>
        <v/>
      </c>
      <c r="AE10" s="26">
        <f>IF($Q10="","",IFERROR(INDEX(計算用!$I$2:$I$186,MATCH("女"&amp;$Q10&amp;"-4",計算用!$AS$2:$AS$186,0)),""))</f>
        <v/>
      </c>
    </row>
    <row r="11">
      <c r="A11" s="26">
        <f>IF(ROW()-3&lt;=計算用!$Q$13,ROW()-3,"")</f>
        <v/>
      </c>
      <c r="B11" s="26">
        <f>IF($A11="","",INDEX(計算用!$BB$2:$BB$51,$A11))</f>
        <v/>
      </c>
      <c r="C11" s="26">
        <f>IF($A11="","","赤"&amp;INDEX(計算用!$BC$2:$BC$51,$A11)&amp;"白"&amp;INDEX(計算用!$BD$2:$BD$51,$A11))</f>
        <v/>
      </c>
      <c r="D11">
        <f>IF($A11="","",IFERROR(INDEX(計算用!$D$2:$D$186,MATCH("男"&amp;$A11&amp;"-1",計算用!$AS$2:$AS$186,0)),""))</f>
        <v/>
      </c>
      <c r="E11" s="26">
        <f>IF($A11="","",IFERROR(INDEX(計算用!$M$2:$M$186,MATCH("男"&amp;$A11&amp;"-1",計算用!$AS$2:$AS$186,0)),""))</f>
        <v/>
      </c>
      <c r="F11" s="26">
        <f>IF($A11="","",IFERROR(INDEX(計算用!$I$2:$I$186,MATCH("男"&amp;$A11&amp;"-1",計算用!$AS$2:$AS$186,0)),""))</f>
        <v/>
      </c>
      <c r="G11">
        <f>IF($A11="","",IFERROR(INDEX(計算用!$D$2:$D$186,MATCH("男"&amp;$A11&amp;"-2",計算用!$AS$2:$AS$186,0)),""))</f>
        <v/>
      </c>
      <c r="H11" s="26">
        <f>IF($A11="","",IFERROR(INDEX(計算用!$M$2:$M$186,MATCH("男"&amp;$A11&amp;"-2",計算用!$AS$2:$AS$186,0)),""))</f>
        <v/>
      </c>
      <c r="I11" s="26">
        <f>IF($A11="","",IFERROR(INDEX(計算用!$I$2:$I$186,MATCH("男"&amp;$A11&amp;"-2",計算用!$AS$2:$AS$186,0)),""))</f>
        <v/>
      </c>
      <c r="J11">
        <f>IF($A11="","",IFERROR(INDEX(計算用!$D$2:$D$186,MATCH("男"&amp;$A11&amp;"-3",計算用!$AS$2:$AS$186,0)),""))</f>
        <v/>
      </c>
      <c r="K11" s="26">
        <f>IF($A11="","",IFERROR(INDEX(計算用!$M$2:$M$186,MATCH("男"&amp;$A11&amp;"-3",計算用!$AS$2:$AS$186,0)),""))</f>
        <v/>
      </c>
      <c r="L11" s="26">
        <f>IF($A11="","",IFERROR(INDEX(計算用!$I$2:$I$186,MATCH("男"&amp;$A11&amp;"-3",計算用!$AS$2:$AS$186,0)),""))</f>
        <v/>
      </c>
      <c r="M11">
        <f>IF($A11="","",IFERROR(INDEX(計算用!$D$2:$D$186,MATCH("男"&amp;$A11&amp;"-4",計算用!$AS$2:$AS$186,0)),""))</f>
        <v/>
      </c>
      <c r="N11" s="26">
        <f>IF($A11="","",IFERROR(INDEX(計算用!$M$2:$M$186,MATCH("男"&amp;$A11&amp;"-4",計算用!$AS$2:$AS$186,0)),""))</f>
        <v/>
      </c>
      <c r="O11" s="26">
        <f>IF($A11="","",IFERROR(INDEX(計算用!$I$2:$I$186,MATCH("男"&amp;$A11&amp;"-4",計算用!$AS$2:$AS$186,0)),""))</f>
        <v/>
      </c>
      <c r="Q11" s="26">
        <f>IF(ROW()-3&lt;=計算用!$Q$14,ROW()-3,"")</f>
        <v/>
      </c>
      <c r="R11" s="26">
        <f>IF($Q11="","",INDEX(計算用!$BG$2:$BG$51,$Q11))</f>
        <v/>
      </c>
      <c r="S11" s="26">
        <f>IF($Q11="","","赤"&amp;INDEX(計算用!$BH$2:$BH$51,$Q11)&amp;"白"&amp;INDEX(計算用!$BI$2:$BI$51,$Q11))</f>
        <v/>
      </c>
      <c r="T11">
        <f>IF($Q11="","",IFERROR(INDEX(計算用!$D$2:$D$186,MATCH("女"&amp;$Q11&amp;"-1",計算用!$AS$2:$AS$186,0)),""))</f>
        <v/>
      </c>
      <c r="U11" s="26">
        <f>IF($Q11="","",IFERROR(INDEX(計算用!$M$2:$M$186,MATCH("女"&amp;$Q11&amp;"-1",計算用!$AS$2:$AS$186,0)),""))</f>
        <v/>
      </c>
      <c r="V11" s="26">
        <f>IF($Q11="","",IFERROR(INDEX(計算用!$I$2:$I$186,MATCH("女"&amp;$Q11&amp;"-1",計算用!$AS$2:$AS$186,0)),""))</f>
        <v/>
      </c>
      <c r="W11">
        <f>IF($Q11="","",IFERROR(INDEX(計算用!$D$2:$D$186,MATCH("女"&amp;$Q11&amp;"-2",計算用!$AS$2:$AS$186,0)),""))</f>
        <v/>
      </c>
      <c r="X11" s="26">
        <f>IF($Q11="","",IFERROR(INDEX(計算用!$M$2:$M$186,MATCH("女"&amp;$Q11&amp;"-2",計算用!$AS$2:$AS$186,0)),""))</f>
        <v/>
      </c>
      <c r="Y11" s="26">
        <f>IF($Q11="","",IFERROR(INDEX(計算用!$I$2:$I$186,MATCH("女"&amp;$Q11&amp;"-2",計算用!$AS$2:$AS$186,0)),""))</f>
        <v/>
      </c>
      <c r="Z11">
        <f>IF($Q11="","",IFERROR(INDEX(計算用!$D$2:$D$186,MATCH("女"&amp;$Q11&amp;"-3",計算用!$AS$2:$AS$186,0)),""))</f>
        <v/>
      </c>
      <c r="AA11" s="26">
        <f>IF($Q11="","",IFERROR(INDEX(計算用!$M$2:$M$186,MATCH("女"&amp;$Q11&amp;"-3",計算用!$AS$2:$AS$186,0)),""))</f>
        <v/>
      </c>
      <c r="AB11" s="26">
        <f>IF($Q11="","",IFERROR(INDEX(計算用!$I$2:$I$186,MATCH("女"&amp;$Q11&amp;"-3",計算用!$AS$2:$AS$186,0)),""))</f>
        <v/>
      </c>
      <c r="AC11">
        <f>IF($Q11="","",IFERROR(INDEX(計算用!$D$2:$D$186,MATCH("女"&amp;$Q11&amp;"-4",計算用!$AS$2:$AS$186,0)),""))</f>
        <v/>
      </c>
      <c r="AD11" s="26">
        <f>IF($Q11="","",IFERROR(INDEX(計算用!$M$2:$M$186,MATCH("女"&amp;$Q11&amp;"-4",計算用!$AS$2:$AS$186,0)),""))</f>
        <v/>
      </c>
      <c r="AE11" s="26">
        <f>IF($Q11="","",IFERROR(INDEX(計算用!$I$2:$I$186,MATCH("女"&amp;$Q11&amp;"-4",計算用!$AS$2:$AS$186,0)),""))</f>
        <v/>
      </c>
    </row>
    <row r="12">
      <c r="A12" s="26">
        <f>IF(ROW()-3&lt;=計算用!$Q$13,ROW()-3,"")</f>
        <v/>
      </c>
      <c r="B12" s="26">
        <f>IF($A12="","",INDEX(計算用!$BB$2:$BB$51,$A12))</f>
        <v/>
      </c>
      <c r="C12" s="26">
        <f>IF($A12="","","赤"&amp;INDEX(計算用!$BC$2:$BC$51,$A12)&amp;"白"&amp;INDEX(計算用!$BD$2:$BD$51,$A12))</f>
        <v/>
      </c>
      <c r="D12">
        <f>IF($A12="","",IFERROR(INDEX(計算用!$D$2:$D$186,MATCH("男"&amp;$A12&amp;"-1",計算用!$AS$2:$AS$186,0)),""))</f>
        <v/>
      </c>
      <c r="E12" s="26">
        <f>IF($A12="","",IFERROR(INDEX(計算用!$M$2:$M$186,MATCH("男"&amp;$A12&amp;"-1",計算用!$AS$2:$AS$186,0)),""))</f>
        <v/>
      </c>
      <c r="F12" s="26">
        <f>IF($A12="","",IFERROR(INDEX(計算用!$I$2:$I$186,MATCH("男"&amp;$A12&amp;"-1",計算用!$AS$2:$AS$186,0)),""))</f>
        <v/>
      </c>
      <c r="G12">
        <f>IF($A12="","",IFERROR(INDEX(計算用!$D$2:$D$186,MATCH("男"&amp;$A12&amp;"-2",計算用!$AS$2:$AS$186,0)),""))</f>
        <v/>
      </c>
      <c r="H12" s="26">
        <f>IF($A12="","",IFERROR(INDEX(計算用!$M$2:$M$186,MATCH("男"&amp;$A12&amp;"-2",計算用!$AS$2:$AS$186,0)),""))</f>
        <v/>
      </c>
      <c r="I12" s="26">
        <f>IF($A12="","",IFERROR(INDEX(計算用!$I$2:$I$186,MATCH("男"&amp;$A12&amp;"-2",計算用!$AS$2:$AS$186,0)),""))</f>
        <v/>
      </c>
      <c r="J12">
        <f>IF($A12="","",IFERROR(INDEX(計算用!$D$2:$D$186,MATCH("男"&amp;$A12&amp;"-3",計算用!$AS$2:$AS$186,0)),""))</f>
        <v/>
      </c>
      <c r="K12" s="26">
        <f>IF($A12="","",IFERROR(INDEX(計算用!$M$2:$M$186,MATCH("男"&amp;$A12&amp;"-3",計算用!$AS$2:$AS$186,0)),""))</f>
        <v/>
      </c>
      <c r="L12" s="26">
        <f>IF($A12="","",IFERROR(INDEX(計算用!$I$2:$I$186,MATCH("男"&amp;$A12&amp;"-3",計算用!$AS$2:$AS$186,0)),""))</f>
        <v/>
      </c>
      <c r="M12">
        <f>IF($A12="","",IFERROR(INDEX(計算用!$D$2:$D$186,MATCH("男"&amp;$A12&amp;"-4",計算用!$AS$2:$AS$186,0)),""))</f>
        <v/>
      </c>
      <c r="N12" s="26">
        <f>IF($A12="","",IFERROR(INDEX(計算用!$M$2:$M$186,MATCH("男"&amp;$A12&amp;"-4",計算用!$AS$2:$AS$186,0)),""))</f>
        <v/>
      </c>
      <c r="O12" s="26">
        <f>IF($A12="","",IFERROR(INDEX(計算用!$I$2:$I$186,MATCH("男"&amp;$A12&amp;"-4",計算用!$AS$2:$AS$186,0)),""))</f>
        <v/>
      </c>
      <c r="Q12" s="26">
        <f>IF(ROW()-3&lt;=計算用!$Q$14,ROW()-3,"")</f>
        <v/>
      </c>
      <c r="R12" s="26">
        <f>IF($Q12="","",INDEX(計算用!$BG$2:$BG$51,$Q12))</f>
        <v/>
      </c>
      <c r="S12" s="26">
        <f>IF($Q12="","","赤"&amp;INDEX(計算用!$BH$2:$BH$51,$Q12)&amp;"白"&amp;INDEX(計算用!$BI$2:$BI$51,$Q12))</f>
        <v/>
      </c>
      <c r="T12">
        <f>IF($Q12="","",IFERROR(INDEX(計算用!$D$2:$D$186,MATCH("女"&amp;$Q12&amp;"-1",計算用!$AS$2:$AS$186,0)),""))</f>
        <v/>
      </c>
      <c r="U12" s="26">
        <f>IF($Q12="","",IFERROR(INDEX(計算用!$M$2:$M$186,MATCH("女"&amp;$Q12&amp;"-1",計算用!$AS$2:$AS$186,0)),""))</f>
        <v/>
      </c>
      <c r="V12" s="26">
        <f>IF($Q12="","",IFERROR(INDEX(計算用!$I$2:$I$186,MATCH("女"&amp;$Q12&amp;"-1",計算用!$AS$2:$AS$186,0)),""))</f>
        <v/>
      </c>
      <c r="W12">
        <f>IF($Q12="","",IFERROR(INDEX(計算用!$D$2:$D$186,MATCH("女"&amp;$Q12&amp;"-2",計算用!$AS$2:$AS$186,0)),""))</f>
        <v/>
      </c>
      <c r="X12" s="26">
        <f>IF($Q12="","",IFERROR(INDEX(計算用!$M$2:$M$186,MATCH("女"&amp;$Q12&amp;"-2",計算用!$AS$2:$AS$186,0)),""))</f>
        <v/>
      </c>
      <c r="Y12" s="26">
        <f>IF($Q12="","",IFERROR(INDEX(計算用!$I$2:$I$186,MATCH("女"&amp;$Q12&amp;"-2",計算用!$AS$2:$AS$186,0)),""))</f>
        <v/>
      </c>
      <c r="Z12">
        <f>IF($Q12="","",IFERROR(INDEX(計算用!$D$2:$D$186,MATCH("女"&amp;$Q12&amp;"-3",計算用!$AS$2:$AS$186,0)),""))</f>
        <v/>
      </c>
      <c r="AA12" s="26">
        <f>IF($Q12="","",IFERROR(INDEX(計算用!$M$2:$M$186,MATCH("女"&amp;$Q12&amp;"-3",計算用!$AS$2:$AS$186,0)),""))</f>
        <v/>
      </c>
      <c r="AB12" s="26">
        <f>IF($Q12="","",IFERROR(INDEX(計算用!$I$2:$I$186,MATCH("女"&amp;$Q12&amp;"-3",計算用!$AS$2:$AS$186,0)),""))</f>
        <v/>
      </c>
      <c r="AC12">
        <f>IF($Q12="","",IFERROR(INDEX(計算用!$D$2:$D$186,MATCH("女"&amp;$Q12&amp;"-4",計算用!$AS$2:$AS$186,0)),""))</f>
        <v/>
      </c>
      <c r="AD12" s="26">
        <f>IF($Q12="","",IFERROR(INDEX(計算用!$M$2:$M$186,MATCH("女"&amp;$Q12&amp;"-4",計算用!$AS$2:$AS$186,0)),""))</f>
        <v/>
      </c>
      <c r="AE12" s="26">
        <f>IF($Q12="","",IFERROR(INDEX(計算用!$I$2:$I$186,MATCH("女"&amp;$Q12&amp;"-4",計算用!$AS$2:$AS$186,0)),""))</f>
        <v/>
      </c>
    </row>
    <row r="13">
      <c r="A13" s="26">
        <f>IF(ROW()-3&lt;=計算用!$Q$13,ROW()-3,"")</f>
        <v/>
      </c>
      <c r="B13" s="26">
        <f>IF($A13="","",INDEX(計算用!$BB$2:$BB$51,$A13))</f>
        <v/>
      </c>
      <c r="C13" s="26">
        <f>IF($A13="","","赤"&amp;INDEX(計算用!$BC$2:$BC$51,$A13)&amp;"白"&amp;INDEX(計算用!$BD$2:$BD$51,$A13))</f>
        <v/>
      </c>
      <c r="D13">
        <f>IF($A13="","",IFERROR(INDEX(計算用!$D$2:$D$186,MATCH("男"&amp;$A13&amp;"-1",計算用!$AS$2:$AS$186,0)),""))</f>
        <v/>
      </c>
      <c r="E13" s="26">
        <f>IF($A13="","",IFERROR(INDEX(計算用!$M$2:$M$186,MATCH("男"&amp;$A13&amp;"-1",計算用!$AS$2:$AS$186,0)),""))</f>
        <v/>
      </c>
      <c r="F13" s="26">
        <f>IF($A13="","",IFERROR(INDEX(計算用!$I$2:$I$186,MATCH("男"&amp;$A13&amp;"-1",計算用!$AS$2:$AS$186,0)),""))</f>
        <v/>
      </c>
      <c r="G13">
        <f>IF($A13="","",IFERROR(INDEX(計算用!$D$2:$D$186,MATCH("男"&amp;$A13&amp;"-2",計算用!$AS$2:$AS$186,0)),""))</f>
        <v/>
      </c>
      <c r="H13" s="26">
        <f>IF($A13="","",IFERROR(INDEX(計算用!$M$2:$M$186,MATCH("男"&amp;$A13&amp;"-2",計算用!$AS$2:$AS$186,0)),""))</f>
        <v/>
      </c>
      <c r="I13" s="26">
        <f>IF($A13="","",IFERROR(INDEX(計算用!$I$2:$I$186,MATCH("男"&amp;$A13&amp;"-2",計算用!$AS$2:$AS$186,0)),""))</f>
        <v/>
      </c>
      <c r="J13">
        <f>IF($A13="","",IFERROR(INDEX(計算用!$D$2:$D$186,MATCH("男"&amp;$A13&amp;"-3",計算用!$AS$2:$AS$186,0)),""))</f>
        <v/>
      </c>
      <c r="K13" s="26">
        <f>IF($A13="","",IFERROR(INDEX(計算用!$M$2:$M$186,MATCH("男"&amp;$A13&amp;"-3",計算用!$AS$2:$AS$186,0)),""))</f>
        <v/>
      </c>
      <c r="L13" s="26">
        <f>IF($A13="","",IFERROR(INDEX(計算用!$I$2:$I$186,MATCH("男"&amp;$A13&amp;"-3",計算用!$AS$2:$AS$186,0)),""))</f>
        <v/>
      </c>
      <c r="M13">
        <f>IF($A13="","",IFERROR(INDEX(計算用!$D$2:$D$186,MATCH("男"&amp;$A13&amp;"-4",計算用!$AS$2:$AS$186,0)),""))</f>
        <v/>
      </c>
      <c r="N13" s="26">
        <f>IF($A13="","",IFERROR(INDEX(計算用!$M$2:$M$186,MATCH("男"&amp;$A13&amp;"-4",計算用!$AS$2:$AS$186,0)),""))</f>
        <v/>
      </c>
      <c r="O13" s="26">
        <f>IF($A13="","",IFERROR(INDEX(計算用!$I$2:$I$186,MATCH("男"&amp;$A13&amp;"-4",計算用!$AS$2:$AS$186,0)),""))</f>
        <v/>
      </c>
      <c r="Q13" s="26">
        <f>IF(ROW()-3&lt;=計算用!$Q$14,ROW()-3,"")</f>
        <v/>
      </c>
      <c r="R13" s="26">
        <f>IF($Q13="","",INDEX(計算用!$BG$2:$BG$51,$Q13))</f>
        <v/>
      </c>
      <c r="S13" s="26">
        <f>IF($Q13="","","赤"&amp;INDEX(計算用!$BH$2:$BH$51,$Q13)&amp;"白"&amp;INDEX(計算用!$BI$2:$BI$51,$Q13))</f>
        <v/>
      </c>
      <c r="T13">
        <f>IF($Q13="","",IFERROR(INDEX(計算用!$D$2:$D$186,MATCH("女"&amp;$Q13&amp;"-1",計算用!$AS$2:$AS$186,0)),""))</f>
        <v/>
      </c>
      <c r="U13" s="26">
        <f>IF($Q13="","",IFERROR(INDEX(計算用!$M$2:$M$186,MATCH("女"&amp;$Q13&amp;"-1",計算用!$AS$2:$AS$186,0)),""))</f>
        <v/>
      </c>
      <c r="V13" s="26">
        <f>IF($Q13="","",IFERROR(INDEX(計算用!$I$2:$I$186,MATCH("女"&amp;$Q13&amp;"-1",計算用!$AS$2:$AS$186,0)),""))</f>
        <v/>
      </c>
      <c r="W13">
        <f>IF($Q13="","",IFERROR(INDEX(計算用!$D$2:$D$186,MATCH("女"&amp;$Q13&amp;"-2",計算用!$AS$2:$AS$186,0)),""))</f>
        <v/>
      </c>
      <c r="X13" s="26">
        <f>IF($Q13="","",IFERROR(INDEX(計算用!$M$2:$M$186,MATCH("女"&amp;$Q13&amp;"-2",計算用!$AS$2:$AS$186,0)),""))</f>
        <v/>
      </c>
      <c r="Y13" s="26">
        <f>IF($Q13="","",IFERROR(INDEX(計算用!$I$2:$I$186,MATCH("女"&amp;$Q13&amp;"-2",計算用!$AS$2:$AS$186,0)),""))</f>
        <v/>
      </c>
      <c r="Z13">
        <f>IF($Q13="","",IFERROR(INDEX(計算用!$D$2:$D$186,MATCH("女"&amp;$Q13&amp;"-3",計算用!$AS$2:$AS$186,0)),""))</f>
        <v/>
      </c>
      <c r="AA13" s="26">
        <f>IF($Q13="","",IFERROR(INDEX(計算用!$M$2:$M$186,MATCH("女"&amp;$Q13&amp;"-3",計算用!$AS$2:$AS$186,0)),""))</f>
        <v/>
      </c>
      <c r="AB13" s="26">
        <f>IF($Q13="","",IFERROR(INDEX(計算用!$I$2:$I$186,MATCH("女"&amp;$Q13&amp;"-3",計算用!$AS$2:$AS$186,0)),""))</f>
        <v/>
      </c>
      <c r="AC13">
        <f>IF($Q13="","",IFERROR(INDEX(計算用!$D$2:$D$186,MATCH("女"&amp;$Q13&amp;"-4",計算用!$AS$2:$AS$186,0)),""))</f>
        <v/>
      </c>
      <c r="AD13" s="26">
        <f>IF($Q13="","",IFERROR(INDEX(計算用!$M$2:$M$186,MATCH("女"&amp;$Q13&amp;"-4",計算用!$AS$2:$AS$186,0)),""))</f>
        <v/>
      </c>
      <c r="AE13" s="26">
        <f>IF($Q13="","",IFERROR(INDEX(計算用!$I$2:$I$186,MATCH("女"&amp;$Q13&amp;"-4",計算用!$AS$2:$AS$186,0)),""))</f>
        <v/>
      </c>
    </row>
    <row r="14">
      <c r="A14" s="26">
        <f>IF(ROW()-3&lt;=計算用!$Q$13,ROW()-3,"")</f>
        <v/>
      </c>
      <c r="B14" s="26">
        <f>IF($A14="","",INDEX(計算用!$BB$2:$BB$51,$A14))</f>
        <v/>
      </c>
      <c r="C14" s="26">
        <f>IF($A14="","","赤"&amp;INDEX(計算用!$BC$2:$BC$51,$A14)&amp;"白"&amp;INDEX(計算用!$BD$2:$BD$51,$A14))</f>
        <v/>
      </c>
      <c r="D14">
        <f>IF($A14="","",IFERROR(INDEX(計算用!$D$2:$D$186,MATCH("男"&amp;$A14&amp;"-1",計算用!$AS$2:$AS$186,0)),""))</f>
        <v/>
      </c>
      <c r="E14" s="26">
        <f>IF($A14="","",IFERROR(INDEX(計算用!$M$2:$M$186,MATCH("男"&amp;$A14&amp;"-1",計算用!$AS$2:$AS$186,0)),""))</f>
        <v/>
      </c>
      <c r="F14" s="26">
        <f>IF($A14="","",IFERROR(INDEX(計算用!$I$2:$I$186,MATCH("男"&amp;$A14&amp;"-1",計算用!$AS$2:$AS$186,0)),""))</f>
        <v/>
      </c>
      <c r="G14">
        <f>IF($A14="","",IFERROR(INDEX(計算用!$D$2:$D$186,MATCH("男"&amp;$A14&amp;"-2",計算用!$AS$2:$AS$186,0)),""))</f>
        <v/>
      </c>
      <c r="H14" s="26">
        <f>IF($A14="","",IFERROR(INDEX(計算用!$M$2:$M$186,MATCH("男"&amp;$A14&amp;"-2",計算用!$AS$2:$AS$186,0)),""))</f>
        <v/>
      </c>
      <c r="I14" s="26">
        <f>IF($A14="","",IFERROR(INDEX(計算用!$I$2:$I$186,MATCH("男"&amp;$A14&amp;"-2",計算用!$AS$2:$AS$186,0)),""))</f>
        <v/>
      </c>
      <c r="J14">
        <f>IF($A14="","",IFERROR(INDEX(計算用!$D$2:$D$186,MATCH("男"&amp;$A14&amp;"-3",計算用!$AS$2:$AS$186,0)),""))</f>
        <v/>
      </c>
      <c r="K14" s="26">
        <f>IF($A14="","",IFERROR(INDEX(計算用!$M$2:$M$186,MATCH("男"&amp;$A14&amp;"-3",計算用!$AS$2:$AS$186,0)),""))</f>
        <v/>
      </c>
      <c r="L14" s="26">
        <f>IF($A14="","",IFERROR(INDEX(計算用!$I$2:$I$186,MATCH("男"&amp;$A14&amp;"-3",計算用!$AS$2:$AS$186,0)),""))</f>
        <v/>
      </c>
      <c r="M14">
        <f>IF($A14="","",IFERROR(INDEX(計算用!$D$2:$D$186,MATCH("男"&amp;$A14&amp;"-4",計算用!$AS$2:$AS$186,0)),""))</f>
        <v/>
      </c>
      <c r="N14" s="26">
        <f>IF($A14="","",IFERROR(INDEX(計算用!$M$2:$M$186,MATCH("男"&amp;$A14&amp;"-4",計算用!$AS$2:$AS$186,0)),""))</f>
        <v/>
      </c>
      <c r="O14" s="26">
        <f>IF($A14="","",IFERROR(INDEX(計算用!$I$2:$I$186,MATCH("男"&amp;$A14&amp;"-4",計算用!$AS$2:$AS$186,0)),""))</f>
        <v/>
      </c>
      <c r="Q14" s="26">
        <f>IF(ROW()-3&lt;=計算用!$Q$14,ROW()-3,"")</f>
        <v/>
      </c>
      <c r="R14" s="26">
        <f>IF($Q14="","",INDEX(計算用!$BG$2:$BG$51,$Q14))</f>
        <v/>
      </c>
      <c r="S14" s="26">
        <f>IF($Q14="","","赤"&amp;INDEX(計算用!$BH$2:$BH$51,$Q14)&amp;"白"&amp;INDEX(計算用!$BI$2:$BI$51,$Q14))</f>
        <v/>
      </c>
      <c r="T14">
        <f>IF($Q14="","",IFERROR(INDEX(計算用!$D$2:$D$186,MATCH("女"&amp;$Q14&amp;"-1",計算用!$AS$2:$AS$186,0)),""))</f>
        <v/>
      </c>
      <c r="U14" s="26">
        <f>IF($Q14="","",IFERROR(INDEX(計算用!$M$2:$M$186,MATCH("女"&amp;$Q14&amp;"-1",計算用!$AS$2:$AS$186,0)),""))</f>
        <v/>
      </c>
      <c r="V14" s="26">
        <f>IF($Q14="","",IFERROR(INDEX(計算用!$I$2:$I$186,MATCH("女"&amp;$Q14&amp;"-1",計算用!$AS$2:$AS$186,0)),""))</f>
        <v/>
      </c>
      <c r="W14">
        <f>IF($Q14="","",IFERROR(INDEX(計算用!$D$2:$D$186,MATCH("女"&amp;$Q14&amp;"-2",計算用!$AS$2:$AS$186,0)),""))</f>
        <v/>
      </c>
      <c r="X14" s="26">
        <f>IF($Q14="","",IFERROR(INDEX(計算用!$M$2:$M$186,MATCH("女"&amp;$Q14&amp;"-2",計算用!$AS$2:$AS$186,0)),""))</f>
        <v/>
      </c>
      <c r="Y14" s="26">
        <f>IF($Q14="","",IFERROR(INDEX(計算用!$I$2:$I$186,MATCH("女"&amp;$Q14&amp;"-2",計算用!$AS$2:$AS$186,0)),""))</f>
        <v/>
      </c>
      <c r="Z14">
        <f>IF($Q14="","",IFERROR(INDEX(計算用!$D$2:$D$186,MATCH("女"&amp;$Q14&amp;"-3",計算用!$AS$2:$AS$186,0)),""))</f>
        <v/>
      </c>
      <c r="AA14" s="26">
        <f>IF($Q14="","",IFERROR(INDEX(計算用!$M$2:$M$186,MATCH("女"&amp;$Q14&amp;"-3",計算用!$AS$2:$AS$186,0)),""))</f>
        <v/>
      </c>
      <c r="AB14" s="26">
        <f>IF($Q14="","",IFERROR(INDEX(計算用!$I$2:$I$186,MATCH("女"&amp;$Q14&amp;"-3",計算用!$AS$2:$AS$186,0)),""))</f>
        <v/>
      </c>
      <c r="AC14">
        <f>IF($Q14="","",IFERROR(INDEX(計算用!$D$2:$D$186,MATCH("女"&amp;$Q14&amp;"-4",計算用!$AS$2:$AS$186,0)),""))</f>
        <v/>
      </c>
      <c r="AD14" s="26">
        <f>IF($Q14="","",IFERROR(INDEX(計算用!$M$2:$M$186,MATCH("女"&amp;$Q14&amp;"-4",計算用!$AS$2:$AS$186,0)),""))</f>
        <v/>
      </c>
      <c r="AE14" s="26">
        <f>IF($Q14="","",IFERROR(INDEX(計算用!$I$2:$I$186,MATCH("女"&amp;$Q14&amp;"-4",計算用!$AS$2:$AS$186,0)),""))</f>
        <v/>
      </c>
    </row>
    <row r="15">
      <c r="A15" s="26">
        <f>IF(ROW()-3&lt;=計算用!$Q$13,ROW()-3,"")</f>
        <v/>
      </c>
      <c r="B15" s="26">
        <f>IF($A15="","",INDEX(計算用!$BB$2:$BB$51,$A15))</f>
        <v/>
      </c>
      <c r="C15" s="26">
        <f>IF($A15="","","赤"&amp;INDEX(計算用!$BC$2:$BC$51,$A15)&amp;"白"&amp;INDEX(計算用!$BD$2:$BD$51,$A15))</f>
        <v/>
      </c>
      <c r="D15">
        <f>IF($A15="","",IFERROR(INDEX(計算用!$D$2:$D$186,MATCH("男"&amp;$A15&amp;"-1",計算用!$AS$2:$AS$186,0)),""))</f>
        <v/>
      </c>
      <c r="E15" s="26">
        <f>IF($A15="","",IFERROR(INDEX(計算用!$M$2:$M$186,MATCH("男"&amp;$A15&amp;"-1",計算用!$AS$2:$AS$186,0)),""))</f>
        <v/>
      </c>
      <c r="F15" s="26">
        <f>IF($A15="","",IFERROR(INDEX(計算用!$I$2:$I$186,MATCH("男"&amp;$A15&amp;"-1",計算用!$AS$2:$AS$186,0)),""))</f>
        <v/>
      </c>
      <c r="G15">
        <f>IF($A15="","",IFERROR(INDEX(計算用!$D$2:$D$186,MATCH("男"&amp;$A15&amp;"-2",計算用!$AS$2:$AS$186,0)),""))</f>
        <v/>
      </c>
      <c r="H15" s="26">
        <f>IF($A15="","",IFERROR(INDEX(計算用!$M$2:$M$186,MATCH("男"&amp;$A15&amp;"-2",計算用!$AS$2:$AS$186,0)),""))</f>
        <v/>
      </c>
      <c r="I15" s="26">
        <f>IF($A15="","",IFERROR(INDEX(計算用!$I$2:$I$186,MATCH("男"&amp;$A15&amp;"-2",計算用!$AS$2:$AS$186,0)),""))</f>
        <v/>
      </c>
      <c r="J15">
        <f>IF($A15="","",IFERROR(INDEX(計算用!$D$2:$D$186,MATCH("男"&amp;$A15&amp;"-3",計算用!$AS$2:$AS$186,0)),""))</f>
        <v/>
      </c>
      <c r="K15" s="26">
        <f>IF($A15="","",IFERROR(INDEX(計算用!$M$2:$M$186,MATCH("男"&amp;$A15&amp;"-3",計算用!$AS$2:$AS$186,0)),""))</f>
        <v/>
      </c>
      <c r="L15" s="26">
        <f>IF($A15="","",IFERROR(INDEX(計算用!$I$2:$I$186,MATCH("男"&amp;$A15&amp;"-3",計算用!$AS$2:$AS$186,0)),""))</f>
        <v/>
      </c>
      <c r="M15">
        <f>IF($A15="","",IFERROR(INDEX(計算用!$D$2:$D$186,MATCH("男"&amp;$A15&amp;"-4",計算用!$AS$2:$AS$186,0)),""))</f>
        <v/>
      </c>
      <c r="N15" s="26">
        <f>IF($A15="","",IFERROR(INDEX(計算用!$M$2:$M$186,MATCH("男"&amp;$A15&amp;"-4",計算用!$AS$2:$AS$186,0)),""))</f>
        <v/>
      </c>
      <c r="O15" s="26">
        <f>IF($A15="","",IFERROR(INDEX(計算用!$I$2:$I$186,MATCH("男"&amp;$A15&amp;"-4",計算用!$AS$2:$AS$186,0)),""))</f>
        <v/>
      </c>
      <c r="Q15" s="26">
        <f>IF(ROW()-3&lt;=計算用!$Q$14,ROW()-3,"")</f>
        <v/>
      </c>
      <c r="R15" s="26">
        <f>IF($Q15="","",INDEX(計算用!$BG$2:$BG$51,$Q15))</f>
        <v/>
      </c>
      <c r="S15" s="26">
        <f>IF($Q15="","","赤"&amp;INDEX(計算用!$BH$2:$BH$51,$Q15)&amp;"白"&amp;INDEX(計算用!$BI$2:$BI$51,$Q15))</f>
        <v/>
      </c>
      <c r="T15">
        <f>IF($Q15="","",IFERROR(INDEX(計算用!$D$2:$D$186,MATCH("女"&amp;$Q15&amp;"-1",計算用!$AS$2:$AS$186,0)),""))</f>
        <v/>
      </c>
      <c r="U15" s="26">
        <f>IF($Q15="","",IFERROR(INDEX(計算用!$M$2:$M$186,MATCH("女"&amp;$Q15&amp;"-1",計算用!$AS$2:$AS$186,0)),""))</f>
        <v/>
      </c>
      <c r="V15" s="26">
        <f>IF($Q15="","",IFERROR(INDEX(計算用!$I$2:$I$186,MATCH("女"&amp;$Q15&amp;"-1",計算用!$AS$2:$AS$186,0)),""))</f>
        <v/>
      </c>
      <c r="W15">
        <f>IF($Q15="","",IFERROR(INDEX(計算用!$D$2:$D$186,MATCH("女"&amp;$Q15&amp;"-2",計算用!$AS$2:$AS$186,0)),""))</f>
        <v/>
      </c>
      <c r="X15" s="26">
        <f>IF($Q15="","",IFERROR(INDEX(計算用!$M$2:$M$186,MATCH("女"&amp;$Q15&amp;"-2",計算用!$AS$2:$AS$186,0)),""))</f>
        <v/>
      </c>
      <c r="Y15" s="26">
        <f>IF($Q15="","",IFERROR(INDEX(計算用!$I$2:$I$186,MATCH("女"&amp;$Q15&amp;"-2",計算用!$AS$2:$AS$186,0)),""))</f>
        <v/>
      </c>
      <c r="Z15">
        <f>IF($Q15="","",IFERROR(INDEX(計算用!$D$2:$D$186,MATCH("女"&amp;$Q15&amp;"-3",計算用!$AS$2:$AS$186,0)),""))</f>
        <v/>
      </c>
      <c r="AA15" s="26">
        <f>IF($Q15="","",IFERROR(INDEX(計算用!$M$2:$M$186,MATCH("女"&amp;$Q15&amp;"-3",計算用!$AS$2:$AS$186,0)),""))</f>
        <v/>
      </c>
      <c r="AB15" s="26">
        <f>IF($Q15="","",IFERROR(INDEX(計算用!$I$2:$I$186,MATCH("女"&amp;$Q15&amp;"-3",計算用!$AS$2:$AS$186,0)),""))</f>
        <v/>
      </c>
      <c r="AC15">
        <f>IF($Q15="","",IFERROR(INDEX(計算用!$D$2:$D$186,MATCH("女"&amp;$Q15&amp;"-4",計算用!$AS$2:$AS$186,0)),""))</f>
        <v/>
      </c>
      <c r="AD15" s="26">
        <f>IF($Q15="","",IFERROR(INDEX(計算用!$M$2:$M$186,MATCH("女"&amp;$Q15&amp;"-4",計算用!$AS$2:$AS$186,0)),""))</f>
        <v/>
      </c>
      <c r="AE15" s="26">
        <f>IF($Q15="","",IFERROR(INDEX(計算用!$I$2:$I$186,MATCH("女"&amp;$Q15&amp;"-4",計算用!$AS$2:$AS$186,0)),""))</f>
        <v/>
      </c>
    </row>
    <row r="16">
      <c r="A16" s="26">
        <f>IF(ROW()-3&lt;=計算用!$Q$13,ROW()-3,"")</f>
        <v/>
      </c>
      <c r="B16" s="26">
        <f>IF($A16="","",INDEX(計算用!$BB$2:$BB$51,$A16))</f>
        <v/>
      </c>
      <c r="C16" s="26">
        <f>IF($A16="","","赤"&amp;INDEX(計算用!$BC$2:$BC$51,$A16)&amp;"白"&amp;INDEX(計算用!$BD$2:$BD$51,$A16))</f>
        <v/>
      </c>
      <c r="D16">
        <f>IF($A16="","",IFERROR(INDEX(計算用!$D$2:$D$186,MATCH("男"&amp;$A16&amp;"-1",計算用!$AS$2:$AS$186,0)),""))</f>
        <v/>
      </c>
      <c r="E16" s="26">
        <f>IF($A16="","",IFERROR(INDEX(計算用!$M$2:$M$186,MATCH("男"&amp;$A16&amp;"-1",計算用!$AS$2:$AS$186,0)),""))</f>
        <v/>
      </c>
      <c r="F16" s="26">
        <f>IF($A16="","",IFERROR(INDEX(計算用!$I$2:$I$186,MATCH("男"&amp;$A16&amp;"-1",計算用!$AS$2:$AS$186,0)),""))</f>
        <v/>
      </c>
      <c r="G16">
        <f>IF($A16="","",IFERROR(INDEX(計算用!$D$2:$D$186,MATCH("男"&amp;$A16&amp;"-2",計算用!$AS$2:$AS$186,0)),""))</f>
        <v/>
      </c>
      <c r="H16" s="26">
        <f>IF($A16="","",IFERROR(INDEX(計算用!$M$2:$M$186,MATCH("男"&amp;$A16&amp;"-2",計算用!$AS$2:$AS$186,0)),""))</f>
        <v/>
      </c>
      <c r="I16" s="26">
        <f>IF($A16="","",IFERROR(INDEX(計算用!$I$2:$I$186,MATCH("男"&amp;$A16&amp;"-2",計算用!$AS$2:$AS$186,0)),""))</f>
        <v/>
      </c>
      <c r="J16">
        <f>IF($A16="","",IFERROR(INDEX(計算用!$D$2:$D$186,MATCH("男"&amp;$A16&amp;"-3",計算用!$AS$2:$AS$186,0)),""))</f>
        <v/>
      </c>
      <c r="K16" s="26">
        <f>IF($A16="","",IFERROR(INDEX(計算用!$M$2:$M$186,MATCH("男"&amp;$A16&amp;"-3",計算用!$AS$2:$AS$186,0)),""))</f>
        <v/>
      </c>
      <c r="L16" s="26">
        <f>IF($A16="","",IFERROR(INDEX(計算用!$I$2:$I$186,MATCH("男"&amp;$A16&amp;"-3",計算用!$AS$2:$AS$186,0)),""))</f>
        <v/>
      </c>
      <c r="M16">
        <f>IF($A16="","",IFERROR(INDEX(計算用!$D$2:$D$186,MATCH("男"&amp;$A16&amp;"-4",計算用!$AS$2:$AS$186,0)),""))</f>
        <v/>
      </c>
      <c r="N16" s="26">
        <f>IF($A16="","",IFERROR(INDEX(計算用!$M$2:$M$186,MATCH("男"&amp;$A16&amp;"-4",計算用!$AS$2:$AS$186,0)),""))</f>
        <v/>
      </c>
      <c r="O16" s="26">
        <f>IF($A16="","",IFERROR(INDEX(計算用!$I$2:$I$186,MATCH("男"&amp;$A16&amp;"-4",計算用!$AS$2:$AS$186,0)),""))</f>
        <v/>
      </c>
      <c r="Q16" s="26">
        <f>IF(ROW()-3&lt;=計算用!$Q$14,ROW()-3,"")</f>
        <v/>
      </c>
      <c r="R16" s="26">
        <f>IF($Q16="","",INDEX(計算用!$BG$2:$BG$51,$Q16))</f>
        <v/>
      </c>
      <c r="S16" s="26">
        <f>IF($Q16="","","赤"&amp;INDEX(計算用!$BH$2:$BH$51,$Q16)&amp;"白"&amp;INDEX(計算用!$BI$2:$BI$51,$Q16))</f>
        <v/>
      </c>
      <c r="T16">
        <f>IF($Q16="","",IFERROR(INDEX(計算用!$D$2:$D$186,MATCH("女"&amp;$Q16&amp;"-1",計算用!$AS$2:$AS$186,0)),""))</f>
        <v/>
      </c>
      <c r="U16" s="26">
        <f>IF($Q16="","",IFERROR(INDEX(計算用!$M$2:$M$186,MATCH("女"&amp;$Q16&amp;"-1",計算用!$AS$2:$AS$186,0)),""))</f>
        <v/>
      </c>
      <c r="V16" s="26">
        <f>IF($Q16="","",IFERROR(INDEX(計算用!$I$2:$I$186,MATCH("女"&amp;$Q16&amp;"-1",計算用!$AS$2:$AS$186,0)),""))</f>
        <v/>
      </c>
      <c r="W16">
        <f>IF($Q16="","",IFERROR(INDEX(計算用!$D$2:$D$186,MATCH("女"&amp;$Q16&amp;"-2",計算用!$AS$2:$AS$186,0)),""))</f>
        <v/>
      </c>
      <c r="X16" s="26">
        <f>IF($Q16="","",IFERROR(INDEX(計算用!$M$2:$M$186,MATCH("女"&amp;$Q16&amp;"-2",計算用!$AS$2:$AS$186,0)),""))</f>
        <v/>
      </c>
      <c r="Y16" s="26">
        <f>IF($Q16="","",IFERROR(INDEX(計算用!$I$2:$I$186,MATCH("女"&amp;$Q16&amp;"-2",計算用!$AS$2:$AS$186,0)),""))</f>
        <v/>
      </c>
      <c r="Z16">
        <f>IF($Q16="","",IFERROR(INDEX(計算用!$D$2:$D$186,MATCH("女"&amp;$Q16&amp;"-3",計算用!$AS$2:$AS$186,0)),""))</f>
        <v/>
      </c>
      <c r="AA16" s="26">
        <f>IF($Q16="","",IFERROR(INDEX(計算用!$M$2:$M$186,MATCH("女"&amp;$Q16&amp;"-3",計算用!$AS$2:$AS$186,0)),""))</f>
        <v/>
      </c>
      <c r="AB16" s="26">
        <f>IF($Q16="","",IFERROR(INDEX(計算用!$I$2:$I$186,MATCH("女"&amp;$Q16&amp;"-3",計算用!$AS$2:$AS$186,0)),""))</f>
        <v/>
      </c>
      <c r="AC16">
        <f>IF($Q16="","",IFERROR(INDEX(計算用!$D$2:$D$186,MATCH("女"&amp;$Q16&amp;"-4",計算用!$AS$2:$AS$186,0)),""))</f>
        <v/>
      </c>
      <c r="AD16" s="26">
        <f>IF($Q16="","",IFERROR(INDEX(計算用!$M$2:$M$186,MATCH("女"&amp;$Q16&amp;"-4",計算用!$AS$2:$AS$186,0)),""))</f>
        <v/>
      </c>
      <c r="AE16" s="26">
        <f>IF($Q16="","",IFERROR(INDEX(計算用!$I$2:$I$186,MATCH("女"&amp;$Q16&amp;"-4",計算用!$AS$2:$AS$186,0)),""))</f>
        <v/>
      </c>
    </row>
    <row r="17">
      <c r="A17" s="26">
        <f>IF(ROW()-3&lt;=計算用!$Q$13,ROW()-3,"")</f>
        <v/>
      </c>
      <c r="B17" s="26">
        <f>IF($A17="","",INDEX(計算用!$BB$2:$BB$51,$A17))</f>
        <v/>
      </c>
      <c r="C17" s="26">
        <f>IF($A17="","","赤"&amp;INDEX(計算用!$BC$2:$BC$51,$A17)&amp;"白"&amp;INDEX(計算用!$BD$2:$BD$51,$A17))</f>
        <v/>
      </c>
      <c r="D17">
        <f>IF($A17="","",IFERROR(INDEX(計算用!$D$2:$D$186,MATCH("男"&amp;$A17&amp;"-1",計算用!$AS$2:$AS$186,0)),""))</f>
        <v/>
      </c>
      <c r="E17" s="26">
        <f>IF($A17="","",IFERROR(INDEX(計算用!$M$2:$M$186,MATCH("男"&amp;$A17&amp;"-1",計算用!$AS$2:$AS$186,0)),""))</f>
        <v/>
      </c>
      <c r="F17" s="26">
        <f>IF($A17="","",IFERROR(INDEX(計算用!$I$2:$I$186,MATCH("男"&amp;$A17&amp;"-1",計算用!$AS$2:$AS$186,0)),""))</f>
        <v/>
      </c>
      <c r="G17">
        <f>IF($A17="","",IFERROR(INDEX(計算用!$D$2:$D$186,MATCH("男"&amp;$A17&amp;"-2",計算用!$AS$2:$AS$186,0)),""))</f>
        <v/>
      </c>
      <c r="H17" s="26">
        <f>IF($A17="","",IFERROR(INDEX(計算用!$M$2:$M$186,MATCH("男"&amp;$A17&amp;"-2",計算用!$AS$2:$AS$186,0)),""))</f>
        <v/>
      </c>
      <c r="I17" s="26">
        <f>IF($A17="","",IFERROR(INDEX(計算用!$I$2:$I$186,MATCH("男"&amp;$A17&amp;"-2",計算用!$AS$2:$AS$186,0)),""))</f>
        <v/>
      </c>
      <c r="J17">
        <f>IF($A17="","",IFERROR(INDEX(計算用!$D$2:$D$186,MATCH("男"&amp;$A17&amp;"-3",計算用!$AS$2:$AS$186,0)),""))</f>
        <v/>
      </c>
      <c r="K17" s="26">
        <f>IF($A17="","",IFERROR(INDEX(計算用!$M$2:$M$186,MATCH("男"&amp;$A17&amp;"-3",計算用!$AS$2:$AS$186,0)),""))</f>
        <v/>
      </c>
      <c r="L17" s="26">
        <f>IF($A17="","",IFERROR(INDEX(計算用!$I$2:$I$186,MATCH("男"&amp;$A17&amp;"-3",計算用!$AS$2:$AS$186,0)),""))</f>
        <v/>
      </c>
      <c r="M17">
        <f>IF($A17="","",IFERROR(INDEX(計算用!$D$2:$D$186,MATCH("男"&amp;$A17&amp;"-4",計算用!$AS$2:$AS$186,0)),""))</f>
        <v/>
      </c>
      <c r="N17" s="26">
        <f>IF($A17="","",IFERROR(INDEX(計算用!$M$2:$M$186,MATCH("男"&amp;$A17&amp;"-4",計算用!$AS$2:$AS$186,0)),""))</f>
        <v/>
      </c>
      <c r="O17" s="26">
        <f>IF($A17="","",IFERROR(INDEX(計算用!$I$2:$I$186,MATCH("男"&amp;$A17&amp;"-4",計算用!$AS$2:$AS$186,0)),""))</f>
        <v/>
      </c>
      <c r="Q17" s="26">
        <f>IF(ROW()-3&lt;=計算用!$Q$14,ROW()-3,"")</f>
        <v/>
      </c>
      <c r="R17" s="26">
        <f>IF($Q17="","",INDEX(計算用!$BG$2:$BG$51,$Q17))</f>
        <v/>
      </c>
      <c r="S17" s="26">
        <f>IF($Q17="","","赤"&amp;INDEX(計算用!$BH$2:$BH$51,$Q17)&amp;"白"&amp;INDEX(計算用!$BI$2:$BI$51,$Q17))</f>
        <v/>
      </c>
      <c r="T17">
        <f>IF($Q17="","",IFERROR(INDEX(計算用!$D$2:$D$186,MATCH("女"&amp;$Q17&amp;"-1",計算用!$AS$2:$AS$186,0)),""))</f>
        <v/>
      </c>
      <c r="U17" s="26">
        <f>IF($Q17="","",IFERROR(INDEX(計算用!$M$2:$M$186,MATCH("女"&amp;$Q17&amp;"-1",計算用!$AS$2:$AS$186,0)),""))</f>
        <v/>
      </c>
      <c r="V17" s="26">
        <f>IF($Q17="","",IFERROR(INDEX(計算用!$I$2:$I$186,MATCH("女"&amp;$Q17&amp;"-1",計算用!$AS$2:$AS$186,0)),""))</f>
        <v/>
      </c>
      <c r="W17">
        <f>IF($Q17="","",IFERROR(INDEX(計算用!$D$2:$D$186,MATCH("女"&amp;$Q17&amp;"-2",計算用!$AS$2:$AS$186,0)),""))</f>
        <v/>
      </c>
      <c r="X17" s="26">
        <f>IF($Q17="","",IFERROR(INDEX(計算用!$M$2:$M$186,MATCH("女"&amp;$Q17&amp;"-2",計算用!$AS$2:$AS$186,0)),""))</f>
        <v/>
      </c>
      <c r="Y17" s="26">
        <f>IF($Q17="","",IFERROR(INDEX(計算用!$I$2:$I$186,MATCH("女"&amp;$Q17&amp;"-2",計算用!$AS$2:$AS$186,0)),""))</f>
        <v/>
      </c>
      <c r="Z17">
        <f>IF($Q17="","",IFERROR(INDEX(計算用!$D$2:$D$186,MATCH("女"&amp;$Q17&amp;"-3",計算用!$AS$2:$AS$186,0)),""))</f>
        <v/>
      </c>
      <c r="AA17" s="26">
        <f>IF($Q17="","",IFERROR(INDEX(計算用!$M$2:$M$186,MATCH("女"&amp;$Q17&amp;"-3",計算用!$AS$2:$AS$186,0)),""))</f>
        <v/>
      </c>
      <c r="AB17" s="26">
        <f>IF($Q17="","",IFERROR(INDEX(計算用!$I$2:$I$186,MATCH("女"&amp;$Q17&amp;"-3",計算用!$AS$2:$AS$186,0)),""))</f>
        <v/>
      </c>
      <c r="AC17">
        <f>IF($Q17="","",IFERROR(INDEX(計算用!$D$2:$D$186,MATCH("女"&amp;$Q17&amp;"-4",計算用!$AS$2:$AS$186,0)),""))</f>
        <v/>
      </c>
      <c r="AD17" s="26">
        <f>IF($Q17="","",IFERROR(INDEX(計算用!$M$2:$M$186,MATCH("女"&amp;$Q17&amp;"-4",計算用!$AS$2:$AS$186,0)),""))</f>
        <v/>
      </c>
      <c r="AE17" s="26">
        <f>IF($Q17="","",IFERROR(INDEX(計算用!$I$2:$I$186,MATCH("女"&amp;$Q17&amp;"-4",計算用!$AS$2:$AS$186,0)),""))</f>
        <v/>
      </c>
    </row>
    <row r="18">
      <c r="A18" s="26">
        <f>IF(ROW()-3&lt;=計算用!$Q$13,ROW()-3,"")</f>
        <v/>
      </c>
      <c r="B18" s="26">
        <f>IF($A18="","",INDEX(計算用!$BB$2:$BB$51,$A18))</f>
        <v/>
      </c>
      <c r="C18" s="26">
        <f>IF($A18="","","赤"&amp;INDEX(計算用!$BC$2:$BC$51,$A18)&amp;"白"&amp;INDEX(計算用!$BD$2:$BD$51,$A18))</f>
        <v/>
      </c>
      <c r="D18">
        <f>IF($A18="","",IFERROR(INDEX(計算用!$D$2:$D$186,MATCH("男"&amp;$A18&amp;"-1",計算用!$AS$2:$AS$186,0)),""))</f>
        <v/>
      </c>
      <c r="E18" s="26">
        <f>IF($A18="","",IFERROR(INDEX(計算用!$M$2:$M$186,MATCH("男"&amp;$A18&amp;"-1",計算用!$AS$2:$AS$186,0)),""))</f>
        <v/>
      </c>
      <c r="F18" s="26">
        <f>IF($A18="","",IFERROR(INDEX(計算用!$I$2:$I$186,MATCH("男"&amp;$A18&amp;"-1",計算用!$AS$2:$AS$186,0)),""))</f>
        <v/>
      </c>
      <c r="G18">
        <f>IF($A18="","",IFERROR(INDEX(計算用!$D$2:$D$186,MATCH("男"&amp;$A18&amp;"-2",計算用!$AS$2:$AS$186,0)),""))</f>
        <v/>
      </c>
      <c r="H18" s="26">
        <f>IF($A18="","",IFERROR(INDEX(計算用!$M$2:$M$186,MATCH("男"&amp;$A18&amp;"-2",計算用!$AS$2:$AS$186,0)),""))</f>
        <v/>
      </c>
      <c r="I18" s="26">
        <f>IF($A18="","",IFERROR(INDEX(計算用!$I$2:$I$186,MATCH("男"&amp;$A18&amp;"-2",計算用!$AS$2:$AS$186,0)),""))</f>
        <v/>
      </c>
      <c r="J18">
        <f>IF($A18="","",IFERROR(INDEX(計算用!$D$2:$D$186,MATCH("男"&amp;$A18&amp;"-3",計算用!$AS$2:$AS$186,0)),""))</f>
        <v/>
      </c>
      <c r="K18" s="26">
        <f>IF($A18="","",IFERROR(INDEX(計算用!$M$2:$M$186,MATCH("男"&amp;$A18&amp;"-3",計算用!$AS$2:$AS$186,0)),""))</f>
        <v/>
      </c>
      <c r="L18" s="26">
        <f>IF($A18="","",IFERROR(INDEX(計算用!$I$2:$I$186,MATCH("男"&amp;$A18&amp;"-3",計算用!$AS$2:$AS$186,0)),""))</f>
        <v/>
      </c>
      <c r="M18">
        <f>IF($A18="","",IFERROR(INDEX(計算用!$D$2:$D$186,MATCH("男"&amp;$A18&amp;"-4",計算用!$AS$2:$AS$186,0)),""))</f>
        <v/>
      </c>
      <c r="N18" s="26">
        <f>IF($A18="","",IFERROR(INDEX(計算用!$M$2:$M$186,MATCH("男"&amp;$A18&amp;"-4",計算用!$AS$2:$AS$186,0)),""))</f>
        <v/>
      </c>
      <c r="O18" s="26">
        <f>IF($A18="","",IFERROR(INDEX(計算用!$I$2:$I$186,MATCH("男"&amp;$A18&amp;"-4",計算用!$AS$2:$AS$186,0)),""))</f>
        <v/>
      </c>
      <c r="Q18" s="26">
        <f>IF(ROW()-3&lt;=計算用!$Q$14,ROW()-3,"")</f>
        <v/>
      </c>
      <c r="R18" s="26">
        <f>IF($Q18="","",INDEX(計算用!$BG$2:$BG$51,$Q18))</f>
        <v/>
      </c>
      <c r="S18" s="26">
        <f>IF($Q18="","","赤"&amp;INDEX(計算用!$BH$2:$BH$51,$Q18)&amp;"白"&amp;INDEX(計算用!$BI$2:$BI$51,$Q18))</f>
        <v/>
      </c>
      <c r="T18">
        <f>IF($Q18="","",IFERROR(INDEX(計算用!$D$2:$D$186,MATCH("女"&amp;$Q18&amp;"-1",計算用!$AS$2:$AS$186,0)),""))</f>
        <v/>
      </c>
      <c r="U18" s="26">
        <f>IF($Q18="","",IFERROR(INDEX(計算用!$M$2:$M$186,MATCH("女"&amp;$Q18&amp;"-1",計算用!$AS$2:$AS$186,0)),""))</f>
        <v/>
      </c>
      <c r="V18" s="26">
        <f>IF($Q18="","",IFERROR(INDEX(計算用!$I$2:$I$186,MATCH("女"&amp;$Q18&amp;"-1",計算用!$AS$2:$AS$186,0)),""))</f>
        <v/>
      </c>
      <c r="W18">
        <f>IF($Q18="","",IFERROR(INDEX(計算用!$D$2:$D$186,MATCH("女"&amp;$Q18&amp;"-2",計算用!$AS$2:$AS$186,0)),""))</f>
        <v/>
      </c>
      <c r="X18" s="26">
        <f>IF($Q18="","",IFERROR(INDEX(計算用!$M$2:$M$186,MATCH("女"&amp;$Q18&amp;"-2",計算用!$AS$2:$AS$186,0)),""))</f>
        <v/>
      </c>
      <c r="Y18" s="26">
        <f>IF($Q18="","",IFERROR(INDEX(計算用!$I$2:$I$186,MATCH("女"&amp;$Q18&amp;"-2",計算用!$AS$2:$AS$186,0)),""))</f>
        <v/>
      </c>
      <c r="Z18">
        <f>IF($Q18="","",IFERROR(INDEX(計算用!$D$2:$D$186,MATCH("女"&amp;$Q18&amp;"-3",計算用!$AS$2:$AS$186,0)),""))</f>
        <v/>
      </c>
      <c r="AA18" s="26">
        <f>IF($Q18="","",IFERROR(INDEX(計算用!$M$2:$M$186,MATCH("女"&amp;$Q18&amp;"-3",計算用!$AS$2:$AS$186,0)),""))</f>
        <v/>
      </c>
      <c r="AB18" s="26">
        <f>IF($Q18="","",IFERROR(INDEX(計算用!$I$2:$I$186,MATCH("女"&amp;$Q18&amp;"-3",計算用!$AS$2:$AS$186,0)),""))</f>
        <v/>
      </c>
      <c r="AC18">
        <f>IF($Q18="","",IFERROR(INDEX(計算用!$D$2:$D$186,MATCH("女"&amp;$Q18&amp;"-4",計算用!$AS$2:$AS$186,0)),""))</f>
        <v/>
      </c>
      <c r="AD18" s="26">
        <f>IF($Q18="","",IFERROR(INDEX(計算用!$M$2:$M$186,MATCH("女"&amp;$Q18&amp;"-4",計算用!$AS$2:$AS$186,0)),""))</f>
        <v/>
      </c>
      <c r="AE18" s="26">
        <f>IF($Q18="","",IFERROR(INDEX(計算用!$I$2:$I$186,MATCH("女"&amp;$Q18&amp;"-4",計算用!$AS$2:$AS$186,0)),""))</f>
        <v/>
      </c>
    </row>
    <row r="19">
      <c r="A19" s="26">
        <f>IF(ROW()-3&lt;=計算用!$Q$13,ROW()-3,"")</f>
        <v/>
      </c>
      <c r="B19" s="26">
        <f>IF($A19="","",INDEX(計算用!$BB$2:$BB$51,$A19))</f>
        <v/>
      </c>
      <c r="C19" s="26">
        <f>IF($A19="","","赤"&amp;INDEX(計算用!$BC$2:$BC$51,$A19)&amp;"白"&amp;INDEX(計算用!$BD$2:$BD$51,$A19))</f>
        <v/>
      </c>
      <c r="D19">
        <f>IF($A19="","",IFERROR(INDEX(計算用!$D$2:$D$186,MATCH("男"&amp;$A19&amp;"-1",計算用!$AS$2:$AS$186,0)),""))</f>
        <v/>
      </c>
      <c r="E19" s="26">
        <f>IF($A19="","",IFERROR(INDEX(計算用!$M$2:$M$186,MATCH("男"&amp;$A19&amp;"-1",計算用!$AS$2:$AS$186,0)),""))</f>
        <v/>
      </c>
      <c r="F19" s="26">
        <f>IF($A19="","",IFERROR(INDEX(計算用!$I$2:$I$186,MATCH("男"&amp;$A19&amp;"-1",計算用!$AS$2:$AS$186,0)),""))</f>
        <v/>
      </c>
      <c r="G19">
        <f>IF($A19="","",IFERROR(INDEX(計算用!$D$2:$D$186,MATCH("男"&amp;$A19&amp;"-2",計算用!$AS$2:$AS$186,0)),""))</f>
        <v/>
      </c>
      <c r="H19" s="26">
        <f>IF($A19="","",IFERROR(INDEX(計算用!$M$2:$M$186,MATCH("男"&amp;$A19&amp;"-2",計算用!$AS$2:$AS$186,0)),""))</f>
        <v/>
      </c>
      <c r="I19" s="26">
        <f>IF($A19="","",IFERROR(INDEX(計算用!$I$2:$I$186,MATCH("男"&amp;$A19&amp;"-2",計算用!$AS$2:$AS$186,0)),""))</f>
        <v/>
      </c>
      <c r="J19">
        <f>IF($A19="","",IFERROR(INDEX(計算用!$D$2:$D$186,MATCH("男"&amp;$A19&amp;"-3",計算用!$AS$2:$AS$186,0)),""))</f>
        <v/>
      </c>
      <c r="K19" s="26">
        <f>IF($A19="","",IFERROR(INDEX(計算用!$M$2:$M$186,MATCH("男"&amp;$A19&amp;"-3",計算用!$AS$2:$AS$186,0)),""))</f>
        <v/>
      </c>
      <c r="L19" s="26">
        <f>IF($A19="","",IFERROR(INDEX(計算用!$I$2:$I$186,MATCH("男"&amp;$A19&amp;"-3",計算用!$AS$2:$AS$186,0)),""))</f>
        <v/>
      </c>
      <c r="M19">
        <f>IF($A19="","",IFERROR(INDEX(計算用!$D$2:$D$186,MATCH("男"&amp;$A19&amp;"-4",計算用!$AS$2:$AS$186,0)),""))</f>
        <v/>
      </c>
      <c r="N19" s="26">
        <f>IF($A19="","",IFERROR(INDEX(計算用!$M$2:$M$186,MATCH("男"&amp;$A19&amp;"-4",計算用!$AS$2:$AS$186,0)),""))</f>
        <v/>
      </c>
      <c r="O19" s="26">
        <f>IF($A19="","",IFERROR(INDEX(計算用!$I$2:$I$186,MATCH("男"&amp;$A19&amp;"-4",計算用!$AS$2:$AS$186,0)),""))</f>
        <v/>
      </c>
      <c r="Q19" s="26">
        <f>IF(ROW()-3&lt;=計算用!$Q$14,ROW()-3,"")</f>
        <v/>
      </c>
      <c r="R19" s="26">
        <f>IF($Q19="","",INDEX(計算用!$BG$2:$BG$51,$Q19))</f>
        <v/>
      </c>
      <c r="S19" s="26">
        <f>IF($Q19="","","赤"&amp;INDEX(計算用!$BH$2:$BH$51,$Q19)&amp;"白"&amp;INDEX(計算用!$BI$2:$BI$51,$Q19))</f>
        <v/>
      </c>
      <c r="T19">
        <f>IF($Q19="","",IFERROR(INDEX(計算用!$D$2:$D$186,MATCH("女"&amp;$Q19&amp;"-1",計算用!$AS$2:$AS$186,0)),""))</f>
        <v/>
      </c>
      <c r="U19" s="26">
        <f>IF($Q19="","",IFERROR(INDEX(計算用!$M$2:$M$186,MATCH("女"&amp;$Q19&amp;"-1",計算用!$AS$2:$AS$186,0)),""))</f>
        <v/>
      </c>
      <c r="V19" s="26">
        <f>IF($Q19="","",IFERROR(INDEX(計算用!$I$2:$I$186,MATCH("女"&amp;$Q19&amp;"-1",計算用!$AS$2:$AS$186,0)),""))</f>
        <v/>
      </c>
      <c r="W19">
        <f>IF($Q19="","",IFERROR(INDEX(計算用!$D$2:$D$186,MATCH("女"&amp;$Q19&amp;"-2",計算用!$AS$2:$AS$186,0)),""))</f>
        <v/>
      </c>
      <c r="X19" s="26">
        <f>IF($Q19="","",IFERROR(INDEX(計算用!$M$2:$M$186,MATCH("女"&amp;$Q19&amp;"-2",計算用!$AS$2:$AS$186,0)),""))</f>
        <v/>
      </c>
      <c r="Y19" s="26">
        <f>IF($Q19="","",IFERROR(INDEX(計算用!$I$2:$I$186,MATCH("女"&amp;$Q19&amp;"-2",計算用!$AS$2:$AS$186,0)),""))</f>
        <v/>
      </c>
      <c r="Z19">
        <f>IF($Q19="","",IFERROR(INDEX(計算用!$D$2:$D$186,MATCH("女"&amp;$Q19&amp;"-3",計算用!$AS$2:$AS$186,0)),""))</f>
        <v/>
      </c>
      <c r="AA19" s="26">
        <f>IF($Q19="","",IFERROR(INDEX(計算用!$M$2:$M$186,MATCH("女"&amp;$Q19&amp;"-3",計算用!$AS$2:$AS$186,0)),""))</f>
        <v/>
      </c>
      <c r="AB19" s="26">
        <f>IF($Q19="","",IFERROR(INDEX(計算用!$I$2:$I$186,MATCH("女"&amp;$Q19&amp;"-3",計算用!$AS$2:$AS$186,0)),""))</f>
        <v/>
      </c>
      <c r="AC19">
        <f>IF($Q19="","",IFERROR(INDEX(計算用!$D$2:$D$186,MATCH("女"&amp;$Q19&amp;"-4",計算用!$AS$2:$AS$186,0)),""))</f>
        <v/>
      </c>
      <c r="AD19" s="26">
        <f>IF($Q19="","",IFERROR(INDEX(計算用!$M$2:$M$186,MATCH("女"&amp;$Q19&amp;"-4",計算用!$AS$2:$AS$186,0)),""))</f>
        <v/>
      </c>
      <c r="AE19" s="26">
        <f>IF($Q19="","",IFERROR(INDEX(計算用!$I$2:$I$186,MATCH("女"&amp;$Q19&amp;"-4",計算用!$AS$2:$AS$186,0)),""))</f>
        <v/>
      </c>
    </row>
    <row r="20">
      <c r="A20" s="26">
        <f>IF(ROW()-3&lt;=計算用!$Q$13,ROW()-3,"")</f>
        <v/>
      </c>
      <c r="B20" s="26">
        <f>IF($A20="","",INDEX(計算用!$BB$2:$BB$51,$A20))</f>
        <v/>
      </c>
      <c r="C20" s="26">
        <f>IF($A20="","","赤"&amp;INDEX(計算用!$BC$2:$BC$51,$A20)&amp;"白"&amp;INDEX(計算用!$BD$2:$BD$51,$A20))</f>
        <v/>
      </c>
      <c r="D20">
        <f>IF($A20="","",IFERROR(INDEX(計算用!$D$2:$D$186,MATCH("男"&amp;$A20&amp;"-1",計算用!$AS$2:$AS$186,0)),""))</f>
        <v/>
      </c>
      <c r="E20" s="26">
        <f>IF($A20="","",IFERROR(INDEX(計算用!$M$2:$M$186,MATCH("男"&amp;$A20&amp;"-1",計算用!$AS$2:$AS$186,0)),""))</f>
        <v/>
      </c>
      <c r="F20" s="26">
        <f>IF($A20="","",IFERROR(INDEX(計算用!$I$2:$I$186,MATCH("男"&amp;$A20&amp;"-1",計算用!$AS$2:$AS$186,0)),""))</f>
        <v/>
      </c>
      <c r="G20">
        <f>IF($A20="","",IFERROR(INDEX(計算用!$D$2:$D$186,MATCH("男"&amp;$A20&amp;"-2",計算用!$AS$2:$AS$186,0)),""))</f>
        <v/>
      </c>
      <c r="H20" s="26">
        <f>IF($A20="","",IFERROR(INDEX(計算用!$M$2:$M$186,MATCH("男"&amp;$A20&amp;"-2",計算用!$AS$2:$AS$186,0)),""))</f>
        <v/>
      </c>
      <c r="I20" s="26">
        <f>IF($A20="","",IFERROR(INDEX(計算用!$I$2:$I$186,MATCH("男"&amp;$A20&amp;"-2",計算用!$AS$2:$AS$186,0)),""))</f>
        <v/>
      </c>
      <c r="J20">
        <f>IF($A20="","",IFERROR(INDEX(計算用!$D$2:$D$186,MATCH("男"&amp;$A20&amp;"-3",計算用!$AS$2:$AS$186,0)),""))</f>
        <v/>
      </c>
      <c r="K20" s="26">
        <f>IF($A20="","",IFERROR(INDEX(計算用!$M$2:$M$186,MATCH("男"&amp;$A20&amp;"-3",計算用!$AS$2:$AS$186,0)),""))</f>
        <v/>
      </c>
      <c r="L20" s="26">
        <f>IF($A20="","",IFERROR(INDEX(計算用!$I$2:$I$186,MATCH("男"&amp;$A20&amp;"-3",計算用!$AS$2:$AS$186,0)),""))</f>
        <v/>
      </c>
      <c r="M20">
        <f>IF($A20="","",IFERROR(INDEX(計算用!$D$2:$D$186,MATCH("男"&amp;$A20&amp;"-4",計算用!$AS$2:$AS$186,0)),""))</f>
        <v/>
      </c>
      <c r="N20" s="26">
        <f>IF($A20="","",IFERROR(INDEX(計算用!$M$2:$M$186,MATCH("男"&amp;$A20&amp;"-4",計算用!$AS$2:$AS$186,0)),""))</f>
        <v/>
      </c>
      <c r="O20" s="26">
        <f>IF($A20="","",IFERROR(INDEX(計算用!$I$2:$I$186,MATCH("男"&amp;$A20&amp;"-4",計算用!$AS$2:$AS$186,0)),""))</f>
        <v/>
      </c>
      <c r="Q20" s="26">
        <f>IF(ROW()-3&lt;=計算用!$Q$14,ROW()-3,"")</f>
        <v/>
      </c>
      <c r="R20" s="26">
        <f>IF($Q20="","",INDEX(計算用!$BG$2:$BG$51,$Q20))</f>
        <v/>
      </c>
      <c r="S20" s="26">
        <f>IF($Q20="","","赤"&amp;INDEX(計算用!$BH$2:$BH$51,$Q20)&amp;"白"&amp;INDEX(計算用!$BI$2:$BI$51,$Q20))</f>
        <v/>
      </c>
      <c r="T20">
        <f>IF($Q20="","",IFERROR(INDEX(計算用!$D$2:$D$186,MATCH("女"&amp;$Q20&amp;"-1",計算用!$AS$2:$AS$186,0)),""))</f>
        <v/>
      </c>
      <c r="U20" s="26">
        <f>IF($Q20="","",IFERROR(INDEX(計算用!$M$2:$M$186,MATCH("女"&amp;$Q20&amp;"-1",計算用!$AS$2:$AS$186,0)),""))</f>
        <v/>
      </c>
      <c r="V20" s="26">
        <f>IF($Q20="","",IFERROR(INDEX(計算用!$I$2:$I$186,MATCH("女"&amp;$Q20&amp;"-1",計算用!$AS$2:$AS$186,0)),""))</f>
        <v/>
      </c>
      <c r="W20">
        <f>IF($Q20="","",IFERROR(INDEX(計算用!$D$2:$D$186,MATCH("女"&amp;$Q20&amp;"-2",計算用!$AS$2:$AS$186,0)),""))</f>
        <v/>
      </c>
      <c r="X20" s="26">
        <f>IF($Q20="","",IFERROR(INDEX(計算用!$M$2:$M$186,MATCH("女"&amp;$Q20&amp;"-2",計算用!$AS$2:$AS$186,0)),""))</f>
        <v/>
      </c>
      <c r="Y20" s="26">
        <f>IF($Q20="","",IFERROR(INDEX(計算用!$I$2:$I$186,MATCH("女"&amp;$Q20&amp;"-2",計算用!$AS$2:$AS$186,0)),""))</f>
        <v/>
      </c>
      <c r="Z20">
        <f>IF($Q20="","",IFERROR(INDEX(計算用!$D$2:$D$186,MATCH("女"&amp;$Q20&amp;"-3",計算用!$AS$2:$AS$186,0)),""))</f>
        <v/>
      </c>
      <c r="AA20" s="26">
        <f>IF($Q20="","",IFERROR(INDEX(計算用!$M$2:$M$186,MATCH("女"&amp;$Q20&amp;"-3",計算用!$AS$2:$AS$186,0)),""))</f>
        <v/>
      </c>
      <c r="AB20" s="26">
        <f>IF($Q20="","",IFERROR(INDEX(計算用!$I$2:$I$186,MATCH("女"&amp;$Q20&amp;"-3",計算用!$AS$2:$AS$186,0)),""))</f>
        <v/>
      </c>
      <c r="AC20">
        <f>IF($Q20="","",IFERROR(INDEX(計算用!$D$2:$D$186,MATCH("女"&amp;$Q20&amp;"-4",計算用!$AS$2:$AS$186,0)),""))</f>
        <v/>
      </c>
      <c r="AD20" s="26">
        <f>IF($Q20="","",IFERROR(INDEX(計算用!$M$2:$M$186,MATCH("女"&amp;$Q20&amp;"-4",計算用!$AS$2:$AS$186,0)),""))</f>
        <v/>
      </c>
      <c r="AE20" s="26">
        <f>IF($Q20="","",IFERROR(INDEX(計算用!$I$2:$I$186,MATCH("女"&amp;$Q20&amp;"-4",計算用!$AS$2:$AS$186,0)),""))</f>
        <v/>
      </c>
    </row>
    <row r="21">
      <c r="A21" s="26">
        <f>IF(ROW()-3&lt;=計算用!$Q$13,ROW()-3,"")</f>
        <v/>
      </c>
      <c r="B21" s="26">
        <f>IF($A21="","",INDEX(計算用!$BB$2:$BB$51,$A21))</f>
        <v/>
      </c>
      <c r="C21" s="26">
        <f>IF($A21="","","赤"&amp;INDEX(計算用!$BC$2:$BC$51,$A21)&amp;"白"&amp;INDEX(計算用!$BD$2:$BD$51,$A21))</f>
        <v/>
      </c>
      <c r="D21">
        <f>IF($A21="","",IFERROR(INDEX(計算用!$D$2:$D$186,MATCH("男"&amp;$A21&amp;"-1",計算用!$AS$2:$AS$186,0)),""))</f>
        <v/>
      </c>
      <c r="E21" s="26">
        <f>IF($A21="","",IFERROR(INDEX(計算用!$M$2:$M$186,MATCH("男"&amp;$A21&amp;"-1",計算用!$AS$2:$AS$186,0)),""))</f>
        <v/>
      </c>
      <c r="F21" s="26">
        <f>IF($A21="","",IFERROR(INDEX(計算用!$I$2:$I$186,MATCH("男"&amp;$A21&amp;"-1",計算用!$AS$2:$AS$186,0)),""))</f>
        <v/>
      </c>
      <c r="G21">
        <f>IF($A21="","",IFERROR(INDEX(計算用!$D$2:$D$186,MATCH("男"&amp;$A21&amp;"-2",計算用!$AS$2:$AS$186,0)),""))</f>
        <v/>
      </c>
      <c r="H21" s="26">
        <f>IF($A21="","",IFERROR(INDEX(計算用!$M$2:$M$186,MATCH("男"&amp;$A21&amp;"-2",計算用!$AS$2:$AS$186,0)),""))</f>
        <v/>
      </c>
      <c r="I21" s="26">
        <f>IF($A21="","",IFERROR(INDEX(計算用!$I$2:$I$186,MATCH("男"&amp;$A21&amp;"-2",計算用!$AS$2:$AS$186,0)),""))</f>
        <v/>
      </c>
      <c r="J21">
        <f>IF($A21="","",IFERROR(INDEX(計算用!$D$2:$D$186,MATCH("男"&amp;$A21&amp;"-3",計算用!$AS$2:$AS$186,0)),""))</f>
        <v/>
      </c>
      <c r="K21" s="26">
        <f>IF($A21="","",IFERROR(INDEX(計算用!$M$2:$M$186,MATCH("男"&amp;$A21&amp;"-3",計算用!$AS$2:$AS$186,0)),""))</f>
        <v/>
      </c>
      <c r="L21" s="26">
        <f>IF($A21="","",IFERROR(INDEX(計算用!$I$2:$I$186,MATCH("男"&amp;$A21&amp;"-3",計算用!$AS$2:$AS$186,0)),""))</f>
        <v/>
      </c>
      <c r="M21">
        <f>IF($A21="","",IFERROR(INDEX(計算用!$D$2:$D$186,MATCH("男"&amp;$A21&amp;"-4",計算用!$AS$2:$AS$186,0)),""))</f>
        <v/>
      </c>
      <c r="N21" s="26">
        <f>IF($A21="","",IFERROR(INDEX(計算用!$M$2:$M$186,MATCH("男"&amp;$A21&amp;"-4",計算用!$AS$2:$AS$186,0)),""))</f>
        <v/>
      </c>
      <c r="O21" s="26">
        <f>IF($A21="","",IFERROR(INDEX(計算用!$I$2:$I$186,MATCH("男"&amp;$A21&amp;"-4",計算用!$AS$2:$AS$186,0)),""))</f>
        <v/>
      </c>
      <c r="Q21" s="26">
        <f>IF(ROW()-3&lt;=計算用!$Q$14,ROW()-3,"")</f>
        <v/>
      </c>
      <c r="R21" s="26">
        <f>IF($Q21="","",INDEX(計算用!$BG$2:$BG$51,$Q21))</f>
        <v/>
      </c>
      <c r="S21" s="26">
        <f>IF($Q21="","","赤"&amp;INDEX(計算用!$BH$2:$BH$51,$Q21)&amp;"白"&amp;INDEX(計算用!$BI$2:$BI$51,$Q21))</f>
        <v/>
      </c>
      <c r="T21">
        <f>IF($Q21="","",IFERROR(INDEX(計算用!$D$2:$D$186,MATCH("女"&amp;$Q21&amp;"-1",計算用!$AS$2:$AS$186,0)),""))</f>
        <v/>
      </c>
      <c r="U21" s="26">
        <f>IF($Q21="","",IFERROR(INDEX(計算用!$M$2:$M$186,MATCH("女"&amp;$Q21&amp;"-1",計算用!$AS$2:$AS$186,0)),""))</f>
        <v/>
      </c>
      <c r="V21" s="26">
        <f>IF($Q21="","",IFERROR(INDEX(計算用!$I$2:$I$186,MATCH("女"&amp;$Q21&amp;"-1",計算用!$AS$2:$AS$186,0)),""))</f>
        <v/>
      </c>
      <c r="W21">
        <f>IF($Q21="","",IFERROR(INDEX(計算用!$D$2:$D$186,MATCH("女"&amp;$Q21&amp;"-2",計算用!$AS$2:$AS$186,0)),""))</f>
        <v/>
      </c>
      <c r="X21" s="26">
        <f>IF($Q21="","",IFERROR(INDEX(計算用!$M$2:$M$186,MATCH("女"&amp;$Q21&amp;"-2",計算用!$AS$2:$AS$186,0)),""))</f>
        <v/>
      </c>
      <c r="Y21" s="26">
        <f>IF($Q21="","",IFERROR(INDEX(計算用!$I$2:$I$186,MATCH("女"&amp;$Q21&amp;"-2",計算用!$AS$2:$AS$186,0)),""))</f>
        <v/>
      </c>
      <c r="Z21">
        <f>IF($Q21="","",IFERROR(INDEX(計算用!$D$2:$D$186,MATCH("女"&amp;$Q21&amp;"-3",計算用!$AS$2:$AS$186,0)),""))</f>
        <v/>
      </c>
      <c r="AA21" s="26">
        <f>IF($Q21="","",IFERROR(INDEX(計算用!$M$2:$M$186,MATCH("女"&amp;$Q21&amp;"-3",計算用!$AS$2:$AS$186,0)),""))</f>
        <v/>
      </c>
      <c r="AB21" s="26">
        <f>IF($Q21="","",IFERROR(INDEX(計算用!$I$2:$I$186,MATCH("女"&amp;$Q21&amp;"-3",計算用!$AS$2:$AS$186,0)),""))</f>
        <v/>
      </c>
      <c r="AC21">
        <f>IF($Q21="","",IFERROR(INDEX(計算用!$D$2:$D$186,MATCH("女"&amp;$Q21&amp;"-4",計算用!$AS$2:$AS$186,0)),""))</f>
        <v/>
      </c>
      <c r="AD21" s="26">
        <f>IF($Q21="","",IFERROR(INDEX(計算用!$M$2:$M$186,MATCH("女"&amp;$Q21&amp;"-4",計算用!$AS$2:$AS$186,0)),""))</f>
        <v/>
      </c>
      <c r="AE21" s="26">
        <f>IF($Q21="","",IFERROR(INDEX(計算用!$I$2:$I$186,MATCH("女"&amp;$Q21&amp;"-4",計算用!$AS$2:$AS$186,0)),""))</f>
        <v/>
      </c>
    </row>
    <row r="22">
      <c r="A22" s="26">
        <f>IF(ROW()-3&lt;=計算用!$Q$13,ROW()-3,"")</f>
        <v/>
      </c>
      <c r="B22" s="26">
        <f>IF($A22="","",INDEX(計算用!$BB$2:$BB$51,$A22))</f>
        <v/>
      </c>
      <c r="C22" s="26">
        <f>IF($A22="","","赤"&amp;INDEX(計算用!$BC$2:$BC$51,$A22)&amp;"白"&amp;INDEX(計算用!$BD$2:$BD$51,$A22))</f>
        <v/>
      </c>
      <c r="D22">
        <f>IF($A22="","",IFERROR(INDEX(計算用!$D$2:$D$186,MATCH("男"&amp;$A22&amp;"-1",計算用!$AS$2:$AS$186,0)),""))</f>
        <v/>
      </c>
      <c r="E22" s="26">
        <f>IF($A22="","",IFERROR(INDEX(計算用!$M$2:$M$186,MATCH("男"&amp;$A22&amp;"-1",計算用!$AS$2:$AS$186,0)),""))</f>
        <v/>
      </c>
      <c r="F22" s="26">
        <f>IF($A22="","",IFERROR(INDEX(計算用!$I$2:$I$186,MATCH("男"&amp;$A22&amp;"-1",計算用!$AS$2:$AS$186,0)),""))</f>
        <v/>
      </c>
      <c r="G22">
        <f>IF($A22="","",IFERROR(INDEX(計算用!$D$2:$D$186,MATCH("男"&amp;$A22&amp;"-2",計算用!$AS$2:$AS$186,0)),""))</f>
        <v/>
      </c>
      <c r="H22" s="26">
        <f>IF($A22="","",IFERROR(INDEX(計算用!$M$2:$M$186,MATCH("男"&amp;$A22&amp;"-2",計算用!$AS$2:$AS$186,0)),""))</f>
        <v/>
      </c>
      <c r="I22" s="26">
        <f>IF($A22="","",IFERROR(INDEX(計算用!$I$2:$I$186,MATCH("男"&amp;$A22&amp;"-2",計算用!$AS$2:$AS$186,0)),""))</f>
        <v/>
      </c>
      <c r="J22">
        <f>IF($A22="","",IFERROR(INDEX(計算用!$D$2:$D$186,MATCH("男"&amp;$A22&amp;"-3",計算用!$AS$2:$AS$186,0)),""))</f>
        <v/>
      </c>
      <c r="K22" s="26">
        <f>IF($A22="","",IFERROR(INDEX(計算用!$M$2:$M$186,MATCH("男"&amp;$A22&amp;"-3",計算用!$AS$2:$AS$186,0)),""))</f>
        <v/>
      </c>
      <c r="L22" s="26">
        <f>IF($A22="","",IFERROR(INDEX(計算用!$I$2:$I$186,MATCH("男"&amp;$A22&amp;"-3",計算用!$AS$2:$AS$186,0)),""))</f>
        <v/>
      </c>
      <c r="M22">
        <f>IF($A22="","",IFERROR(INDEX(計算用!$D$2:$D$186,MATCH("男"&amp;$A22&amp;"-4",計算用!$AS$2:$AS$186,0)),""))</f>
        <v/>
      </c>
      <c r="N22" s="26">
        <f>IF($A22="","",IFERROR(INDEX(計算用!$M$2:$M$186,MATCH("男"&amp;$A22&amp;"-4",計算用!$AS$2:$AS$186,0)),""))</f>
        <v/>
      </c>
      <c r="O22" s="26">
        <f>IF($A22="","",IFERROR(INDEX(計算用!$I$2:$I$186,MATCH("男"&amp;$A22&amp;"-4",計算用!$AS$2:$AS$186,0)),""))</f>
        <v/>
      </c>
      <c r="Q22" s="26">
        <f>IF(ROW()-3&lt;=計算用!$Q$14,ROW()-3,"")</f>
        <v/>
      </c>
      <c r="R22" s="26">
        <f>IF($Q22="","",INDEX(計算用!$BG$2:$BG$51,$Q22))</f>
        <v/>
      </c>
      <c r="S22" s="26">
        <f>IF($Q22="","","赤"&amp;INDEX(計算用!$BH$2:$BH$51,$Q22)&amp;"白"&amp;INDEX(計算用!$BI$2:$BI$51,$Q22))</f>
        <v/>
      </c>
      <c r="T22">
        <f>IF($Q22="","",IFERROR(INDEX(計算用!$D$2:$D$186,MATCH("女"&amp;$Q22&amp;"-1",計算用!$AS$2:$AS$186,0)),""))</f>
        <v/>
      </c>
      <c r="U22" s="26">
        <f>IF($Q22="","",IFERROR(INDEX(計算用!$M$2:$M$186,MATCH("女"&amp;$Q22&amp;"-1",計算用!$AS$2:$AS$186,0)),""))</f>
        <v/>
      </c>
      <c r="V22" s="26">
        <f>IF($Q22="","",IFERROR(INDEX(計算用!$I$2:$I$186,MATCH("女"&amp;$Q22&amp;"-1",計算用!$AS$2:$AS$186,0)),""))</f>
        <v/>
      </c>
      <c r="W22">
        <f>IF($Q22="","",IFERROR(INDEX(計算用!$D$2:$D$186,MATCH("女"&amp;$Q22&amp;"-2",計算用!$AS$2:$AS$186,0)),""))</f>
        <v/>
      </c>
      <c r="X22" s="26">
        <f>IF($Q22="","",IFERROR(INDEX(計算用!$M$2:$M$186,MATCH("女"&amp;$Q22&amp;"-2",計算用!$AS$2:$AS$186,0)),""))</f>
        <v/>
      </c>
      <c r="Y22" s="26">
        <f>IF($Q22="","",IFERROR(INDEX(計算用!$I$2:$I$186,MATCH("女"&amp;$Q22&amp;"-2",計算用!$AS$2:$AS$186,0)),""))</f>
        <v/>
      </c>
      <c r="Z22">
        <f>IF($Q22="","",IFERROR(INDEX(計算用!$D$2:$D$186,MATCH("女"&amp;$Q22&amp;"-3",計算用!$AS$2:$AS$186,0)),""))</f>
        <v/>
      </c>
      <c r="AA22" s="26">
        <f>IF($Q22="","",IFERROR(INDEX(計算用!$M$2:$M$186,MATCH("女"&amp;$Q22&amp;"-3",計算用!$AS$2:$AS$186,0)),""))</f>
        <v/>
      </c>
      <c r="AB22" s="26">
        <f>IF($Q22="","",IFERROR(INDEX(計算用!$I$2:$I$186,MATCH("女"&amp;$Q22&amp;"-3",計算用!$AS$2:$AS$186,0)),""))</f>
        <v/>
      </c>
      <c r="AC22">
        <f>IF($Q22="","",IFERROR(INDEX(計算用!$D$2:$D$186,MATCH("女"&amp;$Q22&amp;"-4",計算用!$AS$2:$AS$186,0)),""))</f>
        <v/>
      </c>
      <c r="AD22" s="26">
        <f>IF($Q22="","",IFERROR(INDEX(計算用!$M$2:$M$186,MATCH("女"&amp;$Q22&amp;"-4",計算用!$AS$2:$AS$186,0)),""))</f>
        <v/>
      </c>
      <c r="AE22" s="26">
        <f>IF($Q22="","",IFERROR(INDEX(計算用!$I$2:$I$186,MATCH("女"&amp;$Q22&amp;"-4",計算用!$AS$2:$AS$186,0)),""))</f>
        <v/>
      </c>
    </row>
    <row r="23">
      <c r="A23" s="26">
        <f>IF(ROW()-3&lt;=計算用!$Q$13,ROW()-3,"")</f>
        <v/>
      </c>
      <c r="B23" s="26">
        <f>IF($A23="","",INDEX(計算用!$BB$2:$BB$51,$A23))</f>
        <v/>
      </c>
      <c r="C23" s="26">
        <f>IF($A23="","","赤"&amp;INDEX(計算用!$BC$2:$BC$51,$A23)&amp;"白"&amp;INDEX(計算用!$BD$2:$BD$51,$A23))</f>
        <v/>
      </c>
      <c r="D23">
        <f>IF($A23="","",IFERROR(INDEX(計算用!$D$2:$D$186,MATCH("男"&amp;$A23&amp;"-1",計算用!$AS$2:$AS$186,0)),""))</f>
        <v/>
      </c>
      <c r="E23" s="26">
        <f>IF($A23="","",IFERROR(INDEX(計算用!$M$2:$M$186,MATCH("男"&amp;$A23&amp;"-1",計算用!$AS$2:$AS$186,0)),""))</f>
        <v/>
      </c>
      <c r="F23" s="26">
        <f>IF($A23="","",IFERROR(INDEX(計算用!$I$2:$I$186,MATCH("男"&amp;$A23&amp;"-1",計算用!$AS$2:$AS$186,0)),""))</f>
        <v/>
      </c>
      <c r="G23">
        <f>IF($A23="","",IFERROR(INDEX(計算用!$D$2:$D$186,MATCH("男"&amp;$A23&amp;"-2",計算用!$AS$2:$AS$186,0)),""))</f>
        <v/>
      </c>
      <c r="H23" s="26">
        <f>IF($A23="","",IFERROR(INDEX(計算用!$M$2:$M$186,MATCH("男"&amp;$A23&amp;"-2",計算用!$AS$2:$AS$186,0)),""))</f>
        <v/>
      </c>
      <c r="I23" s="26">
        <f>IF($A23="","",IFERROR(INDEX(計算用!$I$2:$I$186,MATCH("男"&amp;$A23&amp;"-2",計算用!$AS$2:$AS$186,0)),""))</f>
        <v/>
      </c>
      <c r="J23">
        <f>IF($A23="","",IFERROR(INDEX(計算用!$D$2:$D$186,MATCH("男"&amp;$A23&amp;"-3",計算用!$AS$2:$AS$186,0)),""))</f>
        <v/>
      </c>
      <c r="K23" s="26">
        <f>IF($A23="","",IFERROR(INDEX(計算用!$M$2:$M$186,MATCH("男"&amp;$A23&amp;"-3",計算用!$AS$2:$AS$186,0)),""))</f>
        <v/>
      </c>
      <c r="L23" s="26">
        <f>IF($A23="","",IFERROR(INDEX(計算用!$I$2:$I$186,MATCH("男"&amp;$A23&amp;"-3",計算用!$AS$2:$AS$186,0)),""))</f>
        <v/>
      </c>
      <c r="M23">
        <f>IF($A23="","",IFERROR(INDEX(計算用!$D$2:$D$186,MATCH("男"&amp;$A23&amp;"-4",計算用!$AS$2:$AS$186,0)),""))</f>
        <v/>
      </c>
      <c r="N23" s="26">
        <f>IF($A23="","",IFERROR(INDEX(計算用!$M$2:$M$186,MATCH("男"&amp;$A23&amp;"-4",計算用!$AS$2:$AS$186,0)),""))</f>
        <v/>
      </c>
      <c r="O23" s="26">
        <f>IF($A23="","",IFERROR(INDEX(計算用!$I$2:$I$186,MATCH("男"&amp;$A23&amp;"-4",計算用!$AS$2:$AS$186,0)),""))</f>
        <v/>
      </c>
      <c r="Q23" s="26">
        <f>IF(ROW()-3&lt;=計算用!$Q$14,ROW()-3,"")</f>
        <v/>
      </c>
      <c r="R23" s="26">
        <f>IF($Q23="","",INDEX(計算用!$BG$2:$BG$51,$Q23))</f>
        <v/>
      </c>
      <c r="S23" s="26">
        <f>IF($Q23="","","赤"&amp;INDEX(計算用!$BH$2:$BH$51,$Q23)&amp;"白"&amp;INDEX(計算用!$BI$2:$BI$51,$Q23))</f>
        <v/>
      </c>
      <c r="T23">
        <f>IF($Q23="","",IFERROR(INDEX(計算用!$D$2:$D$186,MATCH("女"&amp;$Q23&amp;"-1",計算用!$AS$2:$AS$186,0)),""))</f>
        <v/>
      </c>
      <c r="U23" s="26">
        <f>IF($Q23="","",IFERROR(INDEX(計算用!$M$2:$M$186,MATCH("女"&amp;$Q23&amp;"-1",計算用!$AS$2:$AS$186,0)),""))</f>
        <v/>
      </c>
      <c r="V23" s="26">
        <f>IF($Q23="","",IFERROR(INDEX(計算用!$I$2:$I$186,MATCH("女"&amp;$Q23&amp;"-1",計算用!$AS$2:$AS$186,0)),""))</f>
        <v/>
      </c>
      <c r="W23">
        <f>IF($Q23="","",IFERROR(INDEX(計算用!$D$2:$D$186,MATCH("女"&amp;$Q23&amp;"-2",計算用!$AS$2:$AS$186,0)),""))</f>
        <v/>
      </c>
      <c r="X23" s="26">
        <f>IF($Q23="","",IFERROR(INDEX(計算用!$M$2:$M$186,MATCH("女"&amp;$Q23&amp;"-2",計算用!$AS$2:$AS$186,0)),""))</f>
        <v/>
      </c>
      <c r="Y23" s="26">
        <f>IF($Q23="","",IFERROR(INDEX(計算用!$I$2:$I$186,MATCH("女"&amp;$Q23&amp;"-2",計算用!$AS$2:$AS$186,0)),""))</f>
        <v/>
      </c>
      <c r="Z23">
        <f>IF($Q23="","",IFERROR(INDEX(計算用!$D$2:$D$186,MATCH("女"&amp;$Q23&amp;"-3",計算用!$AS$2:$AS$186,0)),""))</f>
        <v/>
      </c>
      <c r="AA23" s="26">
        <f>IF($Q23="","",IFERROR(INDEX(計算用!$M$2:$M$186,MATCH("女"&amp;$Q23&amp;"-3",計算用!$AS$2:$AS$186,0)),""))</f>
        <v/>
      </c>
      <c r="AB23" s="26">
        <f>IF($Q23="","",IFERROR(INDEX(計算用!$I$2:$I$186,MATCH("女"&amp;$Q23&amp;"-3",計算用!$AS$2:$AS$186,0)),""))</f>
        <v/>
      </c>
      <c r="AC23">
        <f>IF($Q23="","",IFERROR(INDEX(計算用!$D$2:$D$186,MATCH("女"&amp;$Q23&amp;"-4",計算用!$AS$2:$AS$186,0)),""))</f>
        <v/>
      </c>
      <c r="AD23" s="26">
        <f>IF($Q23="","",IFERROR(INDEX(計算用!$M$2:$M$186,MATCH("女"&amp;$Q23&amp;"-4",計算用!$AS$2:$AS$186,0)),""))</f>
        <v/>
      </c>
      <c r="AE23" s="26">
        <f>IF($Q23="","",IFERROR(INDEX(計算用!$I$2:$I$186,MATCH("女"&amp;$Q23&amp;"-4",計算用!$AS$2:$AS$186,0)),""))</f>
        <v/>
      </c>
    </row>
    <row r="24">
      <c r="A24" s="26">
        <f>IF(ROW()-3&lt;=計算用!$Q$13,ROW()-3,"")</f>
        <v/>
      </c>
      <c r="B24" s="26">
        <f>IF($A24="","",INDEX(計算用!$BB$2:$BB$51,$A24))</f>
        <v/>
      </c>
      <c r="C24" s="26">
        <f>IF($A24="","","赤"&amp;INDEX(計算用!$BC$2:$BC$51,$A24)&amp;"白"&amp;INDEX(計算用!$BD$2:$BD$51,$A24))</f>
        <v/>
      </c>
      <c r="D24">
        <f>IF($A24="","",IFERROR(INDEX(計算用!$D$2:$D$186,MATCH("男"&amp;$A24&amp;"-1",計算用!$AS$2:$AS$186,0)),""))</f>
        <v/>
      </c>
      <c r="E24" s="26">
        <f>IF($A24="","",IFERROR(INDEX(計算用!$M$2:$M$186,MATCH("男"&amp;$A24&amp;"-1",計算用!$AS$2:$AS$186,0)),""))</f>
        <v/>
      </c>
      <c r="F24" s="26">
        <f>IF($A24="","",IFERROR(INDEX(計算用!$I$2:$I$186,MATCH("男"&amp;$A24&amp;"-1",計算用!$AS$2:$AS$186,0)),""))</f>
        <v/>
      </c>
      <c r="G24">
        <f>IF($A24="","",IFERROR(INDEX(計算用!$D$2:$D$186,MATCH("男"&amp;$A24&amp;"-2",計算用!$AS$2:$AS$186,0)),""))</f>
        <v/>
      </c>
      <c r="H24" s="26">
        <f>IF($A24="","",IFERROR(INDEX(計算用!$M$2:$M$186,MATCH("男"&amp;$A24&amp;"-2",計算用!$AS$2:$AS$186,0)),""))</f>
        <v/>
      </c>
      <c r="I24" s="26">
        <f>IF($A24="","",IFERROR(INDEX(計算用!$I$2:$I$186,MATCH("男"&amp;$A24&amp;"-2",計算用!$AS$2:$AS$186,0)),""))</f>
        <v/>
      </c>
      <c r="J24">
        <f>IF($A24="","",IFERROR(INDEX(計算用!$D$2:$D$186,MATCH("男"&amp;$A24&amp;"-3",計算用!$AS$2:$AS$186,0)),""))</f>
        <v/>
      </c>
      <c r="K24" s="26">
        <f>IF($A24="","",IFERROR(INDEX(計算用!$M$2:$M$186,MATCH("男"&amp;$A24&amp;"-3",計算用!$AS$2:$AS$186,0)),""))</f>
        <v/>
      </c>
      <c r="L24" s="26">
        <f>IF($A24="","",IFERROR(INDEX(計算用!$I$2:$I$186,MATCH("男"&amp;$A24&amp;"-3",計算用!$AS$2:$AS$186,0)),""))</f>
        <v/>
      </c>
      <c r="M24">
        <f>IF($A24="","",IFERROR(INDEX(計算用!$D$2:$D$186,MATCH("男"&amp;$A24&amp;"-4",計算用!$AS$2:$AS$186,0)),""))</f>
        <v/>
      </c>
      <c r="N24" s="26">
        <f>IF($A24="","",IFERROR(INDEX(計算用!$M$2:$M$186,MATCH("男"&amp;$A24&amp;"-4",計算用!$AS$2:$AS$186,0)),""))</f>
        <v/>
      </c>
      <c r="O24" s="26">
        <f>IF($A24="","",IFERROR(INDEX(計算用!$I$2:$I$186,MATCH("男"&amp;$A24&amp;"-4",計算用!$AS$2:$AS$186,0)),""))</f>
        <v/>
      </c>
      <c r="Q24" s="26">
        <f>IF(ROW()-3&lt;=計算用!$Q$14,ROW()-3,"")</f>
        <v/>
      </c>
      <c r="R24" s="26">
        <f>IF($Q24="","",INDEX(計算用!$BG$2:$BG$51,$Q24))</f>
        <v/>
      </c>
      <c r="S24" s="26">
        <f>IF($Q24="","","赤"&amp;INDEX(計算用!$BH$2:$BH$51,$Q24)&amp;"白"&amp;INDEX(計算用!$BI$2:$BI$51,$Q24))</f>
        <v/>
      </c>
      <c r="T24">
        <f>IF($Q24="","",IFERROR(INDEX(計算用!$D$2:$D$186,MATCH("女"&amp;$Q24&amp;"-1",計算用!$AS$2:$AS$186,0)),""))</f>
        <v/>
      </c>
      <c r="U24" s="26">
        <f>IF($Q24="","",IFERROR(INDEX(計算用!$M$2:$M$186,MATCH("女"&amp;$Q24&amp;"-1",計算用!$AS$2:$AS$186,0)),""))</f>
        <v/>
      </c>
      <c r="V24" s="26">
        <f>IF($Q24="","",IFERROR(INDEX(計算用!$I$2:$I$186,MATCH("女"&amp;$Q24&amp;"-1",計算用!$AS$2:$AS$186,0)),""))</f>
        <v/>
      </c>
      <c r="W24">
        <f>IF($Q24="","",IFERROR(INDEX(計算用!$D$2:$D$186,MATCH("女"&amp;$Q24&amp;"-2",計算用!$AS$2:$AS$186,0)),""))</f>
        <v/>
      </c>
      <c r="X24" s="26">
        <f>IF($Q24="","",IFERROR(INDEX(計算用!$M$2:$M$186,MATCH("女"&amp;$Q24&amp;"-2",計算用!$AS$2:$AS$186,0)),""))</f>
        <v/>
      </c>
      <c r="Y24" s="26">
        <f>IF($Q24="","",IFERROR(INDEX(計算用!$I$2:$I$186,MATCH("女"&amp;$Q24&amp;"-2",計算用!$AS$2:$AS$186,0)),""))</f>
        <v/>
      </c>
      <c r="Z24">
        <f>IF($Q24="","",IFERROR(INDEX(計算用!$D$2:$D$186,MATCH("女"&amp;$Q24&amp;"-3",計算用!$AS$2:$AS$186,0)),""))</f>
        <v/>
      </c>
      <c r="AA24" s="26">
        <f>IF($Q24="","",IFERROR(INDEX(計算用!$M$2:$M$186,MATCH("女"&amp;$Q24&amp;"-3",計算用!$AS$2:$AS$186,0)),""))</f>
        <v/>
      </c>
      <c r="AB24" s="26">
        <f>IF($Q24="","",IFERROR(INDEX(計算用!$I$2:$I$186,MATCH("女"&amp;$Q24&amp;"-3",計算用!$AS$2:$AS$186,0)),""))</f>
        <v/>
      </c>
      <c r="AC24">
        <f>IF($Q24="","",IFERROR(INDEX(計算用!$D$2:$D$186,MATCH("女"&amp;$Q24&amp;"-4",計算用!$AS$2:$AS$186,0)),""))</f>
        <v/>
      </c>
      <c r="AD24" s="26">
        <f>IF($Q24="","",IFERROR(INDEX(計算用!$M$2:$M$186,MATCH("女"&amp;$Q24&amp;"-4",計算用!$AS$2:$AS$186,0)),""))</f>
        <v/>
      </c>
      <c r="AE24" s="26">
        <f>IF($Q24="","",IFERROR(INDEX(計算用!$I$2:$I$186,MATCH("女"&amp;$Q24&amp;"-4",計算用!$AS$2:$AS$186,0)),""))</f>
        <v/>
      </c>
    </row>
    <row r="25">
      <c r="A25" s="26">
        <f>IF(ROW()-3&lt;=計算用!$Q$13,ROW()-3,"")</f>
        <v/>
      </c>
      <c r="B25" s="26">
        <f>IF($A25="","",INDEX(計算用!$BB$2:$BB$51,$A25))</f>
        <v/>
      </c>
      <c r="C25" s="26">
        <f>IF($A25="","","赤"&amp;INDEX(計算用!$BC$2:$BC$51,$A25)&amp;"白"&amp;INDEX(計算用!$BD$2:$BD$51,$A25))</f>
        <v/>
      </c>
      <c r="D25">
        <f>IF($A25="","",IFERROR(INDEX(計算用!$D$2:$D$186,MATCH("男"&amp;$A25&amp;"-1",計算用!$AS$2:$AS$186,0)),""))</f>
        <v/>
      </c>
      <c r="E25" s="26">
        <f>IF($A25="","",IFERROR(INDEX(計算用!$M$2:$M$186,MATCH("男"&amp;$A25&amp;"-1",計算用!$AS$2:$AS$186,0)),""))</f>
        <v/>
      </c>
      <c r="F25" s="26">
        <f>IF($A25="","",IFERROR(INDEX(計算用!$I$2:$I$186,MATCH("男"&amp;$A25&amp;"-1",計算用!$AS$2:$AS$186,0)),""))</f>
        <v/>
      </c>
      <c r="G25">
        <f>IF($A25="","",IFERROR(INDEX(計算用!$D$2:$D$186,MATCH("男"&amp;$A25&amp;"-2",計算用!$AS$2:$AS$186,0)),""))</f>
        <v/>
      </c>
      <c r="H25" s="26">
        <f>IF($A25="","",IFERROR(INDEX(計算用!$M$2:$M$186,MATCH("男"&amp;$A25&amp;"-2",計算用!$AS$2:$AS$186,0)),""))</f>
        <v/>
      </c>
      <c r="I25" s="26">
        <f>IF($A25="","",IFERROR(INDEX(計算用!$I$2:$I$186,MATCH("男"&amp;$A25&amp;"-2",計算用!$AS$2:$AS$186,0)),""))</f>
        <v/>
      </c>
      <c r="J25">
        <f>IF($A25="","",IFERROR(INDEX(計算用!$D$2:$D$186,MATCH("男"&amp;$A25&amp;"-3",計算用!$AS$2:$AS$186,0)),""))</f>
        <v/>
      </c>
      <c r="K25" s="26">
        <f>IF($A25="","",IFERROR(INDEX(計算用!$M$2:$M$186,MATCH("男"&amp;$A25&amp;"-3",計算用!$AS$2:$AS$186,0)),""))</f>
        <v/>
      </c>
      <c r="L25" s="26">
        <f>IF($A25="","",IFERROR(INDEX(計算用!$I$2:$I$186,MATCH("男"&amp;$A25&amp;"-3",計算用!$AS$2:$AS$186,0)),""))</f>
        <v/>
      </c>
      <c r="M25">
        <f>IF($A25="","",IFERROR(INDEX(計算用!$D$2:$D$186,MATCH("男"&amp;$A25&amp;"-4",計算用!$AS$2:$AS$186,0)),""))</f>
        <v/>
      </c>
      <c r="N25" s="26">
        <f>IF($A25="","",IFERROR(INDEX(計算用!$M$2:$M$186,MATCH("男"&amp;$A25&amp;"-4",計算用!$AS$2:$AS$186,0)),""))</f>
        <v/>
      </c>
      <c r="O25" s="26">
        <f>IF($A25="","",IFERROR(INDEX(計算用!$I$2:$I$186,MATCH("男"&amp;$A25&amp;"-4",計算用!$AS$2:$AS$186,0)),""))</f>
        <v/>
      </c>
      <c r="Q25" s="26">
        <f>IF(ROW()-3&lt;=計算用!$Q$14,ROW()-3,"")</f>
        <v/>
      </c>
      <c r="R25" s="26">
        <f>IF($Q25="","",INDEX(計算用!$BG$2:$BG$51,$Q25))</f>
        <v/>
      </c>
      <c r="S25" s="26">
        <f>IF($Q25="","","赤"&amp;INDEX(計算用!$BH$2:$BH$51,$Q25)&amp;"白"&amp;INDEX(計算用!$BI$2:$BI$51,$Q25))</f>
        <v/>
      </c>
      <c r="T25">
        <f>IF($Q25="","",IFERROR(INDEX(計算用!$D$2:$D$186,MATCH("女"&amp;$Q25&amp;"-1",計算用!$AS$2:$AS$186,0)),""))</f>
        <v/>
      </c>
      <c r="U25" s="26">
        <f>IF($Q25="","",IFERROR(INDEX(計算用!$M$2:$M$186,MATCH("女"&amp;$Q25&amp;"-1",計算用!$AS$2:$AS$186,0)),""))</f>
        <v/>
      </c>
      <c r="V25" s="26">
        <f>IF($Q25="","",IFERROR(INDEX(計算用!$I$2:$I$186,MATCH("女"&amp;$Q25&amp;"-1",計算用!$AS$2:$AS$186,0)),""))</f>
        <v/>
      </c>
      <c r="W25">
        <f>IF($Q25="","",IFERROR(INDEX(計算用!$D$2:$D$186,MATCH("女"&amp;$Q25&amp;"-2",計算用!$AS$2:$AS$186,0)),""))</f>
        <v/>
      </c>
      <c r="X25" s="26">
        <f>IF($Q25="","",IFERROR(INDEX(計算用!$M$2:$M$186,MATCH("女"&amp;$Q25&amp;"-2",計算用!$AS$2:$AS$186,0)),""))</f>
        <v/>
      </c>
      <c r="Y25" s="26">
        <f>IF($Q25="","",IFERROR(INDEX(計算用!$I$2:$I$186,MATCH("女"&amp;$Q25&amp;"-2",計算用!$AS$2:$AS$186,0)),""))</f>
        <v/>
      </c>
      <c r="Z25">
        <f>IF($Q25="","",IFERROR(INDEX(計算用!$D$2:$D$186,MATCH("女"&amp;$Q25&amp;"-3",計算用!$AS$2:$AS$186,0)),""))</f>
        <v/>
      </c>
      <c r="AA25" s="26">
        <f>IF($Q25="","",IFERROR(INDEX(計算用!$M$2:$M$186,MATCH("女"&amp;$Q25&amp;"-3",計算用!$AS$2:$AS$186,0)),""))</f>
        <v/>
      </c>
      <c r="AB25" s="26">
        <f>IF($Q25="","",IFERROR(INDEX(計算用!$I$2:$I$186,MATCH("女"&amp;$Q25&amp;"-3",計算用!$AS$2:$AS$186,0)),""))</f>
        <v/>
      </c>
      <c r="AC25">
        <f>IF($Q25="","",IFERROR(INDEX(計算用!$D$2:$D$186,MATCH("女"&amp;$Q25&amp;"-4",計算用!$AS$2:$AS$186,0)),""))</f>
        <v/>
      </c>
      <c r="AD25" s="26">
        <f>IF($Q25="","",IFERROR(INDEX(計算用!$M$2:$M$186,MATCH("女"&amp;$Q25&amp;"-4",計算用!$AS$2:$AS$186,0)),""))</f>
        <v/>
      </c>
      <c r="AE25" s="26">
        <f>IF($Q25="","",IFERROR(INDEX(計算用!$I$2:$I$186,MATCH("女"&amp;$Q25&amp;"-4",計算用!$AS$2:$AS$186,0)),""))</f>
        <v/>
      </c>
    </row>
    <row r="26">
      <c r="A26" s="26">
        <f>IF(ROW()-3&lt;=計算用!$Q$13,ROW()-3,"")</f>
        <v/>
      </c>
      <c r="B26" s="26">
        <f>IF($A26="","",INDEX(計算用!$BB$2:$BB$51,$A26))</f>
        <v/>
      </c>
      <c r="C26" s="26">
        <f>IF($A26="","","赤"&amp;INDEX(計算用!$BC$2:$BC$51,$A26)&amp;"白"&amp;INDEX(計算用!$BD$2:$BD$51,$A26))</f>
        <v/>
      </c>
      <c r="D26">
        <f>IF($A26="","",IFERROR(INDEX(計算用!$D$2:$D$186,MATCH("男"&amp;$A26&amp;"-1",計算用!$AS$2:$AS$186,0)),""))</f>
        <v/>
      </c>
      <c r="E26" s="26">
        <f>IF($A26="","",IFERROR(INDEX(計算用!$M$2:$M$186,MATCH("男"&amp;$A26&amp;"-1",計算用!$AS$2:$AS$186,0)),""))</f>
        <v/>
      </c>
      <c r="F26" s="26">
        <f>IF($A26="","",IFERROR(INDEX(計算用!$I$2:$I$186,MATCH("男"&amp;$A26&amp;"-1",計算用!$AS$2:$AS$186,0)),""))</f>
        <v/>
      </c>
      <c r="G26">
        <f>IF($A26="","",IFERROR(INDEX(計算用!$D$2:$D$186,MATCH("男"&amp;$A26&amp;"-2",計算用!$AS$2:$AS$186,0)),""))</f>
        <v/>
      </c>
      <c r="H26" s="26">
        <f>IF($A26="","",IFERROR(INDEX(計算用!$M$2:$M$186,MATCH("男"&amp;$A26&amp;"-2",計算用!$AS$2:$AS$186,0)),""))</f>
        <v/>
      </c>
      <c r="I26" s="26">
        <f>IF($A26="","",IFERROR(INDEX(計算用!$I$2:$I$186,MATCH("男"&amp;$A26&amp;"-2",計算用!$AS$2:$AS$186,0)),""))</f>
        <v/>
      </c>
      <c r="J26">
        <f>IF($A26="","",IFERROR(INDEX(計算用!$D$2:$D$186,MATCH("男"&amp;$A26&amp;"-3",計算用!$AS$2:$AS$186,0)),""))</f>
        <v/>
      </c>
      <c r="K26" s="26">
        <f>IF($A26="","",IFERROR(INDEX(計算用!$M$2:$M$186,MATCH("男"&amp;$A26&amp;"-3",計算用!$AS$2:$AS$186,0)),""))</f>
        <v/>
      </c>
      <c r="L26" s="26">
        <f>IF($A26="","",IFERROR(INDEX(計算用!$I$2:$I$186,MATCH("男"&amp;$A26&amp;"-3",計算用!$AS$2:$AS$186,0)),""))</f>
        <v/>
      </c>
      <c r="M26">
        <f>IF($A26="","",IFERROR(INDEX(計算用!$D$2:$D$186,MATCH("男"&amp;$A26&amp;"-4",計算用!$AS$2:$AS$186,0)),""))</f>
        <v/>
      </c>
      <c r="N26" s="26">
        <f>IF($A26="","",IFERROR(INDEX(計算用!$M$2:$M$186,MATCH("男"&amp;$A26&amp;"-4",計算用!$AS$2:$AS$186,0)),""))</f>
        <v/>
      </c>
      <c r="O26" s="26">
        <f>IF($A26="","",IFERROR(INDEX(計算用!$I$2:$I$186,MATCH("男"&amp;$A26&amp;"-4",計算用!$AS$2:$AS$186,0)),""))</f>
        <v/>
      </c>
      <c r="Q26" s="26">
        <f>IF(ROW()-3&lt;=計算用!$Q$14,ROW()-3,"")</f>
        <v/>
      </c>
      <c r="R26" s="26">
        <f>IF($Q26="","",INDEX(計算用!$BG$2:$BG$51,$Q26))</f>
        <v/>
      </c>
      <c r="S26" s="26">
        <f>IF($Q26="","","赤"&amp;INDEX(計算用!$BH$2:$BH$51,$Q26)&amp;"白"&amp;INDEX(計算用!$BI$2:$BI$51,$Q26))</f>
        <v/>
      </c>
      <c r="T26">
        <f>IF($Q26="","",IFERROR(INDEX(計算用!$D$2:$D$186,MATCH("女"&amp;$Q26&amp;"-1",計算用!$AS$2:$AS$186,0)),""))</f>
        <v/>
      </c>
      <c r="U26" s="26">
        <f>IF($Q26="","",IFERROR(INDEX(計算用!$M$2:$M$186,MATCH("女"&amp;$Q26&amp;"-1",計算用!$AS$2:$AS$186,0)),""))</f>
        <v/>
      </c>
      <c r="V26" s="26">
        <f>IF($Q26="","",IFERROR(INDEX(計算用!$I$2:$I$186,MATCH("女"&amp;$Q26&amp;"-1",計算用!$AS$2:$AS$186,0)),""))</f>
        <v/>
      </c>
      <c r="W26">
        <f>IF($Q26="","",IFERROR(INDEX(計算用!$D$2:$D$186,MATCH("女"&amp;$Q26&amp;"-2",計算用!$AS$2:$AS$186,0)),""))</f>
        <v/>
      </c>
      <c r="X26" s="26">
        <f>IF($Q26="","",IFERROR(INDEX(計算用!$M$2:$M$186,MATCH("女"&amp;$Q26&amp;"-2",計算用!$AS$2:$AS$186,0)),""))</f>
        <v/>
      </c>
      <c r="Y26" s="26">
        <f>IF($Q26="","",IFERROR(INDEX(計算用!$I$2:$I$186,MATCH("女"&amp;$Q26&amp;"-2",計算用!$AS$2:$AS$186,0)),""))</f>
        <v/>
      </c>
      <c r="Z26">
        <f>IF($Q26="","",IFERROR(INDEX(計算用!$D$2:$D$186,MATCH("女"&amp;$Q26&amp;"-3",計算用!$AS$2:$AS$186,0)),""))</f>
        <v/>
      </c>
      <c r="AA26" s="26">
        <f>IF($Q26="","",IFERROR(INDEX(計算用!$M$2:$M$186,MATCH("女"&amp;$Q26&amp;"-3",計算用!$AS$2:$AS$186,0)),""))</f>
        <v/>
      </c>
      <c r="AB26" s="26">
        <f>IF($Q26="","",IFERROR(INDEX(計算用!$I$2:$I$186,MATCH("女"&amp;$Q26&amp;"-3",計算用!$AS$2:$AS$186,0)),""))</f>
        <v/>
      </c>
      <c r="AC26">
        <f>IF($Q26="","",IFERROR(INDEX(計算用!$D$2:$D$186,MATCH("女"&amp;$Q26&amp;"-4",計算用!$AS$2:$AS$186,0)),""))</f>
        <v/>
      </c>
      <c r="AD26" s="26">
        <f>IF($Q26="","",IFERROR(INDEX(計算用!$M$2:$M$186,MATCH("女"&amp;$Q26&amp;"-4",計算用!$AS$2:$AS$186,0)),""))</f>
        <v/>
      </c>
      <c r="AE26" s="26">
        <f>IF($Q26="","",IFERROR(INDEX(計算用!$I$2:$I$186,MATCH("女"&amp;$Q26&amp;"-4",計算用!$AS$2:$AS$186,0)),""))</f>
        <v/>
      </c>
    </row>
    <row r="27">
      <c r="A27" s="26">
        <f>IF(ROW()-3&lt;=計算用!$Q$13,ROW()-3,"")</f>
        <v/>
      </c>
      <c r="B27" s="26">
        <f>IF($A27="","",INDEX(計算用!$BB$2:$BB$51,$A27))</f>
        <v/>
      </c>
      <c r="C27" s="26">
        <f>IF($A27="","","赤"&amp;INDEX(計算用!$BC$2:$BC$51,$A27)&amp;"白"&amp;INDEX(計算用!$BD$2:$BD$51,$A27))</f>
        <v/>
      </c>
      <c r="D27">
        <f>IF($A27="","",IFERROR(INDEX(計算用!$D$2:$D$186,MATCH("男"&amp;$A27&amp;"-1",計算用!$AS$2:$AS$186,0)),""))</f>
        <v/>
      </c>
      <c r="E27" s="26">
        <f>IF($A27="","",IFERROR(INDEX(計算用!$M$2:$M$186,MATCH("男"&amp;$A27&amp;"-1",計算用!$AS$2:$AS$186,0)),""))</f>
        <v/>
      </c>
      <c r="F27" s="26">
        <f>IF($A27="","",IFERROR(INDEX(計算用!$I$2:$I$186,MATCH("男"&amp;$A27&amp;"-1",計算用!$AS$2:$AS$186,0)),""))</f>
        <v/>
      </c>
      <c r="G27">
        <f>IF($A27="","",IFERROR(INDEX(計算用!$D$2:$D$186,MATCH("男"&amp;$A27&amp;"-2",計算用!$AS$2:$AS$186,0)),""))</f>
        <v/>
      </c>
      <c r="H27" s="26">
        <f>IF($A27="","",IFERROR(INDEX(計算用!$M$2:$M$186,MATCH("男"&amp;$A27&amp;"-2",計算用!$AS$2:$AS$186,0)),""))</f>
        <v/>
      </c>
      <c r="I27" s="26">
        <f>IF($A27="","",IFERROR(INDEX(計算用!$I$2:$I$186,MATCH("男"&amp;$A27&amp;"-2",計算用!$AS$2:$AS$186,0)),""))</f>
        <v/>
      </c>
      <c r="J27">
        <f>IF($A27="","",IFERROR(INDEX(計算用!$D$2:$D$186,MATCH("男"&amp;$A27&amp;"-3",計算用!$AS$2:$AS$186,0)),""))</f>
        <v/>
      </c>
      <c r="K27" s="26">
        <f>IF($A27="","",IFERROR(INDEX(計算用!$M$2:$M$186,MATCH("男"&amp;$A27&amp;"-3",計算用!$AS$2:$AS$186,0)),""))</f>
        <v/>
      </c>
      <c r="L27" s="26">
        <f>IF($A27="","",IFERROR(INDEX(計算用!$I$2:$I$186,MATCH("男"&amp;$A27&amp;"-3",計算用!$AS$2:$AS$186,0)),""))</f>
        <v/>
      </c>
      <c r="M27">
        <f>IF($A27="","",IFERROR(INDEX(計算用!$D$2:$D$186,MATCH("男"&amp;$A27&amp;"-4",計算用!$AS$2:$AS$186,0)),""))</f>
        <v/>
      </c>
      <c r="N27" s="26">
        <f>IF($A27="","",IFERROR(INDEX(計算用!$M$2:$M$186,MATCH("男"&amp;$A27&amp;"-4",計算用!$AS$2:$AS$186,0)),""))</f>
        <v/>
      </c>
      <c r="O27" s="26">
        <f>IF($A27="","",IFERROR(INDEX(計算用!$I$2:$I$186,MATCH("男"&amp;$A27&amp;"-4",計算用!$AS$2:$AS$186,0)),""))</f>
        <v/>
      </c>
      <c r="Q27" s="26">
        <f>IF(ROW()-3&lt;=計算用!$Q$14,ROW()-3,"")</f>
        <v/>
      </c>
      <c r="R27" s="26">
        <f>IF($Q27="","",INDEX(計算用!$BG$2:$BG$51,$Q27))</f>
        <v/>
      </c>
      <c r="S27" s="26">
        <f>IF($Q27="","","赤"&amp;INDEX(計算用!$BH$2:$BH$51,$Q27)&amp;"白"&amp;INDEX(計算用!$BI$2:$BI$51,$Q27))</f>
        <v/>
      </c>
      <c r="T27">
        <f>IF($Q27="","",IFERROR(INDEX(計算用!$D$2:$D$186,MATCH("女"&amp;$Q27&amp;"-1",計算用!$AS$2:$AS$186,0)),""))</f>
        <v/>
      </c>
      <c r="U27" s="26">
        <f>IF($Q27="","",IFERROR(INDEX(計算用!$M$2:$M$186,MATCH("女"&amp;$Q27&amp;"-1",計算用!$AS$2:$AS$186,0)),""))</f>
        <v/>
      </c>
      <c r="V27" s="26">
        <f>IF($Q27="","",IFERROR(INDEX(計算用!$I$2:$I$186,MATCH("女"&amp;$Q27&amp;"-1",計算用!$AS$2:$AS$186,0)),""))</f>
        <v/>
      </c>
      <c r="W27">
        <f>IF($Q27="","",IFERROR(INDEX(計算用!$D$2:$D$186,MATCH("女"&amp;$Q27&amp;"-2",計算用!$AS$2:$AS$186,0)),""))</f>
        <v/>
      </c>
      <c r="X27" s="26">
        <f>IF($Q27="","",IFERROR(INDEX(計算用!$M$2:$M$186,MATCH("女"&amp;$Q27&amp;"-2",計算用!$AS$2:$AS$186,0)),""))</f>
        <v/>
      </c>
      <c r="Y27" s="26">
        <f>IF($Q27="","",IFERROR(INDEX(計算用!$I$2:$I$186,MATCH("女"&amp;$Q27&amp;"-2",計算用!$AS$2:$AS$186,0)),""))</f>
        <v/>
      </c>
      <c r="Z27">
        <f>IF($Q27="","",IFERROR(INDEX(計算用!$D$2:$D$186,MATCH("女"&amp;$Q27&amp;"-3",計算用!$AS$2:$AS$186,0)),""))</f>
        <v/>
      </c>
      <c r="AA27" s="26">
        <f>IF($Q27="","",IFERROR(INDEX(計算用!$M$2:$M$186,MATCH("女"&amp;$Q27&amp;"-3",計算用!$AS$2:$AS$186,0)),""))</f>
        <v/>
      </c>
      <c r="AB27" s="26">
        <f>IF($Q27="","",IFERROR(INDEX(計算用!$I$2:$I$186,MATCH("女"&amp;$Q27&amp;"-3",計算用!$AS$2:$AS$186,0)),""))</f>
        <v/>
      </c>
      <c r="AC27">
        <f>IF($Q27="","",IFERROR(INDEX(計算用!$D$2:$D$186,MATCH("女"&amp;$Q27&amp;"-4",計算用!$AS$2:$AS$186,0)),""))</f>
        <v/>
      </c>
      <c r="AD27" s="26">
        <f>IF($Q27="","",IFERROR(INDEX(計算用!$M$2:$M$186,MATCH("女"&amp;$Q27&amp;"-4",計算用!$AS$2:$AS$186,0)),""))</f>
        <v/>
      </c>
      <c r="AE27" s="26">
        <f>IF($Q27="","",IFERROR(INDEX(計算用!$I$2:$I$186,MATCH("女"&amp;$Q27&amp;"-4",計算用!$AS$2:$AS$186,0)),""))</f>
        <v/>
      </c>
    </row>
    <row r="28">
      <c r="A28" s="26">
        <f>IF(ROW()-3&lt;=計算用!$Q$13,ROW()-3,"")</f>
        <v/>
      </c>
      <c r="B28" s="26">
        <f>IF($A28="","",INDEX(計算用!$BB$2:$BB$51,$A28))</f>
        <v/>
      </c>
      <c r="C28" s="26">
        <f>IF($A28="","","赤"&amp;INDEX(計算用!$BC$2:$BC$51,$A28)&amp;"白"&amp;INDEX(計算用!$BD$2:$BD$51,$A28))</f>
        <v/>
      </c>
      <c r="D28">
        <f>IF($A28="","",IFERROR(INDEX(計算用!$D$2:$D$186,MATCH("男"&amp;$A28&amp;"-1",計算用!$AS$2:$AS$186,0)),""))</f>
        <v/>
      </c>
      <c r="E28" s="26">
        <f>IF($A28="","",IFERROR(INDEX(計算用!$M$2:$M$186,MATCH("男"&amp;$A28&amp;"-1",計算用!$AS$2:$AS$186,0)),""))</f>
        <v/>
      </c>
      <c r="F28" s="26">
        <f>IF($A28="","",IFERROR(INDEX(計算用!$I$2:$I$186,MATCH("男"&amp;$A28&amp;"-1",計算用!$AS$2:$AS$186,0)),""))</f>
        <v/>
      </c>
      <c r="G28">
        <f>IF($A28="","",IFERROR(INDEX(計算用!$D$2:$D$186,MATCH("男"&amp;$A28&amp;"-2",計算用!$AS$2:$AS$186,0)),""))</f>
        <v/>
      </c>
      <c r="H28" s="26">
        <f>IF($A28="","",IFERROR(INDEX(計算用!$M$2:$M$186,MATCH("男"&amp;$A28&amp;"-2",計算用!$AS$2:$AS$186,0)),""))</f>
        <v/>
      </c>
      <c r="I28" s="26">
        <f>IF($A28="","",IFERROR(INDEX(計算用!$I$2:$I$186,MATCH("男"&amp;$A28&amp;"-2",計算用!$AS$2:$AS$186,0)),""))</f>
        <v/>
      </c>
      <c r="J28">
        <f>IF($A28="","",IFERROR(INDEX(計算用!$D$2:$D$186,MATCH("男"&amp;$A28&amp;"-3",計算用!$AS$2:$AS$186,0)),""))</f>
        <v/>
      </c>
      <c r="K28" s="26">
        <f>IF($A28="","",IFERROR(INDEX(計算用!$M$2:$M$186,MATCH("男"&amp;$A28&amp;"-3",計算用!$AS$2:$AS$186,0)),""))</f>
        <v/>
      </c>
      <c r="L28" s="26">
        <f>IF($A28="","",IFERROR(INDEX(計算用!$I$2:$I$186,MATCH("男"&amp;$A28&amp;"-3",計算用!$AS$2:$AS$186,0)),""))</f>
        <v/>
      </c>
      <c r="M28">
        <f>IF($A28="","",IFERROR(INDEX(計算用!$D$2:$D$186,MATCH("男"&amp;$A28&amp;"-4",計算用!$AS$2:$AS$186,0)),""))</f>
        <v/>
      </c>
      <c r="N28" s="26">
        <f>IF($A28="","",IFERROR(INDEX(計算用!$M$2:$M$186,MATCH("男"&amp;$A28&amp;"-4",計算用!$AS$2:$AS$186,0)),""))</f>
        <v/>
      </c>
      <c r="O28" s="26">
        <f>IF($A28="","",IFERROR(INDEX(計算用!$I$2:$I$186,MATCH("男"&amp;$A28&amp;"-4",計算用!$AS$2:$AS$186,0)),""))</f>
        <v/>
      </c>
      <c r="Q28" s="26">
        <f>IF(ROW()-3&lt;=計算用!$Q$14,ROW()-3,"")</f>
        <v/>
      </c>
      <c r="R28" s="26">
        <f>IF($Q28="","",INDEX(計算用!$BG$2:$BG$51,$Q28))</f>
        <v/>
      </c>
      <c r="S28" s="26">
        <f>IF($Q28="","","赤"&amp;INDEX(計算用!$BH$2:$BH$51,$Q28)&amp;"白"&amp;INDEX(計算用!$BI$2:$BI$51,$Q28))</f>
        <v/>
      </c>
      <c r="T28">
        <f>IF($Q28="","",IFERROR(INDEX(計算用!$D$2:$D$186,MATCH("女"&amp;$Q28&amp;"-1",計算用!$AS$2:$AS$186,0)),""))</f>
        <v/>
      </c>
      <c r="U28" s="26">
        <f>IF($Q28="","",IFERROR(INDEX(計算用!$M$2:$M$186,MATCH("女"&amp;$Q28&amp;"-1",計算用!$AS$2:$AS$186,0)),""))</f>
        <v/>
      </c>
      <c r="V28" s="26">
        <f>IF($Q28="","",IFERROR(INDEX(計算用!$I$2:$I$186,MATCH("女"&amp;$Q28&amp;"-1",計算用!$AS$2:$AS$186,0)),""))</f>
        <v/>
      </c>
      <c r="W28">
        <f>IF($Q28="","",IFERROR(INDEX(計算用!$D$2:$D$186,MATCH("女"&amp;$Q28&amp;"-2",計算用!$AS$2:$AS$186,0)),""))</f>
        <v/>
      </c>
      <c r="X28" s="26">
        <f>IF($Q28="","",IFERROR(INDEX(計算用!$M$2:$M$186,MATCH("女"&amp;$Q28&amp;"-2",計算用!$AS$2:$AS$186,0)),""))</f>
        <v/>
      </c>
      <c r="Y28" s="26">
        <f>IF($Q28="","",IFERROR(INDEX(計算用!$I$2:$I$186,MATCH("女"&amp;$Q28&amp;"-2",計算用!$AS$2:$AS$186,0)),""))</f>
        <v/>
      </c>
      <c r="Z28">
        <f>IF($Q28="","",IFERROR(INDEX(計算用!$D$2:$D$186,MATCH("女"&amp;$Q28&amp;"-3",計算用!$AS$2:$AS$186,0)),""))</f>
        <v/>
      </c>
      <c r="AA28" s="26">
        <f>IF($Q28="","",IFERROR(INDEX(計算用!$M$2:$M$186,MATCH("女"&amp;$Q28&amp;"-3",計算用!$AS$2:$AS$186,0)),""))</f>
        <v/>
      </c>
      <c r="AB28" s="26">
        <f>IF($Q28="","",IFERROR(INDEX(計算用!$I$2:$I$186,MATCH("女"&amp;$Q28&amp;"-3",計算用!$AS$2:$AS$186,0)),""))</f>
        <v/>
      </c>
      <c r="AC28">
        <f>IF($Q28="","",IFERROR(INDEX(計算用!$D$2:$D$186,MATCH("女"&amp;$Q28&amp;"-4",計算用!$AS$2:$AS$186,0)),""))</f>
        <v/>
      </c>
      <c r="AD28" s="26">
        <f>IF($Q28="","",IFERROR(INDEX(計算用!$M$2:$M$186,MATCH("女"&amp;$Q28&amp;"-4",計算用!$AS$2:$AS$186,0)),""))</f>
        <v/>
      </c>
      <c r="AE28" s="26">
        <f>IF($Q28="","",IFERROR(INDEX(計算用!$I$2:$I$186,MATCH("女"&amp;$Q28&amp;"-4",計算用!$AS$2:$AS$186,0)),""))</f>
        <v/>
      </c>
    </row>
    <row r="29">
      <c r="A29" s="26">
        <f>IF(ROW()-3&lt;=計算用!$Q$13,ROW()-3,"")</f>
        <v/>
      </c>
      <c r="B29" s="26">
        <f>IF($A29="","",INDEX(計算用!$BB$2:$BB$51,$A29))</f>
        <v/>
      </c>
      <c r="C29" s="26">
        <f>IF($A29="","","赤"&amp;INDEX(計算用!$BC$2:$BC$51,$A29)&amp;"白"&amp;INDEX(計算用!$BD$2:$BD$51,$A29))</f>
        <v/>
      </c>
      <c r="D29">
        <f>IF($A29="","",IFERROR(INDEX(計算用!$D$2:$D$186,MATCH("男"&amp;$A29&amp;"-1",計算用!$AS$2:$AS$186,0)),""))</f>
        <v/>
      </c>
      <c r="E29" s="26">
        <f>IF($A29="","",IFERROR(INDEX(計算用!$M$2:$M$186,MATCH("男"&amp;$A29&amp;"-1",計算用!$AS$2:$AS$186,0)),""))</f>
        <v/>
      </c>
      <c r="F29" s="26">
        <f>IF($A29="","",IFERROR(INDEX(計算用!$I$2:$I$186,MATCH("男"&amp;$A29&amp;"-1",計算用!$AS$2:$AS$186,0)),""))</f>
        <v/>
      </c>
      <c r="G29">
        <f>IF($A29="","",IFERROR(INDEX(計算用!$D$2:$D$186,MATCH("男"&amp;$A29&amp;"-2",計算用!$AS$2:$AS$186,0)),""))</f>
        <v/>
      </c>
      <c r="H29" s="26">
        <f>IF($A29="","",IFERROR(INDEX(計算用!$M$2:$M$186,MATCH("男"&amp;$A29&amp;"-2",計算用!$AS$2:$AS$186,0)),""))</f>
        <v/>
      </c>
      <c r="I29" s="26">
        <f>IF($A29="","",IFERROR(INDEX(計算用!$I$2:$I$186,MATCH("男"&amp;$A29&amp;"-2",計算用!$AS$2:$AS$186,0)),""))</f>
        <v/>
      </c>
      <c r="J29">
        <f>IF($A29="","",IFERROR(INDEX(計算用!$D$2:$D$186,MATCH("男"&amp;$A29&amp;"-3",計算用!$AS$2:$AS$186,0)),""))</f>
        <v/>
      </c>
      <c r="K29" s="26">
        <f>IF($A29="","",IFERROR(INDEX(計算用!$M$2:$M$186,MATCH("男"&amp;$A29&amp;"-3",計算用!$AS$2:$AS$186,0)),""))</f>
        <v/>
      </c>
      <c r="L29" s="26">
        <f>IF($A29="","",IFERROR(INDEX(計算用!$I$2:$I$186,MATCH("男"&amp;$A29&amp;"-3",計算用!$AS$2:$AS$186,0)),""))</f>
        <v/>
      </c>
      <c r="M29">
        <f>IF($A29="","",IFERROR(INDEX(計算用!$D$2:$D$186,MATCH("男"&amp;$A29&amp;"-4",計算用!$AS$2:$AS$186,0)),""))</f>
        <v/>
      </c>
      <c r="N29" s="26">
        <f>IF($A29="","",IFERROR(INDEX(計算用!$M$2:$M$186,MATCH("男"&amp;$A29&amp;"-4",計算用!$AS$2:$AS$186,0)),""))</f>
        <v/>
      </c>
      <c r="O29" s="26">
        <f>IF($A29="","",IFERROR(INDEX(計算用!$I$2:$I$186,MATCH("男"&amp;$A29&amp;"-4",計算用!$AS$2:$AS$186,0)),""))</f>
        <v/>
      </c>
      <c r="Q29" s="26">
        <f>IF(ROW()-3&lt;=計算用!$Q$14,ROW()-3,"")</f>
        <v/>
      </c>
      <c r="R29" s="26">
        <f>IF($Q29="","",INDEX(計算用!$BG$2:$BG$51,$Q29))</f>
        <v/>
      </c>
      <c r="S29" s="26">
        <f>IF($Q29="","","赤"&amp;INDEX(計算用!$BH$2:$BH$51,$Q29)&amp;"白"&amp;INDEX(計算用!$BI$2:$BI$51,$Q29))</f>
        <v/>
      </c>
      <c r="T29">
        <f>IF($Q29="","",IFERROR(INDEX(計算用!$D$2:$D$186,MATCH("女"&amp;$Q29&amp;"-1",計算用!$AS$2:$AS$186,0)),""))</f>
        <v/>
      </c>
      <c r="U29" s="26">
        <f>IF($Q29="","",IFERROR(INDEX(計算用!$M$2:$M$186,MATCH("女"&amp;$Q29&amp;"-1",計算用!$AS$2:$AS$186,0)),""))</f>
        <v/>
      </c>
      <c r="V29" s="26">
        <f>IF($Q29="","",IFERROR(INDEX(計算用!$I$2:$I$186,MATCH("女"&amp;$Q29&amp;"-1",計算用!$AS$2:$AS$186,0)),""))</f>
        <v/>
      </c>
      <c r="W29">
        <f>IF($Q29="","",IFERROR(INDEX(計算用!$D$2:$D$186,MATCH("女"&amp;$Q29&amp;"-2",計算用!$AS$2:$AS$186,0)),""))</f>
        <v/>
      </c>
      <c r="X29" s="26">
        <f>IF($Q29="","",IFERROR(INDEX(計算用!$M$2:$M$186,MATCH("女"&amp;$Q29&amp;"-2",計算用!$AS$2:$AS$186,0)),""))</f>
        <v/>
      </c>
      <c r="Y29" s="26">
        <f>IF($Q29="","",IFERROR(INDEX(計算用!$I$2:$I$186,MATCH("女"&amp;$Q29&amp;"-2",計算用!$AS$2:$AS$186,0)),""))</f>
        <v/>
      </c>
      <c r="Z29">
        <f>IF($Q29="","",IFERROR(INDEX(計算用!$D$2:$D$186,MATCH("女"&amp;$Q29&amp;"-3",計算用!$AS$2:$AS$186,0)),""))</f>
        <v/>
      </c>
      <c r="AA29" s="26">
        <f>IF($Q29="","",IFERROR(INDEX(計算用!$M$2:$M$186,MATCH("女"&amp;$Q29&amp;"-3",計算用!$AS$2:$AS$186,0)),""))</f>
        <v/>
      </c>
      <c r="AB29" s="26">
        <f>IF($Q29="","",IFERROR(INDEX(計算用!$I$2:$I$186,MATCH("女"&amp;$Q29&amp;"-3",計算用!$AS$2:$AS$186,0)),""))</f>
        <v/>
      </c>
      <c r="AC29">
        <f>IF($Q29="","",IFERROR(INDEX(計算用!$D$2:$D$186,MATCH("女"&amp;$Q29&amp;"-4",計算用!$AS$2:$AS$186,0)),""))</f>
        <v/>
      </c>
      <c r="AD29" s="26">
        <f>IF($Q29="","",IFERROR(INDEX(計算用!$M$2:$M$186,MATCH("女"&amp;$Q29&amp;"-4",計算用!$AS$2:$AS$186,0)),""))</f>
        <v/>
      </c>
      <c r="AE29" s="26">
        <f>IF($Q29="","",IFERROR(INDEX(計算用!$I$2:$I$186,MATCH("女"&amp;$Q29&amp;"-4",計算用!$AS$2:$AS$186,0)),""))</f>
        <v/>
      </c>
    </row>
    <row r="30">
      <c r="A30" s="26">
        <f>IF(ROW()-3&lt;=計算用!$Q$13,ROW()-3,"")</f>
        <v/>
      </c>
      <c r="B30" s="26">
        <f>IF($A30="","",INDEX(計算用!$BB$2:$BB$51,$A30))</f>
        <v/>
      </c>
      <c r="C30" s="26">
        <f>IF($A30="","","赤"&amp;INDEX(計算用!$BC$2:$BC$51,$A30)&amp;"白"&amp;INDEX(計算用!$BD$2:$BD$51,$A30))</f>
        <v/>
      </c>
      <c r="D30">
        <f>IF($A30="","",IFERROR(INDEX(計算用!$D$2:$D$186,MATCH("男"&amp;$A30&amp;"-1",計算用!$AS$2:$AS$186,0)),""))</f>
        <v/>
      </c>
      <c r="E30" s="26">
        <f>IF($A30="","",IFERROR(INDEX(計算用!$M$2:$M$186,MATCH("男"&amp;$A30&amp;"-1",計算用!$AS$2:$AS$186,0)),""))</f>
        <v/>
      </c>
      <c r="F30" s="26">
        <f>IF($A30="","",IFERROR(INDEX(計算用!$I$2:$I$186,MATCH("男"&amp;$A30&amp;"-1",計算用!$AS$2:$AS$186,0)),""))</f>
        <v/>
      </c>
      <c r="G30">
        <f>IF($A30="","",IFERROR(INDEX(計算用!$D$2:$D$186,MATCH("男"&amp;$A30&amp;"-2",計算用!$AS$2:$AS$186,0)),""))</f>
        <v/>
      </c>
      <c r="H30" s="26">
        <f>IF($A30="","",IFERROR(INDEX(計算用!$M$2:$M$186,MATCH("男"&amp;$A30&amp;"-2",計算用!$AS$2:$AS$186,0)),""))</f>
        <v/>
      </c>
      <c r="I30" s="26">
        <f>IF($A30="","",IFERROR(INDEX(計算用!$I$2:$I$186,MATCH("男"&amp;$A30&amp;"-2",計算用!$AS$2:$AS$186,0)),""))</f>
        <v/>
      </c>
      <c r="J30">
        <f>IF($A30="","",IFERROR(INDEX(計算用!$D$2:$D$186,MATCH("男"&amp;$A30&amp;"-3",計算用!$AS$2:$AS$186,0)),""))</f>
        <v/>
      </c>
      <c r="K30" s="26">
        <f>IF($A30="","",IFERROR(INDEX(計算用!$M$2:$M$186,MATCH("男"&amp;$A30&amp;"-3",計算用!$AS$2:$AS$186,0)),""))</f>
        <v/>
      </c>
      <c r="L30" s="26">
        <f>IF($A30="","",IFERROR(INDEX(計算用!$I$2:$I$186,MATCH("男"&amp;$A30&amp;"-3",計算用!$AS$2:$AS$186,0)),""))</f>
        <v/>
      </c>
      <c r="M30">
        <f>IF($A30="","",IFERROR(INDEX(計算用!$D$2:$D$186,MATCH("男"&amp;$A30&amp;"-4",計算用!$AS$2:$AS$186,0)),""))</f>
        <v/>
      </c>
      <c r="N30" s="26">
        <f>IF($A30="","",IFERROR(INDEX(計算用!$M$2:$M$186,MATCH("男"&amp;$A30&amp;"-4",計算用!$AS$2:$AS$186,0)),""))</f>
        <v/>
      </c>
      <c r="O30" s="26">
        <f>IF($A30="","",IFERROR(INDEX(計算用!$I$2:$I$186,MATCH("男"&amp;$A30&amp;"-4",計算用!$AS$2:$AS$186,0)),""))</f>
        <v/>
      </c>
      <c r="Q30" s="26">
        <f>IF(ROW()-3&lt;=計算用!$Q$14,ROW()-3,"")</f>
        <v/>
      </c>
      <c r="R30" s="26">
        <f>IF($Q30="","",INDEX(計算用!$BG$2:$BG$51,$Q30))</f>
        <v/>
      </c>
      <c r="S30" s="26">
        <f>IF($Q30="","","赤"&amp;INDEX(計算用!$BH$2:$BH$51,$Q30)&amp;"白"&amp;INDEX(計算用!$BI$2:$BI$51,$Q30))</f>
        <v/>
      </c>
      <c r="T30">
        <f>IF($Q30="","",IFERROR(INDEX(計算用!$D$2:$D$186,MATCH("女"&amp;$Q30&amp;"-1",計算用!$AS$2:$AS$186,0)),""))</f>
        <v/>
      </c>
      <c r="U30" s="26">
        <f>IF($Q30="","",IFERROR(INDEX(計算用!$M$2:$M$186,MATCH("女"&amp;$Q30&amp;"-1",計算用!$AS$2:$AS$186,0)),""))</f>
        <v/>
      </c>
      <c r="V30" s="26">
        <f>IF($Q30="","",IFERROR(INDEX(計算用!$I$2:$I$186,MATCH("女"&amp;$Q30&amp;"-1",計算用!$AS$2:$AS$186,0)),""))</f>
        <v/>
      </c>
      <c r="W30">
        <f>IF($Q30="","",IFERROR(INDEX(計算用!$D$2:$D$186,MATCH("女"&amp;$Q30&amp;"-2",計算用!$AS$2:$AS$186,0)),""))</f>
        <v/>
      </c>
      <c r="X30" s="26">
        <f>IF($Q30="","",IFERROR(INDEX(計算用!$M$2:$M$186,MATCH("女"&amp;$Q30&amp;"-2",計算用!$AS$2:$AS$186,0)),""))</f>
        <v/>
      </c>
      <c r="Y30" s="26">
        <f>IF($Q30="","",IFERROR(INDEX(計算用!$I$2:$I$186,MATCH("女"&amp;$Q30&amp;"-2",計算用!$AS$2:$AS$186,0)),""))</f>
        <v/>
      </c>
      <c r="Z30">
        <f>IF($Q30="","",IFERROR(INDEX(計算用!$D$2:$D$186,MATCH("女"&amp;$Q30&amp;"-3",計算用!$AS$2:$AS$186,0)),""))</f>
        <v/>
      </c>
      <c r="AA30" s="26">
        <f>IF($Q30="","",IFERROR(INDEX(計算用!$M$2:$M$186,MATCH("女"&amp;$Q30&amp;"-3",計算用!$AS$2:$AS$186,0)),""))</f>
        <v/>
      </c>
      <c r="AB30" s="26">
        <f>IF($Q30="","",IFERROR(INDEX(計算用!$I$2:$I$186,MATCH("女"&amp;$Q30&amp;"-3",計算用!$AS$2:$AS$186,0)),""))</f>
        <v/>
      </c>
      <c r="AC30">
        <f>IF($Q30="","",IFERROR(INDEX(計算用!$D$2:$D$186,MATCH("女"&amp;$Q30&amp;"-4",計算用!$AS$2:$AS$186,0)),""))</f>
        <v/>
      </c>
      <c r="AD30" s="26">
        <f>IF($Q30="","",IFERROR(INDEX(計算用!$M$2:$M$186,MATCH("女"&amp;$Q30&amp;"-4",計算用!$AS$2:$AS$186,0)),""))</f>
        <v/>
      </c>
      <c r="AE30" s="26">
        <f>IF($Q30="","",IFERROR(INDEX(計算用!$I$2:$I$186,MATCH("女"&amp;$Q30&amp;"-4",計算用!$AS$2:$AS$186,0)),""))</f>
        <v/>
      </c>
    </row>
    <row r="31">
      <c r="A31" s="26">
        <f>IF(ROW()-3&lt;=計算用!$Q$13,ROW()-3,"")</f>
        <v/>
      </c>
      <c r="B31" s="26">
        <f>IF($A31="","",INDEX(計算用!$BB$2:$BB$51,$A31))</f>
        <v/>
      </c>
      <c r="C31" s="26">
        <f>IF($A31="","","赤"&amp;INDEX(計算用!$BC$2:$BC$51,$A31)&amp;"白"&amp;INDEX(計算用!$BD$2:$BD$51,$A31))</f>
        <v/>
      </c>
      <c r="D31">
        <f>IF($A31="","",IFERROR(INDEX(計算用!$D$2:$D$186,MATCH("男"&amp;$A31&amp;"-1",計算用!$AS$2:$AS$186,0)),""))</f>
        <v/>
      </c>
      <c r="E31" s="26">
        <f>IF($A31="","",IFERROR(INDEX(計算用!$M$2:$M$186,MATCH("男"&amp;$A31&amp;"-1",計算用!$AS$2:$AS$186,0)),""))</f>
        <v/>
      </c>
      <c r="F31" s="26">
        <f>IF($A31="","",IFERROR(INDEX(計算用!$I$2:$I$186,MATCH("男"&amp;$A31&amp;"-1",計算用!$AS$2:$AS$186,0)),""))</f>
        <v/>
      </c>
      <c r="G31">
        <f>IF($A31="","",IFERROR(INDEX(計算用!$D$2:$D$186,MATCH("男"&amp;$A31&amp;"-2",計算用!$AS$2:$AS$186,0)),""))</f>
        <v/>
      </c>
      <c r="H31" s="26">
        <f>IF($A31="","",IFERROR(INDEX(計算用!$M$2:$M$186,MATCH("男"&amp;$A31&amp;"-2",計算用!$AS$2:$AS$186,0)),""))</f>
        <v/>
      </c>
      <c r="I31" s="26">
        <f>IF($A31="","",IFERROR(INDEX(計算用!$I$2:$I$186,MATCH("男"&amp;$A31&amp;"-2",計算用!$AS$2:$AS$186,0)),""))</f>
        <v/>
      </c>
      <c r="J31">
        <f>IF($A31="","",IFERROR(INDEX(計算用!$D$2:$D$186,MATCH("男"&amp;$A31&amp;"-3",計算用!$AS$2:$AS$186,0)),""))</f>
        <v/>
      </c>
      <c r="K31" s="26">
        <f>IF($A31="","",IFERROR(INDEX(計算用!$M$2:$M$186,MATCH("男"&amp;$A31&amp;"-3",計算用!$AS$2:$AS$186,0)),""))</f>
        <v/>
      </c>
      <c r="L31" s="26">
        <f>IF($A31="","",IFERROR(INDEX(計算用!$I$2:$I$186,MATCH("男"&amp;$A31&amp;"-3",計算用!$AS$2:$AS$186,0)),""))</f>
        <v/>
      </c>
      <c r="M31">
        <f>IF($A31="","",IFERROR(INDEX(計算用!$D$2:$D$186,MATCH("男"&amp;$A31&amp;"-4",計算用!$AS$2:$AS$186,0)),""))</f>
        <v/>
      </c>
      <c r="N31" s="26">
        <f>IF($A31="","",IFERROR(INDEX(計算用!$M$2:$M$186,MATCH("男"&amp;$A31&amp;"-4",計算用!$AS$2:$AS$186,0)),""))</f>
        <v/>
      </c>
      <c r="O31" s="26">
        <f>IF($A31="","",IFERROR(INDEX(計算用!$I$2:$I$186,MATCH("男"&amp;$A31&amp;"-4",計算用!$AS$2:$AS$186,0)),""))</f>
        <v/>
      </c>
      <c r="Q31" s="26">
        <f>IF(ROW()-3&lt;=計算用!$Q$14,ROW()-3,"")</f>
        <v/>
      </c>
      <c r="R31" s="26">
        <f>IF($Q31="","",INDEX(計算用!$BG$2:$BG$51,$Q31))</f>
        <v/>
      </c>
      <c r="S31" s="26">
        <f>IF($Q31="","","赤"&amp;INDEX(計算用!$BH$2:$BH$51,$Q31)&amp;"白"&amp;INDEX(計算用!$BI$2:$BI$51,$Q31))</f>
        <v/>
      </c>
      <c r="T31">
        <f>IF($Q31="","",IFERROR(INDEX(計算用!$D$2:$D$186,MATCH("女"&amp;$Q31&amp;"-1",計算用!$AS$2:$AS$186,0)),""))</f>
        <v/>
      </c>
      <c r="U31" s="26">
        <f>IF($Q31="","",IFERROR(INDEX(計算用!$M$2:$M$186,MATCH("女"&amp;$Q31&amp;"-1",計算用!$AS$2:$AS$186,0)),""))</f>
        <v/>
      </c>
      <c r="V31" s="26">
        <f>IF($Q31="","",IFERROR(INDEX(計算用!$I$2:$I$186,MATCH("女"&amp;$Q31&amp;"-1",計算用!$AS$2:$AS$186,0)),""))</f>
        <v/>
      </c>
      <c r="W31">
        <f>IF($Q31="","",IFERROR(INDEX(計算用!$D$2:$D$186,MATCH("女"&amp;$Q31&amp;"-2",計算用!$AS$2:$AS$186,0)),""))</f>
        <v/>
      </c>
      <c r="X31" s="26">
        <f>IF($Q31="","",IFERROR(INDEX(計算用!$M$2:$M$186,MATCH("女"&amp;$Q31&amp;"-2",計算用!$AS$2:$AS$186,0)),""))</f>
        <v/>
      </c>
      <c r="Y31" s="26">
        <f>IF($Q31="","",IFERROR(INDEX(計算用!$I$2:$I$186,MATCH("女"&amp;$Q31&amp;"-2",計算用!$AS$2:$AS$186,0)),""))</f>
        <v/>
      </c>
      <c r="Z31">
        <f>IF($Q31="","",IFERROR(INDEX(計算用!$D$2:$D$186,MATCH("女"&amp;$Q31&amp;"-3",計算用!$AS$2:$AS$186,0)),""))</f>
        <v/>
      </c>
      <c r="AA31" s="26">
        <f>IF($Q31="","",IFERROR(INDEX(計算用!$M$2:$M$186,MATCH("女"&amp;$Q31&amp;"-3",計算用!$AS$2:$AS$186,0)),""))</f>
        <v/>
      </c>
      <c r="AB31" s="26">
        <f>IF($Q31="","",IFERROR(INDEX(計算用!$I$2:$I$186,MATCH("女"&amp;$Q31&amp;"-3",計算用!$AS$2:$AS$186,0)),""))</f>
        <v/>
      </c>
      <c r="AC31">
        <f>IF($Q31="","",IFERROR(INDEX(計算用!$D$2:$D$186,MATCH("女"&amp;$Q31&amp;"-4",計算用!$AS$2:$AS$186,0)),""))</f>
        <v/>
      </c>
      <c r="AD31" s="26">
        <f>IF($Q31="","",IFERROR(INDEX(計算用!$M$2:$M$186,MATCH("女"&amp;$Q31&amp;"-4",計算用!$AS$2:$AS$186,0)),""))</f>
        <v/>
      </c>
      <c r="AE31" s="26">
        <f>IF($Q31="","",IFERROR(INDEX(計算用!$I$2:$I$186,MATCH("女"&amp;$Q31&amp;"-4",計算用!$AS$2:$AS$186,0)),""))</f>
        <v/>
      </c>
    </row>
    <row r="32">
      <c r="A32" s="26">
        <f>IF(ROW()-3&lt;=計算用!$Q$13,ROW()-3,"")</f>
        <v/>
      </c>
      <c r="B32" s="26">
        <f>IF($A32="","",INDEX(計算用!$BB$2:$BB$51,$A32))</f>
        <v/>
      </c>
      <c r="C32" s="26">
        <f>IF($A32="","","赤"&amp;INDEX(計算用!$BC$2:$BC$51,$A32)&amp;"白"&amp;INDEX(計算用!$BD$2:$BD$51,$A32))</f>
        <v/>
      </c>
      <c r="D32">
        <f>IF($A32="","",IFERROR(INDEX(計算用!$D$2:$D$186,MATCH("男"&amp;$A32&amp;"-1",計算用!$AS$2:$AS$186,0)),""))</f>
        <v/>
      </c>
      <c r="E32" s="26">
        <f>IF($A32="","",IFERROR(INDEX(計算用!$M$2:$M$186,MATCH("男"&amp;$A32&amp;"-1",計算用!$AS$2:$AS$186,0)),""))</f>
        <v/>
      </c>
      <c r="F32" s="26">
        <f>IF($A32="","",IFERROR(INDEX(計算用!$I$2:$I$186,MATCH("男"&amp;$A32&amp;"-1",計算用!$AS$2:$AS$186,0)),""))</f>
        <v/>
      </c>
      <c r="G32">
        <f>IF($A32="","",IFERROR(INDEX(計算用!$D$2:$D$186,MATCH("男"&amp;$A32&amp;"-2",計算用!$AS$2:$AS$186,0)),""))</f>
        <v/>
      </c>
      <c r="H32" s="26">
        <f>IF($A32="","",IFERROR(INDEX(計算用!$M$2:$M$186,MATCH("男"&amp;$A32&amp;"-2",計算用!$AS$2:$AS$186,0)),""))</f>
        <v/>
      </c>
      <c r="I32" s="26">
        <f>IF($A32="","",IFERROR(INDEX(計算用!$I$2:$I$186,MATCH("男"&amp;$A32&amp;"-2",計算用!$AS$2:$AS$186,0)),""))</f>
        <v/>
      </c>
      <c r="J32">
        <f>IF($A32="","",IFERROR(INDEX(計算用!$D$2:$D$186,MATCH("男"&amp;$A32&amp;"-3",計算用!$AS$2:$AS$186,0)),""))</f>
        <v/>
      </c>
      <c r="K32" s="26">
        <f>IF($A32="","",IFERROR(INDEX(計算用!$M$2:$M$186,MATCH("男"&amp;$A32&amp;"-3",計算用!$AS$2:$AS$186,0)),""))</f>
        <v/>
      </c>
      <c r="L32" s="26">
        <f>IF($A32="","",IFERROR(INDEX(計算用!$I$2:$I$186,MATCH("男"&amp;$A32&amp;"-3",計算用!$AS$2:$AS$186,0)),""))</f>
        <v/>
      </c>
      <c r="M32">
        <f>IF($A32="","",IFERROR(INDEX(計算用!$D$2:$D$186,MATCH("男"&amp;$A32&amp;"-4",計算用!$AS$2:$AS$186,0)),""))</f>
        <v/>
      </c>
      <c r="N32" s="26">
        <f>IF($A32="","",IFERROR(INDEX(計算用!$M$2:$M$186,MATCH("男"&amp;$A32&amp;"-4",計算用!$AS$2:$AS$186,0)),""))</f>
        <v/>
      </c>
      <c r="O32" s="26">
        <f>IF($A32="","",IFERROR(INDEX(計算用!$I$2:$I$186,MATCH("男"&amp;$A32&amp;"-4",計算用!$AS$2:$AS$186,0)),""))</f>
        <v/>
      </c>
      <c r="Q32" s="26">
        <f>IF(ROW()-3&lt;=計算用!$Q$14,ROW()-3,"")</f>
        <v/>
      </c>
      <c r="R32" s="26">
        <f>IF($Q32="","",INDEX(計算用!$BG$2:$BG$51,$Q32))</f>
        <v/>
      </c>
      <c r="S32" s="26">
        <f>IF($Q32="","","赤"&amp;INDEX(計算用!$BH$2:$BH$51,$Q32)&amp;"白"&amp;INDEX(計算用!$BI$2:$BI$51,$Q32))</f>
        <v/>
      </c>
      <c r="T32">
        <f>IF($Q32="","",IFERROR(INDEX(計算用!$D$2:$D$186,MATCH("女"&amp;$Q32&amp;"-1",計算用!$AS$2:$AS$186,0)),""))</f>
        <v/>
      </c>
      <c r="U32" s="26">
        <f>IF($Q32="","",IFERROR(INDEX(計算用!$M$2:$M$186,MATCH("女"&amp;$Q32&amp;"-1",計算用!$AS$2:$AS$186,0)),""))</f>
        <v/>
      </c>
      <c r="V32" s="26">
        <f>IF($Q32="","",IFERROR(INDEX(計算用!$I$2:$I$186,MATCH("女"&amp;$Q32&amp;"-1",計算用!$AS$2:$AS$186,0)),""))</f>
        <v/>
      </c>
      <c r="W32">
        <f>IF($Q32="","",IFERROR(INDEX(計算用!$D$2:$D$186,MATCH("女"&amp;$Q32&amp;"-2",計算用!$AS$2:$AS$186,0)),""))</f>
        <v/>
      </c>
      <c r="X32" s="26">
        <f>IF($Q32="","",IFERROR(INDEX(計算用!$M$2:$M$186,MATCH("女"&amp;$Q32&amp;"-2",計算用!$AS$2:$AS$186,0)),""))</f>
        <v/>
      </c>
      <c r="Y32" s="26">
        <f>IF($Q32="","",IFERROR(INDEX(計算用!$I$2:$I$186,MATCH("女"&amp;$Q32&amp;"-2",計算用!$AS$2:$AS$186,0)),""))</f>
        <v/>
      </c>
      <c r="Z32">
        <f>IF($Q32="","",IFERROR(INDEX(計算用!$D$2:$D$186,MATCH("女"&amp;$Q32&amp;"-3",計算用!$AS$2:$AS$186,0)),""))</f>
        <v/>
      </c>
      <c r="AA32" s="26">
        <f>IF($Q32="","",IFERROR(INDEX(計算用!$M$2:$M$186,MATCH("女"&amp;$Q32&amp;"-3",計算用!$AS$2:$AS$186,0)),""))</f>
        <v/>
      </c>
      <c r="AB32" s="26">
        <f>IF($Q32="","",IFERROR(INDEX(計算用!$I$2:$I$186,MATCH("女"&amp;$Q32&amp;"-3",計算用!$AS$2:$AS$186,0)),""))</f>
        <v/>
      </c>
      <c r="AC32">
        <f>IF($Q32="","",IFERROR(INDEX(計算用!$D$2:$D$186,MATCH("女"&amp;$Q32&amp;"-4",計算用!$AS$2:$AS$186,0)),""))</f>
        <v/>
      </c>
      <c r="AD32" s="26">
        <f>IF($Q32="","",IFERROR(INDEX(計算用!$M$2:$M$186,MATCH("女"&amp;$Q32&amp;"-4",計算用!$AS$2:$AS$186,0)),""))</f>
        <v/>
      </c>
      <c r="AE32" s="26">
        <f>IF($Q32="","",IFERROR(INDEX(計算用!$I$2:$I$186,MATCH("女"&amp;$Q32&amp;"-4",計算用!$AS$2:$AS$186,0)),""))</f>
        <v/>
      </c>
    </row>
    <row r="33">
      <c r="A33" s="26">
        <f>IF(ROW()-3&lt;=計算用!$Q$13,ROW()-3,"")</f>
        <v/>
      </c>
      <c r="B33" s="26">
        <f>IF($A33="","",INDEX(計算用!$BB$2:$BB$51,$A33))</f>
        <v/>
      </c>
      <c r="C33" s="26">
        <f>IF($A33="","","赤"&amp;INDEX(計算用!$BC$2:$BC$51,$A33)&amp;"白"&amp;INDEX(計算用!$BD$2:$BD$51,$A33))</f>
        <v/>
      </c>
      <c r="D33">
        <f>IF($A33="","",IFERROR(INDEX(計算用!$D$2:$D$186,MATCH("男"&amp;$A33&amp;"-1",計算用!$AS$2:$AS$186,0)),""))</f>
        <v/>
      </c>
      <c r="E33" s="26">
        <f>IF($A33="","",IFERROR(INDEX(計算用!$M$2:$M$186,MATCH("男"&amp;$A33&amp;"-1",計算用!$AS$2:$AS$186,0)),""))</f>
        <v/>
      </c>
      <c r="F33" s="26">
        <f>IF($A33="","",IFERROR(INDEX(計算用!$I$2:$I$186,MATCH("男"&amp;$A33&amp;"-1",計算用!$AS$2:$AS$186,0)),""))</f>
        <v/>
      </c>
      <c r="G33">
        <f>IF($A33="","",IFERROR(INDEX(計算用!$D$2:$D$186,MATCH("男"&amp;$A33&amp;"-2",計算用!$AS$2:$AS$186,0)),""))</f>
        <v/>
      </c>
      <c r="H33" s="26">
        <f>IF($A33="","",IFERROR(INDEX(計算用!$M$2:$M$186,MATCH("男"&amp;$A33&amp;"-2",計算用!$AS$2:$AS$186,0)),""))</f>
        <v/>
      </c>
      <c r="I33" s="26">
        <f>IF($A33="","",IFERROR(INDEX(計算用!$I$2:$I$186,MATCH("男"&amp;$A33&amp;"-2",計算用!$AS$2:$AS$186,0)),""))</f>
        <v/>
      </c>
      <c r="J33">
        <f>IF($A33="","",IFERROR(INDEX(計算用!$D$2:$D$186,MATCH("男"&amp;$A33&amp;"-3",計算用!$AS$2:$AS$186,0)),""))</f>
        <v/>
      </c>
      <c r="K33" s="26">
        <f>IF($A33="","",IFERROR(INDEX(計算用!$M$2:$M$186,MATCH("男"&amp;$A33&amp;"-3",計算用!$AS$2:$AS$186,0)),""))</f>
        <v/>
      </c>
      <c r="L33" s="26">
        <f>IF($A33="","",IFERROR(INDEX(計算用!$I$2:$I$186,MATCH("男"&amp;$A33&amp;"-3",計算用!$AS$2:$AS$186,0)),""))</f>
        <v/>
      </c>
      <c r="M33">
        <f>IF($A33="","",IFERROR(INDEX(計算用!$D$2:$D$186,MATCH("男"&amp;$A33&amp;"-4",計算用!$AS$2:$AS$186,0)),""))</f>
        <v/>
      </c>
      <c r="N33" s="26">
        <f>IF($A33="","",IFERROR(INDEX(計算用!$M$2:$M$186,MATCH("男"&amp;$A33&amp;"-4",計算用!$AS$2:$AS$186,0)),""))</f>
        <v/>
      </c>
      <c r="O33" s="26">
        <f>IF($A33="","",IFERROR(INDEX(計算用!$I$2:$I$186,MATCH("男"&amp;$A33&amp;"-4",計算用!$AS$2:$AS$186,0)),""))</f>
        <v/>
      </c>
      <c r="Q33" s="26">
        <f>IF(ROW()-3&lt;=計算用!$Q$14,ROW()-3,"")</f>
        <v/>
      </c>
      <c r="R33" s="26">
        <f>IF($Q33="","",INDEX(計算用!$BG$2:$BG$51,$Q33))</f>
        <v/>
      </c>
      <c r="S33" s="26">
        <f>IF($Q33="","","赤"&amp;INDEX(計算用!$BH$2:$BH$51,$Q33)&amp;"白"&amp;INDEX(計算用!$BI$2:$BI$51,$Q33))</f>
        <v/>
      </c>
      <c r="T33">
        <f>IF($Q33="","",IFERROR(INDEX(計算用!$D$2:$D$186,MATCH("女"&amp;$Q33&amp;"-1",計算用!$AS$2:$AS$186,0)),""))</f>
        <v/>
      </c>
      <c r="U33" s="26">
        <f>IF($Q33="","",IFERROR(INDEX(計算用!$M$2:$M$186,MATCH("女"&amp;$Q33&amp;"-1",計算用!$AS$2:$AS$186,0)),""))</f>
        <v/>
      </c>
      <c r="V33" s="26">
        <f>IF($Q33="","",IFERROR(INDEX(計算用!$I$2:$I$186,MATCH("女"&amp;$Q33&amp;"-1",計算用!$AS$2:$AS$186,0)),""))</f>
        <v/>
      </c>
      <c r="W33">
        <f>IF($Q33="","",IFERROR(INDEX(計算用!$D$2:$D$186,MATCH("女"&amp;$Q33&amp;"-2",計算用!$AS$2:$AS$186,0)),""))</f>
        <v/>
      </c>
      <c r="X33" s="26">
        <f>IF($Q33="","",IFERROR(INDEX(計算用!$M$2:$M$186,MATCH("女"&amp;$Q33&amp;"-2",計算用!$AS$2:$AS$186,0)),""))</f>
        <v/>
      </c>
      <c r="Y33" s="26">
        <f>IF($Q33="","",IFERROR(INDEX(計算用!$I$2:$I$186,MATCH("女"&amp;$Q33&amp;"-2",計算用!$AS$2:$AS$186,0)),""))</f>
        <v/>
      </c>
      <c r="Z33">
        <f>IF($Q33="","",IFERROR(INDEX(計算用!$D$2:$D$186,MATCH("女"&amp;$Q33&amp;"-3",計算用!$AS$2:$AS$186,0)),""))</f>
        <v/>
      </c>
      <c r="AA33" s="26">
        <f>IF($Q33="","",IFERROR(INDEX(計算用!$M$2:$M$186,MATCH("女"&amp;$Q33&amp;"-3",計算用!$AS$2:$AS$186,0)),""))</f>
        <v/>
      </c>
      <c r="AB33" s="26">
        <f>IF($Q33="","",IFERROR(INDEX(計算用!$I$2:$I$186,MATCH("女"&amp;$Q33&amp;"-3",計算用!$AS$2:$AS$186,0)),""))</f>
        <v/>
      </c>
      <c r="AC33">
        <f>IF($Q33="","",IFERROR(INDEX(計算用!$D$2:$D$186,MATCH("女"&amp;$Q33&amp;"-4",計算用!$AS$2:$AS$186,0)),""))</f>
        <v/>
      </c>
      <c r="AD33" s="26">
        <f>IF($Q33="","",IFERROR(INDEX(計算用!$M$2:$M$186,MATCH("女"&amp;$Q33&amp;"-4",計算用!$AS$2:$AS$186,0)),""))</f>
        <v/>
      </c>
      <c r="AE33" s="26">
        <f>IF($Q33="","",IFERROR(INDEX(計算用!$I$2:$I$186,MATCH("女"&amp;$Q33&amp;"-4",計算用!$AS$2:$AS$186,0)),""))</f>
        <v/>
      </c>
    </row>
    <row r="34">
      <c r="A34" s="26">
        <f>IF(ROW()-3&lt;=計算用!$Q$13,ROW()-3,"")</f>
        <v/>
      </c>
      <c r="B34" s="26">
        <f>IF($A34="","",INDEX(計算用!$BB$2:$BB$51,$A34))</f>
        <v/>
      </c>
      <c r="C34" s="26">
        <f>IF($A34="","","赤"&amp;INDEX(計算用!$BC$2:$BC$51,$A34)&amp;"白"&amp;INDEX(計算用!$BD$2:$BD$51,$A34))</f>
        <v/>
      </c>
      <c r="D34">
        <f>IF($A34="","",IFERROR(INDEX(計算用!$D$2:$D$186,MATCH("男"&amp;$A34&amp;"-1",計算用!$AS$2:$AS$186,0)),""))</f>
        <v/>
      </c>
      <c r="E34" s="26">
        <f>IF($A34="","",IFERROR(INDEX(計算用!$M$2:$M$186,MATCH("男"&amp;$A34&amp;"-1",計算用!$AS$2:$AS$186,0)),""))</f>
        <v/>
      </c>
      <c r="F34" s="26">
        <f>IF($A34="","",IFERROR(INDEX(計算用!$I$2:$I$186,MATCH("男"&amp;$A34&amp;"-1",計算用!$AS$2:$AS$186,0)),""))</f>
        <v/>
      </c>
      <c r="G34">
        <f>IF($A34="","",IFERROR(INDEX(計算用!$D$2:$D$186,MATCH("男"&amp;$A34&amp;"-2",計算用!$AS$2:$AS$186,0)),""))</f>
        <v/>
      </c>
      <c r="H34" s="26">
        <f>IF($A34="","",IFERROR(INDEX(計算用!$M$2:$M$186,MATCH("男"&amp;$A34&amp;"-2",計算用!$AS$2:$AS$186,0)),""))</f>
        <v/>
      </c>
      <c r="I34" s="26">
        <f>IF($A34="","",IFERROR(INDEX(計算用!$I$2:$I$186,MATCH("男"&amp;$A34&amp;"-2",計算用!$AS$2:$AS$186,0)),""))</f>
        <v/>
      </c>
      <c r="J34">
        <f>IF($A34="","",IFERROR(INDEX(計算用!$D$2:$D$186,MATCH("男"&amp;$A34&amp;"-3",計算用!$AS$2:$AS$186,0)),""))</f>
        <v/>
      </c>
      <c r="K34" s="26">
        <f>IF($A34="","",IFERROR(INDEX(計算用!$M$2:$M$186,MATCH("男"&amp;$A34&amp;"-3",計算用!$AS$2:$AS$186,0)),""))</f>
        <v/>
      </c>
      <c r="L34" s="26">
        <f>IF($A34="","",IFERROR(INDEX(計算用!$I$2:$I$186,MATCH("男"&amp;$A34&amp;"-3",計算用!$AS$2:$AS$186,0)),""))</f>
        <v/>
      </c>
      <c r="M34">
        <f>IF($A34="","",IFERROR(INDEX(計算用!$D$2:$D$186,MATCH("男"&amp;$A34&amp;"-4",計算用!$AS$2:$AS$186,0)),""))</f>
        <v/>
      </c>
      <c r="N34" s="26">
        <f>IF($A34="","",IFERROR(INDEX(計算用!$M$2:$M$186,MATCH("男"&amp;$A34&amp;"-4",計算用!$AS$2:$AS$186,0)),""))</f>
        <v/>
      </c>
      <c r="O34" s="26">
        <f>IF($A34="","",IFERROR(INDEX(計算用!$I$2:$I$186,MATCH("男"&amp;$A34&amp;"-4",計算用!$AS$2:$AS$186,0)),""))</f>
        <v/>
      </c>
      <c r="Q34" s="26">
        <f>IF(ROW()-3&lt;=計算用!$Q$14,ROW()-3,"")</f>
        <v/>
      </c>
      <c r="R34" s="26">
        <f>IF($Q34="","",INDEX(計算用!$BG$2:$BG$51,$Q34))</f>
        <v/>
      </c>
      <c r="S34" s="26">
        <f>IF($Q34="","","赤"&amp;INDEX(計算用!$BH$2:$BH$51,$Q34)&amp;"白"&amp;INDEX(計算用!$BI$2:$BI$51,$Q34))</f>
        <v/>
      </c>
      <c r="T34">
        <f>IF($Q34="","",IFERROR(INDEX(計算用!$D$2:$D$186,MATCH("女"&amp;$Q34&amp;"-1",計算用!$AS$2:$AS$186,0)),""))</f>
        <v/>
      </c>
      <c r="U34" s="26">
        <f>IF($Q34="","",IFERROR(INDEX(計算用!$M$2:$M$186,MATCH("女"&amp;$Q34&amp;"-1",計算用!$AS$2:$AS$186,0)),""))</f>
        <v/>
      </c>
      <c r="V34" s="26">
        <f>IF($Q34="","",IFERROR(INDEX(計算用!$I$2:$I$186,MATCH("女"&amp;$Q34&amp;"-1",計算用!$AS$2:$AS$186,0)),""))</f>
        <v/>
      </c>
      <c r="W34">
        <f>IF($Q34="","",IFERROR(INDEX(計算用!$D$2:$D$186,MATCH("女"&amp;$Q34&amp;"-2",計算用!$AS$2:$AS$186,0)),""))</f>
        <v/>
      </c>
      <c r="X34" s="26">
        <f>IF($Q34="","",IFERROR(INDEX(計算用!$M$2:$M$186,MATCH("女"&amp;$Q34&amp;"-2",計算用!$AS$2:$AS$186,0)),""))</f>
        <v/>
      </c>
      <c r="Y34" s="26">
        <f>IF($Q34="","",IFERROR(INDEX(計算用!$I$2:$I$186,MATCH("女"&amp;$Q34&amp;"-2",計算用!$AS$2:$AS$186,0)),""))</f>
        <v/>
      </c>
      <c r="Z34">
        <f>IF($Q34="","",IFERROR(INDEX(計算用!$D$2:$D$186,MATCH("女"&amp;$Q34&amp;"-3",計算用!$AS$2:$AS$186,0)),""))</f>
        <v/>
      </c>
      <c r="AA34" s="26">
        <f>IF($Q34="","",IFERROR(INDEX(計算用!$M$2:$M$186,MATCH("女"&amp;$Q34&amp;"-3",計算用!$AS$2:$AS$186,0)),""))</f>
        <v/>
      </c>
      <c r="AB34" s="26">
        <f>IF($Q34="","",IFERROR(INDEX(計算用!$I$2:$I$186,MATCH("女"&amp;$Q34&amp;"-3",計算用!$AS$2:$AS$186,0)),""))</f>
        <v/>
      </c>
      <c r="AC34">
        <f>IF($Q34="","",IFERROR(INDEX(計算用!$D$2:$D$186,MATCH("女"&amp;$Q34&amp;"-4",計算用!$AS$2:$AS$186,0)),""))</f>
        <v/>
      </c>
      <c r="AD34" s="26">
        <f>IF($Q34="","",IFERROR(INDEX(計算用!$M$2:$M$186,MATCH("女"&amp;$Q34&amp;"-4",計算用!$AS$2:$AS$186,0)),""))</f>
        <v/>
      </c>
      <c r="AE34" s="26">
        <f>IF($Q34="","",IFERROR(INDEX(計算用!$I$2:$I$186,MATCH("女"&amp;$Q34&amp;"-4",計算用!$AS$2:$AS$186,0)),""))</f>
        <v/>
      </c>
    </row>
    <row r="35">
      <c r="A35" s="26">
        <f>IF(ROW()-3&lt;=計算用!$Q$13,ROW()-3,"")</f>
        <v/>
      </c>
      <c r="B35" s="26">
        <f>IF($A35="","",INDEX(計算用!$BB$2:$BB$51,$A35))</f>
        <v/>
      </c>
      <c r="C35" s="26">
        <f>IF($A35="","","赤"&amp;INDEX(計算用!$BC$2:$BC$51,$A35)&amp;"白"&amp;INDEX(計算用!$BD$2:$BD$51,$A35))</f>
        <v/>
      </c>
      <c r="D35">
        <f>IF($A35="","",IFERROR(INDEX(計算用!$D$2:$D$186,MATCH("男"&amp;$A35&amp;"-1",計算用!$AS$2:$AS$186,0)),""))</f>
        <v/>
      </c>
      <c r="E35" s="26">
        <f>IF($A35="","",IFERROR(INDEX(計算用!$M$2:$M$186,MATCH("男"&amp;$A35&amp;"-1",計算用!$AS$2:$AS$186,0)),""))</f>
        <v/>
      </c>
      <c r="F35" s="26">
        <f>IF($A35="","",IFERROR(INDEX(計算用!$I$2:$I$186,MATCH("男"&amp;$A35&amp;"-1",計算用!$AS$2:$AS$186,0)),""))</f>
        <v/>
      </c>
      <c r="G35">
        <f>IF($A35="","",IFERROR(INDEX(計算用!$D$2:$D$186,MATCH("男"&amp;$A35&amp;"-2",計算用!$AS$2:$AS$186,0)),""))</f>
        <v/>
      </c>
      <c r="H35" s="26">
        <f>IF($A35="","",IFERROR(INDEX(計算用!$M$2:$M$186,MATCH("男"&amp;$A35&amp;"-2",計算用!$AS$2:$AS$186,0)),""))</f>
        <v/>
      </c>
      <c r="I35" s="26">
        <f>IF($A35="","",IFERROR(INDEX(計算用!$I$2:$I$186,MATCH("男"&amp;$A35&amp;"-2",計算用!$AS$2:$AS$186,0)),""))</f>
        <v/>
      </c>
      <c r="J35">
        <f>IF($A35="","",IFERROR(INDEX(計算用!$D$2:$D$186,MATCH("男"&amp;$A35&amp;"-3",計算用!$AS$2:$AS$186,0)),""))</f>
        <v/>
      </c>
      <c r="K35" s="26">
        <f>IF($A35="","",IFERROR(INDEX(計算用!$M$2:$M$186,MATCH("男"&amp;$A35&amp;"-3",計算用!$AS$2:$AS$186,0)),""))</f>
        <v/>
      </c>
      <c r="L35" s="26">
        <f>IF($A35="","",IFERROR(INDEX(計算用!$I$2:$I$186,MATCH("男"&amp;$A35&amp;"-3",計算用!$AS$2:$AS$186,0)),""))</f>
        <v/>
      </c>
      <c r="M35">
        <f>IF($A35="","",IFERROR(INDEX(計算用!$D$2:$D$186,MATCH("男"&amp;$A35&amp;"-4",計算用!$AS$2:$AS$186,0)),""))</f>
        <v/>
      </c>
      <c r="N35" s="26">
        <f>IF($A35="","",IFERROR(INDEX(計算用!$M$2:$M$186,MATCH("男"&amp;$A35&amp;"-4",計算用!$AS$2:$AS$186,0)),""))</f>
        <v/>
      </c>
      <c r="O35" s="26">
        <f>IF($A35="","",IFERROR(INDEX(計算用!$I$2:$I$186,MATCH("男"&amp;$A35&amp;"-4",計算用!$AS$2:$AS$186,0)),""))</f>
        <v/>
      </c>
      <c r="Q35" s="26">
        <f>IF(ROW()-3&lt;=計算用!$Q$14,ROW()-3,"")</f>
        <v/>
      </c>
      <c r="R35" s="26">
        <f>IF($Q35="","",INDEX(計算用!$BG$2:$BG$51,$Q35))</f>
        <v/>
      </c>
      <c r="S35" s="26">
        <f>IF($Q35="","","赤"&amp;INDEX(計算用!$BH$2:$BH$51,$Q35)&amp;"白"&amp;INDEX(計算用!$BI$2:$BI$51,$Q35))</f>
        <v/>
      </c>
      <c r="T35">
        <f>IF($Q35="","",IFERROR(INDEX(計算用!$D$2:$D$186,MATCH("女"&amp;$Q35&amp;"-1",計算用!$AS$2:$AS$186,0)),""))</f>
        <v/>
      </c>
      <c r="U35" s="26">
        <f>IF($Q35="","",IFERROR(INDEX(計算用!$M$2:$M$186,MATCH("女"&amp;$Q35&amp;"-1",計算用!$AS$2:$AS$186,0)),""))</f>
        <v/>
      </c>
      <c r="V35" s="26">
        <f>IF($Q35="","",IFERROR(INDEX(計算用!$I$2:$I$186,MATCH("女"&amp;$Q35&amp;"-1",計算用!$AS$2:$AS$186,0)),""))</f>
        <v/>
      </c>
      <c r="W35">
        <f>IF($Q35="","",IFERROR(INDEX(計算用!$D$2:$D$186,MATCH("女"&amp;$Q35&amp;"-2",計算用!$AS$2:$AS$186,0)),""))</f>
        <v/>
      </c>
      <c r="X35" s="26">
        <f>IF($Q35="","",IFERROR(INDEX(計算用!$M$2:$M$186,MATCH("女"&amp;$Q35&amp;"-2",計算用!$AS$2:$AS$186,0)),""))</f>
        <v/>
      </c>
      <c r="Y35" s="26">
        <f>IF($Q35="","",IFERROR(INDEX(計算用!$I$2:$I$186,MATCH("女"&amp;$Q35&amp;"-2",計算用!$AS$2:$AS$186,0)),""))</f>
        <v/>
      </c>
      <c r="Z35">
        <f>IF($Q35="","",IFERROR(INDEX(計算用!$D$2:$D$186,MATCH("女"&amp;$Q35&amp;"-3",計算用!$AS$2:$AS$186,0)),""))</f>
        <v/>
      </c>
      <c r="AA35" s="26">
        <f>IF($Q35="","",IFERROR(INDEX(計算用!$M$2:$M$186,MATCH("女"&amp;$Q35&amp;"-3",計算用!$AS$2:$AS$186,0)),""))</f>
        <v/>
      </c>
      <c r="AB35" s="26">
        <f>IF($Q35="","",IFERROR(INDEX(計算用!$I$2:$I$186,MATCH("女"&amp;$Q35&amp;"-3",計算用!$AS$2:$AS$186,0)),""))</f>
        <v/>
      </c>
      <c r="AC35">
        <f>IF($Q35="","",IFERROR(INDEX(計算用!$D$2:$D$186,MATCH("女"&amp;$Q35&amp;"-4",計算用!$AS$2:$AS$186,0)),""))</f>
        <v/>
      </c>
      <c r="AD35" s="26">
        <f>IF($Q35="","",IFERROR(INDEX(計算用!$M$2:$M$186,MATCH("女"&amp;$Q35&amp;"-4",計算用!$AS$2:$AS$186,0)),""))</f>
        <v/>
      </c>
      <c r="AE35" s="26">
        <f>IF($Q35="","",IFERROR(INDEX(計算用!$I$2:$I$186,MATCH("女"&amp;$Q35&amp;"-4",計算用!$AS$2:$AS$186,0)),""))</f>
        <v/>
      </c>
    </row>
    <row r="36">
      <c r="A36" s="26">
        <f>IF(ROW()-3&lt;=計算用!$Q$13,ROW()-3,"")</f>
        <v/>
      </c>
      <c r="B36" s="26">
        <f>IF($A36="","",INDEX(計算用!$BB$2:$BB$51,$A36))</f>
        <v/>
      </c>
      <c r="C36" s="26">
        <f>IF($A36="","","赤"&amp;INDEX(計算用!$BC$2:$BC$51,$A36)&amp;"白"&amp;INDEX(計算用!$BD$2:$BD$51,$A36))</f>
        <v/>
      </c>
      <c r="D36">
        <f>IF($A36="","",IFERROR(INDEX(計算用!$D$2:$D$186,MATCH("男"&amp;$A36&amp;"-1",計算用!$AS$2:$AS$186,0)),""))</f>
        <v/>
      </c>
      <c r="E36" s="26">
        <f>IF($A36="","",IFERROR(INDEX(計算用!$M$2:$M$186,MATCH("男"&amp;$A36&amp;"-1",計算用!$AS$2:$AS$186,0)),""))</f>
        <v/>
      </c>
      <c r="F36" s="26">
        <f>IF($A36="","",IFERROR(INDEX(計算用!$I$2:$I$186,MATCH("男"&amp;$A36&amp;"-1",計算用!$AS$2:$AS$186,0)),""))</f>
        <v/>
      </c>
      <c r="G36">
        <f>IF($A36="","",IFERROR(INDEX(計算用!$D$2:$D$186,MATCH("男"&amp;$A36&amp;"-2",計算用!$AS$2:$AS$186,0)),""))</f>
        <v/>
      </c>
      <c r="H36" s="26">
        <f>IF($A36="","",IFERROR(INDEX(計算用!$M$2:$M$186,MATCH("男"&amp;$A36&amp;"-2",計算用!$AS$2:$AS$186,0)),""))</f>
        <v/>
      </c>
      <c r="I36" s="26">
        <f>IF($A36="","",IFERROR(INDEX(計算用!$I$2:$I$186,MATCH("男"&amp;$A36&amp;"-2",計算用!$AS$2:$AS$186,0)),""))</f>
        <v/>
      </c>
      <c r="J36">
        <f>IF($A36="","",IFERROR(INDEX(計算用!$D$2:$D$186,MATCH("男"&amp;$A36&amp;"-3",計算用!$AS$2:$AS$186,0)),""))</f>
        <v/>
      </c>
      <c r="K36" s="26">
        <f>IF($A36="","",IFERROR(INDEX(計算用!$M$2:$M$186,MATCH("男"&amp;$A36&amp;"-3",計算用!$AS$2:$AS$186,0)),""))</f>
        <v/>
      </c>
      <c r="L36" s="26">
        <f>IF($A36="","",IFERROR(INDEX(計算用!$I$2:$I$186,MATCH("男"&amp;$A36&amp;"-3",計算用!$AS$2:$AS$186,0)),""))</f>
        <v/>
      </c>
      <c r="M36">
        <f>IF($A36="","",IFERROR(INDEX(計算用!$D$2:$D$186,MATCH("男"&amp;$A36&amp;"-4",計算用!$AS$2:$AS$186,0)),""))</f>
        <v/>
      </c>
      <c r="N36" s="26">
        <f>IF($A36="","",IFERROR(INDEX(計算用!$M$2:$M$186,MATCH("男"&amp;$A36&amp;"-4",計算用!$AS$2:$AS$186,0)),""))</f>
        <v/>
      </c>
      <c r="O36" s="26">
        <f>IF($A36="","",IFERROR(INDEX(計算用!$I$2:$I$186,MATCH("男"&amp;$A36&amp;"-4",計算用!$AS$2:$AS$186,0)),""))</f>
        <v/>
      </c>
      <c r="Q36" s="26">
        <f>IF(ROW()-3&lt;=計算用!$Q$14,ROW()-3,"")</f>
        <v/>
      </c>
      <c r="R36" s="26">
        <f>IF($Q36="","",INDEX(計算用!$BG$2:$BG$51,$Q36))</f>
        <v/>
      </c>
      <c r="S36" s="26">
        <f>IF($Q36="","","赤"&amp;INDEX(計算用!$BH$2:$BH$51,$Q36)&amp;"白"&amp;INDEX(計算用!$BI$2:$BI$51,$Q36))</f>
        <v/>
      </c>
      <c r="T36">
        <f>IF($Q36="","",IFERROR(INDEX(計算用!$D$2:$D$186,MATCH("女"&amp;$Q36&amp;"-1",計算用!$AS$2:$AS$186,0)),""))</f>
        <v/>
      </c>
      <c r="U36" s="26">
        <f>IF($Q36="","",IFERROR(INDEX(計算用!$M$2:$M$186,MATCH("女"&amp;$Q36&amp;"-1",計算用!$AS$2:$AS$186,0)),""))</f>
        <v/>
      </c>
      <c r="V36" s="26">
        <f>IF($Q36="","",IFERROR(INDEX(計算用!$I$2:$I$186,MATCH("女"&amp;$Q36&amp;"-1",計算用!$AS$2:$AS$186,0)),""))</f>
        <v/>
      </c>
      <c r="W36">
        <f>IF($Q36="","",IFERROR(INDEX(計算用!$D$2:$D$186,MATCH("女"&amp;$Q36&amp;"-2",計算用!$AS$2:$AS$186,0)),""))</f>
        <v/>
      </c>
      <c r="X36" s="26">
        <f>IF($Q36="","",IFERROR(INDEX(計算用!$M$2:$M$186,MATCH("女"&amp;$Q36&amp;"-2",計算用!$AS$2:$AS$186,0)),""))</f>
        <v/>
      </c>
      <c r="Y36" s="26">
        <f>IF($Q36="","",IFERROR(INDEX(計算用!$I$2:$I$186,MATCH("女"&amp;$Q36&amp;"-2",計算用!$AS$2:$AS$186,0)),""))</f>
        <v/>
      </c>
      <c r="Z36">
        <f>IF($Q36="","",IFERROR(INDEX(計算用!$D$2:$D$186,MATCH("女"&amp;$Q36&amp;"-3",計算用!$AS$2:$AS$186,0)),""))</f>
        <v/>
      </c>
      <c r="AA36" s="26">
        <f>IF($Q36="","",IFERROR(INDEX(計算用!$M$2:$M$186,MATCH("女"&amp;$Q36&amp;"-3",計算用!$AS$2:$AS$186,0)),""))</f>
        <v/>
      </c>
      <c r="AB36" s="26">
        <f>IF($Q36="","",IFERROR(INDEX(計算用!$I$2:$I$186,MATCH("女"&amp;$Q36&amp;"-3",計算用!$AS$2:$AS$186,0)),""))</f>
        <v/>
      </c>
      <c r="AC36">
        <f>IF($Q36="","",IFERROR(INDEX(計算用!$D$2:$D$186,MATCH("女"&amp;$Q36&amp;"-4",計算用!$AS$2:$AS$186,0)),""))</f>
        <v/>
      </c>
      <c r="AD36" s="26">
        <f>IF($Q36="","",IFERROR(INDEX(計算用!$M$2:$M$186,MATCH("女"&amp;$Q36&amp;"-4",計算用!$AS$2:$AS$186,0)),""))</f>
        <v/>
      </c>
      <c r="AE36" s="26">
        <f>IF($Q36="","",IFERROR(INDEX(計算用!$I$2:$I$186,MATCH("女"&amp;$Q36&amp;"-4",計算用!$AS$2:$AS$186,0)),""))</f>
        <v/>
      </c>
    </row>
    <row r="37">
      <c r="A37" s="26">
        <f>IF(ROW()-3&lt;=計算用!$Q$13,ROW()-3,"")</f>
        <v/>
      </c>
      <c r="B37" s="26">
        <f>IF($A37="","",INDEX(計算用!$BB$2:$BB$51,$A37))</f>
        <v/>
      </c>
      <c r="C37" s="26">
        <f>IF($A37="","","赤"&amp;INDEX(計算用!$BC$2:$BC$51,$A37)&amp;"白"&amp;INDEX(計算用!$BD$2:$BD$51,$A37))</f>
        <v/>
      </c>
      <c r="D37">
        <f>IF($A37="","",IFERROR(INDEX(計算用!$D$2:$D$186,MATCH("男"&amp;$A37&amp;"-1",計算用!$AS$2:$AS$186,0)),""))</f>
        <v/>
      </c>
      <c r="E37" s="26">
        <f>IF($A37="","",IFERROR(INDEX(計算用!$M$2:$M$186,MATCH("男"&amp;$A37&amp;"-1",計算用!$AS$2:$AS$186,0)),""))</f>
        <v/>
      </c>
      <c r="F37" s="26">
        <f>IF($A37="","",IFERROR(INDEX(計算用!$I$2:$I$186,MATCH("男"&amp;$A37&amp;"-1",計算用!$AS$2:$AS$186,0)),""))</f>
        <v/>
      </c>
      <c r="G37">
        <f>IF($A37="","",IFERROR(INDEX(計算用!$D$2:$D$186,MATCH("男"&amp;$A37&amp;"-2",計算用!$AS$2:$AS$186,0)),""))</f>
        <v/>
      </c>
      <c r="H37" s="26">
        <f>IF($A37="","",IFERROR(INDEX(計算用!$M$2:$M$186,MATCH("男"&amp;$A37&amp;"-2",計算用!$AS$2:$AS$186,0)),""))</f>
        <v/>
      </c>
      <c r="I37" s="26">
        <f>IF($A37="","",IFERROR(INDEX(計算用!$I$2:$I$186,MATCH("男"&amp;$A37&amp;"-2",計算用!$AS$2:$AS$186,0)),""))</f>
        <v/>
      </c>
      <c r="J37">
        <f>IF($A37="","",IFERROR(INDEX(計算用!$D$2:$D$186,MATCH("男"&amp;$A37&amp;"-3",計算用!$AS$2:$AS$186,0)),""))</f>
        <v/>
      </c>
      <c r="K37" s="26">
        <f>IF($A37="","",IFERROR(INDEX(計算用!$M$2:$M$186,MATCH("男"&amp;$A37&amp;"-3",計算用!$AS$2:$AS$186,0)),""))</f>
        <v/>
      </c>
      <c r="L37" s="26">
        <f>IF($A37="","",IFERROR(INDEX(計算用!$I$2:$I$186,MATCH("男"&amp;$A37&amp;"-3",計算用!$AS$2:$AS$186,0)),""))</f>
        <v/>
      </c>
      <c r="M37">
        <f>IF($A37="","",IFERROR(INDEX(計算用!$D$2:$D$186,MATCH("男"&amp;$A37&amp;"-4",計算用!$AS$2:$AS$186,0)),""))</f>
        <v/>
      </c>
      <c r="N37" s="26">
        <f>IF($A37="","",IFERROR(INDEX(計算用!$M$2:$M$186,MATCH("男"&amp;$A37&amp;"-4",計算用!$AS$2:$AS$186,0)),""))</f>
        <v/>
      </c>
      <c r="O37" s="26">
        <f>IF($A37="","",IFERROR(INDEX(計算用!$I$2:$I$186,MATCH("男"&amp;$A37&amp;"-4",計算用!$AS$2:$AS$186,0)),""))</f>
        <v/>
      </c>
      <c r="Q37" s="26">
        <f>IF(ROW()-3&lt;=計算用!$Q$14,ROW()-3,"")</f>
        <v/>
      </c>
      <c r="R37" s="26">
        <f>IF($Q37="","",INDEX(計算用!$BG$2:$BG$51,$Q37))</f>
        <v/>
      </c>
      <c r="S37" s="26">
        <f>IF($Q37="","","赤"&amp;INDEX(計算用!$BH$2:$BH$51,$Q37)&amp;"白"&amp;INDEX(計算用!$BI$2:$BI$51,$Q37))</f>
        <v/>
      </c>
      <c r="T37">
        <f>IF($Q37="","",IFERROR(INDEX(計算用!$D$2:$D$186,MATCH("女"&amp;$Q37&amp;"-1",計算用!$AS$2:$AS$186,0)),""))</f>
        <v/>
      </c>
      <c r="U37" s="26">
        <f>IF($Q37="","",IFERROR(INDEX(計算用!$M$2:$M$186,MATCH("女"&amp;$Q37&amp;"-1",計算用!$AS$2:$AS$186,0)),""))</f>
        <v/>
      </c>
      <c r="V37" s="26">
        <f>IF($Q37="","",IFERROR(INDEX(計算用!$I$2:$I$186,MATCH("女"&amp;$Q37&amp;"-1",計算用!$AS$2:$AS$186,0)),""))</f>
        <v/>
      </c>
      <c r="W37">
        <f>IF($Q37="","",IFERROR(INDEX(計算用!$D$2:$D$186,MATCH("女"&amp;$Q37&amp;"-2",計算用!$AS$2:$AS$186,0)),""))</f>
        <v/>
      </c>
      <c r="X37" s="26">
        <f>IF($Q37="","",IFERROR(INDEX(計算用!$M$2:$M$186,MATCH("女"&amp;$Q37&amp;"-2",計算用!$AS$2:$AS$186,0)),""))</f>
        <v/>
      </c>
      <c r="Y37" s="26">
        <f>IF($Q37="","",IFERROR(INDEX(計算用!$I$2:$I$186,MATCH("女"&amp;$Q37&amp;"-2",計算用!$AS$2:$AS$186,0)),""))</f>
        <v/>
      </c>
      <c r="Z37">
        <f>IF($Q37="","",IFERROR(INDEX(計算用!$D$2:$D$186,MATCH("女"&amp;$Q37&amp;"-3",計算用!$AS$2:$AS$186,0)),""))</f>
        <v/>
      </c>
      <c r="AA37" s="26">
        <f>IF($Q37="","",IFERROR(INDEX(計算用!$M$2:$M$186,MATCH("女"&amp;$Q37&amp;"-3",計算用!$AS$2:$AS$186,0)),""))</f>
        <v/>
      </c>
      <c r="AB37" s="26">
        <f>IF($Q37="","",IFERROR(INDEX(計算用!$I$2:$I$186,MATCH("女"&amp;$Q37&amp;"-3",計算用!$AS$2:$AS$186,0)),""))</f>
        <v/>
      </c>
      <c r="AC37">
        <f>IF($Q37="","",IFERROR(INDEX(計算用!$D$2:$D$186,MATCH("女"&amp;$Q37&amp;"-4",計算用!$AS$2:$AS$186,0)),""))</f>
        <v/>
      </c>
      <c r="AD37" s="26">
        <f>IF($Q37="","",IFERROR(INDEX(計算用!$M$2:$M$186,MATCH("女"&amp;$Q37&amp;"-4",計算用!$AS$2:$AS$186,0)),""))</f>
        <v/>
      </c>
      <c r="AE37" s="26">
        <f>IF($Q37="","",IFERROR(INDEX(計算用!$I$2:$I$186,MATCH("女"&amp;$Q37&amp;"-4",計算用!$AS$2:$AS$186,0)),""))</f>
        <v/>
      </c>
    </row>
    <row r="38">
      <c r="A38" s="26">
        <f>IF(ROW()-3&lt;=計算用!$Q$13,ROW()-3,"")</f>
        <v/>
      </c>
      <c r="B38" s="26">
        <f>IF($A38="","",INDEX(計算用!$BB$2:$BB$51,$A38))</f>
        <v/>
      </c>
      <c r="C38" s="26">
        <f>IF($A38="","","赤"&amp;INDEX(計算用!$BC$2:$BC$51,$A38)&amp;"白"&amp;INDEX(計算用!$BD$2:$BD$51,$A38))</f>
        <v/>
      </c>
      <c r="D38">
        <f>IF($A38="","",IFERROR(INDEX(計算用!$D$2:$D$186,MATCH("男"&amp;$A38&amp;"-1",計算用!$AS$2:$AS$186,0)),""))</f>
        <v/>
      </c>
      <c r="E38" s="26">
        <f>IF($A38="","",IFERROR(INDEX(計算用!$M$2:$M$186,MATCH("男"&amp;$A38&amp;"-1",計算用!$AS$2:$AS$186,0)),""))</f>
        <v/>
      </c>
      <c r="F38" s="26">
        <f>IF($A38="","",IFERROR(INDEX(計算用!$I$2:$I$186,MATCH("男"&amp;$A38&amp;"-1",計算用!$AS$2:$AS$186,0)),""))</f>
        <v/>
      </c>
      <c r="G38">
        <f>IF($A38="","",IFERROR(INDEX(計算用!$D$2:$D$186,MATCH("男"&amp;$A38&amp;"-2",計算用!$AS$2:$AS$186,0)),""))</f>
        <v/>
      </c>
      <c r="H38" s="26">
        <f>IF($A38="","",IFERROR(INDEX(計算用!$M$2:$M$186,MATCH("男"&amp;$A38&amp;"-2",計算用!$AS$2:$AS$186,0)),""))</f>
        <v/>
      </c>
      <c r="I38" s="26">
        <f>IF($A38="","",IFERROR(INDEX(計算用!$I$2:$I$186,MATCH("男"&amp;$A38&amp;"-2",計算用!$AS$2:$AS$186,0)),""))</f>
        <v/>
      </c>
      <c r="J38">
        <f>IF($A38="","",IFERROR(INDEX(計算用!$D$2:$D$186,MATCH("男"&amp;$A38&amp;"-3",計算用!$AS$2:$AS$186,0)),""))</f>
        <v/>
      </c>
      <c r="K38" s="26">
        <f>IF($A38="","",IFERROR(INDEX(計算用!$M$2:$M$186,MATCH("男"&amp;$A38&amp;"-3",計算用!$AS$2:$AS$186,0)),""))</f>
        <v/>
      </c>
      <c r="L38" s="26">
        <f>IF($A38="","",IFERROR(INDEX(計算用!$I$2:$I$186,MATCH("男"&amp;$A38&amp;"-3",計算用!$AS$2:$AS$186,0)),""))</f>
        <v/>
      </c>
      <c r="M38">
        <f>IF($A38="","",IFERROR(INDEX(計算用!$D$2:$D$186,MATCH("男"&amp;$A38&amp;"-4",計算用!$AS$2:$AS$186,0)),""))</f>
        <v/>
      </c>
      <c r="N38" s="26">
        <f>IF($A38="","",IFERROR(INDEX(計算用!$M$2:$M$186,MATCH("男"&amp;$A38&amp;"-4",計算用!$AS$2:$AS$186,0)),""))</f>
        <v/>
      </c>
      <c r="O38" s="26">
        <f>IF($A38="","",IFERROR(INDEX(計算用!$I$2:$I$186,MATCH("男"&amp;$A38&amp;"-4",計算用!$AS$2:$AS$186,0)),""))</f>
        <v/>
      </c>
      <c r="Q38" s="26">
        <f>IF(ROW()-3&lt;=計算用!$Q$14,ROW()-3,"")</f>
        <v/>
      </c>
      <c r="R38" s="26">
        <f>IF($Q38="","",INDEX(計算用!$BG$2:$BG$51,$Q38))</f>
        <v/>
      </c>
      <c r="S38" s="26">
        <f>IF($Q38="","","赤"&amp;INDEX(計算用!$BH$2:$BH$51,$Q38)&amp;"白"&amp;INDEX(計算用!$BI$2:$BI$51,$Q38))</f>
        <v/>
      </c>
      <c r="T38">
        <f>IF($Q38="","",IFERROR(INDEX(計算用!$D$2:$D$186,MATCH("女"&amp;$Q38&amp;"-1",計算用!$AS$2:$AS$186,0)),""))</f>
        <v/>
      </c>
      <c r="U38" s="26">
        <f>IF($Q38="","",IFERROR(INDEX(計算用!$M$2:$M$186,MATCH("女"&amp;$Q38&amp;"-1",計算用!$AS$2:$AS$186,0)),""))</f>
        <v/>
      </c>
      <c r="V38" s="26">
        <f>IF($Q38="","",IFERROR(INDEX(計算用!$I$2:$I$186,MATCH("女"&amp;$Q38&amp;"-1",計算用!$AS$2:$AS$186,0)),""))</f>
        <v/>
      </c>
      <c r="W38">
        <f>IF($Q38="","",IFERROR(INDEX(計算用!$D$2:$D$186,MATCH("女"&amp;$Q38&amp;"-2",計算用!$AS$2:$AS$186,0)),""))</f>
        <v/>
      </c>
      <c r="X38" s="26">
        <f>IF($Q38="","",IFERROR(INDEX(計算用!$M$2:$M$186,MATCH("女"&amp;$Q38&amp;"-2",計算用!$AS$2:$AS$186,0)),""))</f>
        <v/>
      </c>
      <c r="Y38" s="26">
        <f>IF($Q38="","",IFERROR(INDEX(計算用!$I$2:$I$186,MATCH("女"&amp;$Q38&amp;"-2",計算用!$AS$2:$AS$186,0)),""))</f>
        <v/>
      </c>
      <c r="Z38">
        <f>IF($Q38="","",IFERROR(INDEX(計算用!$D$2:$D$186,MATCH("女"&amp;$Q38&amp;"-3",計算用!$AS$2:$AS$186,0)),""))</f>
        <v/>
      </c>
      <c r="AA38" s="26">
        <f>IF($Q38="","",IFERROR(INDEX(計算用!$M$2:$M$186,MATCH("女"&amp;$Q38&amp;"-3",計算用!$AS$2:$AS$186,0)),""))</f>
        <v/>
      </c>
      <c r="AB38" s="26">
        <f>IF($Q38="","",IFERROR(INDEX(計算用!$I$2:$I$186,MATCH("女"&amp;$Q38&amp;"-3",計算用!$AS$2:$AS$186,0)),""))</f>
        <v/>
      </c>
      <c r="AC38">
        <f>IF($Q38="","",IFERROR(INDEX(計算用!$D$2:$D$186,MATCH("女"&amp;$Q38&amp;"-4",計算用!$AS$2:$AS$186,0)),""))</f>
        <v/>
      </c>
      <c r="AD38" s="26">
        <f>IF($Q38="","",IFERROR(INDEX(計算用!$M$2:$M$186,MATCH("女"&amp;$Q38&amp;"-4",計算用!$AS$2:$AS$186,0)),""))</f>
        <v/>
      </c>
      <c r="AE38" s="26">
        <f>IF($Q38="","",IFERROR(INDEX(計算用!$I$2:$I$186,MATCH("女"&amp;$Q38&amp;"-4",計算用!$AS$2:$AS$186,0)),""))</f>
        <v/>
      </c>
    </row>
    <row r="39">
      <c r="A39" s="26">
        <f>IF(ROW()-3&lt;=計算用!$Q$13,ROW()-3,"")</f>
        <v/>
      </c>
      <c r="B39" s="26">
        <f>IF($A39="","",INDEX(計算用!$BB$2:$BB$51,$A39))</f>
        <v/>
      </c>
      <c r="C39" s="26">
        <f>IF($A39="","","赤"&amp;INDEX(計算用!$BC$2:$BC$51,$A39)&amp;"白"&amp;INDEX(計算用!$BD$2:$BD$51,$A39))</f>
        <v/>
      </c>
      <c r="D39">
        <f>IF($A39="","",IFERROR(INDEX(計算用!$D$2:$D$186,MATCH("男"&amp;$A39&amp;"-1",計算用!$AS$2:$AS$186,0)),""))</f>
        <v/>
      </c>
      <c r="E39" s="26">
        <f>IF($A39="","",IFERROR(INDEX(計算用!$M$2:$M$186,MATCH("男"&amp;$A39&amp;"-1",計算用!$AS$2:$AS$186,0)),""))</f>
        <v/>
      </c>
      <c r="F39" s="26">
        <f>IF($A39="","",IFERROR(INDEX(計算用!$I$2:$I$186,MATCH("男"&amp;$A39&amp;"-1",計算用!$AS$2:$AS$186,0)),""))</f>
        <v/>
      </c>
      <c r="G39">
        <f>IF($A39="","",IFERROR(INDEX(計算用!$D$2:$D$186,MATCH("男"&amp;$A39&amp;"-2",計算用!$AS$2:$AS$186,0)),""))</f>
        <v/>
      </c>
      <c r="H39" s="26">
        <f>IF($A39="","",IFERROR(INDEX(計算用!$M$2:$M$186,MATCH("男"&amp;$A39&amp;"-2",計算用!$AS$2:$AS$186,0)),""))</f>
        <v/>
      </c>
      <c r="I39" s="26">
        <f>IF($A39="","",IFERROR(INDEX(計算用!$I$2:$I$186,MATCH("男"&amp;$A39&amp;"-2",計算用!$AS$2:$AS$186,0)),""))</f>
        <v/>
      </c>
      <c r="J39">
        <f>IF($A39="","",IFERROR(INDEX(計算用!$D$2:$D$186,MATCH("男"&amp;$A39&amp;"-3",計算用!$AS$2:$AS$186,0)),""))</f>
        <v/>
      </c>
      <c r="K39" s="26">
        <f>IF($A39="","",IFERROR(INDEX(計算用!$M$2:$M$186,MATCH("男"&amp;$A39&amp;"-3",計算用!$AS$2:$AS$186,0)),""))</f>
        <v/>
      </c>
      <c r="L39" s="26">
        <f>IF($A39="","",IFERROR(INDEX(計算用!$I$2:$I$186,MATCH("男"&amp;$A39&amp;"-3",計算用!$AS$2:$AS$186,0)),""))</f>
        <v/>
      </c>
      <c r="M39">
        <f>IF($A39="","",IFERROR(INDEX(計算用!$D$2:$D$186,MATCH("男"&amp;$A39&amp;"-4",計算用!$AS$2:$AS$186,0)),""))</f>
        <v/>
      </c>
      <c r="N39" s="26">
        <f>IF($A39="","",IFERROR(INDEX(計算用!$M$2:$M$186,MATCH("男"&amp;$A39&amp;"-4",計算用!$AS$2:$AS$186,0)),""))</f>
        <v/>
      </c>
      <c r="O39" s="26">
        <f>IF($A39="","",IFERROR(INDEX(計算用!$I$2:$I$186,MATCH("男"&amp;$A39&amp;"-4",計算用!$AS$2:$AS$186,0)),""))</f>
        <v/>
      </c>
      <c r="Q39" s="26">
        <f>IF(ROW()-3&lt;=計算用!$Q$14,ROW()-3,"")</f>
        <v/>
      </c>
      <c r="R39" s="26">
        <f>IF($Q39="","",INDEX(計算用!$BG$2:$BG$51,$Q39))</f>
        <v/>
      </c>
      <c r="S39" s="26">
        <f>IF($Q39="","","赤"&amp;INDEX(計算用!$BH$2:$BH$51,$Q39)&amp;"白"&amp;INDEX(計算用!$BI$2:$BI$51,$Q39))</f>
        <v/>
      </c>
      <c r="T39">
        <f>IF($Q39="","",IFERROR(INDEX(計算用!$D$2:$D$186,MATCH("女"&amp;$Q39&amp;"-1",計算用!$AS$2:$AS$186,0)),""))</f>
        <v/>
      </c>
      <c r="U39" s="26">
        <f>IF($Q39="","",IFERROR(INDEX(計算用!$M$2:$M$186,MATCH("女"&amp;$Q39&amp;"-1",計算用!$AS$2:$AS$186,0)),""))</f>
        <v/>
      </c>
      <c r="V39" s="26">
        <f>IF($Q39="","",IFERROR(INDEX(計算用!$I$2:$I$186,MATCH("女"&amp;$Q39&amp;"-1",計算用!$AS$2:$AS$186,0)),""))</f>
        <v/>
      </c>
      <c r="W39">
        <f>IF($Q39="","",IFERROR(INDEX(計算用!$D$2:$D$186,MATCH("女"&amp;$Q39&amp;"-2",計算用!$AS$2:$AS$186,0)),""))</f>
        <v/>
      </c>
      <c r="X39" s="26">
        <f>IF($Q39="","",IFERROR(INDEX(計算用!$M$2:$M$186,MATCH("女"&amp;$Q39&amp;"-2",計算用!$AS$2:$AS$186,0)),""))</f>
        <v/>
      </c>
      <c r="Y39" s="26">
        <f>IF($Q39="","",IFERROR(INDEX(計算用!$I$2:$I$186,MATCH("女"&amp;$Q39&amp;"-2",計算用!$AS$2:$AS$186,0)),""))</f>
        <v/>
      </c>
      <c r="Z39">
        <f>IF($Q39="","",IFERROR(INDEX(計算用!$D$2:$D$186,MATCH("女"&amp;$Q39&amp;"-3",計算用!$AS$2:$AS$186,0)),""))</f>
        <v/>
      </c>
      <c r="AA39" s="26">
        <f>IF($Q39="","",IFERROR(INDEX(計算用!$M$2:$M$186,MATCH("女"&amp;$Q39&amp;"-3",計算用!$AS$2:$AS$186,0)),""))</f>
        <v/>
      </c>
      <c r="AB39" s="26">
        <f>IF($Q39="","",IFERROR(INDEX(計算用!$I$2:$I$186,MATCH("女"&amp;$Q39&amp;"-3",計算用!$AS$2:$AS$186,0)),""))</f>
        <v/>
      </c>
      <c r="AC39">
        <f>IF($Q39="","",IFERROR(INDEX(計算用!$D$2:$D$186,MATCH("女"&amp;$Q39&amp;"-4",計算用!$AS$2:$AS$186,0)),""))</f>
        <v/>
      </c>
      <c r="AD39" s="26">
        <f>IF($Q39="","",IFERROR(INDEX(計算用!$M$2:$M$186,MATCH("女"&amp;$Q39&amp;"-4",計算用!$AS$2:$AS$186,0)),""))</f>
        <v/>
      </c>
      <c r="AE39" s="26">
        <f>IF($Q39="","",IFERROR(INDEX(計算用!$I$2:$I$186,MATCH("女"&amp;$Q39&amp;"-4",計算用!$AS$2:$AS$186,0)),""))</f>
        <v/>
      </c>
    </row>
    <row r="40">
      <c r="A40" s="26">
        <f>IF(ROW()-3&lt;=計算用!$Q$13,ROW()-3,"")</f>
        <v/>
      </c>
      <c r="B40" s="26">
        <f>IF($A40="","",INDEX(計算用!$BB$2:$BB$51,$A40))</f>
        <v/>
      </c>
      <c r="C40" s="26">
        <f>IF($A40="","","赤"&amp;INDEX(計算用!$BC$2:$BC$51,$A40)&amp;"白"&amp;INDEX(計算用!$BD$2:$BD$51,$A40))</f>
        <v/>
      </c>
      <c r="D40">
        <f>IF($A40="","",IFERROR(INDEX(計算用!$D$2:$D$186,MATCH("男"&amp;$A40&amp;"-1",計算用!$AS$2:$AS$186,0)),""))</f>
        <v/>
      </c>
      <c r="E40" s="26">
        <f>IF($A40="","",IFERROR(INDEX(計算用!$M$2:$M$186,MATCH("男"&amp;$A40&amp;"-1",計算用!$AS$2:$AS$186,0)),""))</f>
        <v/>
      </c>
      <c r="F40" s="26">
        <f>IF($A40="","",IFERROR(INDEX(計算用!$I$2:$I$186,MATCH("男"&amp;$A40&amp;"-1",計算用!$AS$2:$AS$186,0)),""))</f>
        <v/>
      </c>
      <c r="G40">
        <f>IF($A40="","",IFERROR(INDEX(計算用!$D$2:$D$186,MATCH("男"&amp;$A40&amp;"-2",計算用!$AS$2:$AS$186,0)),""))</f>
        <v/>
      </c>
      <c r="H40" s="26">
        <f>IF($A40="","",IFERROR(INDEX(計算用!$M$2:$M$186,MATCH("男"&amp;$A40&amp;"-2",計算用!$AS$2:$AS$186,0)),""))</f>
        <v/>
      </c>
      <c r="I40" s="26">
        <f>IF($A40="","",IFERROR(INDEX(計算用!$I$2:$I$186,MATCH("男"&amp;$A40&amp;"-2",計算用!$AS$2:$AS$186,0)),""))</f>
        <v/>
      </c>
      <c r="J40">
        <f>IF($A40="","",IFERROR(INDEX(計算用!$D$2:$D$186,MATCH("男"&amp;$A40&amp;"-3",計算用!$AS$2:$AS$186,0)),""))</f>
        <v/>
      </c>
      <c r="K40" s="26">
        <f>IF($A40="","",IFERROR(INDEX(計算用!$M$2:$M$186,MATCH("男"&amp;$A40&amp;"-3",計算用!$AS$2:$AS$186,0)),""))</f>
        <v/>
      </c>
      <c r="L40" s="26">
        <f>IF($A40="","",IFERROR(INDEX(計算用!$I$2:$I$186,MATCH("男"&amp;$A40&amp;"-3",計算用!$AS$2:$AS$186,0)),""))</f>
        <v/>
      </c>
      <c r="M40">
        <f>IF($A40="","",IFERROR(INDEX(計算用!$D$2:$D$186,MATCH("男"&amp;$A40&amp;"-4",計算用!$AS$2:$AS$186,0)),""))</f>
        <v/>
      </c>
      <c r="N40" s="26">
        <f>IF($A40="","",IFERROR(INDEX(計算用!$M$2:$M$186,MATCH("男"&amp;$A40&amp;"-4",計算用!$AS$2:$AS$186,0)),""))</f>
        <v/>
      </c>
      <c r="O40" s="26">
        <f>IF($A40="","",IFERROR(INDEX(計算用!$I$2:$I$186,MATCH("男"&amp;$A40&amp;"-4",計算用!$AS$2:$AS$186,0)),""))</f>
        <v/>
      </c>
      <c r="Q40" s="26">
        <f>IF(ROW()-3&lt;=計算用!$Q$14,ROW()-3,"")</f>
        <v/>
      </c>
      <c r="R40" s="26">
        <f>IF($Q40="","",INDEX(計算用!$BG$2:$BG$51,$Q40))</f>
        <v/>
      </c>
      <c r="S40" s="26">
        <f>IF($Q40="","","赤"&amp;INDEX(計算用!$BH$2:$BH$51,$Q40)&amp;"白"&amp;INDEX(計算用!$BI$2:$BI$51,$Q40))</f>
        <v/>
      </c>
      <c r="T40">
        <f>IF($Q40="","",IFERROR(INDEX(計算用!$D$2:$D$186,MATCH("女"&amp;$Q40&amp;"-1",計算用!$AS$2:$AS$186,0)),""))</f>
        <v/>
      </c>
      <c r="U40" s="26">
        <f>IF($Q40="","",IFERROR(INDEX(計算用!$M$2:$M$186,MATCH("女"&amp;$Q40&amp;"-1",計算用!$AS$2:$AS$186,0)),""))</f>
        <v/>
      </c>
      <c r="V40" s="26">
        <f>IF($Q40="","",IFERROR(INDEX(計算用!$I$2:$I$186,MATCH("女"&amp;$Q40&amp;"-1",計算用!$AS$2:$AS$186,0)),""))</f>
        <v/>
      </c>
      <c r="W40">
        <f>IF($Q40="","",IFERROR(INDEX(計算用!$D$2:$D$186,MATCH("女"&amp;$Q40&amp;"-2",計算用!$AS$2:$AS$186,0)),""))</f>
        <v/>
      </c>
      <c r="X40" s="26">
        <f>IF($Q40="","",IFERROR(INDEX(計算用!$M$2:$M$186,MATCH("女"&amp;$Q40&amp;"-2",計算用!$AS$2:$AS$186,0)),""))</f>
        <v/>
      </c>
      <c r="Y40" s="26">
        <f>IF($Q40="","",IFERROR(INDEX(計算用!$I$2:$I$186,MATCH("女"&amp;$Q40&amp;"-2",計算用!$AS$2:$AS$186,0)),""))</f>
        <v/>
      </c>
      <c r="Z40">
        <f>IF($Q40="","",IFERROR(INDEX(計算用!$D$2:$D$186,MATCH("女"&amp;$Q40&amp;"-3",計算用!$AS$2:$AS$186,0)),""))</f>
        <v/>
      </c>
      <c r="AA40" s="26">
        <f>IF($Q40="","",IFERROR(INDEX(計算用!$M$2:$M$186,MATCH("女"&amp;$Q40&amp;"-3",計算用!$AS$2:$AS$186,0)),""))</f>
        <v/>
      </c>
      <c r="AB40" s="26">
        <f>IF($Q40="","",IFERROR(INDEX(計算用!$I$2:$I$186,MATCH("女"&amp;$Q40&amp;"-3",計算用!$AS$2:$AS$186,0)),""))</f>
        <v/>
      </c>
      <c r="AC40">
        <f>IF($Q40="","",IFERROR(INDEX(計算用!$D$2:$D$186,MATCH("女"&amp;$Q40&amp;"-4",計算用!$AS$2:$AS$186,0)),""))</f>
        <v/>
      </c>
      <c r="AD40" s="26">
        <f>IF($Q40="","",IFERROR(INDEX(計算用!$M$2:$M$186,MATCH("女"&amp;$Q40&amp;"-4",計算用!$AS$2:$AS$186,0)),""))</f>
        <v/>
      </c>
      <c r="AE40" s="26">
        <f>IF($Q40="","",IFERROR(INDEX(計算用!$I$2:$I$186,MATCH("女"&amp;$Q40&amp;"-4",計算用!$AS$2:$AS$186,0)),""))</f>
        <v/>
      </c>
    </row>
    <row r="41">
      <c r="A41" s="26">
        <f>IF(ROW()-3&lt;=計算用!$Q$13,ROW()-3,"")</f>
        <v/>
      </c>
      <c r="B41" s="26">
        <f>IF($A41="","",INDEX(計算用!$BB$2:$BB$51,$A41))</f>
        <v/>
      </c>
      <c r="C41" s="26">
        <f>IF($A41="","","赤"&amp;INDEX(計算用!$BC$2:$BC$51,$A41)&amp;"白"&amp;INDEX(計算用!$BD$2:$BD$51,$A41))</f>
        <v/>
      </c>
      <c r="D41">
        <f>IF($A41="","",IFERROR(INDEX(計算用!$D$2:$D$186,MATCH("男"&amp;$A41&amp;"-1",計算用!$AS$2:$AS$186,0)),""))</f>
        <v/>
      </c>
      <c r="E41" s="26">
        <f>IF($A41="","",IFERROR(INDEX(計算用!$M$2:$M$186,MATCH("男"&amp;$A41&amp;"-1",計算用!$AS$2:$AS$186,0)),""))</f>
        <v/>
      </c>
      <c r="F41" s="26">
        <f>IF($A41="","",IFERROR(INDEX(計算用!$I$2:$I$186,MATCH("男"&amp;$A41&amp;"-1",計算用!$AS$2:$AS$186,0)),""))</f>
        <v/>
      </c>
      <c r="G41">
        <f>IF($A41="","",IFERROR(INDEX(計算用!$D$2:$D$186,MATCH("男"&amp;$A41&amp;"-2",計算用!$AS$2:$AS$186,0)),""))</f>
        <v/>
      </c>
      <c r="H41" s="26">
        <f>IF($A41="","",IFERROR(INDEX(計算用!$M$2:$M$186,MATCH("男"&amp;$A41&amp;"-2",計算用!$AS$2:$AS$186,0)),""))</f>
        <v/>
      </c>
      <c r="I41" s="26">
        <f>IF($A41="","",IFERROR(INDEX(計算用!$I$2:$I$186,MATCH("男"&amp;$A41&amp;"-2",計算用!$AS$2:$AS$186,0)),""))</f>
        <v/>
      </c>
      <c r="J41">
        <f>IF($A41="","",IFERROR(INDEX(計算用!$D$2:$D$186,MATCH("男"&amp;$A41&amp;"-3",計算用!$AS$2:$AS$186,0)),""))</f>
        <v/>
      </c>
      <c r="K41" s="26">
        <f>IF($A41="","",IFERROR(INDEX(計算用!$M$2:$M$186,MATCH("男"&amp;$A41&amp;"-3",計算用!$AS$2:$AS$186,0)),""))</f>
        <v/>
      </c>
      <c r="L41" s="26">
        <f>IF($A41="","",IFERROR(INDEX(計算用!$I$2:$I$186,MATCH("男"&amp;$A41&amp;"-3",計算用!$AS$2:$AS$186,0)),""))</f>
        <v/>
      </c>
      <c r="M41">
        <f>IF($A41="","",IFERROR(INDEX(計算用!$D$2:$D$186,MATCH("男"&amp;$A41&amp;"-4",計算用!$AS$2:$AS$186,0)),""))</f>
        <v/>
      </c>
      <c r="N41" s="26">
        <f>IF($A41="","",IFERROR(INDEX(計算用!$M$2:$M$186,MATCH("男"&amp;$A41&amp;"-4",計算用!$AS$2:$AS$186,0)),""))</f>
        <v/>
      </c>
      <c r="O41" s="26">
        <f>IF($A41="","",IFERROR(INDEX(計算用!$I$2:$I$186,MATCH("男"&amp;$A41&amp;"-4",計算用!$AS$2:$AS$186,0)),""))</f>
        <v/>
      </c>
      <c r="Q41" s="26">
        <f>IF(ROW()-3&lt;=計算用!$Q$14,ROW()-3,"")</f>
        <v/>
      </c>
      <c r="R41" s="26">
        <f>IF($Q41="","",INDEX(計算用!$BG$2:$BG$51,$Q41))</f>
        <v/>
      </c>
      <c r="S41" s="26">
        <f>IF($Q41="","","赤"&amp;INDEX(計算用!$BH$2:$BH$51,$Q41)&amp;"白"&amp;INDEX(計算用!$BI$2:$BI$51,$Q41))</f>
        <v/>
      </c>
      <c r="T41">
        <f>IF($Q41="","",IFERROR(INDEX(計算用!$D$2:$D$186,MATCH("女"&amp;$Q41&amp;"-1",計算用!$AS$2:$AS$186,0)),""))</f>
        <v/>
      </c>
      <c r="U41" s="26">
        <f>IF($Q41="","",IFERROR(INDEX(計算用!$M$2:$M$186,MATCH("女"&amp;$Q41&amp;"-1",計算用!$AS$2:$AS$186,0)),""))</f>
        <v/>
      </c>
      <c r="V41" s="26">
        <f>IF($Q41="","",IFERROR(INDEX(計算用!$I$2:$I$186,MATCH("女"&amp;$Q41&amp;"-1",計算用!$AS$2:$AS$186,0)),""))</f>
        <v/>
      </c>
      <c r="W41">
        <f>IF($Q41="","",IFERROR(INDEX(計算用!$D$2:$D$186,MATCH("女"&amp;$Q41&amp;"-2",計算用!$AS$2:$AS$186,0)),""))</f>
        <v/>
      </c>
      <c r="X41" s="26">
        <f>IF($Q41="","",IFERROR(INDEX(計算用!$M$2:$M$186,MATCH("女"&amp;$Q41&amp;"-2",計算用!$AS$2:$AS$186,0)),""))</f>
        <v/>
      </c>
      <c r="Y41" s="26">
        <f>IF($Q41="","",IFERROR(INDEX(計算用!$I$2:$I$186,MATCH("女"&amp;$Q41&amp;"-2",計算用!$AS$2:$AS$186,0)),""))</f>
        <v/>
      </c>
      <c r="Z41">
        <f>IF($Q41="","",IFERROR(INDEX(計算用!$D$2:$D$186,MATCH("女"&amp;$Q41&amp;"-3",計算用!$AS$2:$AS$186,0)),""))</f>
        <v/>
      </c>
      <c r="AA41" s="26">
        <f>IF($Q41="","",IFERROR(INDEX(計算用!$M$2:$M$186,MATCH("女"&amp;$Q41&amp;"-3",計算用!$AS$2:$AS$186,0)),""))</f>
        <v/>
      </c>
      <c r="AB41" s="26">
        <f>IF($Q41="","",IFERROR(INDEX(計算用!$I$2:$I$186,MATCH("女"&amp;$Q41&amp;"-3",計算用!$AS$2:$AS$186,0)),""))</f>
        <v/>
      </c>
      <c r="AC41">
        <f>IF($Q41="","",IFERROR(INDEX(計算用!$D$2:$D$186,MATCH("女"&amp;$Q41&amp;"-4",計算用!$AS$2:$AS$186,0)),""))</f>
        <v/>
      </c>
      <c r="AD41" s="26">
        <f>IF($Q41="","",IFERROR(INDEX(計算用!$M$2:$M$186,MATCH("女"&amp;$Q41&amp;"-4",計算用!$AS$2:$AS$186,0)),""))</f>
        <v/>
      </c>
      <c r="AE41" s="26">
        <f>IF($Q41="","",IFERROR(INDEX(計算用!$I$2:$I$186,MATCH("女"&amp;$Q41&amp;"-4",計算用!$AS$2:$AS$186,0)),""))</f>
        <v/>
      </c>
    </row>
    <row r="42">
      <c r="A42" s="26">
        <f>IF(ROW()-3&lt;=計算用!$Q$13,ROW()-3,"")</f>
        <v/>
      </c>
      <c r="B42" s="26">
        <f>IF($A42="","",INDEX(計算用!$BB$2:$BB$51,$A42))</f>
        <v/>
      </c>
      <c r="C42" s="26">
        <f>IF($A42="","","赤"&amp;INDEX(計算用!$BC$2:$BC$51,$A42)&amp;"白"&amp;INDEX(計算用!$BD$2:$BD$51,$A42))</f>
        <v/>
      </c>
      <c r="D42">
        <f>IF($A42="","",IFERROR(INDEX(計算用!$D$2:$D$186,MATCH("男"&amp;$A42&amp;"-1",計算用!$AS$2:$AS$186,0)),""))</f>
        <v/>
      </c>
      <c r="E42" s="26">
        <f>IF($A42="","",IFERROR(INDEX(計算用!$M$2:$M$186,MATCH("男"&amp;$A42&amp;"-1",計算用!$AS$2:$AS$186,0)),""))</f>
        <v/>
      </c>
      <c r="F42" s="26">
        <f>IF($A42="","",IFERROR(INDEX(計算用!$I$2:$I$186,MATCH("男"&amp;$A42&amp;"-1",計算用!$AS$2:$AS$186,0)),""))</f>
        <v/>
      </c>
      <c r="G42">
        <f>IF($A42="","",IFERROR(INDEX(計算用!$D$2:$D$186,MATCH("男"&amp;$A42&amp;"-2",計算用!$AS$2:$AS$186,0)),""))</f>
        <v/>
      </c>
      <c r="H42" s="26">
        <f>IF($A42="","",IFERROR(INDEX(計算用!$M$2:$M$186,MATCH("男"&amp;$A42&amp;"-2",計算用!$AS$2:$AS$186,0)),""))</f>
        <v/>
      </c>
      <c r="I42" s="26">
        <f>IF($A42="","",IFERROR(INDEX(計算用!$I$2:$I$186,MATCH("男"&amp;$A42&amp;"-2",計算用!$AS$2:$AS$186,0)),""))</f>
        <v/>
      </c>
      <c r="J42">
        <f>IF($A42="","",IFERROR(INDEX(計算用!$D$2:$D$186,MATCH("男"&amp;$A42&amp;"-3",計算用!$AS$2:$AS$186,0)),""))</f>
        <v/>
      </c>
      <c r="K42" s="26">
        <f>IF($A42="","",IFERROR(INDEX(計算用!$M$2:$M$186,MATCH("男"&amp;$A42&amp;"-3",計算用!$AS$2:$AS$186,0)),""))</f>
        <v/>
      </c>
      <c r="L42" s="26">
        <f>IF($A42="","",IFERROR(INDEX(計算用!$I$2:$I$186,MATCH("男"&amp;$A42&amp;"-3",計算用!$AS$2:$AS$186,0)),""))</f>
        <v/>
      </c>
      <c r="M42">
        <f>IF($A42="","",IFERROR(INDEX(計算用!$D$2:$D$186,MATCH("男"&amp;$A42&amp;"-4",計算用!$AS$2:$AS$186,0)),""))</f>
        <v/>
      </c>
      <c r="N42" s="26">
        <f>IF($A42="","",IFERROR(INDEX(計算用!$M$2:$M$186,MATCH("男"&amp;$A42&amp;"-4",計算用!$AS$2:$AS$186,0)),""))</f>
        <v/>
      </c>
      <c r="O42" s="26">
        <f>IF($A42="","",IFERROR(INDEX(計算用!$I$2:$I$186,MATCH("男"&amp;$A42&amp;"-4",計算用!$AS$2:$AS$186,0)),""))</f>
        <v/>
      </c>
      <c r="Q42" s="26">
        <f>IF(ROW()-3&lt;=計算用!$Q$14,ROW()-3,"")</f>
        <v/>
      </c>
      <c r="R42" s="26">
        <f>IF($Q42="","",INDEX(計算用!$BG$2:$BG$51,$Q42))</f>
        <v/>
      </c>
      <c r="S42" s="26">
        <f>IF($Q42="","","赤"&amp;INDEX(計算用!$BH$2:$BH$51,$Q42)&amp;"白"&amp;INDEX(計算用!$BI$2:$BI$51,$Q42))</f>
        <v/>
      </c>
      <c r="T42">
        <f>IF($Q42="","",IFERROR(INDEX(計算用!$D$2:$D$186,MATCH("女"&amp;$Q42&amp;"-1",計算用!$AS$2:$AS$186,0)),""))</f>
        <v/>
      </c>
      <c r="U42" s="26">
        <f>IF($Q42="","",IFERROR(INDEX(計算用!$M$2:$M$186,MATCH("女"&amp;$Q42&amp;"-1",計算用!$AS$2:$AS$186,0)),""))</f>
        <v/>
      </c>
      <c r="V42" s="26">
        <f>IF($Q42="","",IFERROR(INDEX(計算用!$I$2:$I$186,MATCH("女"&amp;$Q42&amp;"-1",計算用!$AS$2:$AS$186,0)),""))</f>
        <v/>
      </c>
      <c r="W42">
        <f>IF($Q42="","",IFERROR(INDEX(計算用!$D$2:$D$186,MATCH("女"&amp;$Q42&amp;"-2",計算用!$AS$2:$AS$186,0)),""))</f>
        <v/>
      </c>
      <c r="X42" s="26">
        <f>IF($Q42="","",IFERROR(INDEX(計算用!$M$2:$M$186,MATCH("女"&amp;$Q42&amp;"-2",計算用!$AS$2:$AS$186,0)),""))</f>
        <v/>
      </c>
      <c r="Y42" s="26">
        <f>IF($Q42="","",IFERROR(INDEX(計算用!$I$2:$I$186,MATCH("女"&amp;$Q42&amp;"-2",計算用!$AS$2:$AS$186,0)),""))</f>
        <v/>
      </c>
      <c r="Z42">
        <f>IF($Q42="","",IFERROR(INDEX(計算用!$D$2:$D$186,MATCH("女"&amp;$Q42&amp;"-3",計算用!$AS$2:$AS$186,0)),""))</f>
        <v/>
      </c>
      <c r="AA42" s="26">
        <f>IF($Q42="","",IFERROR(INDEX(計算用!$M$2:$M$186,MATCH("女"&amp;$Q42&amp;"-3",計算用!$AS$2:$AS$186,0)),""))</f>
        <v/>
      </c>
      <c r="AB42" s="26">
        <f>IF($Q42="","",IFERROR(INDEX(計算用!$I$2:$I$186,MATCH("女"&amp;$Q42&amp;"-3",計算用!$AS$2:$AS$186,0)),""))</f>
        <v/>
      </c>
      <c r="AC42">
        <f>IF($Q42="","",IFERROR(INDEX(計算用!$D$2:$D$186,MATCH("女"&amp;$Q42&amp;"-4",計算用!$AS$2:$AS$186,0)),""))</f>
        <v/>
      </c>
      <c r="AD42" s="26">
        <f>IF($Q42="","",IFERROR(INDEX(計算用!$M$2:$M$186,MATCH("女"&amp;$Q42&amp;"-4",計算用!$AS$2:$AS$186,0)),""))</f>
        <v/>
      </c>
      <c r="AE42" s="26">
        <f>IF($Q42="","",IFERROR(INDEX(計算用!$I$2:$I$186,MATCH("女"&amp;$Q42&amp;"-4",計算用!$AS$2:$AS$186,0)),""))</f>
        <v/>
      </c>
    </row>
    <row r="43">
      <c r="A43" s="26">
        <f>IF(ROW()-3&lt;=計算用!$Q$13,ROW()-3,"")</f>
        <v/>
      </c>
      <c r="B43" s="26">
        <f>IF($A43="","",INDEX(計算用!$BB$2:$BB$51,$A43))</f>
        <v/>
      </c>
      <c r="C43" s="26">
        <f>IF($A43="","","赤"&amp;INDEX(計算用!$BC$2:$BC$51,$A43)&amp;"白"&amp;INDEX(計算用!$BD$2:$BD$51,$A43))</f>
        <v/>
      </c>
      <c r="D43">
        <f>IF($A43="","",IFERROR(INDEX(計算用!$D$2:$D$186,MATCH("男"&amp;$A43&amp;"-1",計算用!$AS$2:$AS$186,0)),""))</f>
        <v/>
      </c>
      <c r="E43" s="26">
        <f>IF($A43="","",IFERROR(INDEX(計算用!$M$2:$M$186,MATCH("男"&amp;$A43&amp;"-1",計算用!$AS$2:$AS$186,0)),""))</f>
        <v/>
      </c>
      <c r="F43" s="26">
        <f>IF($A43="","",IFERROR(INDEX(計算用!$I$2:$I$186,MATCH("男"&amp;$A43&amp;"-1",計算用!$AS$2:$AS$186,0)),""))</f>
        <v/>
      </c>
      <c r="G43">
        <f>IF($A43="","",IFERROR(INDEX(計算用!$D$2:$D$186,MATCH("男"&amp;$A43&amp;"-2",計算用!$AS$2:$AS$186,0)),""))</f>
        <v/>
      </c>
      <c r="H43" s="26">
        <f>IF($A43="","",IFERROR(INDEX(計算用!$M$2:$M$186,MATCH("男"&amp;$A43&amp;"-2",計算用!$AS$2:$AS$186,0)),""))</f>
        <v/>
      </c>
      <c r="I43" s="26">
        <f>IF($A43="","",IFERROR(INDEX(計算用!$I$2:$I$186,MATCH("男"&amp;$A43&amp;"-2",計算用!$AS$2:$AS$186,0)),""))</f>
        <v/>
      </c>
      <c r="J43">
        <f>IF($A43="","",IFERROR(INDEX(計算用!$D$2:$D$186,MATCH("男"&amp;$A43&amp;"-3",計算用!$AS$2:$AS$186,0)),""))</f>
        <v/>
      </c>
      <c r="K43" s="26">
        <f>IF($A43="","",IFERROR(INDEX(計算用!$M$2:$M$186,MATCH("男"&amp;$A43&amp;"-3",計算用!$AS$2:$AS$186,0)),""))</f>
        <v/>
      </c>
      <c r="L43" s="26">
        <f>IF($A43="","",IFERROR(INDEX(計算用!$I$2:$I$186,MATCH("男"&amp;$A43&amp;"-3",計算用!$AS$2:$AS$186,0)),""))</f>
        <v/>
      </c>
      <c r="M43">
        <f>IF($A43="","",IFERROR(INDEX(計算用!$D$2:$D$186,MATCH("男"&amp;$A43&amp;"-4",計算用!$AS$2:$AS$186,0)),""))</f>
        <v/>
      </c>
      <c r="N43" s="26">
        <f>IF($A43="","",IFERROR(INDEX(計算用!$M$2:$M$186,MATCH("男"&amp;$A43&amp;"-4",計算用!$AS$2:$AS$186,0)),""))</f>
        <v/>
      </c>
      <c r="O43" s="26">
        <f>IF($A43="","",IFERROR(INDEX(計算用!$I$2:$I$186,MATCH("男"&amp;$A43&amp;"-4",計算用!$AS$2:$AS$186,0)),""))</f>
        <v/>
      </c>
      <c r="Q43" s="26">
        <f>IF(ROW()-3&lt;=計算用!$Q$14,ROW()-3,"")</f>
        <v/>
      </c>
      <c r="R43" s="26">
        <f>IF($Q43="","",INDEX(計算用!$BG$2:$BG$51,$Q43))</f>
        <v/>
      </c>
      <c r="S43" s="26">
        <f>IF($Q43="","","赤"&amp;INDEX(計算用!$BH$2:$BH$51,$Q43)&amp;"白"&amp;INDEX(計算用!$BI$2:$BI$51,$Q43))</f>
        <v/>
      </c>
      <c r="T43">
        <f>IF($Q43="","",IFERROR(INDEX(計算用!$D$2:$D$186,MATCH("女"&amp;$Q43&amp;"-1",計算用!$AS$2:$AS$186,0)),""))</f>
        <v/>
      </c>
      <c r="U43" s="26">
        <f>IF($Q43="","",IFERROR(INDEX(計算用!$M$2:$M$186,MATCH("女"&amp;$Q43&amp;"-1",計算用!$AS$2:$AS$186,0)),""))</f>
        <v/>
      </c>
      <c r="V43" s="26">
        <f>IF($Q43="","",IFERROR(INDEX(計算用!$I$2:$I$186,MATCH("女"&amp;$Q43&amp;"-1",計算用!$AS$2:$AS$186,0)),""))</f>
        <v/>
      </c>
      <c r="W43">
        <f>IF($Q43="","",IFERROR(INDEX(計算用!$D$2:$D$186,MATCH("女"&amp;$Q43&amp;"-2",計算用!$AS$2:$AS$186,0)),""))</f>
        <v/>
      </c>
      <c r="X43" s="26">
        <f>IF($Q43="","",IFERROR(INDEX(計算用!$M$2:$M$186,MATCH("女"&amp;$Q43&amp;"-2",計算用!$AS$2:$AS$186,0)),""))</f>
        <v/>
      </c>
      <c r="Y43" s="26">
        <f>IF($Q43="","",IFERROR(INDEX(計算用!$I$2:$I$186,MATCH("女"&amp;$Q43&amp;"-2",計算用!$AS$2:$AS$186,0)),""))</f>
        <v/>
      </c>
      <c r="Z43">
        <f>IF($Q43="","",IFERROR(INDEX(計算用!$D$2:$D$186,MATCH("女"&amp;$Q43&amp;"-3",計算用!$AS$2:$AS$186,0)),""))</f>
        <v/>
      </c>
      <c r="AA43" s="26">
        <f>IF($Q43="","",IFERROR(INDEX(計算用!$M$2:$M$186,MATCH("女"&amp;$Q43&amp;"-3",計算用!$AS$2:$AS$186,0)),""))</f>
        <v/>
      </c>
      <c r="AB43" s="26">
        <f>IF($Q43="","",IFERROR(INDEX(計算用!$I$2:$I$186,MATCH("女"&amp;$Q43&amp;"-3",計算用!$AS$2:$AS$186,0)),""))</f>
        <v/>
      </c>
      <c r="AC43">
        <f>IF($Q43="","",IFERROR(INDEX(計算用!$D$2:$D$186,MATCH("女"&amp;$Q43&amp;"-4",計算用!$AS$2:$AS$186,0)),""))</f>
        <v/>
      </c>
      <c r="AD43" s="26">
        <f>IF($Q43="","",IFERROR(INDEX(計算用!$M$2:$M$186,MATCH("女"&amp;$Q43&amp;"-4",計算用!$AS$2:$AS$186,0)),""))</f>
        <v/>
      </c>
      <c r="AE43" s="26">
        <f>IF($Q43="","",IFERROR(INDEX(計算用!$I$2:$I$186,MATCH("女"&amp;$Q43&amp;"-4",計算用!$AS$2:$AS$186,0)),""))</f>
        <v/>
      </c>
    </row>
    <row r="44">
      <c r="A44" s="26">
        <f>IF(ROW()-3&lt;=計算用!$Q$13,ROW()-3,"")</f>
        <v/>
      </c>
      <c r="B44" s="26">
        <f>IF($A44="","",INDEX(計算用!$BB$2:$BB$51,$A44))</f>
        <v/>
      </c>
      <c r="C44" s="26">
        <f>IF($A44="","","赤"&amp;INDEX(計算用!$BC$2:$BC$51,$A44)&amp;"白"&amp;INDEX(計算用!$BD$2:$BD$51,$A44))</f>
        <v/>
      </c>
      <c r="D44">
        <f>IF($A44="","",IFERROR(INDEX(計算用!$D$2:$D$186,MATCH("男"&amp;$A44&amp;"-1",計算用!$AS$2:$AS$186,0)),""))</f>
        <v/>
      </c>
      <c r="E44" s="26">
        <f>IF($A44="","",IFERROR(INDEX(計算用!$M$2:$M$186,MATCH("男"&amp;$A44&amp;"-1",計算用!$AS$2:$AS$186,0)),""))</f>
        <v/>
      </c>
      <c r="F44" s="26">
        <f>IF($A44="","",IFERROR(INDEX(計算用!$I$2:$I$186,MATCH("男"&amp;$A44&amp;"-1",計算用!$AS$2:$AS$186,0)),""))</f>
        <v/>
      </c>
      <c r="G44">
        <f>IF($A44="","",IFERROR(INDEX(計算用!$D$2:$D$186,MATCH("男"&amp;$A44&amp;"-2",計算用!$AS$2:$AS$186,0)),""))</f>
        <v/>
      </c>
      <c r="H44" s="26">
        <f>IF($A44="","",IFERROR(INDEX(計算用!$M$2:$M$186,MATCH("男"&amp;$A44&amp;"-2",計算用!$AS$2:$AS$186,0)),""))</f>
        <v/>
      </c>
      <c r="I44" s="26">
        <f>IF($A44="","",IFERROR(INDEX(計算用!$I$2:$I$186,MATCH("男"&amp;$A44&amp;"-2",計算用!$AS$2:$AS$186,0)),""))</f>
        <v/>
      </c>
      <c r="J44">
        <f>IF($A44="","",IFERROR(INDEX(計算用!$D$2:$D$186,MATCH("男"&amp;$A44&amp;"-3",計算用!$AS$2:$AS$186,0)),""))</f>
        <v/>
      </c>
      <c r="K44" s="26">
        <f>IF($A44="","",IFERROR(INDEX(計算用!$M$2:$M$186,MATCH("男"&amp;$A44&amp;"-3",計算用!$AS$2:$AS$186,0)),""))</f>
        <v/>
      </c>
      <c r="L44" s="26">
        <f>IF($A44="","",IFERROR(INDEX(計算用!$I$2:$I$186,MATCH("男"&amp;$A44&amp;"-3",計算用!$AS$2:$AS$186,0)),""))</f>
        <v/>
      </c>
      <c r="M44">
        <f>IF($A44="","",IFERROR(INDEX(計算用!$D$2:$D$186,MATCH("男"&amp;$A44&amp;"-4",計算用!$AS$2:$AS$186,0)),""))</f>
        <v/>
      </c>
      <c r="N44" s="26">
        <f>IF($A44="","",IFERROR(INDEX(計算用!$M$2:$M$186,MATCH("男"&amp;$A44&amp;"-4",計算用!$AS$2:$AS$186,0)),""))</f>
        <v/>
      </c>
      <c r="O44" s="26">
        <f>IF($A44="","",IFERROR(INDEX(計算用!$I$2:$I$186,MATCH("男"&amp;$A44&amp;"-4",計算用!$AS$2:$AS$186,0)),""))</f>
        <v/>
      </c>
      <c r="Q44" s="26">
        <f>IF(ROW()-3&lt;=計算用!$Q$14,ROW()-3,"")</f>
        <v/>
      </c>
      <c r="R44" s="26">
        <f>IF($Q44="","",INDEX(計算用!$BG$2:$BG$51,$Q44))</f>
        <v/>
      </c>
      <c r="S44" s="26">
        <f>IF($Q44="","","赤"&amp;INDEX(計算用!$BH$2:$BH$51,$Q44)&amp;"白"&amp;INDEX(計算用!$BI$2:$BI$51,$Q44))</f>
        <v/>
      </c>
      <c r="T44">
        <f>IF($Q44="","",IFERROR(INDEX(計算用!$D$2:$D$186,MATCH("女"&amp;$Q44&amp;"-1",計算用!$AS$2:$AS$186,0)),""))</f>
        <v/>
      </c>
      <c r="U44" s="26">
        <f>IF($Q44="","",IFERROR(INDEX(計算用!$M$2:$M$186,MATCH("女"&amp;$Q44&amp;"-1",計算用!$AS$2:$AS$186,0)),""))</f>
        <v/>
      </c>
      <c r="V44" s="26">
        <f>IF($Q44="","",IFERROR(INDEX(計算用!$I$2:$I$186,MATCH("女"&amp;$Q44&amp;"-1",計算用!$AS$2:$AS$186,0)),""))</f>
        <v/>
      </c>
      <c r="W44">
        <f>IF($Q44="","",IFERROR(INDEX(計算用!$D$2:$D$186,MATCH("女"&amp;$Q44&amp;"-2",計算用!$AS$2:$AS$186,0)),""))</f>
        <v/>
      </c>
      <c r="X44" s="26">
        <f>IF($Q44="","",IFERROR(INDEX(計算用!$M$2:$M$186,MATCH("女"&amp;$Q44&amp;"-2",計算用!$AS$2:$AS$186,0)),""))</f>
        <v/>
      </c>
      <c r="Y44" s="26">
        <f>IF($Q44="","",IFERROR(INDEX(計算用!$I$2:$I$186,MATCH("女"&amp;$Q44&amp;"-2",計算用!$AS$2:$AS$186,0)),""))</f>
        <v/>
      </c>
      <c r="Z44">
        <f>IF($Q44="","",IFERROR(INDEX(計算用!$D$2:$D$186,MATCH("女"&amp;$Q44&amp;"-3",計算用!$AS$2:$AS$186,0)),""))</f>
        <v/>
      </c>
      <c r="AA44" s="26">
        <f>IF($Q44="","",IFERROR(INDEX(計算用!$M$2:$M$186,MATCH("女"&amp;$Q44&amp;"-3",計算用!$AS$2:$AS$186,0)),""))</f>
        <v/>
      </c>
      <c r="AB44" s="26">
        <f>IF($Q44="","",IFERROR(INDEX(計算用!$I$2:$I$186,MATCH("女"&amp;$Q44&amp;"-3",計算用!$AS$2:$AS$186,0)),""))</f>
        <v/>
      </c>
      <c r="AC44">
        <f>IF($Q44="","",IFERROR(INDEX(計算用!$D$2:$D$186,MATCH("女"&amp;$Q44&amp;"-4",計算用!$AS$2:$AS$186,0)),""))</f>
        <v/>
      </c>
      <c r="AD44" s="26">
        <f>IF($Q44="","",IFERROR(INDEX(計算用!$M$2:$M$186,MATCH("女"&amp;$Q44&amp;"-4",計算用!$AS$2:$AS$186,0)),""))</f>
        <v/>
      </c>
      <c r="AE44" s="26">
        <f>IF($Q44="","",IFERROR(INDEX(計算用!$I$2:$I$186,MATCH("女"&amp;$Q44&amp;"-4",計算用!$AS$2:$AS$186,0)),""))</f>
        <v/>
      </c>
    </row>
    <row r="45">
      <c r="A45" s="26">
        <f>IF(ROW()-3&lt;=計算用!$Q$13,ROW()-3,"")</f>
        <v/>
      </c>
      <c r="B45" s="26">
        <f>IF($A45="","",INDEX(計算用!$BB$2:$BB$51,$A45))</f>
        <v/>
      </c>
      <c r="C45" s="26">
        <f>IF($A45="","","赤"&amp;INDEX(計算用!$BC$2:$BC$51,$A45)&amp;"白"&amp;INDEX(計算用!$BD$2:$BD$51,$A45))</f>
        <v/>
      </c>
      <c r="D45">
        <f>IF($A45="","",IFERROR(INDEX(計算用!$D$2:$D$186,MATCH("男"&amp;$A45&amp;"-1",計算用!$AS$2:$AS$186,0)),""))</f>
        <v/>
      </c>
      <c r="E45" s="26">
        <f>IF($A45="","",IFERROR(INDEX(計算用!$M$2:$M$186,MATCH("男"&amp;$A45&amp;"-1",計算用!$AS$2:$AS$186,0)),""))</f>
        <v/>
      </c>
      <c r="F45" s="26">
        <f>IF($A45="","",IFERROR(INDEX(計算用!$I$2:$I$186,MATCH("男"&amp;$A45&amp;"-1",計算用!$AS$2:$AS$186,0)),""))</f>
        <v/>
      </c>
      <c r="G45">
        <f>IF($A45="","",IFERROR(INDEX(計算用!$D$2:$D$186,MATCH("男"&amp;$A45&amp;"-2",計算用!$AS$2:$AS$186,0)),""))</f>
        <v/>
      </c>
      <c r="H45" s="26">
        <f>IF($A45="","",IFERROR(INDEX(計算用!$M$2:$M$186,MATCH("男"&amp;$A45&amp;"-2",計算用!$AS$2:$AS$186,0)),""))</f>
        <v/>
      </c>
      <c r="I45" s="26">
        <f>IF($A45="","",IFERROR(INDEX(計算用!$I$2:$I$186,MATCH("男"&amp;$A45&amp;"-2",計算用!$AS$2:$AS$186,0)),""))</f>
        <v/>
      </c>
      <c r="J45">
        <f>IF($A45="","",IFERROR(INDEX(計算用!$D$2:$D$186,MATCH("男"&amp;$A45&amp;"-3",計算用!$AS$2:$AS$186,0)),""))</f>
        <v/>
      </c>
      <c r="K45" s="26">
        <f>IF($A45="","",IFERROR(INDEX(計算用!$M$2:$M$186,MATCH("男"&amp;$A45&amp;"-3",計算用!$AS$2:$AS$186,0)),""))</f>
        <v/>
      </c>
      <c r="L45" s="26">
        <f>IF($A45="","",IFERROR(INDEX(計算用!$I$2:$I$186,MATCH("男"&amp;$A45&amp;"-3",計算用!$AS$2:$AS$186,0)),""))</f>
        <v/>
      </c>
      <c r="M45">
        <f>IF($A45="","",IFERROR(INDEX(計算用!$D$2:$D$186,MATCH("男"&amp;$A45&amp;"-4",計算用!$AS$2:$AS$186,0)),""))</f>
        <v/>
      </c>
      <c r="N45" s="26">
        <f>IF($A45="","",IFERROR(INDEX(計算用!$M$2:$M$186,MATCH("男"&amp;$A45&amp;"-4",計算用!$AS$2:$AS$186,0)),""))</f>
        <v/>
      </c>
      <c r="O45" s="26">
        <f>IF($A45="","",IFERROR(INDEX(計算用!$I$2:$I$186,MATCH("男"&amp;$A45&amp;"-4",計算用!$AS$2:$AS$186,0)),""))</f>
        <v/>
      </c>
      <c r="Q45" s="26">
        <f>IF(ROW()-3&lt;=計算用!$Q$14,ROW()-3,"")</f>
        <v/>
      </c>
      <c r="R45" s="26">
        <f>IF($Q45="","",INDEX(計算用!$BG$2:$BG$51,$Q45))</f>
        <v/>
      </c>
      <c r="S45" s="26">
        <f>IF($Q45="","","赤"&amp;INDEX(計算用!$BH$2:$BH$51,$Q45)&amp;"白"&amp;INDEX(計算用!$BI$2:$BI$51,$Q45))</f>
        <v/>
      </c>
      <c r="T45">
        <f>IF($Q45="","",IFERROR(INDEX(計算用!$D$2:$D$186,MATCH("女"&amp;$Q45&amp;"-1",計算用!$AS$2:$AS$186,0)),""))</f>
        <v/>
      </c>
      <c r="U45" s="26">
        <f>IF($Q45="","",IFERROR(INDEX(計算用!$M$2:$M$186,MATCH("女"&amp;$Q45&amp;"-1",計算用!$AS$2:$AS$186,0)),""))</f>
        <v/>
      </c>
      <c r="V45" s="26">
        <f>IF($Q45="","",IFERROR(INDEX(計算用!$I$2:$I$186,MATCH("女"&amp;$Q45&amp;"-1",計算用!$AS$2:$AS$186,0)),""))</f>
        <v/>
      </c>
      <c r="W45">
        <f>IF($Q45="","",IFERROR(INDEX(計算用!$D$2:$D$186,MATCH("女"&amp;$Q45&amp;"-2",計算用!$AS$2:$AS$186,0)),""))</f>
        <v/>
      </c>
      <c r="X45" s="26">
        <f>IF($Q45="","",IFERROR(INDEX(計算用!$M$2:$M$186,MATCH("女"&amp;$Q45&amp;"-2",計算用!$AS$2:$AS$186,0)),""))</f>
        <v/>
      </c>
      <c r="Y45" s="26">
        <f>IF($Q45="","",IFERROR(INDEX(計算用!$I$2:$I$186,MATCH("女"&amp;$Q45&amp;"-2",計算用!$AS$2:$AS$186,0)),""))</f>
        <v/>
      </c>
      <c r="Z45">
        <f>IF($Q45="","",IFERROR(INDEX(計算用!$D$2:$D$186,MATCH("女"&amp;$Q45&amp;"-3",計算用!$AS$2:$AS$186,0)),""))</f>
        <v/>
      </c>
      <c r="AA45" s="26">
        <f>IF($Q45="","",IFERROR(INDEX(計算用!$M$2:$M$186,MATCH("女"&amp;$Q45&amp;"-3",計算用!$AS$2:$AS$186,0)),""))</f>
        <v/>
      </c>
      <c r="AB45" s="26">
        <f>IF($Q45="","",IFERROR(INDEX(計算用!$I$2:$I$186,MATCH("女"&amp;$Q45&amp;"-3",計算用!$AS$2:$AS$186,0)),""))</f>
        <v/>
      </c>
      <c r="AC45">
        <f>IF($Q45="","",IFERROR(INDEX(計算用!$D$2:$D$186,MATCH("女"&amp;$Q45&amp;"-4",計算用!$AS$2:$AS$186,0)),""))</f>
        <v/>
      </c>
      <c r="AD45" s="26">
        <f>IF($Q45="","",IFERROR(INDEX(計算用!$M$2:$M$186,MATCH("女"&amp;$Q45&amp;"-4",計算用!$AS$2:$AS$186,0)),""))</f>
        <v/>
      </c>
      <c r="AE45" s="26">
        <f>IF($Q45="","",IFERROR(INDEX(計算用!$I$2:$I$186,MATCH("女"&amp;$Q45&amp;"-4",計算用!$AS$2:$AS$186,0)),""))</f>
        <v/>
      </c>
    </row>
    <row r="46">
      <c r="A46" s="26">
        <f>IF(ROW()-3&lt;=計算用!$Q$13,ROW()-3,"")</f>
        <v/>
      </c>
      <c r="B46" s="26">
        <f>IF($A46="","",INDEX(計算用!$BB$2:$BB$51,$A46))</f>
        <v/>
      </c>
      <c r="C46" s="26">
        <f>IF($A46="","","赤"&amp;INDEX(計算用!$BC$2:$BC$51,$A46)&amp;"白"&amp;INDEX(計算用!$BD$2:$BD$51,$A46))</f>
        <v/>
      </c>
      <c r="D46">
        <f>IF($A46="","",IFERROR(INDEX(計算用!$D$2:$D$186,MATCH("男"&amp;$A46&amp;"-1",計算用!$AS$2:$AS$186,0)),""))</f>
        <v/>
      </c>
      <c r="E46" s="26">
        <f>IF($A46="","",IFERROR(INDEX(計算用!$M$2:$M$186,MATCH("男"&amp;$A46&amp;"-1",計算用!$AS$2:$AS$186,0)),""))</f>
        <v/>
      </c>
      <c r="F46" s="26">
        <f>IF($A46="","",IFERROR(INDEX(計算用!$I$2:$I$186,MATCH("男"&amp;$A46&amp;"-1",計算用!$AS$2:$AS$186,0)),""))</f>
        <v/>
      </c>
      <c r="G46">
        <f>IF($A46="","",IFERROR(INDEX(計算用!$D$2:$D$186,MATCH("男"&amp;$A46&amp;"-2",計算用!$AS$2:$AS$186,0)),""))</f>
        <v/>
      </c>
      <c r="H46" s="26">
        <f>IF($A46="","",IFERROR(INDEX(計算用!$M$2:$M$186,MATCH("男"&amp;$A46&amp;"-2",計算用!$AS$2:$AS$186,0)),""))</f>
        <v/>
      </c>
      <c r="I46" s="26">
        <f>IF($A46="","",IFERROR(INDEX(計算用!$I$2:$I$186,MATCH("男"&amp;$A46&amp;"-2",計算用!$AS$2:$AS$186,0)),""))</f>
        <v/>
      </c>
      <c r="J46">
        <f>IF($A46="","",IFERROR(INDEX(計算用!$D$2:$D$186,MATCH("男"&amp;$A46&amp;"-3",計算用!$AS$2:$AS$186,0)),""))</f>
        <v/>
      </c>
      <c r="K46" s="26">
        <f>IF($A46="","",IFERROR(INDEX(計算用!$M$2:$M$186,MATCH("男"&amp;$A46&amp;"-3",計算用!$AS$2:$AS$186,0)),""))</f>
        <v/>
      </c>
      <c r="L46" s="26">
        <f>IF($A46="","",IFERROR(INDEX(計算用!$I$2:$I$186,MATCH("男"&amp;$A46&amp;"-3",計算用!$AS$2:$AS$186,0)),""))</f>
        <v/>
      </c>
      <c r="M46">
        <f>IF($A46="","",IFERROR(INDEX(計算用!$D$2:$D$186,MATCH("男"&amp;$A46&amp;"-4",計算用!$AS$2:$AS$186,0)),""))</f>
        <v/>
      </c>
      <c r="N46" s="26">
        <f>IF($A46="","",IFERROR(INDEX(計算用!$M$2:$M$186,MATCH("男"&amp;$A46&amp;"-4",計算用!$AS$2:$AS$186,0)),""))</f>
        <v/>
      </c>
      <c r="O46" s="26">
        <f>IF($A46="","",IFERROR(INDEX(計算用!$I$2:$I$186,MATCH("男"&amp;$A46&amp;"-4",計算用!$AS$2:$AS$186,0)),""))</f>
        <v/>
      </c>
      <c r="Q46" s="26">
        <f>IF(ROW()-3&lt;=計算用!$Q$14,ROW()-3,"")</f>
        <v/>
      </c>
      <c r="R46" s="26">
        <f>IF($Q46="","",INDEX(計算用!$BG$2:$BG$51,$Q46))</f>
        <v/>
      </c>
      <c r="S46" s="26">
        <f>IF($Q46="","","赤"&amp;INDEX(計算用!$BH$2:$BH$51,$Q46)&amp;"白"&amp;INDEX(計算用!$BI$2:$BI$51,$Q46))</f>
        <v/>
      </c>
      <c r="T46">
        <f>IF($Q46="","",IFERROR(INDEX(計算用!$D$2:$D$186,MATCH("女"&amp;$Q46&amp;"-1",計算用!$AS$2:$AS$186,0)),""))</f>
        <v/>
      </c>
      <c r="U46" s="26">
        <f>IF($Q46="","",IFERROR(INDEX(計算用!$M$2:$M$186,MATCH("女"&amp;$Q46&amp;"-1",計算用!$AS$2:$AS$186,0)),""))</f>
        <v/>
      </c>
      <c r="V46" s="26">
        <f>IF($Q46="","",IFERROR(INDEX(計算用!$I$2:$I$186,MATCH("女"&amp;$Q46&amp;"-1",計算用!$AS$2:$AS$186,0)),""))</f>
        <v/>
      </c>
      <c r="W46">
        <f>IF($Q46="","",IFERROR(INDEX(計算用!$D$2:$D$186,MATCH("女"&amp;$Q46&amp;"-2",計算用!$AS$2:$AS$186,0)),""))</f>
        <v/>
      </c>
      <c r="X46" s="26">
        <f>IF($Q46="","",IFERROR(INDEX(計算用!$M$2:$M$186,MATCH("女"&amp;$Q46&amp;"-2",計算用!$AS$2:$AS$186,0)),""))</f>
        <v/>
      </c>
      <c r="Y46" s="26">
        <f>IF($Q46="","",IFERROR(INDEX(計算用!$I$2:$I$186,MATCH("女"&amp;$Q46&amp;"-2",計算用!$AS$2:$AS$186,0)),""))</f>
        <v/>
      </c>
      <c r="Z46">
        <f>IF($Q46="","",IFERROR(INDEX(計算用!$D$2:$D$186,MATCH("女"&amp;$Q46&amp;"-3",計算用!$AS$2:$AS$186,0)),""))</f>
        <v/>
      </c>
      <c r="AA46" s="26">
        <f>IF($Q46="","",IFERROR(INDEX(計算用!$M$2:$M$186,MATCH("女"&amp;$Q46&amp;"-3",計算用!$AS$2:$AS$186,0)),""))</f>
        <v/>
      </c>
      <c r="AB46" s="26">
        <f>IF($Q46="","",IFERROR(INDEX(計算用!$I$2:$I$186,MATCH("女"&amp;$Q46&amp;"-3",計算用!$AS$2:$AS$186,0)),""))</f>
        <v/>
      </c>
      <c r="AC46">
        <f>IF($Q46="","",IFERROR(INDEX(計算用!$D$2:$D$186,MATCH("女"&amp;$Q46&amp;"-4",計算用!$AS$2:$AS$186,0)),""))</f>
        <v/>
      </c>
      <c r="AD46" s="26">
        <f>IF($Q46="","",IFERROR(INDEX(計算用!$M$2:$M$186,MATCH("女"&amp;$Q46&amp;"-4",計算用!$AS$2:$AS$186,0)),""))</f>
        <v/>
      </c>
      <c r="AE46" s="26">
        <f>IF($Q46="","",IFERROR(INDEX(計算用!$I$2:$I$186,MATCH("女"&amp;$Q46&amp;"-4",計算用!$AS$2:$AS$186,0)),""))</f>
        <v/>
      </c>
    </row>
    <row r="47">
      <c r="A47" s="26">
        <f>IF(ROW()-3&lt;=計算用!$Q$13,ROW()-3,"")</f>
        <v/>
      </c>
      <c r="B47" s="26">
        <f>IF($A47="","",INDEX(計算用!$BB$2:$BB$51,$A47))</f>
        <v/>
      </c>
      <c r="C47" s="26">
        <f>IF($A47="","","赤"&amp;INDEX(計算用!$BC$2:$BC$51,$A47)&amp;"白"&amp;INDEX(計算用!$BD$2:$BD$51,$A47))</f>
        <v/>
      </c>
      <c r="D47">
        <f>IF($A47="","",IFERROR(INDEX(計算用!$D$2:$D$186,MATCH("男"&amp;$A47&amp;"-1",計算用!$AS$2:$AS$186,0)),""))</f>
        <v/>
      </c>
      <c r="E47" s="26">
        <f>IF($A47="","",IFERROR(INDEX(計算用!$M$2:$M$186,MATCH("男"&amp;$A47&amp;"-1",計算用!$AS$2:$AS$186,0)),""))</f>
        <v/>
      </c>
      <c r="F47" s="26">
        <f>IF($A47="","",IFERROR(INDEX(計算用!$I$2:$I$186,MATCH("男"&amp;$A47&amp;"-1",計算用!$AS$2:$AS$186,0)),""))</f>
        <v/>
      </c>
      <c r="G47">
        <f>IF($A47="","",IFERROR(INDEX(計算用!$D$2:$D$186,MATCH("男"&amp;$A47&amp;"-2",計算用!$AS$2:$AS$186,0)),""))</f>
        <v/>
      </c>
      <c r="H47" s="26">
        <f>IF($A47="","",IFERROR(INDEX(計算用!$M$2:$M$186,MATCH("男"&amp;$A47&amp;"-2",計算用!$AS$2:$AS$186,0)),""))</f>
        <v/>
      </c>
      <c r="I47" s="26">
        <f>IF($A47="","",IFERROR(INDEX(計算用!$I$2:$I$186,MATCH("男"&amp;$A47&amp;"-2",計算用!$AS$2:$AS$186,0)),""))</f>
        <v/>
      </c>
      <c r="J47">
        <f>IF($A47="","",IFERROR(INDEX(計算用!$D$2:$D$186,MATCH("男"&amp;$A47&amp;"-3",計算用!$AS$2:$AS$186,0)),""))</f>
        <v/>
      </c>
      <c r="K47" s="26">
        <f>IF($A47="","",IFERROR(INDEX(計算用!$M$2:$M$186,MATCH("男"&amp;$A47&amp;"-3",計算用!$AS$2:$AS$186,0)),""))</f>
        <v/>
      </c>
      <c r="L47" s="26">
        <f>IF($A47="","",IFERROR(INDEX(計算用!$I$2:$I$186,MATCH("男"&amp;$A47&amp;"-3",計算用!$AS$2:$AS$186,0)),""))</f>
        <v/>
      </c>
      <c r="M47">
        <f>IF($A47="","",IFERROR(INDEX(計算用!$D$2:$D$186,MATCH("男"&amp;$A47&amp;"-4",計算用!$AS$2:$AS$186,0)),""))</f>
        <v/>
      </c>
      <c r="N47" s="26">
        <f>IF($A47="","",IFERROR(INDEX(計算用!$M$2:$M$186,MATCH("男"&amp;$A47&amp;"-4",計算用!$AS$2:$AS$186,0)),""))</f>
        <v/>
      </c>
      <c r="O47" s="26">
        <f>IF($A47="","",IFERROR(INDEX(計算用!$I$2:$I$186,MATCH("男"&amp;$A47&amp;"-4",計算用!$AS$2:$AS$186,0)),""))</f>
        <v/>
      </c>
      <c r="Q47" s="26">
        <f>IF(ROW()-3&lt;=計算用!$Q$14,ROW()-3,"")</f>
        <v/>
      </c>
      <c r="R47" s="26">
        <f>IF($Q47="","",INDEX(計算用!$BG$2:$BG$51,$Q47))</f>
        <v/>
      </c>
      <c r="S47" s="26">
        <f>IF($Q47="","","赤"&amp;INDEX(計算用!$BH$2:$BH$51,$Q47)&amp;"白"&amp;INDEX(計算用!$BI$2:$BI$51,$Q47))</f>
        <v/>
      </c>
      <c r="T47">
        <f>IF($Q47="","",IFERROR(INDEX(計算用!$D$2:$D$186,MATCH("女"&amp;$Q47&amp;"-1",計算用!$AS$2:$AS$186,0)),""))</f>
        <v/>
      </c>
      <c r="U47" s="26">
        <f>IF($Q47="","",IFERROR(INDEX(計算用!$M$2:$M$186,MATCH("女"&amp;$Q47&amp;"-1",計算用!$AS$2:$AS$186,0)),""))</f>
        <v/>
      </c>
      <c r="V47" s="26">
        <f>IF($Q47="","",IFERROR(INDEX(計算用!$I$2:$I$186,MATCH("女"&amp;$Q47&amp;"-1",計算用!$AS$2:$AS$186,0)),""))</f>
        <v/>
      </c>
      <c r="W47">
        <f>IF($Q47="","",IFERROR(INDEX(計算用!$D$2:$D$186,MATCH("女"&amp;$Q47&amp;"-2",計算用!$AS$2:$AS$186,0)),""))</f>
        <v/>
      </c>
      <c r="X47" s="26">
        <f>IF($Q47="","",IFERROR(INDEX(計算用!$M$2:$M$186,MATCH("女"&amp;$Q47&amp;"-2",計算用!$AS$2:$AS$186,0)),""))</f>
        <v/>
      </c>
      <c r="Y47" s="26">
        <f>IF($Q47="","",IFERROR(INDEX(計算用!$I$2:$I$186,MATCH("女"&amp;$Q47&amp;"-2",計算用!$AS$2:$AS$186,0)),""))</f>
        <v/>
      </c>
      <c r="Z47">
        <f>IF($Q47="","",IFERROR(INDEX(計算用!$D$2:$D$186,MATCH("女"&amp;$Q47&amp;"-3",計算用!$AS$2:$AS$186,0)),""))</f>
        <v/>
      </c>
      <c r="AA47" s="26">
        <f>IF($Q47="","",IFERROR(INDEX(計算用!$M$2:$M$186,MATCH("女"&amp;$Q47&amp;"-3",計算用!$AS$2:$AS$186,0)),""))</f>
        <v/>
      </c>
      <c r="AB47" s="26">
        <f>IF($Q47="","",IFERROR(INDEX(計算用!$I$2:$I$186,MATCH("女"&amp;$Q47&amp;"-3",計算用!$AS$2:$AS$186,0)),""))</f>
        <v/>
      </c>
      <c r="AC47">
        <f>IF($Q47="","",IFERROR(INDEX(計算用!$D$2:$D$186,MATCH("女"&amp;$Q47&amp;"-4",計算用!$AS$2:$AS$186,0)),""))</f>
        <v/>
      </c>
      <c r="AD47" s="26">
        <f>IF($Q47="","",IFERROR(INDEX(計算用!$M$2:$M$186,MATCH("女"&amp;$Q47&amp;"-4",計算用!$AS$2:$AS$186,0)),""))</f>
        <v/>
      </c>
      <c r="AE47" s="26">
        <f>IF($Q47="","",IFERROR(INDEX(計算用!$I$2:$I$186,MATCH("女"&amp;$Q47&amp;"-4",計算用!$AS$2:$AS$186,0)),""))</f>
        <v/>
      </c>
    </row>
    <row r="48">
      <c r="A48" s="26">
        <f>IF(ROW()-3&lt;=計算用!$Q$13,ROW()-3,"")</f>
        <v/>
      </c>
      <c r="B48" s="26">
        <f>IF($A48="","",INDEX(計算用!$BB$2:$BB$51,$A48))</f>
        <v/>
      </c>
      <c r="C48" s="26">
        <f>IF($A48="","","赤"&amp;INDEX(計算用!$BC$2:$BC$51,$A48)&amp;"白"&amp;INDEX(計算用!$BD$2:$BD$51,$A48))</f>
        <v/>
      </c>
      <c r="D48">
        <f>IF($A48="","",IFERROR(INDEX(計算用!$D$2:$D$186,MATCH("男"&amp;$A48&amp;"-1",計算用!$AS$2:$AS$186,0)),""))</f>
        <v/>
      </c>
      <c r="E48" s="26">
        <f>IF($A48="","",IFERROR(INDEX(計算用!$M$2:$M$186,MATCH("男"&amp;$A48&amp;"-1",計算用!$AS$2:$AS$186,0)),""))</f>
        <v/>
      </c>
      <c r="F48" s="26">
        <f>IF($A48="","",IFERROR(INDEX(計算用!$I$2:$I$186,MATCH("男"&amp;$A48&amp;"-1",計算用!$AS$2:$AS$186,0)),""))</f>
        <v/>
      </c>
      <c r="G48">
        <f>IF($A48="","",IFERROR(INDEX(計算用!$D$2:$D$186,MATCH("男"&amp;$A48&amp;"-2",計算用!$AS$2:$AS$186,0)),""))</f>
        <v/>
      </c>
      <c r="H48" s="26">
        <f>IF($A48="","",IFERROR(INDEX(計算用!$M$2:$M$186,MATCH("男"&amp;$A48&amp;"-2",計算用!$AS$2:$AS$186,0)),""))</f>
        <v/>
      </c>
      <c r="I48" s="26">
        <f>IF($A48="","",IFERROR(INDEX(計算用!$I$2:$I$186,MATCH("男"&amp;$A48&amp;"-2",計算用!$AS$2:$AS$186,0)),""))</f>
        <v/>
      </c>
      <c r="J48">
        <f>IF($A48="","",IFERROR(INDEX(計算用!$D$2:$D$186,MATCH("男"&amp;$A48&amp;"-3",計算用!$AS$2:$AS$186,0)),""))</f>
        <v/>
      </c>
      <c r="K48" s="26">
        <f>IF($A48="","",IFERROR(INDEX(計算用!$M$2:$M$186,MATCH("男"&amp;$A48&amp;"-3",計算用!$AS$2:$AS$186,0)),""))</f>
        <v/>
      </c>
      <c r="L48" s="26">
        <f>IF($A48="","",IFERROR(INDEX(計算用!$I$2:$I$186,MATCH("男"&amp;$A48&amp;"-3",計算用!$AS$2:$AS$186,0)),""))</f>
        <v/>
      </c>
      <c r="M48">
        <f>IF($A48="","",IFERROR(INDEX(計算用!$D$2:$D$186,MATCH("男"&amp;$A48&amp;"-4",計算用!$AS$2:$AS$186,0)),""))</f>
        <v/>
      </c>
      <c r="N48" s="26">
        <f>IF($A48="","",IFERROR(INDEX(計算用!$M$2:$M$186,MATCH("男"&amp;$A48&amp;"-4",計算用!$AS$2:$AS$186,0)),""))</f>
        <v/>
      </c>
      <c r="O48" s="26">
        <f>IF($A48="","",IFERROR(INDEX(計算用!$I$2:$I$186,MATCH("男"&amp;$A48&amp;"-4",計算用!$AS$2:$AS$186,0)),""))</f>
        <v/>
      </c>
      <c r="Q48" s="26">
        <f>IF(ROW()-3&lt;=計算用!$Q$14,ROW()-3,"")</f>
        <v/>
      </c>
      <c r="R48" s="26">
        <f>IF($Q48="","",INDEX(計算用!$BG$2:$BG$51,$Q48))</f>
        <v/>
      </c>
      <c r="S48" s="26">
        <f>IF($Q48="","","赤"&amp;INDEX(計算用!$BH$2:$BH$51,$Q48)&amp;"白"&amp;INDEX(計算用!$BI$2:$BI$51,$Q48))</f>
        <v/>
      </c>
      <c r="T48">
        <f>IF($Q48="","",IFERROR(INDEX(計算用!$D$2:$D$186,MATCH("女"&amp;$Q48&amp;"-1",計算用!$AS$2:$AS$186,0)),""))</f>
        <v/>
      </c>
      <c r="U48" s="26">
        <f>IF($Q48="","",IFERROR(INDEX(計算用!$M$2:$M$186,MATCH("女"&amp;$Q48&amp;"-1",計算用!$AS$2:$AS$186,0)),""))</f>
        <v/>
      </c>
      <c r="V48" s="26">
        <f>IF($Q48="","",IFERROR(INDEX(計算用!$I$2:$I$186,MATCH("女"&amp;$Q48&amp;"-1",計算用!$AS$2:$AS$186,0)),""))</f>
        <v/>
      </c>
      <c r="W48">
        <f>IF($Q48="","",IFERROR(INDEX(計算用!$D$2:$D$186,MATCH("女"&amp;$Q48&amp;"-2",計算用!$AS$2:$AS$186,0)),""))</f>
        <v/>
      </c>
      <c r="X48" s="26">
        <f>IF($Q48="","",IFERROR(INDEX(計算用!$M$2:$M$186,MATCH("女"&amp;$Q48&amp;"-2",計算用!$AS$2:$AS$186,0)),""))</f>
        <v/>
      </c>
      <c r="Y48" s="26">
        <f>IF($Q48="","",IFERROR(INDEX(計算用!$I$2:$I$186,MATCH("女"&amp;$Q48&amp;"-2",計算用!$AS$2:$AS$186,0)),""))</f>
        <v/>
      </c>
      <c r="Z48">
        <f>IF($Q48="","",IFERROR(INDEX(計算用!$D$2:$D$186,MATCH("女"&amp;$Q48&amp;"-3",計算用!$AS$2:$AS$186,0)),""))</f>
        <v/>
      </c>
      <c r="AA48" s="26">
        <f>IF($Q48="","",IFERROR(INDEX(計算用!$M$2:$M$186,MATCH("女"&amp;$Q48&amp;"-3",計算用!$AS$2:$AS$186,0)),""))</f>
        <v/>
      </c>
      <c r="AB48" s="26">
        <f>IF($Q48="","",IFERROR(INDEX(計算用!$I$2:$I$186,MATCH("女"&amp;$Q48&amp;"-3",計算用!$AS$2:$AS$186,0)),""))</f>
        <v/>
      </c>
      <c r="AC48">
        <f>IF($Q48="","",IFERROR(INDEX(計算用!$D$2:$D$186,MATCH("女"&amp;$Q48&amp;"-4",計算用!$AS$2:$AS$186,0)),""))</f>
        <v/>
      </c>
      <c r="AD48" s="26">
        <f>IF($Q48="","",IFERROR(INDEX(計算用!$M$2:$M$186,MATCH("女"&amp;$Q48&amp;"-4",計算用!$AS$2:$AS$186,0)),""))</f>
        <v/>
      </c>
      <c r="AE48" s="26">
        <f>IF($Q48="","",IFERROR(INDEX(計算用!$I$2:$I$186,MATCH("女"&amp;$Q48&amp;"-4",計算用!$AS$2:$AS$186,0)),""))</f>
        <v/>
      </c>
    </row>
    <row r="49">
      <c r="A49" s="26">
        <f>IF(ROW()-3&lt;=計算用!$Q$13,ROW()-3,"")</f>
        <v/>
      </c>
      <c r="B49" s="26">
        <f>IF($A49="","",INDEX(計算用!$BB$2:$BB$51,$A49))</f>
        <v/>
      </c>
      <c r="C49" s="26">
        <f>IF($A49="","","赤"&amp;INDEX(計算用!$BC$2:$BC$51,$A49)&amp;"白"&amp;INDEX(計算用!$BD$2:$BD$51,$A49))</f>
        <v/>
      </c>
      <c r="D49">
        <f>IF($A49="","",IFERROR(INDEX(計算用!$D$2:$D$186,MATCH("男"&amp;$A49&amp;"-1",計算用!$AS$2:$AS$186,0)),""))</f>
        <v/>
      </c>
      <c r="E49" s="26">
        <f>IF($A49="","",IFERROR(INDEX(計算用!$M$2:$M$186,MATCH("男"&amp;$A49&amp;"-1",計算用!$AS$2:$AS$186,0)),""))</f>
        <v/>
      </c>
      <c r="F49" s="26">
        <f>IF($A49="","",IFERROR(INDEX(計算用!$I$2:$I$186,MATCH("男"&amp;$A49&amp;"-1",計算用!$AS$2:$AS$186,0)),""))</f>
        <v/>
      </c>
      <c r="G49">
        <f>IF($A49="","",IFERROR(INDEX(計算用!$D$2:$D$186,MATCH("男"&amp;$A49&amp;"-2",計算用!$AS$2:$AS$186,0)),""))</f>
        <v/>
      </c>
      <c r="H49" s="26">
        <f>IF($A49="","",IFERROR(INDEX(計算用!$M$2:$M$186,MATCH("男"&amp;$A49&amp;"-2",計算用!$AS$2:$AS$186,0)),""))</f>
        <v/>
      </c>
      <c r="I49" s="26">
        <f>IF($A49="","",IFERROR(INDEX(計算用!$I$2:$I$186,MATCH("男"&amp;$A49&amp;"-2",計算用!$AS$2:$AS$186,0)),""))</f>
        <v/>
      </c>
      <c r="J49">
        <f>IF($A49="","",IFERROR(INDEX(計算用!$D$2:$D$186,MATCH("男"&amp;$A49&amp;"-3",計算用!$AS$2:$AS$186,0)),""))</f>
        <v/>
      </c>
      <c r="K49" s="26">
        <f>IF($A49="","",IFERROR(INDEX(計算用!$M$2:$M$186,MATCH("男"&amp;$A49&amp;"-3",計算用!$AS$2:$AS$186,0)),""))</f>
        <v/>
      </c>
      <c r="L49" s="26">
        <f>IF($A49="","",IFERROR(INDEX(計算用!$I$2:$I$186,MATCH("男"&amp;$A49&amp;"-3",計算用!$AS$2:$AS$186,0)),""))</f>
        <v/>
      </c>
      <c r="M49">
        <f>IF($A49="","",IFERROR(INDEX(計算用!$D$2:$D$186,MATCH("男"&amp;$A49&amp;"-4",計算用!$AS$2:$AS$186,0)),""))</f>
        <v/>
      </c>
      <c r="N49" s="26">
        <f>IF($A49="","",IFERROR(INDEX(計算用!$M$2:$M$186,MATCH("男"&amp;$A49&amp;"-4",計算用!$AS$2:$AS$186,0)),""))</f>
        <v/>
      </c>
      <c r="O49" s="26">
        <f>IF($A49="","",IFERROR(INDEX(計算用!$I$2:$I$186,MATCH("男"&amp;$A49&amp;"-4",計算用!$AS$2:$AS$186,0)),""))</f>
        <v/>
      </c>
      <c r="Q49" s="26">
        <f>IF(ROW()-3&lt;=計算用!$Q$14,ROW()-3,"")</f>
        <v/>
      </c>
      <c r="R49" s="26">
        <f>IF($Q49="","",INDEX(計算用!$BG$2:$BG$51,$Q49))</f>
        <v/>
      </c>
      <c r="S49" s="26">
        <f>IF($Q49="","","赤"&amp;INDEX(計算用!$BH$2:$BH$51,$Q49)&amp;"白"&amp;INDEX(計算用!$BI$2:$BI$51,$Q49))</f>
        <v/>
      </c>
      <c r="T49">
        <f>IF($Q49="","",IFERROR(INDEX(計算用!$D$2:$D$186,MATCH("女"&amp;$Q49&amp;"-1",計算用!$AS$2:$AS$186,0)),""))</f>
        <v/>
      </c>
      <c r="U49" s="26">
        <f>IF($Q49="","",IFERROR(INDEX(計算用!$M$2:$M$186,MATCH("女"&amp;$Q49&amp;"-1",計算用!$AS$2:$AS$186,0)),""))</f>
        <v/>
      </c>
      <c r="V49" s="26">
        <f>IF($Q49="","",IFERROR(INDEX(計算用!$I$2:$I$186,MATCH("女"&amp;$Q49&amp;"-1",計算用!$AS$2:$AS$186,0)),""))</f>
        <v/>
      </c>
      <c r="W49">
        <f>IF($Q49="","",IFERROR(INDEX(計算用!$D$2:$D$186,MATCH("女"&amp;$Q49&amp;"-2",計算用!$AS$2:$AS$186,0)),""))</f>
        <v/>
      </c>
      <c r="X49" s="26">
        <f>IF($Q49="","",IFERROR(INDEX(計算用!$M$2:$M$186,MATCH("女"&amp;$Q49&amp;"-2",計算用!$AS$2:$AS$186,0)),""))</f>
        <v/>
      </c>
      <c r="Y49" s="26">
        <f>IF($Q49="","",IFERROR(INDEX(計算用!$I$2:$I$186,MATCH("女"&amp;$Q49&amp;"-2",計算用!$AS$2:$AS$186,0)),""))</f>
        <v/>
      </c>
      <c r="Z49">
        <f>IF($Q49="","",IFERROR(INDEX(計算用!$D$2:$D$186,MATCH("女"&amp;$Q49&amp;"-3",計算用!$AS$2:$AS$186,0)),""))</f>
        <v/>
      </c>
      <c r="AA49" s="26">
        <f>IF($Q49="","",IFERROR(INDEX(計算用!$M$2:$M$186,MATCH("女"&amp;$Q49&amp;"-3",計算用!$AS$2:$AS$186,0)),""))</f>
        <v/>
      </c>
      <c r="AB49" s="26">
        <f>IF($Q49="","",IFERROR(INDEX(計算用!$I$2:$I$186,MATCH("女"&amp;$Q49&amp;"-3",計算用!$AS$2:$AS$186,0)),""))</f>
        <v/>
      </c>
      <c r="AC49">
        <f>IF($Q49="","",IFERROR(INDEX(計算用!$D$2:$D$186,MATCH("女"&amp;$Q49&amp;"-4",計算用!$AS$2:$AS$186,0)),""))</f>
        <v/>
      </c>
      <c r="AD49" s="26">
        <f>IF($Q49="","",IFERROR(INDEX(計算用!$M$2:$M$186,MATCH("女"&amp;$Q49&amp;"-4",計算用!$AS$2:$AS$186,0)),""))</f>
        <v/>
      </c>
      <c r="AE49" s="26">
        <f>IF($Q49="","",IFERROR(INDEX(計算用!$I$2:$I$186,MATCH("女"&amp;$Q49&amp;"-4",計算用!$AS$2:$AS$186,0)),""))</f>
        <v/>
      </c>
    </row>
    <row r="50">
      <c r="A50" s="26">
        <f>IF(ROW()-3&lt;=計算用!$Q$13,ROW()-3,"")</f>
        <v/>
      </c>
      <c r="B50" s="26">
        <f>IF($A50="","",INDEX(計算用!$BB$2:$BB$51,$A50))</f>
        <v/>
      </c>
      <c r="C50" s="26">
        <f>IF($A50="","","赤"&amp;INDEX(計算用!$BC$2:$BC$51,$A50)&amp;"白"&amp;INDEX(計算用!$BD$2:$BD$51,$A50))</f>
        <v/>
      </c>
      <c r="D50">
        <f>IF($A50="","",IFERROR(INDEX(計算用!$D$2:$D$186,MATCH("男"&amp;$A50&amp;"-1",計算用!$AS$2:$AS$186,0)),""))</f>
        <v/>
      </c>
      <c r="E50" s="26">
        <f>IF($A50="","",IFERROR(INDEX(計算用!$M$2:$M$186,MATCH("男"&amp;$A50&amp;"-1",計算用!$AS$2:$AS$186,0)),""))</f>
        <v/>
      </c>
      <c r="F50" s="26">
        <f>IF($A50="","",IFERROR(INDEX(計算用!$I$2:$I$186,MATCH("男"&amp;$A50&amp;"-1",計算用!$AS$2:$AS$186,0)),""))</f>
        <v/>
      </c>
      <c r="G50">
        <f>IF($A50="","",IFERROR(INDEX(計算用!$D$2:$D$186,MATCH("男"&amp;$A50&amp;"-2",計算用!$AS$2:$AS$186,0)),""))</f>
        <v/>
      </c>
      <c r="H50" s="26">
        <f>IF($A50="","",IFERROR(INDEX(計算用!$M$2:$M$186,MATCH("男"&amp;$A50&amp;"-2",計算用!$AS$2:$AS$186,0)),""))</f>
        <v/>
      </c>
      <c r="I50" s="26">
        <f>IF($A50="","",IFERROR(INDEX(計算用!$I$2:$I$186,MATCH("男"&amp;$A50&amp;"-2",計算用!$AS$2:$AS$186,0)),""))</f>
        <v/>
      </c>
      <c r="J50">
        <f>IF($A50="","",IFERROR(INDEX(計算用!$D$2:$D$186,MATCH("男"&amp;$A50&amp;"-3",計算用!$AS$2:$AS$186,0)),""))</f>
        <v/>
      </c>
      <c r="K50" s="26">
        <f>IF($A50="","",IFERROR(INDEX(計算用!$M$2:$M$186,MATCH("男"&amp;$A50&amp;"-3",計算用!$AS$2:$AS$186,0)),""))</f>
        <v/>
      </c>
      <c r="L50" s="26">
        <f>IF($A50="","",IFERROR(INDEX(計算用!$I$2:$I$186,MATCH("男"&amp;$A50&amp;"-3",計算用!$AS$2:$AS$186,0)),""))</f>
        <v/>
      </c>
      <c r="M50">
        <f>IF($A50="","",IFERROR(INDEX(計算用!$D$2:$D$186,MATCH("男"&amp;$A50&amp;"-4",計算用!$AS$2:$AS$186,0)),""))</f>
        <v/>
      </c>
      <c r="N50" s="26">
        <f>IF($A50="","",IFERROR(INDEX(計算用!$M$2:$M$186,MATCH("男"&amp;$A50&amp;"-4",計算用!$AS$2:$AS$186,0)),""))</f>
        <v/>
      </c>
      <c r="O50" s="26">
        <f>IF($A50="","",IFERROR(INDEX(計算用!$I$2:$I$186,MATCH("男"&amp;$A50&amp;"-4",計算用!$AS$2:$AS$186,0)),""))</f>
        <v/>
      </c>
      <c r="Q50" s="26">
        <f>IF(ROW()-3&lt;=計算用!$Q$14,ROW()-3,"")</f>
        <v/>
      </c>
      <c r="R50" s="26">
        <f>IF($Q50="","",INDEX(計算用!$BG$2:$BG$51,$Q50))</f>
        <v/>
      </c>
      <c r="S50" s="26">
        <f>IF($Q50="","","赤"&amp;INDEX(計算用!$BH$2:$BH$51,$Q50)&amp;"白"&amp;INDEX(計算用!$BI$2:$BI$51,$Q50))</f>
        <v/>
      </c>
      <c r="T50">
        <f>IF($Q50="","",IFERROR(INDEX(計算用!$D$2:$D$186,MATCH("女"&amp;$Q50&amp;"-1",計算用!$AS$2:$AS$186,0)),""))</f>
        <v/>
      </c>
      <c r="U50" s="26">
        <f>IF($Q50="","",IFERROR(INDEX(計算用!$M$2:$M$186,MATCH("女"&amp;$Q50&amp;"-1",計算用!$AS$2:$AS$186,0)),""))</f>
        <v/>
      </c>
      <c r="V50" s="26">
        <f>IF($Q50="","",IFERROR(INDEX(計算用!$I$2:$I$186,MATCH("女"&amp;$Q50&amp;"-1",計算用!$AS$2:$AS$186,0)),""))</f>
        <v/>
      </c>
      <c r="W50">
        <f>IF($Q50="","",IFERROR(INDEX(計算用!$D$2:$D$186,MATCH("女"&amp;$Q50&amp;"-2",計算用!$AS$2:$AS$186,0)),""))</f>
        <v/>
      </c>
      <c r="X50" s="26">
        <f>IF($Q50="","",IFERROR(INDEX(計算用!$M$2:$M$186,MATCH("女"&amp;$Q50&amp;"-2",計算用!$AS$2:$AS$186,0)),""))</f>
        <v/>
      </c>
      <c r="Y50" s="26">
        <f>IF($Q50="","",IFERROR(INDEX(計算用!$I$2:$I$186,MATCH("女"&amp;$Q50&amp;"-2",計算用!$AS$2:$AS$186,0)),""))</f>
        <v/>
      </c>
      <c r="Z50">
        <f>IF($Q50="","",IFERROR(INDEX(計算用!$D$2:$D$186,MATCH("女"&amp;$Q50&amp;"-3",計算用!$AS$2:$AS$186,0)),""))</f>
        <v/>
      </c>
      <c r="AA50" s="26">
        <f>IF($Q50="","",IFERROR(INDEX(計算用!$M$2:$M$186,MATCH("女"&amp;$Q50&amp;"-3",計算用!$AS$2:$AS$186,0)),""))</f>
        <v/>
      </c>
      <c r="AB50" s="26">
        <f>IF($Q50="","",IFERROR(INDEX(計算用!$I$2:$I$186,MATCH("女"&amp;$Q50&amp;"-3",計算用!$AS$2:$AS$186,0)),""))</f>
        <v/>
      </c>
      <c r="AC50">
        <f>IF($Q50="","",IFERROR(INDEX(計算用!$D$2:$D$186,MATCH("女"&amp;$Q50&amp;"-4",計算用!$AS$2:$AS$186,0)),""))</f>
        <v/>
      </c>
      <c r="AD50" s="26">
        <f>IF($Q50="","",IFERROR(INDEX(計算用!$M$2:$M$186,MATCH("女"&amp;$Q50&amp;"-4",計算用!$AS$2:$AS$186,0)),""))</f>
        <v/>
      </c>
      <c r="AE50" s="26">
        <f>IF($Q50="","",IFERROR(INDEX(計算用!$I$2:$I$186,MATCH("女"&amp;$Q50&amp;"-4",計算用!$AS$2:$AS$186,0)),""))</f>
        <v/>
      </c>
    </row>
    <row r="51">
      <c r="A51" s="26">
        <f>IF(ROW()-3&lt;=計算用!$Q$13,ROW()-3,"")</f>
        <v/>
      </c>
      <c r="B51" s="26">
        <f>IF($A51="","",INDEX(計算用!$BB$2:$BB$51,$A51))</f>
        <v/>
      </c>
      <c r="C51" s="26">
        <f>IF($A51="","","赤"&amp;INDEX(計算用!$BC$2:$BC$51,$A51)&amp;"白"&amp;INDEX(計算用!$BD$2:$BD$51,$A51))</f>
        <v/>
      </c>
      <c r="D51">
        <f>IF($A51="","",IFERROR(INDEX(計算用!$D$2:$D$186,MATCH("男"&amp;$A51&amp;"-1",計算用!$AS$2:$AS$186,0)),""))</f>
        <v/>
      </c>
      <c r="E51" s="26">
        <f>IF($A51="","",IFERROR(INDEX(計算用!$M$2:$M$186,MATCH("男"&amp;$A51&amp;"-1",計算用!$AS$2:$AS$186,0)),""))</f>
        <v/>
      </c>
      <c r="F51" s="26">
        <f>IF($A51="","",IFERROR(INDEX(計算用!$I$2:$I$186,MATCH("男"&amp;$A51&amp;"-1",計算用!$AS$2:$AS$186,0)),""))</f>
        <v/>
      </c>
      <c r="G51">
        <f>IF($A51="","",IFERROR(INDEX(計算用!$D$2:$D$186,MATCH("男"&amp;$A51&amp;"-2",計算用!$AS$2:$AS$186,0)),""))</f>
        <v/>
      </c>
      <c r="H51" s="26">
        <f>IF($A51="","",IFERROR(INDEX(計算用!$M$2:$M$186,MATCH("男"&amp;$A51&amp;"-2",計算用!$AS$2:$AS$186,0)),""))</f>
        <v/>
      </c>
      <c r="I51" s="26">
        <f>IF($A51="","",IFERROR(INDEX(計算用!$I$2:$I$186,MATCH("男"&amp;$A51&amp;"-2",計算用!$AS$2:$AS$186,0)),""))</f>
        <v/>
      </c>
      <c r="J51">
        <f>IF($A51="","",IFERROR(INDEX(計算用!$D$2:$D$186,MATCH("男"&amp;$A51&amp;"-3",計算用!$AS$2:$AS$186,0)),""))</f>
        <v/>
      </c>
      <c r="K51" s="26">
        <f>IF($A51="","",IFERROR(INDEX(計算用!$M$2:$M$186,MATCH("男"&amp;$A51&amp;"-3",計算用!$AS$2:$AS$186,0)),""))</f>
        <v/>
      </c>
      <c r="L51" s="26">
        <f>IF($A51="","",IFERROR(INDEX(計算用!$I$2:$I$186,MATCH("男"&amp;$A51&amp;"-3",計算用!$AS$2:$AS$186,0)),""))</f>
        <v/>
      </c>
      <c r="M51">
        <f>IF($A51="","",IFERROR(INDEX(計算用!$D$2:$D$186,MATCH("男"&amp;$A51&amp;"-4",計算用!$AS$2:$AS$186,0)),""))</f>
        <v/>
      </c>
      <c r="N51" s="26">
        <f>IF($A51="","",IFERROR(INDEX(計算用!$M$2:$M$186,MATCH("男"&amp;$A51&amp;"-4",計算用!$AS$2:$AS$186,0)),""))</f>
        <v/>
      </c>
      <c r="O51" s="26">
        <f>IF($A51="","",IFERROR(INDEX(計算用!$I$2:$I$186,MATCH("男"&amp;$A51&amp;"-4",計算用!$AS$2:$AS$186,0)),""))</f>
        <v/>
      </c>
      <c r="Q51" s="26">
        <f>IF(ROW()-3&lt;=計算用!$Q$14,ROW()-3,"")</f>
        <v/>
      </c>
      <c r="R51" s="26">
        <f>IF($Q51="","",INDEX(計算用!$BG$2:$BG$51,$Q51))</f>
        <v/>
      </c>
      <c r="S51" s="26">
        <f>IF($Q51="","","赤"&amp;INDEX(計算用!$BH$2:$BH$51,$Q51)&amp;"白"&amp;INDEX(計算用!$BI$2:$BI$51,$Q51))</f>
        <v/>
      </c>
      <c r="T51">
        <f>IF($Q51="","",IFERROR(INDEX(計算用!$D$2:$D$186,MATCH("女"&amp;$Q51&amp;"-1",計算用!$AS$2:$AS$186,0)),""))</f>
        <v/>
      </c>
      <c r="U51" s="26">
        <f>IF($Q51="","",IFERROR(INDEX(計算用!$M$2:$M$186,MATCH("女"&amp;$Q51&amp;"-1",計算用!$AS$2:$AS$186,0)),""))</f>
        <v/>
      </c>
      <c r="V51" s="26">
        <f>IF($Q51="","",IFERROR(INDEX(計算用!$I$2:$I$186,MATCH("女"&amp;$Q51&amp;"-1",計算用!$AS$2:$AS$186,0)),""))</f>
        <v/>
      </c>
      <c r="W51">
        <f>IF($Q51="","",IFERROR(INDEX(計算用!$D$2:$D$186,MATCH("女"&amp;$Q51&amp;"-2",計算用!$AS$2:$AS$186,0)),""))</f>
        <v/>
      </c>
      <c r="X51" s="26">
        <f>IF($Q51="","",IFERROR(INDEX(計算用!$M$2:$M$186,MATCH("女"&amp;$Q51&amp;"-2",計算用!$AS$2:$AS$186,0)),""))</f>
        <v/>
      </c>
      <c r="Y51" s="26">
        <f>IF($Q51="","",IFERROR(INDEX(計算用!$I$2:$I$186,MATCH("女"&amp;$Q51&amp;"-2",計算用!$AS$2:$AS$186,0)),""))</f>
        <v/>
      </c>
      <c r="Z51">
        <f>IF($Q51="","",IFERROR(INDEX(計算用!$D$2:$D$186,MATCH("女"&amp;$Q51&amp;"-3",計算用!$AS$2:$AS$186,0)),""))</f>
        <v/>
      </c>
      <c r="AA51" s="26">
        <f>IF($Q51="","",IFERROR(INDEX(計算用!$M$2:$M$186,MATCH("女"&amp;$Q51&amp;"-3",計算用!$AS$2:$AS$186,0)),""))</f>
        <v/>
      </c>
      <c r="AB51" s="26">
        <f>IF($Q51="","",IFERROR(INDEX(計算用!$I$2:$I$186,MATCH("女"&amp;$Q51&amp;"-3",計算用!$AS$2:$AS$186,0)),""))</f>
        <v/>
      </c>
      <c r="AC51">
        <f>IF($Q51="","",IFERROR(INDEX(計算用!$D$2:$D$186,MATCH("女"&amp;$Q51&amp;"-4",計算用!$AS$2:$AS$186,0)),""))</f>
        <v/>
      </c>
      <c r="AD51" s="26">
        <f>IF($Q51="","",IFERROR(INDEX(計算用!$M$2:$M$186,MATCH("女"&amp;$Q51&amp;"-4",計算用!$AS$2:$AS$186,0)),""))</f>
        <v/>
      </c>
      <c r="AE51" s="26">
        <f>IF($Q51="","",IFERROR(INDEX(計算用!$I$2:$I$186,MATCH("女"&amp;$Q51&amp;"-4",計算用!$AS$2:$AS$186,0)),""))</f>
        <v/>
      </c>
    </row>
    <row r="52">
      <c r="A52" s="26">
        <f>IF(ROW()-3&lt;=計算用!$Q$13,ROW()-3,"")</f>
        <v/>
      </c>
      <c r="B52" s="26">
        <f>IF($A52="","",INDEX(計算用!$BB$2:$BB$51,$A52))</f>
        <v/>
      </c>
      <c r="C52" s="26">
        <f>IF($A52="","","赤"&amp;INDEX(計算用!$BC$2:$BC$51,$A52)&amp;"白"&amp;INDEX(計算用!$BD$2:$BD$51,$A52))</f>
        <v/>
      </c>
      <c r="D52">
        <f>IF($A52="","",IFERROR(INDEX(計算用!$D$2:$D$186,MATCH("男"&amp;$A52&amp;"-1",計算用!$AS$2:$AS$186,0)),""))</f>
        <v/>
      </c>
      <c r="E52" s="26">
        <f>IF($A52="","",IFERROR(INDEX(計算用!$M$2:$M$186,MATCH("男"&amp;$A52&amp;"-1",計算用!$AS$2:$AS$186,0)),""))</f>
        <v/>
      </c>
      <c r="F52" s="26">
        <f>IF($A52="","",IFERROR(INDEX(計算用!$I$2:$I$186,MATCH("男"&amp;$A52&amp;"-1",計算用!$AS$2:$AS$186,0)),""))</f>
        <v/>
      </c>
      <c r="G52">
        <f>IF($A52="","",IFERROR(INDEX(計算用!$D$2:$D$186,MATCH("男"&amp;$A52&amp;"-2",計算用!$AS$2:$AS$186,0)),""))</f>
        <v/>
      </c>
      <c r="H52" s="26">
        <f>IF($A52="","",IFERROR(INDEX(計算用!$M$2:$M$186,MATCH("男"&amp;$A52&amp;"-2",計算用!$AS$2:$AS$186,0)),""))</f>
        <v/>
      </c>
      <c r="I52" s="26">
        <f>IF($A52="","",IFERROR(INDEX(計算用!$I$2:$I$186,MATCH("男"&amp;$A52&amp;"-2",計算用!$AS$2:$AS$186,0)),""))</f>
        <v/>
      </c>
      <c r="J52">
        <f>IF($A52="","",IFERROR(INDEX(計算用!$D$2:$D$186,MATCH("男"&amp;$A52&amp;"-3",計算用!$AS$2:$AS$186,0)),""))</f>
        <v/>
      </c>
      <c r="K52" s="26">
        <f>IF($A52="","",IFERROR(INDEX(計算用!$M$2:$M$186,MATCH("男"&amp;$A52&amp;"-3",計算用!$AS$2:$AS$186,0)),""))</f>
        <v/>
      </c>
      <c r="L52" s="26">
        <f>IF($A52="","",IFERROR(INDEX(計算用!$I$2:$I$186,MATCH("男"&amp;$A52&amp;"-3",計算用!$AS$2:$AS$186,0)),""))</f>
        <v/>
      </c>
      <c r="M52">
        <f>IF($A52="","",IFERROR(INDEX(計算用!$D$2:$D$186,MATCH("男"&amp;$A52&amp;"-4",計算用!$AS$2:$AS$186,0)),""))</f>
        <v/>
      </c>
      <c r="N52" s="26">
        <f>IF($A52="","",IFERROR(INDEX(計算用!$M$2:$M$186,MATCH("男"&amp;$A52&amp;"-4",計算用!$AS$2:$AS$186,0)),""))</f>
        <v/>
      </c>
      <c r="O52" s="26">
        <f>IF($A52="","",IFERROR(INDEX(計算用!$I$2:$I$186,MATCH("男"&amp;$A52&amp;"-4",計算用!$AS$2:$AS$186,0)),""))</f>
        <v/>
      </c>
      <c r="Q52" s="26">
        <f>IF(ROW()-3&lt;=計算用!$Q$14,ROW()-3,"")</f>
        <v/>
      </c>
      <c r="R52" s="26">
        <f>IF($Q52="","",INDEX(計算用!$BG$2:$BG$51,$Q52))</f>
        <v/>
      </c>
      <c r="S52" s="26">
        <f>IF($Q52="","","赤"&amp;INDEX(計算用!$BH$2:$BH$51,$Q52)&amp;"白"&amp;INDEX(計算用!$BI$2:$BI$51,$Q52))</f>
        <v/>
      </c>
      <c r="T52">
        <f>IF($Q52="","",IFERROR(INDEX(計算用!$D$2:$D$186,MATCH("女"&amp;$Q52&amp;"-1",計算用!$AS$2:$AS$186,0)),""))</f>
        <v/>
      </c>
      <c r="U52" s="26">
        <f>IF($Q52="","",IFERROR(INDEX(計算用!$M$2:$M$186,MATCH("女"&amp;$Q52&amp;"-1",計算用!$AS$2:$AS$186,0)),""))</f>
        <v/>
      </c>
      <c r="V52" s="26">
        <f>IF($Q52="","",IFERROR(INDEX(計算用!$I$2:$I$186,MATCH("女"&amp;$Q52&amp;"-1",計算用!$AS$2:$AS$186,0)),""))</f>
        <v/>
      </c>
      <c r="W52">
        <f>IF($Q52="","",IFERROR(INDEX(計算用!$D$2:$D$186,MATCH("女"&amp;$Q52&amp;"-2",計算用!$AS$2:$AS$186,0)),""))</f>
        <v/>
      </c>
      <c r="X52" s="26">
        <f>IF($Q52="","",IFERROR(INDEX(計算用!$M$2:$M$186,MATCH("女"&amp;$Q52&amp;"-2",計算用!$AS$2:$AS$186,0)),""))</f>
        <v/>
      </c>
      <c r="Y52" s="26">
        <f>IF($Q52="","",IFERROR(INDEX(計算用!$I$2:$I$186,MATCH("女"&amp;$Q52&amp;"-2",計算用!$AS$2:$AS$186,0)),""))</f>
        <v/>
      </c>
      <c r="Z52">
        <f>IF($Q52="","",IFERROR(INDEX(計算用!$D$2:$D$186,MATCH("女"&amp;$Q52&amp;"-3",計算用!$AS$2:$AS$186,0)),""))</f>
        <v/>
      </c>
      <c r="AA52" s="26">
        <f>IF($Q52="","",IFERROR(INDEX(計算用!$M$2:$M$186,MATCH("女"&amp;$Q52&amp;"-3",計算用!$AS$2:$AS$186,0)),""))</f>
        <v/>
      </c>
      <c r="AB52" s="26">
        <f>IF($Q52="","",IFERROR(INDEX(計算用!$I$2:$I$186,MATCH("女"&amp;$Q52&amp;"-3",計算用!$AS$2:$AS$186,0)),""))</f>
        <v/>
      </c>
      <c r="AC52">
        <f>IF($Q52="","",IFERROR(INDEX(計算用!$D$2:$D$186,MATCH("女"&amp;$Q52&amp;"-4",計算用!$AS$2:$AS$186,0)),""))</f>
        <v/>
      </c>
      <c r="AD52" s="26">
        <f>IF($Q52="","",IFERROR(INDEX(計算用!$M$2:$M$186,MATCH("女"&amp;$Q52&amp;"-4",計算用!$AS$2:$AS$186,0)),""))</f>
        <v/>
      </c>
      <c r="AE52" s="26">
        <f>IF($Q52="","",IFERROR(INDEX(計算用!$I$2:$I$186,MATCH("女"&amp;$Q52&amp;"-4",計算用!$AS$2:$AS$186,0)),""))</f>
        <v/>
      </c>
    </row>
    <row r="53">
      <c r="A53" s="26">
        <f>IF(ROW()-3&lt;=計算用!$Q$13,ROW()-3,"")</f>
        <v/>
      </c>
      <c r="B53" s="26">
        <f>IF($A53="","",INDEX(計算用!$BB$2:$BB$51,$A53))</f>
        <v/>
      </c>
      <c r="C53" s="26">
        <f>IF($A53="","","赤"&amp;INDEX(計算用!$BC$2:$BC$51,$A53)&amp;"白"&amp;INDEX(計算用!$BD$2:$BD$51,$A53))</f>
        <v/>
      </c>
      <c r="D53">
        <f>IF($A53="","",IFERROR(INDEX(計算用!$D$2:$D$186,MATCH("男"&amp;$A53&amp;"-1",計算用!$AS$2:$AS$186,0)),""))</f>
        <v/>
      </c>
      <c r="E53" s="26">
        <f>IF($A53="","",IFERROR(INDEX(計算用!$M$2:$M$186,MATCH("男"&amp;$A53&amp;"-1",計算用!$AS$2:$AS$186,0)),""))</f>
        <v/>
      </c>
      <c r="F53" s="26">
        <f>IF($A53="","",IFERROR(INDEX(計算用!$I$2:$I$186,MATCH("男"&amp;$A53&amp;"-1",計算用!$AS$2:$AS$186,0)),""))</f>
        <v/>
      </c>
      <c r="G53">
        <f>IF($A53="","",IFERROR(INDEX(計算用!$D$2:$D$186,MATCH("男"&amp;$A53&amp;"-2",計算用!$AS$2:$AS$186,0)),""))</f>
        <v/>
      </c>
      <c r="H53" s="26">
        <f>IF($A53="","",IFERROR(INDEX(計算用!$M$2:$M$186,MATCH("男"&amp;$A53&amp;"-2",計算用!$AS$2:$AS$186,0)),""))</f>
        <v/>
      </c>
      <c r="I53" s="26">
        <f>IF($A53="","",IFERROR(INDEX(計算用!$I$2:$I$186,MATCH("男"&amp;$A53&amp;"-2",計算用!$AS$2:$AS$186,0)),""))</f>
        <v/>
      </c>
      <c r="J53">
        <f>IF($A53="","",IFERROR(INDEX(計算用!$D$2:$D$186,MATCH("男"&amp;$A53&amp;"-3",計算用!$AS$2:$AS$186,0)),""))</f>
        <v/>
      </c>
      <c r="K53" s="26">
        <f>IF($A53="","",IFERROR(INDEX(計算用!$M$2:$M$186,MATCH("男"&amp;$A53&amp;"-3",計算用!$AS$2:$AS$186,0)),""))</f>
        <v/>
      </c>
      <c r="L53" s="26">
        <f>IF($A53="","",IFERROR(INDEX(計算用!$I$2:$I$186,MATCH("男"&amp;$A53&amp;"-3",計算用!$AS$2:$AS$186,0)),""))</f>
        <v/>
      </c>
      <c r="M53">
        <f>IF($A53="","",IFERROR(INDEX(計算用!$D$2:$D$186,MATCH("男"&amp;$A53&amp;"-4",計算用!$AS$2:$AS$186,0)),""))</f>
        <v/>
      </c>
      <c r="N53" s="26">
        <f>IF($A53="","",IFERROR(INDEX(計算用!$M$2:$M$186,MATCH("男"&amp;$A53&amp;"-4",計算用!$AS$2:$AS$186,0)),""))</f>
        <v/>
      </c>
      <c r="O53" s="26">
        <f>IF($A53="","",IFERROR(INDEX(計算用!$I$2:$I$186,MATCH("男"&amp;$A53&amp;"-4",計算用!$AS$2:$AS$186,0)),""))</f>
        <v/>
      </c>
      <c r="Q53" s="26">
        <f>IF(ROW()-3&lt;=計算用!$Q$14,ROW()-3,"")</f>
        <v/>
      </c>
      <c r="R53" s="26">
        <f>IF($Q53="","",INDEX(計算用!$BG$2:$BG$51,$Q53))</f>
        <v/>
      </c>
      <c r="S53" s="26">
        <f>IF($Q53="","","赤"&amp;INDEX(計算用!$BH$2:$BH$51,$Q53)&amp;"白"&amp;INDEX(計算用!$BI$2:$BI$51,$Q53))</f>
        <v/>
      </c>
      <c r="T53">
        <f>IF($Q53="","",IFERROR(INDEX(計算用!$D$2:$D$186,MATCH("女"&amp;$Q53&amp;"-1",計算用!$AS$2:$AS$186,0)),""))</f>
        <v/>
      </c>
      <c r="U53" s="26">
        <f>IF($Q53="","",IFERROR(INDEX(計算用!$M$2:$M$186,MATCH("女"&amp;$Q53&amp;"-1",計算用!$AS$2:$AS$186,0)),""))</f>
        <v/>
      </c>
      <c r="V53" s="26">
        <f>IF($Q53="","",IFERROR(INDEX(計算用!$I$2:$I$186,MATCH("女"&amp;$Q53&amp;"-1",計算用!$AS$2:$AS$186,0)),""))</f>
        <v/>
      </c>
      <c r="W53">
        <f>IF($Q53="","",IFERROR(INDEX(計算用!$D$2:$D$186,MATCH("女"&amp;$Q53&amp;"-2",計算用!$AS$2:$AS$186,0)),""))</f>
        <v/>
      </c>
      <c r="X53" s="26">
        <f>IF($Q53="","",IFERROR(INDEX(計算用!$M$2:$M$186,MATCH("女"&amp;$Q53&amp;"-2",計算用!$AS$2:$AS$186,0)),""))</f>
        <v/>
      </c>
      <c r="Y53" s="26">
        <f>IF($Q53="","",IFERROR(INDEX(計算用!$I$2:$I$186,MATCH("女"&amp;$Q53&amp;"-2",計算用!$AS$2:$AS$186,0)),""))</f>
        <v/>
      </c>
      <c r="Z53">
        <f>IF($Q53="","",IFERROR(INDEX(計算用!$D$2:$D$186,MATCH("女"&amp;$Q53&amp;"-3",計算用!$AS$2:$AS$186,0)),""))</f>
        <v/>
      </c>
      <c r="AA53" s="26">
        <f>IF($Q53="","",IFERROR(INDEX(計算用!$M$2:$M$186,MATCH("女"&amp;$Q53&amp;"-3",計算用!$AS$2:$AS$186,0)),""))</f>
        <v/>
      </c>
      <c r="AB53" s="26">
        <f>IF($Q53="","",IFERROR(INDEX(計算用!$I$2:$I$186,MATCH("女"&amp;$Q53&amp;"-3",計算用!$AS$2:$AS$186,0)),""))</f>
        <v/>
      </c>
      <c r="AC53">
        <f>IF($Q53="","",IFERROR(INDEX(計算用!$D$2:$D$186,MATCH("女"&amp;$Q53&amp;"-4",計算用!$AS$2:$AS$186,0)),""))</f>
        <v/>
      </c>
      <c r="AD53" s="26">
        <f>IF($Q53="","",IFERROR(INDEX(計算用!$M$2:$M$186,MATCH("女"&amp;$Q53&amp;"-4",計算用!$AS$2:$AS$186,0)),""))</f>
        <v/>
      </c>
      <c r="AE53" s="26">
        <f>IF($Q53="","",IFERROR(INDEX(計算用!$I$2:$I$186,MATCH("女"&amp;$Q53&amp;"-4",計算用!$AS$2:$AS$186,0)),""))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13" stopIfTrue="1">
      <formula>AND($A4&lt;&gt;"",OR($B4&gt;4,$B4=0))</formula>
    </cfRule>
    <cfRule type="expression" priority="2" dxfId="8" stopIfTrue="0">
      <formula>AND($A4&lt;&gt;"",OR($B4&lt;&gt;4,$C4&lt;&gt;"赤2白2"))</formula>
    </cfRule>
  </conditionalFormatting>
  <conditionalFormatting sqref="F4:F53">
    <cfRule type="expression" priority="3" dxfId="9">
      <formula>F4="赤"</formula>
    </cfRule>
  </conditionalFormatting>
  <conditionalFormatting sqref="I4:I53">
    <cfRule type="expression" priority="4" dxfId="9">
      <formula>I4="赤"</formula>
    </cfRule>
  </conditionalFormatting>
  <conditionalFormatting sqref="L4:L53">
    <cfRule type="expression" priority="5" dxfId="9">
      <formula>L4="赤"</formula>
    </cfRule>
  </conditionalFormatting>
  <conditionalFormatting sqref="O4:O53">
    <cfRule type="expression" priority="6" dxfId="9">
      <formula>O4="赤"</formula>
    </cfRule>
  </conditionalFormatting>
  <conditionalFormatting sqref="A4:O53">
    <cfRule type="expression" priority="7" dxfId="10">
      <formula>$A4&lt;&gt;""</formula>
    </cfRule>
  </conditionalFormatting>
  <conditionalFormatting sqref="Q4:S53">
    <cfRule type="expression" priority="8" dxfId="13" stopIfTrue="1">
      <formula>AND($Q4&lt;&gt;"",OR($R4&gt;4,$R4=0))</formula>
    </cfRule>
    <cfRule type="expression" priority="9" dxfId="8" stopIfTrue="0">
      <formula>AND($Q4&lt;&gt;"",OR($R4&lt;&gt;4,$S4&lt;&gt;"赤2白2"))</formula>
    </cfRule>
  </conditionalFormatting>
  <conditionalFormatting sqref="V4:V53">
    <cfRule type="expression" priority="10" dxfId="9">
      <formula>V4="赤"</formula>
    </cfRule>
  </conditionalFormatting>
  <conditionalFormatting sqref="Y4:Y53">
    <cfRule type="expression" priority="11" dxfId="9">
      <formula>Y4="赤"</formula>
    </cfRule>
  </conditionalFormatting>
  <conditionalFormatting sqref="AB4:AB53">
    <cfRule type="expression" priority="12" dxfId="9">
      <formula>AB4="赤"</formula>
    </cfRule>
  </conditionalFormatting>
  <conditionalFormatting sqref="AE4:AE53">
    <cfRule type="expression" priority="13" dxfId="9">
      <formula>AE4="赤"</formula>
    </cfRule>
  </conditionalFormatting>
  <conditionalFormatting sqref="Q4:AE53">
    <cfRule type="expression" priority="14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  <c r="AP1" t="inlineStr">
        <is>
          <t>決定の組</t>
        </is>
      </c>
      <c r="AQ1" t="inlineStr">
        <is>
          <t>並びキー</t>
        </is>
      </c>
      <c r="AR1" t="inlineStr">
        <is>
          <t>決定の組内番号</t>
        </is>
      </c>
      <c r="AS1" t="inlineStr">
        <is>
          <t>決定キー</t>
        </is>
      </c>
      <c r="AT1" t="inlineStr">
        <is>
          <t>決定の組(数)</t>
        </is>
      </c>
      <c r="BA1" t="inlineStr">
        <is>
          <t>男決定組</t>
        </is>
      </c>
      <c r="BB1" t="inlineStr">
        <is>
          <t>男決定人数</t>
        </is>
      </c>
      <c r="BC1" t="inlineStr">
        <is>
          <t>男決定赤人数</t>
        </is>
      </c>
      <c r="BD1" t="inlineStr">
        <is>
          <t>男決定白人数</t>
        </is>
      </c>
      <c r="BF1" t="inlineStr">
        <is>
          <t>女決定組</t>
        </is>
      </c>
      <c r="BG1" t="inlineStr">
        <is>
          <t>女決定人数</t>
        </is>
      </c>
      <c r="BH1" t="inlineStr">
        <is>
          <t>女決定赤人数</t>
        </is>
      </c>
      <c r="BI1" t="inlineStr">
        <is>
          <t>女決定白人数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  <c r="AP2">
        <f>IF(J2="","",IF(手動調整!$I$4&lt;&gt;"",手動調整!$I$4,AK2))</f>
        <v/>
      </c>
      <c r="AQ2">
        <f>IF(AP2="","",IF(手動調整!$J$4&lt;&gt;"",手動調整!$J$4,AM2)*100000+IF(手動調整!$J$4&lt;&gt;"",0,50000)+AK2*10+AM2)</f>
        <v/>
      </c>
      <c r="AR2">
        <f>IF(AP2="","",COUNTIFS($F$2:$F$186,F2,$AP$2:$AP$186,AP2,$AQ$2:$AQ$186,"&lt;"&amp;AQ2)+1)</f>
        <v/>
      </c>
      <c r="AS2">
        <f>IF(AP2="","",F2&amp;AP2&amp;"-"&amp;AR2)</f>
        <v/>
      </c>
      <c r="AT2">
        <f>IF(AP2="",0,AP2)</f>
        <v/>
      </c>
      <c r="BA2" t="n">
        <v>1</v>
      </c>
      <c r="BB2">
        <f>COUNTIFS($F$2:$F$186,"男",$AP$2:$AP$186,BA2)</f>
        <v/>
      </c>
      <c r="BC2">
        <f>COUNTIFS($F$2:$F$186,"男",$AP$2:$AP$186,BA2,$I$2:$I$186,"赤")</f>
        <v/>
      </c>
      <c r="BD2">
        <f>BB2-BC2</f>
        <v/>
      </c>
      <c r="BF2" t="n">
        <v>1</v>
      </c>
      <c r="BG2">
        <f>COUNTIFS($F$2:$F$186,"女",$AP$2:$AP$186,BF2)</f>
        <v/>
      </c>
      <c r="BH2">
        <f>COUNTIFS($F$2:$F$186,"女",$AP$2:$AP$186,BF2,$I$2:$I$186,"赤")</f>
        <v/>
      </c>
      <c r="BI2">
        <f>BG2-BH2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  <c r="AP3">
        <f>IF(J3="","",IF(手動調整!$I$5&lt;&gt;"",手動調整!$I$5,AK3))</f>
        <v/>
      </c>
      <c r="AQ3">
        <f>IF(AP3="","",IF(手動調整!$J$5&lt;&gt;"",手動調整!$J$5,AM3)*100000+IF(手動調整!$J$5&lt;&gt;"",0,50000)+AK3*10+AM3)</f>
        <v/>
      </c>
      <c r="AR3">
        <f>IF(AP3="","",COUNTIFS($F$2:$F$186,F3,$AP$2:$AP$186,AP3,$AQ$2:$AQ$186,"&lt;"&amp;AQ3)+1)</f>
        <v/>
      </c>
      <c r="AS3">
        <f>IF(AP3="","",F3&amp;AP3&amp;"-"&amp;AR3)</f>
        <v/>
      </c>
      <c r="AT3">
        <f>IF(AP3="",0,AP3)</f>
        <v/>
      </c>
      <c r="BA3" t="n">
        <v>2</v>
      </c>
      <c r="BB3">
        <f>COUNTIFS($F$2:$F$186,"男",$AP$2:$AP$186,BA3)</f>
        <v/>
      </c>
      <c r="BC3">
        <f>COUNTIFS($F$2:$F$186,"男",$AP$2:$AP$186,BA3,$I$2:$I$186,"赤")</f>
        <v/>
      </c>
      <c r="BD3">
        <f>BB3-BC3</f>
        <v/>
      </c>
      <c r="BF3" t="n">
        <v>2</v>
      </c>
      <c r="BG3">
        <f>COUNTIFS($F$2:$F$186,"女",$AP$2:$AP$186,BF3)</f>
        <v/>
      </c>
      <c r="BH3">
        <f>COUNTIFS($F$2:$F$186,"女",$AP$2:$AP$186,BF3,$I$2:$I$186,"赤")</f>
        <v/>
      </c>
      <c r="BI3">
        <f>BG3-BH3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  <c r="AP4">
        <f>IF(J4="","",IF(手動調整!$I$6&lt;&gt;"",手動調整!$I$6,AK4))</f>
        <v/>
      </c>
      <c r="AQ4">
        <f>IF(AP4="","",IF(手動調整!$J$6&lt;&gt;"",手動調整!$J$6,AM4)*100000+IF(手動調整!$J$6&lt;&gt;"",0,50000)+AK4*10+AM4)</f>
        <v/>
      </c>
      <c r="AR4">
        <f>IF(AP4="","",COUNTIFS($F$2:$F$186,F4,$AP$2:$AP$186,AP4,$AQ$2:$AQ$186,"&lt;"&amp;AQ4)+1)</f>
        <v/>
      </c>
      <c r="AS4">
        <f>IF(AP4="","",F4&amp;AP4&amp;"-"&amp;AR4)</f>
        <v/>
      </c>
      <c r="AT4">
        <f>IF(AP4="",0,AP4)</f>
        <v/>
      </c>
      <c r="BA4" t="n">
        <v>3</v>
      </c>
      <c r="BB4">
        <f>COUNTIFS($F$2:$F$186,"男",$AP$2:$AP$186,BA4)</f>
        <v/>
      </c>
      <c r="BC4">
        <f>COUNTIFS($F$2:$F$186,"男",$AP$2:$AP$186,BA4,$I$2:$I$186,"赤")</f>
        <v/>
      </c>
      <c r="BD4">
        <f>BB4-BC4</f>
        <v/>
      </c>
      <c r="BF4" t="n">
        <v>3</v>
      </c>
      <c r="BG4">
        <f>COUNTIFS($F$2:$F$186,"女",$AP$2:$AP$186,BF4)</f>
        <v/>
      </c>
      <c r="BH4">
        <f>COUNTIFS($F$2:$F$186,"女",$AP$2:$AP$186,BF4,$I$2:$I$186,"赤")</f>
        <v/>
      </c>
      <c r="BI4">
        <f>BG4-BH4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  <c r="AP5">
        <f>IF(J5="","",IF(手動調整!$I$7&lt;&gt;"",手動調整!$I$7,AK5))</f>
        <v/>
      </c>
      <c r="AQ5">
        <f>IF(AP5="","",IF(手動調整!$J$7&lt;&gt;"",手動調整!$J$7,AM5)*100000+IF(手動調整!$J$7&lt;&gt;"",0,50000)+AK5*10+AM5)</f>
        <v/>
      </c>
      <c r="AR5">
        <f>IF(AP5="","",COUNTIFS($F$2:$F$186,F5,$AP$2:$AP$186,AP5,$AQ$2:$AQ$186,"&lt;"&amp;AQ5)+1)</f>
        <v/>
      </c>
      <c r="AS5">
        <f>IF(AP5="","",F5&amp;AP5&amp;"-"&amp;AR5)</f>
        <v/>
      </c>
      <c r="AT5">
        <f>IF(AP5="",0,AP5)</f>
        <v/>
      </c>
      <c r="BA5" t="n">
        <v>4</v>
      </c>
      <c r="BB5">
        <f>COUNTIFS($F$2:$F$186,"男",$AP$2:$AP$186,BA5)</f>
        <v/>
      </c>
      <c r="BC5">
        <f>COUNTIFS($F$2:$F$186,"男",$AP$2:$AP$186,BA5,$I$2:$I$186,"赤")</f>
        <v/>
      </c>
      <c r="BD5">
        <f>BB5-BC5</f>
        <v/>
      </c>
      <c r="BF5" t="n">
        <v>4</v>
      </c>
      <c r="BG5">
        <f>COUNTIFS($F$2:$F$186,"女",$AP$2:$AP$186,BF5)</f>
        <v/>
      </c>
      <c r="BH5">
        <f>COUNTIFS($F$2:$F$186,"女",$AP$2:$AP$186,BF5,$I$2:$I$186,"赤")</f>
        <v/>
      </c>
      <c r="BI5">
        <f>BG5-BH5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  <c r="AP6">
        <f>IF(J6="","",IF(手動調整!$I$8&lt;&gt;"",手動調整!$I$8,AK6))</f>
        <v/>
      </c>
      <c r="AQ6">
        <f>IF(AP6="","",IF(手動調整!$J$8&lt;&gt;"",手動調整!$J$8,AM6)*100000+IF(手動調整!$J$8&lt;&gt;"",0,50000)+AK6*10+AM6)</f>
        <v/>
      </c>
      <c r="AR6">
        <f>IF(AP6="","",COUNTIFS($F$2:$F$186,F6,$AP$2:$AP$186,AP6,$AQ$2:$AQ$186,"&lt;"&amp;AQ6)+1)</f>
        <v/>
      </c>
      <c r="AS6">
        <f>IF(AP6="","",F6&amp;AP6&amp;"-"&amp;AR6)</f>
        <v/>
      </c>
      <c r="AT6">
        <f>IF(AP6="",0,AP6)</f>
        <v/>
      </c>
      <c r="BA6" t="n">
        <v>5</v>
      </c>
      <c r="BB6">
        <f>COUNTIFS($F$2:$F$186,"男",$AP$2:$AP$186,BA6)</f>
        <v/>
      </c>
      <c r="BC6">
        <f>COUNTIFS($F$2:$F$186,"男",$AP$2:$AP$186,BA6,$I$2:$I$186,"赤")</f>
        <v/>
      </c>
      <c r="BD6">
        <f>BB6-BC6</f>
        <v/>
      </c>
      <c r="BF6" t="n">
        <v>5</v>
      </c>
      <c r="BG6">
        <f>COUNTIFS($F$2:$F$186,"女",$AP$2:$AP$186,BF6)</f>
        <v/>
      </c>
      <c r="BH6">
        <f>COUNTIFS($F$2:$F$186,"女",$AP$2:$AP$186,BF6,$I$2:$I$186,"赤")</f>
        <v/>
      </c>
      <c r="BI6">
        <f>BG6-BH6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  <c r="AP7">
        <f>IF(J7="","",IF(手動調整!$I$9&lt;&gt;"",手動調整!$I$9,AK7))</f>
        <v/>
      </c>
      <c r="AQ7">
        <f>IF(AP7="","",IF(手動調整!$J$9&lt;&gt;"",手動調整!$J$9,AM7)*100000+IF(手動調整!$J$9&lt;&gt;"",0,50000)+AK7*10+AM7)</f>
        <v/>
      </c>
      <c r="AR7">
        <f>IF(AP7="","",COUNTIFS($F$2:$F$186,F7,$AP$2:$AP$186,AP7,$AQ$2:$AQ$186,"&lt;"&amp;AQ7)+1)</f>
        <v/>
      </c>
      <c r="AS7">
        <f>IF(AP7="","",F7&amp;AP7&amp;"-"&amp;AR7)</f>
        <v/>
      </c>
      <c r="AT7">
        <f>IF(AP7="",0,AP7)</f>
        <v/>
      </c>
      <c r="BA7" t="n">
        <v>6</v>
      </c>
      <c r="BB7">
        <f>COUNTIFS($F$2:$F$186,"男",$AP$2:$AP$186,BA7)</f>
        <v/>
      </c>
      <c r="BC7">
        <f>COUNTIFS($F$2:$F$186,"男",$AP$2:$AP$186,BA7,$I$2:$I$186,"赤")</f>
        <v/>
      </c>
      <c r="BD7">
        <f>BB7-BC7</f>
        <v/>
      </c>
      <c r="BF7" t="n">
        <v>6</v>
      </c>
      <c r="BG7">
        <f>COUNTIFS($F$2:$F$186,"女",$AP$2:$AP$186,BF7)</f>
        <v/>
      </c>
      <c r="BH7">
        <f>COUNTIFS($F$2:$F$186,"女",$AP$2:$AP$186,BF7,$I$2:$I$186,"赤")</f>
        <v/>
      </c>
      <c r="BI7">
        <f>BG7-BH7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  <c r="AP8">
        <f>IF(J8="","",IF(手動調整!$I$10&lt;&gt;"",手動調整!$I$10,AK8))</f>
        <v/>
      </c>
      <c r="AQ8">
        <f>IF(AP8="","",IF(手動調整!$J$10&lt;&gt;"",手動調整!$J$10,AM8)*100000+IF(手動調整!$J$10&lt;&gt;"",0,50000)+AK8*10+AM8)</f>
        <v/>
      </c>
      <c r="AR8">
        <f>IF(AP8="","",COUNTIFS($F$2:$F$186,F8,$AP$2:$AP$186,AP8,$AQ$2:$AQ$186,"&lt;"&amp;AQ8)+1)</f>
        <v/>
      </c>
      <c r="AS8">
        <f>IF(AP8="","",F8&amp;AP8&amp;"-"&amp;AR8)</f>
        <v/>
      </c>
      <c r="AT8">
        <f>IF(AP8="",0,AP8)</f>
        <v/>
      </c>
      <c r="BA8" t="n">
        <v>7</v>
      </c>
      <c r="BB8">
        <f>COUNTIFS($F$2:$F$186,"男",$AP$2:$AP$186,BA8)</f>
        <v/>
      </c>
      <c r="BC8">
        <f>COUNTIFS($F$2:$F$186,"男",$AP$2:$AP$186,BA8,$I$2:$I$186,"赤")</f>
        <v/>
      </c>
      <c r="BD8">
        <f>BB8-BC8</f>
        <v/>
      </c>
      <c r="BF8" t="n">
        <v>7</v>
      </c>
      <c r="BG8">
        <f>COUNTIFS($F$2:$F$186,"女",$AP$2:$AP$186,BF8)</f>
        <v/>
      </c>
      <c r="BH8">
        <f>COUNTIFS($F$2:$F$186,"女",$AP$2:$AP$186,BF8,$I$2:$I$186,"赤")</f>
        <v/>
      </c>
      <c r="BI8">
        <f>BG8-BH8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ROUNDUP(Q8/4,0)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  <c r="AP9">
        <f>IF(J9="","",IF(手動調整!$I$11&lt;&gt;"",手動調整!$I$11,AK9))</f>
        <v/>
      </c>
      <c r="AQ9">
        <f>IF(AP9="","",IF(手動調整!$J$11&lt;&gt;"",手動調整!$J$11,AM9)*100000+IF(手動調整!$J$11&lt;&gt;"",0,50000)+AK9*10+AM9)</f>
        <v/>
      </c>
      <c r="AR9">
        <f>IF(AP9="","",COUNTIFS($F$2:$F$186,F9,$AP$2:$AP$186,AP9,$AQ$2:$AQ$186,"&lt;"&amp;AQ9)+1)</f>
        <v/>
      </c>
      <c r="AS9">
        <f>IF(AP9="","",F9&amp;AP9&amp;"-"&amp;AR9)</f>
        <v/>
      </c>
      <c r="AT9">
        <f>IF(AP9="",0,AP9)</f>
        <v/>
      </c>
      <c r="BA9" t="n">
        <v>8</v>
      </c>
      <c r="BB9">
        <f>COUNTIFS($F$2:$F$186,"男",$AP$2:$AP$186,BA9)</f>
        <v/>
      </c>
      <c r="BC9">
        <f>COUNTIFS($F$2:$F$186,"男",$AP$2:$AP$186,BA9,$I$2:$I$186,"赤")</f>
        <v/>
      </c>
      <c r="BD9">
        <f>BB9-BC9</f>
        <v/>
      </c>
      <c r="BF9" t="n">
        <v>8</v>
      </c>
      <c r="BG9">
        <f>COUNTIFS($F$2:$F$186,"女",$AP$2:$AP$186,BF9)</f>
        <v/>
      </c>
      <c r="BH9">
        <f>COUNTIFS($F$2:$F$186,"女",$AP$2:$AP$186,BF9,$I$2:$I$186,"赤")</f>
        <v/>
      </c>
      <c r="BI9">
        <f>BG9-BH9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  <c r="AP10">
        <f>IF(J10="","",IF(手動調整!$I$12&lt;&gt;"",手動調整!$I$12,AK10))</f>
        <v/>
      </c>
      <c r="AQ10">
        <f>IF(AP10="","",IF(手動調整!$J$12&lt;&gt;"",手動調整!$J$12,AM10)*100000+IF(手動調整!$J$12&lt;&gt;"",0,50000)+AK10*10+AM10)</f>
        <v/>
      </c>
      <c r="AR10">
        <f>IF(AP10="","",COUNTIFS($F$2:$F$186,F10,$AP$2:$AP$186,AP10,$AQ$2:$AQ$186,"&lt;"&amp;AQ10)+1)</f>
        <v/>
      </c>
      <c r="AS10">
        <f>IF(AP10="","",F10&amp;AP10&amp;"-"&amp;AR10)</f>
        <v/>
      </c>
      <c r="AT10">
        <f>IF(AP10="",0,AP10)</f>
        <v/>
      </c>
      <c r="BA10" t="n">
        <v>9</v>
      </c>
      <c r="BB10">
        <f>COUNTIFS($F$2:$F$186,"男",$AP$2:$AP$186,BA10)</f>
        <v/>
      </c>
      <c r="BC10">
        <f>COUNTIFS($F$2:$F$186,"男",$AP$2:$AP$186,BA10,$I$2:$I$186,"赤")</f>
        <v/>
      </c>
      <c r="BD10">
        <f>BB10-BC10</f>
        <v/>
      </c>
      <c r="BF10" t="n">
        <v>9</v>
      </c>
      <c r="BG10">
        <f>COUNTIFS($F$2:$F$186,"女",$AP$2:$AP$186,BF10)</f>
        <v/>
      </c>
      <c r="BH10">
        <f>COUNTIFS($F$2:$F$186,"女",$AP$2:$AP$186,BF10,$I$2:$I$186,"赤")</f>
        <v/>
      </c>
      <c r="BI10">
        <f>BG10-BH10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ROUNDUP(Q10/4,0)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  <c r="AP11">
        <f>IF(J11="","",IF(手動調整!$I$13&lt;&gt;"",手動調整!$I$13,AK11))</f>
        <v/>
      </c>
      <c r="AQ11">
        <f>IF(AP11="","",IF(手動調整!$J$13&lt;&gt;"",手動調整!$J$13,AM11)*100000+IF(手動調整!$J$13&lt;&gt;"",0,50000)+AK11*10+AM11)</f>
        <v/>
      </c>
      <c r="AR11">
        <f>IF(AP11="","",COUNTIFS($F$2:$F$186,F11,$AP$2:$AP$186,AP11,$AQ$2:$AQ$186,"&lt;"&amp;AQ11)+1)</f>
        <v/>
      </c>
      <c r="AS11">
        <f>IF(AP11="","",F11&amp;AP11&amp;"-"&amp;AR11)</f>
        <v/>
      </c>
      <c r="AT11">
        <f>IF(AP11="",0,AP11)</f>
        <v/>
      </c>
      <c r="BA11" t="n">
        <v>10</v>
      </c>
      <c r="BB11">
        <f>COUNTIFS($F$2:$F$186,"男",$AP$2:$AP$186,BA11)</f>
        <v/>
      </c>
      <c r="BC11">
        <f>COUNTIFS($F$2:$F$186,"男",$AP$2:$AP$186,BA11,$I$2:$I$186,"赤")</f>
        <v/>
      </c>
      <c r="BD11">
        <f>BB11-BC11</f>
        <v/>
      </c>
      <c r="BF11" t="n">
        <v>10</v>
      </c>
      <c r="BG11">
        <f>COUNTIFS($F$2:$F$186,"女",$AP$2:$AP$186,BF11)</f>
        <v/>
      </c>
      <c r="BH11">
        <f>COUNTIFS($F$2:$F$186,"女",$AP$2:$AP$186,BF11,$I$2:$I$186,"赤")</f>
        <v/>
      </c>
      <c r="BI11">
        <f>BG11-BH11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  <c r="AP12">
        <f>IF(J12="","",IF(手動調整!$I$14&lt;&gt;"",手動調整!$I$14,AK12))</f>
        <v/>
      </c>
      <c r="AQ12">
        <f>IF(AP12="","",IF(手動調整!$J$14&lt;&gt;"",手動調整!$J$14,AM12)*100000+IF(手動調整!$J$14&lt;&gt;"",0,50000)+AK12*10+AM12)</f>
        <v/>
      </c>
      <c r="AR12">
        <f>IF(AP12="","",COUNTIFS($F$2:$F$186,F12,$AP$2:$AP$186,AP12,$AQ$2:$AQ$186,"&lt;"&amp;AQ12)+1)</f>
        <v/>
      </c>
      <c r="AS12">
        <f>IF(AP12="","",F12&amp;AP12&amp;"-"&amp;AR12)</f>
        <v/>
      </c>
      <c r="AT12">
        <f>IF(AP12="",0,AP12)</f>
        <v/>
      </c>
      <c r="BA12" t="n">
        <v>11</v>
      </c>
      <c r="BB12">
        <f>COUNTIFS($F$2:$F$186,"男",$AP$2:$AP$186,BA12)</f>
        <v/>
      </c>
      <c r="BC12">
        <f>COUNTIFS($F$2:$F$186,"男",$AP$2:$AP$186,BA12,$I$2:$I$186,"赤")</f>
        <v/>
      </c>
      <c r="BD12">
        <f>BB12-BC12</f>
        <v/>
      </c>
      <c r="BF12" t="n">
        <v>11</v>
      </c>
      <c r="BG12">
        <f>COUNTIFS($F$2:$F$186,"女",$AP$2:$AP$186,BF12)</f>
        <v/>
      </c>
      <c r="BH12">
        <f>COUNTIFS($F$2:$F$186,"女",$AP$2:$AP$186,BF12,$I$2:$I$186,"赤")</f>
        <v/>
      </c>
      <c r="BI12">
        <f>BG12-BH12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P13" t="inlineStr">
        <is>
          <t>男子決定組数</t>
        </is>
      </c>
      <c r="Q13">
        <f>SUMPRODUCT(MAX(($F$2:$F$186="男")*$AT$2:$AT$186))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  <c r="AP13">
        <f>IF(J13="","",IF(手動調整!$I$15&lt;&gt;"",手動調整!$I$15,AK13))</f>
        <v/>
      </c>
      <c r="AQ13">
        <f>IF(AP13="","",IF(手動調整!$J$15&lt;&gt;"",手動調整!$J$15,AM13)*100000+IF(手動調整!$J$15&lt;&gt;"",0,50000)+AK13*10+AM13)</f>
        <v/>
      </c>
      <c r="AR13">
        <f>IF(AP13="","",COUNTIFS($F$2:$F$186,F13,$AP$2:$AP$186,AP13,$AQ$2:$AQ$186,"&lt;"&amp;AQ13)+1)</f>
        <v/>
      </c>
      <c r="AS13">
        <f>IF(AP13="","",F13&amp;AP13&amp;"-"&amp;AR13)</f>
        <v/>
      </c>
      <c r="AT13">
        <f>IF(AP13="",0,AP13)</f>
        <v/>
      </c>
      <c r="BA13" t="n">
        <v>12</v>
      </c>
      <c r="BB13">
        <f>COUNTIFS($F$2:$F$186,"男",$AP$2:$AP$186,BA13)</f>
        <v/>
      </c>
      <c r="BC13">
        <f>COUNTIFS($F$2:$F$186,"男",$AP$2:$AP$186,BA13,$I$2:$I$186,"赤")</f>
        <v/>
      </c>
      <c r="BD13">
        <f>BB13-BC13</f>
        <v/>
      </c>
      <c r="BF13" t="n">
        <v>12</v>
      </c>
      <c r="BG13">
        <f>COUNTIFS($F$2:$F$186,"女",$AP$2:$AP$186,BF13)</f>
        <v/>
      </c>
      <c r="BH13">
        <f>COUNTIFS($F$2:$F$186,"女",$AP$2:$AP$186,BF13,$I$2:$I$186,"赤")</f>
        <v/>
      </c>
      <c r="BI13">
        <f>BG13-BH13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P14" t="inlineStr">
        <is>
          <t>女子決定組数</t>
        </is>
      </c>
      <c r="Q14">
        <f>SUMPRODUCT(MAX(($F$2:$F$186="女")*$AT$2:$AT$186))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  <c r="AP14">
        <f>IF(J14="","",IF(手動調整!$I$16&lt;&gt;"",手動調整!$I$16,AK14))</f>
        <v/>
      </c>
      <c r="AQ14">
        <f>IF(AP14="","",IF(手動調整!$J$16&lt;&gt;"",手動調整!$J$16,AM14)*100000+IF(手動調整!$J$16&lt;&gt;"",0,50000)+AK14*10+AM14)</f>
        <v/>
      </c>
      <c r="AR14">
        <f>IF(AP14="","",COUNTIFS($F$2:$F$186,F14,$AP$2:$AP$186,AP14,$AQ$2:$AQ$186,"&lt;"&amp;AQ14)+1)</f>
        <v/>
      </c>
      <c r="AS14">
        <f>IF(AP14="","",F14&amp;AP14&amp;"-"&amp;AR14)</f>
        <v/>
      </c>
      <c r="AT14">
        <f>IF(AP14="",0,AP14)</f>
        <v/>
      </c>
      <c r="BA14" t="n">
        <v>13</v>
      </c>
      <c r="BB14">
        <f>COUNTIFS($F$2:$F$186,"男",$AP$2:$AP$186,BA14)</f>
        <v/>
      </c>
      <c r="BC14">
        <f>COUNTIFS($F$2:$F$186,"男",$AP$2:$AP$186,BA14,$I$2:$I$186,"赤")</f>
        <v/>
      </c>
      <c r="BD14">
        <f>BB14-BC14</f>
        <v/>
      </c>
      <c r="BF14" t="n">
        <v>13</v>
      </c>
      <c r="BG14">
        <f>COUNTIFS($F$2:$F$186,"女",$AP$2:$AP$186,BF14)</f>
        <v/>
      </c>
      <c r="BH14">
        <f>COUNTIFS($F$2:$F$186,"女",$AP$2:$AP$186,BF14,$I$2:$I$186,"赤")</f>
        <v/>
      </c>
      <c r="BI14">
        <f>BG14-BH14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  <c r="AP15">
        <f>IF(J15="","",IF(手動調整!$I$17&lt;&gt;"",手動調整!$I$17,AK15))</f>
        <v/>
      </c>
      <c r="AQ15">
        <f>IF(AP15="","",IF(手動調整!$J$17&lt;&gt;"",手動調整!$J$17,AM15)*100000+IF(手動調整!$J$17&lt;&gt;"",0,50000)+AK15*10+AM15)</f>
        <v/>
      </c>
      <c r="AR15">
        <f>IF(AP15="","",COUNTIFS($F$2:$F$186,F15,$AP$2:$AP$186,AP15,$AQ$2:$AQ$186,"&lt;"&amp;AQ15)+1)</f>
        <v/>
      </c>
      <c r="AS15">
        <f>IF(AP15="","",F15&amp;AP15&amp;"-"&amp;AR15)</f>
        <v/>
      </c>
      <c r="AT15">
        <f>IF(AP15="",0,AP15)</f>
        <v/>
      </c>
      <c r="BA15" t="n">
        <v>14</v>
      </c>
      <c r="BB15">
        <f>COUNTIFS($F$2:$F$186,"男",$AP$2:$AP$186,BA15)</f>
        <v/>
      </c>
      <c r="BC15">
        <f>COUNTIFS($F$2:$F$186,"男",$AP$2:$AP$186,BA15,$I$2:$I$186,"赤")</f>
        <v/>
      </c>
      <c r="BD15">
        <f>BB15-BC15</f>
        <v/>
      </c>
      <c r="BF15" t="n">
        <v>14</v>
      </c>
      <c r="BG15">
        <f>COUNTIFS($F$2:$F$186,"女",$AP$2:$AP$186,BF15)</f>
        <v/>
      </c>
      <c r="BH15">
        <f>COUNTIFS($F$2:$F$186,"女",$AP$2:$AP$186,BF15,$I$2:$I$186,"赤")</f>
        <v/>
      </c>
      <c r="BI15">
        <f>BG15-BH15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  <c r="AP16">
        <f>IF(J16="","",IF(手動調整!$I$18&lt;&gt;"",手動調整!$I$18,AK16))</f>
        <v/>
      </c>
      <c r="AQ16">
        <f>IF(AP16="","",IF(手動調整!$J$18&lt;&gt;"",手動調整!$J$18,AM16)*100000+IF(手動調整!$J$18&lt;&gt;"",0,50000)+AK16*10+AM16)</f>
        <v/>
      </c>
      <c r="AR16">
        <f>IF(AP16="","",COUNTIFS($F$2:$F$186,F16,$AP$2:$AP$186,AP16,$AQ$2:$AQ$186,"&lt;"&amp;AQ16)+1)</f>
        <v/>
      </c>
      <c r="AS16">
        <f>IF(AP16="","",F16&amp;AP16&amp;"-"&amp;AR16)</f>
        <v/>
      </c>
      <c r="AT16">
        <f>IF(AP16="",0,AP16)</f>
        <v/>
      </c>
      <c r="BA16" t="n">
        <v>15</v>
      </c>
      <c r="BB16">
        <f>COUNTIFS($F$2:$F$186,"男",$AP$2:$AP$186,BA16)</f>
        <v/>
      </c>
      <c r="BC16">
        <f>COUNTIFS($F$2:$F$186,"男",$AP$2:$AP$186,BA16,$I$2:$I$186,"赤")</f>
        <v/>
      </c>
      <c r="BD16">
        <f>BB16-BC16</f>
        <v/>
      </c>
      <c r="BF16" t="n">
        <v>15</v>
      </c>
      <c r="BG16">
        <f>COUNTIFS($F$2:$F$186,"女",$AP$2:$AP$186,BF16)</f>
        <v/>
      </c>
      <c r="BH16">
        <f>COUNTIFS($F$2:$F$186,"女",$AP$2:$AP$186,BF16,$I$2:$I$186,"赤")</f>
        <v/>
      </c>
      <c r="BI16">
        <f>BG16-BH16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  <c r="AP17">
        <f>IF(J17="","",IF(手動調整!$I$19&lt;&gt;"",手動調整!$I$19,AK17))</f>
        <v/>
      </c>
      <c r="AQ17">
        <f>IF(AP17="","",IF(手動調整!$J$19&lt;&gt;"",手動調整!$J$19,AM17)*100000+IF(手動調整!$J$19&lt;&gt;"",0,50000)+AK17*10+AM17)</f>
        <v/>
      </c>
      <c r="AR17">
        <f>IF(AP17="","",COUNTIFS($F$2:$F$186,F17,$AP$2:$AP$186,AP17,$AQ$2:$AQ$186,"&lt;"&amp;AQ17)+1)</f>
        <v/>
      </c>
      <c r="AS17">
        <f>IF(AP17="","",F17&amp;AP17&amp;"-"&amp;AR17)</f>
        <v/>
      </c>
      <c r="AT17">
        <f>IF(AP17="",0,AP17)</f>
        <v/>
      </c>
      <c r="BA17" t="n">
        <v>16</v>
      </c>
      <c r="BB17">
        <f>COUNTIFS($F$2:$F$186,"男",$AP$2:$AP$186,BA17)</f>
        <v/>
      </c>
      <c r="BC17">
        <f>COUNTIFS($F$2:$F$186,"男",$AP$2:$AP$186,BA17,$I$2:$I$186,"赤")</f>
        <v/>
      </c>
      <c r="BD17">
        <f>BB17-BC17</f>
        <v/>
      </c>
      <c r="BF17" t="n">
        <v>16</v>
      </c>
      <c r="BG17">
        <f>COUNTIFS($F$2:$F$186,"女",$AP$2:$AP$186,BF17)</f>
        <v/>
      </c>
      <c r="BH17">
        <f>COUNTIFS($F$2:$F$186,"女",$AP$2:$AP$186,BF17,$I$2:$I$186,"赤")</f>
        <v/>
      </c>
      <c r="BI17">
        <f>BG17-BH17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  <c r="AP18">
        <f>IF(J18="","",IF(手動調整!$I$20&lt;&gt;"",手動調整!$I$20,AK18))</f>
        <v/>
      </c>
      <c r="AQ18">
        <f>IF(AP18="","",IF(手動調整!$J$20&lt;&gt;"",手動調整!$J$20,AM18)*100000+IF(手動調整!$J$20&lt;&gt;"",0,50000)+AK18*10+AM18)</f>
        <v/>
      </c>
      <c r="AR18">
        <f>IF(AP18="","",COUNTIFS($F$2:$F$186,F18,$AP$2:$AP$186,AP18,$AQ$2:$AQ$186,"&lt;"&amp;AQ18)+1)</f>
        <v/>
      </c>
      <c r="AS18">
        <f>IF(AP18="","",F18&amp;AP18&amp;"-"&amp;AR18)</f>
        <v/>
      </c>
      <c r="AT18">
        <f>IF(AP18="",0,AP18)</f>
        <v/>
      </c>
      <c r="BA18" t="n">
        <v>17</v>
      </c>
      <c r="BB18">
        <f>COUNTIFS($F$2:$F$186,"男",$AP$2:$AP$186,BA18)</f>
        <v/>
      </c>
      <c r="BC18">
        <f>COUNTIFS($F$2:$F$186,"男",$AP$2:$AP$186,BA18,$I$2:$I$186,"赤")</f>
        <v/>
      </c>
      <c r="BD18">
        <f>BB18-BC18</f>
        <v/>
      </c>
      <c r="BF18" t="n">
        <v>17</v>
      </c>
      <c r="BG18">
        <f>COUNTIFS($F$2:$F$186,"女",$AP$2:$AP$186,BF18)</f>
        <v/>
      </c>
      <c r="BH18">
        <f>COUNTIFS($F$2:$F$186,"女",$AP$2:$AP$186,BF18,$I$2:$I$186,"赤")</f>
        <v/>
      </c>
      <c r="BI18">
        <f>BG18-BH18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  <c r="AP19">
        <f>IF(J19="","",IF(手動調整!$I$21&lt;&gt;"",手動調整!$I$21,AK19))</f>
        <v/>
      </c>
      <c r="AQ19">
        <f>IF(AP19="","",IF(手動調整!$J$21&lt;&gt;"",手動調整!$J$21,AM19)*100000+IF(手動調整!$J$21&lt;&gt;"",0,50000)+AK19*10+AM19)</f>
        <v/>
      </c>
      <c r="AR19">
        <f>IF(AP19="","",COUNTIFS($F$2:$F$186,F19,$AP$2:$AP$186,AP19,$AQ$2:$AQ$186,"&lt;"&amp;AQ19)+1)</f>
        <v/>
      </c>
      <c r="AS19">
        <f>IF(AP19="","",F19&amp;AP19&amp;"-"&amp;AR19)</f>
        <v/>
      </c>
      <c r="AT19">
        <f>IF(AP19="",0,AP19)</f>
        <v/>
      </c>
      <c r="BA19" t="n">
        <v>18</v>
      </c>
      <c r="BB19">
        <f>COUNTIFS($F$2:$F$186,"男",$AP$2:$AP$186,BA19)</f>
        <v/>
      </c>
      <c r="BC19">
        <f>COUNTIFS($F$2:$F$186,"男",$AP$2:$AP$186,BA19,$I$2:$I$186,"赤")</f>
        <v/>
      </c>
      <c r="BD19">
        <f>BB19-BC19</f>
        <v/>
      </c>
      <c r="BF19" t="n">
        <v>18</v>
      </c>
      <c r="BG19">
        <f>COUNTIFS($F$2:$F$186,"女",$AP$2:$AP$186,BF19)</f>
        <v/>
      </c>
      <c r="BH19">
        <f>COUNTIFS($F$2:$F$186,"女",$AP$2:$AP$186,BF19,$I$2:$I$186,"赤")</f>
        <v/>
      </c>
      <c r="BI19">
        <f>BG19-BH19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  <c r="AP20">
        <f>IF(J20="","",IF(手動調整!$I$22&lt;&gt;"",手動調整!$I$22,AK20))</f>
        <v/>
      </c>
      <c r="AQ20">
        <f>IF(AP20="","",IF(手動調整!$J$22&lt;&gt;"",手動調整!$J$22,AM20)*100000+IF(手動調整!$J$22&lt;&gt;"",0,50000)+AK20*10+AM20)</f>
        <v/>
      </c>
      <c r="AR20">
        <f>IF(AP20="","",COUNTIFS($F$2:$F$186,F20,$AP$2:$AP$186,AP20,$AQ$2:$AQ$186,"&lt;"&amp;AQ20)+1)</f>
        <v/>
      </c>
      <c r="AS20">
        <f>IF(AP20="","",F20&amp;AP20&amp;"-"&amp;AR20)</f>
        <v/>
      </c>
      <c r="AT20">
        <f>IF(AP20="",0,AP20)</f>
        <v/>
      </c>
      <c r="BA20" t="n">
        <v>19</v>
      </c>
      <c r="BB20">
        <f>COUNTIFS($F$2:$F$186,"男",$AP$2:$AP$186,BA20)</f>
        <v/>
      </c>
      <c r="BC20">
        <f>COUNTIFS($F$2:$F$186,"男",$AP$2:$AP$186,BA20,$I$2:$I$186,"赤")</f>
        <v/>
      </c>
      <c r="BD20">
        <f>BB20-BC20</f>
        <v/>
      </c>
      <c r="BF20" t="n">
        <v>19</v>
      </c>
      <c r="BG20">
        <f>COUNTIFS($F$2:$F$186,"女",$AP$2:$AP$186,BF20)</f>
        <v/>
      </c>
      <c r="BH20">
        <f>COUNTIFS($F$2:$F$186,"女",$AP$2:$AP$186,BF20,$I$2:$I$186,"赤")</f>
        <v/>
      </c>
      <c r="BI20">
        <f>BG20-BH20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  <c r="AP21">
        <f>IF(J21="","",IF(手動調整!$I$23&lt;&gt;"",手動調整!$I$23,AK21))</f>
        <v/>
      </c>
      <c r="AQ21">
        <f>IF(AP21="","",IF(手動調整!$J$23&lt;&gt;"",手動調整!$J$23,AM21)*100000+IF(手動調整!$J$23&lt;&gt;"",0,50000)+AK21*10+AM21)</f>
        <v/>
      </c>
      <c r="AR21">
        <f>IF(AP21="","",COUNTIFS($F$2:$F$186,F21,$AP$2:$AP$186,AP21,$AQ$2:$AQ$186,"&lt;"&amp;AQ21)+1)</f>
        <v/>
      </c>
      <c r="AS21">
        <f>IF(AP21="","",F21&amp;AP21&amp;"-"&amp;AR21)</f>
        <v/>
      </c>
      <c r="AT21">
        <f>IF(AP21="",0,AP21)</f>
        <v/>
      </c>
      <c r="BA21" t="n">
        <v>20</v>
      </c>
      <c r="BB21">
        <f>COUNTIFS($F$2:$F$186,"男",$AP$2:$AP$186,BA21)</f>
        <v/>
      </c>
      <c r="BC21">
        <f>COUNTIFS($F$2:$F$186,"男",$AP$2:$AP$186,BA21,$I$2:$I$186,"赤")</f>
        <v/>
      </c>
      <c r="BD21">
        <f>BB21-BC21</f>
        <v/>
      </c>
      <c r="BF21" t="n">
        <v>20</v>
      </c>
      <c r="BG21">
        <f>COUNTIFS($F$2:$F$186,"女",$AP$2:$AP$186,BF21)</f>
        <v/>
      </c>
      <c r="BH21">
        <f>COUNTIFS($F$2:$F$186,"女",$AP$2:$AP$186,BF21,$I$2:$I$186,"赤")</f>
        <v/>
      </c>
      <c r="BI21">
        <f>BG21-BH21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  <c r="AP22">
        <f>IF(J22="","",IF(手動調整!$I$24&lt;&gt;"",手動調整!$I$24,AK22))</f>
        <v/>
      </c>
      <c r="AQ22">
        <f>IF(AP22="","",IF(手動調整!$J$24&lt;&gt;"",手動調整!$J$24,AM22)*100000+IF(手動調整!$J$24&lt;&gt;"",0,50000)+AK22*10+AM22)</f>
        <v/>
      </c>
      <c r="AR22">
        <f>IF(AP22="","",COUNTIFS($F$2:$F$186,F22,$AP$2:$AP$186,AP22,$AQ$2:$AQ$186,"&lt;"&amp;AQ22)+1)</f>
        <v/>
      </c>
      <c r="AS22">
        <f>IF(AP22="","",F22&amp;AP22&amp;"-"&amp;AR22)</f>
        <v/>
      </c>
      <c r="AT22">
        <f>IF(AP22="",0,AP22)</f>
        <v/>
      </c>
      <c r="BA22" t="n">
        <v>21</v>
      </c>
      <c r="BB22">
        <f>COUNTIFS($F$2:$F$186,"男",$AP$2:$AP$186,BA22)</f>
        <v/>
      </c>
      <c r="BC22">
        <f>COUNTIFS($F$2:$F$186,"男",$AP$2:$AP$186,BA22,$I$2:$I$186,"赤")</f>
        <v/>
      </c>
      <c r="BD22">
        <f>BB22-BC22</f>
        <v/>
      </c>
      <c r="BF22" t="n">
        <v>21</v>
      </c>
      <c r="BG22">
        <f>COUNTIFS($F$2:$F$186,"女",$AP$2:$AP$186,BF22)</f>
        <v/>
      </c>
      <c r="BH22">
        <f>COUNTIFS($F$2:$F$186,"女",$AP$2:$AP$186,BF22,$I$2:$I$186,"赤")</f>
        <v/>
      </c>
      <c r="BI22">
        <f>BG22-BH22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  <c r="AP23">
        <f>IF(J23="","",IF(手動調整!$I$25&lt;&gt;"",手動調整!$I$25,AK23))</f>
        <v/>
      </c>
      <c r="AQ23">
        <f>IF(AP23="","",IF(手動調整!$J$25&lt;&gt;"",手動調整!$J$25,AM23)*100000+IF(手動調整!$J$25&lt;&gt;"",0,50000)+AK23*10+AM23)</f>
        <v/>
      </c>
      <c r="AR23">
        <f>IF(AP23="","",COUNTIFS($F$2:$F$186,F23,$AP$2:$AP$186,AP23,$AQ$2:$AQ$186,"&lt;"&amp;AQ23)+1)</f>
        <v/>
      </c>
      <c r="AS23">
        <f>IF(AP23="","",F23&amp;AP23&amp;"-"&amp;AR23)</f>
        <v/>
      </c>
      <c r="AT23">
        <f>IF(AP23="",0,AP23)</f>
        <v/>
      </c>
      <c r="BA23" t="n">
        <v>22</v>
      </c>
      <c r="BB23">
        <f>COUNTIFS($F$2:$F$186,"男",$AP$2:$AP$186,BA23)</f>
        <v/>
      </c>
      <c r="BC23">
        <f>COUNTIFS($F$2:$F$186,"男",$AP$2:$AP$186,BA23,$I$2:$I$186,"赤")</f>
        <v/>
      </c>
      <c r="BD23">
        <f>BB23-BC23</f>
        <v/>
      </c>
      <c r="BF23" t="n">
        <v>22</v>
      </c>
      <c r="BG23">
        <f>COUNTIFS($F$2:$F$186,"女",$AP$2:$AP$186,BF23)</f>
        <v/>
      </c>
      <c r="BH23">
        <f>COUNTIFS($F$2:$F$186,"女",$AP$2:$AP$186,BF23,$I$2:$I$186,"赤")</f>
        <v/>
      </c>
      <c r="BI23">
        <f>BG23-BH23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  <c r="AP24">
        <f>IF(J24="","",IF(手動調整!$I$26&lt;&gt;"",手動調整!$I$26,AK24))</f>
        <v/>
      </c>
      <c r="AQ24">
        <f>IF(AP24="","",IF(手動調整!$J$26&lt;&gt;"",手動調整!$J$26,AM24)*100000+IF(手動調整!$J$26&lt;&gt;"",0,50000)+AK24*10+AM24)</f>
        <v/>
      </c>
      <c r="AR24">
        <f>IF(AP24="","",COUNTIFS($F$2:$F$186,F24,$AP$2:$AP$186,AP24,$AQ$2:$AQ$186,"&lt;"&amp;AQ24)+1)</f>
        <v/>
      </c>
      <c r="AS24">
        <f>IF(AP24="","",F24&amp;AP24&amp;"-"&amp;AR24)</f>
        <v/>
      </c>
      <c r="AT24">
        <f>IF(AP24="",0,AP24)</f>
        <v/>
      </c>
      <c r="BA24" t="n">
        <v>23</v>
      </c>
      <c r="BB24">
        <f>COUNTIFS($F$2:$F$186,"男",$AP$2:$AP$186,BA24)</f>
        <v/>
      </c>
      <c r="BC24">
        <f>COUNTIFS($F$2:$F$186,"男",$AP$2:$AP$186,BA24,$I$2:$I$186,"赤")</f>
        <v/>
      </c>
      <c r="BD24">
        <f>BB24-BC24</f>
        <v/>
      </c>
      <c r="BF24" t="n">
        <v>23</v>
      </c>
      <c r="BG24">
        <f>COUNTIFS($F$2:$F$186,"女",$AP$2:$AP$186,BF24)</f>
        <v/>
      </c>
      <c r="BH24">
        <f>COUNTIFS($F$2:$F$186,"女",$AP$2:$AP$186,BF24,$I$2:$I$186,"赤")</f>
        <v/>
      </c>
      <c r="BI24">
        <f>BG24-BH24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  <c r="AP25">
        <f>IF(J25="","",IF(手動調整!$I$27&lt;&gt;"",手動調整!$I$27,AK25))</f>
        <v/>
      </c>
      <c r="AQ25">
        <f>IF(AP25="","",IF(手動調整!$J$27&lt;&gt;"",手動調整!$J$27,AM25)*100000+IF(手動調整!$J$27&lt;&gt;"",0,50000)+AK25*10+AM25)</f>
        <v/>
      </c>
      <c r="AR25">
        <f>IF(AP25="","",COUNTIFS($F$2:$F$186,F25,$AP$2:$AP$186,AP25,$AQ$2:$AQ$186,"&lt;"&amp;AQ25)+1)</f>
        <v/>
      </c>
      <c r="AS25">
        <f>IF(AP25="","",F25&amp;AP25&amp;"-"&amp;AR25)</f>
        <v/>
      </c>
      <c r="AT25">
        <f>IF(AP25="",0,AP25)</f>
        <v/>
      </c>
      <c r="BA25" t="n">
        <v>24</v>
      </c>
      <c r="BB25">
        <f>COUNTIFS($F$2:$F$186,"男",$AP$2:$AP$186,BA25)</f>
        <v/>
      </c>
      <c r="BC25">
        <f>COUNTIFS($F$2:$F$186,"男",$AP$2:$AP$186,BA25,$I$2:$I$186,"赤")</f>
        <v/>
      </c>
      <c r="BD25">
        <f>BB25-BC25</f>
        <v/>
      </c>
      <c r="BF25" t="n">
        <v>24</v>
      </c>
      <c r="BG25">
        <f>COUNTIFS($F$2:$F$186,"女",$AP$2:$AP$186,BF25)</f>
        <v/>
      </c>
      <c r="BH25">
        <f>COUNTIFS($F$2:$F$186,"女",$AP$2:$AP$186,BF25,$I$2:$I$186,"赤")</f>
        <v/>
      </c>
      <c r="BI25">
        <f>BG25-BH25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  <c r="AP26">
        <f>IF(J26="","",IF(手動調整!$I$28&lt;&gt;"",手動調整!$I$28,AK26))</f>
        <v/>
      </c>
      <c r="AQ26">
        <f>IF(AP26="","",IF(手動調整!$J$28&lt;&gt;"",手動調整!$J$28,AM26)*100000+IF(手動調整!$J$28&lt;&gt;"",0,50000)+AK26*10+AM26)</f>
        <v/>
      </c>
      <c r="AR26">
        <f>IF(AP26="","",COUNTIFS($F$2:$F$186,F26,$AP$2:$AP$186,AP26,$AQ$2:$AQ$186,"&lt;"&amp;AQ26)+1)</f>
        <v/>
      </c>
      <c r="AS26">
        <f>IF(AP26="","",F26&amp;AP26&amp;"-"&amp;AR26)</f>
        <v/>
      </c>
      <c r="AT26">
        <f>IF(AP26="",0,AP26)</f>
        <v/>
      </c>
      <c r="BA26" t="n">
        <v>25</v>
      </c>
      <c r="BB26">
        <f>COUNTIFS($F$2:$F$186,"男",$AP$2:$AP$186,BA26)</f>
        <v/>
      </c>
      <c r="BC26">
        <f>COUNTIFS($F$2:$F$186,"男",$AP$2:$AP$186,BA26,$I$2:$I$186,"赤")</f>
        <v/>
      </c>
      <c r="BD26">
        <f>BB26-BC26</f>
        <v/>
      </c>
      <c r="BF26" t="n">
        <v>25</v>
      </c>
      <c r="BG26">
        <f>COUNTIFS($F$2:$F$186,"女",$AP$2:$AP$186,BF26)</f>
        <v/>
      </c>
      <c r="BH26">
        <f>COUNTIFS($F$2:$F$186,"女",$AP$2:$AP$186,BF26,$I$2:$I$186,"赤")</f>
        <v/>
      </c>
      <c r="BI26">
        <f>BG26-BH26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  <c r="AP27">
        <f>IF(J27="","",IF(手動調整!$I$29&lt;&gt;"",手動調整!$I$29,AK27))</f>
        <v/>
      </c>
      <c r="AQ27">
        <f>IF(AP27="","",IF(手動調整!$J$29&lt;&gt;"",手動調整!$J$29,AM27)*100000+IF(手動調整!$J$29&lt;&gt;"",0,50000)+AK27*10+AM27)</f>
        <v/>
      </c>
      <c r="AR27">
        <f>IF(AP27="","",COUNTIFS($F$2:$F$186,F27,$AP$2:$AP$186,AP27,$AQ$2:$AQ$186,"&lt;"&amp;AQ27)+1)</f>
        <v/>
      </c>
      <c r="AS27">
        <f>IF(AP27="","",F27&amp;AP27&amp;"-"&amp;AR27)</f>
        <v/>
      </c>
      <c r="AT27">
        <f>IF(AP27="",0,AP27)</f>
        <v/>
      </c>
      <c r="BA27" t="n">
        <v>26</v>
      </c>
      <c r="BB27">
        <f>COUNTIFS($F$2:$F$186,"男",$AP$2:$AP$186,BA27)</f>
        <v/>
      </c>
      <c r="BC27">
        <f>COUNTIFS($F$2:$F$186,"男",$AP$2:$AP$186,BA27,$I$2:$I$186,"赤")</f>
        <v/>
      </c>
      <c r="BD27">
        <f>BB27-BC27</f>
        <v/>
      </c>
      <c r="BF27" t="n">
        <v>26</v>
      </c>
      <c r="BG27">
        <f>COUNTIFS($F$2:$F$186,"女",$AP$2:$AP$186,BF27)</f>
        <v/>
      </c>
      <c r="BH27">
        <f>COUNTIFS($F$2:$F$186,"女",$AP$2:$AP$186,BF27,$I$2:$I$186,"赤")</f>
        <v/>
      </c>
      <c r="BI27">
        <f>BG27-BH27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  <c r="AP28">
        <f>IF(J28="","",IF(手動調整!$I$30&lt;&gt;"",手動調整!$I$30,AK28))</f>
        <v/>
      </c>
      <c r="AQ28">
        <f>IF(AP28="","",IF(手動調整!$J$30&lt;&gt;"",手動調整!$J$30,AM28)*100000+IF(手動調整!$J$30&lt;&gt;"",0,50000)+AK28*10+AM28)</f>
        <v/>
      </c>
      <c r="AR28">
        <f>IF(AP28="","",COUNTIFS($F$2:$F$186,F28,$AP$2:$AP$186,AP28,$AQ$2:$AQ$186,"&lt;"&amp;AQ28)+1)</f>
        <v/>
      </c>
      <c r="AS28">
        <f>IF(AP28="","",F28&amp;AP28&amp;"-"&amp;AR28)</f>
        <v/>
      </c>
      <c r="AT28">
        <f>IF(AP28="",0,AP28)</f>
        <v/>
      </c>
      <c r="BA28" t="n">
        <v>27</v>
      </c>
      <c r="BB28">
        <f>COUNTIFS($F$2:$F$186,"男",$AP$2:$AP$186,BA28)</f>
        <v/>
      </c>
      <c r="BC28">
        <f>COUNTIFS($F$2:$F$186,"男",$AP$2:$AP$186,BA28,$I$2:$I$186,"赤")</f>
        <v/>
      </c>
      <c r="BD28">
        <f>BB28-BC28</f>
        <v/>
      </c>
      <c r="BF28" t="n">
        <v>27</v>
      </c>
      <c r="BG28">
        <f>COUNTIFS($F$2:$F$186,"女",$AP$2:$AP$186,BF28)</f>
        <v/>
      </c>
      <c r="BH28">
        <f>COUNTIFS($F$2:$F$186,"女",$AP$2:$AP$186,BF28,$I$2:$I$186,"赤")</f>
        <v/>
      </c>
      <c r="BI28">
        <f>BG28-BH28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  <c r="AP29">
        <f>IF(J29="","",IF(手動調整!$I$31&lt;&gt;"",手動調整!$I$31,AK29))</f>
        <v/>
      </c>
      <c r="AQ29">
        <f>IF(AP29="","",IF(手動調整!$J$31&lt;&gt;"",手動調整!$J$31,AM29)*100000+IF(手動調整!$J$31&lt;&gt;"",0,50000)+AK29*10+AM29)</f>
        <v/>
      </c>
      <c r="AR29">
        <f>IF(AP29="","",COUNTIFS($F$2:$F$186,F29,$AP$2:$AP$186,AP29,$AQ$2:$AQ$186,"&lt;"&amp;AQ29)+1)</f>
        <v/>
      </c>
      <c r="AS29">
        <f>IF(AP29="","",F29&amp;AP29&amp;"-"&amp;AR29)</f>
        <v/>
      </c>
      <c r="AT29">
        <f>IF(AP29="",0,AP29)</f>
        <v/>
      </c>
      <c r="BA29" t="n">
        <v>28</v>
      </c>
      <c r="BB29">
        <f>COUNTIFS($F$2:$F$186,"男",$AP$2:$AP$186,BA29)</f>
        <v/>
      </c>
      <c r="BC29">
        <f>COUNTIFS($F$2:$F$186,"男",$AP$2:$AP$186,BA29,$I$2:$I$186,"赤")</f>
        <v/>
      </c>
      <c r="BD29">
        <f>BB29-BC29</f>
        <v/>
      </c>
      <c r="BF29" t="n">
        <v>28</v>
      </c>
      <c r="BG29">
        <f>COUNTIFS($F$2:$F$186,"女",$AP$2:$AP$186,BF29)</f>
        <v/>
      </c>
      <c r="BH29">
        <f>COUNTIFS($F$2:$F$186,"女",$AP$2:$AP$186,BF29,$I$2:$I$186,"赤")</f>
        <v/>
      </c>
      <c r="BI29">
        <f>BG29-BH29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  <c r="AP30">
        <f>IF(J30="","",IF(手動調整!$I$32&lt;&gt;"",手動調整!$I$32,AK30))</f>
        <v/>
      </c>
      <c r="AQ30">
        <f>IF(AP30="","",IF(手動調整!$J$32&lt;&gt;"",手動調整!$J$32,AM30)*100000+IF(手動調整!$J$32&lt;&gt;"",0,50000)+AK30*10+AM30)</f>
        <v/>
      </c>
      <c r="AR30">
        <f>IF(AP30="","",COUNTIFS($F$2:$F$186,F30,$AP$2:$AP$186,AP30,$AQ$2:$AQ$186,"&lt;"&amp;AQ30)+1)</f>
        <v/>
      </c>
      <c r="AS30">
        <f>IF(AP30="","",F30&amp;AP30&amp;"-"&amp;AR30)</f>
        <v/>
      </c>
      <c r="AT30">
        <f>IF(AP30="",0,AP30)</f>
        <v/>
      </c>
      <c r="BA30" t="n">
        <v>29</v>
      </c>
      <c r="BB30">
        <f>COUNTIFS($F$2:$F$186,"男",$AP$2:$AP$186,BA30)</f>
        <v/>
      </c>
      <c r="BC30">
        <f>COUNTIFS($F$2:$F$186,"男",$AP$2:$AP$186,BA30,$I$2:$I$186,"赤")</f>
        <v/>
      </c>
      <c r="BD30">
        <f>BB30-BC30</f>
        <v/>
      </c>
      <c r="BF30" t="n">
        <v>29</v>
      </c>
      <c r="BG30">
        <f>COUNTIFS($F$2:$F$186,"女",$AP$2:$AP$186,BF30)</f>
        <v/>
      </c>
      <c r="BH30">
        <f>COUNTIFS($F$2:$F$186,"女",$AP$2:$AP$186,BF30,$I$2:$I$186,"赤")</f>
        <v/>
      </c>
      <c r="BI30">
        <f>BG30-BH30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  <c r="AP31">
        <f>IF(J31="","",IF(手動調整!$I$33&lt;&gt;"",手動調整!$I$33,AK31))</f>
        <v/>
      </c>
      <c r="AQ31">
        <f>IF(AP31="","",IF(手動調整!$J$33&lt;&gt;"",手動調整!$J$33,AM31)*100000+IF(手動調整!$J$33&lt;&gt;"",0,50000)+AK31*10+AM31)</f>
        <v/>
      </c>
      <c r="AR31">
        <f>IF(AP31="","",COUNTIFS($F$2:$F$186,F31,$AP$2:$AP$186,AP31,$AQ$2:$AQ$186,"&lt;"&amp;AQ31)+1)</f>
        <v/>
      </c>
      <c r="AS31">
        <f>IF(AP31="","",F31&amp;AP31&amp;"-"&amp;AR31)</f>
        <v/>
      </c>
      <c r="AT31">
        <f>IF(AP31="",0,AP31)</f>
        <v/>
      </c>
      <c r="BA31" t="n">
        <v>30</v>
      </c>
      <c r="BB31">
        <f>COUNTIFS($F$2:$F$186,"男",$AP$2:$AP$186,BA31)</f>
        <v/>
      </c>
      <c r="BC31">
        <f>COUNTIFS($F$2:$F$186,"男",$AP$2:$AP$186,BA31,$I$2:$I$186,"赤")</f>
        <v/>
      </c>
      <c r="BD31">
        <f>BB31-BC31</f>
        <v/>
      </c>
      <c r="BF31" t="n">
        <v>30</v>
      </c>
      <c r="BG31">
        <f>COUNTIFS($F$2:$F$186,"女",$AP$2:$AP$186,BF31)</f>
        <v/>
      </c>
      <c r="BH31">
        <f>COUNTIFS($F$2:$F$186,"女",$AP$2:$AP$186,BF31,$I$2:$I$186,"赤")</f>
        <v/>
      </c>
      <c r="BI31">
        <f>BG31-BH31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  <c r="AP32">
        <f>IF(J32="","",IF(手動調整!$I$34&lt;&gt;"",手動調整!$I$34,AK32))</f>
        <v/>
      </c>
      <c r="AQ32">
        <f>IF(AP32="","",IF(手動調整!$J$34&lt;&gt;"",手動調整!$J$34,AM32)*100000+IF(手動調整!$J$34&lt;&gt;"",0,50000)+AK32*10+AM32)</f>
        <v/>
      </c>
      <c r="AR32">
        <f>IF(AP32="","",COUNTIFS($F$2:$F$186,F32,$AP$2:$AP$186,AP32,$AQ$2:$AQ$186,"&lt;"&amp;AQ32)+1)</f>
        <v/>
      </c>
      <c r="AS32">
        <f>IF(AP32="","",F32&amp;AP32&amp;"-"&amp;AR32)</f>
        <v/>
      </c>
      <c r="AT32">
        <f>IF(AP32="",0,AP32)</f>
        <v/>
      </c>
      <c r="BA32" t="n">
        <v>31</v>
      </c>
      <c r="BB32">
        <f>COUNTIFS($F$2:$F$186,"男",$AP$2:$AP$186,BA32)</f>
        <v/>
      </c>
      <c r="BC32">
        <f>COUNTIFS($F$2:$F$186,"男",$AP$2:$AP$186,BA32,$I$2:$I$186,"赤")</f>
        <v/>
      </c>
      <c r="BD32">
        <f>BB32-BC32</f>
        <v/>
      </c>
      <c r="BF32" t="n">
        <v>31</v>
      </c>
      <c r="BG32">
        <f>COUNTIFS($F$2:$F$186,"女",$AP$2:$AP$186,BF32)</f>
        <v/>
      </c>
      <c r="BH32">
        <f>COUNTIFS($F$2:$F$186,"女",$AP$2:$AP$186,BF32,$I$2:$I$186,"赤")</f>
        <v/>
      </c>
      <c r="BI32">
        <f>BG32-BH32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  <c r="AP33">
        <f>IF(J33="","",IF(手動調整!$I$35&lt;&gt;"",手動調整!$I$35,AK33))</f>
        <v/>
      </c>
      <c r="AQ33">
        <f>IF(AP33="","",IF(手動調整!$J$35&lt;&gt;"",手動調整!$J$35,AM33)*100000+IF(手動調整!$J$35&lt;&gt;"",0,50000)+AK33*10+AM33)</f>
        <v/>
      </c>
      <c r="AR33">
        <f>IF(AP33="","",COUNTIFS($F$2:$F$186,F33,$AP$2:$AP$186,AP33,$AQ$2:$AQ$186,"&lt;"&amp;AQ33)+1)</f>
        <v/>
      </c>
      <c r="AS33">
        <f>IF(AP33="","",F33&amp;AP33&amp;"-"&amp;AR33)</f>
        <v/>
      </c>
      <c r="AT33">
        <f>IF(AP33="",0,AP33)</f>
        <v/>
      </c>
      <c r="BA33" t="n">
        <v>32</v>
      </c>
      <c r="BB33">
        <f>COUNTIFS($F$2:$F$186,"男",$AP$2:$AP$186,BA33)</f>
        <v/>
      </c>
      <c r="BC33">
        <f>COUNTIFS($F$2:$F$186,"男",$AP$2:$AP$186,BA33,$I$2:$I$186,"赤")</f>
        <v/>
      </c>
      <c r="BD33">
        <f>BB33-BC33</f>
        <v/>
      </c>
      <c r="BF33" t="n">
        <v>32</v>
      </c>
      <c r="BG33">
        <f>COUNTIFS($F$2:$F$186,"女",$AP$2:$AP$186,BF33)</f>
        <v/>
      </c>
      <c r="BH33">
        <f>COUNTIFS($F$2:$F$186,"女",$AP$2:$AP$186,BF33,$I$2:$I$186,"赤")</f>
        <v/>
      </c>
      <c r="BI33">
        <f>BG33-BH33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  <c r="AP34">
        <f>IF(J34="","",IF(手動調整!$I$36&lt;&gt;"",手動調整!$I$36,AK34))</f>
        <v/>
      </c>
      <c r="AQ34">
        <f>IF(AP34="","",IF(手動調整!$J$36&lt;&gt;"",手動調整!$J$36,AM34)*100000+IF(手動調整!$J$36&lt;&gt;"",0,50000)+AK34*10+AM34)</f>
        <v/>
      </c>
      <c r="AR34">
        <f>IF(AP34="","",COUNTIFS($F$2:$F$186,F34,$AP$2:$AP$186,AP34,$AQ$2:$AQ$186,"&lt;"&amp;AQ34)+1)</f>
        <v/>
      </c>
      <c r="AS34">
        <f>IF(AP34="","",F34&amp;AP34&amp;"-"&amp;AR34)</f>
        <v/>
      </c>
      <c r="AT34">
        <f>IF(AP34="",0,AP34)</f>
        <v/>
      </c>
      <c r="BA34" t="n">
        <v>33</v>
      </c>
      <c r="BB34">
        <f>COUNTIFS($F$2:$F$186,"男",$AP$2:$AP$186,BA34)</f>
        <v/>
      </c>
      <c r="BC34">
        <f>COUNTIFS($F$2:$F$186,"男",$AP$2:$AP$186,BA34,$I$2:$I$186,"赤")</f>
        <v/>
      </c>
      <c r="BD34">
        <f>BB34-BC34</f>
        <v/>
      </c>
      <c r="BF34" t="n">
        <v>33</v>
      </c>
      <c r="BG34">
        <f>COUNTIFS($F$2:$F$186,"女",$AP$2:$AP$186,BF34)</f>
        <v/>
      </c>
      <c r="BH34">
        <f>COUNTIFS($F$2:$F$186,"女",$AP$2:$AP$186,BF34,$I$2:$I$186,"赤")</f>
        <v/>
      </c>
      <c r="BI34">
        <f>BG34-BH34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  <c r="AP35">
        <f>IF(J35="","",IF(手動調整!$I$37&lt;&gt;"",手動調整!$I$37,AK35))</f>
        <v/>
      </c>
      <c r="AQ35">
        <f>IF(AP35="","",IF(手動調整!$J$37&lt;&gt;"",手動調整!$J$37,AM35)*100000+IF(手動調整!$J$37&lt;&gt;"",0,50000)+AK35*10+AM35)</f>
        <v/>
      </c>
      <c r="AR35">
        <f>IF(AP35="","",COUNTIFS($F$2:$F$186,F35,$AP$2:$AP$186,AP35,$AQ$2:$AQ$186,"&lt;"&amp;AQ35)+1)</f>
        <v/>
      </c>
      <c r="AS35">
        <f>IF(AP35="","",F35&amp;AP35&amp;"-"&amp;AR35)</f>
        <v/>
      </c>
      <c r="AT35">
        <f>IF(AP35="",0,AP35)</f>
        <v/>
      </c>
      <c r="BA35" t="n">
        <v>34</v>
      </c>
      <c r="BB35">
        <f>COUNTIFS($F$2:$F$186,"男",$AP$2:$AP$186,BA35)</f>
        <v/>
      </c>
      <c r="BC35">
        <f>COUNTIFS($F$2:$F$186,"男",$AP$2:$AP$186,BA35,$I$2:$I$186,"赤")</f>
        <v/>
      </c>
      <c r="BD35">
        <f>BB35-BC35</f>
        <v/>
      </c>
      <c r="BF35" t="n">
        <v>34</v>
      </c>
      <c r="BG35">
        <f>COUNTIFS($F$2:$F$186,"女",$AP$2:$AP$186,BF35)</f>
        <v/>
      </c>
      <c r="BH35">
        <f>COUNTIFS($F$2:$F$186,"女",$AP$2:$AP$186,BF35,$I$2:$I$186,"赤")</f>
        <v/>
      </c>
      <c r="BI35">
        <f>BG35-BH35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  <c r="AP36">
        <f>IF(J36="","",IF(手動調整!$I$38&lt;&gt;"",手動調整!$I$38,AK36))</f>
        <v/>
      </c>
      <c r="AQ36">
        <f>IF(AP36="","",IF(手動調整!$J$38&lt;&gt;"",手動調整!$J$38,AM36)*100000+IF(手動調整!$J$38&lt;&gt;"",0,50000)+AK36*10+AM36)</f>
        <v/>
      </c>
      <c r="AR36">
        <f>IF(AP36="","",COUNTIFS($F$2:$F$186,F36,$AP$2:$AP$186,AP36,$AQ$2:$AQ$186,"&lt;"&amp;AQ36)+1)</f>
        <v/>
      </c>
      <c r="AS36">
        <f>IF(AP36="","",F36&amp;AP36&amp;"-"&amp;AR36)</f>
        <v/>
      </c>
      <c r="AT36">
        <f>IF(AP36="",0,AP36)</f>
        <v/>
      </c>
      <c r="BA36" t="n">
        <v>35</v>
      </c>
      <c r="BB36">
        <f>COUNTIFS($F$2:$F$186,"男",$AP$2:$AP$186,BA36)</f>
        <v/>
      </c>
      <c r="BC36">
        <f>COUNTIFS($F$2:$F$186,"男",$AP$2:$AP$186,BA36,$I$2:$I$186,"赤")</f>
        <v/>
      </c>
      <c r="BD36">
        <f>BB36-BC36</f>
        <v/>
      </c>
      <c r="BF36" t="n">
        <v>35</v>
      </c>
      <c r="BG36">
        <f>COUNTIFS($F$2:$F$186,"女",$AP$2:$AP$186,BF36)</f>
        <v/>
      </c>
      <c r="BH36">
        <f>COUNTIFS($F$2:$F$186,"女",$AP$2:$AP$186,BF36,$I$2:$I$186,"赤")</f>
        <v/>
      </c>
      <c r="BI36">
        <f>BG36-BH36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  <c r="AP37">
        <f>IF(J37="","",IF(手動調整!$I$39&lt;&gt;"",手動調整!$I$39,AK37))</f>
        <v/>
      </c>
      <c r="AQ37">
        <f>IF(AP37="","",IF(手動調整!$J$39&lt;&gt;"",手動調整!$J$39,AM37)*100000+IF(手動調整!$J$39&lt;&gt;"",0,50000)+AK37*10+AM37)</f>
        <v/>
      </c>
      <c r="AR37">
        <f>IF(AP37="","",COUNTIFS($F$2:$F$186,F37,$AP$2:$AP$186,AP37,$AQ$2:$AQ$186,"&lt;"&amp;AQ37)+1)</f>
        <v/>
      </c>
      <c r="AS37">
        <f>IF(AP37="","",F37&amp;AP37&amp;"-"&amp;AR37)</f>
        <v/>
      </c>
      <c r="AT37">
        <f>IF(AP37="",0,AP37)</f>
        <v/>
      </c>
      <c r="BA37" t="n">
        <v>36</v>
      </c>
      <c r="BB37">
        <f>COUNTIFS($F$2:$F$186,"男",$AP$2:$AP$186,BA37)</f>
        <v/>
      </c>
      <c r="BC37">
        <f>COUNTIFS($F$2:$F$186,"男",$AP$2:$AP$186,BA37,$I$2:$I$186,"赤")</f>
        <v/>
      </c>
      <c r="BD37">
        <f>BB37-BC37</f>
        <v/>
      </c>
      <c r="BF37" t="n">
        <v>36</v>
      </c>
      <c r="BG37">
        <f>COUNTIFS($F$2:$F$186,"女",$AP$2:$AP$186,BF37)</f>
        <v/>
      </c>
      <c r="BH37">
        <f>COUNTIFS($F$2:$F$186,"女",$AP$2:$AP$186,BF37,$I$2:$I$186,"赤")</f>
        <v/>
      </c>
      <c r="BI37">
        <f>BG37-BH37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  <c r="AP38">
        <f>IF(J38="","",IF(手動調整!$I$40&lt;&gt;"",手動調整!$I$40,AK38))</f>
        <v/>
      </c>
      <c r="AQ38">
        <f>IF(AP38="","",IF(手動調整!$J$40&lt;&gt;"",手動調整!$J$40,AM38)*100000+IF(手動調整!$J$40&lt;&gt;"",0,50000)+AK38*10+AM38)</f>
        <v/>
      </c>
      <c r="AR38">
        <f>IF(AP38="","",COUNTIFS($F$2:$F$186,F38,$AP$2:$AP$186,AP38,$AQ$2:$AQ$186,"&lt;"&amp;AQ38)+1)</f>
        <v/>
      </c>
      <c r="AS38">
        <f>IF(AP38="","",F38&amp;AP38&amp;"-"&amp;AR38)</f>
        <v/>
      </c>
      <c r="AT38">
        <f>IF(AP38="",0,AP38)</f>
        <v/>
      </c>
      <c r="BA38" t="n">
        <v>37</v>
      </c>
      <c r="BB38">
        <f>COUNTIFS($F$2:$F$186,"男",$AP$2:$AP$186,BA38)</f>
        <v/>
      </c>
      <c r="BC38">
        <f>COUNTIFS($F$2:$F$186,"男",$AP$2:$AP$186,BA38,$I$2:$I$186,"赤")</f>
        <v/>
      </c>
      <c r="BD38">
        <f>BB38-BC38</f>
        <v/>
      </c>
      <c r="BF38" t="n">
        <v>37</v>
      </c>
      <c r="BG38">
        <f>COUNTIFS($F$2:$F$186,"女",$AP$2:$AP$186,BF38)</f>
        <v/>
      </c>
      <c r="BH38">
        <f>COUNTIFS($F$2:$F$186,"女",$AP$2:$AP$186,BF38,$I$2:$I$186,"赤")</f>
        <v/>
      </c>
      <c r="BI38">
        <f>BG38-BH38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  <c r="AP39">
        <f>IF(J39="","",IF(手動調整!$I$41&lt;&gt;"",手動調整!$I$41,AK39))</f>
        <v/>
      </c>
      <c r="AQ39">
        <f>IF(AP39="","",IF(手動調整!$J$41&lt;&gt;"",手動調整!$J$41,AM39)*100000+IF(手動調整!$J$41&lt;&gt;"",0,50000)+AK39*10+AM39)</f>
        <v/>
      </c>
      <c r="AR39">
        <f>IF(AP39="","",COUNTIFS($F$2:$F$186,F39,$AP$2:$AP$186,AP39,$AQ$2:$AQ$186,"&lt;"&amp;AQ39)+1)</f>
        <v/>
      </c>
      <c r="AS39">
        <f>IF(AP39="","",F39&amp;AP39&amp;"-"&amp;AR39)</f>
        <v/>
      </c>
      <c r="AT39">
        <f>IF(AP39="",0,AP39)</f>
        <v/>
      </c>
      <c r="BA39" t="n">
        <v>38</v>
      </c>
      <c r="BB39">
        <f>COUNTIFS($F$2:$F$186,"男",$AP$2:$AP$186,BA39)</f>
        <v/>
      </c>
      <c r="BC39">
        <f>COUNTIFS($F$2:$F$186,"男",$AP$2:$AP$186,BA39,$I$2:$I$186,"赤")</f>
        <v/>
      </c>
      <c r="BD39">
        <f>BB39-BC39</f>
        <v/>
      </c>
      <c r="BF39" t="n">
        <v>38</v>
      </c>
      <c r="BG39">
        <f>COUNTIFS($F$2:$F$186,"女",$AP$2:$AP$186,BF39)</f>
        <v/>
      </c>
      <c r="BH39">
        <f>COUNTIFS($F$2:$F$186,"女",$AP$2:$AP$186,BF39,$I$2:$I$186,"赤")</f>
        <v/>
      </c>
      <c r="BI39">
        <f>BG39-BH39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  <c r="AP40">
        <f>IF(J40="","",IF(手動調整!$I$42&lt;&gt;"",手動調整!$I$42,AK40))</f>
        <v/>
      </c>
      <c r="AQ40">
        <f>IF(AP40="","",IF(手動調整!$J$42&lt;&gt;"",手動調整!$J$42,AM40)*100000+IF(手動調整!$J$42&lt;&gt;"",0,50000)+AK40*10+AM40)</f>
        <v/>
      </c>
      <c r="AR40">
        <f>IF(AP40="","",COUNTIFS($F$2:$F$186,F40,$AP$2:$AP$186,AP40,$AQ$2:$AQ$186,"&lt;"&amp;AQ40)+1)</f>
        <v/>
      </c>
      <c r="AS40">
        <f>IF(AP40="","",F40&amp;AP40&amp;"-"&amp;AR40)</f>
        <v/>
      </c>
      <c r="AT40">
        <f>IF(AP40="",0,AP40)</f>
        <v/>
      </c>
      <c r="BA40" t="n">
        <v>39</v>
      </c>
      <c r="BB40">
        <f>COUNTIFS($F$2:$F$186,"男",$AP$2:$AP$186,BA40)</f>
        <v/>
      </c>
      <c r="BC40">
        <f>COUNTIFS($F$2:$F$186,"男",$AP$2:$AP$186,BA40,$I$2:$I$186,"赤")</f>
        <v/>
      </c>
      <c r="BD40">
        <f>BB40-BC40</f>
        <v/>
      </c>
      <c r="BF40" t="n">
        <v>39</v>
      </c>
      <c r="BG40">
        <f>COUNTIFS($F$2:$F$186,"女",$AP$2:$AP$186,BF40)</f>
        <v/>
      </c>
      <c r="BH40">
        <f>COUNTIFS($F$2:$F$186,"女",$AP$2:$AP$186,BF40,$I$2:$I$186,"赤")</f>
        <v/>
      </c>
      <c r="BI40">
        <f>BG40-BH40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  <c r="AP41">
        <f>IF(J41="","",IF(手動調整!$I$43&lt;&gt;"",手動調整!$I$43,AK41))</f>
        <v/>
      </c>
      <c r="AQ41">
        <f>IF(AP41="","",IF(手動調整!$J$43&lt;&gt;"",手動調整!$J$43,AM41)*100000+IF(手動調整!$J$43&lt;&gt;"",0,50000)+AK41*10+AM41)</f>
        <v/>
      </c>
      <c r="AR41">
        <f>IF(AP41="","",COUNTIFS($F$2:$F$186,F41,$AP$2:$AP$186,AP41,$AQ$2:$AQ$186,"&lt;"&amp;AQ41)+1)</f>
        <v/>
      </c>
      <c r="AS41">
        <f>IF(AP41="","",F41&amp;AP41&amp;"-"&amp;AR41)</f>
        <v/>
      </c>
      <c r="AT41">
        <f>IF(AP41="",0,AP41)</f>
        <v/>
      </c>
      <c r="BA41" t="n">
        <v>40</v>
      </c>
      <c r="BB41">
        <f>COUNTIFS($F$2:$F$186,"男",$AP$2:$AP$186,BA41)</f>
        <v/>
      </c>
      <c r="BC41">
        <f>COUNTIFS($F$2:$F$186,"男",$AP$2:$AP$186,BA41,$I$2:$I$186,"赤")</f>
        <v/>
      </c>
      <c r="BD41">
        <f>BB41-BC41</f>
        <v/>
      </c>
      <c r="BF41" t="n">
        <v>40</v>
      </c>
      <c r="BG41">
        <f>COUNTIFS($F$2:$F$186,"女",$AP$2:$AP$186,BF41)</f>
        <v/>
      </c>
      <c r="BH41">
        <f>COUNTIFS($F$2:$F$186,"女",$AP$2:$AP$186,BF41,$I$2:$I$186,"赤")</f>
        <v/>
      </c>
      <c r="BI41">
        <f>BG41-BH41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  <c r="AP42">
        <f>IF(J42="","",IF(手動調整!$I$44&lt;&gt;"",手動調整!$I$44,AK42))</f>
        <v/>
      </c>
      <c r="AQ42">
        <f>IF(AP42="","",IF(手動調整!$J$44&lt;&gt;"",手動調整!$J$44,AM42)*100000+IF(手動調整!$J$44&lt;&gt;"",0,50000)+AK42*10+AM42)</f>
        <v/>
      </c>
      <c r="AR42">
        <f>IF(AP42="","",COUNTIFS($F$2:$F$186,F42,$AP$2:$AP$186,AP42,$AQ$2:$AQ$186,"&lt;"&amp;AQ42)+1)</f>
        <v/>
      </c>
      <c r="AS42">
        <f>IF(AP42="","",F42&amp;AP42&amp;"-"&amp;AR42)</f>
        <v/>
      </c>
      <c r="AT42">
        <f>IF(AP42="",0,AP42)</f>
        <v/>
      </c>
      <c r="BA42" t="n">
        <v>41</v>
      </c>
      <c r="BB42">
        <f>COUNTIFS($F$2:$F$186,"男",$AP$2:$AP$186,BA42)</f>
        <v/>
      </c>
      <c r="BC42">
        <f>COUNTIFS($F$2:$F$186,"男",$AP$2:$AP$186,BA42,$I$2:$I$186,"赤")</f>
        <v/>
      </c>
      <c r="BD42">
        <f>BB42-BC42</f>
        <v/>
      </c>
      <c r="BF42" t="n">
        <v>41</v>
      </c>
      <c r="BG42">
        <f>COUNTIFS($F$2:$F$186,"女",$AP$2:$AP$186,BF42)</f>
        <v/>
      </c>
      <c r="BH42">
        <f>COUNTIFS($F$2:$F$186,"女",$AP$2:$AP$186,BF42,$I$2:$I$186,"赤")</f>
        <v/>
      </c>
      <c r="BI42">
        <f>BG42-BH42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  <c r="AP43">
        <f>IF(J43="","",IF(手動調整!$I$45&lt;&gt;"",手動調整!$I$45,AK43))</f>
        <v/>
      </c>
      <c r="AQ43">
        <f>IF(AP43="","",IF(手動調整!$J$45&lt;&gt;"",手動調整!$J$45,AM43)*100000+IF(手動調整!$J$45&lt;&gt;"",0,50000)+AK43*10+AM43)</f>
        <v/>
      </c>
      <c r="AR43">
        <f>IF(AP43="","",COUNTIFS($F$2:$F$186,F43,$AP$2:$AP$186,AP43,$AQ$2:$AQ$186,"&lt;"&amp;AQ43)+1)</f>
        <v/>
      </c>
      <c r="AS43">
        <f>IF(AP43="","",F43&amp;AP43&amp;"-"&amp;AR43)</f>
        <v/>
      </c>
      <c r="AT43">
        <f>IF(AP43="",0,AP43)</f>
        <v/>
      </c>
      <c r="BA43" t="n">
        <v>42</v>
      </c>
      <c r="BB43">
        <f>COUNTIFS($F$2:$F$186,"男",$AP$2:$AP$186,BA43)</f>
        <v/>
      </c>
      <c r="BC43">
        <f>COUNTIFS($F$2:$F$186,"男",$AP$2:$AP$186,BA43,$I$2:$I$186,"赤")</f>
        <v/>
      </c>
      <c r="BD43">
        <f>BB43-BC43</f>
        <v/>
      </c>
      <c r="BF43" t="n">
        <v>42</v>
      </c>
      <c r="BG43">
        <f>COUNTIFS($F$2:$F$186,"女",$AP$2:$AP$186,BF43)</f>
        <v/>
      </c>
      <c r="BH43">
        <f>COUNTIFS($F$2:$F$186,"女",$AP$2:$AP$186,BF43,$I$2:$I$186,"赤")</f>
        <v/>
      </c>
      <c r="BI43">
        <f>BG43-BH43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  <c r="AP44">
        <f>IF(J44="","",IF(手動調整!$I$46&lt;&gt;"",手動調整!$I$46,AK44))</f>
        <v/>
      </c>
      <c r="AQ44">
        <f>IF(AP44="","",IF(手動調整!$J$46&lt;&gt;"",手動調整!$J$46,AM44)*100000+IF(手動調整!$J$46&lt;&gt;"",0,50000)+AK44*10+AM44)</f>
        <v/>
      </c>
      <c r="AR44">
        <f>IF(AP44="","",COUNTIFS($F$2:$F$186,F44,$AP$2:$AP$186,AP44,$AQ$2:$AQ$186,"&lt;"&amp;AQ44)+1)</f>
        <v/>
      </c>
      <c r="AS44">
        <f>IF(AP44="","",F44&amp;AP44&amp;"-"&amp;AR44)</f>
        <v/>
      </c>
      <c r="AT44">
        <f>IF(AP44="",0,AP44)</f>
        <v/>
      </c>
      <c r="BA44" t="n">
        <v>43</v>
      </c>
      <c r="BB44">
        <f>COUNTIFS($F$2:$F$186,"男",$AP$2:$AP$186,BA44)</f>
        <v/>
      </c>
      <c r="BC44">
        <f>COUNTIFS($F$2:$F$186,"男",$AP$2:$AP$186,BA44,$I$2:$I$186,"赤")</f>
        <v/>
      </c>
      <c r="BD44">
        <f>BB44-BC44</f>
        <v/>
      </c>
      <c r="BF44" t="n">
        <v>43</v>
      </c>
      <c r="BG44">
        <f>COUNTIFS($F$2:$F$186,"女",$AP$2:$AP$186,BF44)</f>
        <v/>
      </c>
      <c r="BH44">
        <f>COUNTIFS($F$2:$F$186,"女",$AP$2:$AP$186,BF44,$I$2:$I$186,"赤")</f>
        <v/>
      </c>
      <c r="BI44">
        <f>BG44-BH44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  <c r="AP45">
        <f>IF(J45="","",IF(手動調整!$I$47&lt;&gt;"",手動調整!$I$47,AK45))</f>
        <v/>
      </c>
      <c r="AQ45">
        <f>IF(AP45="","",IF(手動調整!$J$47&lt;&gt;"",手動調整!$J$47,AM45)*100000+IF(手動調整!$J$47&lt;&gt;"",0,50000)+AK45*10+AM45)</f>
        <v/>
      </c>
      <c r="AR45">
        <f>IF(AP45="","",COUNTIFS($F$2:$F$186,F45,$AP$2:$AP$186,AP45,$AQ$2:$AQ$186,"&lt;"&amp;AQ45)+1)</f>
        <v/>
      </c>
      <c r="AS45">
        <f>IF(AP45="","",F45&amp;AP45&amp;"-"&amp;AR45)</f>
        <v/>
      </c>
      <c r="AT45">
        <f>IF(AP45="",0,AP45)</f>
        <v/>
      </c>
      <c r="BA45" t="n">
        <v>44</v>
      </c>
      <c r="BB45">
        <f>COUNTIFS($F$2:$F$186,"男",$AP$2:$AP$186,BA45)</f>
        <v/>
      </c>
      <c r="BC45">
        <f>COUNTIFS($F$2:$F$186,"男",$AP$2:$AP$186,BA45,$I$2:$I$186,"赤")</f>
        <v/>
      </c>
      <c r="BD45">
        <f>BB45-BC45</f>
        <v/>
      </c>
      <c r="BF45" t="n">
        <v>44</v>
      </c>
      <c r="BG45">
        <f>COUNTIFS($F$2:$F$186,"女",$AP$2:$AP$186,BF45)</f>
        <v/>
      </c>
      <c r="BH45">
        <f>COUNTIFS($F$2:$F$186,"女",$AP$2:$AP$186,BF45,$I$2:$I$186,"赤")</f>
        <v/>
      </c>
      <c r="BI45">
        <f>BG45-BH45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  <c r="AP46">
        <f>IF(J46="","",IF(手動調整!$I$48&lt;&gt;"",手動調整!$I$48,AK46))</f>
        <v/>
      </c>
      <c r="AQ46">
        <f>IF(AP46="","",IF(手動調整!$J$48&lt;&gt;"",手動調整!$J$48,AM46)*100000+IF(手動調整!$J$48&lt;&gt;"",0,50000)+AK46*10+AM46)</f>
        <v/>
      </c>
      <c r="AR46">
        <f>IF(AP46="","",COUNTIFS($F$2:$F$186,F46,$AP$2:$AP$186,AP46,$AQ$2:$AQ$186,"&lt;"&amp;AQ46)+1)</f>
        <v/>
      </c>
      <c r="AS46">
        <f>IF(AP46="","",F46&amp;AP46&amp;"-"&amp;AR46)</f>
        <v/>
      </c>
      <c r="AT46">
        <f>IF(AP46="",0,AP46)</f>
        <v/>
      </c>
      <c r="BA46" t="n">
        <v>45</v>
      </c>
      <c r="BB46">
        <f>COUNTIFS($F$2:$F$186,"男",$AP$2:$AP$186,BA46)</f>
        <v/>
      </c>
      <c r="BC46">
        <f>COUNTIFS($F$2:$F$186,"男",$AP$2:$AP$186,BA46,$I$2:$I$186,"赤")</f>
        <v/>
      </c>
      <c r="BD46">
        <f>BB46-BC46</f>
        <v/>
      </c>
      <c r="BF46" t="n">
        <v>45</v>
      </c>
      <c r="BG46">
        <f>COUNTIFS($F$2:$F$186,"女",$AP$2:$AP$186,BF46)</f>
        <v/>
      </c>
      <c r="BH46">
        <f>COUNTIFS($F$2:$F$186,"女",$AP$2:$AP$186,BF46,$I$2:$I$186,"赤")</f>
        <v/>
      </c>
      <c r="BI46">
        <f>BG46-BH46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  <c r="AP47">
        <f>IF(J47="","",IF(手動調整!$I$49&lt;&gt;"",手動調整!$I$49,AK47))</f>
        <v/>
      </c>
      <c r="AQ47">
        <f>IF(AP47="","",IF(手動調整!$J$49&lt;&gt;"",手動調整!$J$49,AM47)*100000+IF(手動調整!$J$49&lt;&gt;"",0,50000)+AK47*10+AM47)</f>
        <v/>
      </c>
      <c r="AR47">
        <f>IF(AP47="","",COUNTIFS($F$2:$F$186,F47,$AP$2:$AP$186,AP47,$AQ$2:$AQ$186,"&lt;"&amp;AQ47)+1)</f>
        <v/>
      </c>
      <c r="AS47">
        <f>IF(AP47="","",F47&amp;AP47&amp;"-"&amp;AR47)</f>
        <v/>
      </c>
      <c r="AT47">
        <f>IF(AP47="",0,AP47)</f>
        <v/>
      </c>
      <c r="BA47" t="n">
        <v>46</v>
      </c>
      <c r="BB47">
        <f>COUNTIFS($F$2:$F$186,"男",$AP$2:$AP$186,BA47)</f>
        <v/>
      </c>
      <c r="BC47">
        <f>COUNTIFS($F$2:$F$186,"男",$AP$2:$AP$186,BA47,$I$2:$I$186,"赤")</f>
        <v/>
      </c>
      <c r="BD47">
        <f>BB47-BC47</f>
        <v/>
      </c>
      <c r="BF47" t="n">
        <v>46</v>
      </c>
      <c r="BG47">
        <f>COUNTIFS($F$2:$F$186,"女",$AP$2:$AP$186,BF47)</f>
        <v/>
      </c>
      <c r="BH47">
        <f>COUNTIFS($F$2:$F$186,"女",$AP$2:$AP$186,BF47,$I$2:$I$186,"赤")</f>
        <v/>
      </c>
      <c r="BI47">
        <f>BG47-BH47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  <c r="AP48">
        <f>IF(J48="","",IF(手動調整!$I$50&lt;&gt;"",手動調整!$I$50,AK48))</f>
        <v/>
      </c>
      <c r="AQ48">
        <f>IF(AP48="","",IF(手動調整!$J$50&lt;&gt;"",手動調整!$J$50,AM48)*100000+IF(手動調整!$J$50&lt;&gt;"",0,50000)+AK48*10+AM48)</f>
        <v/>
      </c>
      <c r="AR48">
        <f>IF(AP48="","",COUNTIFS($F$2:$F$186,F48,$AP$2:$AP$186,AP48,$AQ$2:$AQ$186,"&lt;"&amp;AQ48)+1)</f>
        <v/>
      </c>
      <c r="AS48">
        <f>IF(AP48="","",F48&amp;AP48&amp;"-"&amp;AR48)</f>
        <v/>
      </c>
      <c r="AT48">
        <f>IF(AP48="",0,AP48)</f>
        <v/>
      </c>
      <c r="BA48" t="n">
        <v>47</v>
      </c>
      <c r="BB48">
        <f>COUNTIFS($F$2:$F$186,"男",$AP$2:$AP$186,BA48)</f>
        <v/>
      </c>
      <c r="BC48">
        <f>COUNTIFS($F$2:$F$186,"男",$AP$2:$AP$186,BA48,$I$2:$I$186,"赤")</f>
        <v/>
      </c>
      <c r="BD48">
        <f>BB48-BC48</f>
        <v/>
      </c>
      <c r="BF48" t="n">
        <v>47</v>
      </c>
      <c r="BG48">
        <f>COUNTIFS($F$2:$F$186,"女",$AP$2:$AP$186,BF48)</f>
        <v/>
      </c>
      <c r="BH48">
        <f>COUNTIFS($F$2:$F$186,"女",$AP$2:$AP$186,BF48,$I$2:$I$186,"赤")</f>
        <v/>
      </c>
      <c r="BI48">
        <f>BG48-BH48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  <c r="AP49">
        <f>IF(J49="","",IF(手動調整!$I$51&lt;&gt;"",手動調整!$I$51,AK49))</f>
        <v/>
      </c>
      <c r="AQ49">
        <f>IF(AP49="","",IF(手動調整!$J$51&lt;&gt;"",手動調整!$J$51,AM49)*100000+IF(手動調整!$J$51&lt;&gt;"",0,50000)+AK49*10+AM49)</f>
        <v/>
      </c>
      <c r="AR49">
        <f>IF(AP49="","",COUNTIFS($F$2:$F$186,F49,$AP$2:$AP$186,AP49,$AQ$2:$AQ$186,"&lt;"&amp;AQ49)+1)</f>
        <v/>
      </c>
      <c r="AS49">
        <f>IF(AP49="","",F49&amp;AP49&amp;"-"&amp;AR49)</f>
        <v/>
      </c>
      <c r="AT49">
        <f>IF(AP49="",0,AP49)</f>
        <v/>
      </c>
      <c r="BA49" t="n">
        <v>48</v>
      </c>
      <c r="BB49">
        <f>COUNTIFS($F$2:$F$186,"男",$AP$2:$AP$186,BA49)</f>
        <v/>
      </c>
      <c r="BC49">
        <f>COUNTIFS($F$2:$F$186,"男",$AP$2:$AP$186,BA49,$I$2:$I$186,"赤")</f>
        <v/>
      </c>
      <c r="BD49">
        <f>BB49-BC49</f>
        <v/>
      </c>
      <c r="BF49" t="n">
        <v>48</v>
      </c>
      <c r="BG49">
        <f>COUNTIFS($F$2:$F$186,"女",$AP$2:$AP$186,BF49)</f>
        <v/>
      </c>
      <c r="BH49">
        <f>COUNTIFS($F$2:$F$186,"女",$AP$2:$AP$186,BF49,$I$2:$I$186,"赤")</f>
        <v/>
      </c>
      <c r="BI49">
        <f>BG49-BH49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  <c r="AP50">
        <f>IF(J50="","",IF(手動調整!$I$52&lt;&gt;"",手動調整!$I$52,AK50))</f>
        <v/>
      </c>
      <c r="AQ50">
        <f>IF(AP50="","",IF(手動調整!$J$52&lt;&gt;"",手動調整!$J$52,AM50)*100000+IF(手動調整!$J$52&lt;&gt;"",0,50000)+AK50*10+AM50)</f>
        <v/>
      </c>
      <c r="AR50">
        <f>IF(AP50="","",COUNTIFS($F$2:$F$186,F50,$AP$2:$AP$186,AP50,$AQ$2:$AQ$186,"&lt;"&amp;AQ50)+1)</f>
        <v/>
      </c>
      <c r="AS50">
        <f>IF(AP50="","",F50&amp;AP50&amp;"-"&amp;AR50)</f>
        <v/>
      </c>
      <c r="AT50">
        <f>IF(AP50="",0,AP50)</f>
        <v/>
      </c>
      <c r="BA50" t="n">
        <v>49</v>
      </c>
      <c r="BB50">
        <f>COUNTIFS($F$2:$F$186,"男",$AP$2:$AP$186,BA50)</f>
        <v/>
      </c>
      <c r="BC50">
        <f>COUNTIFS($F$2:$F$186,"男",$AP$2:$AP$186,BA50,$I$2:$I$186,"赤")</f>
        <v/>
      </c>
      <c r="BD50">
        <f>BB50-BC50</f>
        <v/>
      </c>
      <c r="BF50" t="n">
        <v>49</v>
      </c>
      <c r="BG50">
        <f>COUNTIFS($F$2:$F$186,"女",$AP$2:$AP$186,BF50)</f>
        <v/>
      </c>
      <c r="BH50">
        <f>COUNTIFS($F$2:$F$186,"女",$AP$2:$AP$186,BF50,$I$2:$I$186,"赤")</f>
        <v/>
      </c>
      <c r="BI50">
        <f>BG50-BH50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  <c r="AP51">
        <f>IF(J51="","",IF(手動調整!$I$53&lt;&gt;"",手動調整!$I$53,AK51))</f>
        <v/>
      </c>
      <c r="AQ51">
        <f>IF(AP51="","",IF(手動調整!$J$53&lt;&gt;"",手動調整!$J$53,AM51)*100000+IF(手動調整!$J$53&lt;&gt;"",0,50000)+AK51*10+AM51)</f>
        <v/>
      </c>
      <c r="AR51">
        <f>IF(AP51="","",COUNTIFS($F$2:$F$186,F51,$AP$2:$AP$186,AP51,$AQ$2:$AQ$186,"&lt;"&amp;AQ51)+1)</f>
        <v/>
      </c>
      <c r="AS51">
        <f>IF(AP51="","",F51&amp;AP51&amp;"-"&amp;AR51)</f>
        <v/>
      </c>
      <c r="AT51">
        <f>IF(AP51="",0,AP51)</f>
        <v/>
      </c>
      <c r="BA51" t="n">
        <v>50</v>
      </c>
      <c r="BB51">
        <f>COUNTIFS($F$2:$F$186,"男",$AP$2:$AP$186,BA51)</f>
        <v/>
      </c>
      <c r="BC51">
        <f>COUNTIFS($F$2:$F$186,"男",$AP$2:$AP$186,BA51,$I$2:$I$186,"赤")</f>
        <v/>
      </c>
      <c r="BD51">
        <f>BB51-BC51</f>
        <v/>
      </c>
      <c r="BF51" t="n">
        <v>50</v>
      </c>
      <c r="BG51">
        <f>COUNTIFS($F$2:$F$186,"女",$AP$2:$AP$186,BF51)</f>
        <v/>
      </c>
      <c r="BH51">
        <f>COUNTIFS($F$2:$F$186,"女",$AP$2:$AP$186,BF51,$I$2:$I$186,"赤")</f>
        <v/>
      </c>
      <c r="BI51">
        <f>BG51-BH51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  <c r="AP52">
        <f>IF(J52="","",IF(手動調整!$I$54&lt;&gt;"",手動調整!$I$54,AK52))</f>
        <v/>
      </c>
      <c r="AQ52">
        <f>IF(AP52="","",IF(手動調整!$J$54&lt;&gt;"",手動調整!$J$54,AM52)*100000+IF(手動調整!$J$54&lt;&gt;"",0,50000)+AK52*10+AM52)</f>
        <v/>
      </c>
      <c r="AR52">
        <f>IF(AP52="","",COUNTIFS($F$2:$F$186,F52,$AP$2:$AP$186,AP52,$AQ$2:$AQ$186,"&lt;"&amp;AQ52)+1)</f>
        <v/>
      </c>
      <c r="AS52">
        <f>IF(AP52="","",F52&amp;AP52&amp;"-"&amp;AR52)</f>
        <v/>
      </c>
      <c r="AT52">
        <f>IF(AP52="",0,AP52)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  <c r="AP53">
        <f>IF(J53="","",IF(手動調整!$I$55&lt;&gt;"",手動調整!$I$55,AK53))</f>
        <v/>
      </c>
      <c r="AQ53">
        <f>IF(AP53="","",IF(手動調整!$J$55&lt;&gt;"",手動調整!$J$55,AM53)*100000+IF(手動調整!$J$55&lt;&gt;"",0,50000)+AK53*10+AM53)</f>
        <v/>
      </c>
      <c r="AR53">
        <f>IF(AP53="","",COUNTIFS($F$2:$F$186,F53,$AP$2:$AP$186,AP53,$AQ$2:$AQ$186,"&lt;"&amp;AQ53)+1)</f>
        <v/>
      </c>
      <c r="AS53">
        <f>IF(AP53="","",F53&amp;AP53&amp;"-"&amp;AR53)</f>
        <v/>
      </c>
      <c r="AT53">
        <f>IF(AP53="",0,AP53)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  <c r="AP54">
        <f>IF(J54="","",IF(手動調整!$I$56&lt;&gt;"",手動調整!$I$56,AK54))</f>
        <v/>
      </c>
      <c r="AQ54">
        <f>IF(AP54="","",IF(手動調整!$J$56&lt;&gt;"",手動調整!$J$56,AM54)*100000+IF(手動調整!$J$56&lt;&gt;"",0,50000)+AK54*10+AM54)</f>
        <v/>
      </c>
      <c r="AR54">
        <f>IF(AP54="","",COUNTIFS($F$2:$F$186,F54,$AP$2:$AP$186,AP54,$AQ$2:$AQ$186,"&lt;"&amp;AQ54)+1)</f>
        <v/>
      </c>
      <c r="AS54">
        <f>IF(AP54="","",F54&amp;AP54&amp;"-"&amp;AR54)</f>
        <v/>
      </c>
      <c r="AT54">
        <f>IF(AP54="",0,AP54)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  <c r="AP55">
        <f>IF(J55="","",IF(手動調整!$I$57&lt;&gt;"",手動調整!$I$57,AK55))</f>
        <v/>
      </c>
      <c r="AQ55">
        <f>IF(AP55="","",IF(手動調整!$J$57&lt;&gt;"",手動調整!$J$57,AM55)*100000+IF(手動調整!$J$57&lt;&gt;"",0,50000)+AK55*10+AM55)</f>
        <v/>
      </c>
      <c r="AR55">
        <f>IF(AP55="","",COUNTIFS($F$2:$F$186,F55,$AP$2:$AP$186,AP55,$AQ$2:$AQ$186,"&lt;"&amp;AQ55)+1)</f>
        <v/>
      </c>
      <c r="AS55">
        <f>IF(AP55="","",F55&amp;AP55&amp;"-"&amp;AR55)</f>
        <v/>
      </c>
      <c r="AT55">
        <f>IF(AP55="",0,AP55)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  <c r="AP56">
        <f>IF(J56="","",IF(手動調整!$I$58&lt;&gt;"",手動調整!$I$58,AK56))</f>
        <v/>
      </c>
      <c r="AQ56">
        <f>IF(AP56="","",IF(手動調整!$J$58&lt;&gt;"",手動調整!$J$58,AM56)*100000+IF(手動調整!$J$58&lt;&gt;"",0,50000)+AK56*10+AM56)</f>
        <v/>
      </c>
      <c r="AR56">
        <f>IF(AP56="","",COUNTIFS($F$2:$F$186,F56,$AP$2:$AP$186,AP56,$AQ$2:$AQ$186,"&lt;"&amp;AQ56)+1)</f>
        <v/>
      </c>
      <c r="AS56">
        <f>IF(AP56="","",F56&amp;AP56&amp;"-"&amp;AR56)</f>
        <v/>
      </c>
      <c r="AT56">
        <f>IF(AP56="",0,AP56)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  <c r="AP57">
        <f>IF(J57="","",IF(手動調整!$I$59&lt;&gt;"",手動調整!$I$59,AK57))</f>
        <v/>
      </c>
      <c r="AQ57">
        <f>IF(AP57="","",IF(手動調整!$J$59&lt;&gt;"",手動調整!$J$59,AM57)*100000+IF(手動調整!$J$59&lt;&gt;"",0,50000)+AK57*10+AM57)</f>
        <v/>
      </c>
      <c r="AR57">
        <f>IF(AP57="","",COUNTIFS($F$2:$F$186,F57,$AP$2:$AP$186,AP57,$AQ$2:$AQ$186,"&lt;"&amp;AQ57)+1)</f>
        <v/>
      </c>
      <c r="AS57">
        <f>IF(AP57="","",F57&amp;AP57&amp;"-"&amp;AR57)</f>
        <v/>
      </c>
      <c r="AT57">
        <f>IF(AP57="",0,AP57)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  <c r="AP58">
        <f>IF(J58="","",IF(手動調整!$I$60&lt;&gt;"",手動調整!$I$60,AK58))</f>
        <v/>
      </c>
      <c r="AQ58">
        <f>IF(AP58="","",IF(手動調整!$J$60&lt;&gt;"",手動調整!$J$60,AM58)*100000+IF(手動調整!$J$60&lt;&gt;"",0,50000)+AK58*10+AM58)</f>
        <v/>
      </c>
      <c r="AR58">
        <f>IF(AP58="","",COUNTIFS($F$2:$F$186,F58,$AP$2:$AP$186,AP58,$AQ$2:$AQ$186,"&lt;"&amp;AQ58)+1)</f>
        <v/>
      </c>
      <c r="AS58">
        <f>IF(AP58="","",F58&amp;AP58&amp;"-"&amp;AR58)</f>
        <v/>
      </c>
      <c r="AT58">
        <f>IF(AP58="",0,AP58)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  <c r="AP59">
        <f>IF(J59="","",IF(手動調整!$I$61&lt;&gt;"",手動調整!$I$61,AK59))</f>
        <v/>
      </c>
      <c r="AQ59">
        <f>IF(AP59="","",IF(手動調整!$J$61&lt;&gt;"",手動調整!$J$61,AM59)*100000+IF(手動調整!$J$61&lt;&gt;"",0,50000)+AK59*10+AM59)</f>
        <v/>
      </c>
      <c r="AR59">
        <f>IF(AP59="","",COUNTIFS($F$2:$F$186,F59,$AP$2:$AP$186,AP59,$AQ$2:$AQ$186,"&lt;"&amp;AQ59)+1)</f>
        <v/>
      </c>
      <c r="AS59">
        <f>IF(AP59="","",F59&amp;AP59&amp;"-"&amp;AR59)</f>
        <v/>
      </c>
      <c r="AT59">
        <f>IF(AP59="",0,AP59)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  <c r="AP60">
        <f>IF(J60="","",IF(手動調整!$I$62&lt;&gt;"",手動調整!$I$62,AK60))</f>
        <v/>
      </c>
      <c r="AQ60">
        <f>IF(AP60="","",IF(手動調整!$J$62&lt;&gt;"",手動調整!$J$62,AM60)*100000+IF(手動調整!$J$62&lt;&gt;"",0,50000)+AK60*10+AM60)</f>
        <v/>
      </c>
      <c r="AR60">
        <f>IF(AP60="","",COUNTIFS($F$2:$F$186,F60,$AP$2:$AP$186,AP60,$AQ$2:$AQ$186,"&lt;"&amp;AQ60)+1)</f>
        <v/>
      </c>
      <c r="AS60">
        <f>IF(AP60="","",F60&amp;AP60&amp;"-"&amp;AR60)</f>
        <v/>
      </c>
      <c r="AT60">
        <f>IF(AP60="",0,AP60)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  <c r="AP61">
        <f>IF(J61="","",IF(手動調整!$I$63&lt;&gt;"",手動調整!$I$63,AK61))</f>
        <v/>
      </c>
      <c r="AQ61">
        <f>IF(AP61="","",IF(手動調整!$J$63&lt;&gt;"",手動調整!$J$63,AM61)*100000+IF(手動調整!$J$63&lt;&gt;"",0,50000)+AK61*10+AM61)</f>
        <v/>
      </c>
      <c r="AR61">
        <f>IF(AP61="","",COUNTIFS($F$2:$F$186,F61,$AP$2:$AP$186,AP61,$AQ$2:$AQ$186,"&lt;"&amp;AQ61)+1)</f>
        <v/>
      </c>
      <c r="AS61">
        <f>IF(AP61="","",F61&amp;AP61&amp;"-"&amp;AR61)</f>
        <v/>
      </c>
      <c r="AT61">
        <f>IF(AP61="",0,AP61)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  <c r="AP62">
        <f>IF(J62="","",IF(手動調整!$I$64&lt;&gt;"",手動調整!$I$64,AK62))</f>
        <v/>
      </c>
      <c r="AQ62">
        <f>IF(AP62="","",IF(手動調整!$J$64&lt;&gt;"",手動調整!$J$64,AM62)*100000+IF(手動調整!$J$64&lt;&gt;"",0,50000)+AK62*10+AM62)</f>
        <v/>
      </c>
      <c r="AR62">
        <f>IF(AP62="","",COUNTIFS($F$2:$F$186,F62,$AP$2:$AP$186,AP62,$AQ$2:$AQ$186,"&lt;"&amp;AQ62)+1)</f>
        <v/>
      </c>
      <c r="AS62">
        <f>IF(AP62="","",F62&amp;AP62&amp;"-"&amp;AR62)</f>
        <v/>
      </c>
      <c r="AT62">
        <f>IF(AP62="",0,AP62)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  <c r="AP63">
        <f>IF(J63="","",IF(手動調整!$I$65&lt;&gt;"",手動調整!$I$65,AK63))</f>
        <v/>
      </c>
      <c r="AQ63">
        <f>IF(AP63="","",IF(手動調整!$J$65&lt;&gt;"",手動調整!$J$65,AM63)*100000+IF(手動調整!$J$65&lt;&gt;"",0,50000)+AK63*10+AM63)</f>
        <v/>
      </c>
      <c r="AR63">
        <f>IF(AP63="","",COUNTIFS($F$2:$F$186,F63,$AP$2:$AP$186,AP63,$AQ$2:$AQ$186,"&lt;"&amp;AQ63)+1)</f>
        <v/>
      </c>
      <c r="AS63">
        <f>IF(AP63="","",F63&amp;AP63&amp;"-"&amp;AR63)</f>
        <v/>
      </c>
      <c r="AT63">
        <f>IF(AP63="",0,AP63)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  <c r="AP64">
        <f>IF(J64="","",IF(手動調整!$I$66&lt;&gt;"",手動調整!$I$66,AK64))</f>
        <v/>
      </c>
      <c r="AQ64">
        <f>IF(AP64="","",IF(手動調整!$J$66&lt;&gt;"",手動調整!$J$66,AM64)*100000+IF(手動調整!$J$66&lt;&gt;"",0,50000)+AK64*10+AM64)</f>
        <v/>
      </c>
      <c r="AR64">
        <f>IF(AP64="","",COUNTIFS($F$2:$F$186,F64,$AP$2:$AP$186,AP64,$AQ$2:$AQ$186,"&lt;"&amp;AQ64)+1)</f>
        <v/>
      </c>
      <c r="AS64">
        <f>IF(AP64="","",F64&amp;AP64&amp;"-"&amp;AR64)</f>
        <v/>
      </c>
      <c r="AT64">
        <f>IF(AP64="",0,AP64)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  <c r="AP65">
        <f>IF(J65="","",IF(手動調整!$I$67&lt;&gt;"",手動調整!$I$67,AK65))</f>
        <v/>
      </c>
      <c r="AQ65">
        <f>IF(AP65="","",IF(手動調整!$J$67&lt;&gt;"",手動調整!$J$67,AM65)*100000+IF(手動調整!$J$67&lt;&gt;"",0,50000)+AK65*10+AM65)</f>
        <v/>
      </c>
      <c r="AR65">
        <f>IF(AP65="","",COUNTIFS($F$2:$F$186,F65,$AP$2:$AP$186,AP65,$AQ$2:$AQ$186,"&lt;"&amp;AQ65)+1)</f>
        <v/>
      </c>
      <c r="AS65">
        <f>IF(AP65="","",F65&amp;AP65&amp;"-"&amp;AR65)</f>
        <v/>
      </c>
      <c r="AT65">
        <f>IF(AP65="",0,AP65)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  <c r="AP66">
        <f>IF(J66="","",IF(手動調整!$I$68&lt;&gt;"",手動調整!$I$68,AK66))</f>
        <v/>
      </c>
      <c r="AQ66">
        <f>IF(AP66="","",IF(手動調整!$J$68&lt;&gt;"",手動調整!$J$68,AM66)*100000+IF(手動調整!$J$68&lt;&gt;"",0,50000)+AK66*10+AM66)</f>
        <v/>
      </c>
      <c r="AR66">
        <f>IF(AP66="","",COUNTIFS($F$2:$F$186,F66,$AP$2:$AP$186,AP66,$AQ$2:$AQ$186,"&lt;"&amp;AQ66)+1)</f>
        <v/>
      </c>
      <c r="AS66">
        <f>IF(AP66="","",F66&amp;AP66&amp;"-"&amp;AR66)</f>
        <v/>
      </c>
      <c r="AT66">
        <f>IF(AP66="",0,AP66)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  <c r="AP67">
        <f>IF(J67="","",IF(手動調整!$I$69&lt;&gt;"",手動調整!$I$69,AK67))</f>
        <v/>
      </c>
      <c r="AQ67">
        <f>IF(AP67="","",IF(手動調整!$J$69&lt;&gt;"",手動調整!$J$69,AM67)*100000+IF(手動調整!$J$69&lt;&gt;"",0,50000)+AK67*10+AM67)</f>
        <v/>
      </c>
      <c r="AR67">
        <f>IF(AP67="","",COUNTIFS($F$2:$F$186,F67,$AP$2:$AP$186,AP67,$AQ$2:$AQ$186,"&lt;"&amp;AQ67)+1)</f>
        <v/>
      </c>
      <c r="AS67">
        <f>IF(AP67="","",F67&amp;AP67&amp;"-"&amp;AR67)</f>
        <v/>
      </c>
      <c r="AT67">
        <f>IF(AP67="",0,AP67)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  <c r="AP68">
        <f>IF(J68="","",IF(手動調整!$I$70&lt;&gt;"",手動調整!$I$70,AK68))</f>
        <v/>
      </c>
      <c r="AQ68">
        <f>IF(AP68="","",IF(手動調整!$J$70&lt;&gt;"",手動調整!$J$70,AM68)*100000+IF(手動調整!$J$70&lt;&gt;"",0,50000)+AK68*10+AM68)</f>
        <v/>
      </c>
      <c r="AR68">
        <f>IF(AP68="","",COUNTIFS($F$2:$F$186,F68,$AP$2:$AP$186,AP68,$AQ$2:$AQ$186,"&lt;"&amp;AQ68)+1)</f>
        <v/>
      </c>
      <c r="AS68">
        <f>IF(AP68="","",F68&amp;AP68&amp;"-"&amp;AR68)</f>
        <v/>
      </c>
      <c r="AT68">
        <f>IF(AP68="",0,AP68)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  <c r="AP69">
        <f>IF(J69="","",IF(手動調整!$I$71&lt;&gt;"",手動調整!$I$71,AK69))</f>
        <v/>
      </c>
      <c r="AQ69">
        <f>IF(AP69="","",IF(手動調整!$J$71&lt;&gt;"",手動調整!$J$71,AM69)*100000+IF(手動調整!$J$71&lt;&gt;"",0,50000)+AK69*10+AM69)</f>
        <v/>
      </c>
      <c r="AR69">
        <f>IF(AP69="","",COUNTIFS($F$2:$F$186,F69,$AP$2:$AP$186,AP69,$AQ$2:$AQ$186,"&lt;"&amp;AQ69)+1)</f>
        <v/>
      </c>
      <c r="AS69">
        <f>IF(AP69="","",F69&amp;AP69&amp;"-"&amp;AR69)</f>
        <v/>
      </c>
      <c r="AT69">
        <f>IF(AP69="",0,AP69)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  <c r="AP70">
        <f>IF(J70="","",IF(手動調整!$I$72&lt;&gt;"",手動調整!$I$72,AK70))</f>
        <v/>
      </c>
      <c r="AQ70">
        <f>IF(AP70="","",IF(手動調整!$J$72&lt;&gt;"",手動調整!$J$72,AM70)*100000+IF(手動調整!$J$72&lt;&gt;"",0,50000)+AK70*10+AM70)</f>
        <v/>
      </c>
      <c r="AR70">
        <f>IF(AP70="","",COUNTIFS($F$2:$F$186,F70,$AP$2:$AP$186,AP70,$AQ$2:$AQ$186,"&lt;"&amp;AQ70)+1)</f>
        <v/>
      </c>
      <c r="AS70">
        <f>IF(AP70="","",F70&amp;AP70&amp;"-"&amp;AR70)</f>
        <v/>
      </c>
      <c r="AT70">
        <f>IF(AP70="",0,AP70)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  <c r="AP71">
        <f>IF(J71="","",IF(手動調整!$I$73&lt;&gt;"",手動調整!$I$73,AK71))</f>
        <v/>
      </c>
      <c r="AQ71">
        <f>IF(AP71="","",IF(手動調整!$J$73&lt;&gt;"",手動調整!$J$73,AM71)*100000+IF(手動調整!$J$73&lt;&gt;"",0,50000)+AK71*10+AM71)</f>
        <v/>
      </c>
      <c r="AR71">
        <f>IF(AP71="","",COUNTIFS($F$2:$F$186,F71,$AP$2:$AP$186,AP71,$AQ$2:$AQ$186,"&lt;"&amp;AQ71)+1)</f>
        <v/>
      </c>
      <c r="AS71">
        <f>IF(AP71="","",F71&amp;AP71&amp;"-"&amp;AR71)</f>
        <v/>
      </c>
      <c r="AT71">
        <f>IF(AP71="",0,AP71)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  <c r="AP72">
        <f>IF(J72="","",IF(手動調整!$I$74&lt;&gt;"",手動調整!$I$74,AK72))</f>
        <v/>
      </c>
      <c r="AQ72">
        <f>IF(AP72="","",IF(手動調整!$J$74&lt;&gt;"",手動調整!$J$74,AM72)*100000+IF(手動調整!$J$74&lt;&gt;"",0,50000)+AK72*10+AM72)</f>
        <v/>
      </c>
      <c r="AR72">
        <f>IF(AP72="","",COUNTIFS($F$2:$F$186,F72,$AP$2:$AP$186,AP72,$AQ$2:$AQ$186,"&lt;"&amp;AQ72)+1)</f>
        <v/>
      </c>
      <c r="AS72">
        <f>IF(AP72="","",F72&amp;AP72&amp;"-"&amp;AR72)</f>
        <v/>
      </c>
      <c r="AT72">
        <f>IF(AP72="",0,AP72)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  <c r="AP73">
        <f>IF(J73="","",IF(手動調整!$I$75&lt;&gt;"",手動調整!$I$75,AK73))</f>
        <v/>
      </c>
      <c r="AQ73">
        <f>IF(AP73="","",IF(手動調整!$J$75&lt;&gt;"",手動調整!$J$75,AM73)*100000+IF(手動調整!$J$75&lt;&gt;"",0,50000)+AK73*10+AM73)</f>
        <v/>
      </c>
      <c r="AR73">
        <f>IF(AP73="","",COUNTIFS($F$2:$F$186,F73,$AP$2:$AP$186,AP73,$AQ$2:$AQ$186,"&lt;"&amp;AQ73)+1)</f>
        <v/>
      </c>
      <c r="AS73">
        <f>IF(AP73="","",F73&amp;AP73&amp;"-"&amp;AR73)</f>
        <v/>
      </c>
      <c r="AT73">
        <f>IF(AP73="",0,AP73)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  <c r="AP74">
        <f>IF(J74="","",IF(手動調整!$I$76&lt;&gt;"",手動調整!$I$76,AK74))</f>
        <v/>
      </c>
      <c r="AQ74">
        <f>IF(AP74="","",IF(手動調整!$J$76&lt;&gt;"",手動調整!$J$76,AM74)*100000+IF(手動調整!$J$76&lt;&gt;"",0,50000)+AK74*10+AM74)</f>
        <v/>
      </c>
      <c r="AR74">
        <f>IF(AP74="","",COUNTIFS($F$2:$F$186,F74,$AP$2:$AP$186,AP74,$AQ$2:$AQ$186,"&lt;"&amp;AQ74)+1)</f>
        <v/>
      </c>
      <c r="AS74">
        <f>IF(AP74="","",F74&amp;AP74&amp;"-"&amp;AR74)</f>
        <v/>
      </c>
      <c r="AT74">
        <f>IF(AP74="",0,AP74)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  <c r="AP75">
        <f>IF(J75="","",IF(手動調整!$I$77&lt;&gt;"",手動調整!$I$77,AK75))</f>
        <v/>
      </c>
      <c r="AQ75">
        <f>IF(AP75="","",IF(手動調整!$J$77&lt;&gt;"",手動調整!$J$77,AM75)*100000+IF(手動調整!$J$77&lt;&gt;"",0,50000)+AK75*10+AM75)</f>
        <v/>
      </c>
      <c r="AR75">
        <f>IF(AP75="","",COUNTIFS($F$2:$F$186,F75,$AP$2:$AP$186,AP75,$AQ$2:$AQ$186,"&lt;"&amp;AQ75)+1)</f>
        <v/>
      </c>
      <c r="AS75">
        <f>IF(AP75="","",F75&amp;AP75&amp;"-"&amp;AR75)</f>
        <v/>
      </c>
      <c r="AT75">
        <f>IF(AP75="",0,AP75)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  <c r="AP76">
        <f>IF(J76="","",IF(手動調整!$I$78&lt;&gt;"",手動調整!$I$78,AK76))</f>
        <v/>
      </c>
      <c r="AQ76">
        <f>IF(AP76="","",IF(手動調整!$J$78&lt;&gt;"",手動調整!$J$78,AM76)*100000+IF(手動調整!$J$78&lt;&gt;"",0,50000)+AK76*10+AM76)</f>
        <v/>
      </c>
      <c r="AR76">
        <f>IF(AP76="","",COUNTIFS($F$2:$F$186,F76,$AP$2:$AP$186,AP76,$AQ$2:$AQ$186,"&lt;"&amp;AQ76)+1)</f>
        <v/>
      </c>
      <c r="AS76">
        <f>IF(AP76="","",F76&amp;AP76&amp;"-"&amp;AR76)</f>
        <v/>
      </c>
      <c r="AT76">
        <f>IF(AP76="",0,AP76)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  <c r="AP77">
        <f>IF(J77="","",IF(手動調整!$I$79&lt;&gt;"",手動調整!$I$79,AK77))</f>
        <v/>
      </c>
      <c r="AQ77">
        <f>IF(AP77="","",IF(手動調整!$J$79&lt;&gt;"",手動調整!$J$79,AM77)*100000+IF(手動調整!$J$79&lt;&gt;"",0,50000)+AK77*10+AM77)</f>
        <v/>
      </c>
      <c r="AR77">
        <f>IF(AP77="","",COUNTIFS($F$2:$F$186,F77,$AP$2:$AP$186,AP77,$AQ$2:$AQ$186,"&lt;"&amp;AQ77)+1)</f>
        <v/>
      </c>
      <c r="AS77">
        <f>IF(AP77="","",F77&amp;AP77&amp;"-"&amp;AR77)</f>
        <v/>
      </c>
      <c r="AT77">
        <f>IF(AP77="",0,AP77)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  <c r="AP78">
        <f>IF(J78="","",IF(手動調整!$I$80&lt;&gt;"",手動調整!$I$80,AK78))</f>
        <v/>
      </c>
      <c r="AQ78">
        <f>IF(AP78="","",IF(手動調整!$J$80&lt;&gt;"",手動調整!$J$80,AM78)*100000+IF(手動調整!$J$80&lt;&gt;"",0,50000)+AK78*10+AM78)</f>
        <v/>
      </c>
      <c r="AR78">
        <f>IF(AP78="","",COUNTIFS($F$2:$F$186,F78,$AP$2:$AP$186,AP78,$AQ$2:$AQ$186,"&lt;"&amp;AQ78)+1)</f>
        <v/>
      </c>
      <c r="AS78">
        <f>IF(AP78="","",F78&amp;AP78&amp;"-"&amp;AR78)</f>
        <v/>
      </c>
      <c r="AT78">
        <f>IF(AP78="",0,AP78)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  <c r="AP79">
        <f>IF(J79="","",IF(手動調整!$I$81&lt;&gt;"",手動調整!$I$81,AK79))</f>
        <v/>
      </c>
      <c r="AQ79">
        <f>IF(AP79="","",IF(手動調整!$J$81&lt;&gt;"",手動調整!$J$81,AM79)*100000+IF(手動調整!$J$81&lt;&gt;"",0,50000)+AK79*10+AM79)</f>
        <v/>
      </c>
      <c r="AR79">
        <f>IF(AP79="","",COUNTIFS($F$2:$F$186,F79,$AP$2:$AP$186,AP79,$AQ$2:$AQ$186,"&lt;"&amp;AQ79)+1)</f>
        <v/>
      </c>
      <c r="AS79">
        <f>IF(AP79="","",F79&amp;AP79&amp;"-"&amp;AR79)</f>
        <v/>
      </c>
      <c r="AT79">
        <f>IF(AP79="",0,AP79)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  <c r="AP80">
        <f>IF(J80="","",IF(手動調整!$I$82&lt;&gt;"",手動調整!$I$82,AK80))</f>
        <v/>
      </c>
      <c r="AQ80">
        <f>IF(AP80="","",IF(手動調整!$J$82&lt;&gt;"",手動調整!$J$82,AM80)*100000+IF(手動調整!$J$82&lt;&gt;"",0,50000)+AK80*10+AM80)</f>
        <v/>
      </c>
      <c r="AR80">
        <f>IF(AP80="","",COUNTIFS($F$2:$F$186,F80,$AP$2:$AP$186,AP80,$AQ$2:$AQ$186,"&lt;"&amp;AQ80)+1)</f>
        <v/>
      </c>
      <c r="AS80">
        <f>IF(AP80="","",F80&amp;AP80&amp;"-"&amp;AR80)</f>
        <v/>
      </c>
      <c r="AT80">
        <f>IF(AP80="",0,AP80)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  <c r="AP81">
        <f>IF(J81="","",IF(手動調整!$I$83&lt;&gt;"",手動調整!$I$83,AK81))</f>
        <v/>
      </c>
      <c r="AQ81">
        <f>IF(AP81="","",IF(手動調整!$J$83&lt;&gt;"",手動調整!$J$83,AM81)*100000+IF(手動調整!$J$83&lt;&gt;"",0,50000)+AK81*10+AM81)</f>
        <v/>
      </c>
      <c r="AR81">
        <f>IF(AP81="","",COUNTIFS($F$2:$F$186,F81,$AP$2:$AP$186,AP81,$AQ$2:$AQ$186,"&lt;"&amp;AQ81)+1)</f>
        <v/>
      </c>
      <c r="AS81">
        <f>IF(AP81="","",F81&amp;AP81&amp;"-"&amp;AR81)</f>
        <v/>
      </c>
      <c r="AT81">
        <f>IF(AP81="",0,AP81)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  <c r="AP82">
        <f>IF(J82="","",IF(手動調整!$I$84&lt;&gt;"",手動調整!$I$84,AK82))</f>
        <v/>
      </c>
      <c r="AQ82">
        <f>IF(AP82="","",IF(手動調整!$J$84&lt;&gt;"",手動調整!$J$84,AM82)*100000+IF(手動調整!$J$84&lt;&gt;"",0,50000)+AK82*10+AM82)</f>
        <v/>
      </c>
      <c r="AR82">
        <f>IF(AP82="","",COUNTIFS($F$2:$F$186,F82,$AP$2:$AP$186,AP82,$AQ$2:$AQ$186,"&lt;"&amp;AQ82)+1)</f>
        <v/>
      </c>
      <c r="AS82">
        <f>IF(AP82="","",F82&amp;AP82&amp;"-"&amp;AR82)</f>
        <v/>
      </c>
      <c r="AT82">
        <f>IF(AP82="",0,AP82)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  <c r="AP83">
        <f>IF(J83="","",IF(手動調整!$I$85&lt;&gt;"",手動調整!$I$85,AK83))</f>
        <v/>
      </c>
      <c r="AQ83">
        <f>IF(AP83="","",IF(手動調整!$J$85&lt;&gt;"",手動調整!$J$85,AM83)*100000+IF(手動調整!$J$85&lt;&gt;"",0,50000)+AK83*10+AM83)</f>
        <v/>
      </c>
      <c r="AR83">
        <f>IF(AP83="","",COUNTIFS($F$2:$F$186,F83,$AP$2:$AP$186,AP83,$AQ$2:$AQ$186,"&lt;"&amp;AQ83)+1)</f>
        <v/>
      </c>
      <c r="AS83">
        <f>IF(AP83="","",F83&amp;AP83&amp;"-"&amp;AR83)</f>
        <v/>
      </c>
      <c r="AT83">
        <f>IF(AP83="",0,AP83)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  <c r="AP84">
        <f>IF(J84="","",IF(手動調整!$I$86&lt;&gt;"",手動調整!$I$86,AK84))</f>
        <v/>
      </c>
      <c r="AQ84">
        <f>IF(AP84="","",IF(手動調整!$J$86&lt;&gt;"",手動調整!$J$86,AM84)*100000+IF(手動調整!$J$86&lt;&gt;"",0,50000)+AK84*10+AM84)</f>
        <v/>
      </c>
      <c r="AR84">
        <f>IF(AP84="","",COUNTIFS($F$2:$F$186,F84,$AP$2:$AP$186,AP84,$AQ$2:$AQ$186,"&lt;"&amp;AQ84)+1)</f>
        <v/>
      </c>
      <c r="AS84">
        <f>IF(AP84="","",F84&amp;AP84&amp;"-"&amp;AR84)</f>
        <v/>
      </c>
      <c r="AT84">
        <f>IF(AP84="",0,AP84)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  <c r="AP85">
        <f>IF(J85="","",IF(手動調整!$I$87&lt;&gt;"",手動調整!$I$87,AK85))</f>
        <v/>
      </c>
      <c r="AQ85">
        <f>IF(AP85="","",IF(手動調整!$J$87&lt;&gt;"",手動調整!$J$87,AM85)*100000+IF(手動調整!$J$87&lt;&gt;"",0,50000)+AK85*10+AM85)</f>
        <v/>
      </c>
      <c r="AR85">
        <f>IF(AP85="","",COUNTIFS($F$2:$F$186,F85,$AP$2:$AP$186,AP85,$AQ$2:$AQ$186,"&lt;"&amp;AQ85)+1)</f>
        <v/>
      </c>
      <c r="AS85">
        <f>IF(AP85="","",F85&amp;AP85&amp;"-"&amp;AR85)</f>
        <v/>
      </c>
      <c r="AT85">
        <f>IF(AP85="",0,AP85)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  <c r="AP86">
        <f>IF(J86="","",IF(手動調整!$I$88&lt;&gt;"",手動調整!$I$88,AK86))</f>
        <v/>
      </c>
      <c r="AQ86">
        <f>IF(AP86="","",IF(手動調整!$J$88&lt;&gt;"",手動調整!$J$88,AM86)*100000+IF(手動調整!$J$88&lt;&gt;"",0,50000)+AK86*10+AM86)</f>
        <v/>
      </c>
      <c r="AR86">
        <f>IF(AP86="","",COUNTIFS($F$2:$F$186,F86,$AP$2:$AP$186,AP86,$AQ$2:$AQ$186,"&lt;"&amp;AQ86)+1)</f>
        <v/>
      </c>
      <c r="AS86">
        <f>IF(AP86="","",F86&amp;AP86&amp;"-"&amp;AR86)</f>
        <v/>
      </c>
      <c r="AT86">
        <f>IF(AP86="",0,AP86)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  <c r="AP87">
        <f>IF(J87="","",IF(手動調整!$I$89&lt;&gt;"",手動調整!$I$89,AK87))</f>
        <v/>
      </c>
      <c r="AQ87">
        <f>IF(AP87="","",IF(手動調整!$J$89&lt;&gt;"",手動調整!$J$89,AM87)*100000+IF(手動調整!$J$89&lt;&gt;"",0,50000)+AK87*10+AM87)</f>
        <v/>
      </c>
      <c r="AR87">
        <f>IF(AP87="","",COUNTIFS($F$2:$F$186,F87,$AP$2:$AP$186,AP87,$AQ$2:$AQ$186,"&lt;"&amp;AQ87)+1)</f>
        <v/>
      </c>
      <c r="AS87">
        <f>IF(AP87="","",F87&amp;AP87&amp;"-"&amp;AR87)</f>
        <v/>
      </c>
      <c r="AT87">
        <f>IF(AP87="",0,AP87)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  <c r="AP88">
        <f>IF(J88="","",IF(手動調整!$I$90&lt;&gt;"",手動調整!$I$90,AK88))</f>
        <v/>
      </c>
      <c r="AQ88">
        <f>IF(AP88="","",IF(手動調整!$J$90&lt;&gt;"",手動調整!$J$90,AM88)*100000+IF(手動調整!$J$90&lt;&gt;"",0,50000)+AK88*10+AM88)</f>
        <v/>
      </c>
      <c r="AR88">
        <f>IF(AP88="","",COUNTIFS($F$2:$F$186,F88,$AP$2:$AP$186,AP88,$AQ$2:$AQ$186,"&lt;"&amp;AQ88)+1)</f>
        <v/>
      </c>
      <c r="AS88">
        <f>IF(AP88="","",F88&amp;AP88&amp;"-"&amp;AR88)</f>
        <v/>
      </c>
      <c r="AT88">
        <f>IF(AP88="",0,AP88)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  <c r="AP89">
        <f>IF(J89="","",IF(手動調整!$I$91&lt;&gt;"",手動調整!$I$91,AK89))</f>
        <v/>
      </c>
      <c r="AQ89">
        <f>IF(AP89="","",IF(手動調整!$J$91&lt;&gt;"",手動調整!$J$91,AM89)*100000+IF(手動調整!$J$91&lt;&gt;"",0,50000)+AK89*10+AM89)</f>
        <v/>
      </c>
      <c r="AR89">
        <f>IF(AP89="","",COUNTIFS($F$2:$F$186,F89,$AP$2:$AP$186,AP89,$AQ$2:$AQ$186,"&lt;"&amp;AQ89)+1)</f>
        <v/>
      </c>
      <c r="AS89">
        <f>IF(AP89="","",F89&amp;AP89&amp;"-"&amp;AR89)</f>
        <v/>
      </c>
      <c r="AT89">
        <f>IF(AP89="",0,AP89)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  <c r="AP90">
        <f>IF(J90="","",IF(手動調整!$I$92&lt;&gt;"",手動調整!$I$92,AK90))</f>
        <v/>
      </c>
      <c r="AQ90">
        <f>IF(AP90="","",IF(手動調整!$J$92&lt;&gt;"",手動調整!$J$92,AM90)*100000+IF(手動調整!$J$92&lt;&gt;"",0,50000)+AK90*10+AM90)</f>
        <v/>
      </c>
      <c r="AR90">
        <f>IF(AP90="","",COUNTIFS($F$2:$F$186,F90,$AP$2:$AP$186,AP90,$AQ$2:$AQ$186,"&lt;"&amp;AQ90)+1)</f>
        <v/>
      </c>
      <c r="AS90">
        <f>IF(AP90="","",F90&amp;AP90&amp;"-"&amp;AR90)</f>
        <v/>
      </c>
      <c r="AT90">
        <f>IF(AP90="",0,AP90)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  <c r="AP91">
        <f>IF(J91="","",IF(手動調整!$I$93&lt;&gt;"",手動調整!$I$93,AK91))</f>
        <v/>
      </c>
      <c r="AQ91">
        <f>IF(AP91="","",IF(手動調整!$J$93&lt;&gt;"",手動調整!$J$93,AM91)*100000+IF(手動調整!$J$93&lt;&gt;"",0,50000)+AK91*10+AM91)</f>
        <v/>
      </c>
      <c r="AR91">
        <f>IF(AP91="","",COUNTIFS($F$2:$F$186,F91,$AP$2:$AP$186,AP91,$AQ$2:$AQ$186,"&lt;"&amp;AQ91)+1)</f>
        <v/>
      </c>
      <c r="AS91">
        <f>IF(AP91="","",F91&amp;AP91&amp;"-"&amp;AR91)</f>
        <v/>
      </c>
      <c r="AT91">
        <f>IF(AP91="",0,AP91)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  <c r="AP92">
        <f>IF(J92="","",IF(手動調整!$I$94&lt;&gt;"",手動調整!$I$94,AK92))</f>
        <v/>
      </c>
      <c r="AQ92">
        <f>IF(AP92="","",IF(手動調整!$J$94&lt;&gt;"",手動調整!$J$94,AM92)*100000+IF(手動調整!$J$94&lt;&gt;"",0,50000)+AK92*10+AM92)</f>
        <v/>
      </c>
      <c r="AR92">
        <f>IF(AP92="","",COUNTIFS($F$2:$F$186,F92,$AP$2:$AP$186,AP92,$AQ$2:$AQ$186,"&lt;"&amp;AQ92)+1)</f>
        <v/>
      </c>
      <c r="AS92">
        <f>IF(AP92="","",F92&amp;AP92&amp;"-"&amp;AR92)</f>
        <v/>
      </c>
      <c r="AT92">
        <f>IF(AP92="",0,AP92)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  <c r="AP93">
        <f>IF(J93="","",IF(手動調整!$I$95&lt;&gt;"",手動調整!$I$95,AK93))</f>
        <v/>
      </c>
      <c r="AQ93">
        <f>IF(AP93="","",IF(手動調整!$J$95&lt;&gt;"",手動調整!$J$95,AM93)*100000+IF(手動調整!$J$95&lt;&gt;"",0,50000)+AK93*10+AM93)</f>
        <v/>
      </c>
      <c r="AR93">
        <f>IF(AP93="","",COUNTIFS($F$2:$F$186,F93,$AP$2:$AP$186,AP93,$AQ$2:$AQ$186,"&lt;"&amp;AQ93)+1)</f>
        <v/>
      </c>
      <c r="AS93">
        <f>IF(AP93="","",F93&amp;AP93&amp;"-"&amp;AR93)</f>
        <v/>
      </c>
      <c r="AT93">
        <f>IF(AP93="",0,AP93)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  <c r="AP94">
        <f>IF(J94="","",IF(手動調整!$I$96&lt;&gt;"",手動調整!$I$96,AK94))</f>
        <v/>
      </c>
      <c r="AQ94">
        <f>IF(AP94="","",IF(手動調整!$J$96&lt;&gt;"",手動調整!$J$96,AM94)*100000+IF(手動調整!$J$96&lt;&gt;"",0,50000)+AK94*10+AM94)</f>
        <v/>
      </c>
      <c r="AR94">
        <f>IF(AP94="","",COUNTIFS($F$2:$F$186,F94,$AP$2:$AP$186,AP94,$AQ$2:$AQ$186,"&lt;"&amp;AQ94)+1)</f>
        <v/>
      </c>
      <c r="AS94">
        <f>IF(AP94="","",F94&amp;AP94&amp;"-"&amp;AR94)</f>
        <v/>
      </c>
      <c r="AT94">
        <f>IF(AP94="",0,AP94)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  <c r="AP95">
        <f>IF(J95="","",IF(手動調整!$I$97&lt;&gt;"",手動調整!$I$97,AK95))</f>
        <v/>
      </c>
      <c r="AQ95">
        <f>IF(AP95="","",IF(手動調整!$J$97&lt;&gt;"",手動調整!$J$97,AM95)*100000+IF(手動調整!$J$97&lt;&gt;"",0,50000)+AK95*10+AM95)</f>
        <v/>
      </c>
      <c r="AR95">
        <f>IF(AP95="","",COUNTIFS($F$2:$F$186,F95,$AP$2:$AP$186,AP95,$AQ$2:$AQ$186,"&lt;"&amp;AQ95)+1)</f>
        <v/>
      </c>
      <c r="AS95">
        <f>IF(AP95="","",F95&amp;AP95&amp;"-"&amp;AR95)</f>
        <v/>
      </c>
      <c r="AT95">
        <f>IF(AP95="",0,AP95)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  <c r="AP96">
        <f>IF(J96="","",IF(手動調整!$I$98&lt;&gt;"",手動調整!$I$98,AK96))</f>
        <v/>
      </c>
      <c r="AQ96">
        <f>IF(AP96="","",IF(手動調整!$J$98&lt;&gt;"",手動調整!$J$98,AM96)*100000+IF(手動調整!$J$98&lt;&gt;"",0,50000)+AK96*10+AM96)</f>
        <v/>
      </c>
      <c r="AR96">
        <f>IF(AP96="","",COUNTIFS($F$2:$F$186,F96,$AP$2:$AP$186,AP96,$AQ$2:$AQ$186,"&lt;"&amp;AQ96)+1)</f>
        <v/>
      </c>
      <c r="AS96">
        <f>IF(AP96="","",F96&amp;AP96&amp;"-"&amp;AR96)</f>
        <v/>
      </c>
      <c r="AT96">
        <f>IF(AP96="",0,AP96)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  <c r="AP97">
        <f>IF(J97="","",IF(手動調整!$I$99&lt;&gt;"",手動調整!$I$99,AK97))</f>
        <v/>
      </c>
      <c r="AQ97">
        <f>IF(AP97="","",IF(手動調整!$J$99&lt;&gt;"",手動調整!$J$99,AM97)*100000+IF(手動調整!$J$99&lt;&gt;"",0,50000)+AK97*10+AM97)</f>
        <v/>
      </c>
      <c r="AR97">
        <f>IF(AP97="","",COUNTIFS($F$2:$F$186,F97,$AP$2:$AP$186,AP97,$AQ$2:$AQ$186,"&lt;"&amp;AQ97)+1)</f>
        <v/>
      </c>
      <c r="AS97">
        <f>IF(AP97="","",F97&amp;AP97&amp;"-"&amp;AR97)</f>
        <v/>
      </c>
      <c r="AT97">
        <f>IF(AP97="",0,AP97)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  <c r="AP98">
        <f>IF(J98="","",IF(手動調整!$I$100&lt;&gt;"",手動調整!$I$100,AK98))</f>
        <v/>
      </c>
      <c r="AQ98">
        <f>IF(AP98="","",IF(手動調整!$J$100&lt;&gt;"",手動調整!$J$100,AM98)*100000+IF(手動調整!$J$100&lt;&gt;"",0,50000)+AK98*10+AM98)</f>
        <v/>
      </c>
      <c r="AR98">
        <f>IF(AP98="","",COUNTIFS($F$2:$F$186,F98,$AP$2:$AP$186,AP98,$AQ$2:$AQ$186,"&lt;"&amp;AQ98)+1)</f>
        <v/>
      </c>
      <c r="AS98">
        <f>IF(AP98="","",F98&amp;AP98&amp;"-"&amp;AR98)</f>
        <v/>
      </c>
      <c r="AT98">
        <f>IF(AP98="",0,AP98)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  <c r="AP99">
        <f>IF(J99="","",IF(手動調整!$I$101&lt;&gt;"",手動調整!$I$101,AK99))</f>
        <v/>
      </c>
      <c r="AQ99">
        <f>IF(AP99="","",IF(手動調整!$J$101&lt;&gt;"",手動調整!$J$101,AM99)*100000+IF(手動調整!$J$101&lt;&gt;"",0,50000)+AK99*10+AM99)</f>
        <v/>
      </c>
      <c r="AR99">
        <f>IF(AP99="","",COUNTIFS($F$2:$F$186,F99,$AP$2:$AP$186,AP99,$AQ$2:$AQ$186,"&lt;"&amp;AQ99)+1)</f>
        <v/>
      </c>
      <c r="AS99">
        <f>IF(AP99="","",F99&amp;AP99&amp;"-"&amp;AR99)</f>
        <v/>
      </c>
      <c r="AT99">
        <f>IF(AP99="",0,AP99)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  <c r="AP100">
        <f>IF(J100="","",IF(手動調整!$I$102&lt;&gt;"",手動調整!$I$102,AK100))</f>
        <v/>
      </c>
      <c r="AQ100">
        <f>IF(AP100="","",IF(手動調整!$J$102&lt;&gt;"",手動調整!$J$102,AM100)*100000+IF(手動調整!$J$102&lt;&gt;"",0,50000)+AK100*10+AM100)</f>
        <v/>
      </c>
      <c r="AR100">
        <f>IF(AP100="","",COUNTIFS($F$2:$F$186,F100,$AP$2:$AP$186,AP100,$AQ$2:$AQ$186,"&lt;"&amp;AQ100)+1)</f>
        <v/>
      </c>
      <c r="AS100">
        <f>IF(AP100="","",F100&amp;AP100&amp;"-"&amp;AR100)</f>
        <v/>
      </c>
      <c r="AT100">
        <f>IF(AP100="",0,AP100)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  <c r="AP101">
        <f>IF(J101="","",IF(手動調整!$I$103&lt;&gt;"",手動調整!$I$103,AK101))</f>
        <v/>
      </c>
      <c r="AQ101">
        <f>IF(AP101="","",IF(手動調整!$J$103&lt;&gt;"",手動調整!$J$103,AM101)*100000+IF(手動調整!$J$103&lt;&gt;"",0,50000)+AK101*10+AM101)</f>
        <v/>
      </c>
      <c r="AR101">
        <f>IF(AP101="","",COUNTIFS($F$2:$F$186,F101,$AP$2:$AP$186,AP101,$AQ$2:$AQ$186,"&lt;"&amp;AQ101)+1)</f>
        <v/>
      </c>
      <c r="AS101">
        <f>IF(AP101="","",F101&amp;AP101&amp;"-"&amp;AR101)</f>
        <v/>
      </c>
      <c r="AT101">
        <f>IF(AP101="",0,AP101)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  <c r="AP102">
        <f>IF(J102="","",IF(手動調整!$I$104&lt;&gt;"",手動調整!$I$104,AK102))</f>
        <v/>
      </c>
      <c r="AQ102">
        <f>IF(AP102="","",IF(手動調整!$J$104&lt;&gt;"",手動調整!$J$104,AM102)*100000+IF(手動調整!$J$104&lt;&gt;"",0,50000)+AK102*10+AM102)</f>
        <v/>
      </c>
      <c r="AR102">
        <f>IF(AP102="","",COUNTIFS($F$2:$F$186,F102,$AP$2:$AP$186,AP102,$AQ$2:$AQ$186,"&lt;"&amp;AQ102)+1)</f>
        <v/>
      </c>
      <c r="AS102">
        <f>IF(AP102="","",F102&amp;AP102&amp;"-"&amp;AR102)</f>
        <v/>
      </c>
      <c r="AT102">
        <f>IF(AP102="",0,AP102)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  <c r="AP103">
        <f>IF(J103="","",IF(手動調整!$I$105&lt;&gt;"",手動調整!$I$105,AK103))</f>
        <v/>
      </c>
      <c r="AQ103">
        <f>IF(AP103="","",IF(手動調整!$J$105&lt;&gt;"",手動調整!$J$105,AM103)*100000+IF(手動調整!$J$105&lt;&gt;"",0,50000)+AK103*10+AM103)</f>
        <v/>
      </c>
      <c r="AR103">
        <f>IF(AP103="","",COUNTIFS($F$2:$F$186,F103,$AP$2:$AP$186,AP103,$AQ$2:$AQ$186,"&lt;"&amp;AQ103)+1)</f>
        <v/>
      </c>
      <c r="AS103">
        <f>IF(AP103="","",F103&amp;AP103&amp;"-"&amp;AR103)</f>
        <v/>
      </c>
      <c r="AT103">
        <f>IF(AP103="",0,AP103)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  <c r="AP104">
        <f>IF(J104="","",IF(手動調整!$I$106&lt;&gt;"",手動調整!$I$106,AK104))</f>
        <v/>
      </c>
      <c r="AQ104">
        <f>IF(AP104="","",IF(手動調整!$J$106&lt;&gt;"",手動調整!$J$106,AM104)*100000+IF(手動調整!$J$106&lt;&gt;"",0,50000)+AK104*10+AM104)</f>
        <v/>
      </c>
      <c r="AR104">
        <f>IF(AP104="","",COUNTIFS($F$2:$F$186,F104,$AP$2:$AP$186,AP104,$AQ$2:$AQ$186,"&lt;"&amp;AQ104)+1)</f>
        <v/>
      </c>
      <c r="AS104">
        <f>IF(AP104="","",F104&amp;AP104&amp;"-"&amp;AR104)</f>
        <v/>
      </c>
      <c r="AT104">
        <f>IF(AP104="",0,AP104)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  <c r="AP105">
        <f>IF(J105="","",IF(手動調整!$I$107&lt;&gt;"",手動調整!$I$107,AK105))</f>
        <v/>
      </c>
      <c r="AQ105">
        <f>IF(AP105="","",IF(手動調整!$J$107&lt;&gt;"",手動調整!$J$107,AM105)*100000+IF(手動調整!$J$107&lt;&gt;"",0,50000)+AK105*10+AM105)</f>
        <v/>
      </c>
      <c r="AR105">
        <f>IF(AP105="","",COUNTIFS($F$2:$F$186,F105,$AP$2:$AP$186,AP105,$AQ$2:$AQ$186,"&lt;"&amp;AQ105)+1)</f>
        <v/>
      </c>
      <c r="AS105">
        <f>IF(AP105="","",F105&amp;AP105&amp;"-"&amp;AR105)</f>
        <v/>
      </c>
      <c r="AT105">
        <f>IF(AP105="",0,AP105)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  <c r="AP106">
        <f>IF(J106="","",IF(手動調整!$I$108&lt;&gt;"",手動調整!$I$108,AK106))</f>
        <v/>
      </c>
      <c r="AQ106">
        <f>IF(AP106="","",IF(手動調整!$J$108&lt;&gt;"",手動調整!$J$108,AM106)*100000+IF(手動調整!$J$108&lt;&gt;"",0,50000)+AK106*10+AM106)</f>
        <v/>
      </c>
      <c r="AR106">
        <f>IF(AP106="","",COUNTIFS($F$2:$F$186,F106,$AP$2:$AP$186,AP106,$AQ$2:$AQ$186,"&lt;"&amp;AQ106)+1)</f>
        <v/>
      </c>
      <c r="AS106">
        <f>IF(AP106="","",F106&amp;AP106&amp;"-"&amp;AR106)</f>
        <v/>
      </c>
      <c r="AT106">
        <f>IF(AP106="",0,AP106)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  <c r="AP107">
        <f>IF(J107="","",IF(手動調整!$I$109&lt;&gt;"",手動調整!$I$109,AK107))</f>
        <v/>
      </c>
      <c r="AQ107">
        <f>IF(AP107="","",IF(手動調整!$J$109&lt;&gt;"",手動調整!$J$109,AM107)*100000+IF(手動調整!$J$109&lt;&gt;"",0,50000)+AK107*10+AM107)</f>
        <v/>
      </c>
      <c r="AR107">
        <f>IF(AP107="","",COUNTIFS($F$2:$F$186,F107,$AP$2:$AP$186,AP107,$AQ$2:$AQ$186,"&lt;"&amp;AQ107)+1)</f>
        <v/>
      </c>
      <c r="AS107">
        <f>IF(AP107="","",F107&amp;AP107&amp;"-"&amp;AR107)</f>
        <v/>
      </c>
      <c r="AT107">
        <f>IF(AP107="",0,AP107)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  <c r="AP108">
        <f>IF(J108="","",IF(手動調整!$I$110&lt;&gt;"",手動調整!$I$110,AK108))</f>
        <v/>
      </c>
      <c r="AQ108">
        <f>IF(AP108="","",IF(手動調整!$J$110&lt;&gt;"",手動調整!$J$110,AM108)*100000+IF(手動調整!$J$110&lt;&gt;"",0,50000)+AK108*10+AM108)</f>
        <v/>
      </c>
      <c r="AR108">
        <f>IF(AP108="","",COUNTIFS($F$2:$F$186,F108,$AP$2:$AP$186,AP108,$AQ$2:$AQ$186,"&lt;"&amp;AQ108)+1)</f>
        <v/>
      </c>
      <c r="AS108">
        <f>IF(AP108="","",F108&amp;AP108&amp;"-"&amp;AR108)</f>
        <v/>
      </c>
      <c r="AT108">
        <f>IF(AP108="",0,AP108)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  <c r="AP109">
        <f>IF(J109="","",IF(手動調整!$I$111&lt;&gt;"",手動調整!$I$111,AK109))</f>
        <v/>
      </c>
      <c r="AQ109">
        <f>IF(AP109="","",IF(手動調整!$J$111&lt;&gt;"",手動調整!$J$111,AM109)*100000+IF(手動調整!$J$111&lt;&gt;"",0,50000)+AK109*10+AM109)</f>
        <v/>
      </c>
      <c r="AR109">
        <f>IF(AP109="","",COUNTIFS($F$2:$F$186,F109,$AP$2:$AP$186,AP109,$AQ$2:$AQ$186,"&lt;"&amp;AQ109)+1)</f>
        <v/>
      </c>
      <c r="AS109">
        <f>IF(AP109="","",F109&amp;AP109&amp;"-"&amp;AR109)</f>
        <v/>
      </c>
      <c r="AT109">
        <f>IF(AP109="",0,AP109)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  <c r="AP110">
        <f>IF(J110="","",IF(手動調整!$I$112&lt;&gt;"",手動調整!$I$112,AK110))</f>
        <v/>
      </c>
      <c r="AQ110">
        <f>IF(AP110="","",IF(手動調整!$J$112&lt;&gt;"",手動調整!$J$112,AM110)*100000+IF(手動調整!$J$112&lt;&gt;"",0,50000)+AK110*10+AM110)</f>
        <v/>
      </c>
      <c r="AR110">
        <f>IF(AP110="","",COUNTIFS($F$2:$F$186,F110,$AP$2:$AP$186,AP110,$AQ$2:$AQ$186,"&lt;"&amp;AQ110)+1)</f>
        <v/>
      </c>
      <c r="AS110">
        <f>IF(AP110="","",F110&amp;AP110&amp;"-"&amp;AR110)</f>
        <v/>
      </c>
      <c r="AT110">
        <f>IF(AP110="",0,AP110)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  <c r="AP111">
        <f>IF(J111="","",IF(手動調整!$I$113&lt;&gt;"",手動調整!$I$113,AK111))</f>
        <v/>
      </c>
      <c r="AQ111">
        <f>IF(AP111="","",IF(手動調整!$J$113&lt;&gt;"",手動調整!$J$113,AM111)*100000+IF(手動調整!$J$113&lt;&gt;"",0,50000)+AK111*10+AM111)</f>
        <v/>
      </c>
      <c r="AR111">
        <f>IF(AP111="","",COUNTIFS($F$2:$F$186,F111,$AP$2:$AP$186,AP111,$AQ$2:$AQ$186,"&lt;"&amp;AQ111)+1)</f>
        <v/>
      </c>
      <c r="AS111">
        <f>IF(AP111="","",F111&amp;AP111&amp;"-"&amp;AR111)</f>
        <v/>
      </c>
      <c r="AT111">
        <f>IF(AP111="",0,AP111)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  <c r="AP112">
        <f>IF(J112="","",IF(手動調整!$I$114&lt;&gt;"",手動調整!$I$114,AK112))</f>
        <v/>
      </c>
      <c r="AQ112">
        <f>IF(AP112="","",IF(手動調整!$J$114&lt;&gt;"",手動調整!$J$114,AM112)*100000+IF(手動調整!$J$114&lt;&gt;"",0,50000)+AK112*10+AM112)</f>
        <v/>
      </c>
      <c r="AR112">
        <f>IF(AP112="","",COUNTIFS($F$2:$F$186,F112,$AP$2:$AP$186,AP112,$AQ$2:$AQ$186,"&lt;"&amp;AQ112)+1)</f>
        <v/>
      </c>
      <c r="AS112">
        <f>IF(AP112="","",F112&amp;AP112&amp;"-"&amp;AR112)</f>
        <v/>
      </c>
      <c r="AT112">
        <f>IF(AP112="",0,AP112)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  <c r="AP113">
        <f>IF(J113="","",IF(手動調整!$I$115&lt;&gt;"",手動調整!$I$115,AK113))</f>
        <v/>
      </c>
      <c r="AQ113">
        <f>IF(AP113="","",IF(手動調整!$J$115&lt;&gt;"",手動調整!$J$115,AM113)*100000+IF(手動調整!$J$115&lt;&gt;"",0,50000)+AK113*10+AM113)</f>
        <v/>
      </c>
      <c r="AR113">
        <f>IF(AP113="","",COUNTIFS($F$2:$F$186,F113,$AP$2:$AP$186,AP113,$AQ$2:$AQ$186,"&lt;"&amp;AQ113)+1)</f>
        <v/>
      </c>
      <c r="AS113">
        <f>IF(AP113="","",F113&amp;AP113&amp;"-"&amp;AR113)</f>
        <v/>
      </c>
      <c r="AT113">
        <f>IF(AP113="",0,AP113)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  <c r="AP114">
        <f>IF(J114="","",IF(手動調整!$I$116&lt;&gt;"",手動調整!$I$116,AK114))</f>
        <v/>
      </c>
      <c r="AQ114">
        <f>IF(AP114="","",IF(手動調整!$J$116&lt;&gt;"",手動調整!$J$116,AM114)*100000+IF(手動調整!$J$116&lt;&gt;"",0,50000)+AK114*10+AM114)</f>
        <v/>
      </c>
      <c r="AR114">
        <f>IF(AP114="","",COUNTIFS($F$2:$F$186,F114,$AP$2:$AP$186,AP114,$AQ$2:$AQ$186,"&lt;"&amp;AQ114)+1)</f>
        <v/>
      </c>
      <c r="AS114">
        <f>IF(AP114="","",F114&amp;AP114&amp;"-"&amp;AR114)</f>
        <v/>
      </c>
      <c r="AT114">
        <f>IF(AP114="",0,AP114)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  <c r="AP115">
        <f>IF(J115="","",IF(手動調整!$I$117&lt;&gt;"",手動調整!$I$117,AK115))</f>
        <v/>
      </c>
      <c r="AQ115">
        <f>IF(AP115="","",IF(手動調整!$J$117&lt;&gt;"",手動調整!$J$117,AM115)*100000+IF(手動調整!$J$117&lt;&gt;"",0,50000)+AK115*10+AM115)</f>
        <v/>
      </c>
      <c r="AR115">
        <f>IF(AP115="","",COUNTIFS($F$2:$F$186,F115,$AP$2:$AP$186,AP115,$AQ$2:$AQ$186,"&lt;"&amp;AQ115)+1)</f>
        <v/>
      </c>
      <c r="AS115">
        <f>IF(AP115="","",F115&amp;AP115&amp;"-"&amp;AR115)</f>
        <v/>
      </c>
      <c r="AT115">
        <f>IF(AP115="",0,AP115)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  <c r="AP116">
        <f>IF(J116="","",IF(手動調整!$I$118&lt;&gt;"",手動調整!$I$118,AK116))</f>
        <v/>
      </c>
      <c r="AQ116">
        <f>IF(AP116="","",IF(手動調整!$J$118&lt;&gt;"",手動調整!$J$118,AM116)*100000+IF(手動調整!$J$118&lt;&gt;"",0,50000)+AK116*10+AM116)</f>
        <v/>
      </c>
      <c r="AR116">
        <f>IF(AP116="","",COUNTIFS($F$2:$F$186,F116,$AP$2:$AP$186,AP116,$AQ$2:$AQ$186,"&lt;"&amp;AQ116)+1)</f>
        <v/>
      </c>
      <c r="AS116">
        <f>IF(AP116="","",F116&amp;AP116&amp;"-"&amp;AR116)</f>
        <v/>
      </c>
      <c r="AT116">
        <f>IF(AP116="",0,AP116)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  <c r="AP117">
        <f>IF(J117="","",IF(手動調整!$I$119&lt;&gt;"",手動調整!$I$119,AK117))</f>
        <v/>
      </c>
      <c r="AQ117">
        <f>IF(AP117="","",IF(手動調整!$J$119&lt;&gt;"",手動調整!$J$119,AM117)*100000+IF(手動調整!$J$119&lt;&gt;"",0,50000)+AK117*10+AM117)</f>
        <v/>
      </c>
      <c r="AR117">
        <f>IF(AP117="","",COUNTIFS($F$2:$F$186,F117,$AP$2:$AP$186,AP117,$AQ$2:$AQ$186,"&lt;"&amp;AQ117)+1)</f>
        <v/>
      </c>
      <c r="AS117">
        <f>IF(AP117="","",F117&amp;AP117&amp;"-"&amp;AR117)</f>
        <v/>
      </c>
      <c r="AT117">
        <f>IF(AP117="",0,AP117)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  <c r="AP118">
        <f>IF(J118="","",IF(手動調整!$I$120&lt;&gt;"",手動調整!$I$120,AK118))</f>
        <v/>
      </c>
      <c r="AQ118">
        <f>IF(AP118="","",IF(手動調整!$J$120&lt;&gt;"",手動調整!$J$120,AM118)*100000+IF(手動調整!$J$120&lt;&gt;"",0,50000)+AK118*10+AM118)</f>
        <v/>
      </c>
      <c r="AR118">
        <f>IF(AP118="","",COUNTIFS($F$2:$F$186,F118,$AP$2:$AP$186,AP118,$AQ$2:$AQ$186,"&lt;"&amp;AQ118)+1)</f>
        <v/>
      </c>
      <c r="AS118">
        <f>IF(AP118="","",F118&amp;AP118&amp;"-"&amp;AR118)</f>
        <v/>
      </c>
      <c r="AT118">
        <f>IF(AP118="",0,AP118)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  <c r="AP119">
        <f>IF(J119="","",IF(手動調整!$I$121&lt;&gt;"",手動調整!$I$121,AK119))</f>
        <v/>
      </c>
      <c r="AQ119">
        <f>IF(AP119="","",IF(手動調整!$J$121&lt;&gt;"",手動調整!$J$121,AM119)*100000+IF(手動調整!$J$121&lt;&gt;"",0,50000)+AK119*10+AM119)</f>
        <v/>
      </c>
      <c r="AR119">
        <f>IF(AP119="","",COUNTIFS($F$2:$F$186,F119,$AP$2:$AP$186,AP119,$AQ$2:$AQ$186,"&lt;"&amp;AQ119)+1)</f>
        <v/>
      </c>
      <c r="AS119">
        <f>IF(AP119="","",F119&amp;AP119&amp;"-"&amp;AR119)</f>
        <v/>
      </c>
      <c r="AT119">
        <f>IF(AP119="",0,AP119)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  <c r="AP120">
        <f>IF(J120="","",IF(手動調整!$I$122&lt;&gt;"",手動調整!$I$122,AK120))</f>
        <v/>
      </c>
      <c r="AQ120">
        <f>IF(AP120="","",IF(手動調整!$J$122&lt;&gt;"",手動調整!$J$122,AM120)*100000+IF(手動調整!$J$122&lt;&gt;"",0,50000)+AK120*10+AM120)</f>
        <v/>
      </c>
      <c r="AR120">
        <f>IF(AP120="","",COUNTIFS($F$2:$F$186,F120,$AP$2:$AP$186,AP120,$AQ$2:$AQ$186,"&lt;"&amp;AQ120)+1)</f>
        <v/>
      </c>
      <c r="AS120">
        <f>IF(AP120="","",F120&amp;AP120&amp;"-"&amp;AR120)</f>
        <v/>
      </c>
      <c r="AT120">
        <f>IF(AP120="",0,AP120)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  <c r="AP121">
        <f>IF(J121="","",IF(手動調整!$I$123&lt;&gt;"",手動調整!$I$123,AK121))</f>
        <v/>
      </c>
      <c r="AQ121">
        <f>IF(AP121="","",IF(手動調整!$J$123&lt;&gt;"",手動調整!$J$123,AM121)*100000+IF(手動調整!$J$123&lt;&gt;"",0,50000)+AK121*10+AM121)</f>
        <v/>
      </c>
      <c r="AR121">
        <f>IF(AP121="","",COUNTIFS($F$2:$F$186,F121,$AP$2:$AP$186,AP121,$AQ$2:$AQ$186,"&lt;"&amp;AQ121)+1)</f>
        <v/>
      </c>
      <c r="AS121">
        <f>IF(AP121="","",F121&amp;AP121&amp;"-"&amp;AR121)</f>
        <v/>
      </c>
      <c r="AT121">
        <f>IF(AP121="",0,AP121)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  <c r="AP122">
        <f>IF(J122="","",IF(手動調整!$I$124&lt;&gt;"",手動調整!$I$124,AK122))</f>
        <v/>
      </c>
      <c r="AQ122">
        <f>IF(AP122="","",IF(手動調整!$J$124&lt;&gt;"",手動調整!$J$124,AM122)*100000+IF(手動調整!$J$124&lt;&gt;"",0,50000)+AK122*10+AM122)</f>
        <v/>
      </c>
      <c r="AR122">
        <f>IF(AP122="","",COUNTIFS($F$2:$F$186,F122,$AP$2:$AP$186,AP122,$AQ$2:$AQ$186,"&lt;"&amp;AQ122)+1)</f>
        <v/>
      </c>
      <c r="AS122">
        <f>IF(AP122="","",F122&amp;AP122&amp;"-"&amp;AR122)</f>
        <v/>
      </c>
      <c r="AT122">
        <f>IF(AP122="",0,AP122)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  <c r="AP123">
        <f>IF(J123="","",IF(手動調整!$I$125&lt;&gt;"",手動調整!$I$125,AK123))</f>
        <v/>
      </c>
      <c r="AQ123">
        <f>IF(AP123="","",IF(手動調整!$J$125&lt;&gt;"",手動調整!$J$125,AM123)*100000+IF(手動調整!$J$125&lt;&gt;"",0,50000)+AK123*10+AM123)</f>
        <v/>
      </c>
      <c r="AR123">
        <f>IF(AP123="","",COUNTIFS($F$2:$F$186,F123,$AP$2:$AP$186,AP123,$AQ$2:$AQ$186,"&lt;"&amp;AQ123)+1)</f>
        <v/>
      </c>
      <c r="AS123">
        <f>IF(AP123="","",F123&amp;AP123&amp;"-"&amp;AR123)</f>
        <v/>
      </c>
      <c r="AT123">
        <f>IF(AP123="",0,AP123)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  <c r="AP124">
        <f>IF(J124="","",IF(手動調整!$I$126&lt;&gt;"",手動調整!$I$126,AK124))</f>
        <v/>
      </c>
      <c r="AQ124">
        <f>IF(AP124="","",IF(手動調整!$J$126&lt;&gt;"",手動調整!$J$126,AM124)*100000+IF(手動調整!$J$126&lt;&gt;"",0,50000)+AK124*10+AM124)</f>
        <v/>
      </c>
      <c r="AR124">
        <f>IF(AP124="","",COUNTIFS($F$2:$F$186,F124,$AP$2:$AP$186,AP124,$AQ$2:$AQ$186,"&lt;"&amp;AQ124)+1)</f>
        <v/>
      </c>
      <c r="AS124">
        <f>IF(AP124="","",F124&amp;AP124&amp;"-"&amp;AR124)</f>
        <v/>
      </c>
      <c r="AT124">
        <f>IF(AP124="",0,AP124)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  <c r="AP125">
        <f>IF(J125="","",IF(手動調整!$I$127&lt;&gt;"",手動調整!$I$127,AK125))</f>
        <v/>
      </c>
      <c r="AQ125">
        <f>IF(AP125="","",IF(手動調整!$J$127&lt;&gt;"",手動調整!$J$127,AM125)*100000+IF(手動調整!$J$127&lt;&gt;"",0,50000)+AK125*10+AM125)</f>
        <v/>
      </c>
      <c r="AR125">
        <f>IF(AP125="","",COUNTIFS($F$2:$F$186,F125,$AP$2:$AP$186,AP125,$AQ$2:$AQ$186,"&lt;"&amp;AQ125)+1)</f>
        <v/>
      </c>
      <c r="AS125">
        <f>IF(AP125="","",F125&amp;AP125&amp;"-"&amp;AR125)</f>
        <v/>
      </c>
      <c r="AT125">
        <f>IF(AP125="",0,AP125)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  <c r="AP126">
        <f>IF(J126="","",IF(手動調整!$I$128&lt;&gt;"",手動調整!$I$128,AK126))</f>
        <v/>
      </c>
      <c r="AQ126">
        <f>IF(AP126="","",IF(手動調整!$J$128&lt;&gt;"",手動調整!$J$128,AM126)*100000+IF(手動調整!$J$128&lt;&gt;"",0,50000)+AK126*10+AM126)</f>
        <v/>
      </c>
      <c r="AR126">
        <f>IF(AP126="","",COUNTIFS($F$2:$F$186,F126,$AP$2:$AP$186,AP126,$AQ$2:$AQ$186,"&lt;"&amp;AQ126)+1)</f>
        <v/>
      </c>
      <c r="AS126">
        <f>IF(AP126="","",F126&amp;AP126&amp;"-"&amp;AR126)</f>
        <v/>
      </c>
      <c r="AT126">
        <f>IF(AP126="",0,AP126)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  <c r="AP127">
        <f>IF(J127="","",IF(手動調整!$I$129&lt;&gt;"",手動調整!$I$129,AK127))</f>
        <v/>
      </c>
      <c r="AQ127">
        <f>IF(AP127="","",IF(手動調整!$J$129&lt;&gt;"",手動調整!$J$129,AM127)*100000+IF(手動調整!$J$129&lt;&gt;"",0,50000)+AK127*10+AM127)</f>
        <v/>
      </c>
      <c r="AR127">
        <f>IF(AP127="","",COUNTIFS($F$2:$F$186,F127,$AP$2:$AP$186,AP127,$AQ$2:$AQ$186,"&lt;"&amp;AQ127)+1)</f>
        <v/>
      </c>
      <c r="AS127">
        <f>IF(AP127="","",F127&amp;AP127&amp;"-"&amp;AR127)</f>
        <v/>
      </c>
      <c r="AT127">
        <f>IF(AP127="",0,AP127)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  <c r="AP128">
        <f>IF(J128="","",IF(手動調整!$I$130&lt;&gt;"",手動調整!$I$130,AK128))</f>
        <v/>
      </c>
      <c r="AQ128">
        <f>IF(AP128="","",IF(手動調整!$J$130&lt;&gt;"",手動調整!$J$130,AM128)*100000+IF(手動調整!$J$130&lt;&gt;"",0,50000)+AK128*10+AM128)</f>
        <v/>
      </c>
      <c r="AR128">
        <f>IF(AP128="","",COUNTIFS($F$2:$F$186,F128,$AP$2:$AP$186,AP128,$AQ$2:$AQ$186,"&lt;"&amp;AQ128)+1)</f>
        <v/>
      </c>
      <c r="AS128">
        <f>IF(AP128="","",F128&amp;AP128&amp;"-"&amp;AR128)</f>
        <v/>
      </c>
      <c r="AT128">
        <f>IF(AP128="",0,AP128)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  <c r="AP129">
        <f>IF(J129="","",IF(手動調整!$I$131&lt;&gt;"",手動調整!$I$131,AK129))</f>
        <v/>
      </c>
      <c r="AQ129">
        <f>IF(AP129="","",IF(手動調整!$J$131&lt;&gt;"",手動調整!$J$131,AM129)*100000+IF(手動調整!$J$131&lt;&gt;"",0,50000)+AK129*10+AM129)</f>
        <v/>
      </c>
      <c r="AR129">
        <f>IF(AP129="","",COUNTIFS($F$2:$F$186,F129,$AP$2:$AP$186,AP129,$AQ$2:$AQ$186,"&lt;"&amp;AQ129)+1)</f>
        <v/>
      </c>
      <c r="AS129">
        <f>IF(AP129="","",F129&amp;AP129&amp;"-"&amp;AR129)</f>
        <v/>
      </c>
      <c r="AT129">
        <f>IF(AP129="",0,AP129)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  <c r="AP130">
        <f>IF(J130="","",IF(手動調整!$I$132&lt;&gt;"",手動調整!$I$132,AK130))</f>
        <v/>
      </c>
      <c r="AQ130">
        <f>IF(AP130="","",IF(手動調整!$J$132&lt;&gt;"",手動調整!$J$132,AM130)*100000+IF(手動調整!$J$132&lt;&gt;"",0,50000)+AK130*10+AM130)</f>
        <v/>
      </c>
      <c r="AR130">
        <f>IF(AP130="","",COUNTIFS($F$2:$F$186,F130,$AP$2:$AP$186,AP130,$AQ$2:$AQ$186,"&lt;"&amp;AQ130)+1)</f>
        <v/>
      </c>
      <c r="AS130">
        <f>IF(AP130="","",F130&amp;AP130&amp;"-"&amp;AR130)</f>
        <v/>
      </c>
      <c r="AT130">
        <f>IF(AP130="",0,AP130)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  <c r="AP131">
        <f>IF(J131="","",IF(手動調整!$I$133&lt;&gt;"",手動調整!$I$133,AK131))</f>
        <v/>
      </c>
      <c r="AQ131">
        <f>IF(AP131="","",IF(手動調整!$J$133&lt;&gt;"",手動調整!$J$133,AM131)*100000+IF(手動調整!$J$133&lt;&gt;"",0,50000)+AK131*10+AM131)</f>
        <v/>
      </c>
      <c r="AR131">
        <f>IF(AP131="","",COUNTIFS($F$2:$F$186,F131,$AP$2:$AP$186,AP131,$AQ$2:$AQ$186,"&lt;"&amp;AQ131)+1)</f>
        <v/>
      </c>
      <c r="AS131">
        <f>IF(AP131="","",F131&amp;AP131&amp;"-"&amp;AR131)</f>
        <v/>
      </c>
      <c r="AT131">
        <f>IF(AP131="",0,AP131)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  <c r="AP132">
        <f>IF(J132="","",IF(手動調整!$I$134&lt;&gt;"",手動調整!$I$134,AK132))</f>
        <v/>
      </c>
      <c r="AQ132">
        <f>IF(AP132="","",IF(手動調整!$J$134&lt;&gt;"",手動調整!$J$134,AM132)*100000+IF(手動調整!$J$134&lt;&gt;"",0,50000)+AK132*10+AM132)</f>
        <v/>
      </c>
      <c r="AR132">
        <f>IF(AP132="","",COUNTIFS($F$2:$F$186,F132,$AP$2:$AP$186,AP132,$AQ$2:$AQ$186,"&lt;"&amp;AQ132)+1)</f>
        <v/>
      </c>
      <c r="AS132">
        <f>IF(AP132="","",F132&amp;AP132&amp;"-"&amp;AR132)</f>
        <v/>
      </c>
      <c r="AT132">
        <f>IF(AP132="",0,AP132)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  <c r="AP133">
        <f>IF(J133="","",IF(手動調整!$I$135&lt;&gt;"",手動調整!$I$135,AK133))</f>
        <v/>
      </c>
      <c r="AQ133">
        <f>IF(AP133="","",IF(手動調整!$J$135&lt;&gt;"",手動調整!$J$135,AM133)*100000+IF(手動調整!$J$135&lt;&gt;"",0,50000)+AK133*10+AM133)</f>
        <v/>
      </c>
      <c r="AR133">
        <f>IF(AP133="","",COUNTIFS($F$2:$F$186,F133,$AP$2:$AP$186,AP133,$AQ$2:$AQ$186,"&lt;"&amp;AQ133)+1)</f>
        <v/>
      </c>
      <c r="AS133">
        <f>IF(AP133="","",F133&amp;AP133&amp;"-"&amp;AR133)</f>
        <v/>
      </c>
      <c r="AT133">
        <f>IF(AP133="",0,AP133)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  <c r="AP134">
        <f>IF(J134="","",IF(手動調整!$I$136&lt;&gt;"",手動調整!$I$136,AK134))</f>
        <v/>
      </c>
      <c r="AQ134">
        <f>IF(AP134="","",IF(手動調整!$J$136&lt;&gt;"",手動調整!$J$136,AM134)*100000+IF(手動調整!$J$136&lt;&gt;"",0,50000)+AK134*10+AM134)</f>
        <v/>
      </c>
      <c r="AR134">
        <f>IF(AP134="","",COUNTIFS($F$2:$F$186,F134,$AP$2:$AP$186,AP134,$AQ$2:$AQ$186,"&lt;"&amp;AQ134)+1)</f>
        <v/>
      </c>
      <c r="AS134">
        <f>IF(AP134="","",F134&amp;AP134&amp;"-"&amp;AR134)</f>
        <v/>
      </c>
      <c r="AT134">
        <f>IF(AP134="",0,AP134)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  <c r="AP135">
        <f>IF(J135="","",IF(手動調整!$I$137&lt;&gt;"",手動調整!$I$137,AK135))</f>
        <v/>
      </c>
      <c r="AQ135">
        <f>IF(AP135="","",IF(手動調整!$J$137&lt;&gt;"",手動調整!$J$137,AM135)*100000+IF(手動調整!$J$137&lt;&gt;"",0,50000)+AK135*10+AM135)</f>
        <v/>
      </c>
      <c r="AR135">
        <f>IF(AP135="","",COUNTIFS($F$2:$F$186,F135,$AP$2:$AP$186,AP135,$AQ$2:$AQ$186,"&lt;"&amp;AQ135)+1)</f>
        <v/>
      </c>
      <c r="AS135">
        <f>IF(AP135="","",F135&amp;AP135&amp;"-"&amp;AR135)</f>
        <v/>
      </c>
      <c r="AT135">
        <f>IF(AP135="",0,AP135)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  <c r="AP136">
        <f>IF(J136="","",IF(手動調整!$I$138&lt;&gt;"",手動調整!$I$138,AK136))</f>
        <v/>
      </c>
      <c r="AQ136">
        <f>IF(AP136="","",IF(手動調整!$J$138&lt;&gt;"",手動調整!$J$138,AM136)*100000+IF(手動調整!$J$138&lt;&gt;"",0,50000)+AK136*10+AM136)</f>
        <v/>
      </c>
      <c r="AR136">
        <f>IF(AP136="","",COUNTIFS($F$2:$F$186,F136,$AP$2:$AP$186,AP136,$AQ$2:$AQ$186,"&lt;"&amp;AQ136)+1)</f>
        <v/>
      </c>
      <c r="AS136">
        <f>IF(AP136="","",F136&amp;AP136&amp;"-"&amp;AR136)</f>
        <v/>
      </c>
      <c r="AT136">
        <f>IF(AP136="",0,AP136)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  <c r="AP137">
        <f>IF(J137="","",IF(手動調整!$I$139&lt;&gt;"",手動調整!$I$139,AK137))</f>
        <v/>
      </c>
      <c r="AQ137">
        <f>IF(AP137="","",IF(手動調整!$J$139&lt;&gt;"",手動調整!$J$139,AM137)*100000+IF(手動調整!$J$139&lt;&gt;"",0,50000)+AK137*10+AM137)</f>
        <v/>
      </c>
      <c r="AR137">
        <f>IF(AP137="","",COUNTIFS($F$2:$F$186,F137,$AP$2:$AP$186,AP137,$AQ$2:$AQ$186,"&lt;"&amp;AQ137)+1)</f>
        <v/>
      </c>
      <c r="AS137">
        <f>IF(AP137="","",F137&amp;AP137&amp;"-"&amp;AR137)</f>
        <v/>
      </c>
      <c r="AT137">
        <f>IF(AP137="",0,AP137)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  <c r="AP138">
        <f>IF(J138="","",IF(手動調整!$I$140&lt;&gt;"",手動調整!$I$140,AK138))</f>
        <v/>
      </c>
      <c r="AQ138">
        <f>IF(AP138="","",IF(手動調整!$J$140&lt;&gt;"",手動調整!$J$140,AM138)*100000+IF(手動調整!$J$140&lt;&gt;"",0,50000)+AK138*10+AM138)</f>
        <v/>
      </c>
      <c r="AR138">
        <f>IF(AP138="","",COUNTIFS($F$2:$F$186,F138,$AP$2:$AP$186,AP138,$AQ$2:$AQ$186,"&lt;"&amp;AQ138)+1)</f>
        <v/>
      </c>
      <c r="AS138">
        <f>IF(AP138="","",F138&amp;AP138&amp;"-"&amp;AR138)</f>
        <v/>
      </c>
      <c r="AT138">
        <f>IF(AP138="",0,AP138)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  <c r="AP139">
        <f>IF(J139="","",IF(手動調整!$I$141&lt;&gt;"",手動調整!$I$141,AK139))</f>
        <v/>
      </c>
      <c r="AQ139">
        <f>IF(AP139="","",IF(手動調整!$J$141&lt;&gt;"",手動調整!$J$141,AM139)*100000+IF(手動調整!$J$141&lt;&gt;"",0,50000)+AK139*10+AM139)</f>
        <v/>
      </c>
      <c r="AR139">
        <f>IF(AP139="","",COUNTIFS($F$2:$F$186,F139,$AP$2:$AP$186,AP139,$AQ$2:$AQ$186,"&lt;"&amp;AQ139)+1)</f>
        <v/>
      </c>
      <c r="AS139">
        <f>IF(AP139="","",F139&amp;AP139&amp;"-"&amp;AR139)</f>
        <v/>
      </c>
      <c r="AT139">
        <f>IF(AP139="",0,AP139)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  <c r="AP140">
        <f>IF(J140="","",IF(手動調整!$I$142&lt;&gt;"",手動調整!$I$142,AK140))</f>
        <v/>
      </c>
      <c r="AQ140">
        <f>IF(AP140="","",IF(手動調整!$J$142&lt;&gt;"",手動調整!$J$142,AM140)*100000+IF(手動調整!$J$142&lt;&gt;"",0,50000)+AK140*10+AM140)</f>
        <v/>
      </c>
      <c r="AR140">
        <f>IF(AP140="","",COUNTIFS($F$2:$F$186,F140,$AP$2:$AP$186,AP140,$AQ$2:$AQ$186,"&lt;"&amp;AQ140)+1)</f>
        <v/>
      </c>
      <c r="AS140">
        <f>IF(AP140="","",F140&amp;AP140&amp;"-"&amp;AR140)</f>
        <v/>
      </c>
      <c r="AT140">
        <f>IF(AP140="",0,AP140)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  <c r="AP141">
        <f>IF(J141="","",IF(手動調整!$I$143&lt;&gt;"",手動調整!$I$143,AK141))</f>
        <v/>
      </c>
      <c r="AQ141">
        <f>IF(AP141="","",IF(手動調整!$J$143&lt;&gt;"",手動調整!$J$143,AM141)*100000+IF(手動調整!$J$143&lt;&gt;"",0,50000)+AK141*10+AM141)</f>
        <v/>
      </c>
      <c r="AR141">
        <f>IF(AP141="","",COUNTIFS($F$2:$F$186,F141,$AP$2:$AP$186,AP141,$AQ$2:$AQ$186,"&lt;"&amp;AQ141)+1)</f>
        <v/>
      </c>
      <c r="AS141">
        <f>IF(AP141="","",F141&amp;AP141&amp;"-"&amp;AR141)</f>
        <v/>
      </c>
      <c r="AT141">
        <f>IF(AP141="",0,AP141)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  <c r="AP142">
        <f>IF(J142="","",IF(手動調整!$I$144&lt;&gt;"",手動調整!$I$144,AK142))</f>
        <v/>
      </c>
      <c r="AQ142">
        <f>IF(AP142="","",IF(手動調整!$J$144&lt;&gt;"",手動調整!$J$144,AM142)*100000+IF(手動調整!$J$144&lt;&gt;"",0,50000)+AK142*10+AM142)</f>
        <v/>
      </c>
      <c r="AR142">
        <f>IF(AP142="","",COUNTIFS($F$2:$F$186,F142,$AP$2:$AP$186,AP142,$AQ$2:$AQ$186,"&lt;"&amp;AQ142)+1)</f>
        <v/>
      </c>
      <c r="AS142">
        <f>IF(AP142="","",F142&amp;AP142&amp;"-"&amp;AR142)</f>
        <v/>
      </c>
      <c r="AT142">
        <f>IF(AP142="",0,AP142)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  <c r="AP143">
        <f>IF(J143="","",IF(手動調整!$I$145&lt;&gt;"",手動調整!$I$145,AK143))</f>
        <v/>
      </c>
      <c r="AQ143">
        <f>IF(AP143="","",IF(手動調整!$J$145&lt;&gt;"",手動調整!$J$145,AM143)*100000+IF(手動調整!$J$145&lt;&gt;"",0,50000)+AK143*10+AM143)</f>
        <v/>
      </c>
      <c r="AR143">
        <f>IF(AP143="","",COUNTIFS($F$2:$F$186,F143,$AP$2:$AP$186,AP143,$AQ$2:$AQ$186,"&lt;"&amp;AQ143)+1)</f>
        <v/>
      </c>
      <c r="AS143">
        <f>IF(AP143="","",F143&amp;AP143&amp;"-"&amp;AR143)</f>
        <v/>
      </c>
      <c r="AT143">
        <f>IF(AP143="",0,AP143)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  <c r="AP144">
        <f>IF(J144="","",IF(手動調整!$I$146&lt;&gt;"",手動調整!$I$146,AK144))</f>
        <v/>
      </c>
      <c r="AQ144">
        <f>IF(AP144="","",IF(手動調整!$J$146&lt;&gt;"",手動調整!$J$146,AM144)*100000+IF(手動調整!$J$146&lt;&gt;"",0,50000)+AK144*10+AM144)</f>
        <v/>
      </c>
      <c r="AR144">
        <f>IF(AP144="","",COUNTIFS($F$2:$F$186,F144,$AP$2:$AP$186,AP144,$AQ$2:$AQ$186,"&lt;"&amp;AQ144)+1)</f>
        <v/>
      </c>
      <c r="AS144">
        <f>IF(AP144="","",F144&amp;AP144&amp;"-"&amp;AR144)</f>
        <v/>
      </c>
      <c r="AT144">
        <f>IF(AP144="",0,AP144)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  <c r="AP145">
        <f>IF(J145="","",IF(手動調整!$I$147&lt;&gt;"",手動調整!$I$147,AK145))</f>
        <v/>
      </c>
      <c r="AQ145">
        <f>IF(AP145="","",IF(手動調整!$J$147&lt;&gt;"",手動調整!$J$147,AM145)*100000+IF(手動調整!$J$147&lt;&gt;"",0,50000)+AK145*10+AM145)</f>
        <v/>
      </c>
      <c r="AR145">
        <f>IF(AP145="","",COUNTIFS($F$2:$F$186,F145,$AP$2:$AP$186,AP145,$AQ$2:$AQ$186,"&lt;"&amp;AQ145)+1)</f>
        <v/>
      </c>
      <c r="AS145">
        <f>IF(AP145="","",F145&amp;AP145&amp;"-"&amp;AR145)</f>
        <v/>
      </c>
      <c r="AT145">
        <f>IF(AP145="",0,AP145)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  <c r="AP146">
        <f>IF(J146="","",IF(手動調整!$I$148&lt;&gt;"",手動調整!$I$148,AK146))</f>
        <v/>
      </c>
      <c r="AQ146">
        <f>IF(AP146="","",IF(手動調整!$J$148&lt;&gt;"",手動調整!$J$148,AM146)*100000+IF(手動調整!$J$148&lt;&gt;"",0,50000)+AK146*10+AM146)</f>
        <v/>
      </c>
      <c r="AR146">
        <f>IF(AP146="","",COUNTIFS($F$2:$F$186,F146,$AP$2:$AP$186,AP146,$AQ$2:$AQ$186,"&lt;"&amp;AQ146)+1)</f>
        <v/>
      </c>
      <c r="AS146">
        <f>IF(AP146="","",F146&amp;AP146&amp;"-"&amp;AR146)</f>
        <v/>
      </c>
      <c r="AT146">
        <f>IF(AP146="",0,AP146)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  <c r="AP147">
        <f>IF(J147="","",IF(手動調整!$I$149&lt;&gt;"",手動調整!$I$149,AK147))</f>
        <v/>
      </c>
      <c r="AQ147">
        <f>IF(AP147="","",IF(手動調整!$J$149&lt;&gt;"",手動調整!$J$149,AM147)*100000+IF(手動調整!$J$149&lt;&gt;"",0,50000)+AK147*10+AM147)</f>
        <v/>
      </c>
      <c r="AR147">
        <f>IF(AP147="","",COUNTIFS($F$2:$F$186,F147,$AP$2:$AP$186,AP147,$AQ$2:$AQ$186,"&lt;"&amp;AQ147)+1)</f>
        <v/>
      </c>
      <c r="AS147">
        <f>IF(AP147="","",F147&amp;AP147&amp;"-"&amp;AR147)</f>
        <v/>
      </c>
      <c r="AT147">
        <f>IF(AP147="",0,AP147)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  <c r="AP148">
        <f>IF(J148="","",IF(手動調整!$I$150&lt;&gt;"",手動調整!$I$150,AK148))</f>
        <v/>
      </c>
      <c r="AQ148">
        <f>IF(AP148="","",IF(手動調整!$J$150&lt;&gt;"",手動調整!$J$150,AM148)*100000+IF(手動調整!$J$150&lt;&gt;"",0,50000)+AK148*10+AM148)</f>
        <v/>
      </c>
      <c r="AR148">
        <f>IF(AP148="","",COUNTIFS($F$2:$F$186,F148,$AP$2:$AP$186,AP148,$AQ$2:$AQ$186,"&lt;"&amp;AQ148)+1)</f>
        <v/>
      </c>
      <c r="AS148">
        <f>IF(AP148="","",F148&amp;AP148&amp;"-"&amp;AR148)</f>
        <v/>
      </c>
      <c r="AT148">
        <f>IF(AP148="",0,AP148)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  <c r="AP149">
        <f>IF(J149="","",IF(手動調整!$I$151&lt;&gt;"",手動調整!$I$151,AK149))</f>
        <v/>
      </c>
      <c r="AQ149">
        <f>IF(AP149="","",IF(手動調整!$J$151&lt;&gt;"",手動調整!$J$151,AM149)*100000+IF(手動調整!$J$151&lt;&gt;"",0,50000)+AK149*10+AM149)</f>
        <v/>
      </c>
      <c r="AR149">
        <f>IF(AP149="","",COUNTIFS($F$2:$F$186,F149,$AP$2:$AP$186,AP149,$AQ$2:$AQ$186,"&lt;"&amp;AQ149)+1)</f>
        <v/>
      </c>
      <c r="AS149">
        <f>IF(AP149="","",F149&amp;AP149&amp;"-"&amp;AR149)</f>
        <v/>
      </c>
      <c r="AT149">
        <f>IF(AP149="",0,AP149)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  <c r="AP150">
        <f>IF(J150="","",IF(手動調整!$I$152&lt;&gt;"",手動調整!$I$152,AK150))</f>
        <v/>
      </c>
      <c r="AQ150">
        <f>IF(AP150="","",IF(手動調整!$J$152&lt;&gt;"",手動調整!$J$152,AM150)*100000+IF(手動調整!$J$152&lt;&gt;"",0,50000)+AK150*10+AM150)</f>
        <v/>
      </c>
      <c r="AR150">
        <f>IF(AP150="","",COUNTIFS($F$2:$F$186,F150,$AP$2:$AP$186,AP150,$AQ$2:$AQ$186,"&lt;"&amp;AQ150)+1)</f>
        <v/>
      </c>
      <c r="AS150">
        <f>IF(AP150="","",F150&amp;AP150&amp;"-"&amp;AR150)</f>
        <v/>
      </c>
      <c r="AT150">
        <f>IF(AP150="",0,AP150)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  <c r="AP151">
        <f>IF(J151="","",IF(手動調整!$I$153&lt;&gt;"",手動調整!$I$153,AK151))</f>
        <v/>
      </c>
      <c r="AQ151">
        <f>IF(AP151="","",IF(手動調整!$J$153&lt;&gt;"",手動調整!$J$153,AM151)*100000+IF(手動調整!$J$153&lt;&gt;"",0,50000)+AK151*10+AM151)</f>
        <v/>
      </c>
      <c r="AR151">
        <f>IF(AP151="","",COUNTIFS($F$2:$F$186,F151,$AP$2:$AP$186,AP151,$AQ$2:$AQ$186,"&lt;"&amp;AQ151)+1)</f>
        <v/>
      </c>
      <c r="AS151">
        <f>IF(AP151="","",F151&amp;AP151&amp;"-"&amp;AR151)</f>
        <v/>
      </c>
      <c r="AT151">
        <f>IF(AP151="",0,AP151)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  <c r="AP152">
        <f>IF(J152="","",IF(手動調整!$I$154&lt;&gt;"",手動調整!$I$154,AK152))</f>
        <v/>
      </c>
      <c r="AQ152">
        <f>IF(AP152="","",IF(手動調整!$J$154&lt;&gt;"",手動調整!$J$154,AM152)*100000+IF(手動調整!$J$154&lt;&gt;"",0,50000)+AK152*10+AM152)</f>
        <v/>
      </c>
      <c r="AR152">
        <f>IF(AP152="","",COUNTIFS($F$2:$F$186,F152,$AP$2:$AP$186,AP152,$AQ$2:$AQ$186,"&lt;"&amp;AQ152)+1)</f>
        <v/>
      </c>
      <c r="AS152">
        <f>IF(AP152="","",F152&amp;AP152&amp;"-"&amp;AR152)</f>
        <v/>
      </c>
      <c r="AT152">
        <f>IF(AP152="",0,AP152)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  <c r="AP153">
        <f>IF(J153="","",IF(手動調整!$I$155&lt;&gt;"",手動調整!$I$155,AK153))</f>
        <v/>
      </c>
      <c r="AQ153">
        <f>IF(AP153="","",IF(手動調整!$J$155&lt;&gt;"",手動調整!$J$155,AM153)*100000+IF(手動調整!$J$155&lt;&gt;"",0,50000)+AK153*10+AM153)</f>
        <v/>
      </c>
      <c r="AR153">
        <f>IF(AP153="","",COUNTIFS($F$2:$F$186,F153,$AP$2:$AP$186,AP153,$AQ$2:$AQ$186,"&lt;"&amp;AQ153)+1)</f>
        <v/>
      </c>
      <c r="AS153">
        <f>IF(AP153="","",F153&amp;AP153&amp;"-"&amp;AR153)</f>
        <v/>
      </c>
      <c r="AT153">
        <f>IF(AP153="",0,AP153)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  <c r="AP154">
        <f>IF(J154="","",IF(手動調整!$I$156&lt;&gt;"",手動調整!$I$156,AK154))</f>
        <v/>
      </c>
      <c r="AQ154">
        <f>IF(AP154="","",IF(手動調整!$J$156&lt;&gt;"",手動調整!$J$156,AM154)*100000+IF(手動調整!$J$156&lt;&gt;"",0,50000)+AK154*10+AM154)</f>
        <v/>
      </c>
      <c r="AR154">
        <f>IF(AP154="","",COUNTIFS($F$2:$F$186,F154,$AP$2:$AP$186,AP154,$AQ$2:$AQ$186,"&lt;"&amp;AQ154)+1)</f>
        <v/>
      </c>
      <c r="AS154">
        <f>IF(AP154="","",F154&amp;AP154&amp;"-"&amp;AR154)</f>
        <v/>
      </c>
      <c r="AT154">
        <f>IF(AP154="",0,AP154)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  <c r="AP155">
        <f>IF(J155="","",IF(手動調整!$I$157&lt;&gt;"",手動調整!$I$157,AK155))</f>
        <v/>
      </c>
      <c r="AQ155">
        <f>IF(AP155="","",IF(手動調整!$J$157&lt;&gt;"",手動調整!$J$157,AM155)*100000+IF(手動調整!$J$157&lt;&gt;"",0,50000)+AK155*10+AM155)</f>
        <v/>
      </c>
      <c r="AR155">
        <f>IF(AP155="","",COUNTIFS($F$2:$F$186,F155,$AP$2:$AP$186,AP155,$AQ$2:$AQ$186,"&lt;"&amp;AQ155)+1)</f>
        <v/>
      </c>
      <c r="AS155">
        <f>IF(AP155="","",F155&amp;AP155&amp;"-"&amp;AR155)</f>
        <v/>
      </c>
      <c r="AT155">
        <f>IF(AP155="",0,AP155)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  <c r="AP156">
        <f>IF(J156="","",IF(手動調整!$I$158&lt;&gt;"",手動調整!$I$158,AK156))</f>
        <v/>
      </c>
      <c r="AQ156">
        <f>IF(AP156="","",IF(手動調整!$J$158&lt;&gt;"",手動調整!$J$158,AM156)*100000+IF(手動調整!$J$158&lt;&gt;"",0,50000)+AK156*10+AM156)</f>
        <v/>
      </c>
      <c r="AR156">
        <f>IF(AP156="","",COUNTIFS($F$2:$F$186,F156,$AP$2:$AP$186,AP156,$AQ$2:$AQ$186,"&lt;"&amp;AQ156)+1)</f>
        <v/>
      </c>
      <c r="AS156">
        <f>IF(AP156="","",F156&amp;AP156&amp;"-"&amp;AR156)</f>
        <v/>
      </c>
      <c r="AT156">
        <f>IF(AP156="",0,AP156)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  <c r="AP157">
        <f>IF(J157="","",IF(手動調整!$I$159&lt;&gt;"",手動調整!$I$159,AK157))</f>
        <v/>
      </c>
      <c r="AQ157">
        <f>IF(AP157="","",IF(手動調整!$J$159&lt;&gt;"",手動調整!$J$159,AM157)*100000+IF(手動調整!$J$159&lt;&gt;"",0,50000)+AK157*10+AM157)</f>
        <v/>
      </c>
      <c r="AR157">
        <f>IF(AP157="","",COUNTIFS($F$2:$F$186,F157,$AP$2:$AP$186,AP157,$AQ$2:$AQ$186,"&lt;"&amp;AQ157)+1)</f>
        <v/>
      </c>
      <c r="AS157">
        <f>IF(AP157="","",F157&amp;AP157&amp;"-"&amp;AR157)</f>
        <v/>
      </c>
      <c r="AT157">
        <f>IF(AP157="",0,AP157)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  <c r="AP158">
        <f>IF(J158="","",IF(手動調整!$I$160&lt;&gt;"",手動調整!$I$160,AK158))</f>
        <v/>
      </c>
      <c r="AQ158">
        <f>IF(AP158="","",IF(手動調整!$J$160&lt;&gt;"",手動調整!$J$160,AM158)*100000+IF(手動調整!$J$160&lt;&gt;"",0,50000)+AK158*10+AM158)</f>
        <v/>
      </c>
      <c r="AR158">
        <f>IF(AP158="","",COUNTIFS($F$2:$F$186,F158,$AP$2:$AP$186,AP158,$AQ$2:$AQ$186,"&lt;"&amp;AQ158)+1)</f>
        <v/>
      </c>
      <c r="AS158">
        <f>IF(AP158="","",F158&amp;AP158&amp;"-"&amp;AR158)</f>
        <v/>
      </c>
      <c r="AT158">
        <f>IF(AP158="",0,AP158)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  <c r="AP159">
        <f>IF(J159="","",IF(手動調整!$I$161&lt;&gt;"",手動調整!$I$161,AK159))</f>
        <v/>
      </c>
      <c r="AQ159">
        <f>IF(AP159="","",IF(手動調整!$J$161&lt;&gt;"",手動調整!$J$161,AM159)*100000+IF(手動調整!$J$161&lt;&gt;"",0,50000)+AK159*10+AM159)</f>
        <v/>
      </c>
      <c r="AR159">
        <f>IF(AP159="","",COUNTIFS($F$2:$F$186,F159,$AP$2:$AP$186,AP159,$AQ$2:$AQ$186,"&lt;"&amp;AQ159)+1)</f>
        <v/>
      </c>
      <c r="AS159">
        <f>IF(AP159="","",F159&amp;AP159&amp;"-"&amp;AR159)</f>
        <v/>
      </c>
      <c r="AT159">
        <f>IF(AP159="",0,AP159)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  <c r="AP160">
        <f>IF(J160="","",IF(手動調整!$I$162&lt;&gt;"",手動調整!$I$162,AK160))</f>
        <v/>
      </c>
      <c r="AQ160">
        <f>IF(AP160="","",IF(手動調整!$J$162&lt;&gt;"",手動調整!$J$162,AM160)*100000+IF(手動調整!$J$162&lt;&gt;"",0,50000)+AK160*10+AM160)</f>
        <v/>
      </c>
      <c r="AR160">
        <f>IF(AP160="","",COUNTIFS($F$2:$F$186,F160,$AP$2:$AP$186,AP160,$AQ$2:$AQ$186,"&lt;"&amp;AQ160)+1)</f>
        <v/>
      </c>
      <c r="AS160">
        <f>IF(AP160="","",F160&amp;AP160&amp;"-"&amp;AR160)</f>
        <v/>
      </c>
      <c r="AT160">
        <f>IF(AP160="",0,AP160)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  <c r="AP161">
        <f>IF(J161="","",IF(手動調整!$I$163&lt;&gt;"",手動調整!$I$163,AK161))</f>
        <v/>
      </c>
      <c r="AQ161">
        <f>IF(AP161="","",IF(手動調整!$J$163&lt;&gt;"",手動調整!$J$163,AM161)*100000+IF(手動調整!$J$163&lt;&gt;"",0,50000)+AK161*10+AM161)</f>
        <v/>
      </c>
      <c r="AR161">
        <f>IF(AP161="","",COUNTIFS($F$2:$F$186,F161,$AP$2:$AP$186,AP161,$AQ$2:$AQ$186,"&lt;"&amp;AQ161)+1)</f>
        <v/>
      </c>
      <c r="AS161">
        <f>IF(AP161="","",F161&amp;AP161&amp;"-"&amp;AR161)</f>
        <v/>
      </c>
      <c r="AT161">
        <f>IF(AP161="",0,AP161)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  <c r="AP162">
        <f>IF(J162="","",IF(手動調整!$I$164&lt;&gt;"",手動調整!$I$164,AK162))</f>
        <v/>
      </c>
      <c r="AQ162">
        <f>IF(AP162="","",IF(手動調整!$J$164&lt;&gt;"",手動調整!$J$164,AM162)*100000+IF(手動調整!$J$164&lt;&gt;"",0,50000)+AK162*10+AM162)</f>
        <v/>
      </c>
      <c r="AR162">
        <f>IF(AP162="","",COUNTIFS($F$2:$F$186,F162,$AP$2:$AP$186,AP162,$AQ$2:$AQ$186,"&lt;"&amp;AQ162)+1)</f>
        <v/>
      </c>
      <c r="AS162">
        <f>IF(AP162="","",F162&amp;AP162&amp;"-"&amp;AR162)</f>
        <v/>
      </c>
      <c r="AT162">
        <f>IF(AP162="",0,AP162)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  <c r="AP163">
        <f>IF(J163="","",IF(手動調整!$I$165&lt;&gt;"",手動調整!$I$165,AK163))</f>
        <v/>
      </c>
      <c r="AQ163">
        <f>IF(AP163="","",IF(手動調整!$J$165&lt;&gt;"",手動調整!$J$165,AM163)*100000+IF(手動調整!$J$165&lt;&gt;"",0,50000)+AK163*10+AM163)</f>
        <v/>
      </c>
      <c r="AR163">
        <f>IF(AP163="","",COUNTIFS($F$2:$F$186,F163,$AP$2:$AP$186,AP163,$AQ$2:$AQ$186,"&lt;"&amp;AQ163)+1)</f>
        <v/>
      </c>
      <c r="AS163">
        <f>IF(AP163="","",F163&amp;AP163&amp;"-"&amp;AR163)</f>
        <v/>
      </c>
      <c r="AT163">
        <f>IF(AP163="",0,AP163)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  <c r="AP164">
        <f>IF(J164="","",IF(手動調整!$I$166&lt;&gt;"",手動調整!$I$166,AK164))</f>
        <v/>
      </c>
      <c r="AQ164">
        <f>IF(AP164="","",IF(手動調整!$J$166&lt;&gt;"",手動調整!$J$166,AM164)*100000+IF(手動調整!$J$166&lt;&gt;"",0,50000)+AK164*10+AM164)</f>
        <v/>
      </c>
      <c r="AR164">
        <f>IF(AP164="","",COUNTIFS($F$2:$F$186,F164,$AP$2:$AP$186,AP164,$AQ$2:$AQ$186,"&lt;"&amp;AQ164)+1)</f>
        <v/>
      </c>
      <c r="AS164">
        <f>IF(AP164="","",F164&amp;AP164&amp;"-"&amp;AR164)</f>
        <v/>
      </c>
      <c r="AT164">
        <f>IF(AP164="",0,AP164)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  <c r="AP165">
        <f>IF(J165="","",IF(手動調整!$I$167&lt;&gt;"",手動調整!$I$167,AK165))</f>
        <v/>
      </c>
      <c r="AQ165">
        <f>IF(AP165="","",IF(手動調整!$J$167&lt;&gt;"",手動調整!$J$167,AM165)*100000+IF(手動調整!$J$167&lt;&gt;"",0,50000)+AK165*10+AM165)</f>
        <v/>
      </c>
      <c r="AR165">
        <f>IF(AP165="","",COUNTIFS($F$2:$F$186,F165,$AP$2:$AP$186,AP165,$AQ$2:$AQ$186,"&lt;"&amp;AQ165)+1)</f>
        <v/>
      </c>
      <c r="AS165">
        <f>IF(AP165="","",F165&amp;AP165&amp;"-"&amp;AR165)</f>
        <v/>
      </c>
      <c r="AT165">
        <f>IF(AP165="",0,AP165)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  <c r="AP166">
        <f>IF(J166="","",IF(手動調整!$I$168&lt;&gt;"",手動調整!$I$168,AK166))</f>
        <v/>
      </c>
      <c r="AQ166">
        <f>IF(AP166="","",IF(手動調整!$J$168&lt;&gt;"",手動調整!$J$168,AM166)*100000+IF(手動調整!$J$168&lt;&gt;"",0,50000)+AK166*10+AM166)</f>
        <v/>
      </c>
      <c r="AR166">
        <f>IF(AP166="","",COUNTIFS($F$2:$F$186,F166,$AP$2:$AP$186,AP166,$AQ$2:$AQ$186,"&lt;"&amp;AQ166)+1)</f>
        <v/>
      </c>
      <c r="AS166">
        <f>IF(AP166="","",F166&amp;AP166&amp;"-"&amp;AR166)</f>
        <v/>
      </c>
      <c r="AT166">
        <f>IF(AP166="",0,AP166)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  <c r="AP167">
        <f>IF(J167="","",IF(手動調整!$I$169&lt;&gt;"",手動調整!$I$169,AK167))</f>
        <v/>
      </c>
      <c r="AQ167">
        <f>IF(AP167="","",IF(手動調整!$J$169&lt;&gt;"",手動調整!$J$169,AM167)*100000+IF(手動調整!$J$169&lt;&gt;"",0,50000)+AK167*10+AM167)</f>
        <v/>
      </c>
      <c r="AR167">
        <f>IF(AP167="","",COUNTIFS($F$2:$F$186,F167,$AP$2:$AP$186,AP167,$AQ$2:$AQ$186,"&lt;"&amp;AQ167)+1)</f>
        <v/>
      </c>
      <c r="AS167">
        <f>IF(AP167="","",F167&amp;AP167&amp;"-"&amp;AR167)</f>
        <v/>
      </c>
      <c r="AT167">
        <f>IF(AP167="",0,AP167)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  <c r="AP168">
        <f>IF(J168="","",IF(手動調整!$I$170&lt;&gt;"",手動調整!$I$170,AK168))</f>
        <v/>
      </c>
      <c r="AQ168">
        <f>IF(AP168="","",IF(手動調整!$J$170&lt;&gt;"",手動調整!$J$170,AM168)*100000+IF(手動調整!$J$170&lt;&gt;"",0,50000)+AK168*10+AM168)</f>
        <v/>
      </c>
      <c r="AR168">
        <f>IF(AP168="","",COUNTIFS($F$2:$F$186,F168,$AP$2:$AP$186,AP168,$AQ$2:$AQ$186,"&lt;"&amp;AQ168)+1)</f>
        <v/>
      </c>
      <c r="AS168">
        <f>IF(AP168="","",F168&amp;AP168&amp;"-"&amp;AR168)</f>
        <v/>
      </c>
      <c r="AT168">
        <f>IF(AP168="",0,AP168)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  <c r="AP169">
        <f>IF(J169="","",IF(手動調整!$I$171&lt;&gt;"",手動調整!$I$171,AK169))</f>
        <v/>
      </c>
      <c r="AQ169">
        <f>IF(AP169="","",IF(手動調整!$J$171&lt;&gt;"",手動調整!$J$171,AM169)*100000+IF(手動調整!$J$171&lt;&gt;"",0,50000)+AK169*10+AM169)</f>
        <v/>
      </c>
      <c r="AR169">
        <f>IF(AP169="","",COUNTIFS($F$2:$F$186,F169,$AP$2:$AP$186,AP169,$AQ$2:$AQ$186,"&lt;"&amp;AQ169)+1)</f>
        <v/>
      </c>
      <c r="AS169">
        <f>IF(AP169="","",F169&amp;AP169&amp;"-"&amp;AR169)</f>
        <v/>
      </c>
      <c r="AT169">
        <f>IF(AP169="",0,AP169)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  <c r="AP170">
        <f>IF(J170="","",IF(手動調整!$I$172&lt;&gt;"",手動調整!$I$172,AK170))</f>
        <v/>
      </c>
      <c r="AQ170">
        <f>IF(AP170="","",IF(手動調整!$J$172&lt;&gt;"",手動調整!$J$172,AM170)*100000+IF(手動調整!$J$172&lt;&gt;"",0,50000)+AK170*10+AM170)</f>
        <v/>
      </c>
      <c r="AR170">
        <f>IF(AP170="","",COUNTIFS($F$2:$F$186,F170,$AP$2:$AP$186,AP170,$AQ$2:$AQ$186,"&lt;"&amp;AQ170)+1)</f>
        <v/>
      </c>
      <c r="AS170">
        <f>IF(AP170="","",F170&amp;AP170&amp;"-"&amp;AR170)</f>
        <v/>
      </c>
      <c r="AT170">
        <f>IF(AP170="",0,AP170)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  <c r="AP171">
        <f>IF(J171="","",IF(手動調整!$I$173&lt;&gt;"",手動調整!$I$173,AK171))</f>
        <v/>
      </c>
      <c r="AQ171">
        <f>IF(AP171="","",IF(手動調整!$J$173&lt;&gt;"",手動調整!$J$173,AM171)*100000+IF(手動調整!$J$173&lt;&gt;"",0,50000)+AK171*10+AM171)</f>
        <v/>
      </c>
      <c r="AR171">
        <f>IF(AP171="","",COUNTIFS($F$2:$F$186,F171,$AP$2:$AP$186,AP171,$AQ$2:$AQ$186,"&lt;"&amp;AQ171)+1)</f>
        <v/>
      </c>
      <c r="AS171">
        <f>IF(AP171="","",F171&amp;AP171&amp;"-"&amp;AR171)</f>
        <v/>
      </c>
      <c r="AT171">
        <f>IF(AP171="",0,AP171)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  <c r="AP172">
        <f>IF(J172="","",IF(手動調整!$I$174&lt;&gt;"",手動調整!$I$174,AK172))</f>
        <v/>
      </c>
      <c r="AQ172">
        <f>IF(AP172="","",IF(手動調整!$J$174&lt;&gt;"",手動調整!$J$174,AM172)*100000+IF(手動調整!$J$174&lt;&gt;"",0,50000)+AK172*10+AM172)</f>
        <v/>
      </c>
      <c r="AR172">
        <f>IF(AP172="","",COUNTIFS($F$2:$F$186,F172,$AP$2:$AP$186,AP172,$AQ$2:$AQ$186,"&lt;"&amp;AQ172)+1)</f>
        <v/>
      </c>
      <c r="AS172">
        <f>IF(AP172="","",F172&amp;AP172&amp;"-"&amp;AR172)</f>
        <v/>
      </c>
      <c r="AT172">
        <f>IF(AP172="",0,AP172)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  <c r="AP173">
        <f>IF(J173="","",IF(手動調整!$I$175&lt;&gt;"",手動調整!$I$175,AK173))</f>
        <v/>
      </c>
      <c r="AQ173">
        <f>IF(AP173="","",IF(手動調整!$J$175&lt;&gt;"",手動調整!$J$175,AM173)*100000+IF(手動調整!$J$175&lt;&gt;"",0,50000)+AK173*10+AM173)</f>
        <v/>
      </c>
      <c r="AR173">
        <f>IF(AP173="","",COUNTIFS($F$2:$F$186,F173,$AP$2:$AP$186,AP173,$AQ$2:$AQ$186,"&lt;"&amp;AQ173)+1)</f>
        <v/>
      </c>
      <c r="AS173">
        <f>IF(AP173="","",F173&amp;AP173&amp;"-"&amp;AR173)</f>
        <v/>
      </c>
      <c r="AT173">
        <f>IF(AP173="",0,AP173)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  <c r="AP174">
        <f>IF(J174="","",IF(手動調整!$I$176&lt;&gt;"",手動調整!$I$176,AK174))</f>
        <v/>
      </c>
      <c r="AQ174">
        <f>IF(AP174="","",IF(手動調整!$J$176&lt;&gt;"",手動調整!$J$176,AM174)*100000+IF(手動調整!$J$176&lt;&gt;"",0,50000)+AK174*10+AM174)</f>
        <v/>
      </c>
      <c r="AR174">
        <f>IF(AP174="","",COUNTIFS($F$2:$F$186,F174,$AP$2:$AP$186,AP174,$AQ$2:$AQ$186,"&lt;"&amp;AQ174)+1)</f>
        <v/>
      </c>
      <c r="AS174">
        <f>IF(AP174="","",F174&amp;AP174&amp;"-"&amp;AR174)</f>
        <v/>
      </c>
      <c r="AT174">
        <f>IF(AP174="",0,AP174)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  <c r="AP175">
        <f>IF(J175="","",IF(手動調整!$I$177&lt;&gt;"",手動調整!$I$177,AK175))</f>
        <v/>
      </c>
      <c r="AQ175">
        <f>IF(AP175="","",IF(手動調整!$J$177&lt;&gt;"",手動調整!$J$177,AM175)*100000+IF(手動調整!$J$177&lt;&gt;"",0,50000)+AK175*10+AM175)</f>
        <v/>
      </c>
      <c r="AR175">
        <f>IF(AP175="","",COUNTIFS($F$2:$F$186,F175,$AP$2:$AP$186,AP175,$AQ$2:$AQ$186,"&lt;"&amp;AQ175)+1)</f>
        <v/>
      </c>
      <c r="AS175">
        <f>IF(AP175="","",F175&amp;AP175&amp;"-"&amp;AR175)</f>
        <v/>
      </c>
      <c r="AT175">
        <f>IF(AP175="",0,AP175)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  <c r="AP176">
        <f>IF(J176="","",IF(手動調整!$I$178&lt;&gt;"",手動調整!$I$178,AK176))</f>
        <v/>
      </c>
      <c r="AQ176">
        <f>IF(AP176="","",IF(手動調整!$J$178&lt;&gt;"",手動調整!$J$178,AM176)*100000+IF(手動調整!$J$178&lt;&gt;"",0,50000)+AK176*10+AM176)</f>
        <v/>
      </c>
      <c r="AR176">
        <f>IF(AP176="","",COUNTIFS($F$2:$F$186,F176,$AP$2:$AP$186,AP176,$AQ$2:$AQ$186,"&lt;"&amp;AQ176)+1)</f>
        <v/>
      </c>
      <c r="AS176">
        <f>IF(AP176="","",F176&amp;AP176&amp;"-"&amp;AR176)</f>
        <v/>
      </c>
      <c r="AT176">
        <f>IF(AP176="",0,AP176)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  <c r="AP177">
        <f>IF(J177="","",IF(手動調整!$I$179&lt;&gt;"",手動調整!$I$179,AK177))</f>
        <v/>
      </c>
      <c r="AQ177">
        <f>IF(AP177="","",IF(手動調整!$J$179&lt;&gt;"",手動調整!$J$179,AM177)*100000+IF(手動調整!$J$179&lt;&gt;"",0,50000)+AK177*10+AM177)</f>
        <v/>
      </c>
      <c r="AR177">
        <f>IF(AP177="","",COUNTIFS($F$2:$F$186,F177,$AP$2:$AP$186,AP177,$AQ$2:$AQ$186,"&lt;"&amp;AQ177)+1)</f>
        <v/>
      </c>
      <c r="AS177">
        <f>IF(AP177="","",F177&amp;AP177&amp;"-"&amp;AR177)</f>
        <v/>
      </c>
      <c r="AT177">
        <f>IF(AP177="",0,AP177)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  <c r="AP178">
        <f>IF(J178="","",IF(手動調整!$I$180&lt;&gt;"",手動調整!$I$180,AK178))</f>
        <v/>
      </c>
      <c r="AQ178">
        <f>IF(AP178="","",IF(手動調整!$J$180&lt;&gt;"",手動調整!$J$180,AM178)*100000+IF(手動調整!$J$180&lt;&gt;"",0,50000)+AK178*10+AM178)</f>
        <v/>
      </c>
      <c r="AR178">
        <f>IF(AP178="","",COUNTIFS($F$2:$F$186,F178,$AP$2:$AP$186,AP178,$AQ$2:$AQ$186,"&lt;"&amp;AQ178)+1)</f>
        <v/>
      </c>
      <c r="AS178">
        <f>IF(AP178="","",F178&amp;AP178&amp;"-"&amp;AR178)</f>
        <v/>
      </c>
      <c r="AT178">
        <f>IF(AP178="",0,AP178)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  <c r="AP179">
        <f>IF(J179="","",IF(手動調整!$I$181&lt;&gt;"",手動調整!$I$181,AK179))</f>
        <v/>
      </c>
      <c r="AQ179">
        <f>IF(AP179="","",IF(手動調整!$J$181&lt;&gt;"",手動調整!$J$181,AM179)*100000+IF(手動調整!$J$181&lt;&gt;"",0,50000)+AK179*10+AM179)</f>
        <v/>
      </c>
      <c r="AR179">
        <f>IF(AP179="","",COUNTIFS($F$2:$F$186,F179,$AP$2:$AP$186,AP179,$AQ$2:$AQ$186,"&lt;"&amp;AQ179)+1)</f>
        <v/>
      </c>
      <c r="AS179">
        <f>IF(AP179="","",F179&amp;AP179&amp;"-"&amp;AR179)</f>
        <v/>
      </c>
      <c r="AT179">
        <f>IF(AP179="",0,AP179)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  <c r="AP180">
        <f>IF(J180="","",IF(手動調整!$I$182&lt;&gt;"",手動調整!$I$182,AK180))</f>
        <v/>
      </c>
      <c r="AQ180">
        <f>IF(AP180="","",IF(手動調整!$J$182&lt;&gt;"",手動調整!$J$182,AM180)*100000+IF(手動調整!$J$182&lt;&gt;"",0,50000)+AK180*10+AM180)</f>
        <v/>
      </c>
      <c r="AR180">
        <f>IF(AP180="","",COUNTIFS($F$2:$F$186,F180,$AP$2:$AP$186,AP180,$AQ$2:$AQ$186,"&lt;"&amp;AQ180)+1)</f>
        <v/>
      </c>
      <c r="AS180">
        <f>IF(AP180="","",F180&amp;AP180&amp;"-"&amp;AR180)</f>
        <v/>
      </c>
      <c r="AT180">
        <f>IF(AP180="",0,AP180)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  <c r="AP181">
        <f>IF(J181="","",IF(手動調整!$I$183&lt;&gt;"",手動調整!$I$183,AK181))</f>
        <v/>
      </c>
      <c r="AQ181">
        <f>IF(AP181="","",IF(手動調整!$J$183&lt;&gt;"",手動調整!$J$183,AM181)*100000+IF(手動調整!$J$183&lt;&gt;"",0,50000)+AK181*10+AM181)</f>
        <v/>
      </c>
      <c r="AR181">
        <f>IF(AP181="","",COUNTIFS($F$2:$F$186,F181,$AP$2:$AP$186,AP181,$AQ$2:$AQ$186,"&lt;"&amp;AQ181)+1)</f>
        <v/>
      </c>
      <c r="AS181">
        <f>IF(AP181="","",F181&amp;AP181&amp;"-"&amp;AR181)</f>
        <v/>
      </c>
      <c r="AT181">
        <f>IF(AP181="",0,AP181)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  <c r="AP182">
        <f>IF(J182="","",IF(手動調整!$I$184&lt;&gt;"",手動調整!$I$184,AK182))</f>
        <v/>
      </c>
      <c r="AQ182">
        <f>IF(AP182="","",IF(手動調整!$J$184&lt;&gt;"",手動調整!$J$184,AM182)*100000+IF(手動調整!$J$184&lt;&gt;"",0,50000)+AK182*10+AM182)</f>
        <v/>
      </c>
      <c r="AR182">
        <f>IF(AP182="","",COUNTIFS($F$2:$F$186,F182,$AP$2:$AP$186,AP182,$AQ$2:$AQ$186,"&lt;"&amp;AQ182)+1)</f>
        <v/>
      </c>
      <c r="AS182">
        <f>IF(AP182="","",F182&amp;AP182&amp;"-"&amp;AR182)</f>
        <v/>
      </c>
      <c r="AT182">
        <f>IF(AP182="",0,AP182)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  <c r="AP183">
        <f>IF(J183="","",IF(手動調整!$I$185&lt;&gt;"",手動調整!$I$185,AK183))</f>
        <v/>
      </c>
      <c r="AQ183">
        <f>IF(AP183="","",IF(手動調整!$J$185&lt;&gt;"",手動調整!$J$185,AM183)*100000+IF(手動調整!$J$185&lt;&gt;"",0,50000)+AK183*10+AM183)</f>
        <v/>
      </c>
      <c r="AR183">
        <f>IF(AP183="","",COUNTIFS($F$2:$F$186,F183,$AP$2:$AP$186,AP183,$AQ$2:$AQ$186,"&lt;"&amp;AQ183)+1)</f>
        <v/>
      </c>
      <c r="AS183">
        <f>IF(AP183="","",F183&amp;AP183&amp;"-"&amp;AR183)</f>
        <v/>
      </c>
      <c r="AT183">
        <f>IF(AP183="",0,AP183)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  <c r="AP184">
        <f>IF(J184="","",IF(手動調整!$I$186&lt;&gt;"",手動調整!$I$186,AK184))</f>
        <v/>
      </c>
      <c r="AQ184">
        <f>IF(AP184="","",IF(手動調整!$J$186&lt;&gt;"",手動調整!$J$186,AM184)*100000+IF(手動調整!$J$186&lt;&gt;"",0,50000)+AK184*10+AM184)</f>
        <v/>
      </c>
      <c r="AR184">
        <f>IF(AP184="","",COUNTIFS($F$2:$F$186,F184,$AP$2:$AP$186,AP184,$AQ$2:$AQ$186,"&lt;"&amp;AQ184)+1)</f>
        <v/>
      </c>
      <c r="AS184">
        <f>IF(AP184="","",F184&amp;AP184&amp;"-"&amp;AR184)</f>
        <v/>
      </c>
      <c r="AT184">
        <f>IF(AP184="",0,AP184)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  <c r="AP185">
        <f>IF(J185="","",IF(手動調整!$I$187&lt;&gt;"",手動調整!$I$187,AK185))</f>
        <v/>
      </c>
      <c r="AQ185">
        <f>IF(AP185="","",IF(手動調整!$J$187&lt;&gt;"",手動調整!$J$187,AM185)*100000+IF(手動調整!$J$187&lt;&gt;"",0,50000)+AK185*10+AM185)</f>
        <v/>
      </c>
      <c r="AR185">
        <f>IF(AP185="","",COUNTIFS($F$2:$F$186,F185,$AP$2:$AP$186,AP185,$AQ$2:$AQ$186,"&lt;"&amp;AQ185)+1)</f>
        <v/>
      </c>
      <c r="AS185">
        <f>IF(AP185="","",F185&amp;AP185&amp;"-"&amp;AR185)</f>
        <v/>
      </c>
      <c r="AT185">
        <f>IF(AP185="",0,AP185)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  <c r="AP186">
        <f>IF(J186="","",IF(手動調整!$I$188&lt;&gt;"",手動調整!$I$188,AK186))</f>
        <v/>
      </c>
      <c r="AQ186">
        <f>IF(AP186="","",IF(手動調整!$J$188&lt;&gt;"",手動調整!$J$188,AM186)*100000+IF(手動調整!$J$188&lt;&gt;"",0,50000)+AK186*10+AM186)</f>
        <v/>
      </c>
      <c r="AR186">
        <f>IF(AP186="","",COUNTIFS($F$2:$F$186,F186,$AP$2:$AP$186,AP186,$AQ$2:$AQ$186,"&lt;"&amp;AQ186)+1)</f>
        <v/>
      </c>
      <c r="AS186">
        <f>IF(AP186="","",F186&amp;AP186&amp;"-"&amp;AR186)</f>
        <v/>
      </c>
      <c r="AT186">
        <f>IF(AP186="",0,AP186)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2026-09-29T15:13:33Z</dcterms:modified>
  <cp:lastModifiedBy>馬場　久寿</cp:lastModifiedBy>
  <cp:revision>0</cp:revision>
  <cp:lastPrinted>2026-09-12T09:14:17Z</cp:lastPrinted>
</cp:coreProperties>
</file>