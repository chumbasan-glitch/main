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手直し" sheetId="4" state="visible" r:id="rId4"/>
    <sheet name="決定版" sheetId="5" state="visible" r:id="rId5"/>
    <sheet name="走順" sheetId="6" state="visible" r:id="rId6"/>
    <sheet name="計算用" sheetId="7" state="visible" r:id="rId7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Area" localSheetId="3">手直し!$A$1:$Q$55</definedName>
    <definedName name="_xlnm.Print_Area" localSheetId="4">OFFSET(決定版!$A$1,0,0,3+MAX(計算用!$Q$13,計算用!$Q$14),31)</definedName>
    <definedName name="_xlnm.Print_Area" localSheetId="5">OFFSET(走順!$A$1,0,0,5+計算用!$Q$30,13)</definedName>
    <definedName name="_xlnm.Print_Titles" localSheetId="1">'組ごとタイム順'!$1:$3</definedName>
    <definedName name="_xlnm.Print_Titles" localSheetId="2">'4人組'!$1:$3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2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CE4E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2" customWidth="1" style="11" min="10" max="10"/>
    <col width="5" customWidth="1" style="11" min="11" max="11"/>
    <col width="8" customWidth="1" style="11" min="12" max="12"/>
    <col width="5" customWidth="1" style="11" min="13" max="13"/>
    <col width="8" customWidth="1" style="11" min="14" max="14"/>
    <col width="2" customWidth="1" style="11" min="15" max="15"/>
    <col width="16" customWidth="1" style="11" min="16" max="16"/>
    <col width="16" customWidth="1" style="11" min="17" max="17"/>
    <col width="2" customWidth="1" style="11" min="18" max="18"/>
    <col width="12" customWidth="1" style="11" min="19" max="19"/>
    <col width="1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</cols>
  <sheetData>
    <row r="1" ht="48" customHeight="1" s="11">
      <c r="A1" s="27" t="inlineStr">
        <is>
          <t>手直し</t>
        </is>
      </c>
      <c r="C1" s="28" t="inlineStr">
        <is>
          <t>① 右の「自動の組（コピー用）」S6:Z55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3">
        <f>"男子：自動 "&amp;計算用!$Q$9&amp;"組 → 手直し "&amp;計算用!$Q$13&amp;"組"</f>
        <v/>
      </c>
      <c r="E2" s="24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3">
        <f>"女子：自動 "&amp;計算用!$Q$11&amp;"組 → 手直し "&amp;計算用!$Q$14&amp;"組"</f>
        <v/>
      </c>
      <c r="E3" s="24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S3" s="29" t="inlineStr">
        <is>
          <t>自動の組（コピー用）</t>
        </is>
      </c>
      <c r="T3" s="29" t="n"/>
      <c r="U3" s="29" t="n"/>
      <c r="V3" s="29" t="n"/>
      <c r="W3" s="29" t="n"/>
      <c r="X3" s="29" t="n"/>
      <c r="Y3" s="29" t="n"/>
      <c r="Z3" s="29" t="n"/>
    </row>
    <row r="4">
      <c r="A4" s="25" t="inlineStr">
        <is>
          <t>組</t>
        </is>
      </c>
      <c r="B4" s="25" t="inlineStr">
        <is>
          <t>男子</t>
        </is>
      </c>
      <c r="C4" s="25" t="n"/>
      <c r="D4" s="25" t="n"/>
      <c r="E4" s="25" t="n"/>
      <c r="F4" s="25" t="inlineStr">
        <is>
          <t>女子</t>
        </is>
      </c>
      <c r="G4" s="25" t="n"/>
      <c r="H4" s="25" t="n"/>
      <c r="I4" s="25" t="n"/>
      <c r="K4" s="25" t="inlineStr">
        <is>
          <t>男子</t>
        </is>
      </c>
      <c r="L4" s="25" t="n"/>
      <c r="M4" s="25" t="inlineStr">
        <is>
          <t>女子</t>
        </is>
      </c>
      <c r="N4" s="25" t="n"/>
      <c r="P4" s="25" t="inlineStr">
        <is>
          <t>入っていない人</t>
        </is>
      </c>
      <c r="Q4" s="25" t="n"/>
      <c r="S4" s="29" t="inlineStr">
        <is>
          <t>男子</t>
        </is>
      </c>
      <c r="T4" s="29" t="n"/>
      <c r="U4" s="29" t="n"/>
      <c r="V4" s="29" t="n"/>
      <c r="W4" s="29" t="inlineStr">
        <is>
          <t>女子</t>
        </is>
      </c>
      <c r="X4" s="29" t="n"/>
      <c r="Y4" s="29" t="n"/>
      <c r="Z4" s="29" t="n"/>
    </row>
    <row r="5">
      <c r="A5" s="25" t="n"/>
      <c r="B5" s="25" t="inlineStr">
        <is>
          <t>1人目</t>
        </is>
      </c>
      <c r="C5" s="25" t="inlineStr">
        <is>
          <t>2人目</t>
        </is>
      </c>
      <c r="D5" s="25" t="inlineStr">
        <is>
          <t>3人目</t>
        </is>
      </c>
      <c r="E5" s="25" t="inlineStr">
        <is>
          <t>4人目</t>
        </is>
      </c>
      <c r="F5" s="25" t="inlineStr">
        <is>
          <t>1人目</t>
        </is>
      </c>
      <c r="G5" s="25" t="inlineStr">
        <is>
          <t>2人目</t>
        </is>
      </c>
      <c r="H5" s="25" t="inlineStr">
        <is>
          <t>3人目</t>
        </is>
      </c>
      <c r="I5" s="25" t="inlineStr">
        <is>
          <t>4人目</t>
        </is>
      </c>
      <c r="K5" s="25" t="inlineStr">
        <is>
          <t>人数</t>
        </is>
      </c>
      <c r="L5" s="25" t="inlineStr">
        <is>
          <t>内訳</t>
        </is>
      </c>
      <c r="M5" s="25" t="inlineStr">
        <is>
          <t>人数</t>
        </is>
      </c>
      <c r="N5" s="25" t="inlineStr">
        <is>
          <t>内訳</t>
        </is>
      </c>
      <c r="P5" s="25" t="inlineStr">
        <is>
          <t>男子</t>
        </is>
      </c>
      <c r="Q5" s="25" t="inlineStr">
        <is>
          <t>女子</t>
        </is>
      </c>
      <c r="S5" s="29" t="inlineStr">
        <is>
          <t>1人目</t>
        </is>
      </c>
      <c r="T5" s="29" t="inlineStr">
        <is>
          <t>2人目</t>
        </is>
      </c>
      <c r="U5" s="29" t="inlineStr">
        <is>
          <t>3人目</t>
        </is>
      </c>
      <c r="V5" s="29" t="inlineStr">
        <is>
          <t>4人目</t>
        </is>
      </c>
      <c r="W5" s="29" t="inlineStr">
        <is>
          <t>1人目</t>
        </is>
      </c>
      <c r="X5" s="29" t="inlineStr">
        <is>
          <t>2人目</t>
        </is>
      </c>
      <c r="Y5" s="29" t="inlineStr">
        <is>
          <t>3人目</t>
        </is>
      </c>
      <c r="Z5" s="29" t="inlineStr">
        <is>
          <t>4人目</t>
        </is>
      </c>
    </row>
    <row r="6">
      <c r="A6" s="26" t="n">
        <v>1</v>
      </c>
      <c r="B6" s="30" t="n"/>
      <c r="C6" s="30" t="n"/>
      <c r="D6" s="30" t="n"/>
      <c r="E6" s="30" t="n"/>
      <c r="F6" s="30" t="n"/>
      <c r="G6" s="30" t="n"/>
      <c r="H6" s="30" t="n"/>
      <c r="I6" s="30" t="n"/>
      <c r="K6" s="31">
        <f>COUNTIF(B6:E6,"?*")</f>
        <v/>
      </c>
      <c r="L6" s="26">
        <f>IF(K6=0,"","赤"&amp;SUMPRODUCT(COUNTIFS(計算用!$AO$2:$AO$186,"男"&amp;B6:E6,計算用!$I$2:$I$186,"赤"))&amp;"白"&amp;SUMPRODUCT(COUNTIFS(計算用!$AO$2:$AO$186,"男"&amp;B6:E6,計算用!$I$2:$I$186,"白")))</f>
        <v/>
      </c>
      <c r="M6" s="31">
        <f>COUNTIF(F6:I6,"?*")</f>
        <v/>
      </c>
      <c r="N6" s="26">
        <f>IF(M6=0,"","赤"&amp;SUMPRODUCT(COUNTIFS(計算用!$AO$2:$AO$186,"女"&amp;F6:I6,計算用!$I$2:$I$186,"赤"))&amp;"白"&amp;SUMPRODUCT(COUNTIFS(計算用!$AO$2:$AO$186,"女"&amp;F6:I6,計算用!$I$2:$I$186,"白")))</f>
        <v/>
      </c>
      <c r="P6">
        <f>IFERROR(INDEX(計算用!$D$2:$D$186,MATCH(1,計算用!$AR$2:$AR$186,0))&amp;"（"&amp;INDEX(計算用!$M$2:$M$186,MATCH(1,計算用!$AR$2:$AR$186,0))&amp;"）","")</f>
        <v/>
      </c>
      <c r="Q6">
        <f>IFERROR(INDEX(計算用!$D$2:$D$186,MATCH(1,計算用!$AS$2:$AS$186,0))&amp;"（"&amp;INDEX(計算用!$M$2:$M$186,MATCH(1,計算用!$AS$2:$AS$186,0))&amp;"）","")</f>
        <v/>
      </c>
      <c r="S6" s="32">
        <f>'4人組'!D4&amp;""</f>
        <v/>
      </c>
      <c r="T6" s="32">
        <f>'4人組'!G4&amp;""</f>
        <v/>
      </c>
      <c r="U6" s="32">
        <f>'4人組'!J4&amp;""</f>
        <v/>
      </c>
      <c r="V6" s="32">
        <f>'4人組'!M4&amp;""</f>
        <v/>
      </c>
      <c r="W6" s="32">
        <f>'4人組'!T4&amp;""</f>
        <v/>
      </c>
      <c r="X6" s="32">
        <f>'4人組'!W4&amp;""</f>
        <v/>
      </c>
      <c r="Y6" s="32">
        <f>'4人組'!Z4&amp;""</f>
        <v/>
      </c>
      <c r="Z6" s="32">
        <f>'4人組'!AC4&amp;""</f>
        <v/>
      </c>
    </row>
    <row r="7">
      <c r="A7" s="26" t="n">
        <v>2</v>
      </c>
      <c r="B7" s="30" t="n"/>
      <c r="C7" s="30" t="n"/>
      <c r="D7" s="30" t="n"/>
      <c r="E7" s="30" t="n"/>
      <c r="F7" s="30" t="n"/>
      <c r="G7" s="30" t="n"/>
      <c r="H7" s="30" t="n"/>
      <c r="I7" s="30" t="n"/>
      <c r="K7" s="31">
        <f>COUNTIF(B7:E7,"?*")</f>
        <v/>
      </c>
      <c r="L7" s="26">
        <f>IF(K7=0,"","赤"&amp;SUMPRODUCT(COUNTIFS(計算用!$AO$2:$AO$186,"男"&amp;B7:E7,計算用!$I$2:$I$186,"赤"))&amp;"白"&amp;SUMPRODUCT(COUNTIFS(計算用!$AO$2:$AO$186,"男"&amp;B7:E7,計算用!$I$2:$I$186,"白")))</f>
        <v/>
      </c>
      <c r="M7" s="31">
        <f>COUNTIF(F7:I7,"?*")</f>
        <v/>
      </c>
      <c r="N7" s="26">
        <f>IF(M7=0,"","赤"&amp;SUMPRODUCT(COUNTIFS(計算用!$AO$2:$AO$186,"女"&amp;F7:I7,計算用!$I$2:$I$186,"赤"))&amp;"白"&amp;SUMPRODUCT(COUNTIFS(計算用!$AO$2:$AO$186,"女"&amp;F7:I7,計算用!$I$2:$I$186,"白")))</f>
        <v/>
      </c>
      <c r="P7">
        <f>IFERROR(INDEX(計算用!$D$2:$D$186,MATCH(2,計算用!$AR$2:$AR$186,0))&amp;"（"&amp;INDEX(計算用!$M$2:$M$186,MATCH(2,計算用!$AR$2:$AR$186,0))&amp;"）","")</f>
        <v/>
      </c>
      <c r="Q7">
        <f>IFERROR(INDEX(計算用!$D$2:$D$186,MATCH(2,計算用!$AS$2:$AS$186,0))&amp;"（"&amp;INDEX(計算用!$M$2:$M$186,MATCH(2,計算用!$AS$2:$AS$186,0))&amp;"）","")</f>
        <v/>
      </c>
      <c r="S7" s="32">
        <f>'4人組'!D5&amp;""</f>
        <v/>
      </c>
      <c r="T7" s="32">
        <f>'4人組'!G5&amp;""</f>
        <v/>
      </c>
      <c r="U7" s="32">
        <f>'4人組'!J5&amp;""</f>
        <v/>
      </c>
      <c r="V7" s="32">
        <f>'4人組'!M5&amp;""</f>
        <v/>
      </c>
      <c r="W7" s="32">
        <f>'4人組'!T5&amp;""</f>
        <v/>
      </c>
      <c r="X7" s="32">
        <f>'4人組'!W5&amp;""</f>
        <v/>
      </c>
      <c r="Y7" s="32">
        <f>'4人組'!Z5&amp;""</f>
        <v/>
      </c>
      <c r="Z7" s="32">
        <f>'4人組'!AC5&amp;""</f>
        <v/>
      </c>
    </row>
    <row r="8">
      <c r="A8" s="26" t="n">
        <v>3</v>
      </c>
      <c r="B8" s="30" t="n"/>
      <c r="C8" s="30" t="n"/>
      <c r="D8" s="30" t="n"/>
      <c r="E8" s="30" t="n"/>
      <c r="F8" s="30" t="n"/>
      <c r="G8" s="30" t="n"/>
      <c r="H8" s="30" t="n"/>
      <c r="I8" s="30" t="n"/>
      <c r="K8" s="31">
        <f>COUNTIF(B8:E8,"?*")</f>
        <v/>
      </c>
      <c r="L8" s="26">
        <f>IF(K8=0,"","赤"&amp;SUMPRODUCT(COUNTIFS(計算用!$AO$2:$AO$186,"男"&amp;B8:E8,計算用!$I$2:$I$186,"赤"))&amp;"白"&amp;SUMPRODUCT(COUNTIFS(計算用!$AO$2:$AO$186,"男"&amp;B8:E8,計算用!$I$2:$I$186,"白")))</f>
        <v/>
      </c>
      <c r="M8" s="31">
        <f>COUNTIF(F8:I8,"?*")</f>
        <v/>
      </c>
      <c r="N8" s="26">
        <f>IF(M8=0,"","赤"&amp;SUMPRODUCT(COUNTIFS(計算用!$AO$2:$AO$186,"女"&amp;F8:I8,計算用!$I$2:$I$186,"赤"))&amp;"白"&amp;SUMPRODUCT(COUNTIFS(計算用!$AO$2:$AO$186,"女"&amp;F8:I8,計算用!$I$2:$I$186,"白")))</f>
        <v/>
      </c>
      <c r="P8">
        <f>IFERROR(INDEX(計算用!$D$2:$D$186,MATCH(3,計算用!$AR$2:$AR$186,0))&amp;"（"&amp;INDEX(計算用!$M$2:$M$186,MATCH(3,計算用!$AR$2:$AR$186,0))&amp;"）","")</f>
        <v/>
      </c>
      <c r="Q8">
        <f>IFERROR(INDEX(計算用!$D$2:$D$186,MATCH(3,計算用!$AS$2:$AS$186,0))&amp;"（"&amp;INDEX(計算用!$M$2:$M$186,MATCH(3,計算用!$AS$2:$AS$186,0))&amp;"）","")</f>
        <v/>
      </c>
      <c r="S8" s="32">
        <f>'4人組'!D6&amp;""</f>
        <v/>
      </c>
      <c r="T8" s="32">
        <f>'4人組'!G6&amp;""</f>
        <v/>
      </c>
      <c r="U8" s="32">
        <f>'4人組'!J6&amp;""</f>
        <v/>
      </c>
      <c r="V8" s="32">
        <f>'4人組'!M6&amp;""</f>
        <v/>
      </c>
      <c r="W8" s="32">
        <f>'4人組'!T6&amp;""</f>
        <v/>
      </c>
      <c r="X8" s="32">
        <f>'4人組'!W6&amp;""</f>
        <v/>
      </c>
      <c r="Y8" s="32">
        <f>'4人組'!Z6&amp;""</f>
        <v/>
      </c>
      <c r="Z8" s="32">
        <f>'4人組'!AC6&amp;""</f>
        <v/>
      </c>
    </row>
    <row r="9">
      <c r="A9" s="26" t="n">
        <v>4</v>
      </c>
      <c r="B9" s="30" t="n"/>
      <c r="C9" s="30" t="n"/>
      <c r="D9" s="30" t="n"/>
      <c r="E9" s="30" t="n"/>
      <c r="F9" s="30" t="n"/>
      <c r="G9" s="30" t="n"/>
      <c r="H9" s="30" t="n"/>
      <c r="I9" s="30" t="n"/>
      <c r="K9" s="31">
        <f>COUNTIF(B9:E9,"?*")</f>
        <v/>
      </c>
      <c r="L9" s="26">
        <f>IF(K9=0,"","赤"&amp;SUMPRODUCT(COUNTIFS(計算用!$AO$2:$AO$186,"男"&amp;B9:E9,計算用!$I$2:$I$186,"赤"))&amp;"白"&amp;SUMPRODUCT(COUNTIFS(計算用!$AO$2:$AO$186,"男"&amp;B9:E9,計算用!$I$2:$I$186,"白")))</f>
        <v/>
      </c>
      <c r="M9" s="31">
        <f>COUNTIF(F9:I9,"?*")</f>
        <v/>
      </c>
      <c r="N9" s="26">
        <f>IF(M9=0,"","赤"&amp;SUMPRODUCT(COUNTIFS(計算用!$AO$2:$AO$186,"女"&amp;F9:I9,計算用!$I$2:$I$186,"赤"))&amp;"白"&amp;SUMPRODUCT(COUNTIFS(計算用!$AO$2:$AO$186,"女"&amp;F9:I9,計算用!$I$2:$I$186,"白")))</f>
        <v/>
      </c>
      <c r="P9">
        <f>IFERROR(INDEX(計算用!$D$2:$D$186,MATCH(4,計算用!$AR$2:$AR$186,0))&amp;"（"&amp;INDEX(計算用!$M$2:$M$186,MATCH(4,計算用!$AR$2:$AR$186,0))&amp;"）","")</f>
        <v/>
      </c>
      <c r="Q9">
        <f>IFERROR(INDEX(計算用!$D$2:$D$186,MATCH(4,計算用!$AS$2:$AS$186,0))&amp;"（"&amp;INDEX(計算用!$M$2:$M$186,MATCH(4,計算用!$AS$2:$AS$186,0))&amp;"）","")</f>
        <v/>
      </c>
      <c r="S9" s="32">
        <f>'4人組'!D7&amp;""</f>
        <v/>
      </c>
      <c r="T9" s="32">
        <f>'4人組'!G7&amp;""</f>
        <v/>
      </c>
      <c r="U9" s="32">
        <f>'4人組'!J7&amp;""</f>
        <v/>
      </c>
      <c r="V9" s="32">
        <f>'4人組'!M7&amp;""</f>
        <v/>
      </c>
      <c r="W9" s="32">
        <f>'4人組'!T7&amp;""</f>
        <v/>
      </c>
      <c r="X9" s="32">
        <f>'4人組'!W7&amp;""</f>
        <v/>
      </c>
      <c r="Y9" s="32">
        <f>'4人組'!Z7&amp;""</f>
        <v/>
      </c>
      <c r="Z9" s="32">
        <f>'4人組'!AC7&amp;""</f>
        <v/>
      </c>
    </row>
    <row r="10">
      <c r="A10" s="26" t="n">
        <v>5</v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K10" s="31">
        <f>COUNTIF(B10:E10,"?*")</f>
        <v/>
      </c>
      <c r="L10" s="26">
        <f>IF(K10=0,"","赤"&amp;SUMPRODUCT(COUNTIFS(計算用!$AO$2:$AO$186,"男"&amp;B10:E10,計算用!$I$2:$I$186,"赤"))&amp;"白"&amp;SUMPRODUCT(COUNTIFS(計算用!$AO$2:$AO$186,"男"&amp;B10:E10,計算用!$I$2:$I$186,"白")))</f>
        <v/>
      </c>
      <c r="M10" s="31">
        <f>COUNTIF(F10:I10,"?*")</f>
        <v/>
      </c>
      <c r="N10" s="26">
        <f>IF(M10=0,"","赤"&amp;SUMPRODUCT(COUNTIFS(計算用!$AO$2:$AO$186,"女"&amp;F10:I10,計算用!$I$2:$I$186,"赤"))&amp;"白"&amp;SUMPRODUCT(COUNTIFS(計算用!$AO$2:$AO$186,"女"&amp;F10:I10,計算用!$I$2:$I$186,"白")))</f>
        <v/>
      </c>
      <c r="P10">
        <f>IFERROR(INDEX(計算用!$D$2:$D$186,MATCH(5,計算用!$AR$2:$AR$186,0))&amp;"（"&amp;INDEX(計算用!$M$2:$M$186,MATCH(5,計算用!$AR$2:$AR$186,0))&amp;"）","")</f>
        <v/>
      </c>
      <c r="Q10">
        <f>IFERROR(INDEX(計算用!$D$2:$D$186,MATCH(5,計算用!$AS$2:$AS$186,0))&amp;"（"&amp;INDEX(計算用!$M$2:$M$186,MATCH(5,計算用!$AS$2:$AS$186,0))&amp;"）","")</f>
        <v/>
      </c>
      <c r="S10" s="32">
        <f>'4人組'!D8&amp;""</f>
        <v/>
      </c>
      <c r="T10" s="32">
        <f>'4人組'!G8&amp;""</f>
        <v/>
      </c>
      <c r="U10" s="32">
        <f>'4人組'!J8&amp;""</f>
        <v/>
      </c>
      <c r="V10" s="32">
        <f>'4人組'!M8&amp;""</f>
        <v/>
      </c>
      <c r="W10" s="32">
        <f>'4人組'!T8&amp;""</f>
        <v/>
      </c>
      <c r="X10" s="32">
        <f>'4人組'!W8&amp;""</f>
        <v/>
      </c>
      <c r="Y10" s="32">
        <f>'4人組'!Z8&amp;""</f>
        <v/>
      </c>
      <c r="Z10" s="32">
        <f>'4人組'!AC8&amp;""</f>
        <v/>
      </c>
    </row>
    <row r="11">
      <c r="A11" s="26" t="n">
        <v>6</v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K11" s="31">
        <f>COUNTIF(B11:E11,"?*")</f>
        <v/>
      </c>
      <c r="L11" s="26">
        <f>IF(K11=0,"","赤"&amp;SUMPRODUCT(COUNTIFS(計算用!$AO$2:$AO$186,"男"&amp;B11:E11,計算用!$I$2:$I$186,"赤"))&amp;"白"&amp;SUMPRODUCT(COUNTIFS(計算用!$AO$2:$AO$186,"男"&amp;B11:E11,計算用!$I$2:$I$186,"白")))</f>
        <v/>
      </c>
      <c r="M11" s="31">
        <f>COUNTIF(F11:I11,"?*")</f>
        <v/>
      </c>
      <c r="N11" s="26">
        <f>IF(M11=0,"","赤"&amp;SUMPRODUCT(COUNTIFS(計算用!$AO$2:$AO$186,"女"&amp;F11:I11,計算用!$I$2:$I$186,"赤"))&amp;"白"&amp;SUMPRODUCT(COUNTIFS(計算用!$AO$2:$AO$186,"女"&amp;F11:I11,計算用!$I$2:$I$186,"白")))</f>
        <v/>
      </c>
      <c r="P11">
        <f>IFERROR(INDEX(計算用!$D$2:$D$186,MATCH(6,計算用!$AR$2:$AR$186,0))&amp;"（"&amp;INDEX(計算用!$M$2:$M$186,MATCH(6,計算用!$AR$2:$AR$186,0))&amp;"）","")</f>
        <v/>
      </c>
      <c r="Q11">
        <f>IFERROR(INDEX(計算用!$D$2:$D$186,MATCH(6,計算用!$AS$2:$AS$186,0))&amp;"（"&amp;INDEX(計算用!$M$2:$M$186,MATCH(6,計算用!$AS$2:$AS$186,0))&amp;"）","")</f>
        <v/>
      </c>
      <c r="S11" s="32">
        <f>'4人組'!D9&amp;""</f>
        <v/>
      </c>
      <c r="T11" s="32">
        <f>'4人組'!G9&amp;""</f>
        <v/>
      </c>
      <c r="U11" s="32">
        <f>'4人組'!J9&amp;""</f>
        <v/>
      </c>
      <c r="V11" s="32">
        <f>'4人組'!M9&amp;""</f>
        <v/>
      </c>
      <c r="W11" s="32">
        <f>'4人組'!T9&amp;""</f>
        <v/>
      </c>
      <c r="X11" s="32">
        <f>'4人組'!W9&amp;""</f>
        <v/>
      </c>
      <c r="Y11" s="32">
        <f>'4人組'!Z9&amp;""</f>
        <v/>
      </c>
      <c r="Z11" s="32">
        <f>'4人組'!AC9&amp;""</f>
        <v/>
      </c>
    </row>
    <row r="12">
      <c r="A12" s="26" t="n">
        <v>7</v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K12" s="31">
        <f>COUNTIF(B12:E12,"?*")</f>
        <v/>
      </c>
      <c r="L12" s="26">
        <f>IF(K12=0,"","赤"&amp;SUMPRODUCT(COUNTIFS(計算用!$AO$2:$AO$186,"男"&amp;B12:E12,計算用!$I$2:$I$186,"赤"))&amp;"白"&amp;SUMPRODUCT(COUNTIFS(計算用!$AO$2:$AO$186,"男"&amp;B12:E12,計算用!$I$2:$I$186,"白")))</f>
        <v/>
      </c>
      <c r="M12" s="31">
        <f>COUNTIF(F12:I12,"?*")</f>
        <v/>
      </c>
      <c r="N12" s="26">
        <f>IF(M12=0,"","赤"&amp;SUMPRODUCT(COUNTIFS(計算用!$AO$2:$AO$186,"女"&amp;F12:I12,計算用!$I$2:$I$186,"赤"))&amp;"白"&amp;SUMPRODUCT(COUNTIFS(計算用!$AO$2:$AO$186,"女"&amp;F12:I12,計算用!$I$2:$I$186,"白")))</f>
        <v/>
      </c>
      <c r="P12">
        <f>IFERROR(INDEX(計算用!$D$2:$D$186,MATCH(7,計算用!$AR$2:$AR$186,0))&amp;"（"&amp;INDEX(計算用!$M$2:$M$186,MATCH(7,計算用!$AR$2:$AR$186,0))&amp;"）","")</f>
        <v/>
      </c>
      <c r="Q12">
        <f>IFERROR(INDEX(計算用!$D$2:$D$186,MATCH(7,計算用!$AS$2:$AS$186,0))&amp;"（"&amp;INDEX(計算用!$M$2:$M$186,MATCH(7,計算用!$AS$2:$AS$186,0))&amp;"）","")</f>
        <v/>
      </c>
      <c r="S12" s="32">
        <f>'4人組'!D10&amp;""</f>
        <v/>
      </c>
      <c r="T12" s="32">
        <f>'4人組'!G10&amp;""</f>
        <v/>
      </c>
      <c r="U12" s="32">
        <f>'4人組'!J10&amp;""</f>
        <v/>
      </c>
      <c r="V12" s="32">
        <f>'4人組'!M10&amp;""</f>
        <v/>
      </c>
      <c r="W12" s="32">
        <f>'4人組'!T10&amp;""</f>
        <v/>
      </c>
      <c r="X12" s="32">
        <f>'4人組'!W10&amp;""</f>
        <v/>
      </c>
      <c r="Y12" s="32">
        <f>'4人組'!Z10&amp;""</f>
        <v/>
      </c>
      <c r="Z12" s="32">
        <f>'4人組'!AC10&amp;""</f>
        <v/>
      </c>
    </row>
    <row r="13">
      <c r="A13" s="26" t="n">
        <v>8</v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K13" s="31">
        <f>COUNTIF(B13:E13,"?*")</f>
        <v/>
      </c>
      <c r="L13" s="26">
        <f>IF(K13=0,"","赤"&amp;SUMPRODUCT(COUNTIFS(計算用!$AO$2:$AO$186,"男"&amp;B13:E13,計算用!$I$2:$I$186,"赤"))&amp;"白"&amp;SUMPRODUCT(COUNTIFS(計算用!$AO$2:$AO$186,"男"&amp;B13:E13,計算用!$I$2:$I$186,"白")))</f>
        <v/>
      </c>
      <c r="M13" s="31">
        <f>COUNTIF(F13:I13,"?*")</f>
        <v/>
      </c>
      <c r="N13" s="26">
        <f>IF(M13=0,"","赤"&amp;SUMPRODUCT(COUNTIFS(計算用!$AO$2:$AO$186,"女"&amp;F13:I13,計算用!$I$2:$I$186,"赤"))&amp;"白"&amp;SUMPRODUCT(COUNTIFS(計算用!$AO$2:$AO$186,"女"&amp;F13:I13,計算用!$I$2:$I$186,"白")))</f>
        <v/>
      </c>
      <c r="P13">
        <f>IFERROR(INDEX(計算用!$D$2:$D$186,MATCH(8,計算用!$AR$2:$AR$186,0))&amp;"（"&amp;INDEX(計算用!$M$2:$M$186,MATCH(8,計算用!$AR$2:$AR$186,0))&amp;"）","")</f>
        <v/>
      </c>
      <c r="Q13">
        <f>IFERROR(INDEX(計算用!$D$2:$D$186,MATCH(8,計算用!$AS$2:$AS$186,0))&amp;"（"&amp;INDEX(計算用!$M$2:$M$186,MATCH(8,計算用!$AS$2:$AS$186,0))&amp;"）","")</f>
        <v/>
      </c>
      <c r="S13" s="32">
        <f>'4人組'!D11&amp;""</f>
        <v/>
      </c>
      <c r="T13" s="32">
        <f>'4人組'!G11&amp;""</f>
        <v/>
      </c>
      <c r="U13" s="32">
        <f>'4人組'!J11&amp;""</f>
        <v/>
      </c>
      <c r="V13" s="32">
        <f>'4人組'!M11&amp;""</f>
        <v/>
      </c>
      <c r="W13" s="32">
        <f>'4人組'!T11&amp;""</f>
        <v/>
      </c>
      <c r="X13" s="32">
        <f>'4人組'!W11&amp;""</f>
        <v/>
      </c>
      <c r="Y13" s="32">
        <f>'4人組'!Z11&amp;""</f>
        <v/>
      </c>
      <c r="Z13" s="32">
        <f>'4人組'!AC11&amp;""</f>
        <v/>
      </c>
    </row>
    <row r="14">
      <c r="A14" s="26" t="n">
        <v>9</v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K14" s="31">
        <f>COUNTIF(B14:E14,"?*")</f>
        <v/>
      </c>
      <c r="L14" s="26">
        <f>IF(K14=0,"","赤"&amp;SUMPRODUCT(COUNTIFS(計算用!$AO$2:$AO$186,"男"&amp;B14:E14,計算用!$I$2:$I$186,"赤"))&amp;"白"&amp;SUMPRODUCT(COUNTIFS(計算用!$AO$2:$AO$186,"男"&amp;B14:E14,計算用!$I$2:$I$186,"白")))</f>
        <v/>
      </c>
      <c r="M14" s="31">
        <f>COUNTIF(F14:I14,"?*")</f>
        <v/>
      </c>
      <c r="N14" s="26">
        <f>IF(M14=0,"","赤"&amp;SUMPRODUCT(COUNTIFS(計算用!$AO$2:$AO$186,"女"&amp;F14:I14,計算用!$I$2:$I$186,"赤"))&amp;"白"&amp;SUMPRODUCT(COUNTIFS(計算用!$AO$2:$AO$186,"女"&amp;F14:I14,計算用!$I$2:$I$186,"白")))</f>
        <v/>
      </c>
      <c r="P14">
        <f>IFERROR(INDEX(計算用!$D$2:$D$186,MATCH(9,計算用!$AR$2:$AR$186,0))&amp;"（"&amp;INDEX(計算用!$M$2:$M$186,MATCH(9,計算用!$AR$2:$AR$186,0))&amp;"）","")</f>
        <v/>
      </c>
      <c r="Q14">
        <f>IFERROR(INDEX(計算用!$D$2:$D$186,MATCH(9,計算用!$AS$2:$AS$186,0))&amp;"（"&amp;INDEX(計算用!$M$2:$M$186,MATCH(9,計算用!$AS$2:$AS$186,0))&amp;"）","")</f>
        <v/>
      </c>
      <c r="S14" s="32">
        <f>'4人組'!D12&amp;""</f>
        <v/>
      </c>
      <c r="T14" s="32">
        <f>'4人組'!G12&amp;""</f>
        <v/>
      </c>
      <c r="U14" s="32">
        <f>'4人組'!J12&amp;""</f>
        <v/>
      </c>
      <c r="V14" s="32">
        <f>'4人組'!M12&amp;""</f>
        <v/>
      </c>
      <c r="W14" s="32">
        <f>'4人組'!T12&amp;""</f>
        <v/>
      </c>
      <c r="X14" s="32">
        <f>'4人組'!W12&amp;""</f>
        <v/>
      </c>
      <c r="Y14" s="32">
        <f>'4人組'!Z12&amp;""</f>
        <v/>
      </c>
      <c r="Z14" s="32">
        <f>'4人組'!AC12&amp;""</f>
        <v/>
      </c>
    </row>
    <row r="15">
      <c r="A15" s="26" t="n">
        <v>10</v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K15" s="31">
        <f>COUNTIF(B15:E15,"?*")</f>
        <v/>
      </c>
      <c r="L15" s="26">
        <f>IF(K15=0,"","赤"&amp;SUMPRODUCT(COUNTIFS(計算用!$AO$2:$AO$186,"男"&amp;B15:E15,計算用!$I$2:$I$186,"赤"))&amp;"白"&amp;SUMPRODUCT(COUNTIFS(計算用!$AO$2:$AO$186,"男"&amp;B15:E15,計算用!$I$2:$I$186,"白")))</f>
        <v/>
      </c>
      <c r="M15" s="31">
        <f>COUNTIF(F15:I15,"?*")</f>
        <v/>
      </c>
      <c r="N15" s="26">
        <f>IF(M15=0,"","赤"&amp;SUMPRODUCT(COUNTIFS(計算用!$AO$2:$AO$186,"女"&amp;F15:I15,計算用!$I$2:$I$186,"赤"))&amp;"白"&amp;SUMPRODUCT(COUNTIFS(計算用!$AO$2:$AO$186,"女"&amp;F15:I15,計算用!$I$2:$I$186,"白")))</f>
        <v/>
      </c>
      <c r="P15">
        <f>IFERROR(INDEX(計算用!$D$2:$D$186,MATCH(10,計算用!$AR$2:$AR$186,0))&amp;"（"&amp;INDEX(計算用!$M$2:$M$186,MATCH(10,計算用!$AR$2:$AR$186,0))&amp;"）","")</f>
        <v/>
      </c>
      <c r="Q15">
        <f>IFERROR(INDEX(計算用!$D$2:$D$186,MATCH(10,計算用!$AS$2:$AS$186,0))&amp;"（"&amp;INDEX(計算用!$M$2:$M$186,MATCH(10,計算用!$AS$2:$AS$186,0))&amp;"）","")</f>
        <v/>
      </c>
      <c r="S15" s="32">
        <f>'4人組'!D13&amp;""</f>
        <v/>
      </c>
      <c r="T15" s="32">
        <f>'4人組'!G13&amp;""</f>
        <v/>
      </c>
      <c r="U15" s="32">
        <f>'4人組'!J13&amp;""</f>
        <v/>
      </c>
      <c r="V15" s="32">
        <f>'4人組'!M13&amp;""</f>
        <v/>
      </c>
      <c r="W15" s="32">
        <f>'4人組'!T13&amp;""</f>
        <v/>
      </c>
      <c r="X15" s="32">
        <f>'4人組'!W13&amp;""</f>
        <v/>
      </c>
      <c r="Y15" s="32">
        <f>'4人組'!Z13&amp;""</f>
        <v/>
      </c>
      <c r="Z15" s="32">
        <f>'4人組'!AC13&amp;""</f>
        <v/>
      </c>
    </row>
    <row r="16">
      <c r="A16" s="26" t="n">
        <v>11</v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K16" s="31">
        <f>COUNTIF(B16:E16,"?*")</f>
        <v/>
      </c>
      <c r="L16" s="26">
        <f>IF(K16=0,"","赤"&amp;SUMPRODUCT(COUNTIFS(計算用!$AO$2:$AO$186,"男"&amp;B16:E16,計算用!$I$2:$I$186,"赤"))&amp;"白"&amp;SUMPRODUCT(COUNTIFS(計算用!$AO$2:$AO$186,"男"&amp;B16:E16,計算用!$I$2:$I$186,"白")))</f>
        <v/>
      </c>
      <c r="M16" s="31">
        <f>COUNTIF(F16:I16,"?*")</f>
        <v/>
      </c>
      <c r="N16" s="26">
        <f>IF(M16=0,"","赤"&amp;SUMPRODUCT(COUNTIFS(計算用!$AO$2:$AO$186,"女"&amp;F16:I16,計算用!$I$2:$I$186,"赤"))&amp;"白"&amp;SUMPRODUCT(COUNTIFS(計算用!$AO$2:$AO$186,"女"&amp;F16:I16,計算用!$I$2:$I$186,"白")))</f>
        <v/>
      </c>
      <c r="P16">
        <f>IFERROR(INDEX(計算用!$D$2:$D$186,MATCH(11,計算用!$AR$2:$AR$186,0))&amp;"（"&amp;INDEX(計算用!$M$2:$M$186,MATCH(11,計算用!$AR$2:$AR$186,0))&amp;"）","")</f>
        <v/>
      </c>
      <c r="Q16">
        <f>IFERROR(INDEX(計算用!$D$2:$D$186,MATCH(11,計算用!$AS$2:$AS$186,0))&amp;"（"&amp;INDEX(計算用!$M$2:$M$186,MATCH(11,計算用!$AS$2:$AS$186,0))&amp;"）","")</f>
        <v/>
      </c>
      <c r="S16" s="32">
        <f>'4人組'!D14&amp;""</f>
        <v/>
      </c>
      <c r="T16" s="32">
        <f>'4人組'!G14&amp;""</f>
        <v/>
      </c>
      <c r="U16" s="32">
        <f>'4人組'!J14&amp;""</f>
        <v/>
      </c>
      <c r="V16" s="32">
        <f>'4人組'!M14&amp;""</f>
        <v/>
      </c>
      <c r="W16" s="32">
        <f>'4人組'!T14&amp;""</f>
        <v/>
      </c>
      <c r="X16" s="32">
        <f>'4人組'!W14&amp;""</f>
        <v/>
      </c>
      <c r="Y16" s="32">
        <f>'4人組'!Z14&amp;""</f>
        <v/>
      </c>
      <c r="Z16" s="32">
        <f>'4人組'!AC14&amp;""</f>
        <v/>
      </c>
    </row>
    <row r="17">
      <c r="A17" s="26" t="n">
        <v>12</v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K17" s="31">
        <f>COUNTIF(B17:E17,"?*")</f>
        <v/>
      </c>
      <c r="L17" s="26">
        <f>IF(K17=0,"","赤"&amp;SUMPRODUCT(COUNTIFS(計算用!$AO$2:$AO$186,"男"&amp;B17:E17,計算用!$I$2:$I$186,"赤"))&amp;"白"&amp;SUMPRODUCT(COUNTIFS(計算用!$AO$2:$AO$186,"男"&amp;B17:E17,計算用!$I$2:$I$186,"白")))</f>
        <v/>
      </c>
      <c r="M17" s="31">
        <f>COUNTIF(F17:I17,"?*")</f>
        <v/>
      </c>
      <c r="N17" s="26">
        <f>IF(M17=0,"","赤"&amp;SUMPRODUCT(COUNTIFS(計算用!$AO$2:$AO$186,"女"&amp;F17:I17,計算用!$I$2:$I$186,"赤"))&amp;"白"&amp;SUMPRODUCT(COUNTIFS(計算用!$AO$2:$AO$186,"女"&amp;F17:I17,計算用!$I$2:$I$186,"白")))</f>
        <v/>
      </c>
      <c r="P17">
        <f>IFERROR(INDEX(計算用!$D$2:$D$186,MATCH(12,計算用!$AR$2:$AR$186,0))&amp;"（"&amp;INDEX(計算用!$M$2:$M$186,MATCH(12,計算用!$AR$2:$AR$186,0))&amp;"）","")</f>
        <v/>
      </c>
      <c r="Q17">
        <f>IFERROR(INDEX(計算用!$D$2:$D$186,MATCH(12,計算用!$AS$2:$AS$186,0))&amp;"（"&amp;INDEX(計算用!$M$2:$M$186,MATCH(12,計算用!$AS$2:$AS$186,0))&amp;"）","")</f>
        <v/>
      </c>
      <c r="S17" s="32">
        <f>'4人組'!D15&amp;""</f>
        <v/>
      </c>
      <c r="T17" s="32">
        <f>'4人組'!G15&amp;""</f>
        <v/>
      </c>
      <c r="U17" s="32">
        <f>'4人組'!J15&amp;""</f>
        <v/>
      </c>
      <c r="V17" s="32">
        <f>'4人組'!M15&amp;""</f>
        <v/>
      </c>
      <c r="W17" s="32">
        <f>'4人組'!T15&amp;""</f>
        <v/>
      </c>
      <c r="X17" s="32">
        <f>'4人組'!W15&amp;""</f>
        <v/>
      </c>
      <c r="Y17" s="32">
        <f>'4人組'!Z15&amp;""</f>
        <v/>
      </c>
      <c r="Z17" s="32">
        <f>'4人組'!AC15&amp;""</f>
        <v/>
      </c>
    </row>
    <row r="18">
      <c r="A18" s="26" t="n">
        <v>13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K18" s="31">
        <f>COUNTIF(B18:E18,"?*")</f>
        <v/>
      </c>
      <c r="L18" s="26">
        <f>IF(K18=0,"","赤"&amp;SUMPRODUCT(COUNTIFS(計算用!$AO$2:$AO$186,"男"&amp;B18:E18,計算用!$I$2:$I$186,"赤"))&amp;"白"&amp;SUMPRODUCT(COUNTIFS(計算用!$AO$2:$AO$186,"男"&amp;B18:E18,計算用!$I$2:$I$186,"白")))</f>
        <v/>
      </c>
      <c r="M18" s="31">
        <f>COUNTIF(F18:I18,"?*")</f>
        <v/>
      </c>
      <c r="N18" s="26">
        <f>IF(M18=0,"","赤"&amp;SUMPRODUCT(COUNTIFS(計算用!$AO$2:$AO$186,"女"&amp;F18:I18,計算用!$I$2:$I$186,"赤"))&amp;"白"&amp;SUMPRODUCT(COUNTIFS(計算用!$AO$2:$AO$186,"女"&amp;F18:I18,計算用!$I$2:$I$186,"白")))</f>
        <v/>
      </c>
      <c r="P18">
        <f>IFERROR(INDEX(計算用!$D$2:$D$186,MATCH(13,計算用!$AR$2:$AR$186,0))&amp;"（"&amp;INDEX(計算用!$M$2:$M$186,MATCH(13,計算用!$AR$2:$AR$186,0))&amp;"）","")</f>
        <v/>
      </c>
      <c r="Q18">
        <f>IFERROR(INDEX(計算用!$D$2:$D$186,MATCH(13,計算用!$AS$2:$AS$186,0))&amp;"（"&amp;INDEX(計算用!$M$2:$M$186,MATCH(13,計算用!$AS$2:$AS$186,0))&amp;"）","")</f>
        <v/>
      </c>
      <c r="S18" s="32">
        <f>'4人組'!D16&amp;""</f>
        <v/>
      </c>
      <c r="T18" s="32">
        <f>'4人組'!G16&amp;""</f>
        <v/>
      </c>
      <c r="U18" s="32">
        <f>'4人組'!J16&amp;""</f>
        <v/>
      </c>
      <c r="V18" s="32">
        <f>'4人組'!M16&amp;""</f>
        <v/>
      </c>
      <c r="W18" s="32">
        <f>'4人組'!T16&amp;""</f>
        <v/>
      </c>
      <c r="X18" s="32">
        <f>'4人組'!W16&amp;""</f>
        <v/>
      </c>
      <c r="Y18" s="32">
        <f>'4人組'!Z16&amp;""</f>
        <v/>
      </c>
      <c r="Z18" s="32">
        <f>'4人組'!AC16&amp;""</f>
        <v/>
      </c>
    </row>
    <row r="19">
      <c r="A19" s="26" t="n">
        <v>14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K19" s="31">
        <f>COUNTIF(B19:E19,"?*")</f>
        <v/>
      </c>
      <c r="L19" s="26">
        <f>IF(K19=0,"","赤"&amp;SUMPRODUCT(COUNTIFS(計算用!$AO$2:$AO$186,"男"&amp;B19:E19,計算用!$I$2:$I$186,"赤"))&amp;"白"&amp;SUMPRODUCT(COUNTIFS(計算用!$AO$2:$AO$186,"男"&amp;B19:E19,計算用!$I$2:$I$186,"白")))</f>
        <v/>
      </c>
      <c r="M19" s="31">
        <f>COUNTIF(F19:I19,"?*")</f>
        <v/>
      </c>
      <c r="N19" s="26">
        <f>IF(M19=0,"","赤"&amp;SUMPRODUCT(COUNTIFS(計算用!$AO$2:$AO$186,"女"&amp;F19:I19,計算用!$I$2:$I$186,"赤"))&amp;"白"&amp;SUMPRODUCT(COUNTIFS(計算用!$AO$2:$AO$186,"女"&amp;F19:I19,計算用!$I$2:$I$186,"白")))</f>
        <v/>
      </c>
      <c r="P19">
        <f>IFERROR(INDEX(計算用!$D$2:$D$186,MATCH(14,計算用!$AR$2:$AR$186,0))&amp;"（"&amp;INDEX(計算用!$M$2:$M$186,MATCH(14,計算用!$AR$2:$AR$186,0))&amp;"）","")</f>
        <v/>
      </c>
      <c r="Q19">
        <f>IFERROR(INDEX(計算用!$D$2:$D$186,MATCH(14,計算用!$AS$2:$AS$186,0))&amp;"（"&amp;INDEX(計算用!$M$2:$M$186,MATCH(14,計算用!$AS$2:$AS$186,0))&amp;"）","")</f>
        <v/>
      </c>
      <c r="S19" s="32">
        <f>'4人組'!D17&amp;""</f>
        <v/>
      </c>
      <c r="T19" s="32">
        <f>'4人組'!G17&amp;""</f>
        <v/>
      </c>
      <c r="U19" s="32">
        <f>'4人組'!J17&amp;""</f>
        <v/>
      </c>
      <c r="V19" s="32">
        <f>'4人組'!M17&amp;""</f>
        <v/>
      </c>
      <c r="W19" s="32">
        <f>'4人組'!T17&amp;""</f>
        <v/>
      </c>
      <c r="X19" s="32">
        <f>'4人組'!W17&amp;""</f>
        <v/>
      </c>
      <c r="Y19" s="32">
        <f>'4人組'!Z17&amp;""</f>
        <v/>
      </c>
      <c r="Z19" s="32">
        <f>'4人組'!AC17&amp;""</f>
        <v/>
      </c>
    </row>
    <row r="20">
      <c r="A20" s="26" t="n">
        <v>15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K20" s="31">
        <f>COUNTIF(B20:E20,"?*")</f>
        <v/>
      </c>
      <c r="L20" s="26">
        <f>IF(K20=0,"","赤"&amp;SUMPRODUCT(COUNTIFS(計算用!$AO$2:$AO$186,"男"&amp;B20:E20,計算用!$I$2:$I$186,"赤"))&amp;"白"&amp;SUMPRODUCT(COUNTIFS(計算用!$AO$2:$AO$186,"男"&amp;B20:E20,計算用!$I$2:$I$186,"白")))</f>
        <v/>
      </c>
      <c r="M20" s="31">
        <f>COUNTIF(F20:I20,"?*")</f>
        <v/>
      </c>
      <c r="N20" s="26">
        <f>IF(M20=0,"","赤"&amp;SUMPRODUCT(COUNTIFS(計算用!$AO$2:$AO$186,"女"&amp;F20:I20,計算用!$I$2:$I$186,"赤"))&amp;"白"&amp;SUMPRODUCT(COUNTIFS(計算用!$AO$2:$AO$186,"女"&amp;F20:I20,計算用!$I$2:$I$186,"白")))</f>
        <v/>
      </c>
      <c r="P20">
        <f>IFERROR(INDEX(計算用!$D$2:$D$186,MATCH(15,計算用!$AR$2:$AR$186,0))&amp;"（"&amp;INDEX(計算用!$M$2:$M$186,MATCH(15,計算用!$AR$2:$AR$186,0))&amp;"）","")</f>
        <v/>
      </c>
      <c r="Q20">
        <f>IFERROR(INDEX(計算用!$D$2:$D$186,MATCH(15,計算用!$AS$2:$AS$186,0))&amp;"（"&amp;INDEX(計算用!$M$2:$M$186,MATCH(15,計算用!$AS$2:$AS$186,0))&amp;"）","")</f>
        <v/>
      </c>
      <c r="S20" s="32">
        <f>'4人組'!D18&amp;""</f>
        <v/>
      </c>
      <c r="T20" s="32">
        <f>'4人組'!G18&amp;""</f>
        <v/>
      </c>
      <c r="U20" s="32">
        <f>'4人組'!J18&amp;""</f>
        <v/>
      </c>
      <c r="V20" s="32">
        <f>'4人組'!M18&amp;""</f>
        <v/>
      </c>
      <c r="W20" s="32">
        <f>'4人組'!T18&amp;""</f>
        <v/>
      </c>
      <c r="X20" s="32">
        <f>'4人組'!W18&amp;""</f>
        <v/>
      </c>
      <c r="Y20" s="32">
        <f>'4人組'!Z18&amp;""</f>
        <v/>
      </c>
      <c r="Z20" s="32">
        <f>'4人組'!AC18&amp;""</f>
        <v/>
      </c>
    </row>
    <row r="21">
      <c r="A21" s="26" t="n">
        <v>16</v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K21" s="31">
        <f>COUNTIF(B21:E21,"?*")</f>
        <v/>
      </c>
      <c r="L21" s="26">
        <f>IF(K21=0,"","赤"&amp;SUMPRODUCT(COUNTIFS(計算用!$AO$2:$AO$186,"男"&amp;B21:E21,計算用!$I$2:$I$186,"赤"))&amp;"白"&amp;SUMPRODUCT(COUNTIFS(計算用!$AO$2:$AO$186,"男"&amp;B21:E21,計算用!$I$2:$I$186,"白")))</f>
        <v/>
      </c>
      <c r="M21" s="31">
        <f>COUNTIF(F21:I21,"?*")</f>
        <v/>
      </c>
      <c r="N21" s="26">
        <f>IF(M21=0,"","赤"&amp;SUMPRODUCT(COUNTIFS(計算用!$AO$2:$AO$186,"女"&amp;F21:I21,計算用!$I$2:$I$186,"赤"))&amp;"白"&amp;SUMPRODUCT(COUNTIFS(計算用!$AO$2:$AO$186,"女"&amp;F21:I21,計算用!$I$2:$I$186,"白")))</f>
        <v/>
      </c>
      <c r="P21">
        <f>IFERROR(INDEX(計算用!$D$2:$D$186,MATCH(16,計算用!$AR$2:$AR$186,0))&amp;"（"&amp;INDEX(計算用!$M$2:$M$186,MATCH(16,計算用!$AR$2:$AR$186,0))&amp;"）","")</f>
        <v/>
      </c>
      <c r="Q21">
        <f>IFERROR(INDEX(計算用!$D$2:$D$186,MATCH(16,計算用!$AS$2:$AS$186,0))&amp;"（"&amp;INDEX(計算用!$M$2:$M$186,MATCH(16,計算用!$AS$2:$AS$186,0))&amp;"）","")</f>
        <v/>
      </c>
      <c r="S21" s="32">
        <f>'4人組'!D19&amp;""</f>
        <v/>
      </c>
      <c r="T21" s="32">
        <f>'4人組'!G19&amp;""</f>
        <v/>
      </c>
      <c r="U21" s="32">
        <f>'4人組'!J19&amp;""</f>
        <v/>
      </c>
      <c r="V21" s="32">
        <f>'4人組'!M19&amp;""</f>
        <v/>
      </c>
      <c r="W21" s="32">
        <f>'4人組'!T19&amp;""</f>
        <v/>
      </c>
      <c r="X21" s="32">
        <f>'4人組'!W19&amp;""</f>
        <v/>
      </c>
      <c r="Y21" s="32">
        <f>'4人組'!Z19&amp;""</f>
        <v/>
      </c>
      <c r="Z21" s="32">
        <f>'4人組'!AC19&amp;""</f>
        <v/>
      </c>
    </row>
    <row r="22">
      <c r="A22" s="26" t="n">
        <v>17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K22" s="31">
        <f>COUNTIF(B22:E22,"?*")</f>
        <v/>
      </c>
      <c r="L22" s="26">
        <f>IF(K22=0,"","赤"&amp;SUMPRODUCT(COUNTIFS(計算用!$AO$2:$AO$186,"男"&amp;B22:E22,計算用!$I$2:$I$186,"赤"))&amp;"白"&amp;SUMPRODUCT(COUNTIFS(計算用!$AO$2:$AO$186,"男"&amp;B22:E22,計算用!$I$2:$I$186,"白")))</f>
        <v/>
      </c>
      <c r="M22" s="31">
        <f>COUNTIF(F22:I22,"?*")</f>
        <v/>
      </c>
      <c r="N22" s="26">
        <f>IF(M22=0,"","赤"&amp;SUMPRODUCT(COUNTIFS(計算用!$AO$2:$AO$186,"女"&amp;F22:I22,計算用!$I$2:$I$186,"赤"))&amp;"白"&amp;SUMPRODUCT(COUNTIFS(計算用!$AO$2:$AO$186,"女"&amp;F22:I22,計算用!$I$2:$I$186,"白")))</f>
        <v/>
      </c>
      <c r="P22">
        <f>IFERROR(INDEX(計算用!$D$2:$D$186,MATCH(17,計算用!$AR$2:$AR$186,0))&amp;"（"&amp;INDEX(計算用!$M$2:$M$186,MATCH(17,計算用!$AR$2:$AR$186,0))&amp;"）","")</f>
        <v/>
      </c>
      <c r="Q22">
        <f>IFERROR(INDEX(計算用!$D$2:$D$186,MATCH(17,計算用!$AS$2:$AS$186,0))&amp;"（"&amp;INDEX(計算用!$M$2:$M$186,MATCH(17,計算用!$AS$2:$AS$186,0))&amp;"）","")</f>
        <v/>
      </c>
      <c r="S22" s="32">
        <f>'4人組'!D20&amp;""</f>
        <v/>
      </c>
      <c r="T22" s="32">
        <f>'4人組'!G20&amp;""</f>
        <v/>
      </c>
      <c r="U22" s="32">
        <f>'4人組'!J20&amp;""</f>
        <v/>
      </c>
      <c r="V22" s="32">
        <f>'4人組'!M20&amp;""</f>
        <v/>
      </c>
      <c r="W22" s="32">
        <f>'4人組'!T20&amp;""</f>
        <v/>
      </c>
      <c r="X22" s="32">
        <f>'4人組'!W20&amp;""</f>
        <v/>
      </c>
      <c r="Y22" s="32">
        <f>'4人組'!Z20&amp;""</f>
        <v/>
      </c>
      <c r="Z22" s="32">
        <f>'4人組'!AC20&amp;""</f>
        <v/>
      </c>
    </row>
    <row r="23">
      <c r="A23" s="26" t="n">
        <v>18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K23" s="31">
        <f>COUNTIF(B23:E23,"?*")</f>
        <v/>
      </c>
      <c r="L23" s="26">
        <f>IF(K23=0,"","赤"&amp;SUMPRODUCT(COUNTIFS(計算用!$AO$2:$AO$186,"男"&amp;B23:E23,計算用!$I$2:$I$186,"赤"))&amp;"白"&amp;SUMPRODUCT(COUNTIFS(計算用!$AO$2:$AO$186,"男"&amp;B23:E23,計算用!$I$2:$I$186,"白")))</f>
        <v/>
      </c>
      <c r="M23" s="31">
        <f>COUNTIF(F23:I23,"?*")</f>
        <v/>
      </c>
      <c r="N23" s="26">
        <f>IF(M23=0,"","赤"&amp;SUMPRODUCT(COUNTIFS(計算用!$AO$2:$AO$186,"女"&amp;F23:I23,計算用!$I$2:$I$186,"赤"))&amp;"白"&amp;SUMPRODUCT(COUNTIFS(計算用!$AO$2:$AO$186,"女"&amp;F23:I23,計算用!$I$2:$I$186,"白")))</f>
        <v/>
      </c>
      <c r="P23">
        <f>IFERROR(INDEX(計算用!$D$2:$D$186,MATCH(18,計算用!$AR$2:$AR$186,0))&amp;"（"&amp;INDEX(計算用!$M$2:$M$186,MATCH(18,計算用!$AR$2:$AR$186,0))&amp;"）","")</f>
        <v/>
      </c>
      <c r="Q23">
        <f>IFERROR(INDEX(計算用!$D$2:$D$186,MATCH(18,計算用!$AS$2:$AS$186,0))&amp;"（"&amp;INDEX(計算用!$M$2:$M$186,MATCH(18,計算用!$AS$2:$AS$186,0))&amp;"）","")</f>
        <v/>
      </c>
      <c r="S23" s="32">
        <f>'4人組'!D21&amp;""</f>
        <v/>
      </c>
      <c r="T23" s="32">
        <f>'4人組'!G21&amp;""</f>
        <v/>
      </c>
      <c r="U23" s="32">
        <f>'4人組'!J21&amp;""</f>
        <v/>
      </c>
      <c r="V23" s="32">
        <f>'4人組'!M21&amp;""</f>
        <v/>
      </c>
      <c r="W23" s="32">
        <f>'4人組'!T21&amp;""</f>
        <v/>
      </c>
      <c r="X23" s="32">
        <f>'4人組'!W21&amp;""</f>
        <v/>
      </c>
      <c r="Y23" s="32">
        <f>'4人組'!Z21&amp;""</f>
        <v/>
      </c>
      <c r="Z23" s="32">
        <f>'4人組'!AC21&amp;""</f>
        <v/>
      </c>
    </row>
    <row r="24">
      <c r="A24" s="26" t="n">
        <v>19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K24" s="31">
        <f>COUNTIF(B24:E24,"?*")</f>
        <v/>
      </c>
      <c r="L24" s="26">
        <f>IF(K24=0,"","赤"&amp;SUMPRODUCT(COUNTIFS(計算用!$AO$2:$AO$186,"男"&amp;B24:E24,計算用!$I$2:$I$186,"赤"))&amp;"白"&amp;SUMPRODUCT(COUNTIFS(計算用!$AO$2:$AO$186,"男"&amp;B24:E24,計算用!$I$2:$I$186,"白")))</f>
        <v/>
      </c>
      <c r="M24" s="31">
        <f>COUNTIF(F24:I24,"?*")</f>
        <v/>
      </c>
      <c r="N24" s="26">
        <f>IF(M24=0,"","赤"&amp;SUMPRODUCT(COUNTIFS(計算用!$AO$2:$AO$186,"女"&amp;F24:I24,計算用!$I$2:$I$186,"赤"))&amp;"白"&amp;SUMPRODUCT(COUNTIFS(計算用!$AO$2:$AO$186,"女"&amp;F24:I24,計算用!$I$2:$I$186,"白")))</f>
        <v/>
      </c>
      <c r="P24">
        <f>IFERROR(INDEX(計算用!$D$2:$D$186,MATCH(19,計算用!$AR$2:$AR$186,0))&amp;"（"&amp;INDEX(計算用!$M$2:$M$186,MATCH(19,計算用!$AR$2:$AR$186,0))&amp;"）","")</f>
        <v/>
      </c>
      <c r="Q24">
        <f>IFERROR(INDEX(計算用!$D$2:$D$186,MATCH(19,計算用!$AS$2:$AS$186,0))&amp;"（"&amp;INDEX(計算用!$M$2:$M$186,MATCH(19,計算用!$AS$2:$AS$186,0))&amp;"）","")</f>
        <v/>
      </c>
      <c r="S24" s="32">
        <f>'4人組'!D22&amp;""</f>
        <v/>
      </c>
      <c r="T24" s="32">
        <f>'4人組'!G22&amp;""</f>
        <v/>
      </c>
      <c r="U24" s="32">
        <f>'4人組'!J22&amp;""</f>
        <v/>
      </c>
      <c r="V24" s="32">
        <f>'4人組'!M22&amp;""</f>
        <v/>
      </c>
      <c r="W24" s="32">
        <f>'4人組'!T22&amp;""</f>
        <v/>
      </c>
      <c r="X24" s="32">
        <f>'4人組'!W22&amp;""</f>
        <v/>
      </c>
      <c r="Y24" s="32">
        <f>'4人組'!Z22&amp;""</f>
        <v/>
      </c>
      <c r="Z24" s="32">
        <f>'4人組'!AC22&amp;""</f>
        <v/>
      </c>
    </row>
    <row r="25">
      <c r="A25" s="26" t="n">
        <v>20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K25" s="31">
        <f>COUNTIF(B25:E25,"?*")</f>
        <v/>
      </c>
      <c r="L25" s="26">
        <f>IF(K25=0,"","赤"&amp;SUMPRODUCT(COUNTIFS(計算用!$AO$2:$AO$186,"男"&amp;B25:E25,計算用!$I$2:$I$186,"赤"))&amp;"白"&amp;SUMPRODUCT(COUNTIFS(計算用!$AO$2:$AO$186,"男"&amp;B25:E25,計算用!$I$2:$I$186,"白")))</f>
        <v/>
      </c>
      <c r="M25" s="31">
        <f>COUNTIF(F25:I25,"?*")</f>
        <v/>
      </c>
      <c r="N25" s="26">
        <f>IF(M25=0,"","赤"&amp;SUMPRODUCT(COUNTIFS(計算用!$AO$2:$AO$186,"女"&amp;F25:I25,計算用!$I$2:$I$186,"赤"))&amp;"白"&amp;SUMPRODUCT(COUNTIFS(計算用!$AO$2:$AO$186,"女"&amp;F25:I25,計算用!$I$2:$I$186,"白")))</f>
        <v/>
      </c>
      <c r="P25">
        <f>IFERROR(INDEX(計算用!$D$2:$D$186,MATCH(20,計算用!$AR$2:$AR$186,0))&amp;"（"&amp;INDEX(計算用!$M$2:$M$186,MATCH(20,計算用!$AR$2:$AR$186,0))&amp;"）","")</f>
        <v/>
      </c>
      <c r="Q25">
        <f>IFERROR(INDEX(計算用!$D$2:$D$186,MATCH(20,計算用!$AS$2:$AS$186,0))&amp;"（"&amp;INDEX(計算用!$M$2:$M$186,MATCH(20,計算用!$AS$2:$AS$186,0))&amp;"）","")</f>
        <v/>
      </c>
      <c r="S25" s="32">
        <f>'4人組'!D23&amp;""</f>
        <v/>
      </c>
      <c r="T25" s="32">
        <f>'4人組'!G23&amp;""</f>
        <v/>
      </c>
      <c r="U25" s="32">
        <f>'4人組'!J23&amp;""</f>
        <v/>
      </c>
      <c r="V25" s="32">
        <f>'4人組'!M23&amp;""</f>
        <v/>
      </c>
      <c r="W25" s="32">
        <f>'4人組'!T23&amp;""</f>
        <v/>
      </c>
      <c r="X25" s="32">
        <f>'4人組'!W23&amp;""</f>
        <v/>
      </c>
      <c r="Y25" s="32">
        <f>'4人組'!Z23&amp;""</f>
        <v/>
      </c>
      <c r="Z25" s="32">
        <f>'4人組'!AC23&amp;""</f>
        <v/>
      </c>
    </row>
    <row r="26">
      <c r="A26" s="26" t="n">
        <v>21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K26" s="31">
        <f>COUNTIF(B26:E26,"?*")</f>
        <v/>
      </c>
      <c r="L26" s="26">
        <f>IF(K26=0,"","赤"&amp;SUMPRODUCT(COUNTIFS(計算用!$AO$2:$AO$186,"男"&amp;B26:E26,計算用!$I$2:$I$186,"赤"))&amp;"白"&amp;SUMPRODUCT(COUNTIFS(計算用!$AO$2:$AO$186,"男"&amp;B26:E26,計算用!$I$2:$I$186,"白")))</f>
        <v/>
      </c>
      <c r="M26" s="31">
        <f>COUNTIF(F26:I26,"?*")</f>
        <v/>
      </c>
      <c r="N26" s="26">
        <f>IF(M26=0,"","赤"&amp;SUMPRODUCT(COUNTIFS(計算用!$AO$2:$AO$186,"女"&amp;F26:I26,計算用!$I$2:$I$186,"赤"))&amp;"白"&amp;SUMPRODUCT(COUNTIFS(計算用!$AO$2:$AO$186,"女"&amp;F26:I26,計算用!$I$2:$I$186,"白")))</f>
        <v/>
      </c>
      <c r="P26">
        <f>IFERROR(INDEX(計算用!$D$2:$D$186,MATCH(21,計算用!$AR$2:$AR$186,0))&amp;"（"&amp;INDEX(計算用!$M$2:$M$186,MATCH(21,計算用!$AR$2:$AR$186,0))&amp;"）","")</f>
        <v/>
      </c>
      <c r="Q26">
        <f>IFERROR(INDEX(計算用!$D$2:$D$186,MATCH(21,計算用!$AS$2:$AS$186,0))&amp;"（"&amp;INDEX(計算用!$M$2:$M$186,MATCH(21,計算用!$AS$2:$AS$186,0))&amp;"）","")</f>
        <v/>
      </c>
      <c r="S26" s="32">
        <f>'4人組'!D24&amp;""</f>
        <v/>
      </c>
      <c r="T26" s="32">
        <f>'4人組'!G24&amp;""</f>
        <v/>
      </c>
      <c r="U26" s="32">
        <f>'4人組'!J24&amp;""</f>
        <v/>
      </c>
      <c r="V26" s="32">
        <f>'4人組'!M24&amp;""</f>
        <v/>
      </c>
      <c r="W26" s="32">
        <f>'4人組'!T24&amp;""</f>
        <v/>
      </c>
      <c r="X26" s="32">
        <f>'4人組'!W24&amp;""</f>
        <v/>
      </c>
      <c r="Y26" s="32">
        <f>'4人組'!Z24&amp;""</f>
        <v/>
      </c>
      <c r="Z26" s="32">
        <f>'4人組'!AC24&amp;""</f>
        <v/>
      </c>
    </row>
    <row r="27">
      <c r="A27" s="26" t="n">
        <v>22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K27" s="31">
        <f>COUNTIF(B27:E27,"?*")</f>
        <v/>
      </c>
      <c r="L27" s="26">
        <f>IF(K27=0,"","赤"&amp;SUMPRODUCT(COUNTIFS(計算用!$AO$2:$AO$186,"男"&amp;B27:E27,計算用!$I$2:$I$186,"赤"))&amp;"白"&amp;SUMPRODUCT(COUNTIFS(計算用!$AO$2:$AO$186,"男"&amp;B27:E27,計算用!$I$2:$I$186,"白")))</f>
        <v/>
      </c>
      <c r="M27" s="31">
        <f>COUNTIF(F27:I27,"?*")</f>
        <v/>
      </c>
      <c r="N27" s="26">
        <f>IF(M27=0,"","赤"&amp;SUMPRODUCT(COUNTIFS(計算用!$AO$2:$AO$186,"女"&amp;F27:I27,計算用!$I$2:$I$186,"赤"))&amp;"白"&amp;SUMPRODUCT(COUNTIFS(計算用!$AO$2:$AO$186,"女"&amp;F27:I27,計算用!$I$2:$I$186,"白")))</f>
        <v/>
      </c>
      <c r="P27">
        <f>IFERROR(INDEX(計算用!$D$2:$D$186,MATCH(22,計算用!$AR$2:$AR$186,0))&amp;"（"&amp;INDEX(計算用!$M$2:$M$186,MATCH(22,計算用!$AR$2:$AR$186,0))&amp;"）","")</f>
        <v/>
      </c>
      <c r="Q27">
        <f>IFERROR(INDEX(計算用!$D$2:$D$186,MATCH(22,計算用!$AS$2:$AS$186,0))&amp;"（"&amp;INDEX(計算用!$M$2:$M$186,MATCH(22,計算用!$AS$2:$AS$186,0))&amp;"）","")</f>
        <v/>
      </c>
      <c r="S27" s="32">
        <f>'4人組'!D25&amp;""</f>
        <v/>
      </c>
      <c r="T27" s="32">
        <f>'4人組'!G25&amp;""</f>
        <v/>
      </c>
      <c r="U27" s="32">
        <f>'4人組'!J25&amp;""</f>
        <v/>
      </c>
      <c r="V27" s="32">
        <f>'4人組'!M25&amp;""</f>
        <v/>
      </c>
      <c r="W27" s="32">
        <f>'4人組'!T25&amp;""</f>
        <v/>
      </c>
      <c r="X27" s="32">
        <f>'4人組'!W25&amp;""</f>
        <v/>
      </c>
      <c r="Y27" s="32">
        <f>'4人組'!Z25&amp;""</f>
        <v/>
      </c>
      <c r="Z27" s="32">
        <f>'4人組'!AC25&amp;""</f>
        <v/>
      </c>
    </row>
    <row r="28">
      <c r="A28" s="26" t="n">
        <v>23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K28" s="31">
        <f>COUNTIF(B28:E28,"?*")</f>
        <v/>
      </c>
      <c r="L28" s="26">
        <f>IF(K28=0,"","赤"&amp;SUMPRODUCT(COUNTIFS(計算用!$AO$2:$AO$186,"男"&amp;B28:E28,計算用!$I$2:$I$186,"赤"))&amp;"白"&amp;SUMPRODUCT(COUNTIFS(計算用!$AO$2:$AO$186,"男"&amp;B28:E28,計算用!$I$2:$I$186,"白")))</f>
        <v/>
      </c>
      <c r="M28" s="31">
        <f>COUNTIF(F28:I28,"?*")</f>
        <v/>
      </c>
      <c r="N28" s="26">
        <f>IF(M28=0,"","赤"&amp;SUMPRODUCT(COUNTIFS(計算用!$AO$2:$AO$186,"女"&amp;F28:I28,計算用!$I$2:$I$186,"赤"))&amp;"白"&amp;SUMPRODUCT(COUNTIFS(計算用!$AO$2:$AO$186,"女"&amp;F28:I28,計算用!$I$2:$I$186,"白")))</f>
        <v/>
      </c>
      <c r="P28">
        <f>IFERROR(INDEX(計算用!$D$2:$D$186,MATCH(23,計算用!$AR$2:$AR$186,0))&amp;"（"&amp;INDEX(計算用!$M$2:$M$186,MATCH(23,計算用!$AR$2:$AR$186,0))&amp;"）","")</f>
        <v/>
      </c>
      <c r="Q28">
        <f>IFERROR(INDEX(計算用!$D$2:$D$186,MATCH(23,計算用!$AS$2:$AS$186,0))&amp;"（"&amp;INDEX(計算用!$M$2:$M$186,MATCH(23,計算用!$AS$2:$AS$186,0))&amp;"）","")</f>
        <v/>
      </c>
      <c r="S28" s="32">
        <f>'4人組'!D26&amp;""</f>
        <v/>
      </c>
      <c r="T28" s="32">
        <f>'4人組'!G26&amp;""</f>
        <v/>
      </c>
      <c r="U28" s="32">
        <f>'4人組'!J26&amp;""</f>
        <v/>
      </c>
      <c r="V28" s="32">
        <f>'4人組'!M26&amp;""</f>
        <v/>
      </c>
      <c r="W28" s="32">
        <f>'4人組'!T26&amp;""</f>
        <v/>
      </c>
      <c r="X28" s="32">
        <f>'4人組'!W26&amp;""</f>
        <v/>
      </c>
      <c r="Y28" s="32">
        <f>'4人組'!Z26&amp;""</f>
        <v/>
      </c>
      <c r="Z28" s="32">
        <f>'4人組'!AC26&amp;""</f>
        <v/>
      </c>
    </row>
    <row r="29">
      <c r="A29" s="26" t="n">
        <v>24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K29" s="31">
        <f>COUNTIF(B29:E29,"?*")</f>
        <v/>
      </c>
      <c r="L29" s="26">
        <f>IF(K29=0,"","赤"&amp;SUMPRODUCT(COUNTIFS(計算用!$AO$2:$AO$186,"男"&amp;B29:E29,計算用!$I$2:$I$186,"赤"))&amp;"白"&amp;SUMPRODUCT(COUNTIFS(計算用!$AO$2:$AO$186,"男"&amp;B29:E29,計算用!$I$2:$I$186,"白")))</f>
        <v/>
      </c>
      <c r="M29" s="31">
        <f>COUNTIF(F29:I29,"?*")</f>
        <v/>
      </c>
      <c r="N29" s="26">
        <f>IF(M29=0,"","赤"&amp;SUMPRODUCT(COUNTIFS(計算用!$AO$2:$AO$186,"女"&amp;F29:I29,計算用!$I$2:$I$186,"赤"))&amp;"白"&amp;SUMPRODUCT(COUNTIFS(計算用!$AO$2:$AO$186,"女"&amp;F29:I29,計算用!$I$2:$I$186,"白")))</f>
        <v/>
      </c>
      <c r="P29">
        <f>IFERROR(INDEX(計算用!$D$2:$D$186,MATCH(24,計算用!$AR$2:$AR$186,0))&amp;"（"&amp;INDEX(計算用!$M$2:$M$186,MATCH(24,計算用!$AR$2:$AR$186,0))&amp;"）","")</f>
        <v/>
      </c>
      <c r="Q29">
        <f>IFERROR(INDEX(計算用!$D$2:$D$186,MATCH(24,計算用!$AS$2:$AS$186,0))&amp;"（"&amp;INDEX(計算用!$M$2:$M$186,MATCH(24,計算用!$AS$2:$AS$186,0))&amp;"）","")</f>
        <v/>
      </c>
      <c r="S29" s="32">
        <f>'4人組'!D27&amp;""</f>
        <v/>
      </c>
      <c r="T29" s="32">
        <f>'4人組'!G27&amp;""</f>
        <v/>
      </c>
      <c r="U29" s="32">
        <f>'4人組'!J27&amp;""</f>
        <v/>
      </c>
      <c r="V29" s="32">
        <f>'4人組'!M27&amp;""</f>
        <v/>
      </c>
      <c r="W29" s="32">
        <f>'4人組'!T27&amp;""</f>
        <v/>
      </c>
      <c r="X29" s="32">
        <f>'4人組'!W27&amp;""</f>
        <v/>
      </c>
      <c r="Y29" s="32">
        <f>'4人組'!Z27&amp;""</f>
        <v/>
      </c>
      <c r="Z29" s="32">
        <f>'4人組'!AC27&amp;""</f>
        <v/>
      </c>
    </row>
    <row r="30">
      <c r="A30" s="26" t="n">
        <v>25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K30" s="31">
        <f>COUNTIF(B30:E30,"?*")</f>
        <v/>
      </c>
      <c r="L30" s="26">
        <f>IF(K30=0,"","赤"&amp;SUMPRODUCT(COUNTIFS(計算用!$AO$2:$AO$186,"男"&amp;B30:E30,計算用!$I$2:$I$186,"赤"))&amp;"白"&amp;SUMPRODUCT(COUNTIFS(計算用!$AO$2:$AO$186,"男"&amp;B30:E30,計算用!$I$2:$I$186,"白")))</f>
        <v/>
      </c>
      <c r="M30" s="31">
        <f>COUNTIF(F30:I30,"?*")</f>
        <v/>
      </c>
      <c r="N30" s="26">
        <f>IF(M30=0,"","赤"&amp;SUMPRODUCT(COUNTIFS(計算用!$AO$2:$AO$186,"女"&amp;F30:I30,計算用!$I$2:$I$186,"赤"))&amp;"白"&amp;SUMPRODUCT(COUNTIFS(計算用!$AO$2:$AO$186,"女"&amp;F30:I30,計算用!$I$2:$I$186,"白")))</f>
        <v/>
      </c>
      <c r="P30">
        <f>IFERROR(INDEX(計算用!$D$2:$D$186,MATCH(25,計算用!$AR$2:$AR$186,0))&amp;"（"&amp;INDEX(計算用!$M$2:$M$186,MATCH(25,計算用!$AR$2:$AR$186,0))&amp;"）","")</f>
        <v/>
      </c>
      <c r="Q30">
        <f>IFERROR(INDEX(計算用!$D$2:$D$186,MATCH(25,計算用!$AS$2:$AS$186,0))&amp;"（"&amp;INDEX(計算用!$M$2:$M$186,MATCH(25,計算用!$AS$2:$AS$186,0))&amp;"）","")</f>
        <v/>
      </c>
      <c r="S30" s="32">
        <f>'4人組'!D28&amp;""</f>
        <v/>
      </c>
      <c r="T30" s="32">
        <f>'4人組'!G28&amp;""</f>
        <v/>
      </c>
      <c r="U30" s="32">
        <f>'4人組'!J28&amp;""</f>
        <v/>
      </c>
      <c r="V30" s="32">
        <f>'4人組'!M28&amp;""</f>
        <v/>
      </c>
      <c r="W30" s="32">
        <f>'4人組'!T28&amp;""</f>
        <v/>
      </c>
      <c r="X30" s="32">
        <f>'4人組'!W28&amp;""</f>
        <v/>
      </c>
      <c r="Y30" s="32">
        <f>'4人組'!Z28&amp;""</f>
        <v/>
      </c>
      <c r="Z30" s="32">
        <f>'4人組'!AC28&amp;""</f>
        <v/>
      </c>
    </row>
    <row r="31">
      <c r="A31" s="26" t="n">
        <v>26</v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K31" s="31">
        <f>COUNTIF(B31:E31,"?*")</f>
        <v/>
      </c>
      <c r="L31" s="26">
        <f>IF(K31=0,"","赤"&amp;SUMPRODUCT(COUNTIFS(計算用!$AO$2:$AO$186,"男"&amp;B31:E31,計算用!$I$2:$I$186,"赤"))&amp;"白"&amp;SUMPRODUCT(COUNTIFS(計算用!$AO$2:$AO$186,"男"&amp;B31:E31,計算用!$I$2:$I$186,"白")))</f>
        <v/>
      </c>
      <c r="M31" s="31">
        <f>COUNTIF(F31:I31,"?*")</f>
        <v/>
      </c>
      <c r="N31" s="26">
        <f>IF(M31=0,"","赤"&amp;SUMPRODUCT(COUNTIFS(計算用!$AO$2:$AO$186,"女"&amp;F31:I31,計算用!$I$2:$I$186,"赤"))&amp;"白"&amp;SUMPRODUCT(COUNTIFS(計算用!$AO$2:$AO$186,"女"&amp;F31:I31,計算用!$I$2:$I$186,"白")))</f>
        <v/>
      </c>
      <c r="P31">
        <f>IFERROR(INDEX(計算用!$D$2:$D$186,MATCH(26,計算用!$AR$2:$AR$186,0))&amp;"（"&amp;INDEX(計算用!$M$2:$M$186,MATCH(26,計算用!$AR$2:$AR$186,0))&amp;"）","")</f>
        <v/>
      </c>
      <c r="Q31">
        <f>IFERROR(INDEX(計算用!$D$2:$D$186,MATCH(26,計算用!$AS$2:$AS$186,0))&amp;"（"&amp;INDEX(計算用!$M$2:$M$186,MATCH(26,計算用!$AS$2:$AS$186,0))&amp;"）","")</f>
        <v/>
      </c>
      <c r="S31" s="32">
        <f>'4人組'!D29&amp;""</f>
        <v/>
      </c>
      <c r="T31" s="32">
        <f>'4人組'!G29&amp;""</f>
        <v/>
      </c>
      <c r="U31" s="32">
        <f>'4人組'!J29&amp;""</f>
        <v/>
      </c>
      <c r="V31" s="32">
        <f>'4人組'!M29&amp;""</f>
        <v/>
      </c>
      <c r="W31" s="32">
        <f>'4人組'!T29&amp;""</f>
        <v/>
      </c>
      <c r="X31" s="32">
        <f>'4人組'!W29&amp;""</f>
        <v/>
      </c>
      <c r="Y31" s="32">
        <f>'4人組'!Z29&amp;""</f>
        <v/>
      </c>
      <c r="Z31" s="32">
        <f>'4人組'!AC29&amp;""</f>
        <v/>
      </c>
    </row>
    <row r="32">
      <c r="A32" s="26" t="n">
        <v>27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K32" s="31">
        <f>COUNTIF(B32:E32,"?*")</f>
        <v/>
      </c>
      <c r="L32" s="26">
        <f>IF(K32=0,"","赤"&amp;SUMPRODUCT(COUNTIFS(計算用!$AO$2:$AO$186,"男"&amp;B32:E32,計算用!$I$2:$I$186,"赤"))&amp;"白"&amp;SUMPRODUCT(COUNTIFS(計算用!$AO$2:$AO$186,"男"&amp;B32:E32,計算用!$I$2:$I$186,"白")))</f>
        <v/>
      </c>
      <c r="M32" s="31">
        <f>COUNTIF(F32:I32,"?*")</f>
        <v/>
      </c>
      <c r="N32" s="26">
        <f>IF(M32=0,"","赤"&amp;SUMPRODUCT(COUNTIFS(計算用!$AO$2:$AO$186,"女"&amp;F32:I32,計算用!$I$2:$I$186,"赤"))&amp;"白"&amp;SUMPRODUCT(COUNTIFS(計算用!$AO$2:$AO$186,"女"&amp;F32:I32,計算用!$I$2:$I$186,"白")))</f>
        <v/>
      </c>
      <c r="P32">
        <f>IFERROR(INDEX(計算用!$D$2:$D$186,MATCH(27,計算用!$AR$2:$AR$186,0))&amp;"（"&amp;INDEX(計算用!$M$2:$M$186,MATCH(27,計算用!$AR$2:$AR$186,0))&amp;"）","")</f>
        <v/>
      </c>
      <c r="Q32">
        <f>IFERROR(INDEX(計算用!$D$2:$D$186,MATCH(27,計算用!$AS$2:$AS$186,0))&amp;"（"&amp;INDEX(計算用!$M$2:$M$186,MATCH(27,計算用!$AS$2:$AS$186,0))&amp;"）","")</f>
        <v/>
      </c>
      <c r="S32" s="32">
        <f>'4人組'!D30&amp;""</f>
        <v/>
      </c>
      <c r="T32" s="32">
        <f>'4人組'!G30&amp;""</f>
        <v/>
      </c>
      <c r="U32" s="32">
        <f>'4人組'!J30&amp;""</f>
        <v/>
      </c>
      <c r="V32" s="32">
        <f>'4人組'!M30&amp;""</f>
        <v/>
      </c>
      <c r="W32" s="32">
        <f>'4人組'!T30&amp;""</f>
        <v/>
      </c>
      <c r="X32" s="32">
        <f>'4人組'!W30&amp;""</f>
        <v/>
      </c>
      <c r="Y32" s="32">
        <f>'4人組'!Z30&amp;""</f>
        <v/>
      </c>
      <c r="Z32" s="32">
        <f>'4人組'!AC30&amp;""</f>
        <v/>
      </c>
    </row>
    <row r="33">
      <c r="A33" s="26" t="n">
        <v>28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K33" s="31">
        <f>COUNTIF(B33:E33,"?*")</f>
        <v/>
      </c>
      <c r="L33" s="26">
        <f>IF(K33=0,"","赤"&amp;SUMPRODUCT(COUNTIFS(計算用!$AO$2:$AO$186,"男"&amp;B33:E33,計算用!$I$2:$I$186,"赤"))&amp;"白"&amp;SUMPRODUCT(COUNTIFS(計算用!$AO$2:$AO$186,"男"&amp;B33:E33,計算用!$I$2:$I$186,"白")))</f>
        <v/>
      </c>
      <c r="M33" s="31">
        <f>COUNTIF(F33:I33,"?*")</f>
        <v/>
      </c>
      <c r="N33" s="26">
        <f>IF(M33=0,"","赤"&amp;SUMPRODUCT(COUNTIFS(計算用!$AO$2:$AO$186,"女"&amp;F33:I33,計算用!$I$2:$I$186,"赤"))&amp;"白"&amp;SUMPRODUCT(COUNTIFS(計算用!$AO$2:$AO$186,"女"&amp;F33:I33,計算用!$I$2:$I$186,"白")))</f>
        <v/>
      </c>
      <c r="P33">
        <f>IFERROR(INDEX(計算用!$D$2:$D$186,MATCH(28,計算用!$AR$2:$AR$186,0))&amp;"（"&amp;INDEX(計算用!$M$2:$M$186,MATCH(28,計算用!$AR$2:$AR$186,0))&amp;"）","")</f>
        <v/>
      </c>
      <c r="Q33">
        <f>IFERROR(INDEX(計算用!$D$2:$D$186,MATCH(28,計算用!$AS$2:$AS$186,0))&amp;"（"&amp;INDEX(計算用!$M$2:$M$186,MATCH(28,計算用!$AS$2:$AS$186,0))&amp;"）","")</f>
        <v/>
      </c>
      <c r="S33" s="32">
        <f>'4人組'!D31&amp;""</f>
        <v/>
      </c>
      <c r="T33" s="32">
        <f>'4人組'!G31&amp;""</f>
        <v/>
      </c>
      <c r="U33" s="32">
        <f>'4人組'!J31&amp;""</f>
        <v/>
      </c>
      <c r="V33" s="32">
        <f>'4人組'!M31&amp;""</f>
        <v/>
      </c>
      <c r="W33" s="32">
        <f>'4人組'!T31&amp;""</f>
        <v/>
      </c>
      <c r="X33" s="32">
        <f>'4人組'!W31&amp;""</f>
        <v/>
      </c>
      <c r="Y33" s="32">
        <f>'4人組'!Z31&amp;""</f>
        <v/>
      </c>
      <c r="Z33" s="32">
        <f>'4人組'!AC31&amp;""</f>
        <v/>
      </c>
    </row>
    <row r="34">
      <c r="A34" s="26" t="n">
        <v>29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K34" s="31">
        <f>COUNTIF(B34:E34,"?*")</f>
        <v/>
      </c>
      <c r="L34" s="26">
        <f>IF(K34=0,"","赤"&amp;SUMPRODUCT(COUNTIFS(計算用!$AO$2:$AO$186,"男"&amp;B34:E34,計算用!$I$2:$I$186,"赤"))&amp;"白"&amp;SUMPRODUCT(COUNTIFS(計算用!$AO$2:$AO$186,"男"&amp;B34:E34,計算用!$I$2:$I$186,"白")))</f>
        <v/>
      </c>
      <c r="M34" s="31">
        <f>COUNTIF(F34:I34,"?*")</f>
        <v/>
      </c>
      <c r="N34" s="26">
        <f>IF(M34=0,"","赤"&amp;SUMPRODUCT(COUNTIFS(計算用!$AO$2:$AO$186,"女"&amp;F34:I34,計算用!$I$2:$I$186,"赤"))&amp;"白"&amp;SUMPRODUCT(COUNTIFS(計算用!$AO$2:$AO$186,"女"&amp;F34:I34,計算用!$I$2:$I$186,"白")))</f>
        <v/>
      </c>
      <c r="P34">
        <f>IFERROR(INDEX(計算用!$D$2:$D$186,MATCH(29,計算用!$AR$2:$AR$186,0))&amp;"（"&amp;INDEX(計算用!$M$2:$M$186,MATCH(29,計算用!$AR$2:$AR$186,0))&amp;"）","")</f>
        <v/>
      </c>
      <c r="Q34">
        <f>IFERROR(INDEX(計算用!$D$2:$D$186,MATCH(29,計算用!$AS$2:$AS$186,0))&amp;"（"&amp;INDEX(計算用!$M$2:$M$186,MATCH(29,計算用!$AS$2:$AS$186,0))&amp;"）","")</f>
        <v/>
      </c>
      <c r="S34" s="32">
        <f>'4人組'!D32&amp;""</f>
        <v/>
      </c>
      <c r="T34" s="32">
        <f>'4人組'!G32&amp;""</f>
        <v/>
      </c>
      <c r="U34" s="32">
        <f>'4人組'!J32&amp;""</f>
        <v/>
      </c>
      <c r="V34" s="32">
        <f>'4人組'!M32&amp;""</f>
        <v/>
      </c>
      <c r="W34" s="32">
        <f>'4人組'!T32&amp;""</f>
        <v/>
      </c>
      <c r="X34" s="32">
        <f>'4人組'!W32&amp;""</f>
        <v/>
      </c>
      <c r="Y34" s="32">
        <f>'4人組'!Z32&amp;""</f>
        <v/>
      </c>
      <c r="Z34" s="32">
        <f>'4人組'!AC32&amp;""</f>
        <v/>
      </c>
    </row>
    <row r="35">
      <c r="A35" s="26" t="n">
        <v>30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K35" s="31">
        <f>COUNTIF(B35:E35,"?*")</f>
        <v/>
      </c>
      <c r="L35" s="26">
        <f>IF(K35=0,"","赤"&amp;SUMPRODUCT(COUNTIFS(計算用!$AO$2:$AO$186,"男"&amp;B35:E35,計算用!$I$2:$I$186,"赤"))&amp;"白"&amp;SUMPRODUCT(COUNTIFS(計算用!$AO$2:$AO$186,"男"&amp;B35:E35,計算用!$I$2:$I$186,"白")))</f>
        <v/>
      </c>
      <c r="M35" s="31">
        <f>COUNTIF(F35:I35,"?*")</f>
        <v/>
      </c>
      <c r="N35" s="26">
        <f>IF(M35=0,"","赤"&amp;SUMPRODUCT(COUNTIFS(計算用!$AO$2:$AO$186,"女"&amp;F35:I35,計算用!$I$2:$I$186,"赤"))&amp;"白"&amp;SUMPRODUCT(COUNTIFS(計算用!$AO$2:$AO$186,"女"&amp;F35:I35,計算用!$I$2:$I$186,"白")))</f>
        <v/>
      </c>
      <c r="P35">
        <f>IFERROR(INDEX(計算用!$D$2:$D$186,MATCH(30,計算用!$AR$2:$AR$186,0))&amp;"（"&amp;INDEX(計算用!$M$2:$M$186,MATCH(30,計算用!$AR$2:$AR$186,0))&amp;"）","")</f>
        <v/>
      </c>
      <c r="Q35">
        <f>IFERROR(INDEX(計算用!$D$2:$D$186,MATCH(30,計算用!$AS$2:$AS$186,0))&amp;"（"&amp;INDEX(計算用!$M$2:$M$186,MATCH(30,計算用!$AS$2:$AS$186,0))&amp;"）","")</f>
        <v/>
      </c>
      <c r="S35" s="32">
        <f>'4人組'!D33&amp;""</f>
        <v/>
      </c>
      <c r="T35" s="32">
        <f>'4人組'!G33&amp;""</f>
        <v/>
      </c>
      <c r="U35" s="32">
        <f>'4人組'!J33&amp;""</f>
        <v/>
      </c>
      <c r="V35" s="32">
        <f>'4人組'!M33&amp;""</f>
        <v/>
      </c>
      <c r="W35" s="32">
        <f>'4人組'!T33&amp;""</f>
        <v/>
      </c>
      <c r="X35" s="32">
        <f>'4人組'!W33&amp;""</f>
        <v/>
      </c>
      <c r="Y35" s="32">
        <f>'4人組'!Z33&amp;""</f>
        <v/>
      </c>
      <c r="Z35" s="32">
        <f>'4人組'!AC33&amp;""</f>
        <v/>
      </c>
    </row>
    <row r="36">
      <c r="A36" s="26" t="n">
        <v>31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K36" s="31">
        <f>COUNTIF(B36:E36,"?*")</f>
        <v/>
      </c>
      <c r="L36" s="26">
        <f>IF(K36=0,"","赤"&amp;SUMPRODUCT(COUNTIFS(計算用!$AO$2:$AO$186,"男"&amp;B36:E36,計算用!$I$2:$I$186,"赤"))&amp;"白"&amp;SUMPRODUCT(COUNTIFS(計算用!$AO$2:$AO$186,"男"&amp;B36:E36,計算用!$I$2:$I$186,"白")))</f>
        <v/>
      </c>
      <c r="M36" s="31">
        <f>COUNTIF(F36:I36,"?*")</f>
        <v/>
      </c>
      <c r="N36" s="26">
        <f>IF(M36=0,"","赤"&amp;SUMPRODUCT(COUNTIFS(計算用!$AO$2:$AO$186,"女"&amp;F36:I36,計算用!$I$2:$I$186,"赤"))&amp;"白"&amp;SUMPRODUCT(COUNTIFS(計算用!$AO$2:$AO$186,"女"&amp;F36:I36,計算用!$I$2:$I$186,"白")))</f>
        <v/>
      </c>
      <c r="P36">
        <f>IFERROR(INDEX(計算用!$D$2:$D$186,MATCH(31,計算用!$AR$2:$AR$186,0))&amp;"（"&amp;INDEX(計算用!$M$2:$M$186,MATCH(31,計算用!$AR$2:$AR$186,0))&amp;"）","")</f>
        <v/>
      </c>
      <c r="Q36">
        <f>IFERROR(INDEX(計算用!$D$2:$D$186,MATCH(31,計算用!$AS$2:$AS$186,0))&amp;"（"&amp;INDEX(計算用!$M$2:$M$186,MATCH(31,計算用!$AS$2:$AS$186,0))&amp;"）","")</f>
        <v/>
      </c>
      <c r="S36" s="32">
        <f>'4人組'!D34&amp;""</f>
        <v/>
      </c>
      <c r="T36" s="32">
        <f>'4人組'!G34&amp;""</f>
        <v/>
      </c>
      <c r="U36" s="32">
        <f>'4人組'!J34&amp;""</f>
        <v/>
      </c>
      <c r="V36" s="32">
        <f>'4人組'!M34&amp;""</f>
        <v/>
      </c>
      <c r="W36" s="32">
        <f>'4人組'!T34&amp;""</f>
        <v/>
      </c>
      <c r="X36" s="32">
        <f>'4人組'!W34&amp;""</f>
        <v/>
      </c>
      <c r="Y36" s="32">
        <f>'4人組'!Z34&amp;""</f>
        <v/>
      </c>
      <c r="Z36" s="32">
        <f>'4人組'!AC34&amp;""</f>
        <v/>
      </c>
    </row>
    <row r="37">
      <c r="A37" s="26" t="n">
        <v>32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K37" s="31">
        <f>COUNTIF(B37:E37,"?*")</f>
        <v/>
      </c>
      <c r="L37" s="26">
        <f>IF(K37=0,"","赤"&amp;SUMPRODUCT(COUNTIFS(計算用!$AO$2:$AO$186,"男"&amp;B37:E37,計算用!$I$2:$I$186,"赤"))&amp;"白"&amp;SUMPRODUCT(COUNTIFS(計算用!$AO$2:$AO$186,"男"&amp;B37:E37,計算用!$I$2:$I$186,"白")))</f>
        <v/>
      </c>
      <c r="M37" s="31">
        <f>COUNTIF(F37:I37,"?*")</f>
        <v/>
      </c>
      <c r="N37" s="26">
        <f>IF(M37=0,"","赤"&amp;SUMPRODUCT(COUNTIFS(計算用!$AO$2:$AO$186,"女"&amp;F37:I37,計算用!$I$2:$I$186,"赤"))&amp;"白"&amp;SUMPRODUCT(COUNTIFS(計算用!$AO$2:$AO$186,"女"&amp;F37:I37,計算用!$I$2:$I$186,"白")))</f>
        <v/>
      </c>
      <c r="P37">
        <f>IFERROR(INDEX(計算用!$D$2:$D$186,MATCH(32,計算用!$AR$2:$AR$186,0))&amp;"（"&amp;INDEX(計算用!$M$2:$M$186,MATCH(32,計算用!$AR$2:$AR$186,0))&amp;"）","")</f>
        <v/>
      </c>
      <c r="Q37">
        <f>IFERROR(INDEX(計算用!$D$2:$D$186,MATCH(32,計算用!$AS$2:$AS$186,0))&amp;"（"&amp;INDEX(計算用!$M$2:$M$186,MATCH(32,計算用!$AS$2:$AS$186,0))&amp;"）","")</f>
        <v/>
      </c>
      <c r="S37" s="32">
        <f>'4人組'!D35&amp;""</f>
        <v/>
      </c>
      <c r="T37" s="32">
        <f>'4人組'!G35&amp;""</f>
        <v/>
      </c>
      <c r="U37" s="32">
        <f>'4人組'!J35&amp;""</f>
        <v/>
      </c>
      <c r="V37" s="32">
        <f>'4人組'!M35&amp;""</f>
        <v/>
      </c>
      <c r="W37" s="32">
        <f>'4人組'!T35&amp;""</f>
        <v/>
      </c>
      <c r="X37" s="32">
        <f>'4人組'!W35&amp;""</f>
        <v/>
      </c>
      <c r="Y37" s="32">
        <f>'4人組'!Z35&amp;""</f>
        <v/>
      </c>
      <c r="Z37" s="32">
        <f>'4人組'!AC35&amp;""</f>
        <v/>
      </c>
    </row>
    <row r="38">
      <c r="A38" s="26" t="n">
        <v>33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K38" s="31">
        <f>COUNTIF(B38:E38,"?*")</f>
        <v/>
      </c>
      <c r="L38" s="26">
        <f>IF(K38=0,"","赤"&amp;SUMPRODUCT(COUNTIFS(計算用!$AO$2:$AO$186,"男"&amp;B38:E38,計算用!$I$2:$I$186,"赤"))&amp;"白"&amp;SUMPRODUCT(COUNTIFS(計算用!$AO$2:$AO$186,"男"&amp;B38:E38,計算用!$I$2:$I$186,"白")))</f>
        <v/>
      </c>
      <c r="M38" s="31">
        <f>COUNTIF(F38:I38,"?*")</f>
        <v/>
      </c>
      <c r="N38" s="26">
        <f>IF(M38=0,"","赤"&amp;SUMPRODUCT(COUNTIFS(計算用!$AO$2:$AO$186,"女"&amp;F38:I38,計算用!$I$2:$I$186,"赤"))&amp;"白"&amp;SUMPRODUCT(COUNTIFS(計算用!$AO$2:$AO$186,"女"&amp;F38:I38,計算用!$I$2:$I$186,"白")))</f>
        <v/>
      </c>
      <c r="P38">
        <f>IFERROR(INDEX(計算用!$D$2:$D$186,MATCH(33,計算用!$AR$2:$AR$186,0))&amp;"（"&amp;INDEX(計算用!$M$2:$M$186,MATCH(33,計算用!$AR$2:$AR$186,0))&amp;"）","")</f>
        <v/>
      </c>
      <c r="Q38">
        <f>IFERROR(INDEX(計算用!$D$2:$D$186,MATCH(33,計算用!$AS$2:$AS$186,0))&amp;"（"&amp;INDEX(計算用!$M$2:$M$186,MATCH(33,計算用!$AS$2:$AS$186,0))&amp;"）","")</f>
        <v/>
      </c>
      <c r="S38" s="32">
        <f>'4人組'!D36&amp;""</f>
        <v/>
      </c>
      <c r="T38" s="32">
        <f>'4人組'!G36&amp;""</f>
        <v/>
      </c>
      <c r="U38" s="32">
        <f>'4人組'!J36&amp;""</f>
        <v/>
      </c>
      <c r="V38" s="32">
        <f>'4人組'!M36&amp;""</f>
        <v/>
      </c>
      <c r="W38" s="32">
        <f>'4人組'!T36&amp;""</f>
        <v/>
      </c>
      <c r="X38" s="32">
        <f>'4人組'!W36&amp;""</f>
        <v/>
      </c>
      <c r="Y38" s="32">
        <f>'4人組'!Z36&amp;""</f>
        <v/>
      </c>
      <c r="Z38" s="32">
        <f>'4人組'!AC36&amp;""</f>
        <v/>
      </c>
    </row>
    <row r="39">
      <c r="A39" s="26" t="n">
        <v>34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K39" s="31">
        <f>COUNTIF(B39:E39,"?*")</f>
        <v/>
      </c>
      <c r="L39" s="26">
        <f>IF(K39=0,"","赤"&amp;SUMPRODUCT(COUNTIFS(計算用!$AO$2:$AO$186,"男"&amp;B39:E39,計算用!$I$2:$I$186,"赤"))&amp;"白"&amp;SUMPRODUCT(COUNTIFS(計算用!$AO$2:$AO$186,"男"&amp;B39:E39,計算用!$I$2:$I$186,"白")))</f>
        <v/>
      </c>
      <c r="M39" s="31">
        <f>COUNTIF(F39:I39,"?*")</f>
        <v/>
      </c>
      <c r="N39" s="26">
        <f>IF(M39=0,"","赤"&amp;SUMPRODUCT(COUNTIFS(計算用!$AO$2:$AO$186,"女"&amp;F39:I39,計算用!$I$2:$I$186,"赤"))&amp;"白"&amp;SUMPRODUCT(COUNTIFS(計算用!$AO$2:$AO$186,"女"&amp;F39:I39,計算用!$I$2:$I$186,"白")))</f>
        <v/>
      </c>
      <c r="P39">
        <f>IFERROR(INDEX(計算用!$D$2:$D$186,MATCH(34,計算用!$AR$2:$AR$186,0))&amp;"（"&amp;INDEX(計算用!$M$2:$M$186,MATCH(34,計算用!$AR$2:$AR$186,0))&amp;"）","")</f>
        <v/>
      </c>
      <c r="Q39">
        <f>IFERROR(INDEX(計算用!$D$2:$D$186,MATCH(34,計算用!$AS$2:$AS$186,0))&amp;"（"&amp;INDEX(計算用!$M$2:$M$186,MATCH(34,計算用!$AS$2:$AS$186,0))&amp;"）","")</f>
        <v/>
      </c>
      <c r="S39" s="32">
        <f>'4人組'!D37&amp;""</f>
        <v/>
      </c>
      <c r="T39" s="32">
        <f>'4人組'!G37&amp;""</f>
        <v/>
      </c>
      <c r="U39" s="32">
        <f>'4人組'!J37&amp;""</f>
        <v/>
      </c>
      <c r="V39" s="32">
        <f>'4人組'!M37&amp;""</f>
        <v/>
      </c>
      <c r="W39" s="32">
        <f>'4人組'!T37&amp;""</f>
        <v/>
      </c>
      <c r="X39" s="32">
        <f>'4人組'!W37&amp;""</f>
        <v/>
      </c>
      <c r="Y39" s="32">
        <f>'4人組'!Z37&amp;""</f>
        <v/>
      </c>
      <c r="Z39" s="32">
        <f>'4人組'!AC37&amp;""</f>
        <v/>
      </c>
    </row>
    <row r="40">
      <c r="A40" s="26" t="n">
        <v>35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K40" s="31">
        <f>COUNTIF(B40:E40,"?*")</f>
        <v/>
      </c>
      <c r="L40" s="26">
        <f>IF(K40=0,"","赤"&amp;SUMPRODUCT(COUNTIFS(計算用!$AO$2:$AO$186,"男"&amp;B40:E40,計算用!$I$2:$I$186,"赤"))&amp;"白"&amp;SUMPRODUCT(COUNTIFS(計算用!$AO$2:$AO$186,"男"&amp;B40:E40,計算用!$I$2:$I$186,"白")))</f>
        <v/>
      </c>
      <c r="M40" s="31">
        <f>COUNTIF(F40:I40,"?*")</f>
        <v/>
      </c>
      <c r="N40" s="26">
        <f>IF(M40=0,"","赤"&amp;SUMPRODUCT(COUNTIFS(計算用!$AO$2:$AO$186,"女"&amp;F40:I40,計算用!$I$2:$I$186,"赤"))&amp;"白"&amp;SUMPRODUCT(COUNTIFS(計算用!$AO$2:$AO$186,"女"&amp;F40:I40,計算用!$I$2:$I$186,"白")))</f>
        <v/>
      </c>
      <c r="P40">
        <f>IFERROR(INDEX(計算用!$D$2:$D$186,MATCH(35,計算用!$AR$2:$AR$186,0))&amp;"（"&amp;INDEX(計算用!$M$2:$M$186,MATCH(35,計算用!$AR$2:$AR$186,0))&amp;"）","")</f>
        <v/>
      </c>
      <c r="Q40">
        <f>IFERROR(INDEX(計算用!$D$2:$D$186,MATCH(35,計算用!$AS$2:$AS$186,0))&amp;"（"&amp;INDEX(計算用!$M$2:$M$186,MATCH(35,計算用!$AS$2:$AS$186,0))&amp;"）","")</f>
        <v/>
      </c>
      <c r="S40" s="32">
        <f>'4人組'!D38&amp;""</f>
        <v/>
      </c>
      <c r="T40" s="32">
        <f>'4人組'!G38&amp;""</f>
        <v/>
      </c>
      <c r="U40" s="32">
        <f>'4人組'!J38&amp;""</f>
        <v/>
      </c>
      <c r="V40" s="32">
        <f>'4人組'!M38&amp;""</f>
        <v/>
      </c>
      <c r="W40" s="32">
        <f>'4人組'!T38&amp;""</f>
        <v/>
      </c>
      <c r="X40" s="32">
        <f>'4人組'!W38&amp;""</f>
        <v/>
      </c>
      <c r="Y40" s="32">
        <f>'4人組'!Z38&amp;""</f>
        <v/>
      </c>
      <c r="Z40" s="32">
        <f>'4人組'!AC38&amp;""</f>
        <v/>
      </c>
    </row>
    <row r="41">
      <c r="A41" s="26" t="n">
        <v>36</v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K41" s="31">
        <f>COUNTIF(B41:E41,"?*")</f>
        <v/>
      </c>
      <c r="L41" s="26">
        <f>IF(K41=0,"","赤"&amp;SUMPRODUCT(COUNTIFS(計算用!$AO$2:$AO$186,"男"&amp;B41:E41,計算用!$I$2:$I$186,"赤"))&amp;"白"&amp;SUMPRODUCT(COUNTIFS(計算用!$AO$2:$AO$186,"男"&amp;B41:E41,計算用!$I$2:$I$186,"白")))</f>
        <v/>
      </c>
      <c r="M41" s="31">
        <f>COUNTIF(F41:I41,"?*")</f>
        <v/>
      </c>
      <c r="N41" s="26">
        <f>IF(M41=0,"","赤"&amp;SUMPRODUCT(COUNTIFS(計算用!$AO$2:$AO$186,"女"&amp;F41:I41,計算用!$I$2:$I$186,"赤"))&amp;"白"&amp;SUMPRODUCT(COUNTIFS(計算用!$AO$2:$AO$186,"女"&amp;F41:I41,計算用!$I$2:$I$186,"白")))</f>
        <v/>
      </c>
      <c r="P41">
        <f>IFERROR(INDEX(計算用!$D$2:$D$186,MATCH(36,計算用!$AR$2:$AR$186,0))&amp;"（"&amp;INDEX(計算用!$M$2:$M$186,MATCH(36,計算用!$AR$2:$AR$186,0))&amp;"）","")</f>
        <v/>
      </c>
      <c r="Q41">
        <f>IFERROR(INDEX(計算用!$D$2:$D$186,MATCH(36,計算用!$AS$2:$AS$186,0))&amp;"（"&amp;INDEX(計算用!$M$2:$M$186,MATCH(36,計算用!$AS$2:$AS$186,0))&amp;"）","")</f>
        <v/>
      </c>
      <c r="S41" s="32">
        <f>'4人組'!D39&amp;""</f>
        <v/>
      </c>
      <c r="T41" s="32">
        <f>'4人組'!G39&amp;""</f>
        <v/>
      </c>
      <c r="U41" s="32">
        <f>'4人組'!J39&amp;""</f>
        <v/>
      </c>
      <c r="V41" s="32">
        <f>'4人組'!M39&amp;""</f>
        <v/>
      </c>
      <c r="W41" s="32">
        <f>'4人組'!T39&amp;""</f>
        <v/>
      </c>
      <c r="X41" s="32">
        <f>'4人組'!W39&amp;""</f>
        <v/>
      </c>
      <c r="Y41" s="32">
        <f>'4人組'!Z39&amp;""</f>
        <v/>
      </c>
      <c r="Z41" s="32">
        <f>'4人組'!AC39&amp;""</f>
        <v/>
      </c>
    </row>
    <row r="42">
      <c r="A42" s="26" t="n">
        <v>37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K42" s="31">
        <f>COUNTIF(B42:E42,"?*")</f>
        <v/>
      </c>
      <c r="L42" s="26">
        <f>IF(K42=0,"","赤"&amp;SUMPRODUCT(COUNTIFS(計算用!$AO$2:$AO$186,"男"&amp;B42:E42,計算用!$I$2:$I$186,"赤"))&amp;"白"&amp;SUMPRODUCT(COUNTIFS(計算用!$AO$2:$AO$186,"男"&amp;B42:E42,計算用!$I$2:$I$186,"白")))</f>
        <v/>
      </c>
      <c r="M42" s="31">
        <f>COUNTIF(F42:I42,"?*")</f>
        <v/>
      </c>
      <c r="N42" s="26">
        <f>IF(M42=0,"","赤"&amp;SUMPRODUCT(COUNTIFS(計算用!$AO$2:$AO$186,"女"&amp;F42:I42,計算用!$I$2:$I$186,"赤"))&amp;"白"&amp;SUMPRODUCT(COUNTIFS(計算用!$AO$2:$AO$186,"女"&amp;F42:I42,計算用!$I$2:$I$186,"白")))</f>
        <v/>
      </c>
      <c r="P42">
        <f>IFERROR(INDEX(計算用!$D$2:$D$186,MATCH(37,計算用!$AR$2:$AR$186,0))&amp;"（"&amp;INDEX(計算用!$M$2:$M$186,MATCH(37,計算用!$AR$2:$AR$186,0))&amp;"）","")</f>
        <v/>
      </c>
      <c r="Q42">
        <f>IFERROR(INDEX(計算用!$D$2:$D$186,MATCH(37,計算用!$AS$2:$AS$186,0))&amp;"（"&amp;INDEX(計算用!$M$2:$M$186,MATCH(37,計算用!$AS$2:$AS$186,0))&amp;"）","")</f>
        <v/>
      </c>
      <c r="S42" s="32">
        <f>'4人組'!D40&amp;""</f>
        <v/>
      </c>
      <c r="T42" s="32">
        <f>'4人組'!G40&amp;""</f>
        <v/>
      </c>
      <c r="U42" s="32">
        <f>'4人組'!J40&amp;""</f>
        <v/>
      </c>
      <c r="V42" s="32">
        <f>'4人組'!M40&amp;""</f>
        <v/>
      </c>
      <c r="W42" s="32">
        <f>'4人組'!T40&amp;""</f>
        <v/>
      </c>
      <c r="X42" s="32">
        <f>'4人組'!W40&amp;""</f>
        <v/>
      </c>
      <c r="Y42" s="32">
        <f>'4人組'!Z40&amp;""</f>
        <v/>
      </c>
      <c r="Z42" s="32">
        <f>'4人組'!AC40&amp;""</f>
        <v/>
      </c>
    </row>
    <row r="43">
      <c r="A43" s="26" t="n">
        <v>38</v>
      </c>
      <c r="B43" s="30" t="n"/>
      <c r="C43" s="30" t="n"/>
      <c r="D43" s="30" t="n"/>
      <c r="E43" s="30" t="n"/>
      <c r="F43" s="30" t="n"/>
      <c r="G43" s="30" t="n"/>
      <c r="H43" s="30" t="n"/>
      <c r="I43" s="30" t="n"/>
      <c r="K43" s="31">
        <f>COUNTIF(B43:E43,"?*")</f>
        <v/>
      </c>
      <c r="L43" s="26">
        <f>IF(K43=0,"","赤"&amp;SUMPRODUCT(COUNTIFS(計算用!$AO$2:$AO$186,"男"&amp;B43:E43,計算用!$I$2:$I$186,"赤"))&amp;"白"&amp;SUMPRODUCT(COUNTIFS(計算用!$AO$2:$AO$186,"男"&amp;B43:E43,計算用!$I$2:$I$186,"白")))</f>
        <v/>
      </c>
      <c r="M43" s="31">
        <f>COUNTIF(F43:I43,"?*")</f>
        <v/>
      </c>
      <c r="N43" s="26">
        <f>IF(M43=0,"","赤"&amp;SUMPRODUCT(COUNTIFS(計算用!$AO$2:$AO$186,"女"&amp;F43:I43,計算用!$I$2:$I$186,"赤"))&amp;"白"&amp;SUMPRODUCT(COUNTIFS(計算用!$AO$2:$AO$186,"女"&amp;F43:I43,計算用!$I$2:$I$186,"白")))</f>
        <v/>
      </c>
      <c r="P43">
        <f>IFERROR(INDEX(計算用!$D$2:$D$186,MATCH(38,計算用!$AR$2:$AR$186,0))&amp;"（"&amp;INDEX(計算用!$M$2:$M$186,MATCH(38,計算用!$AR$2:$AR$186,0))&amp;"）","")</f>
        <v/>
      </c>
      <c r="Q43">
        <f>IFERROR(INDEX(計算用!$D$2:$D$186,MATCH(38,計算用!$AS$2:$AS$186,0))&amp;"（"&amp;INDEX(計算用!$M$2:$M$186,MATCH(38,計算用!$AS$2:$AS$186,0))&amp;"）","")</f>
        <v/>
      </c>
      <c r="S43" s="32">
        <f>'4人組'!D41&amp;""</f>
        <v/>
      </c>
      <c r="T43" s="32">
        <f>'4人組'!G41&amp;""</f>
        <v/>
      </c>
      <c r="U43" s="32">
        <f>'4人組'!J41&amp;""</f>
        <v/>
      </c>
      <c r="V43" s="32">
        <f>'4人組'!M41&amp;""</f>
        <v/>
      </c>
      <c r="W43" s="32">
        <f>'4人組'!T41&amp;""</f>
        <v/>
      </c>
      <c r="X43" s="32">
        <f>'4人組'!W41&amp;""</f>
        <v/>
      </c>
      <c r="Y43" s="32">
        <f>'4人組'!Z41&amp;""</f>
        <v/>
      </c>
      <c r="Z43" s="32">
        <f>'4人組'!AC41&amp;""</f>
        <v/>
      </c>
    </row>
    <row r="44">
      <c r="A44" s="26" t="n">
        <v>39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K44" s="31">
        <f>COUNTIF(B44:E44,"?*")</f>
        <v/>
      </c>
      <c r="L44" s="26">
        <f>IF(K44=0,"","赤"&amp;SUMPRODUCT(COUNTIFS(計算用!$AO$2:$AO$186,"男"&amp;B44:E44,計算用!$I$2:$I$186,"赤"))&amp;"白"&amp;SUMPRODUCT(COUNTIFS(計算用!$AO$2:$AO$186,"男"&amp;B44:E44,計算用!$I$2:$I$186,"白")))</f>
        <v/>
      </c>
      <c r="M44" s="31">
        <f>COUNTIF(F44:I44,"?*")</f>
        <v/>
      </c>
      <c r="N44" s="26">
        <f>IF(M44=0,"","赤"&amp;SUMPRODUCT(COUNTIFS(計算用!$AO$2:$AO$186,"女"&amp;F44:I44,計算用!$I$2:$I$186,"赤"))&amp;"白"&amp;SUMPRODUCT(COUNTIFS(計算用!$AO$2:$AO$186,"女"&amp;F44:I44,計算用!$I$2:$I$186,"白")))</f>
        <v/>
      </c>
      <c r="P44">
        <f>IFERROR(INDEX(計算用!$D$2:$D$186,MATCH(39,計算用!$AR$2:$AR$186,0))&amp;"（"&amp;INDEX(計算用!$M$2:$M$186,MATCH(39,計算用!$AR$2:$AR$186,0))&amp;"）","")</f>
        <v/>
      </c>
      <c r="Q44">
        <f>IFERROR(INDEX(計算用!$D$2:$D$186,MATCH(39,計算用!$AS$2:$AS$186,0))&amp;"（"&amp;INDEX(計算用!$M$2:$M$186,MATCH(39,計算用!$AS$2:$AS$186,0))&amp;"）","")</f>
        <v/>
      </c>
      <c r="S44" s="32">
        <f>'4人組'!D42&amp;""</f>
        <v/>
      </c>
      <c r="T44" s="32">
        <f>'4人組'!G42&amp;""</f>
        <v/>
      </c>
      <c r="U44" s="32">
        <f>'4人組'!J42&amp;""</f>
        <v/>
      </c>
      <c r="V44" s="32">
        <f>'4人組'!M42&amp;""</f>
        <v/>
      </c>
      <c r="W44" s="32">
        <f>'4人組'!T42&amp;""</f>
        <v/>
      </c>
      <c r="X44" s="32">
        <f>'4人組'!W42&amp;""</f>
        <v/>
      </c>
      <c r="Y44" s="32">
        <f>'4人組'!Z42&amp;""</f>
        <v/>
      </c>
      <c r="Z44" s="32">
        <f>'4人組'!AC42&amp;""</f>
        <v/>
      </c>
    </row>
    <row r="45">
      <c r="A45" s="26" t="n">
        <v>40</v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K45" s="31">
        <f>COUNTIF(B45:E45,"?*")</f>
        <v/>
      </c>
      <c r="L45" s="26">
        <f>IF(K45=0,"","赤"&amp;SUMPRODUCT(COUNTIFS(計算用!$AO$2:$AO$186,"男"&amp;B45:E45,計算用!$I$2:$I$186,"赤"))&amp;"白"&amp;SUMPRODUCT(COUNTIFS(計算用!$AO$2:$AO$186,"男"&amp;B45:E45,計算用!$I$2:$I$186,"白")))</f>
        <v/>
      </c>
      <c r="M45" s="31">
        <f>COUNTIF(F45:I45,"?*")</f>
        <v/>
      </c>
      <c r="N45" s="26">
        <f>IF(M45=0,"","赤"&amp;SUMPRODUCT(COUNTIFS(計算用!$AO$2:$AO$186,"女"&amp;F45:I45,計算用!$I$2:$I$186,"赤"))&amp;"白"&amp;SUMPRODUCT(COUNTIFS(計算用!$AO$2:$AO$186,"女"&amp;F45:I45,計算用!$I$2:$I$186,"白")))</f>
        <v/>
      </c>
      <c r="P45">
        <f>IFERROR(INDEX(計算用!$D$2:$D$186,MATCH(40,計算用!$AR$2:$AR$186,0))&amp;"（"&amp;INDEX(計算用!$M$2:$M$186,MATCH(40,計算用!$AR$2:$AR$186,0))&amp;"）","")</f>
        <v/>
      </c>
      <c r="Q45">
        <f>IFERROR(INDEX(計算用!$D$2:$D$186,MATCH(40,計算用!$AS$2:$AS$186,0))&amp;"（"&amp;INDEX(計算用!$M$2:$M$186,MATCH(40,計算用!$AS$2:$AS$186,0))&amp;"）","")</f>
        <v/>
      </c>
      <c r="S45" s="32">
        <f>'4人組'!D43&amp;""</f>
        <v/>
      </c>
      <c r="T45" s="32">
        <f>'4人組'!G43&amp;""</f>
        <v/>
      </c>
      <c r="U45" s="32">
        <f>'4人組'!J43&amp;""</f>
        <v/>
      </c>
      <c r="V45" s="32">
        <f>'4人組'!M43&amp;""</f>
        <v/>
      </c>
      <c r="W45" s="32">
        <f>'4人組'!T43&amp;""</f>
        <v/>
      </c>
      <c r="X45" s="32">
        <f>'4人組'!W43&amp;""</f>
        <v/>
      </c>
      <c r="Y45" s="32">
        <f>'4人組'!Z43&amp;""</f>
        <v/>
      </c>
      <c r="Z45" s="32">
        <f>'4人組'!AC43&amp;""</f>
        <v/>
      </c>
    </row>
    <row r="46">
      <c r="A46" s="26" t="n">
        <v>41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K46" s="31">
        <f>COUNTIF(B46:E46,"?*")</f>
        <v/>
      </c>
      <c r="L46" s="26">
        <f>IF(K46=0,"","赤"&amp;SUMPRODUCT(COUNTIFS(計算用!$AO$2:$AO$186,"男"&amp;B46:E46,計算用!$I$2:$I$186,"赤"))&amp;"白"&amp;SUMPRODUCT(COUNTIFS(計算用!$AO$2:$AO$186,"男"&amp;B46:E46,計算用!$I$2:$I$186,"白")))</f>
        <v/>
      </c>
      <c r="M46" s="31">
        <f>COUNTIF(F46:I46,"?*")</f>
        <v/>
      </c>
      <c r="N46" s="26">
        <f>IF(M46=0,"","赤"&amp;SUMPRODUCT(COUNTIFS(計算用!$AO$2:$AO$186,"女"&amp;F46:I46,計算用!$I$2:$I$186,"赤"))&amp;"白"&amp;SUMPRODUCT(COUNTIFS(計算用!$AO$2:$AO$186,"女"&amp;F46:I46,計算用!$I$2:$I$186,"白")))</f>
        <v/>
      </c>
      <c r="P46">
        <f>IFERROR(INDEX(計算用!$D$2:$D$186,MATCH(41,計算用!$AR$2:$AR$186,0))&amp;"（"&amp;INDEX(計算用!$M$2:$M$186,MATCH(41,計算用!$AR$2:$AR$186,0))&amp;"）","")</f>
        <v/>
      </c>
      <c r="Q46">
        <f>IFERROR(INDEX(計算用!$D$2:$D$186,MATCH(41,計算用!$AS$2:$AS$186,0))&amp;"（"&amp;INDEX(計算用!$M$2:$M$186,MATCH(41,計算用!$AS$2:$AS$186,0))&amp;"）","")</f>
        <v/>
      </c>
      <c r="S46" s="32">
        <f>'4人組'!D44&amp;""</f>
        <v/>
      </c>
      <c r="T46" s="32">
        <f>'4人組'!G44&amp;""</f>
        <v/>
      </c>
      <c r="U46" s="32">
        <f>'4人組'!J44&amp;""</f>
        <v/>
      </c>
      <c r="V46" s="32">
        <f>'4人組'!M44&amp;""</f>
        <v/>
      </c>
      <c r="W46" s="32">
        <f>'4人組'!T44&amp;""</f>
        <v/>
      </c>
      <c r="X46" s="32">
        <f>'4人組'!W44&amp;""</f>
        <v/>
      </c>
      <c r="Y46" s="32">
        <f>'4人組'!Z44&amp;""</f>
        <v/>
      </c>
      <c r="Z46" s="32">
        <f>'4人組'!AC44&amp;""</f>
        <v/>
      </c>
    </row>
    <row r="47">
      <c r="A47" s="26" t="n">
        <v>42</v>
      </c>
      <c r="B47" s="30" t="n"/>
      <c r="C47" s="30" t="n"/>
      <c r="D47" s="30" t="n"/>
      <c r="E47" s="30" t="n"/>
      <c r="F47" s="30" t="n"/>
      <c r="G47" s="30" t="n"/>
      <c r="H47" s="30" t="n"/>
      <c r="I47" s="30" t="n"/>
      <c r="K47" s="31">
        <f>COUNTIF(B47:E47,"?*")</f>
        <v/>
      </c>
      <c r="L47" s="26">
        <f>IF(K47=0,"","赤"&amp;SUMPRODUCT(COUNTIFS(計算用!$AO$2:$AO$186,"男"&amp;B47:E47,計算用!$I$2:$I$186,"赤"))&amp;"白"&amp;SUMPRODUCT(COUNTIFS(計算用!$AO$2:$AO$186,"男"&amp;B47:E47,計算用!$I$2:$I$186,"白")))</f>
        <v/>
      </c>
      <c r="M47" s="31">
        <f>COUNTIF(F47:I47,"?*")</f>
        <v/>
      </c>
      <c r="N47" s="26">
        <f>IF(M47=0,"","赤"&amp;SUMPRODUCT(COUNTIFS(計算用!$AO$2:$AO$186,"女"&amp;F47:I47,計算用!$I$2:$I$186,"赤"))&amp;"白"&amp;SUMPRODUCT(COUNTIFS(計算用!$AO$2:$AO$186,"女"&amp;F47:I47,計算用!$I$2:$I$186,"白")))</f>
        <v/>
      </c>
      <c r="P47">
        <f>IFERROR(INDEX(計算用!$D$2:$D$186,MATCH(42,計算用!$AR$2:$AR$186,0))&amp;"（"&amp;INDEX(計算用!$M$2:$M$186,MATCH(42,計算用!$AR$2:$AR$186,0))&amp;"）","")</f>
        <v/>
      </c>
      <c r="Q47">
        <f>IFERROR(INDEX(計算用!$D$2:$D$186,MATCH(42,計算用!$AS$2:$AS$186,0))&amp;"（"&amp;INDEX(計算用!$M$2:$M$186,MATCH(42,計算用!$AS$2:$AS$186,0))&amp;"）","")</f>
        <v/>
      </c>
      <c r="S47" s="32">
        <f>'4人組'!D45&amp;""</f>
        <v/>
      </c>
      <c r="T47" s="32">
        <f>'4人組'!G45&amp;""</f>
        <v/>
      </c>
      <c r="U47" s="32">
        <f>'4人組'!J45&amp;""</f>
        <v/>
      </c>
      <c r="V47" s="32">
        <f>'4人組'!M45&amp;""</f>
        <v/>
      </c>
      <c r="W47" s="32">
        <f>'4人組'!T45&amp;""</f>
        <v/>
      </c>
      <c r="X47" s="32">
        <f>'4人組'!W45&amp;""</f>
        <v/>
      </c>
      <c r="Y47" s="32">
        <f>'4人組'!Z45&amp;""</f>
        <v/>
      </c>
      <c r="Z47" s="32">
        <f>'4人組'!AC45&amp;""</f>
        <v/>
      </c>
    </row>
    <row r="48">
      <c r="A48" s="26" t="n">
        <v>43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K48" s="31">
        <f>COUNTIF(B48:E48,"?*")</f>
        <v/>
      </c>
      <c r="L48" s="26">
        <f>IF(K48=0,"","赤"&amp;SUMPRODUCT(COUNTIFS(計算用!$AO$2:$AO$186,"男"&amp;B48:E48,計算用!$I$2:$I$186,"赤"))&amp;"白"&amp;SUMPRODUCT(COUNTIFS(計算用!$AO$2:$AO$186,"男"&amp;B48:E48,計算用!$I$2:$I$186,"白")))</f>
        <v/>
      </c>
      <c r="M48" s="31">
        <f>COUNTIF(F48:I48,"?*")</f>
        <v/>
      </c>
      <c r="N48" s="26">
        <f>IF(M48=0,"","赤"&amp;SUMPRODUCT(COUNTIFS(計算用!$AO$2:$AO$186,"女"&amp;F48:I48,計算用!$I$2:$I$186,"赤"))&amp;"白"&amp;SUMPRODUCT(COUNTIFS(計算用!$AO$2:$AO$186,"女"&amp;F48:I48,計算用!$I$2:$I$186,"白")))</f>
        <v/>
      </c>
      <c r="P48">
        <f>IFERROR(INDEX(計算用!$D$2:$D$186,MATCH(43,計算用!$AR$2:$AR$186,0))&amp;"（"&amp;INDEX(計算用!$M$2:$M$186,MATCH(43,計算用!$AR$2:$AR$186,0))&amp;"）","")</f>
        <v/>
      </c>
      <c r="Q48">
        <f>IFERROR(INDEX(計算用!$D$2:$D$186,MATCH(43,計算用!$AS$2:$AS$186,0))&amp;"（"&amp;INDEX(計算用!$M$2:$M$186,MATCH(43,計算用!$AS$2:$AS$186,0))&amp;"）","")</f>
        <v/>
      </c>
      <c r="S48" s="32">
        <f>'4人組'!D46&amp;""</f>
        <v/>
      </c>
      <c r="T48" s="32">
        <f>'4人組'!G46&amp;""</f>
        <v/>
      </c>
      <c r="U48" s="32">
        <f>'4人組'!J46&amp;""</f>
        <v/>
      </c>
      <c r="V48" s="32">
        <f>'4人組'!M46&amp;""</f>
        <v/>
      </c>
      <c r="W48" s="32">
        <f>'4人組'!T46&amp;""</f>
        <v/>
      </c>
      <c r="X48" s="32">
        <f>'4人組'!W46&amp;""</f>
        <v/>
      </c>
      <c r="Y48" s="32">
        <f>'4人組'!Z46&amp;""</f>
        <v/>
      </c>
      <c r="Z48" s="32">
        <f>'4人組'!AC46&amp;""</f>
        <v/>
      </c>
    </row>
    <row r="49">
      <c r="A49" s="26" t="n">
        <v>44</v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K49" s="31">
        <f>COUNTIF(B49:E49,"?*")</f>
        <v/>
      </c>
      <c r="L49" s="26">
        <f>IF(K49=0,"","赤"&amp;SUMPRODUCT(COUNTIFS(計算用!$AO$2:$AO$186,"男"&amp;B49:E49,計算用!$I$2:$I$186,"赤"))&amp;"白"&amp;SUMPRODUCT(COUNTIFS(計算用!$AO$2:$AO$186,"男"&amp;B49:E49,計算用!$I$2:$I$186,"白")))</f>
        <v/>
      </c>
      <c r="M49" s="31">
        <f>COUNTIF(F49:I49,"?*")</f>
        <v/>
      </c>
      <c r="N49" s="26">
        <f>IF(M49=0,"","赤"&amp;SUMPRODUCT(COUNTIFS(計算用!$AO$2:$AO$186,"女"&amp;F49:I49,計算用!$I$2:$I$186,"赤"))&amp;"白"&amp;SUMPRODUCT(COUNTIFS(計算用!$AO$2:$AO$186,"女"&amp;F49:I49,計算用!$I$2:$I$186,"白")))</f>
        <v/>
      </c>
      <c r="P49">
        <f>IFERROR(INDEX(計算用!$D$2:$D$186,MATCH(44,計算用!$AR$2:$AR$186,0))&amp;"（"&amp;INDEX(計算用!$M$2:$M$186,MATCH(44,計算用!$AR$2:$AR$186,0))&amp;"）","")</f>
        <v/>
      </c>
      <c r="Q49">
        <f>IFERROR(INDEX(計算用!$D$2:$D$186,MATCH(44,計算用!$AS$2:$AS$186,0))&amp;"（"&amp;INDEX(計算用!$M$2:$M$186,MATCH(44,計算用!$AS$2:$AS$186,0))&amp;"）","")</f>
        <v/>
      </c>
      <c r="S49" s="32">
        <f>'4人組'!D47&amp;""</f>
        <v/>
      </c>
      <c r="T49" s="32">
        <f>'4人組'!G47&amp;""</f>
        <v/>
      </c>
      <c r="U49" s="32">
        <f>'4人組'!J47&amp;""</f>
        <v/>
      </c>
      <c r="V49" s="32">
        <f>'4人組'!M47&amp;""</f>
        <v/>
      </c>
      <c r="W49" s="32">
        <f>'4人組'!T47&amp;""</f>
        <v/>
      </c>
      <c r="X49" s="32">
        <f>'4人組'!W47&amp;""</f>
        <v/>
      </c>
      <c r="Y49" s="32">
        <f>'4人組'!Z47&amp;""</f>
        <v/>
      </c>
      <c r="Z49" s="32">
        <f>'4人組'!AC47&amp;""</f>
        <v/>
      </c>
    </row>
    <row r="50">
      <c r="A50" s="26" t="n">
        <v>45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K50" s="31">
        <f>COUNTIF(B50:E50,"?*")</f>
        <v/>
      </c>
      <c r="L50" s="26">
        <f>IF(K50=0,"","赤"&amp;SUMPRODUCT(COUNTIFS(計算用!$AO$2:$AO$186,"男"&amp;B50:E50,計算用!$I$2:$I$186,"赤"))&amp;"白"&amp;SUMPRODUCT(COUNTIFS(計算用!$AO$2:$AO$186,"男"&amp;B50:E50,計算用!$I$2:$I$186,"白")))</f>
        <v/>
      </c>
      <c r="M50" s="31">
        <f>COUNTIF(F50:I50,"?*")</f>
        <v/>
      </c>
      <c r="N50" s="26">
        <f>IF(M50=0,"","赤"&amp;SUMPRODUCT(COUNTIFS(計算用!$AO$2:$AO$186,"女"&amp;F50:I50,計算用!$I$2:$I$186,"赤"))&amp;"白"&amp;SUMPRODUCT(COUNTIFS(計算用!$AO$2:$AO$186,"女"&amp;F50:I50,計算用!$I$2:$I$186,"白")))</f>
        <v/>
      </c>
      <c r="P50">
        <f>IFERROR(INDEX(計算用!$D$2:$D$186,MATCH(45,計算用!$AR$2:$AR$186,0))&amp;"（"&amp;INDEX(計算用!$M$2:$M$186,MATCH(45,計算用!$AR$2:$AR$186,0))&amp;"）","")</f>
        <v/>
      </c>
      <c r="Q50">
        <f>IFERROR(INDEX(計算用!$D$2:$D$186,MATCH(45,計算用!$AS$2:$AS$186,0))&amp;"（"&amp;INDEX(計算用!$M$2:$M$186,MATCH(45,計算用!$AS$2:$AS$186,0))&amp;"）","")</f>
        <v/>
      </c>
      <c r="S50" s="32">
        <f>'4人組'!D48&amp;""</f>
        <v/>
      </c>
      <c r="T50" s="32">
        <f>'4人組'!G48&amp;""</f>
        <v/>
      </c>
      <c r="U50" s="32">
        <f>'4人組'!J48&amp;""</f>
        <v/>
      </c>
      <c r="V50" s="32">
        <f>'4人組'!M48&amp;""</f>
        <v/>
      </c>
      <c r="W50" s="32">
        <f>'4人組'!T48&amp;""</f>
        <v/>
      </c>
      <c r="X50" s="32">
        <f>'4人組'!W48&amp;""</f>
        <v/>
      </c>
      <c r="Y50" s="32">
        <f>'4人組'!Z48&amp;""</f>
        <v/>
      </c>
      <c r="Z50" s="32">
        <f>'4人組'!AC48&amp;""</f>
        <v/>
      </c>
    </row>
    <row r="51">
      <c r="A51" s="26" t="n">
        <v>46</v>
      </c>
      <c r="B51" s="30" t="n"/>
      <c r="C51" s="30" t="n"/>
      <c r="D51" s="30" t="n"/>
      <c r="E51" s="30" t="n"/>
      <c r="F51" s="30" t="n"/>
      <c r="G51" s="30" t="n"/>
      <c r="H51" s="30" t="n"/>
      <c r="I51" s="30" t="n"/>
      <c r="K51" s="31">
        <f>COUNTIF(B51:E51,"?*")</f>
        <v/>
      </c>
      <c r="L51" s="26">
        <f>IF(K51=0,"","赤"&amp;SUMPRODUCT(COUNTIFS(計算用!$AO$2:$AO$186,"男"&amp;B51:E51,計算用!$I$2:$I$186,"赤"))&amp;"白"&amp;SUMPRODUCT(COUNTIFS(計算用!$AO$2:$AO$186,"男"&amp;B51:E51,計算用!$I$2:$I$186,"白")))</f>
        <v/>
      </c>
      <c r="M51" s="31">
        <f>COUNTIF(F51:I51,"?*")</f>
        <v/>
      </c>
      <c r="N51" s="26">
        <f>IF(M51=0,"","赤"&amp;SUMPRODUCT(COUNTIFS(計算用!$AO$2:$AO$186,"女"&amp;F51:I51,計算用!$I$2:$I$186,"赤"))&amp;"白"&amp;SUMPRODUCT(COUNTIFS(計算用!$AO$2:$AO$186,"女"&amp;F51:I51,計算用!$I$2:$I$186,"白")))</f>
        <v/>
      </c>
      <c r="P51">
        <f>IFERROR(INDEX(計算用!$D$2:$D$186,MATCH(46,計算用!$AR$2:$AR$186,0))&amp;"（"&amp;INDEX(計算用!$M$2:$M$186,MATCH(46,計算用!$AR$2:$AR$186,0))&amp;"）","")</f>
        <v/>
      </c>
      <c r="Q51">
        <f>IFERROR(INDEX(計算用!$D$2:$D$186,MATCH(46,計算用!$AS$2:$AS$186,0))&amp;"（"&amp;INDEX(計算用!$M$2:$M$186,MATCH(46,計算用!$AS$2:$AS$186,0))&amp;"）","")</f>
        <v/>
      </c>
      <c r="S51" s="32">
        <f>'4人組'!D49&amp;""</f>
        <v/>
      </c>
      <c r="T51" s="32">
        <f>'4人組'!G49&amp;""</f>
        <v/>
      </c>
      <c r="U51" s="32">
        <f>'4人組'!J49&amp;""</f>
        <v/>
      </c>
      <c r="V51" s="32">
        <f>'4人組'!M49&amp;""</f>
        <v/>
      </c>
      <c r="W51" s="32">
        <f>'4人組'!T49&amp;""</f>
        <v/>
      </c>
      <c r="X51" s="32">
        <f>'4人組'!W49&amp;""</f>
        <v/>
      </c>
      <c r="Y51" s="32">
        <f>'4人組'!Z49&amp;""</f>
        <v/>
      </c>
      <c r="Z51" s="32">
        <f>'4人組'!AC49&amp;""</f>
        <v/>
      </c>
    </row>
    <row r="52">
      <c r="A52" s="26" t="n">
        <v>47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K52" s="31">
        <f>COUNTIF(B52:E52,"?*")</f>
        <v/>
      </c>
      <c r="L52" s="26">
        <f>IF(K52=0,"","赤"&amp;SUMPRODUCT(COUNTIFS(計算用!$AO$2:$AO$186,"男"&amp;B52:E52,計算用!$I$2:$I$186,"赤"))&amp;"白"&amp;SUMPRODUCT(COUNTIFS(計算用!$AO$2:$AO$186,"男"&amp;B52:E52,計算用!$I$2:$I$186,"白")))</f>
        <v/>
      </c>
      <c r="M52" s="31">
        <f>COUNTIF(F52:I52,"?*")</f>
        <v/>
      </c>
      <c r="N52" s="26">
        <f>IF(M52=0,"","赤"&amp;SUMPRODUCT(COUNTIFS(計算用!$AO$2:$AO$186,"女"&amp;F52:I52,計算用!$I$2:$I$186,"赤"))&amp;"白"&amp;SUMPRODUCT(COUNTIFS(計算用!$AO$2:$AO$186,"女"&amp;F52:I52,計算用!$I$2:$I$186,"白")))</f>
        <v/>
      </c>
      <c r="P52">
        <f>IFERROR(INDEX(計算用!$D$2:$D$186,MATCH(47,計算用!$AR$2:$AR$186,0))&amp;"（"&amp;INDEX(計算用!$M$2:$M$186,MATCH(47,計算用!$AR$2:$AR$186,0))&amp;"）","")</f>
        <v/>
      </c>
      <c r="Q52">
        <f>IFERROR(INDEX(計算用!$D$2:$D$186,MATCH(47,計算用!$AS$2:$AS$186,0))&amp;"（"&amp;INDEX(計算用!$M$2:$M$186,MATCH(47,計算用!$AS$2:$AS$186,0))&amp;"）","")</f>
        <v/>
      </c>
      <c r="S52" s="32">
        <f>'4人組'!D50&amp;""</f>
        <v/>
      </c>
      <c r="T52" s="32">
        <f>'4人組'!G50&amp;""</f>
        <v/>
      </c>
      <c r="U52" s="32">
        <f>'4人組'!J50&amp;""</f>
        <v/>
      </c>
      <c r="V52" s="32">
        <f>'4人組'!M50&amp;""</f>
        <v/>
      </c>
      <c r="W52" s="32">
        <f>'4人組'!T50&amp;""</f>
        <v/>
      </c>
      <c r="X52" s="32">
        <f>'4人組'!W50&amp;""</f>
        <v/>
      </c>
      <c r="Y52" s="32">
        <f>'4人組'!Z50&amp;""</f>
        <v/>
      </c>
      <c r="Z52" s="32">
        <f>'4人組'!AC50&amp;""</f>
        <v/>
      </c>
    </row>
    <row r="53">
      <c r="A53" s="26" t="n">
        <v>48</v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K53" s="31">
        <f>COUNTIF(B53:E53,"?*")</f>
        <v/>
      </c>
      <c r="L53" s="26">
        <f>IF(K53=0,"","赤"&amp;SUMPRODUCT(COUNTIFS(計算用!$AO$2:$AO$186,"男"&amp;B53:E53,計算用!$I$2:$I$186,"赤"))&amp;"白"&amp;SUMPRODUCT(COUNTIFS(計算用!$AO$2:$AO$186,"男"&amp;B53:E53,計算用!$I$2:$I$186,"白")))</f>
        <v/>
      </c>
      <c r="M53" s="31">
        <f>COUNTIF(F53:I53,"?*")</f>
        <v/>
      </c>
      <c r="N53" s="26">
        <f>IF(M53=0,"","赤"&amp;SUMPRODUCT(COUNTIFS(計算用!$AO$2:$AO$186,"女"&amp;F53:I53,計算用!$I$2:$I$186,"赤"))&amp;"白"&amp;SUMPRODUCT(COUNTIFS(計算用!$AO$2:$AO$186,"女"&amp;F53:I53,計算用!$I$2:$I$186,"白")))</f>
        <v/>
      </c>
      <c r="P53">
        <f>IFERROR(INDEX(計算用!$D$2:$D$186,MATCH(48,計算用!$AR$2:$AR$186,0))&amp;"（"&amp;INDEX(計算用!$M$2:$M$186,MATCH(48,計算用!$AR$2:$AR$186,0))&amp;"）","")</f>
        <v/>
      </c>
      <c r="Q53">
        <f>IFERROR(INDEX(計算用!$D$2:$D$186,MATCH(48,計算用!$AS$2:$AS$186,0))&amp;"（"&amp;INDEX(計算用!$M$2:$M$186,MATCH(48,計算用!$AS$2:$AS$186,0))&amp;"）","")</f>
        <v/>
      </c>
      <c r="S53" s="32">
        <f>'4人組'!D51&amp;""</f>
        <v/>
      </c>
      <c r="T53" s="32">
        <f>'4人組'!G51&amp;""</f>
        <v/>
      </c>
      <c r="U53" s="32">
        <f>'4人組'!J51&amp;""</f>
        <v/>
      </c>
      <c r="V53" s="32">
        <f>'4人組'!M51&amp;""</f>
        <v/>
      </c>
      <c r="W53" s="32">
        <f>'4人組'!T51&amp;""</f>
        <v/>
      </c>
      <c r="X53" s="32">
        <f>'4人組'!W51&amp;""</f>
        <v/>
      </c>
      <c r="Y53" s="32">
        <f>'4人組'!Z51&amp;""</f>
        <v/>
      </c>
      <c r="Z53" s="32">
        <f>'4人組'!AC51&amp;""</f>
        <v/>
      </c>
    </row>
    <row r="54">
      <c r="A54" s="26" t="n">
        <v>49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K54" s="31">
        <f>COUNTIF(B54:E54,"?*")</f>
        <v/>
      </c>
      <c r="L54" s="26">
        <f>IF(K54=0,"","赤"&amp;SUMPRODUCT(COUNTIFS(計算用!$AO$2:$AO$186,"男"&amp;B54:E54,計算用!$I$2:$I$186,"赤"))&amp;"白"&amp;SUMPRODUCT(COUNTIFS(計算用!$AO$2:$AO$186,"男"&amp;B54:E54,計算用!$I$2:$I$186,"白")))</f>
        <v/>
      </c>
      <c r="M54" s="31">
        <f>COUNTIF(F54:I54,"?*")</f>
        <v/>
      </c>
      <c r="N54" s="26">
        <f>IF(M54=0,"","赤"&amp;SUMPRODUCT(COUNTIFS(計算用!$AO$2:$AO$186,"女"&amp;F54:I54,計算用!$I$2:$I$186,"赤"))&amp;"白"&amp;SUMPRODUCT(COUNTIFS(計算用!$AO$2:$AO$186,"女"&amp;F54:I54,計算用!$I$2:$I$186,"白")))</f>
        <v/>
      </c>
      <c r="P54">
        <f>IFERROR(INDEX(計算用!$D$2:$D$186,MATCH(49,計算用!$AR$2:$AR$186,0))&amp;"（"&amp;INDEX(計算用!$M$2:$M$186,MATCH(49,計算用!$AR$2:$AR$186,0))&amp;"）","")</f>
        <v/>
      </c>
      <c r="Q54">
        <f>IFERROR(INDEX(計算用!$D$2:$D$186,MATCH(49,計算用!$AS$2:$AS$186,0))&amp;"（"&amp;INDEX(計算用!$M$2:$M$186,MATCH(49,計算用!$AS$2:$AS$186,0))&amp;"）","")</f>
        <v/>
      </c>
      <c r="S54" s="32">
        <f>'4人組'!D52&amp;""</f>
        <v/>
      </c>
      <c r="T54" s="32">
        <f>'4人組'!G52&amp;""</f>
        <v/>
      </c>
      <c r="U54" s="32">
        <f>'4人組'!J52&amp;""</f>
        <v/>
      </c>
      <c r="V54" s="32">
        <f>'4人組'!M52&amp;""</f>
        <v/>
      </c>
      <c r="W54" s="32">
        <f>'4人組'!T52&amp;""</f>
        <v/>
      </c>
      <c r="X54" s="32">
        <f>'4人組'!W52&amp;""</f>
        <v/>
      </c>
      <c r="Y54" s="32">
        <f>'4人組'!Z52&amp;""</f>
        <v/>
      </c>
      <c r="Z54" s="32">
        <f>'4人組'!AC52&amp;""</f>
        <v/>
      </c>
    </row>
    <row r="55">
      <c r="A55" s="26" t="n">
        <v>50</v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K55" s="31">
        <f>COUNTIF(B55:E55,"?*")</f>
        <v/>
      </c>
      <c r="L55" s="26">
        <f>IF(K55=0,"","赤"&amp;SUMPRODUCT(COUNTIFS(計算用!$AO$2:$AO$186,"男"&amp;B55:E55,計算用!$I$2:$I$186,"赤"))&amp;"白"&amp;SUMPRODUCT(COUNTIFS(計算用!$AO$2:$AO$186,"男"&amp;B55:E55,計算用!$I$2:$I$186,"白")))</f>
        <v/>
      </c>
      <c r="M55" s="31">
        <f>COUNTIF(F55:I55,"?*")</f>
        <v/>
      </c>
      <c r="N55" s="26">
        <f>IF(M55=0,"","赤"&amp;SUMPRODUCT(COUNTIFS(計算用!$AO$2:$AO$186,"女"&amp;F55:I55,計算用!$I$2:$I$186,"赤"))&amp;"白"&amp;SUMPRODUCT(COUNTIFS(計算用!$AO$2:$AO$186,"女"&amp;F55:I55,計算用!$I$2:$I$186,"白")))</f>
        <v/>
      </c>
      <c r="P55">
        <f>IFERROR(INDEX(計算用!$D$2:$D$186,MATCH(50,計算用!$AR$2:$AR$186,0))&amp;"（"&amp;INDEX(計算用!$M$2:$M$186,MATCH(50,計算用!$AR$2:$AR$186,0))&amp;"）","")</f>
        <v/>
      </c>
      <c r="Q55">
        <f>IFERROR(INDEX(計算用!$D$2:$D$186,MATCH(50,計算用!$AS$2:$AS$186,0))&amp;"（"&amp;INDEX(計算用!$M$2:$M$186,MATCH(50,計算用!$AS$2:$AS$186,0))&amp;"）","")</f>
        <v/>
      </c>
      <c r="S55" s="32">
        <f>'4人組'!D53&amp;""</f>
        <v/>
      </c>
      <c r="T55" s="32">
        <f>'4人組'!G53&amp;""</f>
        <v/>
      </c>
      <c r="U55" s="32">
        <f>'4人組'!J53&amp;""</f>
        <v/>
      </c>
      <c r="V55" s="32">
        <f>'4人組'!M53&amp;""</f>
        <v/>
      </c>
      <c r="W55" s="32">
        <f>'4人組'!T53&amp;""</f>
        <v/>
      </c>
      <c r="X55" s="32">
        <f>'4人組'!W53&amp;""</f>
        <v/>
      </c>
      <c r="Y55" s="32">
        <f>'4人組'!Z53&amp;""</f>
        <v/>
      </c>
      <c r="Z55" s="32">
        <f>'4人組'!AC53&amp;""</f>
        <v/>
      </c>
    </row>
  </sheetData>
  <mergeCells count="10">
    <mergeCell ref="P4:Q4"/>
    <mergeCell ref="S3:Z3"/>
    <mergeCell ref="B4:E4"/>
    <mergeCell ref="S4:V4"/>
    <mergeCell ref="A4:A5"/>
    <mergeCell ref="F4:I4"/>
    <mergeCell ref="W4:Z4"/>
    <mergeCell ref="C1:Z1"/>
    <mergeCell ref="K4:L4"/>
    <mergeCell ref="M4:N4"/>
  </mergeCells>
  <conditionalFormatting sqref="B6:E55">
    <cfRule type="expression" priority="1" dxfId="11" stopIfTrue="1">
      <formula>AND(B6&lt;&gt;"",OR(COUNTIF(計算用!$AO$2:$AO$186,"男"&amp;B6)=0,COUNTIF($B$6:$E$55,B6)&gt;1))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K6:L55">
    <cfRule type="expression" priority="3" dxfId="12" stopIfTrue="1">
      <formula>AND($K6=0,ROW()-5&lt;計算用!$Q$13)</formula>
    </cfRule>
    <cfRule type="expression" priority="4" dxfId="13">
      <formula>AND($K6&gt;0,OR($K6&lt;&gt;4,$L6&lt;&gt;"赤2白2"))</formula>
    </cfRule>
  </conditionalFormatting>
  <conditionalFormatting sqref="F6:I55">
    <cfRule type="expression" priority="5" dxfId="11" stopIfTrue="1">
      <formula>AND(F6&lt;&gt;"",OR(COUNTIF(計算用!$AO$2:$AO$186,"女"&amp;F6)=0,COUNTIF($F$6:$I$55,F6)&gt;1))</formula>
    </cfRule>
    <cfRule type="expression" priority="6" dxfId="9">
      <formula>AND(F6&lt;&gt;"",IFERROR(INDEX(計算用!$I$2:$I$186,MATCH("女"&amp;F6,計算用!$AO$2:$AO$186,0))="赤",FALSE))</formula>
    </cfRule>
  </conditionalFormatting>
  <conditionalFormatting sqref="M6:N55">
    <cfRule type="expression" priority="7" dxfId="12" stopIfTrue="1">
      <formula>AND($M6=0,ROW()-5&lt;計算用!$Q$14)</formula>
    </cfRule>
    <cfRule type="expression" priority="8" dxfId="13">
      <formula>AND($M6&gt;0,OR($M6&lt;&gt;4,$N6&lt;&gt;"赤2白2"))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計算用!$Q$15&gt;0,"※手直しシートに確認が必要なところがあります",IF(SUMPRODUCT((ROW(手直し!$K$6:$K$55)-5&lt;=計算用!$Q$13)*(手直し!$K$6:$K$55=0))&gt;0,"※だれもいない組があります（赤い組）",IF(SUMPRODUCT((ROW(手直し!$K$6:$K$55)-5&lt;=計算用!$Q$13)*(((手直し!$K$6:$K$55&lt;&gt;4)+(手直し!$L$6:$L$55&lt;&gt;"赤2白2"))&gt;0))&gt;0,"※黄色の組は、人数の都合で調整した組です","")))</f>
        <v/>
      </c>
      <c r="Q1" s="23" t="inlineStr">
        <is>
          <t>女子</t>
        </is>
      </c>
      <c r="T1" s="24">
        <f>IF(計算用!$Q$16&gt;0,"※手直しシートに確認が必要なところがあります",IF(SUMPRODUCT((ROW(手直し!$M$6:$M$55)-5&lt;=計算用!$Q$14)*(手直し!$M$6:$M$55=0))&gt;0,"※だれもいない組があります（赤い組）",IF(SUMPRODUCT((ROW(手直し!$M$6:$M$55)-5&lt;=計算用!$Q$14)*(((手直し!$M$6:$M$55&lt;&gt;4)+(手直し!$N$6:$N$55&lt;&gt;"赤2白2"))&gt;0))&gt;0,"※黄色の組は、人数の都合で調整した組です",""))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IF(ROW()-3&lt;=計算用!$Q$13,ROW()-3,"")</f>
        <v/>
      </c>
      <c r="B4" s="26">
        <f>IF($A4="","",手直し!K6)</f>
        <v/>
      </c>
      <c r="C4" s="26">
        <f>IF($A4="","",手直し!L6)</f>
        <v/>
      </c>
      <c r="D4">
        <f>IF($A4="","",手直し!B6&amp;"")</f>
        <v/>
      </c>
      <c r="E4" s="26">
        <f>IF(OR($A4="",手直し!B6=""),"",IFERROR(INDEX(計算用!$M$2:$M$186,MATCH("男"&amp;手直し!B6,計算用!$AO$2:$AO$186,0)),"？"))</f>
        <v/>
      </c>
      <c r="F4" s="26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6">
        <f>IF(OR($A4="",手直し!C6=""),"",IFERROR(INDEX(計算用!$M$2:$M$186,MATCH("男"&amp;手直し!C6,計算用!$AO$2:$AO$186,0)),"？"))</f>
        <v/>
      </c>
      <c r="I4" s="26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6">
        <f>IF(OR($A4="",手直し!D6=""),"",IFERROR(INDEX(計算用!$M$2:$M$186,MATCH("男"&amp;手直し!D6,計算用!$AO$2:$AO$186,0)),"？"))</f>
        <v/>
      </c>
      <c r="L4" s="26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6">
        <f>IF(OR($A4="",手直し!E6=""),"",IFERROR(INDEX(計算用!$M$2:$M$186,MATCH("男"&amp;手直し!E6,計算用!$AO$2:$AO$186,0)),"？"))</f>
        <v/>
      </c>
      <c r="O4" s="26">
        <f>IF(OR($A4="",手直し!E6=""),"",IFERROR(INDEX(計算用!$I$2:$I$186,MATCH("男"&amp;手直し!E6,計算用!$AO$2:$AO$186,0)),"？"))</f>
        <v/>
      </c>
      <c r="Q4" s="26">
        <f>IF(ROW()-3&lt;=計算用!$Q$14,ROW()-3,"")</f>
        <v/>
      </c>
      <c r="R4" s="26">
        <f>IF($Q4="","",手直し!M6)</f>
        <v/>
      </c>
      <c r="S4" s="26">
        <f>IF($Q4="","",手直し!N6)</f>
        <v/>
      </c>
      <c r="T4">
        <f>IF($Q4="","",手直し!F6&amp;"")</f>
        <v/>
      </c>
      <c r="U4" s="26">
        <f>IF(OR($Q4="",手直し!F6=""),"",IFERROR(INDEX(計算用!$M$2:$M$186,MATCH("女"&amp;手直し!F6,計算用!$AO$2:$AO$186,0)),"？"))</f>
        <v/>
      </c>
      <c r="V4" s="26">
        <f>IF(OR($Q4="",手直し!F6=""),"",IFERROR(INDEX(計算用!$I$2:$I$186,MATCH("女"&amp;手直し!F6,計算用!$AO$2:$AO$186,0)),"？"))</f>
        <v/>
      </c>
      <c r="W4">
        <f>IF($Q4="","",手直し!G6&amp;"")</f>
        <v/>
      </c>
      <c r="X4" s="26">
        <f>IF(OR($Q4="",手直し!G6=""),"",IFERROR(INDEX(計算用!$M$2:$M$186,MATCH("女"&amp;手直し!G6,計算用!$AO$2:$AO$186,0)),"？"))</f>
        <v/>
      </c>
      <c r="Y4" s="26">
        <f>IF(OR($Q4="",手直し!G6=""),"",IFERROR(INDEX(計算用!$I$2:$I$186,MATCH("女"&amp;手直し!G6,計算用!$AO$2:$AO$186,0)),"？"))</f>
        <v/>
      </c>
      <c r="Z4">
        <f>IF($Q4="","",手直し!H6&amp;"")</f>
        <v/>
      </c>
      <c r="AA4" s="26">
        <f>IF(OR($Q4="",手直し!H6=""),"",IFERROR(INDEX(計算用!$M$2:$M$186,MATCH("女"&amp;手直し!H6,計算用!$AO$2:$AO$186,0)),"？"))</f>
        <v/>
      </c>
      <c r="AB4" s="26">
        <f>IF(OR($Q4="",手直し!H6=""),"",IFERROR(INDEX(計算用!$I$2:$I$186,MATCH("女"&amp;手直し!H6,計算用!$AO$2:$AO$186,0)),"？"))</f>
        <v/>
      </c>
      <c r="AC4">
        <f>IF($Q4="","",手直し!I6&amp;"")</f>
        <v/>
      </c>
      <c r="AD4" s="26">
        <f>IF(OR($Q4="",手直し!I6=""),"",IFERROR(INDEX(計算用!$M$2:$M$186,MATCH("女"&amp;手直し!I6,計算用!$AO$2:$AO$186,0)),"？"))</f>
        <v/>
      </c>
      <c r="AE4" s="26">
        <f>IF(OR($Q4="",手直し!I6=""),"",IFERROR(INDEX(計算用!$I$2:$I$186,MATCH("女"&amp;手直し!I6,計算用!$AO$2:$AO$186,0)),"？"))</f>
        <v/>
      </c>
    </row>
    <row r="5">
      <c r="A5" s="26">
        <f>IF(ROW()-3&lt;=計算用!$Q$13,ROW()-3,"")</f>
        <v/>
      </c>
      <c r="B5" s="26">
        <f>IF($A5="","",手直し!K7)</f>
        <v/>
      </c>
      <c r="C5" s="26">
        <f>IF($A5="","",手直し!L7)</f>
        <v/>
      </c>
      <c r="D5">
        <f>IF($A5="","",手直し!B7&amp;"")</f>
        <v/>
      </c>
      <c r="E5" s="26">
        <f>IF(OR($A5="",手直し!B7=""),"",IFERROR(INDEX(計算用!$M$2:$M$186,MATCH("男"&amp;手直し!B7,計算用!$AO$2:$AO$186,0)),"？"))</f>
        <v/>
      </c>
      <c r="F5" s="26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6">
        <f>IF(OR($A5="",手直し!C7=""),"",IFERROR(INDEX(計算用!$M$2:$M$186,MATCH("男"&amp;手直し!C7,計算用!$AO$2:$AO$186,0)),"？"))</f>
        <v/>
      </c>
      <c r="I5" s="26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6">
        <f>IF(OR($A5="",手直し!D7=""),"",IFERROR(INDEX(計算用!$M$2:$M$186,MATCH("男"&amp;手直し!D7,計算用!$AO$2:$AO$186,0)),"？"))</f>
        <v/>
      </c>
      <c r="L5" s="26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6">
        <f>IF(OR($A5="",手直し!E7=""),"",IFERROR(INDEX(計算用!$M$2:$M$186,MATCH("男"&amp;手直し!E7,計算用!$AO$2:$AO$186,0)),"？"))</f>
        <v/>
      </c>
      <c r="O5" s="26">
        <f>IF(OR($A5="",手直し!E7=""),"",IFERROR(INDEX(計算用!$I$2:$I$186,MATCH("男"&amp;手直し!E7,計算用!$AO$2:$AO$186,0)),"？"))</f>
        <v/>
      </c>
      <c r="Q5" s="26">
        <f>IF(ROW()-3&lt;=計算用!$Q$14,ROW()-3,"")</f>
        <v/>
      </c>
      <c r="R5" s="26">
        <f>IF($Q5="","",手直し!M7)</f>
        <v/>
      </c>
      <c r="S5" s="26">
        <f>IF($Q5="","",手直し!N7)</f>
        <v/>
      </c>
      <c r="T5">
        <f>IF($Q5="","",手直し!F7&amp;"")</f>
        <v/>
      </c>
      <c r="U5" s="26">
        <f>IF(OR($Q5="",手直し!F7=""),"",IFERROR(INDEX(計算用!$M$2:$M$186,MATCH("女"&amp;手直し!F7,計算用!$AO$2:$AO$186,0)),"？"))</f>
        <v/>
      </c>
      <c r="V5" s="26">
        <f>IF(OR($Q5="",手直し!F7=""),"",IFERROR(INDEX(計算用!$I$2:$I$186,MATCH("女"&amp;手直し!F7,計算用!$AO$2:$AO$186,0)),"？"))</f>
        <v/>
      </c>
      <c r="W5">
        <f>IF($Q5="","",手直し!G7&amp;"")</f>
        <v/>
      </c>
      <c r="X5" s="26">
        <f>IF(OR($Q5="",手直し!G7=""),"",IFERROR(INDEX(計算用!$M$2:$M$186,MATCH("女"&amp;手直し!G7,計算用!$AO$2:$AO$186,0)),"？"))</f>
        <v/>
      </c>
      <c r="Y5" s="26">
        <f>IF(OR($Q5="",手直し!G7=""),"",IFERROR(INDEX(計算用!$I$2:$I$186,MATCH("女"&amp;手直し!G7,計算用!$AO$2:$AO$186,0)),"？"))</f>
        <v/>
      </c>
      <c r="Z5">
        <f>IF($Q5="","",手直し!H7&amp;"")</f>
        <v/>
      </c>
      <c r="AA5" s="26">
        <f>IF(OR($Q5="",手直し!H7=""),"",IFERROR(INDEX(計算用!$M$2:$M$186,MATCH("女"&amp;手直し!H7,計算用!$AO$2:$AO$186,0)),"？"))</f>
        <v/>
      </c>
      <c r="AB5" s="26">
        <f>IF(OR($Q5="",手直し!H7=""),"",IFERROR(INDEX(計算用!$I$2:$I$186,MATCH("女"&amp;手直し!H7,計算用!$AO$2:$AO$186,0)),"？"))</f>
        <v/>
      </c>
      <c r="AC5">
        <f>IF($Q5="","",手直し!I7&amp;"")</f>
        <v/>
      </c>
      <c r="AD5" s="26">
        <f>IF(OR($Q5="",手直し!I7=""),"",IFERROR(INDEX(計算用!$M$2:$M$186,MATCH("女"&amp;手直し!I7,計算用!$AO$2:$AO$186,0)),"？"))</f>
        <v/>
      </c>
      <c r="AE5" s="26">
        <f>IF(OR($Q5="",手直し!I7=""),"",IFERROR(INDEX(計算用!$I$2:$I$186,MATCH("女"&amp;手直し!I7,計算用!$AO$2:$AO$186,0)),"？"))</f>
        <v/>
      </c>
    </row>
    <row r="6">
      <c r="A6" s="26">
        <f>IF(ROW()-3&lt;=計算用!$Q$13,ROW()-3,"")</f>
        <v/>
      </c>
      <c r="B6" s="26">
        <f>IF($A6="","",手直し!K8)</f>
        <v/>
      </c>
      <c r="C6" s="26">
        <f>IF($A6="","",手直し!L8)</f>
        <v/>
      </c>
      <c r="D6">
        <f>IF($A6="","",手直し!B8&amp;"")</f>
        <v/>
      </c>
      <c r="E6" s="26">
        <f>IF(OR($A6="",手直し!B8=""),"",IFERROR(INDEX(計算用!$M$2:$M$186,MATCH("男"&amp;手直し!B8,計算用!$AO$2:$AO$186,0)),"？"))</f>
        <v/>
      </c>
      <c r="F6" s="26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6">
        <f>IF(OR($A6="",手直し!C8=""),"",IFERROR(INDEX(計算用!$M$2:$M$186,MATCH("男"&amp;手直し!C8,計算用!$AO$2:$AO$186,0)),"？"))</f>
        <v/>
      </c>
      <c r="I6" s="26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6">
        <f>IF(OR($A6="",手直し!D8=""),"",IFERROR(INDEX(計算用!$M$2:$M$186,MATCH("男"&amp;手直し!D8,計算用!$AO$2:$AO$186,0)),"？"))</f>
        <v/>
      </c>
      <c r="L6" s="26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6">
        <f>IF(OR($A6="",手直し!E8=""),"",IFERROR(INDEX(計算用!$M$2:$M$186,MATCH("男"&amp;手直し!E8,計算用!$AO$2:$AO$186,0)),"？"))</f>
        <v/>
      </c>
      <c r="O6" s="26">
        <f>IF(OR($A6="",手直し!E8=""),"",IFERROR(INDEX(計算用!$I$2:$I$186,MATCH("男"&amp;手直し!E8,計算用!$AO$2:$AO$186,0)),"？"))</f>
        <v/>
      </c>
      <c r="Q6" s="26">
        <f>IF(ROW()-3&lt;=計算用!$Q$14,ROW()-3,"")</f>
        <v/>
      </c>
      <c r="R6" s="26">
        <f>IF($Q6="","",手直し!M8)</f>
        <v/>
      </c>
      <c r="S6" s="26">
        <f>IF($Q6="","",手直し!N8)</f>
        <v/>
      </c>
      <c r="T6">
        <f>IF($Q6="","",手直し!F8&amp;"")</f>
        <v/>
      </c>
      <c r="U6" s="26">
        <f>IF(OR($Q6="",手直し!F8=""),"",IFERROR(INDEX(計算用!$M$2:$M$186,MATCH("女"&amp;手直し!F8,計算用!$AO$2:$AO$186,0)),"？"))</f>
        <v/>
      </c>
      <c r="V6" s="26">
        <f>IF(OR($Q6="",手直し!F8=""),"",IFERROR(INDEX(計算用!$I$2:$I$186,MATCH("女"&amp;手直し!F8,計算用!$AO$2:$AO$186,0)),"？"))</f>
        <v/>
      </c>
      <c r="W6">
        <f>IF($Q6="","",手直し!G8&amp;"")</f>
        <v/>
      </c>
      <c r="X6" s="26">
        <f>IF(OR($Q6="",手直し!G8=""),"",IFERROR(INDEX(計算用!$M$2:$M$186,MATCH("女"&amp;手直し!G8,計算用!$AO$2:$AO$186,0)),"？"))</f>
        <v/>
      </c>
      <c r="Y6" s="26">
        <f>IF(OR($Q6="",手直し!G8=""),"",IFERROR(INDEX(計算用!$I$2:$I$186,MATCH("女"&amp;手直し!G8,計算用!$AO$2:$AO$186,0)),"？"))</f>
        <v/>
      </c>
      <c r="Z6">
        <f>IF($Q6="","",手直し!H8&amp;"")</f>
        <v/>
      </c>
      <c r="AA6" s="26">
        <f>IF(OR($Q6="",手直し!H8=""),"",IFERROR(INDEX(計算用!$M$2:$M$186,MATCH("女"&amp;手直し!H8,計算用!$AO$2:$AO$186,0)),"？"))</f>
        <v/>
      </c>
      <c r="AB6" s="26">
        <f>IF(OR($Q6="",手直し!H8=""),"",IFERROR(INDEX(計算用!$I$2:$I$186,MATCH("女"&amp;手直し!H8,計算用!$AO$2:$AO$186,0)),"？"))</f>
        <v/>
      </c>
      <c r="AC6">
        <f>IF($Q6="","",手直し!I8&amp;"")</f>
        <v/>
      </c>
      <c r="AD6" s="26">
        <f>IF(OR($Q6="",手直し!I8=""),"",IFERROR(INDEX(計算用!$M$2:$M$186,MATCH("女"&amp;手直し!I8,計算用!$AO$2:$AO$186,0)),"？"))</f>
        <v/>
      </c>
      <c r="AE6" s="26">
        <f>IF(OR($Q6="",手直し!I8=""),"",IFERROR(INDEX(計算用!$I$2:$I$186,MATCH("女"&amp;手直し!I8,計算用!$AO$2:$AO$186,0)),"？"))</f>
        <v/>
      </c>
    </row>
    <row r="7">
      <c r="A7" s="26">
        <f>IF(ROW()-3&lt;=計算用!$Q$13,ROW()-3,"")</f>
        <v/>
      </c>
      <c r="B7" s="26">
        <f>IF($A7="","",手直し!K9)</f>
        <v/>
      </c>
      <c r="C7" s="26">
        <f>IF($A7="","",手直し!L9)</f>
        <v/>
      </c>
      <c r="D7">
        <f>IF($A7="","",手直し!B9&amp;"")</f>
        <v/>
      </c>
      <c r="E7" s="26">
        <f>IF(OR($A7="",手直し!B9=""),"",IFERROR(INDEX(計算用!$M$2:$M$186,MATCH("男"&amp;手直し!B9,計算用!$AO$2:$AO$186,0)),"？"))</f>
        <v/>
      </c>
      <c r="F7" s="26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6">
        <f>IF(OR($A7="",手直し!C9=""),"",IFERROR(INDEX(計算用!$M$2:$M$186,MATCH("男"&amp;手直し!C9,計算用!$AO$2:$AO$186,0)),"？"))</f>
        <v/>
      </c>
      <c r="I7" s="26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6">
        <f>IF(OR($A7="",手直し!D9=""),"",IFERROR(INDEX(計算用!$M$2:$M$186,MATCH("男"&amp;手直し!D9,計算用!$AO$2:$AO$186,0)),"？"))</f>
        <v/>
      </c>
      <c r="L7" s="26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6">
        <f>IF(OR($A7="",手直し!E9=""),"",IFERROR(INDEX(計算用!$M$2:$M$186,MATCH("男"&amp;手直し!E9,計算用!$AO$2:$AO$186,0)),"？"))</f>
        <v/>
      </c>
      <c r="O7" s="26">
        <f>IF(OR($A7="",手直し!E9=""),"",IFERROR(INDEX(計算用!$I$2:$I$186,MATCH("男"&amp;手直し!E9,計算用!$AO$2:$AO$186,0)),"？"))</f>
        <v/>
      </c>
      <c r="Q7" s="26">
        <f>IF(ROW()-3&lt;=計算用!$Q$14,ROW()-3,"")</f>
        <v/>
      </c>
      <c r="R7" s="26">
        <f>IF($Q7="","",手直し!M9)</f>
        <v/>
      </c>
      <c r="S7" s="26">
        <f>IF($Q7="","",手直し!N9)</f>
        <v/>
      </c>
      <c r="T7">
        <f>IF($Q7="","",手直し!F9&amp;"")</f>
        <v/>
      </c>
      <c r="U7" s="26">
        <f>IF(OR($Q7="",手直し!F9=""),"",IFERROR(INDEX(計算用!$M$2:$M$186,MATCH("女"&amp;手直し!F9,計算用!$AO$2:$AO$186,0)),"？"))</f>
        <v/>
      </c>
      <c r="V7" s="26">
        <f>IF(OR($Q7="",手直し!F9=""),"",IFERROR(INDEX(計算用!$I$2:$I$186,MATCH("女"&amp;手直し!F9,計算用!$AO$2:$AO$186,0)),"？"))</f>
        <v/>
      </c>
      <c r="W7">
        <f>IF($Q7="","",手直し!G9&amp;"")</f>
        <v/>
      </c>
      <c r="X7" s="26">
        <f>IF(OR($Q7="",手直し!G9=""),"",IFERROR(INDEX(計算用!$M$2:$M$186,MATCH("女"&amp;手直し!G9,計算用!$AO$2:$AO$186,0)),"？"))</f>
        <v/>
      </c>
      <c r="Y7" s="26">
        <f>IF(OR($Q7="",手直し!G9=""),"",IFERROR(INDEX(計算用!$I$2:$I$186,MATCH("女"&amp;手直し!G9,計算用!$AO$2:$AO$186,0)),"？"))</f>
        <v/>
      </c>
      <c r="Z7">
        <f>IF($Q7="","",手直し!H9&amp;"")</f>
        <v/>
      </c>
      <c r="AA7" s="26">
        <f>IF(OR($Q7="",手直し!H9=""),"",IFERROR(INDEX(計算用!$M$2:$M$186,MATCH("女"&amp;手直し!H9,計算用!$AO$2:$AO$186,0)),"？"))</f>
        <v/>
      </c>
      <c r="AB7" s="26">
        <f>IF(OR($Q7="",手直し!H9=""),"",IFERROR(INDEX(計算用!$I$2:$I$186,MATCH("女"&amp;手直し!H9,計算用!$AO$2:$AO$186,0)),"？"))</f>
        <v/>
      </c>
      <c r="AC7">
        <f>IF($Q7="","",手直し!I9&amp;"")</f>
        <v/>
      </c>
      <c r="AD7" s="26">
        <f>IF(OR($Q7="",手直し!I9=""),"",IFERROR(INDEX(計算用!$M$2:$M$186,MATCH("女"&amp;手直し!I9,計算用!$AO$2:$AO$186,0)),"？"))</f>
        <v/>
      </c>
      <c r="AE7" s="26">
        <f>IF(OR($Q7="",手直し!I9=""),"",IFERROR(INDEX(計算用!$I$2:$I$186,MATCH("女"&amp;手直し!I9,計算用!$AO$2:$AO$186,0)),"？"))</f>
        <v/>
      </c>
    </row>
    <row r="8">
      <c r="A8" s="26">
        <f>IF(ROW()-3&lt;=計算用!$Q$13,ROW()-3,"")</f>
        <v/>
      </c>
      <c r="B8" s="26">
        <f>IF($A8="","",手直し!K10)</f>
        <v/>
      </c>
      <c r="C8" s="26">
        <f>IF($A8="","",手直し!L10)</f>
        <v/>
      </c>
      <c r="D8">
        <f>IF($A8="","",手直し!B10&amp;"")</f>
        <v/>
      </c>
      <c r="E8" s="26">
        <f>IF(OR($A8="",手直し!B10=""),"",IFERROR(INDEX(計算用!$M$2:$M$186,MATCH("男"&amp;手直し!B10,計算用!$AO$2:$AO$186,0)),"？"))</f>
        <v/>
      </c>
      <c r="F8" s="26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6">
        <f>IF(OR($A8="",手直し!C10=""),"",IFERROR(INDEX(計算用!$M$2:$M$186,MATCH("男"&amp;手直し!C10,計算用!$AO$2:$AO$186,0)),"？"))</f>
        <v/>
      </c>
      <c r="I8" s="26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6">
        <f>IF(OR($A8="",手直し!D10=""),"",IFERROR(INDEX(計算用!$M$2:$M$186,MATCH("男"&amp;手直し!D10,計算用!$AO$2:$AO$186,0)),"？"))</f>
        <v/>
      </c>
      <c r="L8" s="26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6">
        <f>IF(OR($A8="",手直し!E10=""),"",IFERROR(INDEX(計算用!$M$2:$M$186,MATCH("男"&amp;手直し!E10,計算用!$AO$2:$AO$186,0)),"？"))</f>
        <v/>
      </c>
      <c r="O8" s="26">
        <f>IF(OR($A8="",手直し!E10=""),"",IFERROR(INDEX(計算用!$I$2:$I$186,MATCH("男"&amp;手直し!E10,計算用!$AO$2:$AO$186,0)),"？"))</f>
        <v/>
      </c>
      <c r="Q8" s="26">
        <f>IF(ROW()-3&lt;=計算用!$Q$14,ROW()-3,"")</f>
        <v/>
      </c>
      <c r="R8" s="26">
        <f>IF($Q8="","",手直し!M10)</f>
        <v/>
      </c>
      <c r="S8" s="26">
        <f>IF($Q8="","",手直し!N10)</f>
        <v/>
      </c>
      <c r="T8">
        <f>IF($Q8="","",手直し!F10&amp;"")</f>
        <v/>
      </c>
      <c r="U8" s="26">
        <f>IF(OR($Q8="",手直し!F10=""),"",IFERROR(INDEX(計算用!$M$2:$M$186,MATCH("女"&amp;手直し!F10,計算用!$AO$2:$AO$186,0)),"？"))</f>
        <v/>
      </c>
      <c r="V8" s="26">
        <f>IF(OR($Q8="",手直し!F10=""),"",IFERROR(INDEX(計算用!$I$2:$I$186,MATCH("女"&amp;手直し!F10,計算用!$AO$2:$AO$186,0)),"？"))</f>
        <v/>
      </c>
      <c r="W8">
        <f>IF($Q8="","",手直し!G10&amp;"")</f>
        <v/>
      </c>
      <c r="X8" s="26">
        <f>IF(OR($Q8="",手直し!G10=""),"",IFERROR(INDEX(計算用!$M$2:$M$186,MATCH("女"&amp;手直し!G10,計算用!$AO$2:$AO$186,0)),"？"))</f>
        <v/>
      </c>
      <c r="Y8" s="26">
        <f>IF(OR($Q8="",手直し!G10=""),"",IFERROR(INDEX(計算用!$I$2:$I$186,MATCH("女"&amp;手直し!G10,計算用!$AO$2:$AO$186,0)),"？"))</f>
        <v/>
      </c>
      <c r="Z8">
        <f>IF($Q8="","",手直し!H10&amp;"")</f>
        <v/>
      </c>
      <c r="AA8" s="26">
        <f>IF(OR($Q8="",手直し!H10=""),"",IFERROR(INDEX(計算用!$M$2:$M$186,MATCH("女"&amp;手直し!H10,計算用!$AO$2:$AO$186,0)),"？"))</f>
        <v/>
      </c>
      <c r="AB8" s="26">
        <f>IF(OR($Q8="",手直し!H10=""),"",IFERROR(INDEX(計算用!$I$2:$I$186,MATCH("女"&amp;手直し!H10,計算用!$AO$2:$AO$186,0)),"？"))</f>
        <v/>
      </c>
      <c r="AC8">
        <f>IF($Q8="","",手直し!I10&amp;"")</f>
        <v/>
      </c>
      <c r="AD8" s="26">
        <f>IF(OR($Q8="",手直し!I10=""),"",IFERROR(INDEX(計算用!$M$2:$M$186,MATCH("女"&amp;手直し!I10,計算用!$AO$2:$AO$186,0)),"？"))</f>
        <v/>
      </c>
      <c r="AE8" s="26">
        <f>IF(OR($Q8="",手直し!I10=""),"",IFERROR(INDEX(計算用!$I$2:$I$186,MATCH("女"&amp;手直し!I10,計算用!$AO$2:$AO$186,0)),"？"))</f>
        <v/>
      </c>
    </row>
    <row r="9">
      <c r="A9" s="26">
        <f>IF(ROW()-3&lt;=計算用!$Q$13,ROW()-3,"")</f>
        <v/>
      </c>
      <c r="B9" s="26">
        <f>IF($A9="","",手直し!K11)</f>
        <v/>
      </c>
      <c r="C9" s="26">
        <f>IF($A9="","",手直し!L11)</f>
        <v/>
      </c>
      <c r="D9">
        <f>IF($A9="","",手直し!B11&amp;"")</f>
        <v/>
      </c>
      <c r="E9" s="26">
        <f>IF(OR($A9="",手直し!B11=""),"",IFERROR(INDEX(計算用!$M$2:$M$186,MATCH("男"&amp;手直し!B11,計算用!$AO$2:$AO$186,0)),"？"))</f>
        <v/>
      </c>
      <c r="F9" s="26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6">
        <f>IF(OR($A9="",手直し!C11=""),"",IFERROR(INDEX(計算用!$M$2:$M$186,MATCH("男"&amp;手直し!C11,計算用!$AO$2:$AO$186,0)),"？"))</f>
        <v/>
      </c>
      <c r="I9" s="26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6">
        <f>IF(OR($A9="",手直し!D11=""),"",IFERROR(INDEX(計算用!$M$2:$M$186,MATCH("男"&amp;手直し!D11,計算用!$AO$2:$AO$186,0)),"？"))</f>
        <v/>
      </c>
      <c r="L9" s="26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6">
        <f>IF(OR($A9="",手直し!E11=""),"",IFERROR(INDEX(計算用!$M$2:$M$186,MATCH("男"&amp;手直し!E11,計算用!$AO$2:$AO$186,0)),"？"))</f>
        <v/>
      </c>
      <c r="O9" s="26">
        <f>IF(OR($A9="",手直し!E11=""),"",IFERROR(INDEX(計算用!$I$2:$I$186,MATCH("男"&amp;手直し!E11,計算用!$AO$2:$AO$186,0)),"？"))</f>
        <v/>
      </c>
      <c r="Q9" s="26">
        <f>IF(ROW()-3&lt;=計算用!$Q$14,ROW()-3,"")</f>
        <v/>
      </c>
      <c r="R9" s="26">
        <f>IF($Q9="","",手直し!M11)</f>
        <v/>
      </c>
      <c r="S9" s="26">
        <f>IF($Q9="","",手直し!N11)</f>
        <v/>
      </c>
      <c r="T9">
        <f>IF($Q9="","",手直し!F11&amp;"")</f>
        <v/>
      </c>
      <c r="U9" s="26">
        <f>IF(OR($Q9="",手直し!F11=""),"",IFERROR(INDEX(計算用!$M$2:$M$186,MATCH("女"&amp;手直し!F11,計算用!$AO$2:$AO$186,0)),"？"))</f>
        <v/>
      </c>
      <c r="V9" s="26">
        <f>IF(OR($Q9="",手直し!F11=""),"",IFERROR(INDEX(計算用!$I$2:$I$186,MATCH("女"&amp;手直し!F11,計算用!$AO$2:$AO$186,0)),"？"))</f>
        <v/>
      </c>
      <c r="W9">
        <f>IF($Q9="","",手直し!G11&amp;"")</f>
        <v/>
      </c>
      <c r="X9" s="26">
        <f>IF(OR($Q9="",手直し!G11=""),"",IFERROR(INDEX(計算用!$M$2:$M$186,MATCH("女"&amp;手直し!G11,計算用!$AO$2:$AO$186,0)),"？"))</f>
        <v/>
      </c>
      <c r="Y9" s="26">
        <f>IF(OR($Q9="",手直し!G11=""),"",IFERROR(INDEX(計算用!$I$2:$I$186,MATCH("女"&amp;手直し!G11,計算用!$AO$2:$AO$186,0)),"？"))</f>
        <v/>
      </c>
      <c r="Z9">
        <f>IF($Q9="","",手直し!H11&amp;"")</f>
        <v/>
      </c>
      <c r="AA9" s="26">
        <f>IF(OR($Q9="",手直し!H11=""),"",IFERROR(INDEX(計算用!$M$2:$M$186,MATCH("女"&amp;手直し!H11,計算用!$AO$2:$AO$186,0)),"？"))</f>
        <v/>
      </c>
      <c r="AB9" s="26">
        <f>IF(OR($Q9="",手直し!H11=""),"",IFERROR(INDEX(計算用!$I$2:$I$186,MATCH("女"&amp;手直し!H11,計算用!$AO$2:$AO$186,0)),"？"))</f>
        <v/>
      </c>
      <c r="AC9">
        <f>IF($Q9="","",手直し!I11&amp;"")</f>
        <v/>
      </c>
      <c r="AD9" s="26">
        <f>IF(OR($Q9="",手直し!I11=""),"",IFERROR(INDEX(計算用!$M$2:$M$186,MATCH("女"&amp;手直し!I11,計算用!$AO$2:$AO$186,0)),"？"))</f>
        <v/>
      </c>
      <c r="AE9" s="26">
        <f>IF(OR($Q9="",手直し!I11=""),"",IFERROR(INDEX(計算用!$I$2:$I$186,MATCH("女"&amp;手直し!I11,計算用!$AO$2:$AO$186,0)),"？"))</f>
        <v/>
      </c>
    </row>
    <row r="10">
      <c r="A10" s="26">
        <f>IF(ROW()-3&lt;=計算用!$Q$13,ROW()-3,"")</f>
        <v/>
      </c>
      <c r="B10" s="26">
        <f>IF($A10="","",手直し!K12)</f>
        <v/>
      </c>
      <c r="C10" s="26">
        <f>IF($A10="","",手直し!L12)</f>
        <v/>
      </c>
      <c r="D10">
        <f>IF($A10="","",手直し!B12&amp;"")</f>
        <v/>
      </c>
      <c r="E10" s="26">
        <f>IF(OR($A10="",手直し!B12=""),"",IFERROR(INDEX(計算用!$M$2:$M$186,MATCH("男"&amp;手直し!B12,計算用!$AO$2:$AO$186,0)),"？"))</f>
        <v/>
      </c>
      <c r="F10" s="26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6">
        <f>IF(OR($A10="",手直し!C12=""),"",IFERROR(INDEX(計算用!$M$2:$M$186,MATCH("男"&amp;手直し!C12,計算用!$AO$2:$AO$186,0)),"？"))</f>
        <v/>
      </c>
      <c r="I10" s="26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6">
        <f>IF(OR($A10="",手直し!D12=""),"",IFERROR(INDEX(計算用!$M$2:$M$186,MATCH("男"&amp;手直し!D12,計算用!$AO$2:$AO$186,0)),"？"))</f>
        <v/>
      </c>
      <c r="L10" s="26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6">
        <f>IF(OR($A10="",手直し!E12=""),"",IFERROR(INDEX(計算用!$M$2:$M$186,MATCH("男"&amp;手直し!E12,計算用!$AO$2:$AO$186,0)),"？"))</f>
        <v/>
      </c>
      <c r="O10" s="26">
        <f>IF(OR($A10="",手直し!E12=""),"",IFERROR(INDEX(計算用!$I$2:$I$186,MATCH("男"&amp;手直し!E12,計算用!$AO$2:$AO$186,0)),"？"))</f>
        <v/>
      </c>
      <c r="Q10" s="26">
        <f>IF(ROW()-3&lt;=計算用!$Q$14,ROW()-3,"")</f>
        <v/>
      </c>
      <c r="R10" s="26">
        <f>IF($Q10="","",手直し!M12)</f>
        <v/>
      </c>
      <c r="S10" s="26">
        <f>IF($Q10="","",手直し!N12)</f>
        <v/>
      </c>
      <c r="T10">
        <f>IF($Q10="","",手直し!F12&amp;"")</f>
        <v/>
      </c>
      <c r="U10" s="26">
        <f>IF(OR($Q10="",手直し!F12=""),"",IFERROR(INDEX(計算用!$M$2:$M$186,MATCH("女"&amp;手直し!F12,計算用!$AO$2:$AO$186,0)),"？"))</f>
        <v/>
      </c>
      <c r="V10" s="26">
        <f>IF(OR($Q10="",手直し!F12=""),"",IFERROR(INDEX(計算用!$I$2:$I$186,MATCH("女"&amp;手直し!F12,計算用!$AO$2:$AO$186,0)),"？"))</f>
        <v/>
      </c>
      <c r="W10">
        <f>IF($Q10="","",手直し!G12&amp;"")</f>
        <v/>
      </c>
      <c r="X10" s="26">
        <f>IF(OR($Q10="",手直し!G12=""),"",IFERROR(INDEX(計算用!$M$2:$M$186,MATCH("女"&amp;手直し!G12,計算用!$AO$2:$AO$186,0)),"？"))</f>
        <v/>
      </c>
      <c r="Y10" s="26">
        <f>IF(OR($Q10="",手直し!G12=""),"",IFERROR(INDEX(計算用!$I$2:$I$186,MATCH("女"&amp;手直し!G12,計算用!$AO$2:$AO$186,0)),"？"))</f>
        <v/>
      </c>
      <c r="Z10">
        <f>IF($Q10="","",手直し!H12&amp;"")</f>
        <v/>
      </c>
      <c r="AA10" s="26">
        <f>IF(OR($Q10="",手直し!H12=""),"",IFERROR(INDEX(計算用!$M$2:$M$186,MATCH("女"&amp;手直し!H12,計算用!$AO$2:$AO$186,0)),"？"))</f>
        <v/>
      </c>
      <c r="AB10" s="26">
        <f>IF(OR($Q10="",手直し!H12=""),"",IFERROR(INDEX(計算用!$I$2:$I$186,MATCH("女"&amp;手直し!H12,計算用!$AO$2:$AO$186,0)),"？"))</f>
        <v/>
      </c>
      <c r="AC10">
        <f>IF($Q10="","",手直し!I12&amp;"")</f>
        <v/>
      </c>
      <c r="AD10" s="26">
        <f>IF(OR($Q10="",手直し!I12=""),"",IFERROR(INDEX(計算用!$M$2:$M$186,MATCH("女"&amp;手直し!I12,計算用!$AO$2:$AO$186,0)),"？"))</f>
        <v/>
      </c>
      <c r="AE10" s="26">
        <f>IF(OR($Q10="",手直し!I12=""),"",IFERROR(INDEX(計算用!$I$2:$I$186,MATCH("女"&amp;手直し!I12,計算用!$AO$2:$AO$186,0)),"？"))</f>
        <v/>
      </c>
    </row>
    <row r="11">
      <c r="A11" s="26">
        <f>IF(ROW()-3&lt;=計算用!$Q$13,ROW()-3,"")</f>
        <v/>
      </c>
      <c r="B11" s="26">
        <f>IF($A11="","",手直し!K13)</f>
        <v/>
      </c>
      <c r="C11" s="26">
        <f>IF($A11="","",手直し!L13)</f>
        <v/>
      </c>
      <c r="D11">
        <f>IF($A11="","",手直し!B13&amp;"")</f>
        <v/>
      </c>
      <c r="E11" s="26">
        <f>IF(OR($A11="",手直し!B13=""),"",IFERROR(INDEX(計算用!$M$2:$M$186,MATCH("男"&amp;手直し!B13,計算用!$AO$2:$AO$186,0)),"？"))</f>
        <v/>
      </c>
      <c r="F11" s="26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6">
        <f>IF(OR($A11="",手直し!C13=""),"",IFERROR(INDEX(計算用!$M$2:$M$186,MATCH("男"&amp;手直し!C13,計算用!$AO$2:$AO$186,0)),"？"))</f>
        <v/>
      </c>
      <c r="I11" s="26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6">
        <f>IF(OR($A11="",手直し!D13=""),"",IFERROR(INDEX(計算用!$M$2:$M$186,MATCH("男"&amp;手直し!D13,計算用!$AO$2:$AO$186,0)),"？"))</f>
        <v/>
      </c>
      <c r="L11" s="26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6">
        <f>IF(OR($A11="",手直し!E13=""),"",IFERROR(INDEX(計算用!$M$2:$M$186,MATCH("男"&amp;手直し!E13,計算用!$AO$2:$AO$186,0)),"？"))</f>
        <v/>
      </c>
      <c r="O11" s="26">
        <f>IF(OR($A11="",手直し!E13=""),"",IFERROR(INDEX(計算用!$I$2:$I$186,MATCH("男"&amp;手直し!E13,計算用!$AO$2:$AO$186,0)),"？"))</f>
        <v/>
      </c>
      <c r="Q11" s="26">
        <f>IF(ROW()-3&lt;=計算用!$Q$14,ROW()-3,"")</f>
        <v/>
      </c>
      <c r="R11" s="26">
        <f>IF($Q11="","",手直し!M13)</f>
        <v/>
      </c>
      <c r="S11" s="26">
        <f>IF($Q11="","",手直し!N13)</f>
        <v/>
      </c>
      <c r="T11">
        <f>IF($Q11="","",手直し!F13&amp;"")</f>
        <v/>
      </c>
      <c r="U11" s="26">
        <f>IF(OR($Q11="",手直し!F13=""),"",IFERROR(INDEX(計算用!$M$2:$M$186,MATCH("女"&amp;手直し!F13,計算用!$AO$2:$AO$186,0)),"？"))</f>
        <v/>
      </c>
      <c r="V11" s="26">
        <f>IF(OR($Q11="",手直し!F13=""),"",IFERROR(INDEX(計算用!$I$2:$I$186,MATCH("女"&amp;手直し!F13,計算用!$AO$2:$AO$186,0)),"？"))</f>
        <v/>
      </c>
      <c r="W11">
        <f>IF($Q11="","",手直し!G13&amp;"")</f>
        <v/>
      </c>
      <c r="X11" s="26">
        <f>IF(OR($Q11="",手直し!G13=""),"",IFERROR(INDEX(計算用!$M$2:$M$186,MATCH("女"&amp;手直し!G13,計算用!$AO$2:$AO$186,0)),"？"))</f>
        <v/>
      </c>
      <c r="Y11" s="26">
        <f>IF(OR($Q11="",手直し!G13=""),"",IFERROR(INDEX(計算用!$I$2:$I$186,MATCH("女"&amp;手直し!G13,計算用!$AO$2:$AO$186,0)),"？"))</f>
        <v/>
      </c>
      <c r="Z11">
        <f>IF($Q11="","",手直し!H13&amp;"")</f>
        <v/>
      </c>
      <c r="AA11" s="26">
        <f>IF(OR($Q11="",手直し!H13=""),"",IFERROR(INDEX(計算用!$M$2:$M$186,MATCH("女"&amp;手直し!H13,計算用!$AO$2:$AO$186,0)),"？"))</f>
        <v/>
      </c>
      <c r="AB11" s="26">
        <f>IF(OR($Q11="",手直し!H13=""),"",IFERROR(INDEX(計算用!$I$2:$I$186,MATCH("女"&amp;手直し!H13,計算用!$AO$2:$AO$186,0)),"？"))</f>
        <v/>
      </c>
      <c r="AC11">
        <f>IF($Q11="","",手直し!I13&amp;"")</f>
        <v/>
      </c>
      <c r="AD11" s="26">
        <f>IF(OR($Q11="",手直し!I13=""),"",IFERROR(INDEX(計算用!$M$2:$M$186,MATCH("女"&amp;手直し!I13,計算用!$AO$2:$AO$186,0)),"？"))</f>
        <v/>
      </c>
      <c r="AE11" s="26">
        <f>IF(OR($Q11="",手直し!I13=""),"",IFERROR(INDEX(計算用!$I$2:$I$186,MATCH("女"&amp;手直し!I13,計算用!$AO$2:$AO$186,0)),"？"))</f>
        <v/>
      </c>
    </row>
    <row r="12">
      <c r="A12" s="26">
        <f>IF(ROW()-3&lt;=計算用!$Q$13,ROW()-3,"")</f>
        <v/>
      </c>
      <c r="B12" s="26">
        <f>IF($A12="","",手直し!K14)</f>
        <v/>
      </c>
      <c r="C12" s="26">
        <f>IF($A12="","",手直し!L14)</f>
        <v/>
      </c>
      <c r="D12">
        <f>IF($A12="","",手直し!B14&amp;"")</f>
        <v/>
      </c>
      <c r="E12" s="26">
        <f>IF(OR($A12="",手直し!B14=""),"",IFERROR(INDEX(計算用!$M$2:$M$186,MATCH("男"&amp;手直し!B14,計算用!$AO$2:$AO$186,0)),"？"))</f>
        <v/>
      </c>
      <c r="F12" s="26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6">
        <f>IF(OR($A12="",手直し!C14=""),"",IFERROR(INDEX(計算用!$M$2:$M$186,MATCH("男"&amp;手直し!C14,計算用!$AO$2:$AO$186,0)),"？"))</f>
        <v/>
      </c>
      <c r="I12" s="26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6">
        <f>IF(OR($A12="",手直し!D14=""),"",IFERROR(INDEX(計算用!$M$2:$M$186,MATCH("男"&amp;手直し!D14,計算用!$AO$2:$AO$186,0)),"？"))</f>
        <v/>
      </c>
      <c r="L12" s="26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6">
        <f>IF(OR($A12="",手直し!E14=""),"",IFERROR(INDEX(計算用!$M$2:$M$186,MATCH("男"&amp;手直し!E14,計算用!$AO$2:$AO$186,0)),"？"))</f>
        <v/>
      </c>
      <c r="O12" s="26">
        <f>IF(OR($A12="",手直し!E14=""),"",IFERROR(INDEX(計算用!$I$2:$I$186,MATCH("男"&amp;手直し!E14,計算用!$AO$2:$AO$186,0)),"？"))</f>
        <v/>
      </c>
      <c r="Q12" s="26">
        <f>IF(ROW()-3&lt;=計算用!$Q$14,ROW()-3,"")</f>
        <v/>
      </c>
      <c r="R12" s="26">
        <f>IF($Q12="","",手直し!M14)</f>
        <v/>
      </c>
      <c r="S12" s="26">
        <f>IF($Q12="","",手直し!N14)</f>
        <v/>
      </c>
      <c r="T12">
        <f>IF($Q12="","",手直し!F14&amp;"")</f>
        <v/>
      </c>
      <c r="U12" s="26">
        <f>IF(OR($Q12="",手直し!F14=""),"",IFERROR(INDEX(計算用!$M$2:$M$186,MATCH("女"&amp;手直し!F14,計算用!$AO$2:$AO$186,0)),"？"))</f>
        <v/>
      </c>
      <c r="V12" s="26">
        <f>IF(OR($Q12="",手直し!F14=""),"",IFERROR(INDEX(計算用!$I$2:$I$186,MATCH("女"&amp;手直し!F14,計算用!$AO$2:$AO$186,0)),"？"))</f>
        <v/>
      </c>
      <c r="W12">
        <f>IF($Q12="","",手直し!G14&amp;"")</f>
        <v/>
      </c>
      <c r="X12" s="26">
        <f>IF(OR($Q12="",手直し!G14=""),"",IFERROR(INDEX(計算用!$M$2:$M$186,MATCH("女"&amp;手直し!G14,計算用!$AO$2:$AO$186,0)),"？"))</f>
        <v/>
      </c>
      <c r="Y12" s="26">
        <f>IF(OR($Q12="",手直し!G14=""),"",IFERROR(INDEX(計算用!$I$2:$I$186,MATCH("女"&amp;手直し!G14,計算用!$AO$2:$AO$186,0)),"？"))</f>
        <v/>
      </c>
      <c r="Z12">
        <f>IF($Q12="","",手直し!H14&amp;"")</f>
        <v/>
      </c>
      <c r="AA12" s="26">
        <f>IF(OR($Q12="",手直し!H14=""),"",IFERROR(INDEX(計算用!$M$2:$M$186,MATCH("女"&amp;手直し!H14,計算用!$AO$2:$AO$186,0)),"？"))</f>
        <v/>
      </c>
      <c r="AB12" s="26">
        <f>IF(OR($Q12="",手直し!H14=""),"",IFERROR(INDEX(計算用!$I$2:$I$186,MATCH("女"&amp;手直し!H14,計算用!$AO$2:$AO$186,0)),"？"))</f>
        <v/>
      </c>
      <c r="AC12">
        <f>IF($Q12="","",手直し!I14&amp;"")</f>
        <v/>
      </c>
      <c r="AD12" s="26">
        <f>IF(OR($Q12="",手直し!I14=""),"",IFERROR(INDEX(計算用!$M$2:$M$186,MATCH("女"&amp;手直し!I14,計算用!$AO$2:$AO$186,0)),"？"))</f>
        <v/>
      </c>
      <c r="AE12" s="26">
        <f>IF(OR($Q12="",手直し!I14=""),"",IFERROR(INDEX(計算用!$I$2:$I$186,MATCH("女"&amp;手直し!I14,計算用!$AO$2:$AO$186,0)),"？"))</f>
        <v/>
      </c>
    </row>
    <row r="13">
      <c r="A13" s="26">
        <f>IF(ROW()-3&lt;=計算用!$Q$13,ROW()-3,"")</f>
        <v/>
      </c>
      <c r="B13" s="26">
        <f>IF($A13="","",手直し!K15)</f>
        <v/>
      </c>
      <c r="C13" s="26">
        <f>IF($A13="","",手直し!L15)</f>
        <v/>
      </c>
      <c r="D13">
        <f>IF($A13="","",手直し!B15&amp;"")</f>
        <v/>
      </c>
      <c r="E13" s="26">
        <f>IF(OR($A13="",手直し!B15=""),"",IFERROR(INDEX(計算用!$M$2:$M$186,MATCH("男"&amp;手直し!B15,計算用!$AO$2:$AO$186,0)),"？"))</f>
        <v/>
      </c>
      <c r="F13" s="26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6">
        <f>IF(OR($A13="",手直し!C15=""),"",IFERROR(INDEX(計算用!$M$2:$M$186,MATCH("男"&amp;手直し!C15,計算用!$AO$2:$AO$186,0)),"？"))</f>
        <v/>
      </c>
      <c r="I13" s="26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6">
        <f>IF(OR($A13="",手直し!D15=""),"",IFERROR(INDEX(計算用!$M$2:$M$186,MATCH("男"&amp;手直し!D15,計算用!$AO$2:$AO$186,0)),"？"))</f>
        <v/>
      </c>
      <c r="L13" s="26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6">
        <f>IF(OR($A13="",手直し!E15=""),"",IFERROR(INDEX(計算用!$M$2:$M$186,MATCH("男"&amp;手直し!E15,計算用!$AO$2:$AO$186,0)),"？"))</f>
        <v/>
      </c>
      <c r="O13" s="26">
        <f>IF(OR($A13="",手直し!E15=""),"",IFERROR(INDEX(計算用!$I$2:$I$186,MATCH("男"&amp;手直し!E15,計算用!$AO$2:$AO$186,0)),"？"))</f>
        <v/>
      </c>
      <c r="Q13" s="26">
        <f>IF(ROW()-3&lt;=計算用!$Q$14,ROW()-3,"")</f>
        <v/>
      </c>
      <c r="R13" s="26">
        <f>IF($Q13="","",手直し!M15)</f>
        <v/>
      </c>
      <c r="S13" s="26">
        <f>IF($Q13="","",手直し!N15)</f>
        <v/>
      </c>
      <c r="T13">
        <f>IF($Q13="","",手直し!F15&amp;"")</f>
        <v/>
      </c>
      <c r="U13" s="26">
        <f>IF(OR($Q13="",手直し!F15=""),"",IFERROR(INDEX(計算用!$M$2:$M$186,MATCH("女"&amp;手直し!F15,計算用!$AO$2:$AO$186,0)),"？"))</f>
        <v/>
      </c>
      <c r="V13" s="26">
        <f>IF(OR($Q13="",手直し!F15=""),"",IFERROR(INDEX(計算用!$I$2:$I$186,MATCH("女"&amp;手直し!F15,計算用!$AO$2:$AO$186,0)),"？"))</f>
        <v/>
      </c>
      <c r="W13">
        <f>IF($Q13="","",手直し!G15&amp;"")</f>
        <v/>
      </c>
      <c r="X13" s="26">
        <f>IF(OR($Q13="",手直し!G15=""),"",IFERROR(INDEX(計算用!$M$2:$M$186,MATCH("女"&amp;手直し!G15,計算用!$AO$2:$AO$186,0)),"？"))</f>
        <v/>
      </c>
      <c r="Y13" s="26">
        <f>IF(OR($Q13="",手直し!G15=""),"",IFERROR(INDEX(計算用!$I$2:$I$186,MATCH("女"&amp;手直し!G15,計算用!$AO$2:$AO$186,0)),"？"))</f>
        <v/>
      </c>
      <c r="Z13">
        <f>IF($Q13="","",手直し!H15&amp;"")</f>
        <v/>
      </c>
      <c r="AA13" s="26">
        <f>IF(OR($Q13="",手直し!H15=""),"",IFERROR(INDEX(計算用!$M$2:$M$186,MATCH("女"&amp;手直し!H15,計算用!$AO$2:$AO$186,0)),"？"))</f>
        <v/>
      </c>
      <c r="AB13" s="26">
        <f>IF(OR($Q13="",手直し!H15=""),"",IFERROR(INDEX(計算用!$I$2:$I$186,MATCH("女"&amp;手直し!H15,計算用!$AO$2:$AO$186,0)),"？"))</f>
        <v/>
      </c>
      <c r="AC13">
        <f>IF($Q13="","",手直し!I15&amp;"")</f>
        <v/>
      </c>
      <c r="AD13" s="26">
        <f>IF(OR($Q13="",手直し!I15=""),"",IFERROR(INDEX(計算用!$M$2:$M$186,MATCH("女"&amp;手直し!I15,計算用!$AO$2:$AO$186,0)),"？"))</f>
        <v/>
      </c>
      <c r="AE13" s="26">
        <f>IF(OR($Q13="",手直し!I15=""),"",IFERROR(INDEX(計算用!$I$2:$I$186,MATCH("女"&amp;手直し!I15,計算用!$AO$2:$AO$186,0)),"？"))</f>
        <v/>
      </c>
    </row>
    <row r="14">
      <c r="A14" s="26">
        <f>IF(ROW()-3&lt;=計算用!$Q$13,ROW()-3,"")</f>
        <v/>
      </c>
      <c r="B14" s="26">
        <f>IF($A14="","",手直し!K16)</f>
        <v/>
      </c>
      <c r="C14" s="26">
        <f>IF($A14="","",手直し!L16)</f>
        <v/>
      </c>
      <c r="D14">
        <f>IF($A14="","",手直し!B16&amp;"")</f>
        <v/>
      </c>
      <c r="E14" s="26">
        <f>IF(OR($A14="",手直し!B16=""),"",IFERROR(INDEX(計算用!$M$2:$M$186,MATCH("男"&amp;手直し!B16,計算用!$AO$2:$AO$186,0)),"？"))</f>
        <v/>
      </c>
      <c r="F14" s="26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6">
        <f>IF(OR($A14="",手直し!C16=""),"",IFERROR(INDEX(計算用!$M$2:$M$186,MATCH("男"&amp;手直し!C16,計算用!$AO$2:$AO$186,0)),"？"))</f>
        <v/>
      </c>
      <c r="I14" s="26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6">
        <f>IF(OR($A14="",手直し!D16=""),"",IFERROR(INDEX(計算用!$M$2:$M$186,MATCH("男"&amp;手直し!D16,計算用!$AO$2:$AO$186,0)),"？"))</f>
        <v/>
      </c>
      <c r="L14" s="26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6">
        <f>IF(OR($A14="",手直し!E16=""),"",IFERROR(INDEX(計算用!$M$2:$M$186,MATCH("男"&amp;手直し!E16,計算用!$AO$2:$AO$186,0)),"？"))</f>
        <v/>
      </c>
      <c r="O14" s="26">
        <f>IF(OR($A14="",手直し!E16=""),"",IFERROR(INDEX(計算用!$I$2:$I$186,MATCH("男"&amp;手直し!E16,計算用!$AO$2:$AO$186,0)),"？"))</f>
        <v/>
      </c>
      <c r="Q14" s="26">
        <f>IF(ROW()-3&lt;=計算用!$Q$14,ROW()-3,"")</f>
        <v/>
      </c>
      <c r="R14" s="26">
        <f>IF($Q14="","",手直し!M16)</f>
        <v/>
      </c>
      <c r="S14" s="26">
        <f>IF($Q14="","",手直し!N16)</f>
        <v/>
      </c>
      <c r="T14">
        <f>IF($Q14="","",手直し!F16&amp;"")</f>
        <v/>
      </c>
      <c r="U14" s="26">
        <f>IF(OR($Q14="",手直し!F16=""),"",IFERROR(INDEX(計算用!$M$2:$M$186,MATCH("女"&amp;手直し!F16,計算用!$AO$2:$AO$186,0)),"？"))</f>
        <v/>
      </c>
      <c r="V14" s="26">
        <f>IF(OR($Q14="",手直し!F16=""),"",IFERROR(INDEX(計算用!$I$2:$I$186,MATCH("女"&amp;手直し!F16,計算用!$AO$2:$AO$186,0)),"？"))</f>
        <v/>
      </c>
      <c r="W14">
        <f>IF($Q14="","",手直し!G16&amp;"")</f>
        <v/>
      </c>
      <c r="X14" s="26">
        <f>IF(OR($Q14="",手直し!G16=""),"",IFERROR(INDEX(計算用!$M$2:$M$186,MATCH("女"&amp;手直し!G16,計算用!$AO$2:$AO$186,0)),"？"))</f>
        <v/>
      </c>
      <c r="Y14" s="26">
        <f>IF(OR($Q14="",手直し!G16=""),"",IFERROR(INDEX(計算用!$I$2:$I$186,MATCH("女"&amp;手直し!G16,計算用!$AO$2:$AO$186,0)),"？"))</f>
        <v/>
      </c>
      <c r="Z14">
        <f>IF($Q14="","",手直し!H16&amp;"")</f>
        <v/>
      </c>
      <c r="AA14" s="26">
        <f>IF(OR($Q14="",手直し!H16=""),"",IFERROR(INDEX(計算用!$M$2:$M$186,MATCH("女"&amp;手直し!H16,計算用!$AO$2:$AO$186,0)),"？"))</f>
        <v/>
      </c>
      <c r="AB14" s="26">
        <f>IF(OR($Q14="",手直し!H16=""),"",IFERROR(INDEX(計算用!$I$2:$I$186,MATCH("女"&amp;手直し!H16,計算用!$AO$2:$AO$186,0)),"？"))</f>
        <v/>
      </c>
      <c r="AC14">
        <f>IF($Q14="","",手直し!I16&amp;"")</f>
        <v/>
      </c>
      <c r="AD14" s="26">
        <f>IF(OR($Q14="",手直し!I16=""),"",IFERROR(INDEX(計算用!$M$2:$M$186,MATCH("女"&amp;手直し!I16,計算用!$AO$2:$AO$186,0)),"？"))</f>
        <v/>
      </c>
      <c r="AE14" s="26">
        <f>IF(OR($Q14="",手直し!I16=""),"",IFERROR(INDEX(計算用!$I$2:$I$186,MATCH("女"&amp;手直し!I16,計算用!$AO$2:$AO$186,0)),"？"))</f>
        <v/>
      </c>
    </row>
    <row r="15">
      <c r="A15" s="26">
        <f>IF(ROW()-3&lt;=計算用!$Q$13,ROW()-3,"")</f>
        <v/>
      </c>
      <c r="B15" s="26">
        <f>IF($A15="","",手直し!K17)</f>
        <v/>
      </c>
      <c r="C15" s="26">
        <f>IF($A15="","",手直し!L17)</f>
        <v/>
      </c>
      <c r="D15">
        <f>IF($A15="","",手直し!B17&amp;"")</f>
        <v/>
      </c>
      <c r="E15" s="26">
        <f>IF(OR($A15="",手直し!B17=""),"",IFERROR(INDEX(計算用!$M$2:$M$186,MATCH("男"&amp;手直し!B17,計算用!$AO$2:$AO$186,0)),"？"))</f>
        <v/>
      </c>
      <c r="F15" s="26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6">
        <f>IF(OR($A15="",手直し!C17=""),"",IFERROR(INDEX(計算用!$M$2:$M$186,MATCH("男"&amp;手直し!C17,計算用!$AO$2:$AO$186,0)),"？"))</f>
        <v/>
      </c>
      <c r="I15" s="26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6">
        <f>IF(OR($A15="",手直し!D17=""),"",IFERROR(INDEX(計算用!$M$2:$M$186,MATCH("男"&amp;手直し!D17,計算用!$AO$2:$AO$186,0)),"？"))</f>
        <v/>
      </c>
      <c r="L15" s="26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6">
        <f>IF(OR($A15="",手直し!E17=""),"",IFERROR(INDEX(計算用!$M$2:$M$186,MATCH("男"&amp;手直し!E17,計算用!$AO$2:$AO$186,0)),"？"))</f>
        <v/>
      </c>
      <c r="O15" s="26">
        <f>IF(OR($A15="",手直し!E17=""),"",IFERROR(INDEX(計算用!$I$2:$I$186,MATCH("男"&amp;手直し!E17,計算用!$AO$2:$AO$186,0)),"？"))</f>
        <v/>
      </c>
      <c r="Q15" s="26">
        <f>IF(ROW()-3&lt;=計算用!$Q$14,ROW()-3,"")</f>
        <v/>
      </c>
      <c r="R15" s="26">
        <f>IF($Q15="","",手直し!M17)</f>
        <v/>
      </c>
      <c r="S15" s="26">
        <f>IF($Q15="","",手直し!N17)</f>
        <v/>
      </c>
      <c r="T15">
        <f>IF($Q15="","",手直し!F17&amp;"")</f>
        <v/>
      </c>
      <c r="U15" s="26">
        <f>IF(OR($Q15="",手直し!F17=""),"",IFERROR(INDEX(計算用!$M$2:$M$186,MATCH("女"&amp;手直し!F17,計算用!$AO$2:$AO$186,0)),"？"))</f>
        <v/>
      </c>
      <c r="V15" s="26">
        <f>IF(OR($Q15="",手直し!F17=""),"",IFERROR(INDEX(計算用!$I$2:$I$186,MATCH("女"&amp;手直し!F17,計算用!$AO$2:$AO$186,0)),"？"))</f>
        <v/>
      </c>
      <c r="W15">
        <f>IF($Q15="","",手直し!G17&amp;"")</f>
        <v/>
      </c>
      <c r="X15" s="26">
        <f>IF(OR($Q15="",手直し!G17=""),"",IFERROR(INDEX(計算用!$M$2:$M$186,MATCH("女"&amp;手直し!G17,計算用!$AO$2:$AO$186,0)),"？"))</f>
        <v/>
      </c>
      <c r="Y15" s="26">
        <f>IF(OR($Q15="",手直し!G17=""),"",IFERROR(INDEX(計算用!$I$2:$I$186,MATCH("女"&amp;手直し!G17,計算用!$AO$2:$AO$186,0)),"？"))</f>
        <v/>
      </c>
      <c r="Z15">
        <f>IF($Q15="","",手直し!H17&amp;"")</f>
        <v/>
      </c>
      <c r="AA15" s="26">
        <f>IF(OR($Q15="",手直し!H17=""),"",IFERROR(INDEX(計算用!$M$2:$M$186,MATCH("女"&amp;手直し!H17,計算用!$AO$2:$AO$186,0)),"？"))</f>
        <v/>
      </c>
      <c r="AB15" s="26">
        <f>IF(OR($Q15="",手直し!H17=""),"",IFERROR(INDEX(計算用!$I$2:$I$186,MATCH("女"&amp;手直し!H17,計算用!$AO$2:$AO$186,0)),"？"))</f>
        <v/>
      </c>
      <c r="AC15">
        <f>IF($Q15="","",手直し!I17&amp;"")</f>
        <v/>
      </c>
      <c r="AD15" s="26">
        <f>IF(OR($Q15="",手直し!I17=""),"",IFERROR(INDEX(計算用!$M$2:$M$186,MATCH("女"&amp;手直し!I17,計算用!$AO$2:$AO$186,0)),"？"))</f>
        <v/>
      </c>
      <c r="AE15" s="26">
        <f>IF(OR($Q15="",手直し!I17=""),"",IFERROR(INDEX(計算用!$I$2:$I$186,MATCH("女"&amp;手直し!I17,計算用!$AO$2:$AO$186,0)),"？"))</f>
        <v/>
      </c>
    </row>
    <row r="16">
      <c r="A16" s="26">
        <f>IF(ROW()-3&lt;=計算用!$Q$13,ROW()-3,"")</f>
        <v/>
      </c>
      <c r="B16" s="26">
        <f>IF($A16="","",手直し!K18)</f>
        <v/>
      </c>
      <c r="C16" s="26">
        <f>IF($A16="","",手直し!L18)</f>
        <v/>
      </c>
      <c r="D16">
        <f>IF($A16="","",手直し!B18&amp;"")</f>
        <v/>
      </c>
      <c r="E16" s="26">
        <f>IF(OR($A16="",手直し!B18=""),"",IFERROR(INDEX(計算用!$M$2:$M$186,MATCH("男"&amp;手直し!B18,計算用!$AO$2:$AO$186,0)),"？"))</f>
        <v/>
      </c>
      <c r="F16" s="26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6">
        <f>IF(OR($A16="",手直し!C18=""),"",IFERROR(INDEX(計算用!$M$2:$M$186,MATCH("男"&amp;手直し!C18,計算用!$AO$2:$AO$186,0)),"？"))</f>
        <v/>
      </c>
      <c r="I16" s="26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6">
        <f>IF(OR($A16="",手直し!D18=""),"",IFERROR(INDEX(計算用!$M$2:$M$186,MATCH("男"&amp;手直し!D18,計算用!$AO$2:$AO$186,0)),"？"))</f>
        <v/>
      </c>
      <c r="L16" s="26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6">
        <f>IF(OR($A16="",手直し!E18=""),"",IFERROR(INDEX(計算用!$M$2:$M$186,MATCH("男"&amp;手直し!E18,計算用!$AO$2:$AO$186,0)),"？"))</f>
        <v/>
      </c>
      <c r="O16" s="26">
        <f>IF(OR($A16="",手直し!E18=""),"",IFERROR(INDEX(計算用!$I$2:$I$186,MATCH("男"&amp;手直し!E18,計算用!$AO$2:$AO$186,0)),"？"))</f>
        <v/>
      </c>
      <c r="Q16" s="26">
        <f>IF(ROW()-3&lt;=計算用!$Q$14,ROW()-3,"")</f>
        <v/>
      </c>
      <c r="R16" s="26">
        <f>IF($Q16="","",手直し!M18)</f>
        <v/>
      </c>
      <c r="S16" s="26">
        <f>IF($Q16="","",手直し!N18)</f>
        <v/>
      </c>
      <c r="T16">
        <f>IF($Q16="","",手直し!F18&amp;"")</f>
        <v/>
      </c>
      <c r="U16" s="26">
        <f>IF(OR($Q16="",手直し!F18=""),"",IFERROR(INDEX(計算用!$M$2:$M$186,MATCH("女"&amp;手直し!F18,計算用!$AO$2:$AO$186,0)),"？"))</f>
        <v/>
      </c>
      <c r="V16" s="26">
        <f>IF(OR($Q16="",手直し!F18=""),"",IFERROR(INDEX(計算用!$I$2:$I$186,MATCH("女"&amp;手直し!F18,計算用!$AO$2:$AO$186,0)),"？"))</f>
        <v/>
      </c>
      <c r="W16">
        <f>IF($Q16="","",手直し!G18&amp;"")</f>
        <v/>
      </c>
      <c r="X16" s="26">
        <f>IF(OR($Q16="",手直し!G18=""),"",IFERROR(INDEX(計算用!$M$2:$M$186,MATCH("女"&amp;手直し!G18,計算用!$AO$2:$AO$186,0)),"？"))</f>
        <v/>
      </c>
      <c r="Y16" s="26">
        <f>IF(OR($Q16="",手直し!G18=""),"",IFERROR(INDEX(計算用!$I$2:$I$186,MATCH("女"&amp;手直し!G18,計算用!$AO$2:$AO$186,0)),"？"))</f>
        <v/>
      </c>
      <c r="Z16">
        <f>IF($Q16="","",手直し!H18&amp;"")</f>
        <v/>
      </c>
      <c r="AA16" s="26">
        <f>IF(OR($Q16="",手直し!H18=""),"",IFERROR(INDEX(計算用!$M$2:$M$186,MATCH("女"&amp;手直し!H18,計算用!$AO$2:$AO$186,0)),"？"))</f>
        <v/>
      </c>
      <c r="AB16" s="26">
        <f>IF(OR($Q16="",手直し!H18=""),"",IFERROR(INDEX(計算用!$I$2:$I$186,MATCH("女"&amp;手直し!H18,計算用!$AO$2:$AO$186,0)),"？"))</f>
        <v/>
      </c>
      <c r="AC16">
        <f>IF($Q16="","",手直し!I18&amp;"")</f>
        <v/>
      </c>
      <c r="AD16" s="26">
        <f>IF(OR($Q16="",手直し!I18=""),"",IFERROR(INDEX(計算用!$M$2:$M$186,MATCH("女"&amp;手直し!I18,計算用!$AO$2:$AO$186,0)),"？"))</f>
        <v/>
      </c>
      <c r="AE16" s="26">
        <f>IF(OR($Q16="",手直し!I18=""),"",IFERROR(INDEX(計算用!$I$2:$I$186,MATCH("女"&amp;手直し!I18,計算用!$AO$2:$AO$186,0)),"？"))</f>
        <v/>
      </c>
    </row>
    <row r="17">
      <c r="A17" s="26">
        <f>IF(ROW()-3&lt;=計算用!$Q$13,ROW()-3,"")</f>
        <v/>
      </c>
      <c r="B17" s="26">
        <f>IF($A17="","",手直し!K19)</f>
        <v/>
      </c>
      <c r="C17" s="26">
        <f>IF($A17="","",手直し!L19)</f>
        <v/>
      </c>
      <c r="D17">
        <f>IF($A17="","",手直し!B19&amp;"")</f>
        <v/>
      </c>
      <c r="E17" s="26">
        <f>IF(OR($A17="",手直し!B19=""),"",IFERROR(INDEX(計算用!$M$2:$M$186,MATCH("男"&amp;手直し!B19,計算用!$AO$2:$AO$186,0)),"？"))</f>
        <v/>
      </c>
      <c r="F17" s="26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6">
        <f>IF(OR($A17="",手直し!C19=""),"",IFERROR(INDEX(計算用!$M$2:$M$186,MATCH("男"&amp;手直し!C19,計算用!$AO$2:$AO$186,0)),"？"))</f>
        <v/>
      </c>
      <c r="I17" s="26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6">
        <f>IF(OR($A17="",手直し!D19=""),"",IFERROR(INDEX(計算用!$M$2:$M$186,MATCH("男"&amp;手直し!D19,計算用!$AO$2:$AO$186,0)),"？"))</f>
        <v/>
      </c>
      <c r="L17" s="26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6">
        <f>IF(OR($A17="",手直し!E19=""),"",IFERROR(INDEX(計算用!$M$2:$M$186,MATCH("男"&amp;手直し!E19,計算用!$AO$2:$AO$186,0)),"？"))</f>
        <v/>
      </c>
      <c r="O17" s="26">
        <f>IF(OR($A17="",手直し!E19=""),"",IFERROR(INDEX(計算用!$I$2:$I$186,MATCH("男"&amp;手直し!E19,計算用!$AO$2:$AO$186,0)),"？"))</f>
        <v/>
      </c>
      <c r="Q17" s="26">
        <f>IF(ROW()-3&lt;=計算用!$Q$14,ROW()-3,"")</f>
        <v/>
      </c>
      <c r="R17" s="26">
        <f>IF($Q17="","",手直し!M19)</f>
        <v/>
      </c>
      <c r="S17" s="26">
        <f>IF($Q17="","",手直し!N19)</f>
        <v/>
      </c>
      <c r="T17">
        <f>IF($Q17="","",手直し!F19&amp;"")</f>
        <v/>
      </c>
      <c r="U17" s="26">
        <f>IF(OR($Q17="",手直し!F19=""),"",IFERROR(INDEX(計算用!$M$2:$M$186,MATCH("女"&amp;手直し!F19,計算用!$AO$2:$AO$186,0)),"？"))</f>
        <v/>
      </c>
      <c r="V17" s="26">
        <f>IF(OR($Q17="",手直し!F19=""),"",IFERROR(INDEX(計算用!$I$2:$I$186,MATCH("女"&amp;手直し!F19,計算用!$AO$2:$AO$186,0)),"？"))</f>
        <v/>
      </c>
      <c r="W17">
        <f>IF($Q17="","",手直し!G19&amp;"")</f>
        <v/>
      </c>
      <c r="X17" s="26">
        <f>IF(OR($Q17="",手直し!G19=""),"",IFERROR(INDEX(計算用!$M$2:$M$186,MATCH("女"&amp;手直し!G19,計算用!$AO$2:$AO$186,0)),"？"))</f>
        <v/>
      </c>
      <c r="Y17" s="26">
        <f>IF(OR($Q17="",手直し!G19=""),"",IFERROR(INDEX(計算用!$I$2:$I$186,MATCH("女"&amp;手直し!G19,計算用!$AO$2:$AO$186,0)),"？"))</f>
        <v/>
      </c>
      <c r="Z17">
        <f>IF($Q17="","",手直し!H19&amp;"")</f>
        <v/>
      </c>
      <c r="AA17" s="26">
        <f>IF(OR($Q17="",手直し!H19=""),"",IFERROR(INDEX(計算用!$M$2:$M$186,MATCH("女"&amp;手直し!H19,計算用!$AO$2:$AO$186,0)),"？"))</f>
        <v/>
      </c>
      <c r="AB17" s="26">
        <f>IF(OR($Q17="",手直し!H19=""),"",IFERROR(INDEX(計算用!$I$2:$I$186,MATCH("女"&amp;手直し!H19,計算用!$AO$2:$AO$186,0)),"？"))</f>
        <v/>
      </c>
      <c r="AC17">
        <f>IF($Q17="","",手直し!I19&amp;"")</f>
        <v/>
      </c>
      <c r="AD17" s="26">
        <f>IF(OR($Q17="",手直し!I19=""),"",IFERROR(INDEX(計算用!$M$2:$M$186,MATCH("女"&amp;手直し!I19,計算用!$AO$2:$AO$186,0)),"？"))</f>
        <v/>
      </c>
      <c r="AE17" s="26">
        <f>IF(OR($Q17="",手直し!I19=""),"",IFERROR(INDEX(計算用!$I$2:$I$186,MATCH("女"&amp;手直し!I19,計算用!$AO$2:$AO$186,0)),"？"))</f>
        <v/>
      </c>
    </row>
    <row r="18">
      <c r="A18" s="26">
        <f>IF(ROW()-3&lt;=計算用!$Q$13,ROW()-3,"")</f>
        <v/>
      </c>
      <c r="B18" s="26">
        <f>IF($A18="","",手直し!K20)</f>
        <v/>
      </c>
      <c r="C18" s="26">
        <f>IF($A18="","",手直し!L20)</f>
        <v/>
      </c>
      <c r="D18">
        <f>IF($A18="","",手直し!B20&amp;"")</f>
        <v/>
      </c>
      <c r="E18" s="26">
        <f>IF(OR($A18="",手直し!B20=""),"",IFERROR(INDEX(計算用!$M$2:$M$186,MATCH("男"&amp;手直し!B20,計算用!$AO$2:$AO$186,0)),"？"))</f>
        <v/>
      </c>
      <c r="F18" s="26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6">
        <f>IF(OR($A18="",手直し!C20=""),"",IFERROR(INDEX(計算用!$M$2:$M$186,MATCH("男"&amp;手直し!C20,計算用!$AO$2:$AO$186,0)),"？"))</f>
        <v/>
      </c>
      <c r="I18" s="26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6">
        <f>IF(OR($A18="",手直し!D20=""),"",IFERROR(INDEX(計算用!$M$2:$M$186,MATCH("男"&amp;手直し!D20,計算用!$AO$2:$AO$186,0)),"？"))</f>
        <v/>
      </c>
      <c r="L18" s="26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6">
        <f>IF(OR($A18="",手直し!E20=""),"",IFERROR(INDEX(計算用!$M$2:$M$186,MATCH("男"&amp;手直し!E20,計算用!$AO$2:$AO$186,0)),"？"))</f>
        <v/>
      </c>
      <c r="O18" s="26">
        <f>IF(OR($A18="",手直し!E20=""),"",IFERROR(INDEX(計算用!$I$2:$I$186,MATCH("男"&amp;手直し!E20,計算用!$AO$2:$AO$186,0)),"？"))</f>
        <v/>
      </c>
      <c r="Q18" s="26">
        <f>IF(ROW()-3&lt;=計算用!$Q$14,ROW()-3,"")</f>
        <v/>
      </c>
      <c r="R18" s="26">
        <f>IF($Q18="","",手直し!M20)</f>
        <v/>
      </c>
      <c r="S18" s="26">
        <f>IF($Q18="","",手直し!N20)</f>
        <v/>
      </c>
      <c r="T18">
        <f>IF($Q18="","",手直し!F20&amp;"")</f>
        <v/>
      </c>
      <c r="U18" s="26">
        <f>IF(OR($Q18="",手直し!F20=""),"",IFERROR(INDEX(計算用!$M$2:$M$186,MATCH("女"&amp;手直し!F20,計算用!$AO$2:$AO$186,0)),"？"))</f>
        <v/>
      </c>
      <c r="V18" s="26">
        <f>IF(OR($Q18="",手直し!F20=""),"",IFERROR(INDEX(計算用!$I$2:$I$186,MATCH("女"&amp;手直し!F20,計算用!$AO$2:$AO$186,0)),"？"))</f>
        <v/>
      </c>
      <c r="W18">
        <f>IF($Q18="","",手直し!G20&amp;"")</f>
        <v/>
      </c>
      <c r="X18" s="26">
        <f>IF(OR($Q18="",手直し!G20=""),"",IFERROR(INDEX(計算用!$M$2:$M$186,MATCH("女"&amp;手直し!G20,計算用!$AO$2:$AO$186,0)),"？"))</f>
        <v/>
      </c>
      <c r="Y18" s="26">
        <f>IF(OR($Q18="",手直し!G20=""),"",IFERROR(INDEX(計算用!$I$2:$I$186,MATCH("女"&amp;手直し!G20,計算用!$AO$2:$AO$186,0)),"？"))</f>
        <v/>
      </c>
      <c r="Z18">
        <f>IF($Q18="","",手直し!H20&amp;"")</f>
        <v/>
      </c>
      <c r="AA18" s="26">
        <f>IF(OR($Q18="",手直し!H20=""),"",IFERROR(INDEX(計算用!$M$2:$M$186,MATCH("女"&amp;手直し!H20,計算用!$AO$2:$AO$186,0)),"？"))</f>
        <v/>
      </c>
      <c r="AB18" s="26">
        <f>IF(OR($Q18="",手直し!H20=""),"",IFERROR(INDEX(計算用!$I$2:$I$186,MATCH("女"&amp;手直し!H20,計算用!$AO$2:$AO$186,0)),"？"))</f>
        <v/>
      </c>
      <c r="AC18">
        <f>IF($Q18="","",手直し!I20&amp;"")</f>
        <v/>
      </c>
      <c r="AD18" s="26">
        <f>IF(OR($Q18="",手直し!I20=""),"",IFERROR(INDEX(計算用!$M$2:$M$186,MATCH("女"&amp;手直し!I20,計算用!$AO$2:$AO$186,0)),"？"))</f>
        <v/>
      </c>
      <c r="AE18" s="26">
        <f>IF(OR($Q18="",手直し!I20=""),"",IFERROR(INDEX(計算用!$I$2:$I$186,MATCH("女"&amp;手直し!I20,計算用!$AO$2:$AO$186,0)),"？"))</f>
        <v/>
      </c>
    </row>
    <row r="19">
      <c r="A19" s="26">
        <f>IF(ROW()-3&lt;=計算用!$Q$13,ROW()-3,"")</f>
        <v/>
      </c>
      <c r="B19" s="26">
        <f>IF($A19="","",手直し!K21)</f>
        <v/>
      </c>
      <c r="C19" s="26">
        <f>IF($A19="","",手直し!L21)</f>
        <v/>
      </c>
      <c r="D19">
        <f>IF($A19="","",手直し!B21&amp;"")</f>
        <v/>
      </c>
      <c r="E19" s="26">
        <f>IF(OR($A19="",手直し!B21=""),"",IFERROR(INDEX(計算用!$M$2:$M$186,MATCH("男"&amp;手直し!B21,計算用!$AO$2:$AO$186,0)),"？"))</f>
        <v/>
      </c>
      <c r="F19" s="26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6">
        <f>IF(OR($A19="",手直し!C21=""),"",IFERROR(INDEX(計算用!$M$2:$M$186,MATCH("男"&amp;手直し!C21,計算用!$AO$2:$AO$186,0)),"？"))</f>
        <v/>
      </c>
      <c r="I19" s="26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6">
        <f>IF(OR($A19="",手直し!D21=""),"",IFERROR(INDEX(計算用!$M$2:$M$186,MATCH("男"&amp;手直し!D21,計算用!$AO$2:$AO$186,0)),"？"))</f>
        <v/>
      </c>
      <c r="L19" s="26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6">
        <f>IF(OR($A19="",手直し!E21=""),"",IFERROR(INDEX(計算用!$M$2:$M$186,MATCH("男"&amp;手直し!E21,計算用!$AO$2:$AO$186,0)),"？"))</f>
        <v/>
      </c>
      <c r="O19" s="26">
        <f>IF(OR($A19="",手直し!E21=""),"",IFERROR(INDEX(計算用!$I$2:$I$186,MATCH("男"&amp;手直し!E21,計算用!$AO$2:$AO$186,0)),"？"))</f>
        <v/>
      </c>
      <c r="Q19" s="26">
        <f>IF(ROW()-3&lt;=計算用!$Q$14,ROW()-3,"")</f>
        <v/>
      </c>
      <c r="R19" s="26">
        <f>IF($Q19="","",手直し!M21)</f>
        <v/>
      </c>
      <c r="S19" s="26">
        <f>IF($Q19="","",手直し!N21)</f>
        <v/>
      </c>
      <c r="T19">
        <f>IF($Q19="","",手直し!F21&amp;"")</f>
        <v/>
      </c>
      <c r="U19" s="26">
        <f>IF(OR($Q19="",手直し!F21=""),"",IFERROR(INDEX(計算用!$M$2:$M$186,MATCH("女"&amp;手直し!F21,計算用!$AO$2:$AO$186,0)),"？"))</f>
        <v/>
      </c>
      <c r="V19" s="26">
        <f>IF(OR($Q19="",手直し!F21=""),"",IFERROR(INDEX(計算用!$I$2:$I$186,MATCH("女"&amp;手直し!F21,計算用!$AO$2:$AO$186,0)),"？"))</f>
        <v/>
      </c>
      <c r="W19">
        <f>IF($Q19="","",手直し!G21&amp;"")</f>
        <v/>
      </c>
      <c r="X19" s="26">
        <f>IF(OR($Q19="",手直し!G21=""),"",IFERROR(INDEX(計算用!$M$2:$M$186,MATCH("女"&amp;手直し!G21,計算用!$AO$2:$AO$186,0)),"？"))</f>
        <v/>
      </c>
      <c r="Y19" s="26">
        <f>IF(OR($Q19="",手直し!G21=""),"",IFERROR(INDEX(計算用!$I$2:$I$186,MATCH("女"&amp;手直し!G21,計算用!$AO$2:$AO$186,0)),"？"))</f>
        <v/>
      </c>
      <c r="Z19">
        <f>IF($Q19="","",手直し!H21&amp;"")</f>
        <v/>
      </c>
      <c r="AA19" s="26">
        <f>IF(OR($Q19="",手直し!H21=""),"",IFERROR(INDEX(計算用!$M$2:$M$186,MATCH("女"&amp;手直し!H21,計算用!$AO$2:$AO$186,0)),"？"))</f>
        <v/>
      </c>
      <c r="AB19" s="26">
        <f>IF(OR($Q19="",手直し!H21=""),"",IFERROR(INDEX(計算用!$I$2:$I$186,MATCH("女"&amp;手直し!H21,計算用!$AO$2:$AO$186,0)),"？"))</f>
        <v/>
      </c>
      <c r="AC19">
        <f>IF($Q19="","",手直し!I21&amp;"")</f>
        <v/>
      </c>
      <c r="AD19" s="26">
        <f>IF(OR($Q19="",手直し!I21=""),"",IFERROR(INDEX(計算用!$M$2:$M$186,MATCH("女"&amp;手直し!I21,計算用!$AO$2:$AO$186,0)),"？"))</f>
        <v/>
      </c>
      <c r="AE19" s="26">
        <f>IF(OR($Q19="",手直し!I21=""),"",IFERROR(INDEX(計算用!$I$2:$I$186,MATCH("女"&amp;手直し!I21,計算用!$AO$2:$AO$186,0)),"？"))</f>
        <v/>
      </c>
    </row>
    <row r="20">
      <c r="A20" s="26">
        <f>IF(ROW()-3&lt;=計算用!$Q$13,ROW()-3,"")</f>
        <v/>
      </c>
      <c r="B20" s="26">
        <f>IF($A20="","",手直し!K22)</f>
        <v/>
      </c>
      <c r="C20" s="26">
        <f>IF($A20="","",手直し!L22)</f>
        <v/>
      </c>
      <c r="D20">
        <f>IF($A20="","",手直し!B22&amp;"")</f>
        <v/>
      </c>
      <c r="E20" s="26">
        <f>IF(OR($A20="",手直し!B22=""),"",IFERROR(INDEX(計算用!$M$2:$M$186,MATCH("男"&amp;手直し!B22,計算用!$AO$2:$AO$186,0)),"？"))</f>
        <v/>
      </c>
      <c r="F20" s="26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6">
        <f>IF(OR($A20="",手直し!C22=""),"",IFERROR(INDEX(計算用!$M$2:$M$186,MATCH("男"&amp;手直し!C22,計算用!$AO$2:$AO$186,0)),"？"))</f>
        <v/>
      </c>
      <c r="I20" s="26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6">
        <f>IF(OR($A20="",手直し!D22=""),"",IFERROR(INDEX(計算用!$M$2:$M$186,MATCH("男"&amp;手直し!D22,計算用!$AO$2:$AO$186,0)),"？"))</f>
        <v/>
      </c>
      <c r="L20" s="26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6">
        <f>IF(OR($A20="",手直し!E22=""),"",IFERROR(INDEX(計算用!$M$2:$M$186,MATCH("男"&amp;手直し!E22,計算用!$AO$2:$AO$186,0)),"？"))</f>
        <v/>
      </c>
      <c r="O20" s="26">
        <f>IF(OR($A20="",手直し!E22=""),"",IFERROR(INDEX(計算用!$I$2:$I$186,MATCH("男"&amp;手直し!E22,計算用!$AO$2:$AO$186,0)),"？"))</f>
        <v/>
      </c>
      <c r="Q20" s="26">
        <f>IF(ROW()-3&lt;=計算用!$Q$14,ROW()-3,"")</f>
        <v/>
      </c>
      <c r="R20" s="26">
        <f>IF($Q20="","",手直し!M22)</f>
        <v/>
      </c>
      <c r="S20" s="26">
        <f>IF($Q20="","",手直し!N22)</f>
        <v/>
      </c>
      <c r="T20">
        <f>IF($Q20="","",手直し!F22&amp;"")</f>
        <v/>
      </c>
      <c r="U20" s="26">
        <f>IF(OR($Q20="",手直し!F22=""),"",IFERROR(INDEX(計算用!$M$2:$M$186,MATCH("女"&amp;手直し!F22,計算用!$AO$2:$AO$186,0)),"？"))</f>
        <v/>
      </c>
      <c r="V20" s="26">
        <f>IF(OR($Q20="",手直し!F22=""),"",IFERROR(INDEX(計算用!$I$2:$I$186,MATCH("女"&amp;手直し!F22,計算用!$AO$2:$AO$186,0)),"？"))</f>
        <v/>
      </c>
      <c r="W20">
        <f>IF($Q20="","",手直し!G22&amp;"")</f>
        <v/>
      </c>
      <c r="X20" s="26">
        <f>IF(OR($Q20="",手直し!G22=""),"",IFERROR(INDEX(計算用!$M$2:$M$186,MATCH("女"&amp;手直し!G22,計算用!$AO$2:$AO$186,0)),"？"))</f>
        <v/>
      </c>
      <c r="Y20" s="26">
        <f>IF(OR($Q20="",手直し!G22=""),"",IFERROR(INDEX(計算用!$I$2:$I$186,MATCH("女"&amp;手直し!G22,計算用!$AO$2:$AO$186,0)),"？"))</f>
        <v/>
      </c>
      <c r="Z20">
        <f>IF($Q20="","",手直し!H22&amp;"")</f>
        <v/>
      </c>
      <c r="AA20" s="26">
        <f>IF(OR($Q20="",手直し!H22=""),"",IFERROR(INDEX(計算用!$M$2:$M$186,MATCH("女"&amp;手直し!H22,計算用!$AO$2:$AO$186,0)),"？"))</f>
        <v/>
      </c>
      <c r="AB20" s="26">
        <f>IF(OR($Q20="",手直し!H22=""),"",IFERROR(INDEX(計算用!$I$2:$I$186,MATCH("女"&amp;手直し!H22,計算用!$AO$2:$AO$186,0)),"？"))</f>
        <v/>
      </c>
      <c r="AC20">
        <f>IF($Q20="","",手直し!I22&amp;"")</f>
        <v/>
      </c>
      <c r="AD20" s="26">
        <f>IF(OR($Q20="",手直し!I22=""),"",IFERROR(INDEX(計算用!$M$2:$M$186,MATCH("女"&amp;手直し!I22,計算用!$AO$2:$AO$186,0)),"？"))</f>
        <v/>
      </c>
      <c r="AE20" s="26">
        <f>IF(OR($Q20="",手直し!I22=""),"",IFERROR(INDEX(計算用!$I$2:$I$186,MATCH("女"&amp;手直し!I22,計算用!$AO$2:$AO$186,0)),"？"))</f>
        <v/>
      </c>
    </row>
    <row r="21">
      <c r="A21" s="26">
        <f>IF(ROW()-3&lt;=計算用!$Q$13,ROW()-3,"")</f>
        <v/>
      </c>
      <c r="B21" s="26">
        <f>IF($A21="","",手直し!K23)</f>
        <v/>
      </c>
      <c r="C21" s="26">
        <f>IF($A21="","",手直し!L23)</f>
        <v/>
      </c>
      <c r="D21">
        <f>IF($A21="","",手直し!B23&amp;"")</f>
        <v/>
      </c>
      <c r="E21" s="26">
        <f>IF(OR($A21="",手直し!B23=""),"",IFERROR(INDEX(計算用!$M$2:$M$186,MATCH("男"&amp;手直し!B23,計算用!$AO$2:$AO$186,0)),"？"))</f>
        <v/>
      </c>
      <c r="F21" s="26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6">
        <f>IF(OR($A21="",手直し!C23=""),"",IFERROR(INDEX(計算用!$M$2:$M$186,MATCH("男"&amp;手直し!C23,計算用!$AO$2:$AO$186,0)),"？"))</f>
        <v/>
      </c>
      <c r="I21" s="26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6">
        <f>IF(OR($A21="",手直し!D23=""),"",IFERROR(INDEX(計算用!$M$2:$M$186,MATCH("男"&amp;手直し!D23,計算用!$AO$2:$AO$186,0)),"？"))</f>
        <v/>
      </c>
      <c r="L21" s="26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6">
        <f>IF(OR($A21="",手直し!E23=""),"",IFERROR(INDEX(計算用!$M$2:$M$186,MATCH("男"&amp;手直し!E23,計算用!$AO$2:$AO$186,0)),"？"))</f>
        <v/>
      </c>
      <c r="O21" s="26">
        <f>IF(OR($A21="",手直し!E23=""),"",IFERROR(INDEX(計算用!$I$2:$I$186,MATCH("男"&amp;手直し!E23,計算用!$AO$2:$AO$186,0)),"？"))</f>
        <v/>
      </c>
      <c r="Q21" s="26">
        <f>IF(ROW()-3&lt;=計算用!$Q$14,ROW()-3,"")</f>
        <v/>
      </c>
      <c r="R21" s="26">
        <f>IF($Q21="","",手直し!M23)</f>
        <v/>
      </c>
      <c r="S21" s="26">
        <f>IF($Q21="","",手直し!N23)</f>
        <v/>
      </c>
      <c r="T21">
        <f>IF($Q21="","",手直し!F23&amp;"")</f>
        <v/>
      </c>
      <c r="U21" s="26">
        <f>IF(OR($Q21="",手直し!F23=""),"",IFERROR(INDEX(計算用!$M$2:$M$186,MATCH("女"&amp;手直し!F23,計算用!$AO$2:$AO$186,0)),"？"))</f>
        <v/>
      </c>
      <c r="V21" s="26">
        <f>IF(OR($Q21="",手直し!F23=""),"",IFERROR(INDEX(計算用!$I$2:$I$186,MATCH("女"&amp;手直し!F23,計算用!$AO$2:$AO$186,0)),"？"))</f>
        <v/>
      </c>
      <c r="W21">
        <f>IF($Q21="","",手直し!G23&amp;"")</f>
        <v/>
      </c>
      <c r="X21" s="26">
        <f>IF(OR($Q21="",手直し!G23=""),"",IFERROR(INDEX(計算用!$M$2:$M$186,MATCH("女"&amp;手直し!G23,計算用!$AO$2:$AO$186,0)),"？"))</f>
        <v/>
      </c>
      <c r="Y21" s="26">
        <f>IF(OR($Q21="",手直し!G23=""),"",IFERROR(INDEX(計算用!$I$2:$I$186,MATCH("女"&amp;手直し!G23,計算用!$AO$2:$AO$186,0)),"？"))</f>
        <v/>
      </c>
      <c r="Z21">
        <f>IF($Q21="","",手直し!H23&amp;"")</f>
        <v/>
      </c>
      <c r="AA21" s="26">
        <f>IF(OR($Q21="",手直し!H23=""),"",IFERROR(INDEX(計算用!$M$2:$M$186,MATCH("女"&amp;手直し!H23,計算用!$AO$2:$AO$186,0)),"？"))</f>
        <v/>
      </c>
      <c r="AB21" s="26">
        <f>IF(OR($Q21="",手直し!H23=""),"",IFERROR(INDEX(計算用!$I$2:$I$186,MATCH("女"&amp;手直し!H23,計算用!$AO$2:$AO$186,0)),"？"))</f>
        <v/>
      </c>
      <c r="AC21">
        <f>IF($Q21="","",手直し!I23&amp;"")</f>
        <v/>
      </c>
      <c r="AD21" s="26">
        <f>IF(OR($Q21="",手直し!I23=""),"",IFERROR(INDEX(計算用!$M$2:$M$186,MATCH("女"&amp;手直し!I23,計算用!$AO$2:$AO$186,0)),"？"))</f>
        <v/>
      </c>
      <c r="AE21" s="26">
        <f>IF(OR($Q21="",手直し!I23=""),"",IFERROR(INDEX(計算用!$I$2:$I$186,MATCH("女"&amp;手直し!I23,計算用!$AO$2:$AO$186,0)),"？"))</f>
        <v/>
      </c>
    </row>
    <row r="22">
      <c r="A22" s="26">
        <f>IF(ROW()-3&lt;=計算用!$Q$13,ROW()-3,"")</f>
        <v/>
      </c>
      <c r="B22" s="26">
        <f>IF($A22="","",手直し!K24)</f>
        <v/>
      </c>
      <c r="C22" s="26">
        <f>IF($A22="","",手直し!L24)</f>
        <v/>
      </c>
      <c r="D22">
        <f>IF($A22="","",手直し!B24&amp;"")</f>
        <v/>
      </c>
      <c r="E22" s="26">
        <f>IF(OR($A22="",手直し!B24=""),"",IFERROR(INDEX(計算用!$M$2:$M$186,MATCH("男"&amp;手直し!B24,計算用!$AO$2:$AO$186,0)),"？"))</f>
        <v/>
      </c>
      <c r="F22" s="26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6">
        <f>IF(OR($A22="",手直し!C24=""),"",IFERROR(INDEX(計算用!$M$2:$M$186,MATCH("男"&amp;手直し!C24,計算用!$AO$2:$AO$186,0)),"？"))</f>
        <v/>
      </c>
      <c r="I22" s="26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6">
        <f>IF(OR($A22="",手直し!D24=""),"",IFERROR(INDEX(計算用!$M$2:$M$186,MATCH("男"&amp;手直し!D24,計算用!$AO$2:$AO$186,0)),"？"))</f>
        <v/>
      </c>
      <c r="L22" s="26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6">
        <f>IF(OR($A22="",手直し!E24=""),"",IFERROR(INDEX(計算用!$M$2:$M$186,MATCH("男"&amp;手直し!E24,計算用!$AO$2:$AO$186,0)),"？"))</f>
        <v/>
      </c>
      <c r="O22" s="26">
        <f>IF(OR($A22="",手直し!E24=""),"",IFERROR(INDEX(計算用!$I$2:$I$186,MATCH("男"&amp;手直し!E24,計算用!$AO$2:$AO$186,0)),"？"))</f>
        <v/>
      </c>
      <c r="Q22" s="26">
        <f>IF(ROW()-3&lt;=計算用!$Q$14,ROW()-3,"")</f>
        <v/>
      </c>
      <c r="R22" s="26">
        <f>IF($Q22="","",手直し!M24)</f>
        <v/>
      </c>
      <c r="S22" s="26">
        <f>IF($Q22="","",手直し!N24)</f>
        <v/>
      </c>
      <c r="T22">
        <f>IF($Q22="","",手直し!F24&amp;"")</f>
        <v/>
      </c>
      <c r="U22" s="26">
        <f>IF(OR($Q22="",手直し!F24=""),"",IFERROR(INDEX(計算用!$M$2:$M$186,MATCH("女"&amp;手直し!F24,計算用!$AO$2:$AO$186,0)),"？"))</f>
        <v/>
      </c>
      <c r="V22" s="26">
        <f>IF(OR($Q22="",手直し!F24=""),"",IFERROR(INDEX(計算用!$I$2:$I$186,MATCH("女"&amp;手直し!F24,計算用!$AO$2:$AO$186,0)),"？"))</f>
        <v/>
      </c>
      <c r="W22">
        <f>IF($Q22="","",手直し!G24&amp;"")</f>
        <v/>
      </c>
      <c r="X22" s="26">
        <f>IF(OR($Q22="",手直し!G24=""),"",IFERROR(INDEX(計算用!$M$2:$M$186,MATCH("女"&amp;手直し!G24,計算用!$AO$2:$AO$186,0)),"？"))</f>
        <v/>
      </c>
      <c r="Y22" s="26">
        <f>IF(OR($Q22="",手直し!G24=""),"",IFERROR(INDEX(計算用!$I$2:$I$186,MATCH("女"&amp;手直し!G24,計算用!$AO$2:$AO$186,0)),"？"))</f>
        <v/>
      </c>
      <c r="Z22">
        <f>IF($Q22="","",手直し!H24&amp;"")</f>
        <v/>
      </c>
      <c r="AA22" s="26">
        <f>IF(OR($Q22="",手直し!H24=""),"",IFERROR(INDEX(計算用!$M$2:$M$186,MATCH("女"&amp;手直し!H24,計算用!$AO$2:$AO$186,0)),"？"))</f>
        <v/>
      </c>
      <c r="AB22" s="26">
        <f>IF(OR($Q22="",手直し!H24=""),"",IFERROR(INDEX(計算用!$I$2:$I$186,MATCH("女"&amp;手直し!H24,計算用!$AO$2:$AO$186,0)),"？"))</f>
        <v/>
      </c>
      <c r="AC22">
        <f>IF($Q22="","",手直し!I24&amp;"")</f>
        <v/>
      </c>
      <c r="AD22" s="26">
        <f>IF(OR($Q22="",手直し!I24=""),"",IFERROR(INDEX(計算用!$M$2:$M$186,MATCH("女"&amp;手直し!I24,計算用!$AO$2:$AO$186,0)),"？"))</f>
        <v/>
      </c>
      <c r="AE22" s="26">
        <f>IF(OR($Q22="",手直し!I24=""),"",IFERROR(INDEX(計算用!$I$2:$I$186,MATCH("女"&amp;手直し!I24,計算用!$AO$2:$AO$186,0)),"？"))</f>
        <v/>
      </c>
    </row>
    <row r="23">
      <c r="A23" s="26">
        <f>IF(ROW()-3&lt;=計算用!$Q$13,ROW()-3,"")</f>
        <v/>
      </c>
      <c r="B23" s="26">
        <f>IF($A23="","",手直し!K25)</f>
        <v/>
      </c>
      <c r="C23" s="26">
        <f>IF($A23="","",手直し!L25)</f>
        <v/>
      </c>
      <c r="D23">
        <f>IF($A23="","",手直し!B25&amp;"")</f>
        <v/>
      </c>
      <c r="E23" s="26">
        <f>IF(OR($A23="",手直し!B25=""),"",IFERROR(INDEX(計算用!$M$2:$M$186,MATCH("男"&amp;手直し!B25,計算用!$AO$2:$AO$186,0)),"？"))</f>
        <v/>
      </c>
      <c r="F23" s="26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6">
        <f>IF(OR($A23="",手直し!C25=""),"",IFERROR(INDEX(計算用!$M$2:$M$186,MATCH("男"&amp;手直し!C25,計算用!$AO$2:$AO$186,0)),"？"))</f>
        <v/>
      </c>
      <c r="I23" s="26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6">
        <f>IF(OR($A23="",手直し!D25=""),"",IFERROR(INDEX(計算用!$M$2:$M$186,MATCH("男"&amp;手直し!D25,計算用!$AO$2:$AO$186,0)),"？"))</f>
        <v/>
      </c>
      <c r="L23" s="26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6">
        <f>IF(OR($A23="",手直し!E25=""),"",IFERROR(INDEX(計算用!$M$2:$M$186,MATCH("男"&amp;手直し!E25,計算用!$AO$2:$AO$186,0)),"？"))</f>
        <v/>
      </c>
      <c r="O23" s="26">
        <f>IF(OR($A23="",手直し!E25=""),"",IFERROR(INDEX(計算用!$I$2:$I$186,MATCH("男"&amp;手直し!E25,計算用!$AO$2:$AO$186,0)),"？"))</f>
        <v/>
      </c>
      <c r="Q23" s="26">
        <f>IF(ROW()-3&lt;=計算用!$Q$14,ROW()-3,"")</f>
        <v/>
      </c>
      <c r="R23" s="26">
        <f>IF($Q23="","",手直し!M25)</f>
        <v/>
      </c>
      <c r="S23" s="26">
        <f>IF($Q23="","",手直し!N25)</f>
        <v/>
      </c>
      <c r="T23">
        <f>IF($Q23="","",手直し!F25&amp;"")</f>
        <v/>
      </c>
      <c r="U23" s="26">
        <f>IF(OR($Q23="",手直し!F25=""),"",IFERROR(INDEX(計算用!$M$2:$M$186,MATCH("女"&amp;手直し!F25,計算用!$AO$2:$AO$186,0)),"？"))</f>
        <v/>
      </c>
      <c r="V23" s="26">
        <f>IF(OR($Q23="",手直し!F25=""),"",IFERROR(INDEX(計算用!$I$2:$I$186,MATCH("女"&amp;手直し!F25,計算用!$AO$2:$AO$186,0)),"？"))</f>
        <v/>
      </c>
      <c r="W23">
        <f>IF($Q23="","",手直し!G25&amp;"")</f>
        <v/>
      </c>
      <c r="X23" s="26">
        <f>IF(OR($Q23="",手直し!G25=""),"",IFERROR(INDEX(計算用!$M$2:$M$186,MATCH("女"&amp;手直し!G25,計算用!$AO$2:$AO$186,0)),"？"))</f>
        <v/>
      </c>
      <c r="Y23" s="26">
        <f>IF(OR($Q23="",手直し!G25=""),"",IFERROR(INDEX(計算用!$I$2:$I$186,MATCH("女"&amp;手直し!G25,計算用!$AO$2:$AO$186,0)),"？"))</f>
        <v/>
      </c>
      <c r="Z23">
        <f>IF($Q23="","",手直し!H25&amp;"")</f>
        <v/>
      </c>
      <c r="AA23" s="26">
        <f>IF(OR($Q23="",手直し!H25=""),"",IFERROR(INDEX(計算用!$M$2:$M$186,MATCH("女"&amp;手直し!H25,計算用!$AO$2:$AO$186,0)),"？"))</f>
        <v/>
      </c>
      <c r="AB23" s="26">
        <f>IF(OR($Q23="",手直し!H25=""),"",IFERROR(INDEX(計算用!$I$2:$I$186,MATCH("女"&amp;手直し!H25,計算用!$AO$2:$AO$186,0)),"？"))</f>
        <v/>
      </c>
      <c r="AC23">
        <f>IF($Q23="","",手直し!I25&amp;"")</f>
        <v/>
      </c>
      <c r="AD23" s="26">
        <f>IF(OR($Q23="",手直し!I25=""),"",IFERROR(INDEX(計算用!$M$2:$M$186,MATCH("女"&amp;手直し!I25,計算用!$AO$2:$AO$186,0)),"？"))</f>
        <v/>
      </c>
      <c r="AE23" s="26">
        <f>IF(OR($Q23="",手直し!I25=""),"",IFERROR(INDEX(計算用!$I$2:$I$186,MATCH("女"&amp;手直し!I25,計算用!$AO$2:$AO$186,0)),"？"))</f>
        <v/>
      </c>
    </row>
    <row r="24">
      <c r="A24" s="26">
        <f>IF(ROW()-3&lt;=計算用!$Q$13,ROW()-3,"")</f>
        <v/>
      </c>
      <c r="B24" s="26">
        <f>IF($A24="","",手直し!K26)</f>
        <v/>
      </c>
      <c r="C24" s="26">
        <f>IF($A24="","",手直し!L26)</f>
        <v/>
      </c>
      <c r="D24">
        <f>IF($A24="","",手直し!B26&amp;"")</f>
        <v/>
      </c>
      <c r="E24" s="26">
        <f>IF(OR($A24="",手直し!B26=""),"",IFERROR(INDEX(計算用!$M$2:$M$186,MATCH("男"&amp;手直し!B26,計算用!$AO$2:$AO$186,0)),"？"))</f>
        <v/>
      </c>
      <c r="F24" s="26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6">
        <f>IF(OR($A24="",手直し!C26=""),"",IFERROR(INDEX(計算用!$M$2:$M$186,MATCH("男"&amp;手直し!C26,計算用!$AO$2:$AO$186,0)),"？"))</f>
        <v/>
      </c>
      <c r="I24" s="26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6">
        <f>IF(OR($A24="",手直し!D26=""),"",IFERROR(INDEX(計算用!$M$2:$M$186,MATCH("男"&amp;手直し!D26,計算用!$AO$2:$AO$186,0)),"？"))</f>
        <v/>
      </c>
      <c r="L24" s="26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6">
        <f>IF(OR($A24="",手直し!E26=""),"",IFERROR(INDEX(計算用!$M$2:$M$186,MATCH("男"&amp;手直し!E26,計算用!$AO$2:$AO$186,0)),"？"))</f>
        <v/>
      </c>
      <c r="O24" s="26">
        <f>IF(OR($A24="",手直し!E26=""),"",IFERROR(INDEX(計算用!$I$2:$I$186,MATCH("男"&amp;手直し!E26,計算用!$AO$2:$AO$186,0)),"？"))</f>
        <v/>
      </c>
      <c r="Q24" s="26">
        <f>IF(ROW()-3&lt;=計算用!$Q$14,ROW()-3,"")</f>
        <v/>
      </c>
      <c r="R24" s="26">
        <f>IF($Q24="","",手直し!M26)</f>
        <v/>
      </c>
      <c r="S24" s="26">
        <f>IF($Q24="","",手直し!N26)</f>
        <v/>
      </c>
      <c r="T24">
        <f>IF($Q24="","",手直し!F26&amp;"")</f>
        <v/>
      </c>
      <c r="U24" s="26">
        <f>IF(OR($Q24="",手直し!F26=""),"",IFERROR(INDEX(計算用!$M$2:$M$186,MATCH("女"&amp;手直し!F26,計算用!$AO$2:$AO$186,0)),"？"))</f>
        <v/>
      </c>
      <c r="V24" s="26">
        <f>IF(OR($Q24="",手直し!F26=""),"",IFERROR(INDEX(計算用!$I$2:$I$186,MATCH("女"&amp;手直し!F26,計算用!$AO$2:$AO$186,0)),"？"))</f>
        <v/>
      </c>
      <c r="W24">
        <f>IF($Q24="","",手直し!G26&amp;"")</f>
        <v/>
      </c>
      <c r="X24" s="26">
        <f>IF(OR($Q24="",手直し!G26=""),"",IFERROR(INDEX(計算用!$M$2:$M$186,MATCH("女"&amp;手直し!G26,計算用!$AO$2:$AO$186,0)),"？"))</f>
        <v/>
      </c>
      <c r="Y24" s="26">
        <f>IF(OR($Q24="",手直し!G26=""),"",IFERROR(INDEX(計算用!$I$2:$I$186,MATCH("女"&amp;手直し!G26,計算用!$AO$2:$AO$186,0)),"？"))</f>
        <v/>
      </c>
      <c r="Z24">
        <f>IF($Q24="","",手直し!H26&amp;"")</f>
        <v/>
      </c>
      <c r="AA24" s="26">
        <f>IF(OR($Q24="",手直し!H26=""),"",IFERROR(INDEX(計算用!$M$2:$M$186,MATCH("女"&amp;手直し!H26,計算用!$AO$2:$AO$186,0)),"？"))</f>
        <v/>
      </c>
      <c r="AB24" s="26">
        <f>IF(OR($Q24="",手直し!H26=""),"",IFERROR(INDEX(計算用!$I$2:$I$186,MATCH("女"&amp;手直し!H26,計算用!$AO$2:$AO$186,0)),"？"))</f>
        <v/>
      </c>
      <c r="AC24">
        <f>IF($Q24="","",手直し!I26&amp;"")</f>
        <v/>
      </c>
      <c r="AD24" s="26">
        <f>IF(OR($Q24="",手直し!I26=""),"",IFERROR(INDEX(計算用!$M$2:$M$186,MATCH("女"&amp;手直し!I26,計算用!$AO$2:$AO$186,0)),"？"))</f>
        <v/>
      </c>
      <c r="AE24" s="26">
        <f>IF(OR($Q24="",手直し!I26=""),"",IFERROR(INDEX(計算用!$I$2:$I$186,MATCH("女"&amp;手直し!I26,計算用!$AO$2:$AO$186,0)),"？"))</f>
        <v/>
      </c>
    </row>
    <row r="25">
      <c r="A25" s="26">
        <f>IF(ROW()-3&lt;=計算用!$Q$13,ROW()-3,"")</f>
        <v/>
      </c>
      <c r="B25" s="26">
        <f>IF($A25="","",手直し!K27)</f>
        <v/>
      </c>
      <c r="C25" s="26">
        <f>IF($A25="","",手直し!L27)</f>
        <v/>
      </c>
      <c r="D25">
        <f>IF($A25="","",手直し!B27&amp;"")</f>
        <v/>
      </c>
      <c r="E25" s="26">
        <f>IF(OR($A25="",手直し!B27=""),"",IFERROR(INDEX(計算用!$M$2:$M$186,MATCH("男"&amp;手直し!B27,計算用!$AO$2:$AO$186,0)),"？"))</f>
        <v/>
      </c>
      <c r="F25" s="26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6">
        <f>IF(OR($A25="",手直し!C27=""),"",IFERROR(INDEX(計算用!$M$2:$M$186,MATCH("男"&amp;手直し!C27,計算用!$AO$2:$AO$186,0)),"？"))</f>
        <v/>
      </c>
      <c r="I25" s="26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6">
        <f>IF(OR($A25="",手直し!D27=""),"",IFERROR(INDEX(計算用!$M$2:$M$186,MATCH("男"&amp;手直し!D27,計算用!$AO$2:$AO$186,0)),"？"))</f>
        <v/>
      </c>
      <c r="L25" s="26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6">
        <f>IF(OR($A25="",手直し!E27=""),"",IFERROR(INDEX(計算用!$M$2:$M$186,MATCH("男"&amp;手直し!E27,計算用!$AO$2:$AO$186,0)),"？"))</f>
        <v/>
      </c>
      <c r="O25" s="26">
        <f>IF(OR($A25="",手直し!E27=""),"",IFERROR(INDEX(計算用!$I$2:$I$186,MATCH("男"&amp;手直し!E27,計算用!$AO$2:$AO$186,0)),"？"))</f>
        <v/>
      </c>
      <c r="Q25" s="26">
        <f>IF(ROW()-3&lt;=計算用!$Q$14,ROW()-3,"")</f>
        <v/>
      </c>
      <c r="R25" s="26">
        <f>IF($Q25="","",手直し!M27)</f>
        <v/>
      </c>
      <c r="S25" s="26">
        <f>IF($Q25="","",手直し!N27)</f>
        <v/>
      </c>
      <c r="T25">
        <f>IF($Q25="","",手直し!F27&amp;"")</f>
        <v/>
      </c>
      <c r="U25" s="26">
        <f>IF(OR($Q25="",手直し!F27=""),"",IFERROR(INDEX(計算用!$M$2:$M$186,MATCH("女"&amp;手直し!F27,計算用!$AO$2:$AO$186,0)),"？"))</f>
        <v/>
      </c>
      <c r="V25" s="26">
        <f>IF(OR($Q25="",手直し!F27=""),"",IFERROR(INDEX(計算用!$I$2:$I$186,MATCH("女"&amp;手直し!F27,計算用!$AO$2:$AO$186,0)),"？"))</f>
        <v/>
      </c>
      <c r="W25">
        <f>IF($Q25="","",手直し!G27&amp;"")</f>
        <v/>
      </c>
      <c r="X25" s="26">
        <f>IF(OR($Q25="",手直し!G27=""),"",IFERROR(INDEX(計算用!$M$2:$M$186,MATCH("女"&amp;手直し!G27,計算用!$AO$2:$AO$186,0)),"？"))</f>
        <v/>
      </c>
      <c r="Y25" s="26">
        <f>IF(OR($Q25="",手直し!G27=""),"",IFERROR(INDEX(計算用!$I$2:$I$186,MATCH("女"&amp;手直し!G27,計算用!$AO$2:$AO$186,0)),"？"))</f>
        <v/>
      </c>
      <c r="Z25">
        <f>IF($Q25="","",手直し!H27&amp;"")</f>
        <v/>
      </c>
      <c r="AA25" s="26">
        <f>IF(OR($Q25="",手直し!H27=""),"",IFERROR(INDEX(計算用!$M$2:$M$186,MATCH("女"&amp;手直し!H27,計算用!$AO$2:$AO$186,0)),"？"))</f>
        <v/>
      </c>
      <c r="AB25" s="26">
        <f>IF(OR($Q25="",手直し!H27=""),"",IFERROR(INDEX(計算用!$I$2:$I$186,MATCH("女"&amp;手直し!H27,計算用!$AO$2:$AO$186,0)),"？"))</f>
        <v/>
      </c>
      <c r="AC25">
        <f>IF($Q25="","",手直し!I27&amp;"")</f>
        <v/>
      </c>
      <c r="AD25" s="26">
        <f>IF(OR($Q25="",手直し!I27=""),"",IFERROR(INDEX(計算用!$M$2:$M$186,MATCH("女"&amp;手直し!I27,計算用!$AO$2:$AO$186,0)),"？"))</f>
        <v/>
      </c>
      <c r="AE25" s="26">
        <f>IF(OR($Q25="",手直し!I27=""),"",IFERROR(INDEX(計算用!$I$2:$I$186,MATCH("女"&amp;手直し!I27,計算用!$AO$2:$AO$186,0)),"？"))</f>
        <v/>
      </c>
    </row>
    <row r="26">
      <c r="A26" s="26">
        <f>IF(ROW()-3&lt;=計算用!$Q$13,ROW()-3,"")</f>
        <v/>
      </c>
      <c r="B26" s="26">
        <f>IF($A26="","",手直し!K28)</f>
        <v/>
      </c>
      <c r="C26" s="26">
        <f>IF($A26="","",手直し!L28)</f>
        <v/>
      </c>
      <c r="D26">
        <f>IF($A26="","",手直し!B28&amp;"")</f>
        <v/>
      </c>
      <c r="E26" s="26">
        <f>IF(OR($A26="",手直し!B28=""),"",IFERROR(INDEX(計算用!$M$2:$M$186,MATCH("男"&amp;手直し!B28,計算用!$AO$2:$AO$186,0)),"？"))</f>
        <v/>
      </c>
      <c r="F26" s="26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6">
        <f>IF(OR($A26="",手直し!C28=""),"",IFERROR(INDEX(計算用!$M$2:$M$186,MATCH("男"&amp;手直し!C28,計算用!$AO$2:$AO$186,0)),"？"))</f>
        <v/>
      </c>
      <c r="I26" s="26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6">
        <f>IF(OR($A26="",手直し!D28=""),"",IFERROR(INDEX(計算用!$M$2:$M$186,MATCH("男"&amp;手直し!D28,計算用!$AO$2:$AO$186,0)),"？"))</f>
        <v/>
      </c>
      <c r="L26" s="26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6">
        <f>IF(OR($A26="",手直し!E28=""),"",IFERROR(INDEX(計算用!$M$2:$M$186,MATCH("男"&amp;手直し!E28,計算用!$AO$2:$AO$186,0)),"？"))</f>
        <v/>
      </c>
      <c r="O26" s="26">
        <f>IF(OR($A26="",手直し!E28=""),"",IFERROR(INDEX(計算用!$I$2:$I$186,MATCH("男"&amp;手直し!E28,計算用!$AO$2:$AO$186,0)),"？"))</f>
        <v/>
      </c>
      <c r="Q26" s="26">
        <f>IF(ROW()-3&lt;=計算用!$Q$14,ROW()-3,"")</f>
        <v/>
      </c>
      <c r="R26" s="26">
        <f>IF($Q26="","",手直し!M28)</f>
        <v/>
      </c>
      <c r="S26" s="26">
        <f>IF($Q26="","",手直し!N28)</f>
        <v/>
      </c>
      <c r="T26">
        <f>IF($Q26="","",手直し!F28&amp;"")</f>
        <v/>
      </c>
      <c r="U26" s="26">
        <f>IF(OR($Q26="",手直し!F28=""),"",IFERROR(INDEX(計算用!$M$2:$M$186,MATCH("女"&amp;手直し!F28,計算用!$AO$2:$AO$186,0)),"？"))</f>
        <v/>
      </c>
      <c r="V26" s="26">
        <f>IF(OR($Q26="",手直し!F28=""),"",IFERROR(INDEX(計算用!$I$2:$I$186,MATCH("女"&amp;手直し!F28,計算用!$AO$2:$AO$186,0)),"？"))</f>
        <v/>
      </c>
      <c r="W26">
        <f>IF($Q26="","",手直し!G28&amp;"")</f>
        <v/>
      </c>
      <c r="X26" s="26">
        <f>IF(OR($Q26="",手直し!G28=""),"",IFERROR(INDEX(計算用!$M$2:$M$186,MATCH("女"&amp;手直し!G28,計算用!$AO$2:$AO$186,0)),"？"))</f>
        <v/>
      </c>
      <c r="Y26" s="26">
        <f>IF(OR($Q26="",手直し!G28=""),"",IFERROR(INDEX(計算用!$I$2:$I$186,MATCH("女"&amp;手直し!G28,計算用!$AO$2:$AO$186,0)),"？"))</f>
        <v/>
      </c>
      <c r="Z26">
        <f>IF($Q26="","",手直し!H28&amp;"")</f>
        <v/>
      </c>
      <c r="AA26" s="26">
        <f>IF(OR($Q26="",手直し!H28=""),"",IFERROR(INDEX(計算用!$M$2:$M$186,MATCH("女"&amp;手直し!H28,計算用!$AO$2:$AO$186,0)),"？"))</f>
        <v/>
      </c>
      <c r="AB26" s="26">
        <f>IF(OR($Q26="",手直し!H28=""),"",IFERROR(INDEX(計算用!$I$2:$I$186,MATCH("女"&amp;手直し!H28,計算用!$AO$2:$AO$186,0)),"？"))</f>
        <v/>
      </c>
      <c r="AC26">
        <f>IF($Q26="","",手直し!I28&amp;"")</f>
        <v/>
      </c>
      <c r="AD26" s="26">
        <f>IF(OR($Q26="",手直し!I28=""),"",IFERROR(INDEX(計算用!$M$2:$M$186,MATCH("女"&amp;手直し!I28,計算用!$AO$2:$AO$186,0)),"？"))</f>
        <v/>
      </c>
      <c r="AE26" s="26">
        <f>IF(OR($Q26="",手直し!I28=""),"",IFERROR(INDEX(計算用!$I$2:$I$186,MATCH("女"&amp;手直し!I28,計算用!$AO$2:$AO$186,0)),"？"))</f>
        <v/>
      </c>
    </row>
    <row r="27">
      <c r="A27" s="26">
        <f>IF(ROW()-3&lt;=計算用!$Q$13,ROW()-3,"")</f>
        <v/>
      </c>
      <c r="B27" s="26">
        <f>IF($A27="","",手直し!K29)</f>
        <v/>
      </c>
      <c r="C27" s="26">
        <f>IF($A27="","",手直し!L29)</f>
        <v/>
      </c>
      <c r="D27">
        <f>IF($A27="","",手直し!B29&amp;"")</f>
        <v/>
      </c>
      <c r="E27" s="26">
        <f>IF(OR($A27="",手直し!B29=""),"",IFERROR(INDEX(計算用!$M$2:$M$186,MATCH("男"&amp;手直し!B29,計算用!$AO$2:$AO$186,0)),"？"))</f>
        <v/>
      </c>
      <c r="F27" s="26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6">
        <f>IF(OR($A27="",手直し!C29=""),"",IFERROR(INDEX(計算用!$M$2:$M$186,MATCH("男"&amp;手直し!C29,計算用!$AO$2:$AO$186,0)),"？"))</f>
        <v/>
      </c>
      <c r="I27" s="26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6">
        <f>IF(OR($A27="",手直し!D29=""),"",IFERROR(INDEX(計算用!$M$2:$M$186,MATCH("男"&amp;手直し!D29,計算用!$AO$2:$AO$186,0)),"？"))</f>
        <v/>
      </c>
      <c r="L27" s="26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6">
        <f>IF(OR($A27="",手直し!E29=""),"",IFERROR(INDEX(計算用!$M$2:$M$186,MATCH("男"&amp;手直し!E29,計算用!$AO$2:$AO$186,0)),"？"))</f>
        <v/>
      </c>
      <c r="O27" s="26">
        <f>IF(OR($A27="",手直し!E29=""),"",IFERROR(INDEX(計算用!$I$2:$I$186,MATCH("男"&amp;手直し!E29,計算用!$AO$2:$AO$186,0)),"？"))</f>
        <v/>
      </c>
      <c r="Q27" s="26">
        <f>IF(ROW()-3&lt;=計算用!$Q$14,ROW()-3,"")</f>
        <v/>
      </c>
      <c r="R27" s="26">
        <f>IF($Q27="","",手直し!M29)</f>
        <v/>
      </c>
      <c r="S27" s="26">
        <f>IF($Q27="","",手直し!N29)</f>
        <v/>
      </c>
      <c r="T27">
        <f>IF($Q27="","",手直し!F29&amp;"")</f>
        <v/>
      </c>
      <c r="U27" s="26">
        <f>IF(OR($Q27="",手直し!F29=""),"",IFERROR(INDEX(計算用!$M$2:$M$186,MATCH("女"&amp;手直し!F29,計算用!$AO$2:$AO$186,0)),"？"))</f>
        <v/>
      </c>
      <c r="V27" s="26">
        <f>IF(OR($Q27="",手直し!F29=""),"",IFERROR(INDEX(計算用!$I$2:$I$186,MATCH("女"&amp;手直し!F29,計算用!$AO$2:$AO$186,0)),"？"))</f>
        <v/>
      </c>
      <c r="W27">
        <f>IF($Q27="","",手直し!G29&amp;"")</f>
        <v/>
      </c>
      <c r="X27" s="26">
        <f>IF(OR($Q27="",手直し!G29=""),"",IFERROR(INDEX(計算用!$M$2:$M$186,MATCH("女"&amp;手直し!G29,計算用!$AO$2:$AO$186,0)),"？"))</f>
        <v/>
      </c>
      <c r="Y27" s="26">
        <f>IF(OR($Q27="",手直し!G29=""),"",IFERROR(INDEX(計算用!$I$2:$I$186,MATCH("女"&amp;手直し!G29,計算用!$AO$2:$AO$186,0)),"？"))</f>
        <v/>
      </c>
      <c r="Z27">
        <f>IF($Q27="","",手直し!H29&amp;"")</f>
        <v/>
      </c>
      <c r="AA27" s="26">
        <f>IF(OR($Q27="",手直し!H29=""),"",IFERROR(INDEX(計算用!$M$2:$M$186,MATCH("女"&amp;手直し!H29,計算用!$AO$2:$AO$186,0)),"？"))</f>
        <v/>
      </c>
      <c r="AB27" s="26">
        <f>IF(OR($Q27="",手直し!H29=""),"",IFERROR(INDEX(計算用!$I$2:$I$186,MATCH("女"&amp;手直し!H29,計算用!$AO$2:$AO$186,0)),"？"))</f>
        <v/>
      </c>
      <c r="AC27">
        <f>IF($Q27="","",手直し!I29&amp;"")</f>
        <v/>
      </c>
      <c r="AD27" s="26">
        <f>IF(OR($Q27="",手直し!I29=""),"",IFERROR(INDEX(計算用!$M$2:$M$186,MATCH("女"&amp;手直し!I29,計算用!$AO$2:$AO$186,0)),"？"))</f>
        <v/>
      </c>
      <c r="AE27" s="26">
        <f>IF(OR($Q27="",手直し!I29=""),"",IFERROR(INDEX(計算用!$I$2:$I$186,MATCH("女"&amp;手直し!I29,計算用!$AO$2:$AO$186,0)),"？"))</f>
        <v/>
      </c>
    </row>
    <row r="28">
      <c r="A28" s="26">
        <f>IF(ROW()-3&lt;=計算用!$Q$13,ROW()-3,"")</f>
        <v/>
      </c>
      <c r="B28" s="26">
        <f>IF($A28="","",手直し!K30)</f>
        <v/>
      </c>
      <c r="C28" s="26">
        <f>IF($A28="","",手直し!L30)</f>
        <v/>
      </c>
      <c r="D28">
        <f>IF($A28="","",手直し!B30&amp;"")</f>
        <v/>
      </c>
      <c r="E28" s="26">
        <f>IF(OR($A28="",手直し!B30=""),"",IFERROR(INDEX(計算用!$M$2:$M$186,MATCH("男"&amp;手直し!B30,計算用!$AO$2:$AO$186,0)),"？"))</f>
        <v/>
      </c>
      <c r="F28" s="26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6">
        <f>IF(OR($A28="",手直し!C30=""),"",IFERROR(INDEX(計算用!$M$2:$M$186,MATCH("男"&amp;手直し!C30,計算用!$AO$2:$AO$186,0)),"？"))</f>
        <v/>
      </c>
      <c r="I28" s="26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6">
        <f>IF(OR($A28="",手直し!D30=""),"",IFERROR(INDEX(計算用!$M$2:$M$186,MATCH("男"&amp;手直し!D30,計算用!$AO$2:$AO$186,0)),"？"))</f>
        <v/>
      </c>
      <c r="L28" s="26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6">
        <f>IF(OR($A28="",手直し!E30=""),"",IFERROR(INDEX(計算用!$M$2:$M$186,MATCH("男"&amp;手直し!E30,計算用!$AO$2:$AO$186,0)),"？"))</f>
        <v/>
      </c>
      <c r="O28" s="26">
        <f>IF(OR($A28="",手直し!E30=""),"",IFERROR(INDEX(計算用!$I$2:$I$186,MATCH("男"&amp;手直し!E30,計算用!$AO$2:$AO$186,0)),"？"))</f>
        <v/>
      </c>
      <c r="Q28" s="26">
        <f>IF(ROW()-3&lt;=計算用!$Q$14,ROW()-3,"")</f>
        <v/>
      </c>
      <c r="R28" s="26">
        <f>IF($Q28="","",手直し!M30)</f>
        <v/>
      </c>
      <c r="S28" s="26">
        <f>IF($Q28="","",手直し!N30)</f>
        <v/>
      </c>
      <c r="T28">
        <f>IF($Q28="","",手直し!F30&amp;"")</f>
        <v/>
      </c>
      <c r="U28" s="26">
        <f>IF(OR($Q28="",手直し!F30=""),"",IFERROR(INDEX(計算用!$M$2:$M$186,MATCH("女"&amp;手直し!F30,計算用!$AO$2:$AO$186,0)),"？"))</f>
        <v/>
      </c>
      <c r="V28" s="26">
        <f>IF(OR($Q28="",手直し!F30=""),"",IFERROR(INDEX(計算用!$I$2:$I$186,MATCH("女"&amp;手直し!F30,計算用!$AO$2:$AO$186,0)),"？"))</f>
        <v/>
      </c>
      <c r="W28">
        <f>IF($Q28="","",手直し!G30&amp;"")</f>
        <v/>
      </c>
      <c r="X28" s="26">
        <f>IF(OR($Q28="",手直し!G30=""),"",IFERROR(INDEX(計算用!$M$2:$M$186,MATCH("女"&amp;手直し!G30,計算用!$AO$2:$AO$186,0)),"？"))</f>
        <v/>
      </c>
      <c r="Y28" s="26">
        <f>IF(OR($Q28="",手直し!G30=""),"",IFERROR(INDEX(計算用!$I$2:$I$186,MATCH("女"&amp;手直し!G30,計算用!$AO$2:$AO$186,0)),"？"))</f>
        <v/>
      </c>
      <c r="Z28">
        <f>IF($Q28="","",手直し!H30&amp;"")</f>
        <v/>
      </c>
      <c r="AA28" s="26">
        <f>IF(OR($Q28="",手直し!H30=""),"",IFERROR(INDEX(計算用!$M$2:$M$186,MATCH("女"&amp;手直し!H30,計算用!$AO$2:$AO$186,0)),"？"))</f>
        <v/>
      </c>
      <c r="AB28" s="26">
        <f>IF(OR($Q28="",手直し!H30=""),"",IFERROR(INDEX(計算用!$I$2:$I$186,MATCH("女"&amp;手直し!H30,計算用!$AO$2:$AO$186,0)),"？"))</f>
        <v/>
      </c>
      <c r="AC28">
        <f>IF($Q28="","",手直し!I30&amp;"")</f>
        <v/>
      </c>
      <c r="AD28" s="26">
        <f>IF(OR($Q28="",手直し!I30=""),"",IFERROR(INDEX(計算用!$M$2:$M$186,MATCH("女"&amp;手直し!I30,計算用!$AO$2:$AO$186,0)),"？"))</f>
        <v/>
      </c>
      <c r="AE28" s="26">
        <f>IF(OR($Q28="",手直し!I30=""),"",IFERROR(INDEX(計算用!$I$2:$I$186,MATCH("女"&amp;手直し!I30,計算用!$AO$2:$AO$186,0)),"？"))</f>
        <v/>
      </c>
    </row>
    <row r="29">
      <c r="A29" s="26">
        <f>IF(ROW()-3&lt;=計算用!$Q$13,ROW()-3,"")</f>
        <v/>
      </c>
      <c r="B29" s="26">
        <f>IF($A29="","",手直し!K31)</f>
        <v/>
      </c>
      <c r="C29" s="26">
        <f>IF($A29="","",手直し!L31)</f>
        <v/>
      </c>
      <c r="D29">
        <f>IF($A29="","",手直し!B31&amp;"")</f>
        <v/>
      </c>
      <c r="E29" s="26">
        <f>IF(OR($A29="",手直し!B31=""),"",IFERROR(INDEX(計算用!$M$2:$M$186,MATCH("男"&amp;手直し!B31,計算用!$AO$2:$AO$186,0)),"？"))</f>
        <v/>
      </c>
      <c r="F29" s="26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6">
        <f>IF(OR($A29="",手直し!C31=""),"",IFERROR(INDEX(計算用!$M$2:$M$186,MATCH("男"&amp;手直し!C31,計算用!$AO$2:$AO$186,0)),"？"))</f>
        <v/>
      </c>
      <c r="I29" s="26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6">
        <f>IF(OR($A29="",手直し!D31=""),"",IFERROR(INDEX(計算用!$M$2:$M$186,MATCH("男"&amp;手直し!D31,計算用!$AO$2:$AO$186,0)),"？"))</f>
        <v/>
      </c>
      <c r="L29" s="26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6">
        <f>IF(OR($A29="",手直し!E31=""),"",IFERROR(INDEX(計算用!$M$2:$M$186,MATCH("男"&amp;手直し!E31,計算用!$AO$2:$AO$186,0)),"？"))</f>
        <v/>
      </c>
      <c r="O29" s="26">
        <f>IF(OR($A29="",手直し!E31=""),"",IFERROR(INDEX(計算用!$I$2:$I$186,MATCH("男"&amp;手直し!E31,計算用!$AO$2:$AO$186,0)),"？"))</f>
        <v/>
      </c>
      <c r="Q29" s="26">
        <f>IF(ROW()-3&lt;=計算用!$Q$14,ROW()-3,"")</f>
        <v/>
      </c>
      <c r="R29" s="26">
        <f>IF($Q29="","",手直し!M31)</f>
        <v/>
      </c>
      <c r="S29" s="26">
        <f>IF($Q29="","",手直し!N31)</f>
        <v/>
      </c>
      <c r="T29">
        <f>IF($Q29="","",手直し!F31&amp;"")</f>
        <v/>
      </c>
      <c r="U29" s="26">
        <f>IF(OR($Q29="",手直し!F31=""),"",IFERROR(INDEX(計算用!$M$2:$M$186,MATCH("女"&amp;手直し!F31,計算用!$AO$2:$AO$186,0)),"？"))</f>
        <v/>
      </c>
      <c r="V29" s="26">
        <f>IF(OR($Q29="",手直し!F31=""),"",IFERROR(INDEX(計算用!$I$2:$I$186,MATCH("女"&amp;手直し!F31,計算用!$AO$2:$AO$186,0)),"？"))</f>
        <v/>
      </c>
      <c r="W29">
        <f>IF($Q29="","",手直し!G31&amp;"")</f>
        <v/>
      </c>
      <c r="X29" s="26">
        <f>IF(OR($Q29="",手直し!G31=""),"",IFERROR(INDEX(計算用!$M$2:$M$186,MATCH("女"&amp;手直し!G31,計算用!$AO$2:$AO$186,0)),"？"))</f>
        <v/>
      </c>
      <c r="Y29" s="26">
        <f>IF(OR($Q29="",手直し!G31=""),"",IFERROR(INDEX(計算用!$I$2:$I$186,MATCH("女"&amp;手直し!G31,計算用!$AO$2:$AO$186,0)),"？"))</f>
        <v/>
      </c>
      <c r="Z29">
        <f>IF($Q29="","",手直し!H31&amp;"")</f>
        <v/>
      </c>
      <c r="AA29" s="26">
        <f>IF(OR($Q29="",手直し!H31=""),"",IFERROR(INDEX(計算用!$M$2:$M$186,MATCH("女"&amp;手直し!H31,計算用!$AO$2:$AO$186,0)),"？"))</f>
        <v/>
      </c>
      <c r="AB29" s="26">
        <f>IF(OR($Q29="",手直し!H31=""),"",IFERROR(INDEX(計算用!$I$2:$I$186,MATCH("女"&amp;手直し!H31,計算用!$AO$2:$AO$186,0)),"？"))</f>
        <v/>
      </c>
      <c r="AC29">
        <f>IF($Q29="","",手直し!I31&amp;"")</f>
        <v/>
      </c>
      <c r="AD29" s="26">
        <f>IF(OR($Q29="",手直し!I31=""),"",IFERROR(INDEX(計算用!$M$2:$M$186,MATCH("女"&amp;手直し!I31,計算用!$AO$2:$AO$186,0)),"？"))</f>
        <v/>
      </c>
      <c r="AE29" s="26">
        <f>IF(OR($Q29="",手直し!I31=""),"",IFERROR(INDEX(計算用!$I$2:$I$186,MATCH("女"&amp;手直し!I31,計算用!$AO$2:$AO$186,0)),"？"))</f>
        <v/>
      </c>
    </row>
    <row r="30">
      <c r="A30" s="26">
        <f>IF(ROW()-3&lt;=計算用!$Q$13,ROW()-3,"")</f>
        <v/>
      </c>
      <c r="B30" s="26">
        <f>IF($A30="","",手直し!K32)</f>
        <v/>
      </c>
      <c r="C30" s="26">
        <f>IF($A30="","",手直し!L32)</f>
        <v/>
      </c>
      <c r="D30">
        <f>IF($A30="","",手直し!B32&amp;"")</f>
        <v/>
      </c>
      <c r="E30" s="26">
        <f>IF(OR($A30="",手直し!B32=""),"",IFERROR(INDEX(計算用!$M$2:$M$186,MATCH("男"&amp;手直し!B32,計算用!$AO$2:$AO$186,0)),"？"))</f>
        <v/>
      </c>
      <c r="F30" s="26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6">
        <f>IF(OR($A30="",手直し!C32=""),"",IFERROR(INDEX(計算用!$M$2:$M$186,MATCH("男"&amp;手直し!C32,計算用!$AO$2:$AO$186,0)),"？"))</f>
        <v/>
      </c>
      <c r="I30" s="26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6">
        <f>IF(OR($A30="",手直し!D32=""),"",IFERROR(INDEX(計算用!$M$2:$M$186,MATCH("男"&amp;手直し!D32,計算用!$AO$2:$AO$186,0)),"？"))</f>
        <v/>
      </c>
      <c r="L30" s="26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6">
        <f>IF(OR($A30="",手直し!E32=""),"",IFERROR(INDEX(計算用!$M$2:$M$186,MATCH("男"&amp;手直し!E32,計算用!$AO$2:$AO$186,0)),"？"))</f>
        <v/>
      </c>
      <c r="O30" s="26">
        <f>IF(OR($A30="",手直し!E32=""),"",IFERROR(INDEX(計算用!$I$2:$I$186,MATCH("男"&amp;手直し!E32,計算用!$AO$2:$AO$186,0)),"？"))</f>
        <v/>
      </c>
      <c r="Q30" s="26">
        <f>IF(ROW()-3&lt;=計算用!$Q$14,ROW()-3,"")</f>
        <v/>
      </c>
      <c r="R30" s="26">
        <f>IF($Q30="","",手直し!M32)</f>
        <v/>
      </c>
      <c r="S30" s="26">
        <f>IF($Q30="","",手直し!N32)</f>
        <v/>
      </c>
      <c r="T30">
        <f>IF($Q30="","",手直し!F32&amp;"")</f>
        <v/>
      </c>
      <c r="U30" s="26">
        <f>IF(OR($Q30="",手直し!F32=""),"",IFERROR(INDEX(計算用!$M$2:$M$186,MATCH("女"&amp;手直し!F32,計算用!$AO$2:$AO$186,0)),"？"))</f>
        <v/>
      </c>
      <c r="V30" s="26">
        <f>IF(OR($Q30="",手直し!F32=""),"",IFERROR(INDEX(計算用!$I$2:$I$186,MATCH("女"&amp;手直し!F32,計算用!$AO$2:$AO$186,0)),"？"))</f>
        <v/>
      </c>
      <c r="W30">
        <f>IF($Q30="","",手直し!G32&amp;"")</f>
        <v/>
      </c>
      <c r="X30" s="26">
        <f>IF(OR($Q30="",手直し!G32=""),"",IFERROR(INDEX(計算用!$M$2:$M$186,MATCH("女"&amp;手直し!G32,計算用!$AO$2:$AO$186,0)),"？"))</f>
        <v/>
      </c>
      <c r="Y30" s="26">
        <f>IF(OR($Q30="",手直し!G32=""),"",IFERROR(INDEX(計算用!$I$2:$I$186,MATCH("女"&amp;手直し!G32,計算用!$AO$2:$AO$186,0)),"？"))</f>
        <v/>
      </c>
      <c r="Z30">
        <f>IF($Q30="","",手直し!H32&amp;"")</f>
        <v/>
      </c>
      <c r="AA30" s="26">
        <f>IF(OR($Q30="",手直し!H32=""),"",IFERROR(INDEX(計算用!$M$2:$M$186,MATCH("女"&amp;手直し!H32,計算用!$AO$2:$AO$186,0)),"？"))</f>
        <v/>
      </c>
      <c r="AB30" s="26">
        <f>IF(OR($Q30="",手直し!H32=""),"",IFERROR(INDEX(計算用!$I$2:$I$186,MATCH("女"&amp;手直し!H32,計算用!$AO$2:$AO$186,0)),"？"))</f>
        <v/>
      </c>
      <c r="AC30">
        <f>IF($Q30="","",手直し!I32&amp;"")</f>
        <v/>
      </c>
      <c r="AD30" s="26">
        <f>IF(OR($Q30="",手直し!I32=""),"",IFERROR(INDEX(計算用!$M$2:$M$186,MATCH("女"&amp;手直し!I32,計算用!$AO$2:$AO$186,0)),"？"))</f>
        <v/>
      </c>
      <c r="AE30" s="26">
        <f>IF(OR($Q30="",手直し!I32=""),"",IFERROR(INDEX(計算用!$I$2:$I$186,MATCH("女"&amp;手直し!I32,計算用!$AO$2:$AO$186,0)),"？"))</f>
        <v/>
      </c>
    </row>
    <row r="31">
      <c r="A31" s="26">
        <f>IF(ROW()-3&lt;=計算用!$Q$13,ROW()-3,"")</f>
        <v/>
      </c>
      <c r="B31" s="26">
        <f>IF($A31="","",手直し!K33)</f>
        <v/>
      </c>
      <c r="C31" s="26">
        <f>IF($A31="","",手直し!L33)</f>
        <v/>
      </c>
      <c r="D31">
        <f>IF($A31="","",手直し!B33&amp;"")</f>
        <v/>
      </c>
      <c r="E31" s="26">
        <f>IF(OR($A31="",手直し!B33=""),"",IFERROR(INDEX(計算用!$M$2:$M$186,MATCH("男"&amp;手直し!B33,計算用!$AO$2:$AO$186,0)),"？"))</f>
        <v/>
      </c>
      <c r="F31" s="26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6">
        <f>IF(OR($A31="",手直し!C33=""),"",IFERROR(INDEX(計算用!$M$2:$M$186,MATCH("男"&amp;手直し!C33,計算用!$AO$2:$AO$186,0)),"？"))</f>
        <v/>
      </c>
      <c r="I31" s="26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6">
        <f>IF(OR($A31="",手直し!D33=""),"",IFERROR(INDEX(計算用!$M$2:$M$186,MATCH("男"&amp;手直し!D33,計算用!$AO$2:$AO$186,0)),"？"))</f>
        <v/>
      </c>
      <c r="L31" s="26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6">
        <f>IF(OR($A31="",手直し!E33=""),"",IFERROR(INDEX(計算用!$M$2:$M$186,MATCH("男"&amp;手直し!E33,計算用!$AO$2:$AO$186,0)),"？"))</f>
        <v/>
      </c>
      <c r="O31" s="26">
        <f>IF(OR($A31="",手直し!E33=""),"",IFERROR(INDEX(計算用!$I$2:$I$186,MATCH("男"&amp;手直し!E33,計算用!$AO$2:$AO$186,0)),"？"))</f>
        <v/>
      </c>
      <c r="Q31" s="26">
        <f>IF(ROW()-3&lt;=計算用!$Q$14,ROW()-3,"")</f>
        <v/>
      </c>
      <c r="R31" s="26">
        <f>IF($Q31="","",手直し!M33)</f>
        <v/>
      </c>
      <c r="S31" s="26">
        <f>IF($Q31="","",手直し!N33)</f>
        <v/>
      </c>
      <c r="T31">
        <f>IF($Q31="","",手直し!F33&amp;"")</f>
        <v/>
      </c>
      <c r="U31" s="26">
        <f>IF(OR($Q31="",手直し!F33=""),"",IFERROR(INDEX(計算用!$M$2:$M$186,MATCH("女"&amp;手直し!F33,計算用!$AO$2:$AO$186,0)),"？"))</f>
        <v/>
      </c>
      <c r="V31" s="26">
        <f>IF(OR($Q31="",手直し!F33=""),"",IFERROR(INDEX(計算用!$I$2:$I$186,MATCH("女"&amp;手直し!F33,計算用!$AO$2:$AO$186,0)),"？"))</f>
        <v/>
      </c>
      <c r="W31">
        <f>IF($Q31="","",手直し!G33&amp;"")</f>
        <v/>
      </c>
      <c r="X31" s="26">
        <f>IF(OR($Q31="",手直し!G33=""),"",IFERROR(INDEX(計算用!$M$2:$M$186,MATCH("女"&amp;手直し!G33,計算用!$AO$2:$AO$186,0)),"？"))</f>
        <v/>
      </c>
      <c r="Y31" s="26">
        <f>IF(OR($Q31="",手直し!G33=""),"",IFERROR(INDEX(計算用!$I$2:$I$186,MATCH("女"&amp;手直し!G33,計算用!$AO$2:$AO$186,0)),"？"))</f>
        <v/>
      </c>
      <c r="Z31">
        <f>IF($Q31="","",手直し!H33&amp;"")</f>
        <v/>
      </c>
      <c r="AA31" s="26">
        <f>IF(OR($Q31="",手直し!H33=""),"",IFERROR(INDEX(計算用!$M$2:$M$186,MATCH("女"&amp;手直し!H33,計算用!$AO$2:$AO$186,0)),"？"))</f>
        <v/>
      </c>
      <c r="AB31" s="26">
        <f>IF(OR($Q31="",手直し!H33=""),"",IFERROR(INDEX(計算用!$I$2:$I$186,MATCH("女"&amp;手直し!H33,計算用!$AO$2:$AO$186,0)),"？"))</f>
        <v/>
      </c>
      <c r="AC31">
        <f>IF($Q31="","",手直し!I33&amp;"")</f>
        <v/>
      </c>
      <c r="AD31" s="26">
        <f>IF(OR($Q31="",手直し!I33=""),"",IFERROR(INDEX(計算用!$M$2:$M$186,MATCH("女"&amp;手直し!I33,計算用!$AO$2:$AO$186,0)),"？"))</f>
        <v/>
      </c>
      <c r="AE31" s="26">
        <f>IF(OR($Q31="",手直し!I33=""),"",IFERROR(INDEX(計算用!$I$2:$I$186,MATCH("女"&amp;手直し!I33,計算用!$AO$2:$AO$186,0)),"？"))</f>
        <v/>
      </c>
    </row>
    <row r="32">
      <c r="A32" s="26">
        <f>IF(ROW()-3&lt;=計算用!$Q$13,ROW()-3,"")</f>
        <v/>
      </c>
      <c r="B32" s="26">
        <f>IF($A32="","",手直し!K34)</f>
        <v/>
      </c>
      <c r="C32" s="26">
        <f>IF($A32="","",手直し!L34)</f>
        <v/>
      </c>
      <c r="D32">
        <f>IF($A32="","",手直し!B34&amp;"")</f>
        <v/>
      </c>
      <c r="E32" s="26">
        <f>IF(OR($A32="",手直し!B34=""),"",IFERROR(INDEX(計算用!$M$2:$M$186,MATCH("男"&amp;手直し!B34,計算用!$AO$2:$AO$186,0)),"？"))</f>
        <v/>
      </c>
      <c r="F32" s="26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6">
        <f>IF(OR($A32="",手直し!C34=""),"",IFERROR(INDEX(計算用!$M$2:$M$186,MATCH("男"&amp;手直し!C34,計算用!$AO$2:$AO$186,0)),"？"))</f>
        <v/>
      </c>
      <c r="I32" s="26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6">
        <f>IF(OR($A32="",手直し!D34=""),"",IFERROR(INDEX(計算用!$M$2:$M$186,MATCH("男"&amp;手直し!D34,計算用!$AO$2:$AO$186,0)),"？"))</f>
        <v/>
      </c>
      <c r="L32" s="26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6">
        <f>IF(OR($A32="",手直し!E34=""),"",IFERROR(INDEX(計算用!$M$2:$M$186,MATCH("男"&amp;手直し!E34,計算用!$AO$2:$AO$186,0)),"？"))</f>
        <v/>
      </c>
      <c r="O32" s="26">
        <f>IF(OR($A32="",手直し!E34=""),"",IFERROR(INDEX(計算用!$I$2:$I$186,MATCH("男"&amp;手直し!E34,計算用!$AO$2:$AO$186,0)),"？"))</f>
        <v/>
      </c>
      <c r="Q32" s="26">
        <f>IF(ROW()-3&lt;=計算用!$Q$14,ROW()-3,"")</f>
        <v/>
      </c>
      <c r="R32" s="26">
        <f>IF($Q32="","",手直し!M34)</f>
        <v/>
      </c>
      <c r="S32" s="26">
        <f>IF($Q32="","",手直し!N34)</f>
        <v/>
      </c>
      <c r="T32">
        <f>IF($Q32="","",手直し!F34&amp;"")</f>
        <v/>
      </c>
      <c r="U32" s="26">
        <f>IF(OR($Q32="",手直し!F34=""),"",IFERROR(INDEX(計算用!$M$2:$M$186,MATCH("女"&amp;手直し!F34,計算用!$AO$2:$AO$186,0)),"？"))</f>
        <v/>
      </c>
      <c r="V32" s="26">
        <f>IF(OR($Q32="",手直し!F34=""),"",IFERROR(INDEX(計算用!$I$2:$I$186,MATCH("女"&amp;手直し!F34,計算用!$AO$2:$AO$186,0)),"？"))</f>
        <v/>
      </c>
      <c r="W32">
        <f>IF($Q32="","",手直し!G34&amp;"")</f>
        <v/>
      </c>
      <c r="X32" s="26">
        <f>IF(OR($Q32="",手直し!G34=""),"",IFERROR(INDEX(計算用!$M$2:$M$186,MATCH("女"&amp;手直し!G34,計算用!$AO$2:$AO$186,0)),"？"))</f>
        <v/>
      </c>
      <c r="Y32" s="26">
        <f>IF(OR($Q32="",手直し!G34=""),"",IFERROR(INDEX(計算用!$I$2:$I$186,MATCH("女"&amp;手直し!G34,計算用!$AO$2:$AO$186,0)),"？"))</f>
        <v/>
      </c>
      <c r="Z32">
        <f>IF($Q32="","",手直し!H34&amp;"")</f>
        <v/>
      </c>
      <c r="AA32" s="26">
        <f>IF(OR($Q32="",手直し!H34=""),"",IFERROR(INDEX(計算用!$M$2:$M$186,MATCH("女"&amp;手直し!H34,計算用!$AO$2:$AO$186,0)),"？"))</f>
        <v/>
      </c>
      <c r="AB32" s="26">
        <f>IF(OR($Q32="",手直し!H34=""),"",IFERROR(INDEX(計算用!$I$2:$I$186,MATCH("女"&amp;手直し!H34,計算用!$AO$2:$AO$186,0)),"？"))</f>
        <v/>
      </c>
      <c r="AC32">
        <f>IF($Q32="","",手直し!I34&amp;"")</f>
        <v/>
      </c>
      <c r="AD32" s="26">
        <f>IF(OR($Q32="",手直し!I34=""),"",IFERROR(INDEX(計算用!$M$2:$M$186,MATCH("女"&amp;手直し!I34,計算用!$AO$2:$AO$186,0)),"？"))</f>
        <v/>
      </c>
      <c r="AE32" s="26">
        <f>IF(OR($Q32="",手直し!I34=""),"",IFERROR(INDEX(計算用!$I$2:$I$186,MATCH("女"&amp;手直し!I34,計算用!$AO$2:$AO$186,0)),"？"))</f>
        <v/>
      </c>
    </row>
    <row r="33">
      <c r="A33" s="26">
        <f>IF(ROW()-3&lt;=計算用!$Q$13,ROW()-3,"")</f>
        <v/>
      </c>
      <c r="B33" s="26">
        <f>IF($A33="","",手直し!K35)</f>
        <v/>
      </c>
      <c r="C33" s="26">
        <f>IF($A33="","",手直し!L35)</f>
        <v/>
      </c>
      <c r="D33">
        <f>IF($A33="","",手直し!B35&amp;"")</f>
        <v/>
      </c>
      <c r="E33" s="26">
        <f>IF(OR($A33="",手直し!B35=""),"",IFERROR(INDEX(計算用!$M$2:$M$186,MATCH("男"&amp;手直し!B35,計算用!$AO$2:$AO$186,0)),"？"))</f>
        <v/>
      </c>
      <c r="F33" s="26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6">
        <f>IF(OR($A33="",手直し!C35=""),"",IFERROR(INDEX(計算用!$M$2:$M$186,MATCH("男"&amp;手直し!C35,計算用!$AO$2:$AO$186,0)),"？"))</f>
        <v/>
      </c>
      <c r="I33" s="26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6">
        <f>IF(OR($A33="",手直し!D35=""),"",IFERROR(INDEX(計算用!$M$2:$M$186,MATCH("男"&amp;手直し!D35,計算用!$AO$2:$AO$186,0)),"？"))</f>
        <v/>
      </c>
      <c r="L33" s="26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6">
        <f>IF(OR($A33="",手直し!E35=""),"",IFERROR(INDEX(計算用!$M$2:$M$186,MATCH("男"&amp;手直し!E35,計算用!$AO$2:$AO$186,0)),"？"))</f>
        <v/>
      </c>
      <c r="O33" s="26">
        <f>IF(OR($A33="",手直し!E35=""),"",IFERROR(INDEX(計算用!$I$2:$I$186,MATCH("男"&amp;手直し!E35,計算用!$AO$2:$AO$186,0)),"？"))</f>
        <v/>
      </c>
      <c r="Q33" s="26">
        <f>IF(ROW()-3&lt;=計算用!$Q$14,ROW()-3,"")</f>
        <v/>
      </c>
      <c r="R33" s="26">
        <f>IF($Q33="","",手直し!M35)</f>
        <v/>
      </c>
      <c r="S33" s="26">
        <f>IF($Q33="","",手直し!N35)</f>
        <v/>
      </c>
      <c r="T33">
        <f>IF($Q33="","",手直し!F35&amp;"")</f>
        <v/>
      </c>
      <c r="U33" s="26">
        <f>IF(OR($Q33="",手直し!F35=""),"",IFERROR(INDEX(計算用!$M$2:$M$186,MATCH("女"&amp;手直し!F35,計算用!$AO$2:$AO$186,0)),"？"))</f>
        <v/>
      </c>
      <c r="V33" s="26">
        <f>IF(OR($Q33="",手直し!F35=""),"",IFERROR(INDEX(計算用!$I$2:$I$186,MATCH("女"&amp;手直し!F35,計算用!$AO$2:$AO$186,0)),"？"))</f>
        <v/>
      </c>
      <c r="W33">
        <f>IF($Q33="","",手直し!G35&amp;"")</f>
        <v/>
      </c>
      <c r="X33" s="26">
        <f>IF(OR($Q33="",手直し!G35=""),"",IFERROR(INDEX(計算用!$M$2:$M$186,MATCH("女"&amp;手直し!G35,計算用!$AO$2:$AO$186,0)),"？"))</f>
        <v/>
      </c>
      <c r="Y33" s="26">
        <f>IF(OR($Q33="",手直し!G35=""),"",IFERROR(INDEX(計算用!$I$2:$I$186,MATCH("女"&amp;手直し!G35,計算用!$AO$2:$AO$186,0)),"？"))</f>
        <v/>
      </c>
      <c r="Z33">
        <f>IF($Q33="","",手直し!H35&amp;"")</f>
        <v/>
      </c>
      <c r="AA33" s="26">
        <f>IF(OR($Q33="",手直し!H35=""),"",IFERROR(INDEX(計算用!$M$2:$M$186,MATCH("女"&amp;手直し!H35,計算用!$AO$2:$AO$186,0)),"？"))</f>
        <v/>
      </c>
      <c r="AB33" s="26">
        <f>IF(OR($Q33="",手直し!H35=""),"",IFERROR(INDEX(計算用!$I$2:$I$186,MATCH("女"&amp;手直し!H35,計算用!$AO$2:$AO$186,0)),"？"))</f>
        <v/>
      </c>
      <c r="AC33">
        <f>IF($Q33="","",手直し!I35&amp;"")</f>
        <v/>
      </c>
      <c r="AD33" s="26">
        <f>IF(OR($Q33="",手直し!I35=""),"",IFERROR(INDEX(計算用!$M$2:$M$186,MATCH("女"&amp;手直し!I35,計算用!$AO$2:$AO$186,0)),"？"))</f>
        <v/>
      </c>
      <c r="AE33" s="26">
        <f>IF(OR($Q33="",手直し!I35=""),"",IFERROR(INDEX(計算用!$I$2:$I$186,MATCH("女"&amp;手直し!I35,計算用!$AO$2:$AO$186,0)),"？"))</f>
        <v/>
      </c>
    </row>
    <row r="34">
      <c r="A34" s="26">
        <f>IF(ROW()-3&lt;=計算用!$Q$13,ROW()-3,"")</f>
        <v/>
      </c>
      <c r="B34" s="26">
        <f>IF($A34="","",手直し!K36)</f>
        <v/>
      </c>
      <c r="C34" s="26">
        <f>IF($A34="","",手直し!L36)</f>
        <v/>
      </c>
      <c r="D34">
        <f>IF($A34="","",手直し!B36&amp;"")</f>
        <v/>
      </c>
      <c r="E34" s="26">
        <f>IF(OR($A34="",手直し!B36=""),"",IFERROR(INDEX(計算用!$M$2:$M$186,MATCH("男"&amp;手直し!B36,計算用!$AO$2:$AO$186,0)),"？"))</f>
        <v/>
      </c>
      <c r="F34" s="26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6">
        <f>IF(OR($A34="",手直し!C36=""),"",IFERROR(INDEX(計算用!$M$2:$M$186,MATCH("男"&amp;手直し!C36,計算用!$AO$2:$AO$186,0)),"？"))</f>
        <v/>
      </c>
      <c r="I34" s="26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6">
        <f>IF(OR($A34="",手直し!D36=""),"",IFERROR(INDEX(計算用!$M$2:$M$186,MATCH("男"&amp;手直し!D36,計算用!$AO$2:$AO$186,0)),"？"))</f>
        <v/>
      </c>
      <c r="L34" s="26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6">
        <f>IF(OR($A34="",手直し!E36=""),"",IFERROR(INDEX(計算用!$M$2:$M$186,MATCH("男"&amp;手直し!E36,計算用!$AO$2:$AO$186,0)),"？"))</f>
        <v/>
      </c>
      <c r="O34" s="26">
        <f>IF(OR($A34="",手直し!E36=""),"",IFERROR(INDEX(計算用!$I$2:$I$186,MATCH("男"&amp;手直し!E36,計算用!$AO$2:$AO$186,0)),"？"))</f>
        <v/>
      </c>
      <c r="Q34" s="26">
        <f>IF(ROW()-3&lt;=計算用!$Q$14,ROW()-3,"")</f>
        <v/>
      </c>
      <c r="R34" s="26">
        <f>IF($Q34="","",手直し!M36)</f>
        <v/>
      </c>
      <c r="S34" s="26">
        <f>IF($Q34="","",手直し!N36)</f>
        <v/>
      </c>
      <c r="T34">
        <f>IF($Q34="","",手直し!F36&amp;"")</f>
        <v/>
      </c>
      <c r="U34" s="26">
        <f>IF(OR($Q34="",手直し!F36=""),"",IFERROR(INDEX(計算用!$M$2:$M$186,MATCH("女"&amp;手直し!F36,計算用!$AO$2:$AO$186,0)),"？"))</f>
        <v/>
      </c>
      <c r="V34" s="26">
        <f>IF(OR($Q34="",手直し!F36=""),"",IFERROR(INDEX(計算用!$I$2:$I$186,MATCH("女"&amp;手直し!F36,計算用!$AO$2:$AO$186,0)),"？"))</f>
        <v/>
      </c>
      <c r="W34">
        <f>IF($Q34="","",手直し!G36&amp;"")</f>
        <v/>
      </c>
      <c r="X34" s="26">
        <f>IF(OR($Q34="",手直し!G36=""),"",IFERROR(INDEX(計算用!$M$2:$M$186,MATCH("女"&amp;手直し!G36,計算用!$AO$2:$AO$186,0)),"？"))</f>
        <v/>
      </c>
      <c r="Y34" s="26">
        <f>IF(OR($Q34="",手直し!G36=""),"",IFERROR(INDEX(計算用!$I$2:$I$186,MATCH("女"&amp;手直し!G36,計算用!$AO$2:$AO$186,0)),"？"))</f>
        <v/>
      </c>
      <c r="Z34">
        <f>IF($Q34="","",手直し!H36&amp;"")</f>
        <v/>
      </c>
      <c r="AA34" s="26">
        <f>IF(OR($Q34="",手直し!H36=""),"",IFERROR(INDEX(計算用!$M$2:$M$186,MATCH("女"&amp;手直し!H36,計算用!$AO$2:$AO$186,0)),"？"))</f>
        <v/>
      </c>
      <c r="AB34" s="26">
        <f>IF(OR($Q34="",手直し!H36=""),"",IFERROR(INDEX(計算用!$I$2:$I$186,MATCH("女"&amp;手直し!H36,計算用!$AO$2:$AO$186,0)),"？"))</f>
        <v/>
      </c>
      <c r="AC34">
        <f>IF($Q34="","",手直し!I36&amp;"")</f>
        <v/>
      </c>
      <c r="AD34" s="26">
        <f>IF(OR($Q34="",手直し!I36=""),"",IFERROR(INDEX(計算用!$M$2:$M$186,MATCH("女"&amp;手直し!I36,計算用!$AO$2:$AO$186,0)),"？"))</f>
        <v/>
      </c>
      <c r="AE34" s="26">
        <f>IF(OR($Q34="",手直し!I36=""),"",IFERROR(INDEX(計算用!$I$2:$I$186,MATCH("女"&amp;手直し!I36,計算用!$AO$2:$AO$186,0)),"？"))</f>
        <v/>
      </c>
    </row>
    <row r="35">
      <c r="A35" s="26">
        <f>IF(ROW()-3&lt;=計算用!$Q$13,ROW()-3,"")</f>
        <v/>
      </c>
      <c r="B35" s="26">
        <f>IF($A35="","",手直し!K37)</f>
        <v/>
      </c>
      <c r="C35" s="26">
        <f>IF($A35="","",手直し!L37)</f>
        <v/>
      </c>
      <c r="D35">
        <f>IF($A35="","",手直し!B37&amp;"")</f>
        <v/>
      </c>
      <c r="E35" s="26">
        <f>IF(OR($A35="",手直し!B37=""),"",IFERROR(INDEX(計算用!$M$2:$M$186,MATCH("男"&amp;手直し!B37,計算用!$AO$2:$AO$186,0)),"？"))</f>
        <v/>
      </c>
      <c r="F35" s="26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6">
        <f>IF(OR($A35="",手直し!C37=""),"",IFERROR(INDEX(計算用!$M$2:$M$186,MATCH("男"&amp;手直し!C37,計算用!$AO$2:$AO$186,0)),"？"))</f>
        <v/>
      </c>
      <c r="I35" s="26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6">
        <f>IF(OR($A35="",手直し!D37=""),"",IFERROR(INDEX(計算用!$M$2:$M$186,MATCH("男"&amp;手直し!D37,計算用!$AO$2:$AO$186,0)),"？"))</f>
        <v/>
      </c>
      <c r="L35" s="26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6">
        <f>IF(OR($A35="",手直し!E37=""),"",IFERROR(INDEX(計算用!$M$2:$M$186,MATCH("男"&amp;手直し!E37,計算用!$AO$2:$AO$186,0)),"？"))</f>
        <v/>
      </c>
      <c r="O35" s="26">
        <f>IF(OR($A35="",手直し!E37=""),"",IFERROR(INDEX(計算用!$I$2:$I$186,MATCH("男"&amp;手直し!E37,計算用!$AO$2:$AO$186,0)),"？"))</f>
        <v/>
      </c>
      <c r="Q35" s="26">
        <f>IF(ROW()-3&lt;=計算用!$Q$14,ROW()-3,"")</f>
        <v/>
      </c>
      <c r="R35" s="26">
        <f>IF($Q35="","",手直し!M37)</f>
        <v/>
      </c>
      <c r="S35" s="26">
        <f>IF($Q35="","",手直し!N37)</f>
        <v/>
      </c>
      <c r="T35">
        <f>IF($Q35="","",手直し!F37&amp;"")</f>
        <v/>
      </c>
      <c r="U35" s="26">
        <f>IF(OR($Q35="",手直し!F37=""),"",IFERROR(INDEX(計算用!$M$2:$M$186,MATCH("女"&amp;手直し!F37,計算用!$AO$2:$AO$186,0)),"？"))</f>
        <v/>
      </c>
      <c r="V35" s="26">
        <f>IF(OR($Q35="",手直し!F37=""),"",IFERROR(INDEX(計算用!$I$2:$I$186,MATCH("女"&amp;手直し!F37,計算用!$AO$2:$AO$186,0)),"？"))</f>
        <v/>
      </c>
      <c r="W35">
        <f>IF($Q35="","",手直し!G37&amp;"")</f>
        <v/>
      </c>
      <c r="X35" s="26">
        <f>IF(OR($Q35="",手直し!G37=""),"",IFERROR(INDEX(計算用!$M$2:$M$186,MATCH("女"&amp;手直し!G37,計算用!$AO$2:$AO$186,0)),"？"))</f>
        <v/>
      </c>
      <c r="Y35" s="26">
        <f>IF(OR($Q35="",手直し!G37=""),"",IFERROR(INDEX(計算用!$I$2:$I$186,MATCH("女"&amp;手直し!G37,計算用!$AO$2:$AO$186,0)),"？"))</f>
        <v/>
      </c>
      <c r="Z35">
        <f>IF($Q35="","",手直し!H37&amp;"")</f>
        <v/>
      </c>
      <c r="AA35" s="26">
        <f>IF(OR($Q35="",手直し!H37=""),"",IFERROR(INDEX(計算用!$M$2:$M$186,MATCH("女"&amp;手直し!H37,計算用!$AO$2:$AO$186,0)),"？"))</f>
        <v/>
      </c>
      <c r="AB35" s="26">
        <f>IF(OR($Q35="",手直し!H37=""),"",IFERROR(INDEX(計算用!$I$2:$I$186,MATCH("女"&amp;手直し!H37,計算用!$AO$2:$AO$186,0)),"？"))</f>
        <v/>
      </c>
      <c r="AC35">
        <f>IF($Q35="","",手直し!I37&amp;"")</f>
        <v/>
      </c>
      <c r="AD35" s="26">
        <f>IF(OR($Q35="",手直し!I37=""),"",IFERROR(INDEX(計算用!$M$2:$M$186,MATCH("女"&amp;手直し!I37,計算用!$AO$2:$AO$186,0)),"？"))</f>
        <v/>
      </c>
      <c r="AE35" s="26">
        <f>IF(OR($Q35="",手直し!I37=""),"",IFERROR(INDEX(計算用!$I$2:$I$186,MATCH("女"&amp;手直し!I37,計算用!$AO$2:$AO$186,0)),"？"))</f>
        <v/>
      </c>
    </row>
    <row r="36">
      <c r="A36" s="26">
        <f>IF(ROW()-3&lt;=計算用!$Q$13,ROW()-3,"")</f>
        <v/>
      </c>
      <c r="B36" s="26">
        <f>IF($A36="","",手直し!K38)</f>
        <v/>
      </c>
      <c r="C36" s="26">
        <f>IF($A36="","",手直し!L38)</f>
        <v/>
      </c>
      <c r="D36">
        <f>IF($A36="","",手直し!B38&amp;"")</f>
        <v/>
      </c>
      <c r="E36" s="26">
        <f>IF(OR($A36="",手直し!B38=""),"",IFERROR(INDEX(計算用!$M$2:$M$186,MATCH("男"&amp;手直し!B38,計算用!$AO$2:$AO$186,0)),"？"))</f>
        <v/>
      </c>
      <c r="F36" s="26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6">
        <f>IF(OR($A36="",手直し!C38=""),"",IFERROR(INDEX(計算用!$M$2:$M$186,MATCH("男"&amp;手直し!C38,計算用!$AO$2:$AO$186,0)),"？"))</f>
        <v/>
      </c>
      <c r="I36" s="26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6">
        <f>IF(OR($A36="",手直し!D38=""),"",IFERROR(INDEX(計算用!$M$2:$M$186,MATCH("男"&amp;手直し!D38,計算用!$AO$2:$AO$186,0)),"？"))</f>
        <v/>
      </c>
      <c r="L36" s="26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6">
        <f>IF(OR($A36="",手直し!E38=""),"",IFERROR(INDEX(計算用!$M$2:$M$186,MATCH("男"&amp;手直し!E38,計算用!$AO$2:$AO$186,0)),"？"))</f>
        <v/>
      </c>
      <c r="O36" s="26">
        <f>IF(OR($A36="",手直し!E38=""),"",IFERROR(INDEX(計算用!$I$2:$I$186,MATCH("男"&amp;手直し!E38,計算用!$AO$2:$AO$186,0)),"？"))</f>
        <v/>
      </c>
      <c r="Q36" s="26">
        <f>IF(ROW()-3&lt;=計算用!$Q$14,ROW()-3,"")</f>
        <v/>
      </c>
      <c r="R36" s="26">
        <f>IF($Q36="","",手直し!M38)</f>
        <v/>
      </c>
      <c r="S36" s="26">
        <f>IF($Q36="","",手直し!N38)</f>
        <v/>
      </c>
      <c r="T36">
        <f>IF($Q36="","",手直し!F38&amp;"")</f>
        <v/>
      </c>
      <c r="U36" s="26">
        <f>IF(OR($Q36="",手直し!F38=""),"",IFERROR(INDEX(計算用!$M$2:$M$186,MATCH("女"&amp;手直し!F38,計算用!$AO$2:$AO$186,0)),"？"))</f>
        <v/>
      </c>
      <c r="V36" s="26">
        <f>IF(OR($Q36="",手直し!F38=""),"",IFERROR(INDEX(計算用!$I$2:$I$186,MATCH("女"&amp;手直し!F38,計算用!$AO$2:$AO$186,0)),"？"))</f>
        <v/>
      </c>
      <c r="W36">
        <f>IF($Q36="","",手直し!G38&amp;"")</f>
        <v/>
      </c>
      <c r="X36" s="26">
        <f>IF(OR($Q36="",手直し!G38=""),"",IFERROR(INDEX(計算用!$M$2:$M$186,MATCH("女"&amp;手直し!G38,計算用!$AO$2:$AO$186,0)),"？"))</f>
        <v/>
      </c>
      <c r="Y36" s="26">
        <f>IF(OR($Q36="",手直し!G38=""),"",IFERROR(INDEX(計算用!$I$2:$I$186,MATCH("女"&amp;手直し!G38,計算用!$AO$2:$AO$186,0)),"？"))</f>
        <v/>
      </c>
      <c r="Z36">
        <f>IF($Q36="","",手直し!H38&amp;"")</f>
        <v/>
      </c>
      <c r="AA36" s="26">
        <f>IF(OR($Q36="",手直し!H38=""),"",IFERROR(INDEX(計算用!$M$2:$M$186,MATCH("女"&amp;手直し!H38,計算用!$AO$2:$AO$186,0)),"？"))</f>
        <v/>
      </c>
      <c r="AB36" s="26">
        <f>IF(OR($Q36="",手直し!H38=""),"",IFERROR(INDEX(計算用!$I$2:$I$186,MATCH("女"&amp;手直し!H38,計算用!$AO$2:$AO$186,0)),"？"))</f>
        <v/>
      </c>
      <c r="AC36">
        <f>IF($Q36="","",手直し!I38&amp;"")</f>
        <v/>
      </c>
      <c r="AD36" s="26">
        <f>IF(OR($Q36="",手直し!I38=""),"",IFERROR(INDEX(計算用!$M$2:$M$186,MATCH("女"&amp;手直し!I38,計算用!$AO$2:$AO$186,0)),"？"))</f>
        <v/>
      </c>
      <c r="AE36" s="26">
        <f>IF(OR($Q36="",手直し!I38=""),"",IFERROR(INDEX(計算用!$I$2:$I$186,MATCH("女"&amp;手直し!I38,計算用!$AO$2:$AO$186,0)),"？"))</f>
        <v/>
      </c>
    </row>
    <row r="37">
      <c r="A37" s="26">
        <f>IF(ROW()-3&lt;=計算用!$Q$13,ROW()-3,"")</f>
        <v/>
      </c>
      <c r="B37" s="26">
        <f>IF($A37="","",手直し!K39)</f>
        <v/>
      </c>
      <c r="C37" s="26">
        <f>IF($A37="","",手直し!L39)</f>
        <v/>
      </c>
      <c r="D37">
        <f>IF($A37="","",手直し!B39&amp;"")</f>
        <v/>
      </c>
      <c r="E37" s="26">
        <f>IF(OR($A37="",手直し!B39=""),"",IFERROR(INDEX(計算用!$M$2:$M$186,MATCH("男"&amp;手直し!B39,計算用!$AO$2:$AO$186,0)),"？"))</f>
        <v/>
      </c>
      <c r="F37" s="26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6">
        <f>IF(OR($A37="",手直し!C39=""),"",IFERROR(INDEX(計算用!$M$2:$M$186,MATCH("男"&amp;手直し!C39,計算用!$AO$2:$AO$186,0)),"？"))</f>
        <v/>
      </c>
      <c r="I37" s="26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6">
        <f>IF(OR($A37="",手直し!D39=""),"",IFERROR(INDEX(計算用!$M$2:$M$186,MATCH("男"&amp;手直し!D39,計算用!$AO$2:$AO$186,0)),"？"))</f>
        <v/>
      </c>
      <c r="L37" s="26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6">
        <f>IF(OR($A37="",手直し!E39=""),"",IFERROR(INDEX(計算用!$M$2:$M$186,MATCH("男"&amp;手直し!E39,計算用!$AO$2:$AO$186,0)),"？"))</f>
        <v/>
      </c>
      <c r="O37" s="26">
        <f>IF(OR($A37="",手直し!E39=""),"",IFERROR(INDEX(計算用!$I$2:$I$186,MATCH("男"&amp;手直し!E39,計算用!$AO$2:$AO$186,0)),"？"))</f>
        <v/>
      </c>
      <c r="Q37" s="26">
        <f>IF(ROW()-3&lt;=計算用!$Q$14,ROW()-3,"")</f>
        <v/>
      </c>
      <c r="R37" s="26">
        <f>IF($Q37="","",手直し!M39)</f>
        <v/>
      </c>
      <c r="S37" s="26">
        <f>IF($Q37="","",手直し!N39)</f>
        <v/>
      </c>
      <c r="T37">
        <f>IF($Q37="","",手直し!F39&amp;"")</f>
        <v/>
      </c>
      <c r="U37" s="26">
        <f>IF(OR($Q37="",手直し!F39=""),"",IFERROR(INDEX(計算用!$M$2:$M$186,MATCH("女"&amp;手直し!F39,計算用!$AO$2:$AO$186,0)),"？"))</f>
        <v/>
      </c>
      <c r="V37" s="26">
        <f>IF(OR($Q37="",手直し!F39=""),"",IFERROR(INDEX(計算用!$I$2:$I$186,MATCH("女"&amp;手直し!F39,計算用!$AO$2:$AO$186,0)),"？"))</f>
        <v/>
      </c>
      <c r="W37">
        <f>IF($Q37="","",手直し!G39&amp;"")</f>
        <v/>
      </c>
      <c r="X37" s="26">
        <f>IF(OR($Q37="",手直し!G39=""),"",IFERROR(INDEX(計算用!$M$2:$M$186,MATCH("女"&amp;手直し!G39,計算用!$AO$2:$AO$186,0)),"？"))</f>
        <v/>
      </c>
      <c r="Y37" s="26">
        <f>IF(OR($Q37="",手直し!G39=""),"",IFERROR(INDEX(計算用!$I$2:$I$186,MATCH("女"&amp;手直し!G39,計算用!$AO$2:$AO$186,0)),"？"))</f>
        <v/>
      </c>
      <c r="Z37">
        <f>IF($Q37="","",手直し!H39&amp;"")</f>
        <v/>
      </c>
      <c r="AA37" s="26">
        <f>IF(OR($Q37="",手直し!H39=""),"",IFERROR(INDEX(計算用!$M$2:$M$186,MATCH("女"&amp;手直し!H39,計算用!$AO$2:$AO$186,0)),"？"))</f>
        <v/>
      </c>
      <c r="AB37" s="26">
        <f>IF(OR($Q37="",手直し!H39=""),"",IFERROR(INDEX(計算用!$I$2:$I$186,MATCH("女"&amp;手直し!H39,計算用!$AO$2:$AO$186,0)),"？"))</f>
        <v/>
      </c>
      <c r="AC37">
        <f>IF($Q37="","",手直し!I39&amp;"")</f>
        <v/>
      </c>
      <c r="AD37" s="26">
        <f>IF(OR($Q37="",手直し!I39=""),"",IFERROR(INDEX(計算用!$M$2:$M$186,MATCH("女"&amp;手直し!I39,計算用!$AO$2:$AO$186,0)),"？"))</f>
        <v/>
      </c>
      <c r="AE37" s="26">
        <f>IF(OR($Q37="",手直し!I39=""),"",IFERROR(INDEX(計算用!$I$2:$I$186,MATCH("女"&amp;手直し!I39,計算用!$AO$2:$AO$186,0)),"？"))</f>
        <v/>
      </c>
    </row>
    <row r="38">
      <c r="A38" s="26">
        <f>IF(ROW()-3&lt;=計算用!$Q$13,ROW()-3,"")</f>
        <v/>
      </c>
      <c r="B38" s="26">
        <f>IF($A38="","",手直し!K40)</f>
        <v/>
      </c>
      <c r="C38" s="26">
        <f>IF($A38="","",手直し!L40)</f>
        <v/>
      </c>
      <c r="D38">
        <f>IF($A38="","",手直し!B40&amp;"")</f>
        <v/>
      </c>
      <c r="E38" s="26">
        <f>IF(OR($A38="",手直し!B40=""),"",IFERROR(INDEX(計算用!$M$2:$M$186,MATCH("男"&amp;手直し!B40,計算用!$AO$2:$AO$186,0)),"？"))</f>
        <v/>
      </c>
      <c r="F38" s="26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6">
        <f>IF(OR($A38="",手直し!C40=""),"",IFERROR(INDEX(計算用!$M$2:$M$186,MATCH("男"&amp;手直し!C40,計算用!$AO$2:$AO$186,0)),"？"))</f>
        <v/>
      </c>
      <c r="I38" s="26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6">
        <f>IF(OR($A38="",手直し!D40=""),"",IFERROR(INDEX(計算用!$M$2:$M$186,MATCH("男"&amp;手直し!D40,計算用!$AO$2:$AO$186,0)),"？"))</f>
        <v/>
      </c>
      <c r="L38" s="26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6">
        <f>IF(OR($A38="",手直し!E40=""),"",IFERROR(INDEX(計算用!$M$2:$M$186,MATCH("男"&amp;手直し!E40,計算用!$AO$2:$AO$186,0)),"？"))</f>
        <v/>
      </c>
      <c r="O38" s="26">
        <f>IF(OR($A38="",手直し!E40=""),"",IFERROR(INDEX(計算用!$I$2:$I$186,MATCH("男"&amp;手直し!E40,計算用!$AO$2:$AO$186,0)),"？"))</f>
        <v/>
      </c>
      <c r="Q38" s="26">
        <f>IF(ROW()-3&lt;=計算用!$Q$14,ROW()-3,"")</f>
        <v/>
      </c>
      <c r="R38" s="26">
        <f>IF($Q38="","",手直し!M40)</f>
        <v/>
      </c>
      <c r="S38" s="26">
        <f>IF($Q38="","",手直し!N40)</f>
        <v/>
      </c>
      <c r="T38">
        <f>IF($Q38="","",手直し!F40&amp;"")</f>
        <v/>
      </c>
      <c r="U38" s="26">
        <f>IF(OR($Q38="",手直し!F40=""),"",IFERROR(INDEX(計算用!$M$2:$M$186,MATCH("女"&amp;手直し!F40,計算用!$AO$2:$AO$186,0)),"？"))</f>
        <v/>
      </c>
      <c r="V38" s="26">
        <f>IF(OR($Q38="",手直し!F40=""),"",IFERROR(INDEX(計算用!$I$2:$I$186,MATCH("女"&amp;手直し!F40,計算用!$AO$2:$AO$186,0)),"？"))</f>
        <v/>
      </c>
      <c r="W38">
        <f>IF($Q38="","",手直し!G40&amp;"")</f>
        <v/>
      </c>
      <c r="X38" s="26">
        <f>IF(OR($Q38="",手直し!G40=""),"",IFERROR(INDEX(計算用!$M$2:$M$186,MATCH("女"&amp;手直し!G40,計算用!$AO$2:$AO$186,0)),"？"))</f>
        <v/>
      </c>
      <c r="Y38" s="26">
        <f>IF(OR($Q38="",手直し!G40=""),"",IFERROR(INDEX(計算用!$I$2:$I$186,MATCH("女"&amp;手直し!G40,計算用!$AO$2:$AO$186,0)),"？"))</f>
        <v/>
      </c>
      <c r="Z38">
        <f>IF($Q38="","",手直し!H40&amp;"")</f>
        <v/>
      </c>
      <c r="AA38" s="26">
        <f>IF(OR($Q38="",手直し!H40=""),"",IFERROR(INDEX(計算用!$M$2:$M$186,MATCH("女"&amp;手直し!H40,計算用!$AO$2:$AO$186,0)),"？"))</f>
        <v/>
      </c>
      <c r="AB38" s="26">
        <f>IF(OR($Q38="",手直し!H40=""),"",IFERROR(INDEX(計算用!$I$2:$I$186,MATCH("女"&amp;手直し!H40,計算用!$AO$2:$AO$186,0)),"？"))</f>
        <v/>
      </c>
      <c r="AC38">
        <f>IF($Q38="","",手直し!I40&amp;"")</f>
        <v/>
      </c>
      <c r="AD38" s="26">
        <f>IF(OR($Q38="",手直し!I40=""),"",IFERROR(INDEX(計算用!$M$2:$M$186,MATCH("女"&amp;手直し!I40,計算用!$AO$2:$AO$186,0)),"？"))</f>
        <v/>
      </c>
      <c r="AE38" s="26">
        <f>IF(OR($Q38="",手直し!I40=""),"",IFERROR(INDEX(計算用!$I$2:$I$186,MATCH("女"&amp;手直し!I40,計算用!$AO$2:$AO$186,0)),"？"))</f>
        <v/>
      </c>
    </row>
    <row r="39">
      <c r="A39" s="26">
        <f>IF(ROW()-3&lt;=計算用!$Q$13,ROW()-3,"")</f>
        <v/>
      </c>
      <c r="B39" s="26">
        <f>IF($A39="","",手直し!K41)</f>
        <v/>
      </c>
      <c r="C39" s="26">
        <f>IF($A39="","",手直し!L41)</f>
        <v/>
      </c>
      <c r="D39">
        <f>IF($A39="","",手直し!B41&amp;"")</f>
        <v/>
      </c>
      <c r="E39" s="26">
        <f>IF(OR($A39="",手直し!B41=""),"",IFERROR(INDEX(計算用!$M$2:$M$186,MATCH("男"&amp;手直し!B41,計算用!$AO$2:$AO$186,0)),"？"))</f>
        <v/>
      </c>
      <c r="F39" s="26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6">
        <f>IF(OR($A39="",手直し!C41=""),"",IFERROR(INDEX(計算用!$M$2:$M$186,MATCH("男"&amp;手直し!C41,計算用!$AO$2:$AO$186,0)),"？"))</f>
        <v/>
      </c>
      <c r="I39" s="26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6">
        <f>IF(OR($A39="",手直し!D41=""),"",IFERROR(INDEX(計算用!$M$2:$M$186,MATCH("男"&amp;手直し!D41,計算用!$AO$2:$AO$186,0)),"？"))</f>
        <v/>
      </c>
      <c r="L39" s="26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6">
        <f>IF(OR($A39="",手直し!E41=""),"",IFERROR(INDEX(計算用!$M$2:$M$186,MATCH("男"&amp;手直し!E41,計算用!$AO$2:$AO$186,0)),"？"))</f>
        <v/>
      </c>
      <c r="O39" s="26">
        <f>IF(OR($A39="",手直し!E41=""),"",IFERROR(INDEX(計算用!$I$2:$I$186,MATCH("男"&amp;手直し!E41,計算用!$AO$2:$AO$186,0)),"？"))</f>
        <v/>
      </c>
      <c r="Q39" s="26">
        <f>IF(ROW()-3&lt;=計算用!$Q$14,ROW()-3,"")</f>
        <v/>
      </c>
      <c r="R39" s="26">
        <f>IF($Q39="","",手直し!M41)</f>
        <v/>
      </c>
      <c r="S39" s="26">
        <f>IF($Q39="","",手直し!N41)</f>
        <v/>
      </c>
      <c r="T39">
        <f>IF($Q39="","",手直し!F41&amp;"")</f>
        <v/>
      </c>
      <c r="U39" s="26">
        <f>IF(OR($Q39="",手直し!F41=""),"",IFERROR(INDEX(計算用!$M$2:$M$186,MATCH("女"&amp;手直し!F41,計算用!$AO$2:$AO$186,0)),"？"))</f>
        <v/>
      </c>
      <c r="V39" s="26">
        <f>IF(OR($Q39="",手直し!F41=""),"",IFERROR(INDEX(計算用!$I$2:$I$186,MATCH("女"&amp;手直し!F41,計算用!$AO$2:$AO$186,0)),"？"))</f>
        <v/>
      </c>
      <c r="W39">
        <f>IF($Q39="","",手直し!G41&amp;"")</f>
        <v/>
      </c>
      <c r="X39" s="26">
        <f>IF(OR($Q39="",手直し!G41=""),"",IFERROR(INDEX(計算用!$M$2:$M$186,MATCH("女"&amp;手直し!G41,計算用!$AO$2:$AO$186,0)),"？"))</f>
        <v/>
      </c>
      <c r="Y39" s="26">
        <f>IF(OR($Q39="",手直し!G41=""),"",IFERROR(INDEX(計算用!$I$2:$I$186,MATCH("女"&amp;手直し!G41,計算用!$AO$2:$AO$186,0)),"？"))</f>
        <v/>
      </c>
      <c r="Z39">
        <f>IF($Q39="","",手直し!H41&amp;"")</f>
        <v/>
      </c>
      <c r="AA39" s="26">
        <f>IF(OR($Q39="",手直し!H41=""),"",IFERROR(INDEX(計算用!$M$2:$M$186,MATCH("女"&amp;手直し!H41,計算用!$AO$2:$AO$186,0)),"？"))</f>
        <v/>
      </c>
      <c r="AB39" s="26">
        <f>IF(OR($Q39="",手直し!H41=""),"",IFERROR(INDEX(計算用!$I$2:$I$186,MATCH("女"&amp;手直し!H41,計算用!$AO$2:$AO$186,0)),"？"))</f>
        <v/>
      </c>
      <c r="AC39">
        <f>IF($Q39="","",手直し!I41&amp;"")</f>
        <v/>
      </c>
      <c r="AD39" s="26">
        <f>IF(OR($Q39="",手直し!I41=""),"",IFERROR(INDEX(計算用!$M$2:$M$186,MATCH("女"&amp;手直し!I41,計算用!$AO$2:$AO$186,0)),"？"))</f>
        <v/>
      </c>
      <c r="AE39" s="26">
        <f>IF(OR($Q39="",手直し!I41=""),"",IFERROR(INDEX(計算用!$I$2:$I$186,MATCH("女"&amp;手直し!I41,計算用!$AO$2:$AO$186,0)),"？"))</f>
        <v/>
      </c>
    </row>
    <row r="40">
      <c r="A40" s="26">
        <f>IF(ROW()-3&lt;=計算用!$Q$13,ROW()-3,"")</f>
        <v/>
      </c>
      <c r="B40" s="26">
        <f>IF($A40="","",手直し!K42)</f>
        <v/>
      </c>
      <c r="C40" s="26">
        <f>IF($A40="","",手直し!L42)</f>
        <v/>
      </c>
      <c r="D40">
        <f>IF($A40="","",手直し!B42&amp;"")</f>
        <v/>
      </c>
      <c r="E40" s="26">
        <f>IF(OR($A40="",手直し!B42=""),"",IFERROR(INDEX(計算用!$M$2:$M$186,MATCH("男"&amp;手直し!B42,計算用!$AO$2:$AO$186,0)),"？"))</f>
        <v/>
      </c>
      <c r="F40" s="26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6">
        <f>IF(OR($A40="",手直し!C42=""),"",IFERROR(INDEX(計算用!$M$2:$M$186,MATCH("男"&amp;手直し!C42,計算用!$AO$2:$AO$186,0)),"？"))</f>
        <v/>
      </c>
      <c r="I40" s="26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6">
        <f>IF(OR($A40="",手直し!D42=""),"",IFERROR(INDEX(計算用!$M$2:$M$186,MATCH("男"&amp;手直し!D42,計算用!$AO$2:$AO$186,0)),"？"))</f>
        <v/>
      </c>
      <c r="L40" s="26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6">
        <f>IF(OR($A40="",手直し!E42=""),"",IFERROR(INDEX(計算用!$M$2:$M$186,MATCH("男"&amp;手直し!E42,計算用!$AO$2:$AO$186,0)),"？"))</f>
        <v/>
      </c>
      <c r="O40" s="26">
        <f>IF(OR($A40="",手直し!E42=""),"",IFERROR(INDEX(計算用!$I$2:$I$186,MATCH("男"&amp;手直し!E42,計算用!$AO$2:$AO$186,0)),"？"))</f>
        <v/>
      </c>
      <c r="Q40" s="26">
        <f>IF(ROW()-3&lt;=計算用!$Q$14,ROW()-3,"")</f>
        <v/>
      </c>
      <c r="R40" s="26">
        <f>IF($Q40="","",手直し!M42)</f>
        <v/>
      </c>
      <c r="S40" s="26">
        <f>IF($Q40="","",手直し!N42)</f>
        <v/>
      </c>
      <c r="T40">
        <f>IF($Q40="","",手直し!F42&amp;"")</f>
        <v/>
      </c>
      <c r="U40" s="26">
        <f>IF(OR($Q40="",手直し!F42=""),"",IFERROR(INDEX(計算用!$M$2:$M$186,MATCH("女"&amp;手直し!F42,計算用!$AO$2:$AO$186,0)),"？"))</f>
        <v/>
      </c>
      <c r="V40" s="26">
        <f>IF(OR($Q40="",手直し!F42=""),"",IFERROR(INDEX(計算用!$I$2:$I$186,MATCH("女"&amp;手直し!F42,計算用!$AO$2:$AO$186,0)),"？"))</f>
        <v/>
      </c>
      <c r="W40">
        <f>IF($Q40="","",手直し!G42&amp;"")</f>
        <v/>
      </c>
      <c r="X40" s="26">
        <f>IF(OR($Q40="",手直し!G42=""),"",IFERROR(INDEX(計算用!$M$2:$M$186,MATCH("女"&amp;手直し!G42,計算用!$AO$2:$AO$186,0)),"？"))</f>
        <v/>
      </c>
      <c r="Y40" s="26">
        <f>IF(OR($Q40="",手直し!G42=""),"",IFERROR(INDEX(計算用!$I$2:$I$186,MATCH("女"&amp;手直し!G42,計算用!$AO$2:$AO$186,0)),"？"))</f>
        <v/>
      </c>
      <c r="Z40">
        <f>IF($Q40="","",手直し!H42&amp;"")</f>
        <v/>
      </c>
      <c r="AA40" s="26">
        <f>IF(OR($Q40="",手直し!H42=""),"",IFERROR(INDEX(計算用!$M$2:$M$186,MATCH("女"&amp;手直し!H42,計算用!$AO$2:$AO$186,0)),"？"))</f>
        <v/>
      </c>
      <c r="AB40" s="26">
        <f>IF(OR($Q40="",手直し!H42=""),"",IFERROR(INDEX(計算用!$I$2:$I$186,MATCH("女"&amp;手直し!H42,計算用!$AO$2:$AO$186,0)),"？"))</f>
        <v/>
      </c>
      <c r="AC40">
        <f>IF($Q40="","",手直し!I42&amp;"")</f>
        <v/>
      </c>
      <c r="AD40" s="26">
        <f>IF(OR($Q40="",手直し!I42=""),"",IFERROR(INDEX(計算用!$M$2:$M$186,MATCH("女"&amp;手直し!I42,計算用!$AO$2:$AO$186,0)),"？"))</f>
        <v/>
      </c>
      <c r="AE40" s="26">
        <f>IF(OR($Q40="",手直し!I42=""),"",IFERROR(INDEX(計算用!$I$2:$I$186,MATCH("女"&amp;手直し!I42,計算用!$AO$2:$AO$186,0)),"？"))</f>
        <v/>
      </c>
    </row>
    <row r="41">
      <c r="A41" s="26">
        <f>IF(ROW()-3&lt;=計算用!$Q$13,ROW()-3,"")</f>
        <v/>
      </c>
      <c r="B41" s="26">
        <f>IF($A41="","",手直し!K43)</f>
        <v/>
      </c>
      <c r="C41" s="26">
        <f>IF($A41="","",手直し!L43)</f>
        <v/>
      </c>
      <c r="D41">
        <f>IF($A41="","",手直し!B43&amp;"")</f>
        <v/>
      </c>
      <c r="E41" s="26">
        <f>IF(OR($A41="",手直し!B43=""),"",IFERROR(INDEX(計算用!$M$2:$M$186,MATCH("男"&amp;手直し!B43,計算用!$AO$2:$AO$186,0)),"？"))</f>
        <v/>
      </c>
      <c r="F41" s="26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6">
        <f>IF(OR($A41="",手直し!C43=""),"",IFERROR(INDEX(計算用!$M$2:$M$186,MATCH("男"&amp;手直し!C43,計算用!$AO$2:$AO$186,0)),"？"))</f>
        <v/>
      </c>
      <c r="I41" s="26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6">
        <f>IF(OR($A41="",手直し!D43=""),"",IFERROR(INDEX(計算用!$M$2:$M$186,MATCH("男"&amp;手直し!D43,計算用!$AO$2:$AO$186,0)),"？"))</f>
        <v/>
      </c>
      <c r="L41" s="26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6">
        <f>IF(OR($A41="",手直し!E43=""),"",IFERROR(INDEX(計算用!$M$2:$M$186,MATCH("男"&amp;手直し!E43,計算用!$AO$2:$AO$186,0)),"？"))</f>
        <v/>
      </c>
      <c r="O41" s="26">
        <f>IF(OR($A41="",手直し!E43=""),"",IFERROR(INDEX(計算用!$I$2:$I$186,MATCH("男"&amp;手直し!E43,計算用!$AO$2:$AO$186,0)),"？"))</f>
        <v/>
      </c>
      <c r="Q41" s="26">
        <f>IF(ROW()-3&lt;=計算用!$Q$14,ROW()-3,"")</f>
        <v/>
      </c>
      <c r="R41" s="26">
        <f>IF($Q41="","",手直し!M43)</f>
        <v/>
      </c>
      <c r="S41" s="26">
        <f>IF($Q41="","",手直し!N43)</f>
        <v/>
      </c>
      <c r="T41">
        <f>IF($Q41="","",手直し!F43&amp;"")</f>
        <v/>
      </c>
      <c r="U41" s="26">
        <f>IF(OR($Q41="",手直し!F43=""),"",IFERROR(INDEX(計算用!$M$2:$M$186,MATCH("女"&amp;手直し!F43,計算用!$AO$2:$AO$186,0)),"？"))</f>
        <v/>
      </c>
      <c r="V41" s="26">
        <f>IF(OR($Q41="",手直し!F43=""),"",IFERROR(INDEX(計算用!$I$2:$I$186,MATCH("女"&amp;手直し!F43,計算用!$AO$2:$AO$186,0)),"？"))</f>
        <v/>
      </c>
      <c r="W41">
        <f>IF($Q41="","",手直し!G43&amp;"")</f>
        <v/>
      </c>
      <c r="X41" s="26">
        <f>IF(OR($Q41="",手直し!G43=""),"",IFERROR(INDEX(計算用!$M$2:$M$186,MATCH("女"&amp;手直し!G43,計算用!$AO$2:$AO$186,0)),"？"))</f>
        <v/>
      </c>
      <c r="Y41" s="26">
        <f>IF(OR($Q41="",手直し!G43=""),"",IFERROR(INDEX(計算用!$I$2:$I$186,MATCH("女"&amp;手直し!G43,計算用!$AO$2:$AO$186,0)),"？"))</f>
        <v/>
      </c>
      <c r="Z41">
        <f>IF($Q41="","",手直し!H43&amp;"")</f>
        <v/>
      </c>
      <c r="AA41" s="26">
        <f>IF(OR($Q41="",手直し!H43=""),"",IFERROR(INDEX(計算用!$M$2:$M$186,MATCH("女"&amp;手直し!H43,計算用!$AO$2:$AO$186,0)),"？"))</f>
        <v/>
      </c>
      <c r="AB41" s="26">
        <f>IF(OR($Q41="",手直し!H43=""),"",IFERROR(INDEX(計算用!$I$2:$I$186,MATCH("女"&amp;手直し!H43,計算用!$AO$2:$AO$186,0)),"？"))</f>
        <v/>
      </c>
      <c r="AC41">
        <f>IF($Q41="","",手直し!I43&amp;"")</f>
        <v/>
      </c>
      <c r="AD41" s="26">
        <f>IF(OR($Q41="",手直し!I43=""),"",IFERROR(INDEX(計算用!$M$2:$M$186,MATCH("女"&amp;手直し!I43,計算用!$AO$2:$AO$186,0)),"？"))</f>
        <v/>
      </c>
      <c r="AE41" s="26">
        <f>IF(OR($Q41="",手直し!I43=""),"",IFERROR(INDEX(計算用!$I$2:$I$186,MATCH("女"&amp;手直し!I43,計算用!$AO$2:$AO$186,0)),"？"))</f>
        <v/>
      </c>
    </row>
    <row r="42">
      <c r="A42" s="26">
        <f>IF(ROW()-3&lt;=計算用!$Q$13,ROW()-3,"")</f>
        <v/>
      </c>
      <c r="B42" s="26">
        <f>IF($A42="","",手直し!K44)</f>
        <v/>
      </c>
      <c r="C42" s="26">
        <f>IF($A42="","",手直し!L44)</f>
        <v/>
      </c>
      <c r="D42">
        <f>IF($A42="","",手直し!B44&amp;"")</f>
        <v/>
      </c>
      <c r="E42" s="26">
        <f>IF(OR($A42="",手直し!B44=""),"",IFERROR(INDEX(計算用!$M$2:$M$186,MATCH("男"&amp;手直し!B44,計算用!$AO$2:$AO$186,0)),"？"))</f>
        <v/>
      </c>
      <c r="F42" s="26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6">
        <f>IF(OR($A42="",手直し!C44=""),"",IFERROR(INDEX(計算用!$M$2:$M$186,MATCH("男"&amp;手直し!C44,計算用!$AO$2:$AO$186,0)),"？"))</f>
        <v/>
      </c>
      <c r="I42" s="26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6">
        <f>IF(OR($A42="",手直し!D44=""),"",IFERROR(INDEX(計算用!$M$2:$M$186,MATCH("男"&amp;手直し!D44,計算用!$AO$2:$AO$186,0)),"？"))</f>
        <v/>
      </c>
      <c r="L42" s="26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6">
        <f>IF(OR($A42="",手直し!E44=""),"",IFERROR(INDEX(計算用!$M$2:$M$186,MATCH("男"&amp;手直し!E44,計算用!$AO$2:$AO$186,0)),"？"))</f>
        <v/>
      </c>
      <c r="O42" s="26">
        <f>IF(OR($A42="",手直し!E44=""),"",IFERROR(INDEX(計算用!$I$2:$I$186,MATCH("男"&amp;手直し!E44,計算用!$AO$2:$AO$186,0)),"？"))</f>
        <v/>
      </c>
      <c r="Q42" s="26">
        <f>IF(ROW()-3&lt;=計算用!$Q$14,ROW()-3,"")</f>
        <v/>
      </c>
      <c r="R42" s="26">
        <f>IF($Q42="","",手直し!M44)</f>
        <v/>
      </c>
      <c r="S42" s="26">
        <f>IF($Q42="","",手直し!N44)</f>
        <v/>
      </c>
      <c r="T42">
        <f>IF($Q42="","",手直し!F44&amp;"")</f>
        <v/>
      </c>
      <c r="U42" s="26">
        <f>IF(OR($Q42="",手直し!F44=""),"",IFERROR(INDEX(計算用!$M$2:$M$186,MATCH("女"&amp;手直し!F44,計算用!$AO$2:$AO$186,0)),"？"))</f>
        <v/>
      </c>
      <c r="V42" s="26">
        <f>IF(OR($Q42="",手直し!F44=""),"",IFERROR(INDEX(計算用!$I$2:$I$186,MATCH("女"&amp;手直し!F44,計算用!$AO$2:$AO$186,0)),"？"))</f>
        <v/>
      </c>
      <c r="W42">
        <f>IF($Q42="","",手直し!G44&amp;"")</f>
        <v/>
      </c>
      <c r="X42" s="26">
        <f>IF(OR($Q42="",手直し!G44=""),"",IFERROR(INDEX(計算用!$M$2:$M$186,MATCH("女"&amp;手直し!G44,計算用!$AO$2:$AO$186,0)),"？"))</f>
        <v/>
      </c>
      <c r="Y42" s="26">
        <f>IF(OR($Q42="",手直し!G44=""),"",IFERROR(INDEX(計算用!$I$2:$I$186,MATCH("女"&amp;手直し!G44,計算用!$AO$2:$AO$186,0)),"？"))</f>
        <v/>
      </c>
      <c r="Z42">
        <f>IF($Q42="","",手直し!H44&amp;"")</f>
        <v/>
      </c>
      <c r="AA42" s="26">
        <f>IF(OR($Q42="",手直し!H44=""),"",IFERROR(INDEX(計算用!$M$2:$M$186,MATCH("女"&amp;手直し!H44,計算用!$AO$2:$AO$186,0)),"？"))</f>
        <v/>
      </c>
      <c r="AB42" s="26">
        <f>IF(OR($Q42="",手直し!H44=""),"",IFERROR(INDEX(計算用!$I$2:$I$186,MATCH("女"&amp;手直し!H44,計算用!$AO$2:$AO$186,0)),"？"))</f>
        <v/>
      </c>
      <c r="AC42">
        <f>IF($Q42="","",手直し!I44&amp;"")</f>
        <v/>
      </c>
      <c r="AD42" s="26">
        <f>IF(OR($Q42="",手直し!I44=""),"",IFERROR(INDEX(計算用!$M$2:$M$186,MATCH("女"&amp;手直し!I44,計算用!$AO$2:$AO$186,0)),"？"))</f>
        <v/>
      </c>
      <c r="AE42" s="26">
        <f>IF(OR($Q42="",手直し!I44=""),"",IFERROR(INDEX(計算用!$I$2:$I$186,MATCH("女"&amp;手直し!I44,計算用!$AO$2:$AO$186,0)),"？"))</f>
        <v/>
      </c>
    </row>
    <row r="43">
      <c r="A43" s="26">
        <f>IF(ROW()-3&lt;=計算用!$Q$13,ROW()-3,"")</f>
        <v/>
      </c>
      <c r="B43" s="26">
        <f>IF($A43="","",手直し!K45)</f>
        <v/>
      </c>
      <c r="C43" s="26">
        <f>IF($A43="","",手直し!L45)</f>
        <v/>
      </c>
      <c r="D43">
        <f>IF($A43="","",手直し!B45&amp;"")</f>
        <v/>
      </c>
      <c r="E43" s="26">
        <f>IF(OR($A43="",手直し!B45=""),"",IFERROR(INDEX(計算用!$M$2:$M$186,MATCH("男"&amp;手直し!B45,計算用!$AO$2:$AO$186,0)),"？"))</f>
        <v/>
      </c>
      <c r="F43" s="26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6">
        <f>IF(OR($A43="",手直し!C45=""),"",IFERROR(INDEX(計算用!$M$2:$M$186,MATCH("男"&amp;手直し!C45,計算用!$AO$2:$AO$186,0)),"？"))</f>
        <v/>
      </c>
      <c r="I43" s="26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6">
        <f>IF(OR($A43="",手直し!D45=""),"",IFERROR(INDEX(計算用!$M$2:$M$186,MATCH("男"&amp;手直し!D45,計算用!$AO$2:$AO$186,0)),"？"))</f>
        <v/>
      </c>
      <c r="L43" s="26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6">
        <f>IF(OR($A43="",手直し!E45=""),"",IFERROR(INDEX(計算用!$M$2:$M$186,MATCH("男"&amp;手直し!E45,計算用!$AO$2:$AO$186,0)),"？"))</f>
        <v/>
      </c>
      <c r="O43" s="26">
        <f>IF(OR($A43="",手直し!E45=""),"",IFERROR(INDEX(計算用!$I$2:$I$186,MATCH("男"&amp;手直し!E45,計算用!$AO$2:$AO$186,0)),"？"))</f>
        <v/>
      </c>
      <c r="Q43" s="26">
        <f>IF(ROW()-3&lt;=計算用!$Q$14,ROW()-3,"")</f>
        <v/>
      </c>
      <c r="R43" s="26">
        <f>IF($Q43="","",手直し!M45)</f>
        <v/>
      </c>
      <c r="S43" s="26">
        <f>IF($Q43="","",手直し!N45)</f>
        <v/>
      </c>
      <c r="T43">
        <f>IF($Q43="","",手直し!F45&amp;"")</f>
        <v/>
      </c>
      <c r="U43" s="26">
        <f>IF(OR($Q43="",手直し!F45=""),"",IFERROR(INDEX(計算用!$M$2:$M$186,MATCH("女"&amp;手直し!F45,計算用!$AO$2:$AO$186,0)),"？"))</f>
        <v/>
      </c>
      <c r="V43" s="26">
        <f>IF(OR($Q43="",手直し!F45=""),"",IFERROR(INDEX(計算用!$I$2:$I$186,MATCH("女"&amp;手直し!F45,計算用!$AO$2:$AO$186,0)),"？"))</f>
        <v/>
      </c>
      <c r="W43">
        <f>IF($Q43="","",手直し!G45&amp;"")</f>
        <v/>
      </c>
      <c r="X43" s="26">
        <f>IF(OR($Q43="",手直し!G45=""),"",IFERROR(INDEX(計算用!$M$2:$M$186,MATCH("女"&amp;手直し!G45,計算用!$AO$2:$AO$186,0)),"？"))</f>
        <v/>
      </c>
      <c r="Y43" s="26">
        <f>IF(OR($Q43="",手直し!G45=""),"",IFERROR(INDEX(計算用!$I$2:$I$186,MATCH("女"&amp;手直し!G45,計算用!$AO$2:$AO$186,0)),"？"))</f>
        <v/>
      </c>
      <c r="Z43">
        <f>IF($Q43="","",手直し!H45&amp;"")</f>
        <v/>
      </c>
      <c r="AA43" s="26">
        <f>IF(OR($Q43="",手直し!H45=""),"",IFERROR(INDEX(計算用!$M$2:$M$186,MATCH("女"&amp;手直し!H45,計算用!$AO$2:$AO$186,0)),"？"))</f>
        <v/>
      </c>
      <c r="AB43" s="26">
        <f>IF(OR($Q43="",手直し!H45=""),"",IFERROR(INDEX(計算用!$I$2:$I$186,MATCH("女"&amp;手直し!H45,計算用!$AO$2:$AO$186,0)),"？"))</f>
        <v/>
      </c>
      <c r="AC43">
        <f>IF($Q43="","",手直し!I45&amp;"")</f>
        <v/>
      </c>
      <c r="AD43" s="26">
        <f>IF(OR($Q43="",手直し!I45=""),"",IFERROR(INDEX(計算用!$M$2:$M$186,MATCH("女"&amp;手直し!I45,計算用!$AO$2:$AO$186,0)),"？"))</f>
        <v/>
      </c>
      <c r="AE43" s="26">
        <f>IF(OR($Q43="",手直し!I45=""),"",IFERROR(INDEX(計算用!$I$2:$I$186,MATCH("女"&amp;手直し!I45,計算用!$AO$2:$AO$186,0)),"？"))</f>
        <v/>
      </c>
    </row>
    <row r="44">
      <c r="A44" s="26">
        <f>IF(ROW()-3&lt;=計算用!$Q$13,ROW()-3,"")</f>
        <v/>
      </c>
      <c r="B44" s="26">
        <f>IF($A44="","",手直し!K46)</f>
        <v/>
      </c>
      <c r="C44" s="26">
        <f>IF($A44="","",手直し!L46)</f>
        <v/>
      </c>
      <c r="D44">
        <f>IF($A44="","",手直し!B46&amp;"")</f>
        <v/>
      </c>
      <c r="E44" s="26">
        <f>IF(OR($A44="",手直し!B46=""),"",IFERROR(INDEX(計算用!$M$2:$M$186,MATCH("男"&amp;手直し!B46,計算用!$AO$2:$AO$186,0)),"？"))</f>
        <v/>
      </c>
      <c r="F44" s="26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6">
        <f>IF(OR($A44="",手直し!C46=""),"",IFERROR(INDEX(計算用!$M$2:$M$186,MATCH("男"&amp;手直し!C46,計算用!$AO$2:$AO$186,0)),"？"))</f>
        <v/>
      </c>
      <c r="I44" s="26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6">
        <f>IF(OR($A44="",手直し!D46=""),"",IFERROR(INDEX(計算用!$M$2:$M$186,MATCH("男"&amp;手直し!D46,計算用!$AO$2:$AO$186,0)),"？"))</f>
        <v/>
      </c>
      <c r="L44" s="26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6">
        <f>IF(OR($A44="",手直し!E46=""),"",IFERROR(INDEX(計算用!$M$2:$M$186,MATCH("男"&amp;手直し!E46,計算用!$AO$2:$AO$186,0)),"？"))</f>
        <v/>
      </c>
      <c r="O44" s="26">
        <f>IF(OR($A44="",手直し!E46=""),"",IFERROR(INDEX(計算用!$I$2:$I$186,MATCH("男"&amp;手直し!E46,計算用!$AO$2:$AO$186,0)),"？"))</f>
        <v/>
      </c>
      <c r="Q44" s="26">
        <f>IF(ROW()-3&lt;=計算用!$Q$14,ROW()-3,"")</f>
        <v/>
      </c>
      <c r="R44" s="26">
        <f>IF($Q44="","",手直し!M46)</f>
        <v/>
      </c>
      <c r="S44" s="26">
        <f>IF($Q44="","",手直し!N46)</f>
        <v/>
      </c>
      <c r="T44">
        <f>IF($Q44="","",手直し!F46&amp;"")</f>
        <v/>
      </c>
      <c r="U44" s="26">
        <f>IF(OR($Q44="",手直し!F46=""),"",IFERROR(INDEX(計算用!$M$2:$M$186,MATCH("女"&amp;手直し!F46,計算用!$AO$2:$AO$186,0)),"？"))</f>
        <v/>
      </c>
      <c r="V44" s="26">
        <f>IF(OR($Q44="",手直し!F46=""),"",IFERROR(INDEX(計算用!$I$2:$I$186,MATCH("女"&amp;手直し!F46,計算用!$AO$2:$AO$186,0)),"？"))</f>
        <v/>
      </c>
      <c r="W44">
        <f>IF($Q44="","",手直し!G46&amp;"")</f>
        <v/>
      </c>
      <c r="X44" s="26">
        <f>IF(OR($Q44="",手直し!G46=""),"",IFERROR(INDEX(計算用!$M$2:$M$186,MATCH("女"&amp;手直し!G46,計算用!$AO$2:$AO$186,0)),"？"))</f>
        <v/>
      </c>
      <c r="Y44" s="26">
        <f>IF(OR($Q44="",手直し!G46=""),"",IFERROR(INDEX(計算用!$I$2:$I$186,MATCH("女"&amp;手直し!G46,計算用!$AO$2:$AO$186,0)),"？"))</f>
        <v/>
      </c>
      <c r="Z44">
        <f>IF($Q44="","",手直し!H46&amp;"")</f>
        <v/>
      </c>
      <c r="AA44" s="26">
        <f>IF(OR($Q44="",手直し!H46=""),"",IFERROR(INDEX(計算用!$M$2:$M$186,MATCH("女"&amp;手直し!H46,計算用!$AO$2:$AO$186,0)),"？"))</f>
        <v/>
      </c>
      <c r="AB44" s="26">
        <f>IF(OR($Q44="",手直し!H46=""),"",IFERROR(INDEX(計算用!$I$2:$I$186,MATCH("女"&amp;手直し!H46,計算用!$AO$2:$AO$186,0)),"？"))</f>
        <v/>
      </c>
      <c r="AC44">
        <f>IF($Q44="","",手直し!I46&amp;"")</f>
        <v/>
      </c>
      <c r="AD44" s="26">
        <f>IF(OR($Q44="",手直し!I46=""),"",IFERROR(INDEX(計算用!$M$2:$M$186,MATCH("女"&amp;手直し!I46,計算用!$AO$2:$AO$186,0)),"？"))</f>
        <v/>
      </c>
      <c r="AE44" s="26">
        <f>IF(OR($Q44="",手直し!I46=""),"",IFERROR(INDEX(計算用!$I$2:$I$186,MATCH("女"&amp;手直し!I46,計算用!$AO$2:$AO$186,0)),"？"))</f>
        <v/>
      </c>
    </row>
    <row r="45">
      <c r="A45" s="26">
        <f>IF(ROW()-3&lt;=計算用!$Q$13,ROW()-3,"")</f>
        <v/>
      </c>
      <c r="B45" s="26">
        <f>IF($A45="","",手直し!K47)</f>
        <v/>
      </c>
      <c r="C45" s="26">
        <f>IF($A45="","",手直し!L47)</f>
        <v/>
      </c>
      <c r="D45">
        <f>IF($A45="","",手直し!B47&amp;"")</f>
        <v/>
      </c>
      <c r="E45" s="26">
        <f>IF(OR($A45="",手直し!B47=""),"",IFERROR(INDEX(計算用!$M$2:$M$186,MATCH("男"&amp;手直し!B47,計算用!$AO$2:$AO$186,0)),"？"))</f>
        <v/>
      </c>
      <c r="F45" s="26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6">
        <f>IF(OR($A45="",手直し!C47=""),"",IFERROR(INDEX(計算用!$M$2:$M$186,MATCH("男"&amp;手直し!C47,計算用!$AO$2:$AO$186,0)),"？"))</f>
        <v/>
      </c>
      <c r="I45" s="26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6">
        <f>IF(OR($A45="",手直し!D47=""),"",IFERROR(INDEX(計算用!$M$2:$M$186,MATCH("男"&amp;手直し!D47,計算用!$AO$2:$AO$186,0)),"？"))</f>
        <v/>
      </c>
      <c r="L45" s="26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6">
        <f>IF(OR($A45="",手直し!E47=""),"",IFERROR(INDEX(計算用!$M$2:$M$186,MATCH("男"&amp;手直し!E47,計算用!$AO$2:$AO$186,0)),"？"))</f>
        <v/>
      </c>
      <c r="O45" s="26">
        <f>IF(OR($A45="",手直し!E47=""),"",IFERROR(INDEX(計算用!$I$2:$I$186,MATCH("男"&amp;手直し!E47,計算用!$AO$2:$AO$186,0)),"？"))</f>
        <v/>
      </c>
      <c r="Q45" s="26">
        <f>IF(ROW()-3&lt;=計算用!$Q$14,ROW()-3,"")</f>
        <v/>
      </c>
      <c r="R45" s="26">
        <f>IF($Q45="","",手直し!M47)</f>
        <v/>
      </c>
      <c r="S45" s="26">
        <f>IF($Q45="","",手直し!N47)</f>
        <v/>
      </c>
      <c r="T45">
        <f>IF($Q45="","",手直し!F47&amp;"")</f>
        <v/>
      </c>
      <c r="U45" s="26">
        <f>IF(OR($Q45="",手直し!F47=""),"",IFERROR(INDEX(計算用!$M$2:$M$186,MATCH("女"&amp;手直し!F47,計算用!$AO$2:$AO$186,0)),"？"))</f>
        <v/>
      </c>
      <c r="V45" s="26">
        <f>IF(OR($Q45="",手直し!F47=""),"",IFERROR(INDEX(計算用!$I$2:$I$186,MATCH("女"&amp;手直し!F47,計算用!$AO$2:$AO$186,0)),"？"))</f>
        <v/>
      </c>
      <c r="W45">
        <f>IF($Q45="","",手直し!G47&amp;"")</f>
        <v/>
      </c>
      <c r="X45" s="26">
        <f>IF(OR($Q45="",手直し!G47=""),"",IFERROR(INDEX(計算用!$M$2:$M$186,MATCH("女"&amp;手直し!G47,計算用!$AO$2:$AO$186,0)),"？"))</f>
        <v/>
      </c>
      <c r="Y45" s="26">
        <f>IF(OR($Q45="",手直し!G47=""),"",IFERROR(INDEX(計算用!$I$2:$I$186,MATCH("女"&amp;手直し!G47,計算用!$AO$2:$AO$186,0)),"？"))</f>
        <v/>
      </c>
      <c r="Z45">
        <f>IF($Q45="","",手直し!H47&amp;"")</f>
        <v/>
      </c>
      <c r="AA45" s="26">
        <f>IF(OR($Q45="",手直し!H47=""),"",IFERROR(INDEX(計算用!$M$2:$M$186,MATCH("女"&amp;手直し!H47,計算用!$AO$2:$AO$186,0)),"？"))</f>
        <v/>
      </c>
      <c r="AB45" s="26">
        <f>IF(OR($Q45="",手直し!H47=""),"",IFERROR(INDEX(計算用!$I$2:$I$186,MATCH("女"&amp;手直し!H47,計算用!$AO$2:$AO$186,0)),"？"))</f>
        <v/>
      </c>
      <c r="AC45">
        <f>IF($Q45="","",手直し!I47&amp;"")</f>
        <v/>
      </c>
      <c r="AD45" s="26">
        <f>IF(OR($Q45="",手直し!I47=""),"",IFERROR(INDEX(計算用!$M$2:$M$186,MATCH("女"&amp;手直し!I47,計算用!$AO$2:$AO$186,0)),"？"))</f>
        <v/>
      </c>
      <c r="AE45" s="26">
        <f>IF(OR($Q45="",手直し!I47=""),"",IFERROR(INDEX(計算用!$I$2:$I$186,MATCH("女"&amp;手直し!I47,計算用!$AO$2:$AO$186,0)),"？"))</f>
        <v/>
      </c>
    </row>
    <row r="46">
      <c r="A46" s="26">
        <f>IF(ROW()-3&lt;=計算用!$Q$13,ROW()-3,"")</f>
        <v/>
      </c>
      <c r="B46" s="26">
        <f>IF($A46="","",手直し!K48)</f>
        <v/>
      </c>
      <c r="C46" s="26">
        <f>IF($A46="","",手直し!L48)</f>
        <v/>
      </c>
      <c r="D46">
        <f>IF($A46="","",手直し!B48&amp;"")</f>
        <v/>
      </c>
      <c r="E46" s="26">
        <f>IF(OR($A46="",手直し!B48=""),"",IFERROR(INDEX(計算用!$M$2:$M$186,MATCH("男"&amp;手直し!B48,計算用!$AO$2:$AO$186,0)),"？"))</f>
        <v/>
      </c>
      <c r="F46" s="26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6">
        <f>IF(OR($A46="",手直し!C48=""),"",IFERROR(INDEX(計算用!$M$2:$M$186,MATCH("男"&amp;手直し!C48,計算用!$AO$2:$AO$186,0)),"？"))</f>
        <v/>
      </c>
      <c r="I46" s="26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6">
        <f>IF(OR($A46="",手直し!D48=""),"",IFERROR(INDEX(計算用!$M$2:$M$186,MATCH("男"&amp;手直し!D48,計算用!$AO$2:$AO$186,0)),"？"))</f>
        <v/>
      </c>
      <c r="L46" s="26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6">
        <f>IF(OR($A46="",手直し!E48=""),"",IFERROR(INDEX(計算用!$M$2:$M$186,MATCH("男"&amp;手直し!E48,計算用!$AO$2:$AO$186,0)),"？"))</f>
        <v/>
      </c>
      <c r="O46" s="26">
        <f>IF(OR($A46="",手直し!E48=""),"",IFERROR(INDEX(計算用!$I$2:$I$186,MATCH("男"&amp;手直し!E48,計算用!$AO$2:$AO$186,0)),"？"))</f>
        <v/>
      </c>
      <c r="Q46" s="26">
        <f>IF(ROW()-3&lt;=計算用!$Q$14,ROW()-3,"")</f>
        <v/>
      </c>
      <c r="R46" s="26">
        <f>IF($Q46="","",手直し!M48)</f>
        <v/>
      </c>
      <c r="S46" s="26">
        <f>IF($Q46="","",手直し!N48)</f>
        <v/>
      </c>
      <c r="T46">
        <f>IF($Q46="","",手直し!F48&amp;"")</f>
        <v/>
      </c>
      <c r="U46" s="26">
        <f>IF(OR($Q46="",手直し!F48=""),"",IFERROR(INDEX(計算用!$M$2:$M$186,MATCH("女"&amp;手直し!F48,計算用!$AO$2:$AO$186,0)),"？"))</f>
        <v/>
      </c>
      <c r="V46" s="26">
        <f>IF(OR($Q46="",手直し!F48=""),"",IFERROR(INDEX(計算用!$I$2:$I$186,MATCH("女"&amp;手直し!F48,計算用!$AO$2:$AO$186,0)),"？"))</f>
        <v/>
      </c>
      <c r="W46">
        <f>IF($Q46="","",手直し!G48&amp;"")</f>
        <v/>
      </c>
      <c r="X46" s="26">
        <f>IF(OR($Q46="",手直し!G48=""),"",IFERROR(INDEX(計算用!$M$2:$M$186,MATCH("女"&amp;手直し!G48,計算用!$AO$2:$AO$186,0)),"？"))</f>
        <v/>
      </c>
      <c r="Y46" s="26">
        <f>IF(OR($Q46="",手直し!G48=""),"",IFERROR(INDEX(計算用!$I$2:$I$186,MATCH("女"&amp;手直し!G48,計算用!$AO$2:$AO$186,0)),"？"))</f>
        <v/>
      </c>
      <c r="Z46">
        <f>IF($Q46="","",手直し!H48&amp;"")</f>
        <v/>
      </c>
      <c r="AA46" s="26">
        <f>IF(OR($Q46="",手直し!H48=""),"",IFERROR(INDEX(計算用!$M$2:$M$186,MATCH("女"&amp;手直し!H48,計算用!$AO$2:$AO$186,0)),"？"))</f>
        <v/>
      </c>
      <c r="AB46" s="26">
        <f>IF(OR($Q46="",手直し!H48=""),"",IFERROR(INDEX(計算用!$I$2:$I$186,MATCH("女"&amp;手直し!H48,計算用!$AO$2:$AO$186,0)),"？"))</f>
        <v/>
      </c>
      <c r="AC46">
        <f>IF($Q46="","",手直し!I48&amp;"")</f>
        <v/>
      </c>
      <c r="AD46" s="26">
        <f>IF(OR($Q46="",手直し!I48=""),"",IFERROR(INDEX(計算用!$M$2:$M$186,MATCH("女"&amp;手直し!I48,計算用!$AO$2:$AO$186,0)),"？"))</f>
        <v/>
      </c>
      <c r="AE46" s="26">
        <f>IF(OR($Q46="",手直し!I48=""),"",IFERROR(INDEX(計算用!$I$2:$I$186,MATCH("女"&amp;手直し!I48,計算用!$AO$2:$AO$186,0)),"？"))</f>
        <v/>
      </c>
    </row>
    <row r="47">
      <c r="A47" s="26">
        <f>IF(ROW()-3&lt;=計算用!$Q$13,ROW()-3,"")</f>
        <v/>
      </c>
      <c r="B47" s="26">
        <f>IF($A47="","",手直し!K49)</f>
        <v/>
      </c>
      <c r="C47" s="26">
        <f>IF($A47="","",手直し!L49)</f>
        <v/>
      </c>
      <c r="D47">
        <f>IF($A47="","",手直し!B49&amp;"")</f>
        <v/>
      </c>
      <c r="E47" s="26">
        <f>IF(OR($A47="",手直し!B49=""),"",IFERROR(INDEX(計算用!$M$2:$M$186,MATCH("男"&amp;手直し!B49,計算用!$AO$2:$AO$186,0)),"？"))</f>
        <v/>
      </c>
      <c r="F47" s="26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6">
        <f>IF(OR($A47="",手直し!C49=""),"",IFERROR(INDEX(計算用!$M$2:$M$186,MATCH("男"&amp;手直し!C49,計算用!$AO$2:$AO$186,0)),"？"))</f>
        <v/>
      </c>
      <c r="I47" s="26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6">
        <f>IF(OR($A47="",手直し!D49=""),"",IFERROR(INDEX(計算用!$M$2:$M$186,MATCH("男"&amp;手直し!D49,計算用!$AO$2:$AO$186,0)),"？"))</f>
        <v/>
      </c>
      <c r="L47" s="26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6">
        <f>IF(OR($A47="",手直し!E49=""),"",IFERROR(INDEX(計算用!$M$2:$M$186,MATCH("男"&amp;手直し!E49,計算用!$AO$2:$AO$186,0)),"？"))</f>
        <v/>
      </c>
      <c r="O47" s="26">
        <f>IF(OR($A47="",手直し!E49=""),"",IFERROR(INDEX(計算用!$I$2:$I$186,MATCH("男"&amp;手直し!E49,計算用!$AO$2:$AO$186,0)),"？"))</f>
        <v/>
      </c>
      <c r="Q47" s="26">
        <f>IF(ROW()-3&lt;=計算用!$Q$14,ROW()-3,"")</f>
        <v/>
      </c>
      <c r="R47" s="26">
        <f>IF($Q47="","",手直し!M49)</f>
        <v/>
      </c>
      <c r="S47" s="26">
        <f>IF($Q47="","",手直し!N49)</f>
        <v/>
      </c>
      <c r="T47">
        <f>IF($Q47="","",手直し!F49&amp;"")</f>
        <v/>
      </c>
      <c r="U47" s="26">
        <f>IF(OR($Q47="",手直し!F49=""),"",IFERROR(INDEX(計算用!$M$2:$M$186,MATCH("女"&amp;手直し!F49,計算用!$AO$2:$AO$186,0)),"？"))</f>
        <v/>
      </c>
      <c r="V47" s="26">
        <f>IF(OR($Q47="",手直し!F49=""),"",IFERROR(INDEX(計算用!$I$2:$I$186,MATCH("女"&amp;手直し!F49,計算用!$AO$2:$AO$186,0)),"？"))</f>
        <v/>
      </c>
      <c r="W47">
        <f>IF($Q47="","",手直し!G49&amp;"")</f>
        <v/>
      </c>
      <c r="X47" s="26">
        <f>IF(OR($Q47="",手直し!G49=""),"",IFERROR(INDEX(計算用!$M$2:$M$186,MATCH("女"&amp;手直し!G49,計算用!$AO$2:$AO$186,0)),"？"))</f>
        <v/>
      </c>
      <c r="Y47" s="26">
        <f>IF(OR($Q47="",手直し!G49=""),"",IFERROR(INDEX(計算用!$I$2:$I$186,MATCH("女"&amp;手直し!G49,計算用!$AO$2:$AO$186,0)),"？"))</f>
        <v/>
      </c>
      <c r="Z47">
        <f>IF($Q47="","",手直し!H49&amp;"")</f>
        <v/>
      </c>
      <c r="AA47" s="26">
        <f>IF(OR($Q47="",手直し!H49=""),"",IFERROR(INDEX(計算用!$M$2:$M$186,MATCH("女"&amp;手直し!H49,計算用!$AO$2:$AO$186,0)),"？"))</f>
        <v/>
      </c>
      <c r="AB47" s="26">
        <f>IF(OR($Q47="",手直し!H49=""),"",IFERROR(INDEX(計算用!$I$2:$I$186,MATCH("女"&amp;手直し!H49,計算用!$AO$2:$AO$186,0)),"？"))</f>
        <v/>
      </c>
      <c r="AC47">
        <f>IF($Q47="","",手直し!I49&amp;"")</f>
        <v/>
      </c>
      <c r="AD47" s="26">
        <f>IF(OR($Q47="",手直し!I49=""),"",IFERROR(INDEX(計算用!$M$2:$M$186,MATCH("女"&amp;手直し!I49,計算用!$AO$2:$AO$186,0)),"？"))</f>
        <v/>
      </c>
      <c r="AE47" s="26">
        <f>IF(OR($Q47="",手直し!I49=""),"",IFERROR(INDEX(計算用!$I$2:$I$186,MATCH("女"&amp;手直し!I49,計算用!$AO$2:$AO$186,0)),"？"))</f>
        <v/>
      </c>
    </row>
    <row r="48">
      <c r="A48" s="26">
        <f>IF(ROW()-3&lt;=計算用!$Q$13,ROW()-3,"")</f>
        <v/>
      </c>
      <c r="B48" s="26">
        <f>IF($A48="","",手直し!K50)</f>
        <v/>
      </c>
      <c r="C48" s="26">
        <f>IF($A48="","",手直し!L50)</f>
        <v/>
      </c>
      <c r="D48">
        <f>IF($A48="","",手直し!B50&amp;"")</f>
        <v/>
      </c>
      <c r="E48" s="26">
        <f>IF(OR($A48="",手直し!B50=""),"",IFERROR(INDEX(計算用!$M$2:$M$186,MATCH("男"&amp;手直し!B50,計算用!$AO$2:$AO$186,0)),"？"))</f>
        <v/>
      </c>
      <c r="F48" s="26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6">
        <f>IF(OR($A48="",手直し!C50=""),"",IFERROR(INDEX(計算用!$M$2:$M$186,MATCH("男"&amp;手直し!C50,計算用!$AO$2:$AO$186,0)),"？"))</f>
        <v/>
      </c>
      <c r="I48" s="26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6">
        <f>IF(OR($A48="",手直し!D50=""),"",IFERROR(INDEX(計算用!$M$2:$M$186,MATCH("男"&amp;手直し!D50,計算用!$AO$2:$AO$186,0)),"？"))</f>
        <v/>
      </c>
      <c r="L48" s="26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6">
        <f>IF(OR($A48="",手直し!E50=""),"",IFERROR(INDEX(計算用!$M$2:$M$186,MATCH("男"&amp;手直し!E50,計算用!$AO$2:$AO$186,0)),"？"))</f>
        <v/>
      </c>
      <c r="O48" s="26">
        <f>IF(OR($A48="",手直し!E50=""),"",IFERROR(INDEX(計算用!$I$2:$I$186,MATCH("男"&amp;手直し!E50,計算用!$AO$2:$AO$186,0)),"？"))</f>
        <v/>
      </c>
      <c r="Q48" s="26">
        <f>IF(ROW()-3&lt;=計算用!$Q$14,ROW()-3,"")</f>
        <v/>
      </c>
      <c r="R48" s="26">
        <f>IF($Q48="","",手直し!M50)</f>
        <v/>
      </c>
      <c r="S48" s="26">
        <f>IF($Q48="","",手直し!N50)</f>
        <v/>
      </c>
      <c r="T48">
        <f>IF($Q48="","",手直し!F50&amp;"")</f>
        <v/>
      </c>
      <c r="U48" s="26">
        <f>IF(OR($Q48="",手直し!F50=""),"",IFERROR(INDEX(計算用!$M$2:$M$186,MATCH("女"&amp;手直し!F50,計算用!$AO$2:$AO$186,0)),"？"))</f>
        <v/>
      </c>
      <c r="V48" s="26">
        <f>IF(OR($Q48="",手直し!F50=""),"",IFERROR(INDEX(計算用!$I$2:$I$186,MATCH("女"&amp;手直し!F50,計算用!$AO$2:$AO$186,0)),"？"))</f>
        <v/>
      </c>
      <c r="W48">
        <f>IF($Q48="","",手直し!G50&amp;"")</f>
        <v/>
      </c>
      <c r="X48" s="26">
        <f>IF(OR($Q48="",手直し!G50=""),"",IFERROR(INDEX(計算用!$M$2:$M$186,MATCH("女"&amp;手直し!G50,計算用!$AO$2:$AO$186,0)),"？"))</f>
        <v/>
      </c>
      <c r="Y48" s="26">
        <f>IF(OR($Q48="",手直し!G50=""),"",IFERROR(INDEX(計算用!$I$2:$I$186,MATCH("女"&amp;手直し!G50,計算用!$AO$2:$AO$186,0)),"？"))</f>
        <v/>
      </c>
      <c r="Z48">
        <f>IF($Q48="","",手直し!H50&amp;"")</f>
        <v/>
      </c>
      <c r="AA48" s="26">
        <f>IF(OR($Q48="",手直し!H50=""),"",IFERROR(INDEX(計算用!$M$2:$M$186,MATCH("女"&amp;手直し!H50,計算用!$AO$2:$AO$186,0)),"？"))</f>
        <v/>
      </c>
      <c r="AB48" s="26">
        <f>IF(OR($Q48="",手直し!H50=""),"",IFERROR(INDEX(計算用!$I$2:$I$186,MATCH("女"&amp;手直し!H50,計算用!$AO$2:$AO$186,0)),"？"))</f>
        <v/>
      </c>
      <c r="AC48">
        <f>IF($Q48="","",手直し!I50&amp;"")</f>
        <v/>
      </c>
      <c r="AD48" s="26">
        <f>IF(OR($Q48="",手直し!I50=""),"",IFERROR(INDEX(計算用!$M$2:$M$186,MATCH("女"&amp;手直し!I50,計算用!$AO$2:$AO$186,0)),"？"))</f>
        <v/>
      </c>
      <c r="AE48" s="26">
        <f>IF(OR($Q48="",手直し!I50=""),"",IFERROR(INDEX(計算用!$I$2:$I$186,MATCH("女"&amp;手直し!I50,計算用!$AO$2:$AO$186,0)),"？"))</f>
        <v/>
      </c>
    </row>
    <row r="49">
      <c r="A49" s="26">
        <f>IF(ROW()-3&lt;=計算用!$Q$13,ROW()-3,"")</f>
        <v/>
      </c>
      <c r="B49" s="26">
        <f>IF($A49="","",手直し!K51)</f>
        <v/>
      </c>
      <c r="C49" s="26">
        <f>IF($A49="","",手直し!L51)</f>
        <v/>
      </c>
      <c r="D49">
        <f>IF($A49="","",手直し!B51&amp;"")</f>
        <v/>
      </c>
      <c r="E49" s="26">
        <f>IF(OR($A49="",手直し!B51=""),"",IFERROR(INDEX(計算用!$M$2:$M$186,MATCH("男"&amp;手直し!B51,計算用!$AO$2:$AO$186,0)),"？"))</f>
        <v/>
      </c>
      <c r="F49" s="26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6">
        <f>IF(OR($A49="",手直し!C51=""),"",IFERROR(INDEX(計算用!$M$2:$M$186,MATCH("男"&amp;手直し!C51,計算用!$AO$2:$AO$186,0)),"？"))</f>
        <v/>
      </c>
      <c r="I49" s="26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6">
        <f>IF(OR($A49="",手直し!D51=""),"",IFERROR(INDEX(計算用!$M$2:$M$186,MATCH("男"&amp;手直し!D51,計算用!$AO$2:$AO$186,0)),"？"))</f>
        <v/>
      </c>
      <c r="L49" s="26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6">
        <f>IF(OR($A49="",手直し!E51=""),"",IFERROR(INDEX(計算用!$M$2:$M$186,MATCH("男"&amp;手直し!E51,計算用!$AO$2:$AO$186,0)),"？"))</f>
        <v/>
      </c>
      <c r="O49" s="26">
        <f>IF(OR($A49="",手直し!E51=""),"",IFERROR(INDEX(計算用!$I$2:$I$186,MATCH("男"&amp;手直し!E51,計算用!$AO$2:$AO$186,0)),"？"))</f>
        <v/>
      </c>
      <c r="Q49" s="26">
        <f>IF(ROW()-3&lt;=計算用!$Q$14,ROW()-3,"")</f>
        <v/>
      </c>
      <c r="R49" s="26">
        <f>IF($Q49="","",手直し!M51)</f>
        <v/>
      </c>
      <c r="S49" s="26">
        <f>IF($Q49="","",手直し!N51)</f>
        <v/>
      </c>
      <c r="T49">
        <f>IF($Q49="","",手直し!F51&amp;"")</f>
        <v/>
      </c>
      <c r="U49" s="26">
        <f>IF(OR($Q49="",手直し!F51=""),"",IFERROR(INDEX(計算用!$M$2:$M$186,MATCH("女"&amp;手直し!F51,計算用!$AO$2:$AO$186,0)),"？"))</f>
        <v/>
      </c>
      <c r="V49" s="26">
        <f>IF(OR($Q49="",手直し!F51=""),"",IFERROR(INDEX(計算用!$I$2:$I$186,MATCH("女"&amp;手直し!F51,計算用!$AO$2:$AO$186,0)),"？"))</f>
        <v/>
      </c>
      <c r="W49">
        <f>IF($Q49="","",手直し!G51&amp;"")</f>
        <v/>
      </c>
      <c r="X49" s="26">
        <f>IF(OR($Q49="",手直し!G51=""),"",IFERROR(INDEX(計算用!$M$2:$M$186,MATCH("女"&amp;手直し!G51,計算用!$AO$2:$AO$186,0)),"？"))</f>
        <v/>
      </c>
      <c r="Y49" s="26">
        <f>IF(OR($Q49="",手直し!G51=""),"",IFERROR(INDEX(計算用!$I$2:$I$186,MATCH("女"&amp;手直し!G51,計算用!$AO$2:$AO$186,0)),"？"))</f>
        <v/>
      </c>
      <c r="Z49">
        <f>IF($Q49="","",手直し!H51&amp;"")</f>
        <v/>
      </c>
      <c r="AA49" s="26">
        <f>IF(OR($Q49="",手直し!H51=""),"",IFERROR(INDEX(計算用!$M$2:$M$186,MATCH("女"&amp;手直し!H51,計算用!$AO$2:$AO$186,0)),"？"))</f>
        <v/>
      </c>
      <c r="AB49" s="26">
        <f>IF(OR($Q49="",手直し!H51=""),"",IFERROR(INDEX(計算用!$I$2:$I$186,MATCH("女"&amp;手直し!H51,計算用!$AO$2:$AO$186,0)),"？"))</f>
        <v/>
      </c>
      <c r="AC49">
        <f>IF($Q49="","",手直し!I51&amp;"")</f>
        <v/>
      </c>
      <c r="AD49" s="26">
        <f>IF(OR($Q49="",手直し!I51=""),"",IFERROR(INDEX(計算用!$M$2:$M$186,MATCH("女"&amp;手直し!I51,計算用!$AO$2:$AO$186,0)),"？"))</f>
        <v/>
      </c>
      <c r="AE49" s="26">
        <f>IF(OR($Q49="",手直し!I51=""),"",IFERROR(INDEX(計算用!$I$2:$I$186,MATCH("女"&amp;手直し!I51,計算用!$AO$2:$AO$186,0)),"？"))</f>
        <v/>
      </c>
    </row>
    <row r="50">
      <c r="A50" s="26">
        <f>IF(ROW()-3&lt;=計算用!$Q$13,ROW()-3,"")</f>
        <v/>
      </c>
      <c r="B50" s="26">
        <f>IF($A50="","",手直し!K52)</f>
        <v/>
      </c>
      <c r="C50" s="26">
        <f>IF($A50="","",手直し!L52)</f>
        <v/>
      </c>
      <c r="D50">
        <f>IF($A50="","",手直し!B52&amp;"")</f>
        <v/>
      </c>
      <c r="E50" s="26">
        <f>IF(OR($A50="",手直し!B52=""),"",IFERROR(INDEX(計算用!$M$2:$M$186,MATCH("男"&amp;手直し!B52,計算用!$AO$2:$AO$186,0)),"？"))</f>
        <v/>
      </c>
      <c r="F50" s="26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6">
        <f>IF(OR($A50="",手直し!C52=""),"",IFERROR(INDEX(計算用!$M$2:$M$186,MATCH("男"&amp;手直し!C52,計算用!$AO$2:$AO$186,0)),"？"))</f>
        <v/>
      </c>
      <c r="I50" s="26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6">
        <f>IF(OR($A50="",手直し!D52=""),"",IFERROR(INDEX(計算用!$M$2:$M$186,MATCH("男"&amp;手直し!D52,計算用!$AO$2:$AO$186,0)),"？"))</f>
        <v/>
      </c>
      <c r="L50" s="26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6">
        <f>IF(OR($A50="",手直し!E52=""),"",IFERROR(INDEX(計算用!$M$2:$M$186,MATCH("男"&amp;手直し!E52,計算用!$AO$2:$AO$186,0)),"？"))</f>
        <v/>
      </c>
      <c r="O50" s="26">
        <f>IF(OR($A50="",手直し!E52=""),"",IFERROR(INDEX(計算用!$I$2:$I$186,MATCH("男"&amp;手直し!E52,計算用!$AO$2:$AO$186,0)),"？"))</f>
        <v/>
      </c>
      <c r="Q50" s="26">
        <f>IF(ROW()-3&lt;=計算用!$Q$14,ROW()-3,"")</f>
        <v/>
      </c>
      <c r="R50" s="26">
        <f>IF($Q50="","",手直し!M52)</f>
        <v/>
      </c>
      <c r="S50" s="26">
        <f>IF($Q50="","",手直し!N52)</f>
        <v/>
      </c>
      <c r="T50">
        <f>IF($Q50="","",手直し!F52&amp;"")</f>
        <v/>
      </c>
      <c r="U50" s="26">
        <f>IF(OR($Q50="",手直し!F52=""),"",IFERROR(INDEX(計算用!$M$2:$M$186,MATCH("女"&amp;手直し!F52,計算用!$AO$2:$AO$186,0)),"？"))</f>
        <v/>
      </c>
      <c r="V50" s="26">
        <f>IF(OR($Q50="",手直し!F52=""),"",IFERROR(INDEX(計算用!$I$2:$I$186,MATCH("女"&amp;手直し!F52,計算用!$AO$2:$AO$186,0)),"？"))</f>
        <v/>
      </c>
      <c r="W50">
        <f>IF($Q50="","",手直し!G52&amp;"")</f>
        <v/>
      </c>
      <c r="X50" s="26">
        <f>IF(OR($Q50="",手直し!G52=""),"",IFERROR(INDEX(計算用!$M$2:$M$186,MATCH("女"&amp;手直し!G52,計算用!$AO$2:$AO$186,0)),"？"))</f>
        <v/>
      </c>
      <c r="Y50" s="26">
        <f>IF(OR($Q50="",手直し!G52=""),"",IFERROR(INDEX(計算用!$I$2:$I$186,MATCH("女"&amp;手直し!G52,計算用!$AO$2:$AO$186,0)),"？"))</f>
        <v/>
      </c>
      <c r="Z50">
        <f>IF($Q50="","",手直し!H52&amp;"")</f>
        <v/>
      </c>
      <c r="AA50" s="26">
        <f>IF(OR($Q50="",手直し!H52=""),"",IFERROR(INDEX(計算用!$M$2:$M$186,MATCH("女"&amp;手直し!H52,計算用!$AO$2:$AO$186,0)),"？"))</f>
        <v/>
      </c>
      <c r="AB50" s="26">
        <f>IF(OR($Q50="",手直し!H52=""),"",IFERROR(INDEX(計算用!$I$2:$I$186,MATCH("女"&amp;手直し!H52,計算用!$AO$2:$AO$186,0)),"？"))</f>
        <v/>
      </c>
      <c r="AC50">
        <f>IF($Q50="","",手直し!I52&amp;"")</f>
        <v/>
      </c>
      <c r="AD50" s="26">
        <f>IF(OR($Q50="",手直し!I52=""),"",IFERROR(INDEX(計算用!$M$2:$M$186,MATCH("女"&amp;手直し!I52,計算用!$AO$2:$AO$186,0)),"？"))</f>
        <v/>
      </c>
      <c r="AE50" s="26">
        <f>IF(OR($Q50="",手直し!I52=""),"",IFERROR(INDEX(計算用!$I$2:$I$186,MATCH("女"&amp;手直し!I52,計算用!$AO$2:$AO$186,0)),"？"))</f>
        <v/>
      </c>
    </row>
    <row r="51">
      <c r="A51" s="26">
        <f>IF(ROW()-3&lt;=計算用!$Q$13,ROW()-3,"")</f>
        <v/>
      </c>
      <c r="B51" s="26">
        <f>IF($A51="","",手直し!K53)</f>
        <v/>
      </c>
      <c r="C51" s="26">
        <f>IF($A51="","",手直し!L53)</f>
        <v/>
      </c>
      <c r="D51">
        <f>IF($A51="","",手直し!B53&amp;"")</f>
        <v/>
      </c>
      <c r="E51" s="26">
        <f>IF(OR($A51="",手直し!B53=""),"",IFERROR(INDEX(計算用!$M$2:$M$186,MATCH("男"&amp;手直し!B53,計算用!$AO$2:$AO$186,0)),"？"))</f>
        <v/>
      </c>
      <c r="F51" s="26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6">
        <f>IF(OR($A51="",手直し!C53=""),"",IFERROR(INDEX(計算用!$M$2:$M$186,MATCH("男"&amp;手直し!C53,計算用!$AO$2:$AO$186,0)),"？"))</f>
        <v/>
      </c>
      <c r="I51" s="26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6">
        <f>IF(OR($A51="",手直し!D53=""),"",IFERROR(INDEX(計算用!$M$2:$M$186,MATCH("男"&amp;手直し!D53,計算用!$AO$2:$AO$186,0)),"？"))</f>
        <v/>
      </c>
      <c r="L51" s="26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6">
        <f>IF(OR($A51="",手直し!E53=""),"",IFERROR(INDEX(計算用!$M$2:$M$186,MATCH("男"&amp;手直し!E53,計算用!$AO$2:$AO$186,0)),"？"))</f>
        <v/>
      </c>
      <c r="O51" s="26">
        <f>IF(OR($A51="",手直し!E53=""),"",IFERROR(INDEX(計算用!$I$2:$I$186,MATCH("男"&amp;手直し!E53,計算用!$AO$2:$AO$186,0)),"？"))</f>
        <v/>
      </c>
      <c r="Q51" s="26">
        <f>IF(ROW()-3&lt;=計算用!$Q$14,ROW()-3,"")</f>
        <v/>
      </c>
      <c r="R51" s="26">
        <f>IF($Q51="","",手直し!M53)</f>
        <v/>
      </c>
      <c r="S51" s="26">
        <f>IF($Q51="","",手直し!N53)</f>
        <v/>
      </c>
      <c r="T51">
        <f>IF($Q51="","",手直し!F53&amp;"")</f>
        <v/>
      </c>
      <c r="U51" s="26">
        <f>IF(OR($Q51="",手直し!F53=""),"",IFERROR(INDEX(計算用!$M$2:$M$186,MATCH("女"&amp;手直し!F53,計算用!$AO$2:$AO$186,0)),"？"))</f>
        <v/>
      </c>
      <c r="V51" s="26">
        <f>IF(OR($Q51="",手直し!F53=""),"",IFERROR(INDEX(計算用!$I$2:$I$186,MATCH("女"&amp;手直し!F53,計算用!$AO$2:$AO$186,0)),"？"))</f>
        <v/>
      </c>
      <c r="W51">
        <f>IF($Q51="","",手直し!G53&amp;"")</f>
        <v/>
      </c>
      <c r="X51" s="26">
        <f>IF(OR($Q51="",手直し!G53=""),"",IFERROR(INDEX(計算用!$M$2:$M$186,MATCH("女"&amp;手直し!G53,計算用!$AO$2:$AO$186,0)),"？"))</f>
        <v/>
      </c>
      <c r="Y51" s="26">
        <f>IF(OR($Q51="",手直し!G53=""),"",IFERROR(INDEX(計算用!$I$2:$I$186,MATCH("女"&amp;手直し!G53,計算用!$AO$2:$AO$186,0)),"？"))</f>
        <v/>
      </c>
      <c r="Z51">
        <f>IF($Q51="","",手直し!H53&amp;"")</f>
        <v/>
      </c>
      <c r="AA51" s="26">
        <f>IF(OR($Q51="",手直し!H53=""),"",IFERROR(INDEX(計算用!$M$2:$M$186,MATCH("女"&amp;手直し!H53,計算用!$AO$2:$AO$186,0)),"？"))</f>
        <v/>
      </c>
      <c r="AB51" s="26">
        <f>IF(OR($Q51="",手直し!H53=""),"",IFERROR(INDEX(計算用!$I$2:$I$186,MATCH("女"&amp;手直し!H53,計算用!$AO$2:$AO$186,0)),"？"))</f>
        <v/>
      </c>
      <c r="AC51">
        <f>IF($Q51="","",手直し!I53&amp;"")</f>
        <v/>
      </c>
      <c r="AD51" s="26">
        <f>IF(OR($Q51="",手直し!I53=""),"",IFERROR(INDEX(計算用!$M$2:$M$186,MATCH("女"&amp;手直し!I53,計算用!$AO$2:$AO$186,0)),"？"))</f>
        <v/>
      </c>
      <c r="AE51" s="26">
        <f>IF(OR($Q51="",手直し!I53=""),"",IFERROR(INDEX(計算用!$I$2:$I$186,MATCH("女"&amp;手直し!I53,計算用!$AO$2:$AO$186,0)),"？"))</f>
        <v/>
      </c>
    </row>
    <row r="52">
      <c r="A52" s="26">
        <f>IF(ROW()-3&lt;=計算用!$Q$13,ROW()-3,"")</f>
        <v/>
      </c>
      <c r="B52" s="26">
        <f>IF($A52="","",手直し!K54)</f>
        <v/>
      </c>
      <c r="C52" s="26">
        <f>IF($A52="","",手直し!L54)</f>
        <v/>
      </c>
      <c r="D52">
        <f>IF($A52="","",手直し!B54&amp;"")</f>
        <v/>
      </c>
      <c r="E52" s="26">
        <f>IF(OR($A52="",手直し!B54=""),"",IFERROR(INDEX(計算用!$M$2:$M$186,MATCH("男"&amp;手直し!B54,計算用!$AO$2:$AO$186,0)),"？"))</f>
        <v/>
      </c>
      <c r="F52" s="26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6">
        <f>IF(OR($A52="",手直し!C54=""),"",IFERROR(INDEX(計算用!$M$2:$M$186,MATCH("男"&amp;手直し!C54,計算用!$AO$2:$AO$186,0)),"？"))</f>
        <v/>
      </c>
      <c r="I52" s="26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6">
        <f>IF(OR($A52="",手直し!D54=""),"",IFERROR(INDEX(計算用!$M$2:$M$186,MATCH("男"&amp;手直し!D54,計算用!$AO$2:$AO$186,0)),"？"))</f>
        <v/>
      </c>
      <c r="L52" s="26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6">
        <f>IF(OR($A52="",手直し!E54=""),"",IFERROR(INDEX(計算用!$M$2:$M$186,MATCH("男"&amp;手直し!E54,計算用!$AO$2:$AO$186,0)),"？"))</f>
        <v/>
      </c>
      <c r="O52" s="26">
        <f>IF(OR($A52="",手直し!E54=""),"",IFERROR(INDEX(計算用!$I$2:$I$186,MATCH("男"&amp;手直し!E54,計算用!$AO$2:$AO$186,0)),"？"))</f>
        <v/>
      </c>
      <c r="Q52" s="26">
        <f>IF(ROW()-3&lt;=計算用!$Q$14,ROW()-3,"")</f>
        <v/>
      </c>
      <c r="R52" s="26">
        <f>IF($Q52="","",手直し!M54)</f>
        <v/>
      </c>
      <c r="S52" s="26">
        <f>IF($Q52="","",手直し!N54)</f>
        <v/>
      </c>
      <c r="T52">
        <f>IF($Q52="","",手直し!F54&amp;"")</f>
        <v/>
      </c>
      <c r="U52" s="26">
        <f>IF(OR($Q52="",手直し!F54=""),"",IFERROR(INDEX(計算用!$M$2:$M$186,MATCH("女"&amp;手直し!F54,計算用!$AO$2:$AO$186,0)),"？"))</f>
        <v/>
      </c>
      <c r="V52" s="26">
        <f>IF(OR($Q52="",手直し!F54=""),"",IFERROR(INDEX(計算用!$I$2:$I$186,MATCH("女"&amp;手直し!F54,計算用!$AO$2:$AO$186,0)),"？"))</f>
        <v/>
      </c>
      <c r="W52">
        <f>IF($Q52="","",手直し!G54&amp;"")</f>
        <v/>
      </c>
      <c r="X52" s="26">
        <f>IF(OR($Q52="",手直し!G54=""),"",IFERROR(INDEX(計算用!$M$2:$M$186,MATCH("女"&amp;手直し!G54,計算用!$AO$2:$AO$186,0)),"？"))</f>
        <v/>
      </c>
      <c r="Y52" s="26">
        <f>IF(OR($Q52="",手直し!G54=""),"",IFERROR(INDEX(計算用!$I$2:$I$186,MATCH("女"&amp;手直し!G54,計算用!$AO$2:$AO$186,0)),"？"))</f>
        <v/>
      </c>
      <c r="Z52">
        <f>IF($Q52="","",手直し!H54&amp;"")</f>
        <v/>
      </c>
      <c r="AA52" s="26">
        <f>IF(OR($Q52="",手直し!H54=""),"",IFERROR(INDEX(計算用!$M$2:$M$186,MATCH("女"&amp;手直し!H54,計算用!$AO$2:$AO$186,0)),"？"))</f>
        <v/>
      </c>
      <c r="AB52" s="26">
        <f>IF(OR($Q52="",手直し!H54=""),"",IFERROR(INDEX(計算用!$I$2:$I$186,MATCH("女"&amp;手直し!H54,計算用!$AO$2:$AO$186,0)),"？"))</f>
        <v/>
      </c>
      <c r="AC52">
        <f>IF($Q52="","",手直し!I54&amp;"")</f>
        <v/>
      </c>
      <c r="AD52" s="26">
        <f>IF(OR($Q52="",手直し!I54=""),"",IFERROR(INDEX(計算用!$M$2:$M$186,MATCH("女"&amp;手直し!I54,計算用!$AO$2:$AO$186,0)),"？"))</f>
        <v/>
      </c>
      <c r="AE52" s="26">
        <f>IF(OR($Q52="",手直し!I54=""),"",IFERROR(INDEX(計算用!$I$2:$I$186,MATCH("女"&amp;手直し!I54,計算用!$AO$2:$AO$186,0)),"？"))</f>
        <v/>
      </c>
    </row>
    <row r="53">
      <c r="A53" s="26">
        <f>IF(ROW()-3&lt;=計算用!$Q$13,ROW()-3,"")</f>
        <v/>
      </c>
      <c r="B53" s="26">
        <f>IF($A53="","",手直し!K55)</f>
        <v/>
      </c>
      <c r="C53" s="26">
        <f>IF($A53="","",手直し!L55)</f>
        <v/>
      </c>
      <c r="D53">
        <f>IF($A53="","",手直し!B55&amp;"")</f>
        <v/>
      </c>
      <c r="E53" s="26">
        <f>IF(OR($A53="",手直し!B55=""),"",IFERROR(INDEX(計算用!$M$2:$M$186,MATCH("男"&amp;手直し!B55,計算用!$AO$2:$AO$186,0)),"？"))</f>
        <v/>
      </c>
      <c r="F53" s="26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6">
        <f>IF(OR($A53="",手直し!C55=""),"",IFERROR(INDEX(計算用!$M$2:$M$186,MATCH("男"&amp;手直し!C55,計算用!$AO$2:$AO$186,0)),"？"))</f>
        <v/>
      </c>
      <c r="I53" s="26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6">
        <f>IF(OR($A53="",手直し!D55=""),"",IFERROR(INDEX(計算用!$M$2:$M$186,MATCH("男"&amp;手直し!D55,計算用!$AO$2:$AO$186,0)),"？"))</f>
        <v/>
      </c>
      <c r="L53" s="26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6">
        <f>IF(OR($A53="",手直し!E55=""),"",IFERROR(INDEX(計算用!$M$2:$M$186,MATCH("男"&amp;手直し!E55,計算用!$AO$2:$AO$186,0)),"？"))</f>
        <v/>
      </c>
      <c r="O53" s="26">
        <f>IF(OR($A53="",手直し!E55=""),"",IFERROR(INDEX(計算用!$I$2:$I$186,MATCH("男"&amp;手直し!E55,計算用!$AO$2:$AO$186,0)),"？"))</f>
        <v/>
      </c>
      <c r="Q53" s="26">
        <f>IF(ROW()-3&lt;=計算用!$Q$14,ROW()-3,"")</f>
        <v/>
      </c>
      <c r="R53" s="26">
        <f>IF($Q53="","",手直し!M55)</f>
        <v/>
      </c>
      <c r="S53" s="26">
        <f>IF($Q53="","",手直し!N55)</f>
        <v/>
      </c>
      <c r="T53">
        <f>IF($Q53="","",手直し!F55&amp;"")</f>
        <v/>
      </c>
      <c r="U53" s="26">
        <f>IF(OR($Q53="",手直し!F55=""),"",IFERROR(INDEX(計算用!$M$2:$M$186,MATCH("女"&amp;手直し!F55,計算用!$AO$2:$AO$186,0)),"？"))</f>
        <v/>
      </c>
      <c r="V53" s="26">
        <f>IF(OR($Q53="",手直し!F55=""),"",IFERROR(INDEX(計算用!$I$2:$I$186,MATCH("女"&amp;手直し!F55,計算用!$AO$2:$AO$186,0)),"？"))</f>
        <v/>
      </c>
      <c r="W53">
        <f>IF($Q53="","",手直し!G55&amp;"")</f>
        <v/>
      </c>
      <c r="X53" s="26">
        <f>IF(OR($Q53="",手直し!G55=""),"",IFERROR(INDEX(計算用!$M$2:$M$186,MATCH("女"&amp;手直し!G55,計算用!$AO$2:$AO$186,0)),"？"))</f>
        <v/>
      </c>
      <c r="Y53" s="26">
        <f>IF(OR($Q53="",手直し!G55=""),"",IFERROR(INDEX(計算用!$I$2:$I$186,MATCH("女"&amp;手直し!G55,計算用!$AO$2:$AO$186,0)),"？"))</f>
        <v/>
      </c>
      <c r="Z53">
        <f>IF($Q53="","",手直し!H55&amp;"")</f>
        <v/>
      </c>
      <c r="AA53" s="26">
        <f>IF(OR($Q53="",手直し!H55=""),"",IFERROR(INDEX(計算用!$M$2:$M$186,MATCH("女"&amp;手直し!H55,計算用!$AO$2:$AO$186,0)),"？"))</f>
        <v/>
      </c>
      <c r="AB53" s="26">
        <f>IF(OR($Q53="",手直し!H55=""),"",IFERROR(INDEX(計算用!$I$2:$I$186,MATCH("女"&amp;手直し!H55,計算用!$AO$2:$AO$186,0)),"？"))</f>
        <v/>
      </c>
      <c r="AC53">
        <f>IF($Q53="","",手直し!I55&amp;"")</f>
        <v/>
      </c>
      <c r="AD53" s="26">
        <f>IF(OR($Q53="",手直し!I55=""),"",IFERROR(INDEX(計算用!$M$2:$M$186,MATCH("女"&amp;手直し!I55,計算用!$AO$2:$AO$186,0)),"？"))</f>
        <v/>
      </c>
      <c r="AE53" s="26">
        <f>IF(OR($Q53="",手直し!I55=""),"",IFERROR(INDEX(計算用!$I$2:$I$186,MATCH("女"&amp;手直し!I55,計算用!$AO$2:$AO$186,0)),"？"))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14" stopIfTrue="1">
      <formula>AND($A4&lt;&gt;"",$B4=0)</formula>
    </cfRule>
    <cfRule type="expression" priority="2" dxfId="8" stopIfTrue="0">
      <formula>AND($A4&lt;&gt;"",OR($B4&lt;&gt;4,$C4&lt;&gt;"赤2白2"))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A4:O53">
    <cfRule type="expression" priority="7" dxfId="10">
      <formula>$A4&lt;&gt;""</formula>
    </cfRule>
  </conditionalFormatting>
  <conditionalFormatting sqref="Q4:S53">
    <cfRule type="expression" priority="8" dxfId="14" stopIfTrue="1">
      <formula>AND($Q4&lt;&gt;"",$R4=0)</formula>
    </cfRule>
    <cfRule type="expression" priority="9" dxfId="8" stopIfTrue="0">
      <formula>AND($Q4&lt;&gt;"",OR($R4&lt;&gt;4,$S4&lt;&gt;"赤2白2"))</formula>
    </cfRule>
  </conditionalFormatting>
  <conditionalFormatting sqref="V4:V53">
    <cfRule type="expression" priority="10" dxfId="9">
      <formula>V4="赤"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Q4:AE53">
    <cfRule type="expression" priority="14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</cols>
  <sheetData>
    <row r="1">
      <c r="A1" s="27" t="inlineStr">
        <is>
          <t>走順</t>
        </is>
      </c>
      <c r="E1" s="23">
        <f>IF(計算用!$Q$30=0,"","男子 "&amp;計算用!$Q$13&amp;"レース・女子 "&amp;計算用!$Q$14&amp;"レース　合計 "&amp;計算用!$Q$30&amp;"レース")</f>
        <v/>
      </c>
    </row>
    <row r="2">
      <c r="A2" s="33" t="inlineStr">
        <is>
          <t>先に走る</t>
        </is>
      </c>
      <c r="C2" s="34" t="inlineStr">
        <is>
          <t>男子</t>
        </is>
      </c>
      <c r="D2" t="inlineStr">
        <is>
          <t>← 男子か女子を選んでください</t>
        </is>
      </c>
      <c r="I2" s="24">
        <f>IF(OR(計算用!$Q$15&gt;0,計算用!$Q$16&gt;0),"※手直しシートに確認が必要なところがあります","")</f>
        <v/>
      </c>
    </row>
    <row r="4">
      <c r="A4" s="25" t="inlineStr">
        <is>
          <t>レース</t>
        </is>
      </c>
      <c r="B4" s="25" t="inlineStr">
        <is>
          <t>1コース</t>
        </is>
      </c>
      <c r="C4" s="25" t="n"/>
      <c r="D4" s="25" t="n"/>
      <c r="E4" s="25" t="inlineStr">
        <is>
          <t>2コース</t>
        </is>
      </c>
      <c r="F4" s="25" t="n"/>
      <c r="G4" s="25" t="n"/>
      <c r="H4" s="25" t="inlineStr">
        <is>
          <t>3コース</t>
        </is>
      </c>
      <c r="I4" s="25" t="n"/>
      <c r="J4" s="25" t="n"/>
      <c r="K4" s="25" t="inlineStr">
        <is>
          <t>4コース</t>
        </is>
      </c>
      <c r="L4" s="25" t="n"/>
      <c r="M4" s="25" t="n"/>
    </row>
    <row r="5">
      <c r="A5" s="25" t="n"/>
      <c r="B5" s="25" t="inlineStr">
        <is>
          <t>名前</t>
        </is>
      </c>
      <c r="C5" s="25" t="inlineStr">
        <is>
          <t>クラス</t>
        </is>
      </c>
      <c r="D5" s="25" t="inlineStr">
        <is>
          <t>色</t>
        </is>
      </c>
      <c r="E5" s="25" t="inlineStr">
        <is>
          <t>名前</t>
        </is>
      </c>
      <c r="F5" s="25" t="inlineStr">
        <is>
          <t>クラス</t>
        </is>
      </c>
      <c r="G5" s="25" t="inlineStr">
        <is>
          <t>色</t>
        </is>
      </c>
      <c r="H5" s="25" t="inlineStr">
        <is>
          <t>名前</t>
        </is>
      </c>
      <c r="I5" s="25" t="inlineStr">
        <is>
          <t>クラス</t>
        </is>
      </c>
      <c r="J5" s="25" t="inlineStr">
        <is>
          <t>色</t>
        </is>
      </c>
      <c r="K5" s="25" t="inlineStr">
        <is>
          <t>名前</t>
        </is>
      </c>
      <c r="L5" s="25" t="inlineStr">
        <is>
          <t>クラス</t>
        </is>
      </c>
      <c r="M5" s="25" t="inlineStr">
        <is>
          <t>色</t>
        </is>
      </c>
    </row>
    <row r="6">
      <c r="A6" s="26">
        <f>IF(計算用!$BB$2="","",計算用!$BA$2)</f>
        <v/>
      </c>
      <c r="B6">
        <f>IF($A6="","",INDEX(決定版!$A$4:$AE$53,計算用!$BE$2,IF(計算用!$BB$2="男",0,16)+4))</f>
        <v/>
      </c>
      <c r="C6" s="26">
        <f>IF($A6="","",INDEX(決定版!$A$4:$AE$53,計算用!$BE$2,IF(計算用!$BB$2="男",0,16)+5))</f>
        <v/>
      </c>
      <c r="D6" s="26">
        <f>IF($A6="","",INDEX(決定版!$A$4:$AE$53,計算用!$BE$2,IF(計算用!$BB$2="男",0,16)+6))</f>
        <v/>
      </c>
      <c r="E6">
        <f>IF($A6="","",INDEX(決定版!$A$4:$AE$53,計算用!$BE$2,IF(計算用!$BB$2="男",0,16)+7))</f>
        <v/>
      </c>
      <c r="F6" s="26">
        <f>IF($A6="","",INDEX(決定版!$A$4:$AE$53,計算用!$BE$2,IF(計算用!$BB$2="男",0,16)+8))</f>
        <v/>
      </c>
      <c r="G6" s="26">
        <f>IF($A6="","",INDEX(決定版!$A$4:$AE$53,計算用!$BE$2,IF(計算用!$BB$2="男",0,16)+9))</f>
        <v/>
      </c>
      <c r="H6">
        <f>IF($A6="","",INDEX(決定版!$A$4:$AE$53,計算用!$BE$2,IF(計算用!$BB$2="男",0,16)+10))</f>
        <v/>
      </c>
      <c r="I6" s="26">
        <f>IF($A6="","",INDEX(決定版!$A$4:$AE$53,計算用!$BE$2,IF(計算用!$BB$2="男",0,16)+11))</f>
        <v/>
      </c>
      <c r="J6" s="26">
        <f>IF($A6="","",INDEX(決定版!$A$4:$AE$53,計算用!$BE$2,IF(計算用!$BB$2="男",0,16)+12))</f>
        <v/>
      </c>
      <c r="K6">
        <f>IF($A6="","",INDEX(決定版!$A$4:$AE$53,計算用!$BE$2,IF(計算用!$BB$2="男",0,16)+13))</f>
        <v/>
      </c>
      <c r="L6" s="26">
        <f>IF($A6="","",INDEX(決定版!$A$4:$AE$53,計算用!$BE$2,IF(計算用!$BB$2="男",0,16)+14))</f>
        <v/>
      </c>
      <c r="M6" s="26">
        <f>IF($A6="","",INDEX(決定版!$A$4:$AE$53,計算用!$BE$2,IF(計算用!$BB$2="男",0,16)+15))</f>
        <v/>
      </c>
    </row>
    <row r="7">
      <c r="A7" s="26">
        <f>IF(計算用!$BB$3="","",計算用!$BA$3)</f>
        <v/>
      </c>
      <c r="B7">
        <f>IF($A7="","",INDEX(決定版!$A$4:$AE$53,計算用!$BE$3,IF(計算用!$BB$3="男",0,16)+4))</f>
        <v/>
      </c>
      <c r="C7" s="26">
        <f>IF($A7="","",INDEX(決定版!$A$4:$AE$53,計算用!$BE$3,IF(計算用!$BB$3="男",0,16)+5))</f>
        <v/>
      </c>
      <c r="D7" s="26">
        <f>IF($A7="","",INDEX(決定版!$A$4:$AE$53,計算用!$BE$3,IF(計算用!$BB$3="男",0,16)+6))</f>
        <v/>
      </c>
      <c r="E7">
        <f>IF($A7="","",INDEX(決定版!$A$4:$AE$53,計算用!$BE$3,IF(計算用!$BB$3="男",0,16)+7))</f>
        <v/>
      </c>
      <c r="F7" s="26">
        <f>IF($A7="","",INDEX(決定版!$A$4:$AE$53,計算用!$BE$3,IF(計算用!$BB$3="男",0,16)+8))</f>
        <v/>
      </c>
      <c r="G7" s="26">
        <f>IF($A7="","",INDEX(決定版!$A$4:$AE$53,計算用!$BE$3,IF(計算用!$BB$3="男",0,16)+9))</f>
        <v/>
      </c>
      <c r="H7">
        <f>IF($A7="","",INDEX(決定版!$A$4:$AE$53,計算用!$BE$3,IF(計算用!$BB$3="男",0,16)+10))</f>
        <v/>
      </c>
      <c r="I7" s="26">
        <f>IF($A7="","",INDEX(決定版!$A$4:$AE$53,計算用!$BE$3,IF(計算用!$BB$3="男",0,16)+11))</f>
        <v/>
      </c>
      <c r="J7" s="26">
        <f>IF($A7="","",INDEX(決定版!$A$4:$AE$53,計算用!$BE$3,IF(計算用!$BB$3="男",0,16)+12))</f>
        <v/>
      </c>
      <c r="K7">
        <f>IF($A7="","",INDEX(決定版!$A$4:$AE$53,計算用!$BE$3,IF(計算用!$BB$3="男",0,16)+13))</f>
        <v/>
      </c>
      <c r="L7" s="26">
        <f>IF($A7="","",INDEX(決定版!$A$4:$AE$53,計算用!$BE$3,IF(計算用!$BB$3="男",0,16)+14))</f>
        <v/>
      </c>
      <c r="M7" s="26">
        <f>IF($A7="","",INDEX(決定版!$A$4:$AE$53,計算用!$BE$3,IF(計算用!$BB$3="男",0,16)+15))</f>
        <v/>
      </c>
    </row>
    <row r="8">
      <c r="A8" s="26">
        <f>IF(計算用!$BB$4="","",計算用!$BA$4)</f>
        <v/>
      </c>
      <c r="B8">
        <f>IF($A8="","",INDEX(決定版!$A$4:$AE$53,計算用!$BE$4,IF(計算用!$BB$4="男",0,16)+4))</f>
        <v/>
      </c>
      <c r="C8" s="26">
        <f>IF($A8="","",INDEX(決定版!$A$4:$AE$53,計算用!$BE$4,IF(計算用!$BB$4="男",0,16)+5))</f>
        <v/>
      </c>
      <c r="D8" s="26">
        <f>IF($A8="","",INDEX(決定版!$A$4:$AE$53,計算用!$BE$4,IF(計算用!$BB$4="男",0,16)+6))</f>
        <v/>
      </c>
      <c r="E8">
        <f>IF($A8="","",INDEX(決定版!$A$4:$AE$53,計算用!$BE$4,IF(計算用!$BB$4="男",0,16)+7))</f>
        <v/>
      </c>
      <c r="F8" s="26">
        <f>IF($A8="","",INDEX(決定版!$A$4:$AE$53,計算用!$BE$4,IF(計算用!$BB$4="男",0,16)+8))</f>
        <v/>
      </c>
      <c r="G8" s="26">
        <f>IF($A8="","",INDEX(決定版!$A$4:$AE$53,計算用!$BE$4,IF(計算用!$BB$4="男",0,16)+9))</f>
        <v/>
      </c>
      <c r="H8">
        <f>IF($A8="","",INDEX(決定版!$A$4:$AE$53,計算用!$BE$4,IF(計算用!$BB$4="男",0,16)+10))</f>
        <v/>
      </c>
      <c r="I8" s="26">
        <f>IF($A8="","",INDEX(決定版!$A$4:$AE$53,計算用!$BE$4,IF(計算用!$BB$4="男",0,16)+11))</f>
        <v/>
      </c>
      <c r="J8" s="26">
        <f>IF($A8="","",INDEX(決定版!$A$4:$AE$53,計算用!$BE$4,IF(計算用!$BB$4="男",0,16)+12))</f>
        <v/>
      </c>
      <c r="K8">
        <f>IF($A8="","",INDEX(決定版!$A$4:$AE$53,計算用!$BE$4,IF(計算用!$BB$4="男",0,16)+13))</f>
        <v/>
      </c>
      <c r="L8" s="26">
        <f>IF($A8="","",INDEX(決定版!$A$4:$AE$53,計算用!$BE$4,IF(計算用!$BB$4="男",0,16)+14))</f>
        <v/>
      </c>
      <c r="M8" s="26">
        <f>IF($A8="","",INDEX(決定版!$A$4:$AE$53,計算用!$BE$4,IF(計算用!$BB$4="男",0,16)+15))</f>
        <v/>
      </c>
    </row>
    <row r="9">
      <c r="A9" s="26">
        <f>IF(計算用!$BB$5="","",計算用!$BA$5)</f>
        <v/>
      </c>
      <c r="B9">
        <f>IF($A9="","",INDEX(決定版!$A$4:$AE$53,計算用!$BE$5,IF(計算用!$BB$5="男",0,16)+4))</f>
        <v/>
      </c>
      <c r="C9" s="26">
        <f>IF($A9="","",INDEX(決定版!$A$4:$AE$53,計算用!$BE$5,IF(計算用!$BB$5="男",0,16)+5))</f>
        <v/>
      </c>
      <c r="D9" s="26">
        <f>IF($A9="","",INDEX(決定版!$A$4:$AE$53,計算用!$BE$5,IF(計算用!$BB$5="男",0,16)+6))</f>
        <v/>
      </c>
      <c r="E9">
        <f>IF($A9="","",INDEX(決定版!$A$4:$AE$53,計算用!$BE$5,IF(計算用!$BB$5="男",0,16)+7))</f>
        <v/>
      </c>
      <c r="F9" s="26">
        <f>IF($A9="","",INDEX(決定版!$A$4:$AE$53,計算用!$BE$5,IF(計算用!$BB$5="男",0,16)+8))</f>
        <v/>
      </c>
      <c r="G9" s="26">
        <f>IF($A9="","",INDEX(決定版!$A$4:$AE$53,計算用!$BE$5,IF(計算用!$BB$5="男",0,16)+9))</f>
        <v/>
      </c>
      <c r="H9">
        <f>IF($A9="","",INDEX(決定版!$A$4:$AE$53,計算用!$BE$5,IF(計算用!$BB$5="男",0,16)+10))</f>
        <v/>
      </c>
      <c r="I9" s="26">
        <f>IF($A9="","",INDEX(決定版!$A$4:$AE$53,計算用!$BE$5,IF(計算用!$BB$5="男",0,16)+11))</f>
        <v/>
      </c>
      <c r="J9" s="26">
        <f>IF($A9="","",INDEX(決定版!$A$4:$AE$53,計算用!$BE$5,IF(計算用!$BB$5="男",0,16)+12))</f>
        <v/>
      </c>
      <c r="K9">
        <f>IF($A9="","",INDEX(決定版!$A$4:$AE$53,計算用!$BE$5,IF(計算用!$BB$5="男",0,16)+13))</f>
        <v/>
      </c>
      <c r="L9" s="26">
        <f>IF($A9="","",INDEX(決定版!$A$4:$AE$53,計算用!$BE$5,IF(計算用!$BB$5="男",0,16)+14))</f>
        <v/>
      </c>
      <c r="M9" s="26">
        <f>IF($A9="","",INDEX(決定版!$A$4:$AE$53,計算用!$BE$5,IF(計算用!$BB$5="男",0,16)+15))</f>
        <v/>
      </c>
    </row>
    <row r="10">
      <c r="A10" s="26">
        <f>IF(計算用!$BB$6="","",計算用!$BA$6)</f>
        <v/>
      </c>
      <c r="B10">
        <f>IF($A10="","",INDEX(決定版!$A$4:$AE$53,計算用!$BE$6,IF(計算用!$BB$6="男",0,16)+4))</f>
        <v/>
      </c>
      <c r="C10" s="26">
        <f>IF($A10="","",INDEX(決定版!$A$4:$AE$53,計算用!$BE$6,IF(計算用!$BB$6="男",0,16)+5))</f>
        <v/>
      </c>
      <c r="D10" s="26">
        <f>IF($A10="","",INDEX(決定版!$A$4:$AE$53,計算用!$BE$6,IF(計算用!$BB$6="男",0,16)+6))</f>
        <v/>
      </c>
      <c r="E10">
        <f>IF($A10="","",INDEX(決定版!$A$4:$AE$53,計算用!$BE$6,IF(計算用!$BB$6="男",0,16)+7))</f>
        <v/>
      </c>
      <c r="F10" s="26">
        <f>IF($A10="","",INDEX(決定版!$A$4:$AE$53,計算用!$BE$6,IF(計算用!$BB$6="男",0,16)+8))</f>
        <v/>
      </c>
      <c r="G10" s="26">
        <f>IF($A10="","",INDEX(決定版!$A$4:$AE$53,計算用!$BE$6,IF(計算用!$BB$6="男",0,16)+9))</f>
        <v/>
      </c>
      <c r="H10">
        <f>IF($A10="","",INDEX(決定版!$A$4:$AE$53,計算用!$BE$6,IF(計算用!$BB$6="男",0,16)+10))</f>
        <v/>
      </c>
      <c r="I10" s="26">
        <f>IF($A10="","",INDEX(決定版!$A$4:$AE$53,計算用!$BE$6,IF(計算用!$BB$6="男",0,16)+11))</f>
        <v/>
      </c>
      <c r="J10" s="26">
        <f>IF($A10="","",INDEX(決定版!$A$4:$AE$53,計算用!$BE$6,IF(計算用!$BB$6="男",0,16)+12))</f>
        <v/>
      </c>
      <c r="K10">
        <f>IF($A10="","",INDEX(決定版!$A$4:$AE$53,計算用!$BE$6,IF(計算用!$BB$6="男",0,16)+13))</f>
        <v/>
      </c>
      <c r="L10" s="26">
        <f>IF($A10="","",INDEX(決定版!$A$4:$AE$53,計算用!$BE$6,IF(計算用!$BB$6="男",0,16)+14))</f>
        <v/>
      </c>
      <c r="M10" s="26">
        <f>IF($A10="","",INDEX(決定版!$A$4:$AE$53,計算用!$BE$6,IF(計算用!$BB$6="男",0,16)+15))</f>
        <v/>
      </c>
    </row>
    <row r="11">
      <c r="A11" s="26">
        <f>IF(計算用!$BB$7="","",計算用!$BA$7)</f>
        <v/>
      </c>
      <c r="B11">
        <f>IF($A11="","",INDEX(決定版!$A$4:$AE$53,計算用!$BE$7,IF(計算用!$BB$7="男",0,16)+4))</f>
        <v/>
      </c>
      <c r="C11" s="26">
        <f>IF($A11="","",INDEX(決定版!$A$4:$AE$53,計算用!$BE$7,IF(計算用!$BB$7="男",0,16)+5))</f>
        <v/>
      </c>
      <c r="D11" s="26">
        <f>IF($A11="","",INDEX(決定版!$A$4:$AE$53,計算用!$BE$7,IF(計算用!$BB$7="男",0,16)+6))</f>
        <v/>
      </c>
      <c r="E11">
        <f>IF($A11="","",INDEX(決定版!$A$4:$AE$53,計算用!$BE$7,IF(計算用!$BB$7="男",0,16)+7))</f>
        <v/>
      </c>
      <c r="F11" s="26">
        <f>IF($A11="","",INDEX(決定版!$A$4:$AE$53,計算用!$BE$7,IF(計算用!$BB$7="男",0,16)+8))</f>
        <v/>
      </c>
      <c r="G11" s="26">
        <f>IF($A11="","",INDEX(決定版!$A$4:$AE$53,計算用!$BE$7,IF(計算用!$BB$7="男",0,16)+9))</f>
        <v/>
      </c>
      <c r="H11">
        <f>IF($A11="","",INDEX(決定版!$A$4:$AE$53,計算用!$BE$7,IF(計算用!$BB$7="男",0,16)+10))</f>
        <v/>
      </c>
      <c r="I11" s="26">
        <f>IF($A11="","",INDEX(決定版!$A$4:$AE$53,計算用!$BE$7,IF(計算用!$BB$7="男",0,16)+11))</f>
        <v/>
      </c>
      <c r="J11" s="26">
        <f>IF($A11="","",INDEX(決定版!$A$4:$AE$53,計算用!$BE$7,IF(計算用!$BB$7="男",0,16)+12))</f>
        <v/>
      </c>
      <c r="K11">
        <f>IF($A11="","",INDEX(決定版!$A$4:$AE$53,計算用!$BE$7,IF(計算用!$BB$7="男",0,16)+13))</f>
        <v/>
      </c>
      <c r="L11" s="26">
        <f>IF($A11="","",INDEX(決定版!$A$4:$AE$53,計算用!$BE$7,IF(計算用!$BB$7="男",0,16)+14))</f>
        <v/>
      </c>
      <c r="M11" s="26">
        <f>IF($A11="","",INDEX(決定版!$A$4:$AE$53,計算用!$BE$7,IF(計算用!$BB$7="男",0,16)+15))</f>
        <v/>
      </c>
    </row>
    <row r="12">
      <c r="A12" s="26">
        <f>IF(計算用!$BB$8="","",計算用!$BA$8)</f>
        <v/>
      </c>
      <c r="B12">
        <f>IF($A12="","",INDEX(決定版!$A$4:$AE$53,計算用!$BE$8,IF(計算用!$BB$8="男",0,16)+4))</f>
        <v/>
      </c>
      <c r="C12" s="26">
        <f>IF($A12="","",INDEX(決定版!$A$4:$AE$53,計算用!$BE$8,IF(計算用!$BB$8="男",0,16)+5))</f>
        <v/>
      </c>
      <c r="D12" s="26">
        <f>IF($A12="","",INDEX(決定版!$A$4:$AE$53,計算用!$BE$8,IF(計算用!$BB$8="男",0,16)+6))</f>
        <v/>
      </c>
      <c r="E12">
        <f>IF($A12="","",INDEX(決定版!$A$4:$AE$53,計算用!$BE$8,IF(計算用!$BB$8="男",0,16)+7))</f>
        <v/>
      </c>
      <c r="F12" s="26">
        <f>IF($A12="","",INDEX(決定版!$A$4:$AE$53,計算用!$BE$8,IF(計算用!$BB$8="男",0,16)+8))</f>
        <v/>
      </c>
      <c r="G12" s="26">
        <f>IF($A12="","",INDEX(決定版!$A$4:$AE$53,計算用!$BE$8,IF(計算用!$BB$8="男",0,16)+9))</f>
        <v/>
      </c>
      <c r="H12">
        <f>IF($A12="","",INDEX(決定版!$A$4:$AE$53,計算用!$BE$8,IF(計算用!$BB$8="男",0,16)+10))</f>
        <v/>
      </c>
      <c r="I12" s="26">
        <f>IF($A12="","",INDEX(決定版!$A$4:$AE$53,計算用!$BE$8,IF(計算用!$BB$8="男",0,16)+11))</f>
        <v/>
      </c>
      <c r="J12" s="26">
        <f>IF($A12="","",INDEX(決定版!$A$4:$AE$53,計算用!$BE$8,IF(計算用!$BB$8="男",0,16)+12))</f>
        <v/>
      </c>
      <c r="K12">
        <f>IF($A12="","",INDEX(決定版!$A$4:$AE$53,計算用!$BE$8,IF(計算用!$BB$8="男",0,16)+13))</f>
        <v/>
      </c>
      <c r="L12" s="26">
        <f>IF($A12="","",INDEX(決定版!$A$4:$AE$53,計算用!$BE$8,IF(計算用!$BB$8="男",0,16)+14))</f>
        <v/>
      </c>
      <c r="M12" s="26">
        <f>IF($A12="","",INDEX(決定版!$A$4:$AE$53,計算用!$BE$8,IF(計算用!$BB$8="男",0,16)+15))</f>
        <v/>
      </c>
    </row>
    <row r="13">
      <c r="A13" s="26">
        <f>IF(計算用!$BB$9="","",計算用!$BA$9)</f>
        <v/>
      </c>
      <c r="B13">
        <f>IF($A13="","",INDEX(決定版!$A$4:$AE$53,計算用!$BE$9,IF(計算用!$BB$9="男",0,16)+4))</f>
        <v/>
      </c>
      <c r="C13" s="26">
        <f>IF($A13="","",INDEX(決定版!$A$4:$AE$53,計算用!$BE$9,IF(計算用!$BB$9="男",0,16)+5))</f>
        <v/>
      </c>
      <c r="D13" s="26">
        <f>IF($A13="","",INDEX(決定版!$A$4:$AE$53,計算用!$BE$9,IF(計算用!$BB$9="男",0,16)+6))</f>
        <v/>
      </c>
      <c r="E13">
        <f>IF($A13="","",INDEX(決定版!$A$4:$AE$53,計算用!$BE$9,IF(計算用!$BB$9="男",0,16)+7))</f>
        <v/>
      </c>
      <c r="F13" s="26">
        <f>IF($A13="","",INDEX(決定版!$A$4:$AE$53,計算用!$BE$9,IF(計算用!$BB$9="男",0,16)+8))</f>
        <v/>
      </c>
      <c r="G13" s="26">
        <f>IF($A13="","",INDEX(決定版!$A$4:$AE$53,計算用!$BE$9,IF(計算用!$BB$9="男",0,16)+9))</f>
        <v/>
      </c>
      <c r="H13">
        <f>IF($A13="","",INDEX(決定版!$A$4:$AE$53,計算用!$BE$9,IF(計算用!$BB$9="男",0,16)+10))</f>
        <v/>
      </c>
      <c r="I13" s="26">
        <f>IF($A13="","",INDEX(決定版!$A$4:$AE$53,計算用!$BE$9,IF(計算用!$BB$9="男",0,16)+11))</f>
        <v/>
      </c>
      <c r="J13" s="26">
        <f>IF($A13="","",INDEX(決定版!$A$4:$AE$53,計算用!$BE$9,IF(計算用!$BB$9="男",0,16)+12))</f>
        <v/>
      </c>
      <c r="K13">
        <f>IF($A13="","",INDEX(決定版!$A$4:$AE$53,計算用!$BE$9,IF(計算用!$BB$9="男",0,16)+13))</f>
        <v/>
      </c>
      <c r="L13" s="26">
        <f>IF($A13="","",INDEX(決定版!$A$4:$AE$53,計算用!$BE$9,IF(計算用!$BB$9="男",0,16)+14))</f>
        <v/>
      </c>
      <c r="M13" s="26">
        <f>IF($A13="","",INDEX(決定版!$A$4:$AE$53,計算用!$BE$9,IF(計算用!$BB$9="男",0,16)+15))</f>
        <v/>
      </c>
    </row>
    <row r="14">
      <c r="A14" s="26">
        <f>IF(計算用!$BB$10="","",計算用!$BA$10)</f>
        <v/>
      </c>
      <c r="B14">
        <f>IF($A14="","",INDEX(決定版!$A$4:$AE$53,計算用!$BE$10,IF(計算用!$BB$10="男",0,16)+4))</f>
        <v/>
      </c>
      <c r="C14" s="26">
        <f>IF($A14="","",INDEX(決定版!$A$4:$AE$53,計算用!$BE$10,IF(計算用!$BB$10="男",0,16)+5))</f>
        <v/>
      </c>
      <c r="D14" s="26">
        <f>IF($A14="","",INDEX(決定版!$A$4:$AE$53,計算用!$BE$10,IF(計算用!$BB$10="男",0,16)+6))</f>
        <v/>
      </c>
      <c r="E14">
        <f>IF($A14="","",INDEX(決定版!$A$4:$AE$53,計算用!$BE$10,IF(計算用!$BB$10="男",0,16)+7))</f>
        <v/>
      </c>
      <c r="F14" s="26">
        <f>IF($A14="","",INDEX(決定版!$A$4:$AE$53,計算用!$BE$10,IF(計算用!$BB$10="男",0,16)+8))</f>
        <v/>
      </c>
      <c r="G14" s="26">
        <f>IF($A14="","",INDEX(決定版!$A$4:$AE$53,計算用!$BE$10,IF(計算用!$BB$10="男",0,16)+9))</f>
        <v/>
      </c>
      <c r="H14">
        <f>IF($A14="","",INDEX(決定版!$A$4:$AE$53,計算用!$BE$10,IF(計算用!$BB$10="男",0,16)+10))</f>
        <v/>
      </c>
      <c r="I14" s="26">
        <f>IF($A14="","",INDEX(決定版!$A$4:$AE$53,計算用!$BE$10,IF(計算用!$BB$10="男",0,16)+11))</f>
        <v/>
      </c>
      <c r="J14" s="26">
        <f>IF($A14="","",INDEX(決定版!$A$4:$AE$53,計算用!$BE$10,IF(計算用!$BB$10="男",0,16)+12))</f>
        <v/>
      </c>
      <c r="K14">
        <f>IF($A14="","",INDEX(決定版!$A$4:$AE$53,計算用!$BE$10,IF(計算用!$BB$10="男",0,16)+13))</f>
        <v/>
      </c>
      <c r="L14" s="26">
        <f>IF($A14="","",INDEX(決定版!$A$4:$AE$53,計算用!$BE$10,IF(計算用!$BB$10="男",0,16)+14))</f>
        <v/>
      </c>
      <c r="M14" s="26">
        <f>IF($A14="","",INDEX(決定版!$A$4:$AE$53,計算用!$BE$10,IF(計算用!$BB$10="男",0,16)+15))</f>
        <v/>
      </c>
    </row>
    <row r="15">
      <c r="A15" s="26">
        <f>IF(計算用!$BB$11="","",計算用!$BA$11)</f>
        <v/>
      </c>
      <c r="B15">
        <f>IF($A15="","",INDEX(決定版!$A$4:$AE$53,計算用!$BE$11,IF(計算用!$BB$11="男",0,16)+4))</f>
        <v/>
      </c>
      <c r="C15" s="26">
        <f>IF($A15="","",INDEX(決定版!$A$4:$AE$53,計算用!$BE$11,IF(計算用!$BB$11="男",0,16)+5))</f>
        <v/>
      </c>
      <c r="D15" s="26">
        <f>IF($A15="","",INDEX(決定版!$A$4:$AE$53,計算用!$BE$11,IF(計算用!$BB$11="男",0,16)+6))</f>
        <v/>
      </c>
      <c r="E15">
        <f>IF($A15="","",INDEX(決定版!$A$4:$AE$53,計算用!$BE$11,IF(計算用!$BB$11="男",0,16)+7))</f>
        <v/>
      </c>
      <c r="F15" s="26">
        <f>IF($A15="","",INDEX(決定版!$A$4:$AE$53,計算用!$BE$11,IF(計算用!$BB$11="男",0,16)+8))</f>
        <v/>
      </c>
      <c r="G15" s="26">
        <f>IF($A15="","",INDEX(決定版!$A$4:$AE$53,計算用!$BE$11,IF(計算用!$BB$11="男",0,16)+9))</f>
        <v/>
      </c>
      <c r="H15">
        <f>IF($A15="","",INDEX(決定版!$A$4:$AE$53,計算用!$BE$11,IF(計算用!$BB$11="男",0,16)+10))</f>
        <v/>
      </c>
      <c r="I15" s="26">
        <f>IF($A15="","",INDEX(決定版!$A$4:$AE$53,計算用!$BE$11,IF(計算用!$BB$11="男",0,16)+11))</f>
        <v/>
      </c>
      <c r="J15" s="26">
        <f>IF($A15="","",INDEX(決定版!$A$4:$AE$53,計算用!$BE$11,IF(計算用!$BB$11="男",0,16)+12))</f>
        <v/>
      </c>
      <c r="K15">
        <f>IF($A15="","",INDEX(決定版!$A$4:$AE$53,計算用!$BE$11,IF(計算用!$BB$11="男",0,16)+13))</f>
        <v/>
      </c>
      <c r="L15" s="26">
        <f>IF($A15="","",INDEX(決定版!$A$4:$AE$53,計算用!$BE$11,IF(計算用!$BB$11="男",0,16)+14))</f>
        <v/>
      </c>
      <c r="M15" s="26">
        <f>IF($A15="","",INDEX(決定版!$A$4:$AE$53,計算用!$BE$11,IF(計算用!$BB$11="男",0,16)+15))</f>
        <v/>
      </c>
    </row>
    <row r="16">
      <c r="A16" s="26">
        <f>IF(計算用!$BB$12="","",計算用!$BA$12)</f>
        <v/>
      </c>
      <c r="B16">
        <f>IF($A16="","",INDEX(決定版!$A$4:$AE$53,計算用!$BE$12,IF(計算用!$BB$12="男",0,16)+4))</f>
        <v/>
      </c>
      <c r="C16" s="26">
        <f>IF($A16="","",INDEX(決定版!$A$4:$AE$53,計算用!$BE$12,IF(計算用!$BB$12="男",0,16)+5))</f>
        <v/>
      </c>
      <c r="D16" s="26">
        <f>IF($A16="","",INDEX(決定版!$A$4:$AE$53,計算用!$BE$12,IF(計算用!$BB$12="男",0,16)+6))</f>
        <v/>
      </c>
      <c r="E16">
        <f>IF($A16="","",INDEX(決定版!$A$4:$AE$53,計算用!$BE$12,IF(計算用!$BB$12="男",0,16)+7))</f>
        <v/>
      </c>
      <c r="F16" s="26">
        <f>IF($A16="","",INDEX(決定版!$A$4:$AE$53,計算用!$BE$12,IF(計算用!$BB$12="男",0,16)+8))</f>
        <v/>
      </c>
      <c r="G16" s="26">
        <f>IF($A16="","",INDEX(決定版!$A$4:$AE$53,計算用!$BE$12,IF(計算用!$BB$12="男",0,16)+9))</f>
        <v/>
      </c>
      <c r="H16">
        <f>IF($A16="","",INDEX(決定版!$A$4:$AE$53,計算用!$BE$12,IF(計算用!$BB$12="男",0,16)+10))</f>
        <v/>
      </c>
      <c r="I16" s="26">
        <f>IF($A16="","",INDEX(決定版!$A$4:$AE$53,計算用!$BE$12,IF(計算用!$BB$12="男",0,16)+11))</f>
        <v/>
      </c>
      <c r="J16" s="26">
        <f>IF($A16="","",INDEX(決定版!$A$4:$AE$53,計算用!$BE$12,IF(計算用!$BB$12="男",0,16)+12))</f>
        <v/>
      </c>
      <c r="K16">
        <f>IF($A16="","",INDEX(決定版!$A$4:$AE$53,計算用!$BE$12,IF(計算用!$BB$12="男",0,16)+13))</f>
        <v/>
      </c>
      <c r="L16" s="26">
        <f>IF($A16="","",INDEX(決定版!$A$4:$AE$53,計算用!$BE$12,IF(計算用!$BB$12="男",0,16)+14))</f>
        <v/>
      </c>
      <c r="M16" s="26">
        <f>IF($A16="","",INDEX(決定版!$A$4:$AE$53,計算用!$BE$12,IF(計算用!$BB$12="男",0,16)+15))</f>
        <v/>
      </c>
    </row>
    <row r="17">
      <c r="A17" s="26">
        <f>IF(計算用!$BB$13="","",計算用!$BA$13)</f>
        <v/>
      </c>
      <c r="B17">
        <f>IF($A17="","",INDEX(決定版!$A$4:$AE$53,計算用!$BE$13,IF(計算用!$BB$13="男",0,16)+4))</f>
        <v/>
      </c>
      <c r="C17" s="26">
        <f>IF($A17="","",INDEX(決定版!$A$4:$AE$53,計算用!$BE$13,IF(計算用!$BB$13="男",0,16)+5))</f>
        <v/>
      </c>
      <c r="D17" s="26">
        <f>IF($A17="","",INDEX(決定版!$A$4:$AE$53,計算用!$BE$13,IF(計算用!$BB$13="男",0,16)+6))</f>
        <v/>
      </c>
      <c r="E17">
        <f>IF($A17="","",INDEX(決定版!$A$4:$AE$53,計算用!$BE$13,IF(計算用!$BB$13="男",0,16)+7))</f>
        <v/>
      </c>
      <c r="F17" s="26">
        <f>IF($A17="","",INDEX(決定版!$A$4:$AE$53,計算用!$BE$13,IF(計算用!$BB$13="男",0,16)+8))</f>
        <v/>
      </c>
      <c r="G17" s="26">
        <f>IF($A17="","",INDEX(決定版!$A$4:$AE$53,計算用!$BE$13,IF(計算用!$BB$13="男",0,16)+9))</f>
        <v/>
      </c>
      <c r="H17">
        <f>IF($A17="","",INDEX(決定版!$A$4:$AE$53,計算用!$BE$13,IF(計算用!$BB$13="男",0,16)+10))</f>
        <v/>
      </c>
      <c r="I17" s="26">
        <f>IF($A17="","",INDEX(決定版!$A$4:$AE$53,計算用!$BE$13,IF(計算用!$BB$13="男",0,16)+11))</f>
        <v/>
      </c>
      <c r="J17" s="26">
        <f>IF($A17="","",INDEX(決定版!$A$4:$AE$53,計算用!$BE$13,IF(計算用!$BB$13="男",0,16)+12))</f>
        <v/>
      </c>
      <c r="K17">
        <f>IF($A17="","",INDEX(決定版!$A$4:$AE$53,計算用!$BE$13,IF(計算用!$BB$13="男",0,16)+13))</f>
        <v/>
      </c>
      <c r="L17" s="26">
        <f>IF($A17="","",INDEX(決定版!$A$4:$AE$53,計算用!$BE$13,IF(計算用!$BB$13="男",0,16)+14))</f>
        <v/>
      </c>
      <c r="M17" s="26">
        <f>IF($A17="","",INDEX(決定版!$A$4:$AE$53,計算用!$BE$13,IF(計算用!$BB$13="男",0,16)+15))</f>
        <v/>
      </c>
    </row>
    <row r="18">
      <c r="A18" s="26">
        <f>IF(計算用!$BB$14="","",計算用!$BA$14)</f>
        <v/>
      </c>
      <c r="B18">
        <f>IF($A18="","",INDEX(決定版!$A$4:$AE$53,計算用!$BE$14,IF(計算用!$BB$14="男",0,16)+4))</f>
        <v/>
      </c>
      <c r="C18" s="26">
        <f>IF($A18="","",INDEX(決定版!$A$4:$AE$53,計算用!$BE$14,IF(計算用!$BB$14="男",0,16)+5))</f>
        <v/>
      </c>
      <c r="D18" s="26">
        <f>IF($A18="","",INDEX(決定版!$A$4:$AE$53,計算用!$BE$14,IF(計算用!$BB$14="男",0,16)+6))</f>
        <v/>
      </c>
      <c r="E18">
        <f>IF($A18="","",INDEX(決定版!$A$4:$AE$53,計算用!$BE$14,IF(計算用!$BB$14="男",0,16)+7))</f>
        <v/>
      </c>
      <c r="F18" s="26">
        <f>IF($A18="","",INDEX(決定版!$A$4:$AE$53,計算用!$BE$14,IF(計算用!$BB$14="男",0,16)+8))</f>
        <v/>
      </c>
      <c r="G18" s="26">
        <f>IF($A18="","",INDEX(決定版!$A$4:$AE$53,計算用!$BE$14,IF(計算用!$BB$14="男",0,16)+9))</f>
        <v/>
      </c>
      <c r="H18">
        <f>IF($A18="","",INDEX(決定版!$A$4:$AE$53,計算用!$BE$14,IF(計算用!$BB$14="男",0,16)+10))</f>
        <v/>
      </c>
      <c r="I18" s="26">
        <f>IF($A18="","",INDEX(決定版!$A$4:$AE$53,計算用!$BE$14,IF(計算用!$BB$14="男",0,16)+11))</f>
        <v/>
      </c>
      <c r="J18" s="26">
        <f>IF($A18="","",INDEX(決定版!$A$4:$AE$53,計算用!$BE$14,IF(計算用!$BB$14="男",0,16)+12))</f>
        <v/>
      </c>
      <c r="K18">
        <f>IF($A18="","",INDEX(決定版!$A$4:$AE$53,計算用!$BE$14,IF(計算用!$BB$14="男",0,16)+13))</f>
        <v/>
      </c>
      <c r="L18" s="26">
        <f>IF($A18="","",INDEX(決定版!$A$4:$AE$53,計算用!$BE$14,IF(計算用!$BB$14="男",0,16)+14))</f>
        <v/>
      </c>
      <c r="M18" s="26">
        <f>IF($A18="","",INDEX(決定版!$A$4:$AE$53,計算用!$BE$14,IF(計算用!$BB$14="男",0,16)+15))</f>
        <v/>
      </c>
    </row>
    <row r="19">
      <c r="A19" s="26">
        <f>IF(計算用!$BB$15="","",計算用!$BA$15)</f>
        <v/>
      </c>
      <c r="B19">
        <f>IF($A19="","",INDEX(決定版!$A$4:$AE$53,計算用!$BE$15,IF(計算用!$BB$15="男",0,16)+4))</f>
        <v/>
      </c>
      <c r="C19" s="26">
        <f>IF($A19="","",INDEX(決定版!$A$4:$AE$53,計算用!$BE$15,IF(計算用!$BB$15="男",0,16)+5))</f>
        <v/>
      </c>
      <c r="D19" s="26">
        <f>IF($A19="","",INDEX(決定版!$A$4:$AE$53,計算用!$BE$15,IF(計算用!$BB$15="男",0,16)+6))</f>
        <v/>
      </c>
      <c r="E19">
        <f>IF($A19="","",INDEX(決定版!$A$4:$AE$53,計算用!$BE$15,IF(計算用!$BB$15="男",0,16)+7))</f>
        <v/>
      </c>
      <c r="F19" s="26">
        <f>IF($A19="","",INDEX(決定版!$A$4:$AE$53,計算用!$BE$15,IF(計算用!$BB$15="男",0,16)+8))</f>
        <v/>
      </c>
      <c r="G19" s="26">
        <f>IF($A19="","",INDEX(決定版!$A$4:$AE$53,計算用!$BE$15,IF(計算用!$BB$15="男",0,16)+9))</f>
        <v/>
      </c>
      <c r="H19">
        <f>IF($A19="","",INDEX(決定版!$A$4:$AE$53,計算用!$BE$15,IF(計算用!$BB$15="男",0,16)+10))</f>
        <v/>
      </c>
      <c r="I19" s="26">
        <f>IF($A19="","",INDEX(決定版!$A$4:$AE$53,計算用!$BE$15,IF(計算用!$BB$15="男",0,16)+11))</f>
        <v/>
      </c>
      <c r="J19" s="26">
        <f>IF($A19="","",INDEX(決定版!$A$4:$AE$53,計算用!$BE$15,IF(計算用!$BB$15="男",0,16)+12))</f>
        <v/>
      </c>
      <c r="K19">
        <f>IF($A19="","",INDEX(決定版!$A$4:$AE$53,計算用!$BE$15,IF(計算用!$BB$15="男",0,16)+13))</f>
        <v/>
      </c>
      <c r="L19" s="26">
        <f>IF($A19="","",INDEX(決定版!$A$4:$AE$53,計算用!$BE$15,IF(計算用!$BB$15="男",0,16)+14))</f>
        <v/>
      </c>
      <c r="M19" s="26">
        <f>IF($A19="","",INDEX(決定版!$A$4:$AE$53,計算用!$BE$15,IF(計算用!$BB$15="男",0,16)+15))</f>
        <v/>
      </c>
    </row>
    <row r="20">
      <c r="A20" s="26">
        <f>IF(計算用!$BB$16="","",計算用!$BA$16)</f>
        <v/>
      </c>
      <c r="B20">
        <f>IF($A20="","",INDEX(決定版!$A$4:$AE$53,計算用!$BE$16,IF(計算用!$BB$16="男",0,16)+4))</f>
        <v/>
      </c>
      <c r="C20" s="26">
        <f>IF($A20="","",INDEX(決定版!$A$4:$AE$53,計算用!$BE$16,IF(計算用!$BB$16="男",0,16)+5))</f>
        <v/>
      </c>
      <c r="D20" s="26">
        <f>IF($A20="","",INDEX(決定版!$A$4:$AE$53,計算用!$BE$16,IF(計算用!$BB$16="男",0,16)+6))</f>
        <v/>
      </c>
      <c r="E20">
        <f>IF($A20="","",INDEX(決定版!$A$4:$AE$53,計算用!$BE$16,IF(計算用!$BB$16="男",0,16)+7))</f>
        <v/>
      </c>
      <c r="F20" s="26">
        <f>IF($A20="","",INDEX(決定版!$A$4:$AE$53,計算用!$BE$16,IF(計算用!$BB$16="男",0,16)+8))</f>
        <v/>
      </c>
      <c r="G20" s="26">
        <f>IF($A20="","",INDEX(決定版!$A$4:$AE$53,計算用!$BE$16,IF(計算用!$BB$16="男",0,16)+9))</f>
        <v/>
      </c>
      <c r="H20">
        <f>IF($A20="","",INDEX(決定版!$A$4:$AE$53,計算用!$BE$16,IF(計算用!$BB$16="男",0,16)+10))</f>
        <v/>
      </c>
      <c r="I20" s="26">
        <f>IF($A20="","",INDEX(決定版!$A$4:$AE$53,計算用!$BE$16,IF(計算用!$BB$16="男",0,16)+11))</f>
        <v/>
      </c>
      <c r="J20" s="26">
        <f>IF($A20="","",INDEX(決定版!$A$4:$AE$53,計算用!$BE$16,IF(計算用!$BB$16="男",0,16)+12))</f>
        <v/>
      </c>
      <c r="K20">
        <f>IF($A20="","",INDEX(決定版!$A$4:$AE$53,計算用!$BE$16,IF(計算用!$BB$16="男",0,16)+13))</f>
        <v/>
      </c>
      <c r="L20" s="26">
        <f>IF($A20="","",INDEX(決定版!$A$4:$AE$53,計算用!$BE$16,IF(計算用!$BB$16="男",0,16)+14))</f>
        <v/>
      </c>
      <c r="M20" s="26">
        <f>IF($A20="","",INDEX(決定版!$A$4:$AE$53,計算用!$BE$16,IF(計算用!$BB$16="男",0,16)+15))</f>
        <v/>
      </c>
    </row>
    <row r="21">
      <c r="A21" s="26">
        <f>IF(計算用!$BB$17="","",計算用!$BA$17)</f>
        <v/>
      </c>
      <c r="B21">
        <f>IF($A21="","",INDEX(決定版!$A$4:$AE$53,計算用!$BE$17,IF(計算用!$BB$17="男",0,16)+4))</f>
        <v/>
      </c>
      <c r="C21" s="26">
        <f>IF($A21="","",INDEX(決定版!$A$4:$AE$53,計算用!$BE$17,IF(計算用!$BB$17="男",0,16)+5))</f>
        <v/>
      </c>
      <c r="D21" s="26">
        <f>IF($A21="","",INDEX(決定版!$A$4:$AE$53,計算用!$BE$17,IF(計算用!$BB$17="男",0,16)+6))</f>
        <v/>
      </c>
      <c r="E21">
        <f>IF($A21="","",INDEX(決定版!$A$4:$AE$53,計算用!$BE$17,IF(計算用!$BB$17="男",0,16)+7))</f>
        <v/>
      </c>
      <c r="F21" s="26">
        <f>IF($A21="","",INDEX(決定版!$A$4:$AE$53,計算用!$BE$17,IF(計算用!$BB$17="男",0,16)+8))</f>
        <v/>
      </c>
      <c r="G21" s="26">
        <f>IF($A21="","",INDEX(決定版!$A$4:$AE$53,計算用!$BE$17,IF(計算用!$BB$17="男",0,16)+9))</f>
        <v/>
      </c>
      <c r="H21">
        <f>IF($A21="","",INDEX(決定版!$A$4:$AE$53,計算用!$BE$17,IF(計算用!$BB$17="男",0,16)+10))</f>
        <v/>
      </c>
      <c r="I21" s="26">
        <f>IF($A21="","",INDEX(決定版!$A$4:$AE$53,計算用!$BE$17,IF(計算用!$BB$17="男",0,16)+11))</f>
        <v/>
      </c>
      <c r="J21" s="26">
        <f>IF($A21="","",INDEX(決定版!$A$4:$AE$53,計算用!$BE$17,IF(計算用!$BB$17="男",0,16)+12))</f>
        <v/>
      </c>
      <c r="K21">
        <f>IF($A21="","",INDEX(決定版!$A$4:$AE$53,計算用!$BE$17,IF(計算用!$BB$17="男",0,16)+13))</f>
        <v/>
      </c>
      <c r="L21" s="26">
        <f>IF($A21="","",INDEX(決定版!$A$4:$AE$53,計算用!$BE$17,IF(計算用!$BB$17="男",0,16)+14))</f>
        <v/>
      </c>
      <c r="M21" s="26">
        <f>IF($A21="","",INDEX(決定版!$A$4:$AE$53,計算用!$BE$17,IF(計算用!$BB$17="男",0,16)+15))</f>
        <v/>
      </c>
    </row>
    <row r="22">
      <c r="A22" s="26">
        <f>IF(計算用!$BB$18="","",計算用!$BA$18)</f>
        <v/>
      </c>
      <c r="B22">
        <f>IF($A22="","",INDEX(決定版!$A$4:$AE$53,計算用!$BE$18,IF(計算用!$BB$18="男",0,16)+4))</f>
        <v/>
      </c>
      <c r="C22" s="26">
        <f>IF($A22="","",INDEX(決定版!$A$4:$AE$53,計算用!$BE$18,IF(計算用!$BB$18="男",0,16)+5))</f>
        <v/>
      </c>
      <c r="D22" s="26">
        <f>IF($A22="","",INDEX(決定版!$A$4:$AE$53,計算用!$BE$18,IF(計算用!$BB$18="男",0,16)+6))</f>
        <v/>
      </c>
      <c r="E22">
        <f>IF($A22="","",INDEX(決定版!$A$4:$AE$53,計算用!$BE$18,IF(計算用!$BB$18="男",0,16)+7))</f>
        <v/>
      </c>
      <c r="F22" s="26">
        <f>IF($A22="","",INDEX(決定版!$A$4:$AE$53,計算用!$BE$18,IF(計算用!$BB$18="男",0,16)+8))</f>
        <v/>
      </c>
      <c r="G22" s="26">
        <f>IF($A22="","",INDEX(決定版!$A$4:$AE$53,計算用!$BE$18,IF(計算用!$BB$18="男",0,16)+9))</f>
        <v/>
      </c>
      <c r="H22">
        <f>IF($A22="","",INDEX(決定版!$A$4:$AE$53,計算用!$BE$18,IF(計算用!$BB$18="男",0,16)+10))</f>
        <v/>
      </c>
      <c r="I22" s="26">
        <f>IF($A22="","",INDEX(決定版!$A$4:$AE$53,計算用!$BE$18,IF(計算用!$BB$18="男",0,16)+11))</f>
        <v/>
      </c>
      <c r="J22" s="26">
        <f>IF($A22="","",INDEX(決定版!$A$4:$AE$53,計算用!$BE$18,IF(計算用!$BB$18="男",0,16)+12))</f>
        <v/>
      </c>
      <c r="K22">
        <f>IF($A22="","",INDEX(決定版!$A$4:$AE$53,計算用!$BE$18,IF(計算用!$BB$18="男",0,16)+13))</f>
        <v/>
      </c>
      <c r="L22" s="26">
        <f>IF($A22="","",INDEX(決定版!$A$4:$AE$53,計算用!$BE$18,IF(計算用!$BB$18="男",0,16)+14))</f>
        <v/>
      </c>
      <c r="M22" s="26">
        <f>IF($A22="","",INDEX(決定版!$A$4:$AE$53,計算用!$BE$18,IF(計算用!$BB$18="男",0,16)+15))</f>
        <v/>
      </c>
    </row>
    <row r="23">
      <c r="A23" s="26">
        <f>IF(計算用!$BB$19="","",計算用!$BA$19)</f>
        <v/>
      </c>
      <c r="B23">
        <f>IF($A23="","",INDEX(決定版!$A$4:$AE$53,計算用!$BE$19,IF(計算用!$BB$19="男",0,16)+4))</f>
        <v/>
      </c>
      <c r="C23" s="26">
        <f>IF($A23="","",INDEX(決定版!$A$4:$AE$53,計算用!$BE$19,IF(計算用!$BB$19="男",0,16)+5))</f>
        <v/>
      </c>
      <c r="D23" s="26">
        <f>IF($A23="","",INDEX(決定版!$A$4:$AE$53,計算用!$BE$19,IF(計算用!$BB$19="男",0,16)+6))</f>
        <v/>
      </c>
      <c r="E23">
        <f>IF($A23="","",INDEX(決定版!$A$4:$AE$53,計算用!$BE$19,IF(計算用!$BB$19="男",0,16)+7))</f>
        <v/>
      </c>
      <c r="F23" s="26">
        <f>IF($A23="","",INDEX(決定版!$A$4:$AE$53,計算用!$BE$19,IF(計算用!$BB$19="男",0,16)+8))</f>
        <v/>
      </c>
      <c r="G23" s="26">
        <f>IF($A23="","",INDEX(決定版!$A$4:$AE$53,計算用!$BE$19,IF(計算用!$BB$19="男",0,16)+9))</f>
        <v/>
      </c>
      <c r="H23">
        <f>IF($A23="","",INDEX(決定版!$A$4:$AE$53,計算用!$BE$19,IF(計算用!$BB$19="男",0,16)+10))</f>
        <v/>
      </c>
      <c r="I23" s="26">
        <f>IF($A23="","",INDEX(決定版!$A$4:$AE$53,計算用!$BE$19,IF(計算用!$BB$19="男",0,16)+11))</f>
        <v/>
      </c>
      <c r="J23" s="26">
        <f>IF($A23="","",INDEX(決定版!$A$4:$AE$53,計算用!$BE$19,IF(計算用!$BB$19="男",0,16)+12))</f>
        <v/>
      </c>
      <c r="K23">
        <f>IF($A23="","",INDEX(決定版!$A$4:$AE$53,計算用!$BE$19,IF(計算用!$BB$19="男",0,16)+13))</f>
        <v/>
      </c>
      <c r="L23" s="26">
        <f>IF($A23="","",INDEX(決定版!$A$4:$AE$53,計算用!$BE$19,IF(計算用!$BB$19="男",0,16)+14))</f>
        <v/>
      </c>
      <c r="M23" s="26">
        <f>IF($A23="","",INDEX(決定版!$A$4:$AE$53,計算用!$BE$19,IF(計算用!$BB$19="男",0,16)+15))</f>
        <v/>
      </c>
    </row>
    <row r="24">
      <c r="A24" s="26">
        <f>IF(計算用!$BB$20="","",計算用!$BA$20)</f>
        <v/>
      </c>
      <c r="B24">
        <f>IF($A24="","",INDEX(決定版!$A$4:$AE$53,計算用!$BE$20,IF(計算用!$BB$20="男",0,16)+4))</f>
        <v/>
      </c>
      <c r="C24" s="26">
        <f>IF($A24="","",INDEX(決定版!$A$4:$AE$53,計算用!$BE$20,IF(計算用!$BB$20="男",0,16)+5))</f>
        <v/>
      </c>
      <c r="D24" s="26">
        <f>IF($A24="","",INDEX(決定版!$A$4:$AE$53,計算用!$BE$20,IF(計算用!$BB$20="男",0,16)+6))</f>
        <v/>
      </c>
      <c r="E24">
        <f>IF($A24="","",INDEX(決定版!$A$4:$AE$53,計算用!$BE$20,IF(計算用!$BB$20="男",0,16)+7))</f>
        <v/>
      </c>
      <c r="F24" s="26">
        <f>IF($A24="","",INDEX(決定版!$A$4:$AE$53,計算用!$BE$20,IF(計算用!$BB$20="男",0,16)+8))</f>
        <v/>
      </c>
      <c r="G24" s="26">
        <f>IF($A24="","",INDEX(決定版!$A$4:$AE$53,計算用!$BE$20,IF(計算用!$BB$20="男",0,16)+9))</f>
        <v/>
      </c>
      <c r="H24">
        <f>IF($A24="","",INDEX(決定版!$A$4:$AE$53,計算用!$BE$20,IF(計算用!$BB$20="男",0,16)+10))</f>
        <v/>
      </c>
      <c r="I24" s="26">
        <f>IF($A24="","",INDEX(決定版!$A$4:$AE$53,計算用!$BE$20,IF(計算用!$BB$20="男",0,16)+11))</f>
        <v/>
      </c>
      <c r="J24" s="26">
        <f>IF($A24="","",INDEX(決定版!$A$4:$AE$53,計算用!$BE$20,IF(計算用!$BB$20="男",0,16)+12))</f>
        <v/>
      </c>
      <c r="K24">
        <f>IF($A24="","",INDEX(決定版!$A$4:$AE$53,計算用!$BE$20,IF(計算用!$BB$20="男",0,16)+13))</f>
        <v/>
      </c>
      <c r="L24" s="26">
        <f>IF($A24="","",INDEX(決定版!$A$4:$AE$53,計算用!$BE$20,IF(計算用!$BB$20="男",0,16)+14))</f>
        <v/>
      </c>
      <c r="M24" s="26">
        <f>IF($A24="","",INDEX(決定版!$A$4:$AE$53,計算用!$BE$20,IF(計算用!$BB$20="男",0,16)+15))</f>
        <v/>
      </c>
    </row>
    <row r="25">
      <c r="A25" s="26">
        <f>IF(計算用!$BB$21="","",計算用!$BA$21)</f>
        <v/>
      </c>
      <c r="B25">
        <f>IF($A25="","",INDEX(決定版!$A$4:$AE$53,計算用!$BE$21,IF(計算用!$BB$21="男",0,16)+4))</f>
        <v/>
      </c>
      <c r="C25" s="26">
        <f>IF($A25="","",INDEX(決定版!$A$4:$AE$53,計算用!$BE$21,IF(計算用!$BB$21="男",0,16)+5))</f>
        <v/>
      </c>
      <c r="D25" s="26">
        <f>IF($A25="","",INDEX(決定版!$A$4:$AE$53,計算用!$BE$21,IF(計算用!$BB$21="男",0,16)+6))</f>
        <v/>
      </c>
      <c r="E25">
        <f>IF($A25="","",INDEX(決定版!$A$4:$AE$53,計算用!$BE$21,IF(計算用!$BB$21="男",0,16)+7))</f>
        <v/>
      </c>
      <c r="F25" s="26">
        <f>IF($A25="","",INDEX(決定版!$A$4:$AE$53,計算用!$BE$21,IF(計算用!$BB$21="男",0,16)+8))</f>
        <v/>
      </c>
      <c r="G25" s="26">
        <f>IF($A25="","",INDEX(決定版!$A$4:$AE$53,計算用!$BE$21,IF(計算用!$BB$21="男",0,16)+9))</f>
        <v/>
      </c>
      <c r="H25">
        <f>IF($A25="","",INDEX(決定版!$A$4:$AE$53,計算用!$BE$21,IF(計算用!$BB$21="男",0,16)+10))</f>
        <v/>
      </c>
      <c r="I25" s="26">
        <f>IF($A25="","",INDEX(決定版!$A$4:$AE$53,計算用!$BE$21,IF(計算用!$BB$21="男",0,16)+11))</f>
        <v/>
      </c>
      <c r="J25" s="26">
        <f>IF($A25="","",INDEX(決定版!$A$4:$AE$53,計算用!$BE$21,IF(計算用!$BB$21="男",0,16)+12))</f>
        <v/>
      </c>
      <c r="K25">
        <f>IF($A25="","",INDEX(決定版!$A$4:$AE$53,計算用!$BE$21,IF(計算用!$BB$21="男",0,16)+13))</f>
        <v/>
      </c>
      <c r="L25" s="26">
        <f>IF($A25="","",INDEX(決定版!$A$4:$AE$53,計算用!$BE$21,IF(計算用!$BB$21="男",0,16)+14))</f>
        <v/>
      </c>
      <c r="M25" s="26">
        <f>IF($A25="","",INDEX(決定版!$A$4:$AE$53,計算用!$BE$21,IF(計算用!$BB$21="男",0,16)+15))</f>
        <v/>
      </c>
    </row>
    <row r="26">
      <c r="A26" s="26">
        <f>IF(計算用!$BB$22="","",計算用!$BA$22)</f>
        <v/>
      </c>
      <c r="B26">
        <f>IF($A26="","",INDEX(決定版!$A$4:$AE$53,計算用!$BE$22,IF(計算用!$BB$22="男",0,16)+4))</f>
        <v/>
      </c>
      <c r="C26" s="26">
        <f>IF($A26="","",INDEX(決定版!$A$4:$AE$53,計算用!$BE$22,IF(計算用!$BB$22="男",0,16)+5))</f>
        <v/>
      </c>
      <c r="D26" s="26">
        <f>IF($A26="","",INDEX(決定版!$A$4:$AE$53,計算用!$BE$22,IF(計算用!$BB$22="男",0,16)+6))</f>
        <v/>
      </c>
      <c r="E26">
        <f>IF($A26="","",INDEX(決定版!$A$4:$AE$53,計算用!$BE$22,IF(計算用!$BB$22="男",0,16)+7))</f>
        <v/>
      </c>
      <c r="F26" s="26">
        <f>IF($A26="","",INDEX(決定版!$A$4:$AE$53,計算用!$BE$22,IF(計算用!$BB$22="男",0,16)+8))</f>
        <v/>
      </c>
      <c r="G26" s="26">
        <f>IF($A26="","",INDEX(決定版!$A$4:$AE$53,計算用!$BE$22,IF(計算用!$BB$22="男",0,16)+9))</f>
        <v/>
      </c>
      <c r="H26">
        <f>IF($A26="","",INDEX(決定版!$A$4:$AE$53,計算用!$BE$22,IF(計算用!$BB$22="男",0,16)+10))</f>
        <v/>
      </c>
      <c r="I26" s="26">
        <f>IF($A26="","",INDEX(決定版!$A$4:$AE$53,計算用!$BE$22,IF(計算用!$BB$22="男",0,16)+11))</f>
        <v/>
      </c>
      <c r="J26" s="26">
        <f>IF($A26="","",INDEX(決定版!$A$4:$AE$53,計算用!$BE$22,IF(計算用!$BB$22="男",0,16)+12))</f>
        <v/>
      </c>
      <c r="K26">
        <f>IF($A26="","",INDEX(決定版!$A$4:$AE$53,計算用!$BE$22,IF(計算用!$BB$22="男",0,16)+13))</f>
        <v/>
      </c>
      <c r="L26" s="26">
        <f>IF($A26="","",INDEX(決定版!$A$4:$AE$53,計算用!$BE$22,IF(計算用!$BB$22="男",0,16)+14))</f>
        <v/>
      </c>
      <c r="M26" s="26">
        <f>IF($A26="","",INDEX(決定版!$A$4:$AE$53,計算用!$BE$22,IF(計算用!$BB$22="男",0,16)+15))</f>
        <v/>
      </c>
    </row>
    <row r="27">
      <c r="A27" s="26">
        <f>IF(計算用!$BB$23="","",計算用!$BA$23)</f>
        <v/>
      </c>
      <c r="B27">
        <f>IF($A27="","",INDEX(決定版!$A$4:$AE$53,計算用!$BE$23,IF(計算用!$BB$23="男",0,16)+4))</f>
        <v/>
      </c>
      <c r="C27" s="26">
        <f>IF($A27="","",INDEX(決定版!$A$4:$AE$53,計算用!$BE$23,IF(計算用!$BB$23="男",0,16)+5))</f>
        <v/>
      </c>
      <c r="D27" s="26">
        <f>IF($A27="","",INDEX(決定版!$A$4:$AE$53,計算用!$BE$23,IF(計算用!$BB$23="男",0,16)+6))</f>
        <v/>
      </c>
      <c r="E27">
        <f>IF($A27="","",INDEX(決定版!$A$4:$AE$53,計算用!$BE$23,IF(計算用!$BB$23="男",0,16)+7))</f>
        <v/>
      </c>
      <c r="F27" s="26">
        <f>IF($A27="","",INDEX(決定版!$A$4:$AE$53,計算用!$BE$23,IF(計算用!$BB$23="男",0,16)+8))</f>
        <v/>
      </c>
      <c r="G27" s="26">
        <f>IF($A27="","",INDEX(決定版!$A$4:$AE$53,計算用!$BE$23,IF(計算用!$BB$23="男",0,16)+9))</f>
        <v/>
      </c>
      <c r="H27">
        <f>IF($A27="","",INDEX(決定版!$A$4:$AE$53,計算用!$BE$23,IF(計算用!$BB$23="男",0,16)+10))</f>
        <v/>
      </c>
      <c r="I27" s="26">
        <f>IF($A27="","",INDEX(決定版!$A$4:$AE$53,計算用!$BE$23,IF(計算用!$BB$23="男",0,16)+11))</f>
        <v/>
      </c>
      <c r="J27" s="26">
        <f>IF($A27="","",INDEX(決定版!$A$4:$AE$53,計算用!$BE$23,IF(計算用!$BB$23="男",0,16)+12))</f>
        <v/>
      </c>
      <c r="K27">
        <f>IF($A27="","",INDEX(決定版!$A$4:$AE$53,計算用!$BE$23,IF(計算用!$BB$23="男",0,16)+13))</f>
        <v/>
      </c>
      <c r="L27" s="26">
        <f>IF($A27="","",INDEX(決定版!$A$4:$AE$53,計算用!$BE$23,IF(計算用!$BB$23="男",0,16)+14))</f>
        <v/>
      </c>
      <c r="M27" s="26">
        <f>IF($A27="","",INDEX(決定版!$A$4:$AE$53,計算用!$BE$23,IF(計算用!$BB$23="男",0,16)+15))</f>
        <v/>
      </c>
    </row>
    <row r="28">
      <c r="A28" s="26">
        <f>IF(計算用!$BB$24="","",計算用!$BA$24)</f>
        <v/>
      </c>
      <c r="B28">
        <f>IF($A28="","",INDEX(決定版!$A$4:$AE$53,計算用!$BE$24,IF(計算用!$BB$24="男",0,16)+4))</f>
        <v/>
      </c>
      <c r="C28" s="26">
        <f>IF($A28="","",INDEX(決定版!$A$4:$AE$53,計算用!$BE$24,IF(計算用!$BB$24="男",0,16)+5))</f>
        <v/>
      </c>
      <c r="D28" s="26">
        <f>IF($A28="","",INDEX(決定版!$A$4:$AE$53,計算用!$BE$24,IF(計算用!$BB$24="男",0,16)+6))</f>
        <v/>
      </c>
      <c r="E28">
        <f>IF($A28="","",INDEX(決定版!$A$4:$AE$53,計算用!$BE$24,IF(計算用!$BB$24="男",0,16)+7))</f>
        <v/>
      </c>
      <c r="F28" s="26">
        <f>IF($A28="","",INDEX(決定版!$A$4:$AE$53,計算用!$BE$24,IF(計算用!$BB$24="男",0,16)+8))</f>
        <v/>
      </c>
      <c r="G28" s="26">
        <f>IF($A28="","",INDEX(決定版!$A$4:$AE$53,計算用!$BE$24,IF(計算用!$BB$24="男",0,16)+9))</f>
        <v/>
      </c>
      <c r="H28">
        <f>IF($A28="","",INDEX(決定版!$A$4:$AE$53,計算用!$BE$24,IF(計算用!$BB$24="男",0,16)+10))</f>
        <v/>
      </c>
      <c r="I28" s="26">
        <f>IF($A28="","",INDEX(決定版!$A$4:$AE$53,計算用!$BE$24,IF(計算用!$BB$24="男",0,16)+11))</f>
        <v/>
      </c>
      <c r="J28" s="26">
        <f>IF($A28="","",INDEX(決定版!$A$4:$AE$53,計算用!$BE$24,IF(計算用!$BB$24="男",0,16)+12))</f>
        <v/>
      </c>
      <c r="K28">
        <f>IF($A28="","",INDEX(決定版!$A$4:$AE$53,計算用!$BE$24,IF(計算用!$BB$24="男",0,16)+13))</f>
        <v/>
      </c>
      <c r="L28" s="26">
        <f>IF($A28="","",INDEX(決定版!$A$4:$AE$53,計算用!$BE$24,IF(計算用!$BB$24="男",0,16)+14))</f>
        <v/>
      </c>
      <c r="M28" s="26">
        <f>IF($A28="","",INDEX(決定版!$A$4:$AE$53,計算用!$BE$24,IF(計算用!$BB$24="男",0,16)+15))</f>
        <v/>
      </c>
    </row>
    <row r="29">
      <c r="A29" s="26">
        <f>IF(計算用!$BB$25="","",計算用!$BA$25)</f>
        <v/>
      </c>
      <c r="B29">
        <f>IF($A29="","",INDEX(決定版!$A$4:$AE$53,計算用!$BE$25,IF(計算用!$BB$25="男",0,16)+4))</f>
        <v/>
      </c>
      <c r="C29" s="26">
        <f>IF($A29="","",INDEX(決定版!$A$4:$AE$53,計算用!$BE$25,IF(計算用!$BB$25="男",0,16)+5))</f>
        <v/>
      </c>
      <c r="D29" s="26">
        <f>IF($A29="","",INDEX(決定版!$A$4:$AE$53,計算用!$BE$25,IF(計算用!$BB$25="男",0,16)+6))</f>
        <v/>
      </c>
      <c r="E29">
        <f>IF($A29="","",INDEX(決定版!$A$4:$AE$53,計算用!$BE$25,IF(計算用!$BB$25="男",0,16)+7))</f>
        <v/>
      </c>
      <c r="F29" s="26">
        <f>IF($A29="","",INDEX(決定版!$A$4:$AE$53,計算用!$BE$25,IF(計算用!$BB$25="男",0,16)+8))</f>
        <v/>
      </c>
      <c r="G29" s="26">
        <f>IF($A29="","",INDEX(決定版!$A$4:$AE$53,計算用!$BE$25,IF(計算用!$BB$25="男",0,16)+9))</f>
        <v/>
      </c>
      <c r="H29">
        <f>IF($A29="","",INDEX(決定版!$A$4:$AE$53,計算用!$BE$25,IF(計算用!$BB$25="男",0,16)+10))</f>
        <v/>
      </c>
      <c r="I29" s="26">
        <f>IF($A29="","",INDEX(決定版!$A$4:$AE$53,計算用!$BE$25,IF(計算用!$BB$25="男",0,16)+11))</f>
        <v/>
      </c>
      <c r="J29" s="26">
        <f>IF($A29="","",INDEX(決定版!$A$4:$AE$53,計算用!$BE$25,IF(計算用!$BB$25="男",0,16)+12))</f>
        <v/>
      </c>
      <c r="K29">
        <f>IF($A29="","",INDEX(決定版!$A$4:$AE$53,計算用!$BE$25,IF(計算用!$BB$25="男",0,16)+13))</f>
        <v/>
      </c>
      <c r="L29" s="26">
        <f>IF($A29="","",INDEX(決定版!$A$4:$AE$53,計算用!$BE$25,IF(計算用!$BB$25="男",0,16)+14))</f>
        <v/>
      </c>
      <c r="M29" s="26">
        <f>IF($A29="","",INDEX(決定版!$A$4:$AE$53,計算用!$BE$25,IF(計算用!$BB$25="男",0,16)+15))</f>
        <v/>
      </c>
    </row>
    <row r="30">
      <c r="A30" s="26">
        <f>IF(計算用!$BB$26="","",計算用!$BA$26)</f>
        <v/>
      </c>
      <c r="B30">
        <f>IF($A30="","",INDEX(決定版!$A$4:$AE$53,計算用!$BE$26,IF(計算用!$BB$26="男",0,16)+4))</f>
        <v/>
      </c>
      <c r="C30" s="26">
        <f>IF($A30="","",INDEX(決定版!$A$4:$AE$53,計算用!$BE$26,IF(計算用!$BB$26="男",0,16)+5))</f>
        <v/>
      </c>
      <c r="D30" s="26">
        <f>IF($A30="","",INDEX(決定版!$A$4:$AE$53,計算用!$BE$26,IF(計算用!$BB$26="男",0,16)+6))</f>
        <v/>
      </c>
      <c r="E30">
        <f>IF($A30="","",INDEX(決定版!$A$4:$AE$53,計算用!$BE$26,IF(計算用!$BB$26="男",0,16)+7))</f>
        <v/>
      </c>
      <c r="F30" s="26">
        <f>IF($A30="","",INDEX(決定版!$A$4:$AE$53,計算用!$BE$26,IF(計算用!$BB$26="男",0,16)+8))</f>
        <v/>
      </c>
      <c r="G30" s="26">
        <f>IF($A30="","",INDEX(決定版!$A$4:$AE$53,計算用!$BE$26,IF(計算用!$BB$26="男",0,16)+9))</f>
        <v/>
      </c>
      <c r="H30">
        <f>IF($A30="","",INDEX(決定版!$A$4:$AE$53,計算用!$BE$26,IF(計算用!$BB$26="男",0,16)+10))</f>
        <v/>
      </c>
      <c r="I30" s="26">
        <f>IF($A30="","",INDEX(決定版!$A$4:$AE$53,計算用!$BE$26,IF(計算用!$BB$26="男",0,16)+11))</f>
        <v/>
      </c>
      <c r="J30" s="26">
        <f>IF($A30="","",INDEX(決定版!$A$4:$AE$53,計算用!$BE$26,IF(計算用!$BB$26="男",0,16)+12))</f>
        <v/>
      </c>
      <c r="K30">
        <f>IF($A30="","",INDEX(決定版!$A$4:$AE$53,計算用!$BE$26,IF(計算用!$BB$26="男",0,16)+13))</f>
        <v/>
      </c>
      <c r="L30" s="26">
        <f>IF($A30="","",INDEX(決定版!$A$4:$AE$53,計算用!$BE$26,IF(計算用!$BB$26="男",0,16)+14))</f>
        <v/>
      </c>
      <c r="M30" s="26">
        <f>IF($A30="","",INDEX(決定版!$A$4:$AE$53,計算用!$BE$26,IF(計算用!$BB$26="男",0,16)+15))</f>
        <v/>
      </c>
    </row>
    <row r="31">
      <c r="A31" s="26">
        <f>IF(計算用!$BB$27="","",計算用!$BA$27)</f>
        <v/>
      </c>
      <c r="B31">
        <f>IF($A31="","",INDEX(決定版!$A$4:$AE$53,計算用!$BE$27,IF(計算用!$BB$27="男",0,16)+4))</f>
        <v/>
      </c>
      <c r="C31" s="26">
        <f>IF($A31="","",INDEX(決定版!$A$4:$AE$53,計算用!$BE$27,IF(計算用!$BB$27="男",0,16)+5))</f>
        <v/>
      </c>
      <c r="D31" s="26">
        <f>IF($A31="","",INDEX(決定版!$A$4:$AE$53,計算用!$BE$27,IF(計算用!$BB$27="男",0,16)+6))</f>
        <v/>
      </c>
      <c r="E31">
        <f>IF($A31="","",INDEX(決定版!$A$4:$AE$53,計算用!$BE$27,IF(計算用!$BB$27="男",0,16)+7))</f>
        <v/>
      </c>
      <c r="F31" s="26">
        <f>IF($A31="","",INDEX(決定版!$A$4:$AE$53,計算用!$BE$27,IF(計算用!$BB$27="男",0,16)+8))</f>
        <v/>
      </c>
      <c r="G31" s="26">
        <f>IF($A31="","",INDEX(決定版!$A$4:$AE$53,計算用!$BE$27,IF(計算用!$BB$27="男",0,16)+9))</f>
        <v/>
      </c>
      <c r="H31">
        <f>IF($A31="","",INDEX(決定版!$A$4:$AE$53,計算用!$BE$27,IF(計算用!$BB$27="男",0,16)+10))</f>
        <v/>
      </c>
      <c r="I31" s="26">
        <f>IF($A31="","",INDEX(決定版!$A$4:$AE$53,計算用!$BE$27,IF(計算用!$BB$27="男",0,16)+11))</f>
        <v/>
      </c>
      <c r="J31" s="26">
        <f>IF($A31="","",INDEX(決定版!$A$4:$AE$53,計算用!$BE$27,IF(計算用!$BB$27="男",0,16)+12))</f>
        <v/>
      </c>
      <c r="K31">
        <f>IF($A31="","",INDEX(決定版!$A$4:$AE$53,計算用!$BE$27,IF(計算用!$BB$27="男",0,16)+13))</f>
        <v/>
      </c>
      <c r="L31" s="26">
        <f>IF($A31="","",INDEX(決定版!$A$4:$AE$53,計算用!$BE$27,IF(計算用!$BB$27="男",0,16)+14))</f>
        <v/>
      </c>
      <c r="M31" s="26">
        <f>IF($A31="","",INDEX(決定版!$A$4:$AE$53,計算用!$BE$27,IF(計算用!$BB$27="男",0,16)+15))</f>
        <v/>
      </c>
    </row>
    <row r="32">
      <c r="A32" s="26">
        <f>IF(計算用!$BB$28="","",計算用!$BA$28)</f>
        <v/>
      </c>
      <c r="B32">
        <f>IF($A32="","",INDEX(決定版!$A$4:$AE$53,計算用!$BE$28,IF(計算用!$BB$28="男",0,16)+4))</f>
        <v/>
      </c>
      <c r="C32" s="26">
        <f>IF($A32="","",INDEX(決定版!$A$4:$AE$53,計算用!$BE$28,IF(計算用!$BB$28="男",0,16)+5))</f>
        <v/>
      </c>
      <c r="D32" s="26">
        <f>IF($A32="","",INDEX(決定版!$A$4:$AE$53,計算用!$BE$28,IF(計算用!$BB$28="男",0,16)+6))</f>
        <v/>
      </c>
      <c r="E32">
        <f>IF($A32="","",INDEX(決定版!$A$4:$AE$53,計算用!$BE$28,IF(計算用!$BB$28="男",0,16)+7))</f>
        <v/>
      </c>
      <c r="F32" s="26">
        <f>IF($A32="","",INDEX(決定版!$A$4:$AE$53,計算用!$BE$28,IF(計算用!$BB$28="男",0,16)+8))</f>
        <v/>
      </c>
      <c r="G32" s="26">
        <f>IF($A32="","",INDEX(決定版!$A$4:$AE$53,計算用!$BE$28,IF(計算用!$BB$28="男",0,16)+9))</f>
        <v/>
      </c>
      <c r="H32">
        <f>IF($A32="","",INDEX(決定版!$A$4:$AE$53,計算用!$BE$28,IF(計算用!$BB$28="男",0,16)+10))</f>
        <v/>
      </c>
      <c r="I32" s="26">
        <f>IF($A32="","",INDEX(決定版!$A$4:$AE$53,計算用!$BE$28,IF(計算用!$BB$28="男",0,16)+11))</f>
        <v/>
      </c>
      <c r="J32" s="26">
        <f>IF($A32="","",INDEX(決定版!$A$4:$AE$53,計算用!$BE$28,IF(計算用!$BB$28="男",0,16)+12))</f>
        <v/>
      </c>
      <c r="K32">
        <f>IF($A32="","",INDEX(決定版!$A$4:$AE$53,計算用!$BE$28,IF(計算用!$BB$28="男",0,16)+13))</f>
        <v/>
      </c>
      <c r="L32" s="26">
        <f>IF($A32="","",INDEX(決定版!$A$4:$AE$53,計算用!$BE$28,IF(計算用!$BB$28="男",0,16)+14))</f>
        <v/>
      </c>
      <c r="M32" s="26">
        <f>IF($A32="","",INDEX(決定版!$A$4:$AE$53,計算用!$BE$28,IF(計算用!$BB$28="男",0,16)+15))</f>
        <v/>
      </c>
    </row>
    <row r="33">
      <c r="A33" s="26">
        <f>IF(計算用!$BB$29="","",計算用!$BA$29)</f>
        <v/>
      </c>
      <c r="B33">
        <f>IF($A33="","",INDEX(決定版!$A$4:$AE$53,計算用!$BE$29,IF(計算用!$BB$29="男",0,16)+4))</f>
        <v/>
      </c>
      <c r="C33" s="26">
        <f>IF($A33="","",INDEX(決定版!$A$4:$AE$53,計算用!$BE$29,IF(計算用!$BB$29="男",0,16)+5))</f>
        <v/>
      </c>
      <c r="D33" s="26">
        <f>IF($A33="","",INDEX(決定版!$A$4:$AE$53,計算用!$BE$29,IF(計算用!$BB$29="男",0,16)+6))</f>
        <v/>
      </c>
      <c r="E33">
        <f>IF($A33="","",INDEX(決定版!$A$4:$AE$53,計算用!$BE$29,IF(計算用!$BB$29="男",0,16)+7))</f>
        <v/>
      </c>
      <c r="F33" s="26">
        <f>IF($A33="","",INDEX(決定版!$A$4:$AE$53,計算用!$BE$29,IF(計算用!$BB$29="男",0,16)+8))</f>
        <v/>
      </c>
      <c r="G33" s="26">
        <f>IF($A33="","",INDEX(決定版!$A$4:$AE$53,計算用!$BE$29,IF(計算用!$BB$29="男",0,16)+9))</f>
        <v/>
      </c>
      <c r="H33">
        <f>IF($A33="","",INDEX(決定版!$A$4:$AE$53,計算用!$BE$29,IF(計算用!$BB$29="男",0,16)+10))</f>
        <v/>
      </c>
      <c r="I33" s="26">
        <f>IF($A33="","",INDEX(決定版!$A$4:$AE$53,計算用!$BE$29,IF(計算用!$BB$29="男",0,16)+11))</f>
        <v/>
      </c>
      <c r="J33" s="26">
        <f>IF($A33="","",INDEX(決定版!$A$4:$AE$53,計算用!$BE$29,IF(計算用!$BB$29="男",0,16)+12))</f>
        <v/>
      </c>
      <c r="K33">
        <f>IF($A33="","",INDEX(決定版!$A$4:$AE$53,計算用!$BE$29,IF(計算用!$BB$29="男",0,16)+13))</f>
        <v/>
      </c>
      <c r="L33" s="26">
        <f>IF($A33="","",INDEX(決定版!$A$4:$AE$53,計算用!$BE$29,IF(計算用!$BB$29="男",0,16)+14))</f>
        <v/>
      </c>
      <c r="M33" s="26">
        <f>IF($A33="","",INDEX(決定版!$A$4:$AE$53,計算用!$BE$29,IF(計算用!$BB$29="男",0,16)+15))</f>
        <v/>
      </c>
    </row>
    <row r="34">
      <c r="A34" s="26">
        <f>IF(計算用!$BB$30="","",計算用!$BA$30)</f>
        <v/>
      </c>
      <c r="B34">
        <f>IF($A34="","",INDEX(決定版!$A$4:$AE$53,計算用!$BE$30,IF(計算用!$BB$30="男",0,16)+4))</f>
        <v/>
      </c>
      <c r="C34" s="26">
        <f>IF($A34="","",INDEX(決定版!$A$4:$AE$53,計算用!$BE$30,IF(計算用!$BB$30="男",0,16)+5))</f>
        <v/>
      </c>
      <c r="D34" s="26">
        <f>IF($A34="","",INDEX(決定版!$A$4:$AE$53,計算用!$BE$30,IF(計算用!$BB$30="男",0,16)+6))</f>
        <v/>
      </c>
      <c r="E34">
        <f>IF($A34="","",INDEX(決定版!$A$4:$AE$53,計算用!$BE$30,IF(計算用!$BB$30="男",0,16)+7))</f>
        <v/>
      </c>
      <c r="F34" s="26">
        <f>IF($A34="","",INDEX(決定版!$A$4:$AE$53,計算用!$BE$30,IF(計算用!$BB$30="男",0,16)+8))</f>
        <v/>
      </c>
      <c r="G34" s="26">
        <f>IF($A34="","",INDEX(決定版!$A$4:$AE$53,計算用!$BE$30,IF(計算用!$BB$30="男",0,16)+9))</f>
        <v/>
      </c>
      <c r="H34">
        <f>IF($A34="","",INDEX(決定版!$A$4:$AE$53,計算用!$BE$30,IF(計算用!$BB$30="男",0,16)+10))</f>
        <v/>
      </c>
      <c r="I34" s="26">
        <f>IF($A34="","",INDEX(決定版!$A$4:$AE$53,計算用!$BE$30,IF(計算用!$BB$30="男",0,16)+11))</f>
        <v/>
      </c>
      <c r="J34" s="26">
        <f>IF($A34="","",INDEX(決定版!$A$4:$AE$53,計算用!$BE$30,IF(計算用!$BB$30="男",0,16)+12))</f>
        <v/>
      </c>
      <c r="K34">
        <f>IF($A34="","",INDEX(決定版!$A$4:$AE$53,計算用!$BE$30,IF(計算用!$BB$30="男",0,16)+13))</f>
        <v/>
      </c>
      <c r="L34" s="26">
        <f>IF($A34="","",INDEX(決定版!$A$4:$AE$53,計算用!$BE$30,IF(計算用!$BB$30="男",0,16)+14))</f>
        <v/>
      </c>
      <c r="M34" s="26">
        <f>IF($A34="","",INDEX(決定版!$A$4:$AE$53,計算用!$BE$30,IF(計算用!$BB$30="男",0,16)+15))</f>
        <v/>
      </c>
    </row>
    <row r="35">
      <c r="A35" s="26">
        <f>IF(計算用!$BB$31="","",計算用!$BA$31)</f>
        <v/>
      </c>
      <c r="B35">
        <f>IF($A35="","",INDEX(決定版!$A$4:$AE$53,計算用!$BE$31,IF(計算用!$BB$31="男",0,16)+4))</f>
        <v/>
      </c>
      <c r="C35" s="26">
        <f>IF($A35="","",INDEX(決定版!$A$4:$AE$53,計算用!$BE$31,IF(計算用!$BB$31="男",0,16)+5))</f>
        <v/>
      </c>
      <c r="D35" s="26">
        <f>IF($A35="","",INDEX(決定版!$A$4:$AE$53,計算用!$BE$31,IF(計算用!$BB$31="男",0,16)+6))</f>
        <v/>
      </c>
      <c r="E35">
        <f>IF($A35="","",INDEX(決定版!$A$4:$AE$53,計算用!$BE$31,IF(計算用!$BB$31="男",0,16)+7))</f>
        <v/>
      </c>
      <c r="F35" s="26">
        <f>IF($A35="","",INDEX(決定版!$A$4:$AE$53,計算用!$BE$31,IF(計算用!$BB$31="男",0,16)+8))</f>
        <v/>
      </c>
      <c r="G35" s="26">
        <f>IF($A35="","",INDEX(決定版!$A$4:$AE$53,計算用!$BE$31,IF(計算用!$BB$31="男",0,16)+9))</f>
        <v/>
      </c>
      <c r="H35">
        <f>IF($A35="","",INDEX(決定版!$A$4:$AE$53,計算用!$BE$31,IF(計算用!$BB$31="男",0,16)+10))</f>
        <v/>
      </c>
      <c r="I35" s="26">
        <f>IF($A35="","",INDEX(決定版!$A$4:$AE$53,計算用!$BE$31,IF(計算用!$BB$31="男",0,16)+11))</f>
        <v/>
      </c>
      <c r="J35" s="26">
        <f>IF($A35="","",INDEX(決定版!$A$4:$AE$53,計算用!$BE$31,IF(計算用!$BB$31="男",0,16)+12))</f>
        <v/>
      </c>
      <c r="K35">
        <f>IF($A35="","",INDEX(決定版!$A$4:$AE$53,計算用!$BE$31,IF(計算用!$BB$31="男",0,16)+13))</f>
        <v/>
      </c>
      <c r="L35" s="26">
        <f>IF($A35="","",INDEX(決定版!$A$4:$AE$53,計算用!$BE$31,IF(計算用!$BB$31="男",0,16)+14))</f>
        <v/>
      </c>
      <c r="M35" s="26">
        <f>IF($A35="","",INDEX(決定版!$A$4:$AE$53,計算用!$BE$31,IF(計算用!$BB$31="男",0,16)+15))</f>
        <v/>
      </c>
    </row>
    <row r="36">
      <c r="A36" s="26">
        <f>IF(計算用!$BB$32="","",計算用!$BA$32)</f>
        <v/>
      </c>
      <c r="B36">
        <f>IF($A36="","",INDEX(決定版!$A$4:$AE$53,計算用!$BE$32,IF(計算用!$BB$32="男",0,16)+4))</f>
        <v/>
      </c>
      <c r="C36" s="26">
        <f>IF($A36="","",INDEX(決定版!$A$4:$AE$53,計算用!$BE$32,IF(計算用!$BB$32="男",0,16)+5))</f>
        <v/>
      </c>
      <c r="D36" s="26">
        <f>IF($A36="","",INDEX(決定版!$A$4:$AE$53,計算用!$BE$32,IF(計算用!$BB$32="男",0,16)+6))</f>
        <v/>
      </c>
      <c r="E36">
        <f>IF($A36="","",INDEX(決定版!$A$4:$AE$53,計算用!$BE$32,IF(計算用!$BB$32="男",0,16)+7))</f>
        <v/>
      </c>
      <c r="F36" s="26">
        <f>IF($A36="","",INDEX(決定版!$A$4:$AE$53,計算用!$BE$32,IF(計算用!$BB$32="男",0,16)+8))</f>
        <v/>
      </c>
      <c r="G36" s="26">
        <f>IF($A36="","",INDEX(決定版!$A$4:$AE$53,計算用!$BE$32,IF(計算用!$BB$32="男",0,16)+9))</f>
        <v/>
      </c>
      <c r="H36">
        <f>IF($A36="","",INDEX(決定版!$A$4:$AE$53,計算用!$BE$32,IF(計算用!$BB$32="男",0,16)+10))</f>
        <v/>
      </c>
      <c r="I36" s="26">
        <f>IF($A36="","",INDEX(決定版!$A$4:$AE$53,計算用!$BE$32,IF(計算用!$BB$32="男",0,16)+11))</f>
        <v/>
      </c>
      <c r="J36" s="26">
        <f>IF($A36="","",INDEX(決定版!$A$4:$AE$53,計算用!$BE$32,IF(計算用!$BB$32="男",0,16)+12))</f>
        <v/>
      </c>
      <c r="K36">
        <f>IF($A36="","",INDEX(決定版!$A$4:$AE$53,計算用!$BE$32,IF(計算用!$BB$32="男",0,16)+13))</f>
        <v/>
      </c>
      <c r="L36" s="26">
        <f>IF($A36="","",INDEX(決定版!$A$4:$AE$53,計算用!$BE$32,IF(計算用!$BB$32="男",0,16)+14))</f>
        <v/>
      </c>
      <c r="M36" s="26">
        <f>IF($A36="","",INDEX(決定版!$A$4:$AE$53,計算用!$BE$32,IF(計算用!$BB$32="男",0,16)+15))</f>
        <v/>
      </c>
    </row>
    <row r="37">
      <c r="A37" s="26">
        <f>IF(計算用!$BB$33="","",計算用!$BA$33)</f>
        <v/>
      </c>
      <c r="B37">
        <f>IF($A37="","",INDEX(決定版!$A$4:$AE$53,計算用!$BE$33,IF(計算用!$BB$33="男",0,16)+4))</f>
        <v/>
      </c>
      <c r="C37" s="26">
        <f>IF($A37="","",INDEX(決定版!$A$4:$AE$53,計算用!$BE$33,IF(計算用!$BB$33="男",0,16)+5))</f>
        <v/>
      </c>
      <c r="D37" s="26">
        <f>IF($A37="","",INDEX(決定版!$A$4:$AE$53,計算用!$BE$33,IF(計算用!$BB$33="男",0,16)+6))</f>
        <v/>
      </c>
      <c r="E37">
        <f>IF($A37="","",INDEX(決定版!$A$4:$AE$53,計算用!$BE$33,IF(計算用!$BB$33="男",0,16)+7))</f>
        <v/>
      </c>
      <c r="F37" s="26">
        <f>IF($A37="","",INDEX(決定版!$A$4:$AE$53,計算用!$BE$33,IF(計算用!$BB$33="男",0,16)+8))</f>
        <v/>
      </c>
      <c r="G37" s="26">
        <f>IF($A37="","",INDEX(決定版!$A$4:$AE$53,計算用!$BE$33,IF(計算用!$BB$33="男",0,16)+9))</f>
        <v/>
      </c>
      <c r="H37">
        <f>IF($A37="","",INDEX(決定版!$A$4:$AE$53,計算用!$BE$33,IF(計算用!$BB$33="男",0,16)+10))</f>
        <v/>
      </c>
      <c r="I37" s="26">
        <f>IF($A37="","",INDEX(決定版!$A$4:$AE$53,計算用!$BE$33,IF(計算用!$BB$33="男",0,16)+11))</f>
        <v/>
      </c>
      <c r="J37" s="26">
        <f>IF($A37="","",INDEX(決定版!$A$4:$AE$53,計算用!$BE$33,IF(計算用!$BB$33="男",0,16)+12))</f>
        <v/>
      </c>
      <c r="K37">
        <f>IF($A37="","",INDEX(決定版!$A$4:$AE$53,計算用!$BE$33,IF(計算用!$BB$33="男",0,16)+13))</f>
        <v/>
      </c>
      <c r="L37" s="26">
        <f>IF($A37="","",INDEX(決定版!$A$4:$AE$53,計算用!$BE$33,IF(計算用!$BB$33="男",0,16)+14))</f>
        <v/>
      </c>
      <c r="M37" s="26">
        <f>IF($A37="","",INDEX(決定版!$A$4:$AE$53,計算用!$BE$33,IF(計算用!$BB$33="男",0,16)+15))</f>
        <v/>
      </c>
    </row>
    <row r="38">
      <c r="A38" s="26">
        <f>IF(計算用!$BB$34="","",計算用!$BA$34)</f>
        <v/>
      </c>
      <c r="B38">
        <f>IF($A38="","",INDEX(決定版!$A$4:$AE$53,計算用!$BE$34,IF(計算用!$BB$34="男",0,16)+4))</f>
        <v/>
      </c>
      <c r="C38" s="26">
        <f>IF($A38="","",INDEX(決定版!$A$4:$AE$53,計算用!$BE$34,IF(計算用!$BB$34="男",0,16)+5))</f>
        <v/>
      </c>
      <c r="D38" s="26">
        <f>IF($A38="","",INDEX(決定版!$A$4:$AE$53,計算用!$BE$34,IF(計算用!$BB$34="男",0,16)+6))</f>
        <v/>
      </c>
      <c r="E38">
        <f>IF($A38="","",INDEX(決定版!$A$4:$AE$53,計算用!$BE$34,IF(計算用!$BB$34="男",0,16)+7))</f>
        <v/>
      </c>
      <c r="F38" s="26">
        <f>IF($A38="","",INDEX(決定版!$A$4:$AE$53,計算用!$BE$34,IF(計算用!$BB$34="男",0,16)+8))</f>
        <v/>
      </c>
      <c r="G38" s="26">
        <f>IF($A38="","",INDEX(決定版!$A$4:$AE$53,計算用!$BE$34,IF(計算用!$BB$34="男",0,16)+9))</f>
        <v/>
      </c>
      <c r="H38">
        <f>IF($A38="","",INDEX(決定版!$A$4:$AE$53,計算用!$BE$34,IF(計算用!$BB$34="男",0,16)+10))</f>
        <v/>
      </c>
      <c r="I38" s="26">
        <f>IF($A38="","",INDEX(決定版!$A$4:$AE$53,計算用!$BE$34,IF(計算用!$BB$34="男",0,16)+11))</f>
        <v/>
      </c>
      <c r="J38" s="26">
        <f>IF($A38="","",INDEX(決定版!$A$4:$AE$53,計算用!$BE$34,IF(計算用!$BB$34="男",0,16)+12))</f>
        <v/>
      </c>
      <c r="K38">
        <f>IF($A38="","",INDEX(決定版!$A$4:$AE$53,計算用!$BE$34,IF(計算用!$BB$34="男",0,16)+13))</f>
        <v/>
      </c>
      <c r="L38" s="26">
        <f>IF($A38="","",INDEX(決定版!$A$4:$AE$53,計算用!$BE$34,IF(計算用!$BB$34="男",0,16)+14))</f>
        <v/>
      </c>
      <c r="M38" s="26">
        <f>IF($A38="","",INDEX(決定版!$A$4:$AE$53,計算用!$BE$34,IF(計算用!$BB$34="男",0,16)+15))</f>
        <v/>
      </c>
    </row>
    <row r="39">
      <c r="A39" s="26">
        <f>IF(計算用!$BB$35="","",計算用!$BA$35)</f>
        <v/>
      </c>
      <c r="B39">
        <f>IF($A39="","",INDEX(決定版!$A$4:$AE$53,計算用!$BE$35,IF(計算用!$BB$35="男",0,16)+4))</f>
        <v/>
      </c>
      <c r="C39" s="26">
        <f>IF($A39="","",INDEX(決定版!$A$4:$AE$53,計算用!$BE$35,IF(計算用!$BB$35="男",0,16)+5))</f>
        <v/>
      </c>
      <c r="D39" s="26">
        <f>IF($A39="","",INDEX(決定版!$A$4:$AE$53,計算用!$BE$35,IF(計算用!$BB$35="男",0,16)+6))</f>
        <v/>
      </c>
      <c r="E39">
        <f>IF($A39="","",INDEX(決定版!$A$4:$AE$53,計算用!$BE$35,IF(計算用!$BB$35="男",0,16)+7))</f>
        <v/>
      </c>
      <c r="F39" s="26">
        <f>IF($A39="","",INDEX(決定版!$A$4:$AE$53,計算用!$BE$35,IF(計算用!$BB$35="男",0,16)+8))</f>
        <v/>
      </c>
      <c r="G39" s="26">
        <f>IF($A39="","",INDEX(決定版!$A$4:$AE$53,計算用!$BE$35,IF(計算用!$BB$35="男",0,16)+9))</f>
        <v/>
      </c>
      <c r="H39">
        <f>IF($A39="","",INDEX(決定版!$A$4:$AE$53,計算用!$BE$35,IF(計算用!$BB$35="男",0,16)+10))</f>
        <v/>
      </c>
      <c r="I39" s="26">
        <f>IF($A39="","",INDEX(決定版!$A$4:$AE$53,計算用!$BE$35,IF(計算用!$BB$35="男",0,16)+11))</f>
        <v/>
      </c>
      <c r="J39" s="26">
        <f>IF($A39="","",INDEX(決定版!$A$4:$AE$53,計算用!$BE$35,IF(計算用!$BB$35="男",0,16)+12))</f>
        <v/>
      </c>
      <c r="K39">
        <f>IF($A39="","",INDEX(決定版!$A$4:$AE$53,計算用!$BE$35,IF(計算用!$BB$35="男",0,16)+13))</f>
        <v/>
      </c>
      <c r="L39" s="26">
        <f>IF($A39="","",INDEX(決定版!$A$4:$AE$53,計算用!$BE$35,IF(計算用!$BB$35="男",0,16)+14))</f>
        <v/>
      </c>
      <c r="M39" s="26">
        <f>IF($A39="","",INDEX(決定版!$A$4:$AE$53,計算用!$BE$35,IF(計算用!$BB$35="男",0,16)+15))</f>
        <v/>
      </c>
    </row>
    <row r="40">
      <c r="A40" s="26">
        <f>IF(計算用!$BB$36="","",計算用!$BA$36)</f>
        <v/>
      </c>
      <c r="B40">
        <f>IF($A40="","",INDEX(決定版!$A$4:$AE$53,計算用!$BE$36,IF(計算用!$BB$36="男",0,16)+4))</f>
        <v/>
      </c>
      <c r="C40" s="26">
        <f>IF($A40="","",INDEX(決定版!$A$4:$AE$53,計算用!$BE$36,IF(計算用!$BB$36="男",0,16)+5))</f>
        <v/>
      </c>
      <c r="D40" s="26">
        <f>IF($A40="","",INDEX(決定版!$A$4:$AE$53,計算用!$BE$36,IF(計算用!$BB$36="男",0,16)+6))</f>
        <v/>
      </c>
      <c r="E40">
        <f>IF($A40="","",INDEX(決定版!$A$4:$AE$53,計算用!$BE$36,IF(計算用!$BB$36="男",0,16)+7))</f>
        <v/>
      </c>
      <c r="F40" s="26">
        <f>IF($A40="","",INDEX(決定版!$A$4:$AE$53,計算用!$BE$36,IF(計算用!$BB$36="男",0,16)+8))</f>
        <v/>
      </c>
      <c r="G40" s="26">
        <f>IF($A40="","",INDEX(決定版!$A$4:$AE$53,計算用!$BE$36,IF(計算用!$BB$36="男",0,16)+9))</f>
        <v/>
      </c>
      <c r="H40">
        <f>IF($A40="","",INDEX(決定版!$A$4:$AE$53,計算用!$BE$36,IF(計算用!$BB$36="男",0,16)+10))</f>
        <v/>
      </c>
      <c r="I40" s="26">
        <f>IF($A40="","",INDEX(決定版!$A$4:$AE$53,計算用!$BE$36,IF(計算用!$BB$36="男",0,16)+11))</f>
        <v/>
      </c>
      <c r="J40" s="26">
        <f>IF($A40="","",INDEX(決定版!$A$4:$AE$53,計算用!$BE$36,IF(計算用!$BB$36="男",0,16)+12))</f>
        <v/>
      </c>
      <c r="K40">
        <f>IF($A40="","",INDEX(決定版!$A$4:$AE$53,計算用!$BE$36,IF(計算用!$BB$36="男",0,16)+13))</f>
        <v/>
      </c>
      <c r="L40" s="26">
        <f>IF($A40="","",INDEX(決定版!$A$4:$AE$53,計算用!$BE$36,IF(計算用!$BB$36="男",0,16)+14))</f>
        <v/>
      </c>
      <c r="M40" s="26">
        <f>IF($A40="","",INDEX(決定版!$A$4:$AE$53,計算用!$BE$36,IF(計算用!$BB$36="男",0,16)+15))</f>
        <v/>
      </c>
    </row>
    <row r="41">
      <c r="A41" s="26">
        <f>IF(計算用!$BB$37="","",計算用!$BA$37)</f>
        <v/>
      </c>
      <c r="B41">
        <f>IF($A41="","",INDEX(決定版!$A$4:$AE$53,計算用!$BE$37,IF(計算用!$BB$37="男",0,16)+4))</f>
        <v/>
      </c>
      <c r="C41" s="26">
        <f>IF($A41="","",INDEX(決定版!$A$4:$AE$53,計算用!$BE$37,IF(計算用!$BB$37="男",0,16)+5))</f>
        <v/>
      </c>
      <c r="D41" s="26">
        <f>IF($A41="","",INDEX(決定版!$A$4:$AE$53,計算用!$BE$37,IF(計算用!$BB$37="男",0,16)+6))</f>
        <v/>
      </c>
      <c r="E41">
        <f>IF($A41="","",INDEX(決定版!$A$4:$AE$53,計算用!$BE$37,IF(計算用!$BB$37="男",0,16)+7))</f>
        <v/>
      </c>
      <c r="F41" s="26">
        <f>IF($A41="","",INDEX(決定版!$A$4:$AE$53,計算用!$BE$37,IF(計算用!$BB$37="男",0,16)+8))</f>
        <v/>
      </c>
      <c r="G41" s="26">
        <f>IF($A41="","",INDEX(決定版!$A$4:$AE$53,計算用!$BE$37,IF(計算用!$BB$37="男",0,16)+9))</f>
        <v/>
      </c>
      <c r="H41">
        <f>IF($A41="","",INDEX(決定版!$A$4:$AE$53,計算用!$BE$37,IF(計算用!$BB$37="男",0,16)+10))</f>
        <v/>
      </c>
      <c r="I41" s="26">
        <f>IF($A41="","",INDEX(決定版!$A$4:$AE$53,計算用!$BE$37,IF(計算用!$BB$37="男",0,16)+11))</f>
        <v/>
      </c>
      <c r="J41" s="26">
        <f>IF($A41="","",INDEX(決定版!$A$4:$AE$53,計算用!$BE$37,IF(計算用!$BB$37="男",0,16)+12))</f>
        <v/>
      </c>
      <c r="K41">
        <f>IF($A41="","",INDEX(決定版!$A$4:$AE$53,計算用!$BE$37,IF(計算用!$BB$37="男",0,16)+13))</f>
        <v/>
      </c>
      <c r="L41" s="26">
        <f>IF($A41="","",INDEX(決定版!$A$4:$AE$53,計算用!$BE$37,IF(計算用!$BB$37="男",0,16)+14))</f>
        <v/>
      </c>
      <c r="M41" s="26">
        <f>IF($A41="","",INDEX(決定版!$A$4:$AE$53,計算用!$BE$37,IF(計算用!$BB$37="男",0,16)+15))</f>
        <v/>
      </c>
    </row>
    <row r="42">
      <c r="A42" s="26">
        <f>IF(計算用!$BB$38="","",計算用!$BA$38)</f>
        <v/>
      </c>
      <c r="B42">
        <f>IF($A42="","",INDEX(決定版!$A$4:$AE$53,計算用!$BE$38,IF(計算用!$BB$38="男",0,16)+4))</f>
        <v/>
      </c>
      <c r="C42" s="26">
        <f>IF($A42="","",INDEX(決定版!$A$4:$AE$53,計算用!$BE$38,IF(計算用!$BB$38="男",0,16)+5))</f>
        <v/>
      </c>
      <c r="D42" s="26">
        <f>IF($A42="","",INDEX(決定版!$A$4:$AE$53,計算用!$BE$38,IF(計算用!$BB$38="男",0,16)+6))</f>
        <v/>
      </c>
      <c r="E42">
        <f>IF($A42="","",INDEX(決定版!$A$4:$AE$53,計算用!$BE$38,IF(計算用!$BB$38="男",0,16)+7))</f>
        <v/>
      </c>
      <c r="F42" s="26">
        <f>IF($A42="","",INDEX(決定版!$A$4:$AE$53,計算用!$BE$38,IF(計算用!$BB$38="男",0,16)+8))</f>
        <v/>
      </c>
      <c r="G42" s="26">
        <f>IF($A42="","",INDEX(決定版!$A$4:$AE$53,計算用!$BE$38,IF(計算用!$BB$38="男",0,16)+9))</f>
        <v/>
      </c>
      <c r="H42">
        <f>IF($A42="","",INDEX(決定版!$A$4:$AE$53,計算用!$BE$38,IF(計算用!$BB$38="男",0,16)+10))</f>
        <v/>
      </c>
      <c r="I42" s="26">
        <f>IF($A42="","",INDEX(決定版!$A$4:$AE$53,計算用!$BE$38,IF(計算用!$BB$38="男",0,16)+11))</f>
        <v/>
      </c>
      <c r="J42" s="26">
        <f>IF($A42="","",INDEX(決定版!$A$4:$AE$53,計算用!$BE$38,IF(計算用!$BB$38="男",0,16)+12))</f>
        <v/>
      </c>
      <c r="K42">
        <f>IF($A42="","",INDEX(決定版!$A$4:$AE$53,計算用!$BE$38,IF(計算用!$BB$38="男",0,16)+13))</f>
        <v/>
      </c>
      <c r="L42" s="26">
        <f>IF($A42="","",INDEX(決定版!$A$4:$AE$53,計算用!$BE$38,IF(計算用!$BB$38="男",0,16)+14))</f>
        <v/>
      </c>
      <c r="M42" s="26">
        <f>IF($A42="","",INDEX(決定版!$A$4:$AE$53,計算用!$BE$38,IF(計算用!$BB$38="男",0,16)+15))</f>
        <v/>
      </c>
    </row>
    <row r="43">
      <c r="A43" s="26">
        <f>IF(計算用!$BB$39="","",計算用!$BA$39)</f>
        <v/>
      </c>
      <c r="B43">
        <f>IF($A43="","",INDEX(決定版!$A$4:$AE$53,計算用!$BE$39,IF(計算用!$BB$39="男",0,16)+4))</f>
        <v/>
      </c>
      <c r="C43" s="26">
        <f>IF($A43="","",INDEX(決定版!$A$4:$AE$53,計算用!$BE$39,IF(計算用!$BB$39="男",0,16)+5))</f>
        <v/>
      </c>
      <c r="D43" s="26">
        <f>IF($A43="","",INDEX(決定版!$A$4:$AE$53,計算用!$BE$39,IF(計算用!$BB$39="男",0,16)+6))</f>
        <v/>
      </c>
      <c r="E43">
        <f>IF($A43="","",INDEX(決定版!$A$4:$AE$53,計算用!$BE$39,IF(計算用!$BB$39="男",0,16)+7))</f>
        <v/>
      </c>
      <c r="F43" s="26">
        <f>IF($A43="","",INDEX(決定版!$A$4:$AE$53,計算用!$BE$39,IF(計算用!$BB$39="男",0,16)+8))</f>
        <v/>
      </c>
      <c r="G43" s="26">
        <f>IF($A43="","",INDEX(決定版!$A$4:$AE$53,計算用!$BE$39,IF(計算用!$BB$39="男",0,16)+9))</f>
        <v/>
      </c>
      <c r="H43">
        <f>IF($A43="","",INDEX(決定版!$A$4:$AE$53,計算用!$BE$39,IF(計算用!$BB$39="男",0,16)+10))</f>
        <v/>
      </c>
      <c r="I43" s="26">
        <f>IF($A43="","",INDEX(決定版!$A$4:$AE$53,計算用!$BE$39,IF(計算用!$BB$39="男",0,16)+11))</f>
        <v/>
      </c>
      <c r="J43" s="26">
        <f>IF($A43="","",INDEX(決定版!$A$4:$AE$53,計算用!$BE$39,IF(計算用!$BB$39="男",0,16)+12))</f>
        <v/>
      </c>
      <c r="K43">
        <f>IF($A43="","",INDEX(決定版!$A$4:$AE$53,計算用!$BE$39,IF(計算用!$BB$39="男",0,16)+13))</f>
        <v/>
      </c>
      <c r="L43" s="26">
        <f>IF($A43="","",INDEX(決定版!$A$4:$AE$53,計算用!$BE$39,IF(計算用!$BB$39="男",0,16)+14))</f>
        <v/>
      </c>
      <c r="M43" s="26">
        <f>IF($A43="","",INDEX(決定版!$A$4:$AE$53,計算用!$BE$39,IF(計算用!$BB$39="男",0,16)+15))</f>
        <v/>
      </c>
    </row>
    <row r="44">
      <c r="A44" s="26">
        <f>IF(計算用!$BB$40="","",計算用!$BA$40)</f>
        <v/>
      </c>
      <c r="B44">
        <f>IF($A44="","",INDEX(決定版!$A$4:$AE$53,計算用!$BE$40,IF(計算用!$BB$40="男",0,16)+4))</f>
        <v/>
      </c>
      <c r="C44" s="26">
        <f>IF($A44="","",INDEX(決定版!$A$4:$AE$53,計算用!$BE$40,IF(計算用!$BB$40="男",0,16)+5))</f>
        <v/>
      </c>
      <c r="D44" s="26">
        <f>IF($A44="","",INDEX(決定版!$A$4:$AE$53,計算用!$BE$40,IF(計算用!$BB$40="男",0,16)+6))</f>
        <v/>
      </c>
      <c r="E44">
        <f>IF($A44="","",INDEX(決定版!$A$4:$AE$53,計算用!$BE$40,IF(計算用!$BB$40="男",0,16)+7))</f>
        <v/>
      </c>
      <c r="F44" s="26">
        <f>IF($A44="","",INDEX(決定版!$A$4:$AE$53,計算用!$BE$40,IF(計算用!$BB$40="男",0,16)+8))</f>
        <v/>
      </c>
      <c r="G44" s="26">
        <f>IF($A44="","",INDEX(決定版!$A$4:$AE$53,計算用!$BE$40,IF(計算用!$BB$40="男",0,16)+9))</f>
        <v/>
      </c>
      <c r="H44">
        <f>IF($A44="","",INDEX(決定版!$A$4:$AE$53,計算用!$BE$40,IF(計算用!$BB$40="男",0,16)+10))</f>
        <v/>
      </c>
      <c r="I44" s="26">
        <f>IF($A44="","",INDEX(決定版!$A$4:$AE$53,計算用!$BE$40,IF(計算用!$BB$40="男",0,16)+11))</f>
        <v/>
      </c>
      <c r="J44" s="26">
        <f>IF($A44="","",INDEX(決定版!$A$4:$AE$53,計算用!$BE$40,IF(計算用!$BB$40="男",0,16)+12))</f>
        <v/>
      </c>
      <c r="K44">
        <f>IF($A44="","",INDEX(決定版!$A$4:$AE$53,計算用!$BE$40,IF(計算用!$BB$40="男",0,16)+13))</f>
        <v/>
      </c>
      <c r="L44" s="26">
        <f>IF($A44="","",INDEX(決定版!$A$4:$AE$53,計算用!$BE$40,IF(計算用!$BB$40="男",0,16)+14))</f>
        <v/>
      </c>
      <c r="M44" s="26">
        <f>IF($A44="","",INDEX(決定版!$A$4:$AE$53,計算用!$BE$40,IF(計算用!$BB$40="男",0,16)+15))</f>
        <v/>
      </c>
    </row>
    <row r="45">
      <c r="A45" s="26">
        <f>IF(計算用!$BB$41="","",計算用!$BA$41)</f>
        <v/>
      </c>
      <c r="B45">
        <f>IF($A45="","",INDEX(決定版!$A$4:$AE$53,計算用!$BE$41,IF(計算用!$BB$41="男",0,16)+4))</f>
        <v/>
      </c>
      <c r="C45" s="26">
        <f>IF($A45="","",INDEX(決定版!$A$4:$AE$53,計算用!$BE$41,IF(計算用!$BB$41="男",0,16)+5))</f>
        <v/>
      </c>
      <c r="D45" s="26">
        <f>IF($A45="","",INDEX(決定版!$A$4:$AE$53,計算用!$BE$41,IF(計算用!$BB$41="男",0,16)+6))</f>
        <v/>
      </c>
      <c r="E45">
        <f>IF($A45="","",INDEX(決定版!$A$4:$AE$53,計算用!$BE$41,IF(計算用!$BB$41="男",0,16)+7))</f>
        <v/>
      </c>
      <c r="F45" s="26">
        <f>IF($A45="","",INDEX(決定版!$A$4:$AE$53,計算用!$BE$41,IF(計算用!$BB$41="男",0,16)+8))</f>
        <v/>
      </c>
      <c r="G45" s="26">
        <f>IF($A45="","",INDEX(決定版!$A$4:$AE$53,計算用!$BE$41,IF(計算用!$BB$41="男",0,16)+9))</f>
        <v/>
      </c>
      <c r="H45">
        <f>IF($A45="","",INDEX(決定版!$A$4:$AE$53,計算用!$BE$41,IF(計算用!$BB$41="男",0,16)+10))</f>
        <v/>
      </c>
      <c r="I45" s="26">
        <f>IF($A45="","",INDEX(決定版!$A$4:$AE$53,計算用!$BE$41,IF(計算用!$BB$41="男",0,16)+11))</f>
        <v/>
      </c>
      <c r="J45" s="26">
        <f>IF($A45="","",INDEX(決定版!$A$4:$AE$53,計算用!$BE$41,IF(計算用!$BB$41="男",0,16)+12))</f>
        <v/>
      </c>
      <c r="K45">
        <f>IF($A45="","",INDEX(決定版!$A$4:$AE$53,計算用!$BE$41,IF(計算用!$BB$41="男",0,16)+13))</f>
        <v/>
      </c>
      <c r="L45" s="26">
        <f>IF($A45="","",INDEX(決定版!$A$4:$AE$53,計算用!$BE$41,IF(計算用!$BB$41="男",0,16)+14))</f>
        <v/>
      </c>
      <c r="M45" s="26">
        <f>IF($A45="","",INDEX(決定版!$A$4:$AE$53,計算用!$BE$41,IF(計算用!$BB$41="男",0,16)+15))</f>
        <v/>
      </c>
    </row>
    <row r="46">
      <c r="A46" s="26">
        <f>IF(計算用!$BB$42="","",計算用!$BA$42)</f>
        <v/>
      </c>
      <c r="B46">
        <f>IF($A46="","",INDEX(決定版!$A$4:$AE$53,計算用!$BE$42,IF(計算用!$BB$42="男",0,16)+4))</f>
        <v/>
      </c>
      <c r="C46" s="26">
        <f>IF($A46="","",INDEX(決定版!$A$4:$AE$53,計算用!$BE$42,IF(計算用!$BB$42="男",0,16)+5))</f>
        <v/>
      </c>
      <c r="D46" s="26">
        <f>IF($A46="","",INDEX(決定版!$A$4:$AE$53,計算用!$BE$42,IF(計算用!$BB$42="男",0,16)+6))</f>
        <v/>
      </c>
      <c r="E46">
        <f>IF($A46="","",INDEX(決定版!$A$4:$AE$53,計算用!$BE$42,IF(計算用!$BB$42="男",0,16)+7))</f>
        <v/>
      </c>
      <c r="F46" s="26">
        <f>IF($A46="","",INDEX(決定版!$A$4:$AE$53,計算用!$BE$42,IF(計算用!$BB$42="男",0,16)+8))</f>
        <v/>
      </c>
      <c r="G46" s="26">
        <f>IF($A46="","",INDEX(決定版!$A$4:$AE$53,計算用!$BE$42,IF(計算用!$BB$42="男",0,16)+9))</f>
        <v/>
      </c>
      <c r="H46">
        <f>IF($A46="","",INDEX(決定版!$A$4:$AE$53,計算用!$BE$42,IF(計算用!$BB$42="男",0,16)+10))</f>
        <v/>
      </c>
      <c r="I46" s="26">
        <f>IF($A46="","",INDEX(決定版!$A$4:$AE$53,計算用!$BE$42,IF(計算用!$BB$42="男",0,16)+11))</f>
        <v/>
      </c>
      <c r="J46" s="26">
        <f>IF($A46="","",INDEX(決定版!$A$4:$AE$53,計算用!$BE$42,IF(計算用!$BB$42="男",0,16)+12))</f>
        <v/>
      </c>
      <c r="K46">
        <f>IF($A46="","",INDEX(決定版!$A$4:$AE$53,計算用!$BE$42,IF(計算用!$BB$42="男",0,16)+13))</f>
        <v/>
      </c>
      <c r="L46" s="26">
        <f>IF($A46="","",INDEX(決定版!$A$4:$AE$53,計算用!$BE$42,IF(計算用!$BB$42="男",0,16)+14))</f>
        <v/>
      </c>
      <c r="M46" s="26">
        <f>IF($A46="","",INDEX(決定版!$A$4:$AE$53,計算用!$BE$42,IF(計算用!$BB$42="男",0,16)+15))</f>
        <v/>
      </c>
    </row>
    <row r="47">
      <c r="A47" s="26">
        <f>IF(計算用!$BB$43="","",計算用!$BA$43)</f>
        <v/>
      </c>
      <c r="B47">
        <f>IF($A47="","",INDEX(決定版!$A$4:$AE$53,計算用!$BE$43,IF(計算用!$BB$43="男",0,16)+4))</f>
        <v/>
      </c>
      <c r="C47" s="26">
        <f>IF($A47="","",INDEX(決定版!$A$4:$AE$53,計算用!$BE$43,IF(計算用!$BB$43="男",0,16)+5))</f>
        <v/>
      </c>
      <c r="D47" s="26">
        <f>IF($A47="","",INDEX(決定版!$A$4:$AE$53,計算用!$BE$43,IF(計算用!$BB$43="男",0,16)+6))</f>
        <v/>
      </c>
      <c r="E47">
        <f>IF($A47="","",INDEX(決定版!$A$4:$AE$53,計算用!$BE$43,IF(計算用!$BB$43="男",0,16)+7))</f>
        <v/>
      </c>
      <c r="F47" s="26">
        <f>IF($A47="","",INDEX(決定版!$A$4:$AE$53,計算用!$BE$43,IF(計算用!$BB$43="男",0,16)+8))</f>
        <v/>
      </c>
      <c r="G47" s="26">
        <f>IF($A47="","",INDEX(決定版!$A$4:$AE$53,計算用!$BE$43,IF(計算用!$BB$43="男",0,16)+9))</f>
        <v/>
      </c>
      <c r="H47">
        <f>IF($A47="","",INDEX(決定版!$A$4:$AE$53,計算用!$BE$43,IF(計算用!$BB$43="男",0,16)+10))</f>
        <v/>
      </c>
      <c r="I47" s="26">
        <f>IF($A47="","",INDEX(決定版!$A$4:$AE$53,計算用!$BE$43,IF(計算用!$BB$43="男",0,16)+11))</f>
        <v/>
      </c>
      <c r="J47" s="26">
        <f>IF($A47="","",INDEX(決定版!$A$4:$AE$53,計算用!$BE$43,IF(計算用!$BB$43="男",0,16)+12))</f>
        <v/>
      </c>
      <c r="K47">
        <f>IF($A47="","",INDEX(決定版!$A$4:$AE$53,計算用!$BE$43,IF(計算用!$BB$43="男",0,16)+13))</f>
        <v/>
      </c>
      <c r="L47" s="26">
        <f>IF($A47="","",INDEX(決定版!$A$4:$AE$53,計算用!$BE$43,IF(計算用!$BB$43="男",0,16)+14))</f>
        <v/>
      </c>
      <c r="M47" s="26">
        <f>IF($A47="","",INDEX(決定版!$A$4:$AE$53,計算用!$BE$43,IF(計算用!$BB$43="男",0,16)+15))</f>
        <v/>
      </c>
    </row>
    <row r="48">
      <c r="A48" s="26">
        <f>IF(計算用!$BB$44="","",計算用!$BA$44)</f>
        <v/>
      </c>
      <c r="B48">
        <f>IF($A48="","",INDEX(決定版!$A$4:$AE$53,計算用!$BE$44,IF(計算用!$BB$44="男",0,16)+4))</f>
        <v/>
      </c>
      <c r="C48" s="26">
        <f>IF($A48="","",INDEX(決定版!$A$4:$AE$53,計算用!$BE$44,IF(計算用!$BB$44="男",0,16)+5))</f>
        <v/>
      </c>
      <c r="D48" s="26">
        <f>IF($A48="","",INDEX(決定版!$A$4:$AE$53,計算用!$BE$44,IF(計算用!$BB$44="男",0,16)+6))</f>
        <v/>
      </c>
      <c r="E48">
        <f>IF($A48="","",INDEX(決定版!$A$4:$AE$53,計算用!$BE$44,IF(計算用!$BB$44="男",0,16)+7))</f>
        <v/>
      </c>
      <c r="F48" s="26">
        <f>IF($A48="","",INDEX(決定版!$A$4:$AE$53,計算用!$BE$44,IF(計算用!$BB$44="男",0,16)+8))</f>
        <v/>
      </c>
      <c r="G48" s="26">
        <f>IF($A48="","",INDEX(決定版!$A$4:$AE$53,計算用!$BE$44,IF(計算用!$BB$44="男",0,16)+9))</f>
        <v/>
      </c>
      <c r="H48">
        <f>IF($A48="","",INDEX(決定版!$A$4:$AE$53,計算用!$BE$44,IF(計算用!$BB$44="男",0,16)+10))</f>
        <v/>
      </c>
      <c r="I48" s="26">
        <f>IF($A48="","",INDEX(決定版!$A$4:$AE$53,計算用!$BE$44,IF(計算用!$BB$44="男",0,16)+11))</f>
        <v/>
      </c>
      <c r="J48" s="26">
        <f>IF($A48="","",INDEX(決定版!$A$4:$AE$53,計算用!$BE$44,IF(計算用!$BB$44="男",0,16)+12))</f>
        <v/>
      </c>
      <c r="K48">
        <f>IF($A48="","",INDEX(決定版!$A$4:$AE$53,計算用!$BE$44,IF(計算用!$BB$44="男",0,16)+13))</f>
        <v/>
      </c>
      <c r="L48" s="26">
        <f>IF($A48="","",INDEX(決定版!$A$4:$AE$53,計算用!$BE$44,IF(計算用!$BB$44="男",0,16)+14))</f>
        <v/>
      </c>
      <c r="M48" s="26">
        <f>IF($A48="","",INDEX(決定版!$A$4:$AE$53,計算用!$BE$44,IF(計算用!$BB$44="男",0,16)+15))</f>
        <v/>
      </c>
    </row>
    <row r="49">
      <c r="A49" s="26">
        <f>IF(計算用!$BB$45="","",計算用!$BA$45)</f>
        <v/>
      </c>
      <c r="B49">
        <f>IF($A49="","",INDEX(決定版!$A$4:$AE$53,計算用!$BE$45,IF(計算用!$BB$45="男",0,16)+4))</f>
        <v/>
      </c>
      <c r="C49" s="26">
        <f>IF($A49="","",INDEX(決定版!$A$4:$AE$53,計算用!$BE$45,IF(計算用!$BB$45="男",0,16)+5))</f>
        <v/>
      </c>
      <c r="D49" s="26">
        <f>IF($A49="","",INDEX(決定版!$A$4:$AE$53,計算用!$BE$45,IF(計算用!$BB$45="男",0,16)+6))</f>
        <v/>
      </c>
      <c r="E49">
        <f>IF($A49="","",INDEX(決定版!$A$4:$AE$53,計算用!$BE$45,IF(計算用!$BB$45="男",0,16)+7))</f>
        <v/>
      </c>
      <c r="F49" s="26">
        <f>IF($A49="","",INDEX(決定版!$A$4:$AE$53,計算用!$BE$45,IF(計算用!$BB$45="男",0,16)+8))</f>
        <v/>
      </c>
      <c r="G49" s="26">
        <f>IF($A49="","",INDEX(決定版!$A$4:$AE$53,計算用!$BE$45,IF(計算用!$BB$45="男",0,16)+9))</f>
        <v/>
      </c>
      <c r="H49">
        <f>IF($A49="","",INDEX(決定版!$A$4:$AE$53,計算用!$BE$45,IF(計算用!$BB$45="男",0,16)+10))</f>
        <v/>
      </c>
      <c r="I49" s="26">
        <f>IF($A49="","",INDEX(決定版!$A$4:$AE$53,計算用!$BE$45,IF(計算用!$BB$45="男",0,16)+11))</f>
        <v/>
      </c>
      <c r="J49" s="26">
        <f>IF($A49="","",INDEX(決定版!$A$4:$AE$53,計算用!$BE$45,IF(計算用!$BB$45="男",0,16)+12))</f>
        <v/>
      </c>
      <c r="K49">
        <f>IF($A49="","",INDEX(決定版!$A$4:$AE$53,計算用!$BE$45,IF(計算用!$BB$45="男",0,16)+13))</f>
        <v/>
      </c>
      <c r="L49" s="26">
        <f>IF($A49="","",INDEX(決定版!$A$4:$AE$53,計算用!$BE$45,IF(計算用!$BB$45="男",0,16)+14))</f>
        <v/>
      </c>
      <c r="M49" s="26">
        <f>IF($A49="","",INDEX(決定版!$A$4:$AE$53,計算用!$BE$45,IF(計算用!$BB$45="男",0,16)+15))</f>
        <v/>
      </c>
    </row>
    <row r="50">
      <c r="A50" s="26">
        <f>IF(計算用!$BB$46="","",計算用!$BA$46)</f>
        <v/>
      </c>
      <c r="B50">
        <f>IF($A50="","",INDEX(決定版!$A$4:$AE$53,計算用!$BE$46,IF(計算用!$BB$46="男",0,16)+4))</f>
        <v/>
      </c>
      <c r="C50" s="26">
        <f>IF($A50="","",INDEX(決定版!$A$4:$AE$53,計算用!$BE$46,IF(計算用!$BB$46="男",0,16)+5))</f>
        <v/>
      </c>
      <c r="D50" s="26">
        <f>IF($A50="","",INDEX(決定版!$A$4:$AE$53,計算用!$BE$46,IF(計算用!$BB$46="男",0,16)+6))</f>
        <v/>
      </c>
      <c r="E50">
        <f>IF($A50="","",INDEX(決定版!$A$4:$AE$53,計算用!$BE$46,IF(計算用!$BB$46="男",0,16)+7))</f>
        <v/>
      </c>
      <c r="F50" s="26">
        <f>IF($A50="","",INDEX(決定版!$A$4:$AE$53,計算用!$BE$46,IF(計算用!$BB$46="男",0,16)+8))</f>
        <v/>
      </c>
      <c r="G50" s="26">
        <f>IF($A50="","",INDEX(決定版!$A$4:$AE$53,計算用!$BE$46,IF(計算用!$BB$46="男",0,16)+9))</f>
        <v/>
      </c>
      <c r="H50">
        <f>IF($A50="","",INDEX(決定版!$A$4:$AE$53,計算用!$BE$46,IF(計算用!$BB$46="男",0,16)+10))</f>
        <v/>
      </c>
      <c r="I50" s="26">
        <f>IF($A50="","",INDEX(決定版!$A$4:$AE$53,計算用!$BE$46,IF(計算用!$BB$46="男",0,16)+11))</f>
        <v/>
      </c>
      <c r="J50" s="26">
        <f>IF($A50="","",INDEX(決定版!$A$4:$AE$53,計算用!$BE$46,IF(計算用!$BB$46="男",0,16)+12))</f>
        <v/>
      </c>
      <c r="K50">
        <f>IF($A50="","",INDEX(決定版!$A$4:$AE$53,計算用!$BE$46,IF(計算用!$BB$46="男",0,16)+13))</f>
        <v/>
      </c>
      <c r="L50" s="26">
        <f>IF($A50="","",INDEX(決定版!$A$4:$AE$53,計算用!$BE$46,IF(計算用!$BB$46="男",0,16)+14))</f>
        <v/>
      </c>
      <c r="M50" s="26">
        <f>IF($A50="","",INDEX(決定版!$A$4:$AE$53,計算用!$BE$46,IF(計算用!$BB$46="男",0,16)+15))</f>
        <v/>
      </c>
    </row>
    <row r="51">
      <c r="A51" s="26">
        <f>IF(計算用!$BB$47="","",計算用!$BA$47)</f>
        <v/>
      </c>
      <c r="B51">
        <f>IF($A51="","",INDEX(決定版!$A$4:$AE$53,計算用!$BE$47,IF(計算用!$BB$47="男",0,16)+4))</f>
        <v/>
      </c>
      <c r="C51" s="26">
        <f>IF($A51="","",INDEX(決定版!$A$4:$AE$53,計算用!$BE$47,IF(計算用!$BB$47="男",0,16)+5))</f>
        <v/>
      </c>
      <c r="D51" s="26">
        <f>IF($A51="","",INDEX(決定版!$A$4:$AE$53,計算用!$BE$47,IF(計算用!$BB$47="男",0,16)+6))</f>
        <v/>
      </c>
      <c r="E51">
        <f>IF($A51="","",INDEX(決定版!$A$4:$AE$53,計算用!$BE$47,IF(計算用!$BB$47="男",0,16)+7))</f>
        <v/>
      </c>
      <c r="F51" s="26">
        <f>IF($A51="","",INDEX(決定版!$A$4:$AE$53,計算用!$BE$47,IF(計算用!$BB$47="男",0,16)+8))</f>
        <v/>
      </c>
      <c r="G51" s="26">
        <f>IF($A51="","",INDEX(決定版!$A$4:$AE$53,計算用!$BE$47,IF(計算用!$BB$47="男",0,16)+9))</f>
        <v/>
      </c>
      <c r="H51">
        <f>IF($A51="","",INDEX(決定版!$A$4:$AE$53,計算用!$BE$47,IF(計算用!$BB$47="男",0,16)+10))</f>
        <v/>
      </c>
      <c r="I51" s="26">
        <f>IF($A51="","",INDEX(決定版!$A$4:$AE$53,計算用!$BE$47,IF(計算用!$BB$47="男",0,16)+11))</f>
        <v/>
      </c>
      <c r="J51" s="26">
        <f>IF($A51="","",INDEX(決定版!$A$4:$AE$53,計算用!$BE$47,IF(計算用!$BB$47="男",0,16)+12))</f>
        <v/>
      </c>
      <c r="K51">
        <f>IF($A51="","",INDEX(決定版!$A$4:$AE$53,計算用!$BE$47,IF(計算用!$BB$47="男",0,16)+13))</f>
        <v/>
      </c>
      <c r="L51" s="26">
        <f>IF($A51="","",INDEX(決定版!$A$4:$AE$53,計算用!$BE$47,IF(計算用!$BB$47="男",0,16)+14))</f>
        <v/>
      </c>
      <c r="M51" s="26">
        <f>IF($A51="","",INDEX(決定版!$A$4:$AE$53,計算用!$BE$47,IF(計算用!$BB$47="男",0,16)+15))</f>
        <v/>
      </c>
    </row>
    <row r="52">
      <c r="A52" s="26">
        <f>IF(計算用!$BB$48="","",計算用!$BA$48)</f>
        <v/>
      </c>
      <c r="B52">
        <f>IF($A52="","",INDEX(決定版!$A$4:$AE$53,計算用!$BE$48,IF(計算用!$BB$48="男",0,16)+4))</f>
        <v/>
      </c>
      <c r="C52" s="26">
        <f>IF($A52="","",INDEX(決定版!$A$4:$AE$53,計算用!$BE$48,IF(計算用!$BB$48="男",0,16)+5))</f>
        <v/>
      </c>
      <c r="D52" s="26">
        <f>IF($A52="","",INDEX(決定版!$A$4:$AE$53,計算用!$BE$48,IF(計算用!$BB$48="男",0,16)+6))</f>
        <v/>
      </c>
      <c r="E52">
        <f>IF($A52="","",INDEX(決定版!$A$4:$AE$53,計算用!$BE$48,IF(計算用!$BB$48="男",0,16)+7))</f>
        <v/>
      </c>
      <c r="F52" s="26">
        <f>IF($A52="","",INDEX(決定版!$A$4:$AE$53,計算用!$BE$48,IF(計算用!$BB$48="男",0,16)+8))</f>
        <v/>
      </c>
      <c r="G52" s="26">
        <f>IF($A52="","",INDEX(決定版!$A$4:$AE$53,計算用!$BE$48,IF(計算用!$BB$48="男",0,16)+9))</f>
        <v/>
      </c>
      <c r="H52">
        <f>IF($A52="","",INDEX(決定版!$A$4:$AE$53,計算用!$BE$48,IF(計算用!$BB$48="男",0,16)+10))</f>
        <v/>
      </c>
      <c r="I52" s="26">
        <f>IF($A52="","",INDEX(決定版!$A$4:$AE$53,計算用!$BE$48,IF(計算用!$BB$48="男",0,16)+11))</f>
        <v/>
      </c>
      <c r="J52" s="26">
        <f>IF($A52="","",INDEX(決定版!$A$4:$AE$53,計算用!$BE$48,IF(計算用!$BB$48="男",0,16)+12))</f>
        <v/>
      </c>
      <c r="K52">
        <f>IF($A52="","",INDEX(決定版!$A$4:$AE$53,計算用!$BE$48,IF(計算用!$BB$48="男",0,16)+13))</f>
        <v/>
      </c>
      <c r="L52" s="26">
        <f>IF($A52="","",INDEX(決定版!$A$4:$AE$53,計算用!$BE$48,IF(計算用!$BB$48="男",0,16)+14))</f>
        <v/>
      </c>
      <c r="M52" s="26">
        <f>IF($A52="","",INDEX(決定版!$A$4:$AE$53,計算用!$BE$48,IF(計算用!$BB$48="男",0,16)+15))</f>
        <v/>
      </c>
    </row>
    <row r="53">
      <c r="A53" s="26">
        <f>IF(計算用!$BB$49="","",計算用!$BA$49)</f>
        <v/>
      </c>
      <c r="B53">
        <f>IF($A53="","",INDEX(決定版!$A$4:$AE$53,計算用!$BE$49,IF(計算用!$BB$49="男",0,16)+4))</f>
        <v/>
      </c>
      <c r="C53" s="26">
        <f>IF($A53="","",INDEX(決定版!$A$4:$AE$53,計算用!$BE$49,IF(計算用!$BB$49="男",0,16)+5))</f>
        <v/>
      </c>
      <c r="D53" s="26">
        <f>IF($A53="","",INDEX(決定版!$A$4:$AE$53,計算用!$BE$49,IF(計算用!$BB$49="男",0,16)+6))</f>
        <v/>
      </c>
      <c r="E53">
        <f>IF($A53="","",INDEX(決定版!$A$4:$AE$53,計算用!$BE$49,IF(計算用!$BB$49="男",0,16)+7))</f>
        <v/>
      </c>
      <c r="F53" s="26">
        <f>IF($A53="","",INDEX(決定版!$A$4:$AE$53,計算用!$BE$49,IF(計算用!$BB$49="男",0,16)+8))</f>
        <v/>
      </c>
      <c r="G53" s="26">
        <f>IF($A53="","",INDEX(決定版!$A$4:$AE$53,計算用!$BE$49,IF(計算用!$BB$49="男",0,16)+9))</f>
        <v/>
      </c>
      <c r="H53">
        <f>IF($A53="","",INDEX(決定版!$A$4:$AE$53,計算用!$BE$49,IF(計算用!$BB$49="男",0,16)+10))</f>
        <v/>
      </c>
      <c r="I53" s="26">
        <f>IF($A53="","",INDEX(決定版!$A$4:$AE$53,計算用!$BE$49,IF(計算用!$BB$49="男",0,16)+11))</f>
        <v/>
      </c>
      <c r="J53" s="26">
        <f>IF($A53="","",INDEX(決定版!$A$4:$AE$53,計算用!$BE$49,IF(計算用!$BB$49="男",0,16)+12))</f>
        <v/>
      </c>
      <c r="K53">
        <f>IF($A53="","",INDEX(決定版!$A$4:$AE$53,計算用!$BE$49,IF(計算用!$BB$49="男",0,16)+13))</f>
        <v/>
      </c>
      <c r="L53" s="26">
        <f>IF($A53="","",INDEX(決定版!$A$4:$AE$53,計算用!$BE$49,IF(計算用!$BB$49="男",0,16)+14))</f>
        <v/>
      </c>
      <c r="M53" s="26">
        <f>IF($A53="","",INDEX(決定版!$A$4:$AE$53,計算用!$BE$49,IF(計算用!$BB$49="男",0,16)+15))</f>
        <v/>
      </c>
    </row>
    <row r="54">
      <c r="A54" s="26">
        <f>IF(計算用!$BB$50="","",計算用!$BA$50)</f>
        <v/>
      </c>
      <c r="B54">
        <f>IF($A54="","",INDEX(決定版!$A$4:$AE$53,計算用!$BE$50,IF(計算用!$BB$50="男",0,16)+4))</f>
        <v/>
      </c>
      <c r="C54" s="26">
        <f>IF($A54="","",INDEX(決定版!$A$4:$AE$53,計算用!$BE$50,IF(計算用!$BB$50="男",0,16)+5))</f>
        <v/>
      </c>
      <c r="D54" s="26">
        <f>IF($A54="","",INDEX(決定版!$A$4:$AE$53,計算用!$BE$50,IF(計算用!$BB$50="男",0,16)+6))</f>
        <v/>
      </c>
      <c r="E54">
        <f>IF($A54="","",INDEX(決定版!$A$4:$AE$53,計算用!$BE$50,IF(計算用!$BB$50="男",0,16)+7))</f>
        <v/>
      </c>
      <c r="F54" s="26">
        <f>IF($A54="","",INDEX(決定版!$A$4:$AE$53,計算用!$BE$50,IF(計算用!$BB$50="男",0,16)+8))</f>
        <v/>
      </c>
      <c r="G54" s="26">
        <f>IF($A54="","",INDEX(決定版!$A$4:$AE$53,計算用!$BE$50,IF(計算用!$BB$50="男",0,16)+9))</f>
        <v/>
      </c>
      <c r="H54">
        <f>IF($A54="","",INDEX(決定版!$A$4:$AE$53,計算用!$BE$50,IF(計算用!$BB$50="男",0,16)+10))</f>
        <v/>
      </c>
      <c r="I54" s="26">
        <f>IF($A54="","",INDEX(決定版!$A$4:$AE$53,計算用!$BE$50,IF(計算用!$BB$50="男",0,16)+11))</f>
        <v/>
      </c>
      <c r="J54" s="26">
        <f>IF($A54="","",INDEX(決定版!$A$4:$AE$53,計算用!$BE$50,IF(計算用!$BB$50="男",0,16)+12))</f>
        <v/>
      </c>
      <c r="K54">
        <f>IF($A54="","",INDEX(決定版!$A$4:$AE$53,計算用!$BE$50,IF(計算用!$BB$50="男",0,16)+13))</f>
        <v/>
      </c>
      <c r="L54" s="26">
        <f>IF($A54="","",INDEX(決定版!$A$4:$AE$53,計算用!$BE$50,IF(計算用!$BB$50="男",0,16)+14))</f>
        <v/>
      </c>
      <c r="M54" s="26">
        <f>IF($A54="","",INDEX(決定版!$A$4:$AE$53,計算用!$BE$50,IF(計算用!$BB$50="男",0,16)+15))</f>
        <v/>
      </c>
    </row>
    <row r="55">
      <c r="A55" s="26">
        <f>IF(計算用!$BB$51="","",計算用!$BA$51)</f>
        <v/>
      </c>
      <c r="B55">
        <f>IF($A55="","",INDEX(決定版!$A$4:$AE$53,計算用!$BE$51,IF(計算用!$BB$51="男",0,16)+4))</f>
        <v/>
      </c>
      <c r="C55" s="26">
        <f>IF($A55="","",INDEX(決定版!$A$4:$AE$53,計算用!$BE$51,IF(計算用!$BB$51="男",0,16)+5))</f>
        <v/>
      </c>
      <c r="D55" s="26">
        <f>IF($A55="","",INDEX(決定版!$A$4:$AE$53,計算用!$BE$51,IF(計算用!$BB$51="男",0,16)+6))</f>
        <v/>
      </c>
      <c r="E55">
        <f>IF($A55="","",INDEX(決定版!$A$4:$AE$53,計算用!$BE$51,IF(計算用!$BB$51="男",0,16)+7))</f>
        <v/>
      </c>
      <c r="F55" s="26">
        <f>IF($A55="","",INDEX(決定版!$A$4:$AE$53,計算用!$BE$51,IF(計算用!$BB$51="男",0,16)+8))</f>
        <v/>
      </c>
      <c r="G55" s="26">
        <f>IF($A55="","",INDEX(決定版!$A$4:$AE$53,計算用!$BE$51,IF(計算用!$BB$51="男",0,16)+9))</f>
        <v/>
      </c>
      <c r="H55">
        <f>IF($A55="","",INDEX(決定版!$A$4:$AE$53,計算用!$BE$51,IF(計算用!$BB$51="男",0,16)+10))</f>
        <v/>
      </c>
      <c r="I55" s="26">
        <f>IF($A55="","",INDEX(決定版!$A$4:$AE$53,計算用!$BE$51,IF(計算用!$BB$51="男",0,16)+11))</f>
        <v/>
      </c>
      <c r="J55" s="26">
        <f>IF($A55="","",INDEX(決定版!$A$4:$AE$53,計算用!$BE$51,IF(計算用!$BB$51="男",0,16)+12))</f>
        <v/>
      </c>
      <c r="K55">
        <f>IF($A55="","",INDEX(決定版!$A$4:$AE$53,計算用!$BE$51,IF(計算用!$BB$51="男",0,16)+13))</f>
        <v/>
      </c>
      <c r="L55" s="26">
        <f>IF($A55="","",INDEX(決定版!$A$4:$AE$53,計算用!$BE$51,IF(計算用!$BB$51="男",0,16)+14))</f>
        <v/>
      </c>
      <c r="M55" s="26">
        <f>IF($A55="","",INDEX(決定版!$A$4:$AE$53,計算用!$BE$51,IF(計算用!$BB$51="男",0,16)+15))</f>
        <v/>
      </c>
    </row>
    <row r="56">
      <c r="A56" s="26">
        <f>IF(計算用!$BB$52="","",計算用!$BA$52)</f>
        <v/>
      </c>
      <c r="B56">
        <f>IF($A56="","",INDEX(決定版!$A$4:$AE$53,計算用!$BE$52,IF(計算用!$BB$52="男",0,16)+4))</f>
        <v/>
      </c>
      <c r="C56" s="26">
        <f>IF($A56="","",INDEX(決定版!$A$4:$AE$53,計算用!$BE$52,IF(計算用!$BB$52="男",0,16)+5))</f>
        <v/>
      </c>
      <c r="D56" s="26">
        <f>IF($A56="","",INDEX(決定版!$A$4:$AE$53,計算用!$BE$52,IF(計算用!$BB$52="男",0,16)+6))</f>
        <v/>
      </c>
      <c r="E56">
        <f>IF($A56="","",INDEX(決定版!$A$4:$AE$53,計算用!$BE$52,IF(計算用!$BB$52="男",0,16)+7))</f>
        <v/>
      </c>
      <c r="F56" s="26">
        <f>IF($A56="","",INDEX(決定版!$A$4:$AE$53,計算用!$BE$52,IF(計算用!$BB$52="男",0,16)+8))</f>
        <v/>
      </c>
      <c r="G56" s="26">
        <f>IF($A56="","",INDEX(決定版!$A$4:$AE$53,計算用!$BE$52,IF(計算用!$BB$52="男",0,16)+9))</f>
        <v/>
      </c>
      <c r="H56">
        <f>IF($A56="","",INDEX(決定版!$A$4:$AE$53,計算用!$BE$52,IF(計算用!$BB$52="男",0,16)+10))</f>
        <v/>
      </c>
      <c r="I56" s="26">
        <f>IF($A56="","",INDEX(決定版!$A$4:$AE$53,計算用!$BE$52,IF(計算用!$BB$52="男",0,16)+11))</f>
        <v/>
      </c>
      <c r="J56" s="26">
        <f>IF($A56="","",INDEX(決定版!$A$4:$AE$53,計算用!$BE$52,IF(計算用!$BB$52="男",0,16)+12))</f>
        <v/>
      </c>
      <c r="K56">
        <f>IF($A56="","",INDEX(決定版!$A$4:$AE$53,計算用!$BE$52,IF(計算用!$BB$52="男",0,16)+13))</f>
        <v/>
      </c>
      <c r="L56" s="26">
        <f>IF($A56="","",INDEX(決定版!$A$4:$AE$53,計算用!$BE$52,IF(計算用!$BB$52="男",0,16)+14))</f>
        <v/>
      </c>
      <c r="M56" s="26">
        <f>IF($A56="","",INDEX(決定版!$A$4:$AE$53,計算用!$BE$52,IF(計算用!$BB$52="男",0,16)+15))</f>
        <v/>
      </c>
    </row>
    <row r="57">
      <c r="A57" s="26">
        <f>IF(計算用!$BB$53="","",計算用!$BA$53)</f>
        <v/>
      </c>
      <c r="B57">
        <f>IF($A57="","",INDEX(決定版!$A$4:$AE$53,計算用!$BE$53,IF(計算用!$BB$53="男",0,16)+4))</f>
        <v/>
      </c>
      <c r="C57" s="26">
        <f>IF($A57="","",INDEX(決定版!$A$4:$AE$53,計算用!$BE$53,IF(計算用!$BB$53="男",0,16)+5))</f>
        <v/>
      </c>
      <c r="D57" s="26">
        <f>IF($A57="","",INDEX(決定版!$A$4:$AE$53,計算用!$BE$53,IF(計算用!$BB$53="男",0,16)+6))</f>
        <v/>
      </c>
      <c r="E57">
        <f>IF($A57="","",INDEX(決定版!$A$4:$AE$53,計算用!$BE$53,IF(計算用!$BB$53="男",0,16)+7))</f>
        <v/>
      </c>
      <c r="F57" s="26">
        <f>IF($A57="","",INDEX(決定版!$A$4:$AE$53,計算用!$BE$53,IF(計算用!$BB$53="男",0,16)+8))</f>
        <v/>
      </c>
      <c r="G57" s="26">
        <f>IF($A57="","",INDEX(決定版!$A$4:$AE$53,計算用!$BE$53,IF(計算用!$BB$53="男",0,16)+9))</f>
        <v/>
      </c>
      <c r="H57">
        <f>IF($A57="","",INDEX(決定版!$A$4:$AE$53,計算用!$BE$53,IF(計算用!$BB$53="男",0,16)+10))</f>
        <v/>
      </c>
      <c r="I57" s="26">
        <f>IF($A57="","",INDEX(決定版!$A$4:$AE$53,計算用!$BE$53,IF(計算用!$BB$53="男",0,16)+11))</f>
        <v/>
      </c>
      <c r="J57" s="26">
        <f>IF($A57="","",INDEX(決定版!$A$4:$AE$53,計算用!$BE$53,IF(計算用!$BB$53="男",0,16)+12))</f>
        <v/>
      </c>
      <c r="K57">
        <f>IF($A57="","",INDEX(決定版!$A$4:$AE$53,計算用!$BE$53,IF(計算用!$BB$53="男",0,16)+13))</f>
        <v/>
      </c>
      <c r="L57" s="26">
        <f>IF($A57="","",INDEX(決定版!$A$4:$AE$53,計算用!$BE$53,IF(計算用!$BB$53="男",0,16)+14))</f>
        <v/>
      </c>
      <c r="M57" s="26">
        <f>IF($A57="","",INDEX(決定版!$A$4:$AE$53,計算用!$BE$53,IF(計算用!$BB$53="男",0,16)+15))</f>
        <v/>
      </c>
    </row>
    <row r="58">
      <c r="A58" s="26">
        <f>IF(計算用!$BB$54="","",計算用!$BA$54)</f>
        <v/>
      </c>
      <c r="B58">
        <f>IF($A58="","",INDEX(決定版!$A$4:$AE$53,計算用!$BE$54,IF(計算用!$BB$54="男",0,16)+4))</f>
        <v/>
      </c>
      <c r="C58" s="26">
        <f>IF($A58="","",INDEX(決定版!$A$4:$AE$53,計算用!$BE$54,IF(計算用!$BB$54="男",0,16)+5))</f>
        <v/>
      </c>
      <c r="D58" s="26">
        <f>IF($A58="","",INDEX(決定版!$A$4:$AE$53,計算用!$BE$54,IF(計算用!$BB$54="男",0,16)+6))</f>
        <v/>
      </c>
      <c r="E58">
        <f>IF($A58="","",INDEX(決定版!$A$4:$AE$53,計算用!$BE$54,IF(計算用!$BB$54="男",0,16)+7))</f>
        <v/>
      </c>
      <c r="F58" s="26">
        <f>IF($A58="","",INDEX(決定版!$A$4:$AE$53,計算用!$BE$54,IF(計算用!$BB$54="男",0,16)+8))</f>
        <v/>
      </c>
      <c r="G58" s="26">
        <f>IF($A58="","",INDEX(決定版!$A$4:$AE$53,計算用!$BE$54,IF(計算用!$BB$54="男",0,16)+9))</f>
        <v/>
      </c>
      <c r="H58">
        <f>IF($A58="","",INDEX(決定版!$A$4:$AE$53,計算用!$BE$54,IF(計算用!$BB$54="男",0,16)+10))</f>
        <v/>
      </c>
      <c r="I58" s="26">
        <f>IF($A58="","",INDEX(決定版!$A$4:$AE$53,計算用!$BE$54,IF(計算用!$BB$54="男",0,16)+11))</f>
        <v/>
      </c>
      <c r="J58" s="26">
        <f>IF($A58="","",INDEX(決定版!$A$4:$AE$53,計算用!$BE$54,IF(計算用!$BB$54="男",0,16)+12))</f>
        <v/>
      </c>
      <c r="K58">
        <f>IF($A58="","",INDEX(決定版!$A$4:$AE$53,計算用!$BE$54,IF(計算用!$BB$54="男",0,16)+13))</f>
        <v/>
      </c>
      <c r="L58" s="26">
        <f>IF($A58="","",INDEX(決定版!$A$4:$AE$53,計算用!$BE$54,IF(計算用!$BB$54="男",0,16)+14))</f>
        <v/>
      </c>
      <c r="M58" s="26">
        <f>IF($A58="","",INDEX(決定版!$A$4:$AE$53,計算用!$BE$54,IF(計算用!$BB$54="男",0,16)+15))</f>
        <v/>
      </c>
    </row>
    <row r="59">
      <c r="A59" s="26">
        <f>IF(計算用!$BB$55="","",計算用!$BA$55)</f>
        <v/>
      </c>
      <c r="B59">
        <f>IF($A59="","",INDEX(決定版!$A$4:$AE$53,計算用!$BE$55,IF(計算用!$BB$55="男",0,16)+4))</f>
        <v/>
      </c>
      <c r="C59" s="26">
        <f>IF($A59="","",INDEX(決定版!$A$4:$AE$53,計算用!$BE$55,IF(計算用!$BB$55="男",0,16)+5))</f>
        <v/>
      </c>
      <c r="D59" s="26">
        <f>IF($A59="","",INDEX(決定版!$A$4:$AE$53,計算用!$BE$55,IF(計算用!$BB$55="男",0,16)+6))</f>
        <v/>
      </c>
      <c r="E59">
        <f>IF($A59="","",INDEX(決定版!$A$4:$AE$53,計算用!$BE$55,IF(計算用!$BB$55="男",0,16)+7))</f>
        <v/>
      </c>
      <c r="F59" s="26">
        <f>IF($A59="","",INDEX(決定版!$A$4:$AE$53,計算用!$BE$55,IF(計算用!$BB$55="男",0,16)+8))</f>
        <v/>
      </c>
      <c r="G59" s="26">
        <f>IF($A59="","",INDEX(決定版!$A$4:$AE$53,計算用!$BE$55,IF(計算用!$BB$55="男",0,16)+9))</f>
        <v/>
      </c>
      <c r="H59">
        <f>IF($A59="","",INDEX(決定版!$A$4:$AE$53,計算用!$BE$55,IF(計算用!$BB$55="男",0,16)+10))</f>
        <v/>
      </c>
      <c r="I59" s="26">
        <f>IF($A59="","",INDEX(決定版!$A$4:$AE$53,計算用!$BE$55,IF(計算用!$BB$55="男",0,16)+11))</f>
        <v/>
      </c>
      <c r="J59" s="26">
        <f>IF($A59="","",INDEX(決定版!$A$4:$AE$53,計算用!$BE$55,IF(計算用!$BB$55="男",0,16)+12))</f>
        <v/>
      </c>
      <c r="K59">
        <f>IF($A59="","",INDEX(決定版!$A$4:$AE$53,計算用!$BE$55,IF(計算用!$BB$55="男",0,16)+13))</f>
        <v/>
      </c>
      <c r="L59" s="26">
        <f>IF($A59="","",INDEX(決定版!$A$4:$AE$53,計算用!$BE$55,IF(計算用!$BB$55="男",0,16)+14))</f>
        <v/>
      </c>
      <c r="M59" s="26">
        <f>IF($A59="","",INDEX(決定版!$A$4:$AE$53,計算用!$BE$55,IF(計算用!$BB$55="男",0,16)+15))</f>
        <v/>
      </c>
    </row>
    <row r="60">
      <c r="A60" s="26">
        <f>IF(計算用!$BB$56="","",計算用!$BA$56)</f>
        <v/>
      </c>
      <c r="B60">
        <f>IF($A60="","",INDEX(決定版!$A$4:$AE$53,計算用!$BE$56,IF(計算用!$BB$56="男",0,16)+4))</f>
        <v/>
      </c>
      <c r="C60" s="26">
        <f>IF($A60="","",INDEX(決定版!$A$4:$AE$53,計算用!$BE$56,IF(計算用!$BB$56="男",0,16)+5))</f>
        <v/>
      </c>
      <c r="D60" s="26">
        <f>IF($A60="","",INDEX(決定版!$A$4:$AE$53,計算用!$BE$56,IF(計算用!$BB$56="男",0,16)+6))</f>
        <v/>
      </c>
      <c r="E60">
        <f>IF($A60="","",INDEX(決定版!$A$4:$AE$53,計算用!$BE$56,IF(計算用!$BB$56="男",0,16)+7))</f>
        <v/>
      </c>
      <c r="F60" s="26">
        <f>IF($A60="","",INDEX(決定版!$A$4:$AE$53,計算用!$BE$56,IF(計算用!$BB$56="男",0,16)+8))</f>
        <v/>
      </c>
      <c r="G60" s="26">
        <f>IF($A60="","",INDEX(決定版!$A$4:$AE$53,計算用!$BE$56,IF(計算用!$BB$56="男",0,16)+9))</f>
        <v/>
      </c>
      <c r="H60">
        <f>IF($A60="","",INDEX(決定版!$A$4:$AE$53,計算用!$BE$56,IF(計算用!$BB$56="男",0,16)+10))</f>
        <v/>
      </c>
      <c r="I60" s="26">
        <f>IF($A60="","",INDEX(決定版!$A$4:$AE$53,計算用!$BE$56,IF(計算用!$BB$56="男",0,16)+11))</f>
        <v/>
      </c>
      <c r="J60" s="26">
        <f>IF($A60="","",INDEX(決定版!$A$4:$AE$53,計算用!$BE$56,IF(計算用!$BB$56="男",0,16)+12))</f>
        <v/>
      </c>
      <c r="K60">
        <f>IF($A60="","",INDEX(決定版!$A$4:$AE$53,計算用!$BE$56,IF(計算用!$BB$56="男",0,16)+13))</f>
        <v/>
      </c>
      <c r="L60" s="26">
        <f>IF($A60="","",INDEX(決定版!$A$4:$AE$53,計算用!$BE$56,IF(計算用!$BB$56="男",0,16)+14))</f>
        <v/>
      </c>
      <c r="M60" s="26">
        <f>IF($A60="","",INDEX(決定版!$A$4:$AE$53,計算用!$BE$56,IF(計算用!$BB$56="男",0,16)+15))</f>
        <v/>
      </c>
    </row>
    <row r="61">
      <c r="A61" s="26">
        <f>IF(計算用!$BB$57="","",計算用!$BA$57)</f>
        <v/>
      </c>
      <c r="B61">
        <f>IF($A61="","",INDEX(決定版!$A$4:$AE$53,計算用!$BE$57,IF(計算用!$BB$57="男",0,16)+4))</f>
        <v/>
      </c>
      <c r="C61" s="26">
        <f>IF($A61="","",INDEX(決定版!$A$4:$AE$53,計算用!$BE$57,IF(計算用!$BB$57="男",0,16)+5))</f>
        <v/>
      </c>
      <c r="D61" s="26">
        <f>IF($A61="","",INDEX(決定版!$A$4:$AE$53,計算用!$BE$57,IF(計算用!$BB$57="男",0,16)+6))</f>
        <v/>
      </c>
      <c r="E61">
        <f>IF($A61="","",INDEX(決定版!$A$4:$AE$53,計算用!$BE$57,IF(計算用!$BB$57="男",0,16)+7))</f>
        <v/>
      </c>
      <c r="F61" s="26">
        <f>IF($A61="","",INDEX(決定版!$A$4:$AE$53,計算用!$BE$57,IF(計算用!$BB$57="男",0,16)+8))</f>
        <v/>
      </c>
      <c r="G61" s="26">
        <f>IF($A61="","",INDEX(決定版!$A$4:$AE$53,計算用!$BE$57,IF(計算用!$BB$57="男",0,16)+9))</f>
        <v/>
      </c>
      <c r="H61">
        <f>IF($A61="","",INDEX(決定版!$A$4:$AE$53,計算用!$BE$57,IF(計算用!$BB$57="男",0,16)+10))</f>
        <v/>
      </c>
      <c r="I61" s="26">
        <f>IF($A61="","",INDEX(決定版!$A$4:$AE$53,計算用!$BE$57,IF(計算用!$BB$57="男",0,16)+11))</f>
        <v/>
      </c>
      <c r="J61" s="26">
        <f>IF($A61="","",INDEX(決定版!$A$4:$AE$53,計算用!$BE$57,IF(計算用!$BB$57="男",0,16)+12))</f>
        <v/>
      </c>
      <c r="K61">
        <f>IF($A61="","",INDEX(決定版!$A$4:$AE$53,計算用!$BE$57,IF(計算用!$BB$57="男",0,16)+13))</f>
        <v/>
      </c>
      <c r="L61" s="26">
        <f>IF($A61="","",INDEX(決定版!$A$4:$AE$53,計算用!$BE$57,IF(計算用!$BB$57="男",0,16)+14))</f>
        <v/>
      </c>
      <c r="M61" s="26">
        <f>IF($A61="","",INDEX(決定版!$A$4:$AE$53,計算用!$BE$57,IF(計算用!$BB$57="男",0,16)+15))</f>
        <v/>
      </c>
    </row>
    <row r="62">
      <c r="A62" s="26">
        <f>IF(計算用!$BB$58="","",計算用!$BA$58)</f>
        <v/>
      </c>
      <c r="B62">
        <f>IF($A62="","",INDEX(決定版!$A$4:$AE$53,計算用!$BE$58,IF(計算用!$BB$58="男",0,16)+4))</f>
        <v/>
      </c>
      <c r="C62" s="26">
        <f>IF($A62="","",INDEX(決定版!$A$4:$AE$53,計算用!$BE$58,IF(計算用!$BB$58="男",0,16)+5))</f>
        <v/>
      </c>
      <c r="D62" s="26">
        <f>IF($A62="","",INDEX(決定版!$A$4:$AE$53,計算用!$BE$58,IF(計算用!$BB$58="男",0,16)+6))</f>
        <v/>
      </c>
      <c r="E62">
        <f>IF($A62="","",INDEX(決定版!$A$4:$AE$53,計算用!$BE$58,IF(計算用!$BB$58="男",0,16)+7))</f>
        <v/>
      </c>
      <c r="F62" s="26">
        <f>IF($A62="","",INDEX(決定版!$A$4:$AE$53,計算用!$BE$58,IF(計算用!$BB$58="男",0,16)+8))</f>
        <v/>
      </c>
      <c r="G62" s="26">
        <f>IF($A62="","",INDEX(決定版!$A$4:$AE$53,計算用!$BE$58,IF(計算用!$BB$58="男",0,16)+9))</f>
        <v/>
      </c>
      <c r="H62">
        <f>IF($A62="","",INDEX(決定版!$A$4:$AE$53,計算用!$BE$58,IF(計算用!$BB$58="男",0,16)+10))</f>
        <v/>
      </c>
      <c r="I62" s="26">
        <f>IF($A62="","",INDEX(決定版!$A$4:$AE$53,計算用!$BE$58,IF(計算用!$BB$58="男",0,16)+11))</f>
        <v/>
      </c>
      <c r="J62" s="26">
        <f>IF($A62="","",INDEX(決定版!$A$4:$AE$53,計算用!$BE$58,IF(計算用!$BB$58="男",0,16)+12))</f>
        <v/>
      </c>
      <c r="K62">
        <f>IF($A62="","",INDEX(決定版!$A$4:$AE$53,計算用!$BE$58,IF(計算用!$BB$58="男",0,16)+13))</f>
        <v/>
      </c>
      <c r="L62" s="26">
        <f>IF($A62="","",INDEX(決定版!$A$4:$AE$53,計算用!$BE$58,IF(計算用!$BB$58="男",0,16)+14))</f>
        <v/>
      </c>
      <c r="M62" s="26">
        <f>IF($A62="","",INDEX(決定版!$A$4:$AE$53,計算用!$BE$58,IF(計算用!$BB$58="男",0,16)+15))</f>
        <v/>
      </c>
    </row>
    <row r="63">
      <c r="A63" s="26">
        <f>IF(計算用!$BB$59="","",計算用!$BA$59)</f>
        <v/>
      </c>
      <c r="B63">
        <f>IF($A63="","",INDEX(決定版!$A$4:$AE$53,計算用!$BE$59,IF(計算用!$BB$59="男",0,16)+4))</f>
        <v/>
      </c>
      <c r="C63" s="26">
        <f>IF($A63="","",INDEX(決定版!$A$4:$AE$53,計算用!$BE$59,IF(計算用!$BB$59="男",0,16)+5))</f>
        <v/>
      </c>
      <c r="D63" s="26">
        <f>IF($A63="","",INDEX(決定版!$A$4:$AE$53,計算用!$BE$59,IF(計算用!$BB$59="男",0,16)+6))</f>
        <v/>
      </c>
      <c r="E63">
        <f>IF($A63="","",INDEX(決定版!$A$4:$AE$53,計算用!$BE$59,IF(計算用!$BB$59="男",0,16)+7))</f>
        <v/>
      </c>
      <c r="F63" s="26">
        <f>IF($A63="","",INDEX(決定版!$A$4:$AE$53,計算用!$BE$59,IF(計算用!$BB$59="男",0,16)+8))</f>
        <v/>
      </c>
      <c r="G63" s="26">
        <f>IF($A63="","",INDEX(決定版!$A$4:$AE$53,計算用!$BE$59,IF(計算用!$BB$59="男",0,16)+9))</f>
        <v/>
      </c>
      <c r="H63">
        <f>IF($A63="","",INDEX(決定版!$A$4:$AE$53,計算用!$BE$59,IF(計算用!$BB$59="男",0,16)+10))</f>
        <v/>
      </c>
      <c r="I63" s="26">
        <f>IF($A63="","",INDEX(決定版!$A$4:$AE$53,計算用!$BE$59,IF(計算用!$BB$59="男",0,16)+11))</f>
        <v/>
      </c>
      <c r="J63" s="26">
        <f>IF($A63="","",INDEX(決定版!$A$4:$AE$53,計算用!$BE$59,IF(計算用!$BB$59="男",0,16)+12))</f>
        <v/>
      </c>
      <c r="K63">
        <f>IF($A63="","",INDEX(決定版!$A$4:$AE$53,計算用!$BE$59,IF(計算用!$BB$59="男",0,16)+13))</f>
        <v/>
      </c>
      <c r="L63" s="26">
        <f>IF($A63="","",INDEX(決定版!$A$4:$AE$53,計算用!$BE$59,IF(計算用!$BB$59="男",0,16)+14))</f>
        <v/>
      </c>
      <c r="M63" s="26">
        <f>IF($A63="","",INDEX(決定版!$A$4:$AE$53,計算用!$BE$59,IF(計算用!$BB$59="男",0,16)+15))</f>
        <v/>
      </c>
    </row>
    <row r="64">
      <c r="A64" s="26">
        <f>IF(計算用!$BB$60="","",計算用!$BA$60)</f>
        <v/>
      </c>
      <c r="B64">
        <f>IF($A64="","",INDEX(決定版!$A$4:$AE$53,計算用!$BE$60,IF(計算用!$BB$60="男",0,16)+4))</f>
        <v/>
      </c>
      <c r="C64" s="26">
        <f>IF($A64="","",INDEX(決定版!$A$4:$AE$53,計算用!$BE$60,IF(計算用!$BB$60="男",0,16)+5))</f>
        <v/>
      </c>
      <c r="D64" s="26">
        <f>IF($A64="","",INDEX(決定版!$A$4:$AE$53,計算用!$BE$60,IF(計算用!$BB$60="男",0,16)+6))</f>
        <v/>
      </c>
      <c r="E64">
        <f>IF($A64="","",INDEX(決定版!$A$4:$AE$53,計算用!$BE$60,IF(計算用!$BB$60="男",0,16)+7))</f>
        <v/>
      </c>
      <c r="F64" s="26">
        <f>IF($A64="","",INDEX(決定版!$A$4:$AE$53,計算用!$BE$60,IF(計算用!$BB$60="男",0,16)+8))</f>
        <v/>
      </c>
      <c r="G64" s="26">
        <f>IF($A64="","",INDEX(決定版!$A$4:$AE$53,計算用!$BE$60,IF(計算用!$BB$60="男",0,16)+9))</f>
        <v/>
      </c>
      <c r="H64">
        <f>IF($A64="","",INDEX(決定版!$A$4:$AE$53,計算用!$BE$60,IF(計算用!$BB$60="男",0,16)+10))</f>
        <v/>
      </c>
      <c r="I64" s="26">
        <f>IF($A64="","",INDEX(決定版!$A$4:$AE$53,計算用!$BE$60,IF(計算用!$BB$60="男",0,16)+11))</f>
        <v/>
      </c>
      <c r="J64" s="26">
        <f>IF($A64="","",INDEX(決定版!$A$4:$AE$53,計算用!$BE$60,IF(計算用!$BB$60="男",0,16)+12))</f>
        <v/>
      </c>
      <c r="K64">
        <f>IF($A64="","",INDEX(決定版!$A$4:$AE$53,計算用!$BE$60,IF(計算用!$BB$60="男",0,16)+13))</f>
        <v/>
      </c>
      <c r="L64" s="26">
        <f>IF($A64="","",INDEX(決定版!$A$4:$AE$53,計算用!$BE$60,IF(計算用!$BB$60="男",0,16)+14))</f>
        <v/>
      </c>
      <c r="M64" s="26">
        <f>IF($A64="","",INDEX(決定版!$A$4:$AE$53,計算用!$BE$60,IF(計算用!$BB$60="男",0,16)+15))</f>
        <v/>
      </c>
    </row>
    <row r="65">
      <c r="A65" s="26">
        <f>IF(計算用!$BB$61="","",計算用!$BA$61)</f>
        <v/>
      </c>
      <c r="B65">
        <f>IF($A65="","",INDEX(決定版!$A$4:$AE$53,計算用!$BE$61,IF(計算用!$BB$61="男",0,16)+4))</f>
        <v/>
      </c>
      <c r="C65" s="26">
        <f>IF($A65="","",INDEX(決定版!$A$4:$AE$53,計算用!$BE$61,IF(計算用!$BB$61="男",0,16)+5))</f>
        <v/>
      </c>
      <c r="D65" s="26">
        <f>IF($A65="","",INDEX(決定版!$A$4:$AE$53,計算用!$BE$61,IF(計算用!$BB$61="男",0,16)+6))</f>
        <v/>
      </c>
      <c r="E65">
        <f>IF($A65="","",INDEX(決定版!$A$4:$AE$53,計算用!$BE$61,IF(計算用!$BB$61="男",0,16)+7))</f>
        <v/>
      </c>
      <c r="F65" s="26">
        <f>IF($A65="","",INDEX(決定版!$A$4:$AE$53,計算用!$BE$61,IF(計算用!$BB$61="男",0,16)+8))</f>
        <v/>
      </c>
      <c r="G65" s="26">
        <f>IF($A65="","",INDEX(決定版!$A$4:$AE$53,計算用!$BE$61,IF(計算用!$BB$61="男",0,16)+9))</f>
        <v/>
      </c>
      <c r="H65">
        <f>IF($A65="","",INDEX(決定版!$A$4:$AE$53,計算用!$BE$61,IF(計算用!$BB$61="男",0,16)+10))</f>
        <v/>
      </c>
      <c r="I65" s="26">
        <f>IF($A65="","",INDEX(決定版!$A$4:$AE$53,計算用!$BE$61,IF(計算用!$BB$61="男",0,16)+11))</f>
        <v/>
      </c>
      <c r="J65" s="26">
        <f>IF($A65="","",INDEX(決定版!$A$4:$AE$53,計算用!$BE$61,IF(計算用!$BB$61="男",0,16)+12))</f>
        <v/>
      </c>
      <c r="K65">
        <f>IF($A65="","",INDEX(決定版!$A$4:$AE$53,計算用!$BE$61,IF(計算用!$BB$61="男",0,16)+13))</f>
        <v/>
      </c>
      <c r="L65" s="26">
        <f>IF($A65="","",INDEX(決定版!$A$4:$AE$53,計算用!$BE$61,IF(計算用!$BB$61="男",0,16)+14))</f>
        <v/>
      </c>
      <c r="M65" s="26">
        <f>IF($A65="","",INDEX(決定版!$A$4:$AE$53,計算用!$BE$61,IF(計算用!$BB$61="男",0,16)+15))</f>
        <v/>
      </c>
    </row>
    <row r="66">
      <c r="A66" s="26">
        <f>IF(計算用!$BB$62="","",計算用!$BA$62)</f>
        <v/>
      </c>
      <c r="B66">
        <f>IF($A66="","",INDEX(決定版!$A$4:$AE$53,計算用!$BE$62,IF(計算用!$BB$62="男",0,16)+4))</f>
        <v/>
      </c>
      <c r="C66" s="26">
        <f>IF($A66="","",INDEX(決定版!$A$4:$AE$53,計算用!$BE$62,IF(計算用!$BB$62="男",0,16)+5))</f>
        <v/>
      </c>
      <c r="D66" s="26">
        <f>IF($A66="","",INDEX(決定版!$A$4:$AE$53,計算用!$BE$62,IF(計算用!$BB$62="男",0,16)+6))</f>
        <v/>
      </c>
      <c r="E66">
        <f>IF($A66="","",INDEX(決定版!$A$4:$AE$53,計算用!$BE$62,IF(計算用!$BB$62="男",0,16)+7))</f>
        <v/>
      </c>
      <c r="F66" s="26">
        <f>IF($A66="","",INDEX(決定版!$A$4:$AE$53,計算用!$BE$62,IF(計算用!$BB$62="男",0,16)+8))</f>
        <v/>
      </c>
      <c r="G66" s="26">
        <f>IF($A66="","",INDEX(決定版!$A$4:$AE$53,計算用!$BE$62,IF(計算用!$BB$62="男",0,16)+9))</f>
        <v/>
      </c>
      <c r="H66">
        <f>IF($A66="","",INDEX(決定版!$A$4:$AE$53,計算用!$BE$62,IF(計算用!$BB$62="男",0,16)+10))</f>
        <v/>
      </c>
      <c r="I66" s="26">
        <f>IF($A66="","",INDEX(決定版!$A$4:$AE$53,計算用!$BE$62,IF(計算用!$BB$62="男",0,16)+11))</f>
        <v/>
      </c>
      <c r="J66" s="26">
        <f>IF($A66="","",INDEX(決定版!$A$4:$AE$53,計算用!$BE$62,IF(計算用!$BB$62="男",0,16)+12))</f>
        <v/>
      </c>
      <c r="K66">
        <f>IF($A66="","",INDEX(決定版!$A$4:$AE$53,計算用!$BE$62,IF(計算用!$BB$62="男",0,16)+13))</f>
        <v/>
      </c>
      <c r="L66" s="26">
        <f>IF($A66="","",INDEX(決定版!$A$4:$AE$53,計算用!$BE$62,IF(計算用!$BB$62="男",0,16)+14))</f>
        <v/>
      </c>
      <c r="M66" s="26">
        <f>IF($A66="","",INDEX(決定版!$A$4:$AE$53,計算用!$BE$62,IF(計算用!$BB$62="男",0,16)+15))</f>
        <v/>
      </c>
    </row>
    <row r="67">
      <c r="A67" s="26">
        <f>IF(計算用!$BB$63="","",計算用!$BA$63)</f>
        <v/>
      </c>
      <c r="B67">
        <f>IF($A67="","",INDEX(決定版!$A$4:$AE$53,計算用!$BE$63,IF(計算用!$BB$63="男",0,16)+4))</f>
        <v/>
      </c>
      <c r="C67" s="26">
        <f>IF($A67="","",INDEX(決定版!$A$4:$AE$53,計算用!$BE$63,IF(計算用!$BB$63="男",0,16)+5))</f>
        <v/>
      </c>
      <c r="D67" s="26">
        <f>IF($A67="","",INDEX(決定版!$A$4:$AE$53,計算用!$BE$63,IF(計算用!$BB$63="男",0,16)+6))</f>
        <v/>
      </c>
      <c r="E67">
        <f>IF($A67="","",INDEX(決定版!$A$4:$AE$53,計算用!$BE$63,IF(計算用!$BB$63="男",0,16)+7))</f>
        <v/>
      </c>
      <c r="F67" s="26">
        <f>IF($A67="","",INDEX(決定版!$A$4:$AE$53,計算用!$BE$63,IF(計算用!$BB$63="男",0,16)+8))</f>
        <v/>
      </c>
      <c r="G67" s="26">
        <f>IF($A67="","",INDEX(決定版!$A$4:$AE$53,計算用!$BE$63,IF(計算用!$BB$63="男",0,16)+9))</f>
        <v/>
      </c>
      <c r="H67">
        <f>IF($A67="","",INDEX(決定版!$A$4:$AE$53,計算用!$BE$63,IF(計算用!$BB$63="男",0,16)+10))</f>
        <v/>
      </c>
      <c r="I67" s="26">
        <f>IF($A67="","",INDEX(決定版!$A$4:$AE$53,計算用!$BE$63,IF(計算用!$BB$63="男",0,16)+11))</f>
        <v/>
      </c>
      <c r="J67" s="26">
        <f>IF($A67="","",INDEX(決定版!$A$4:$AE$53,計算用!$BE$63,IF(計算用!$BB$63="男",0,16)+12))</f>
        <v/>
      </c>
      <c r="K67">
        <f>IF($A67="","",INDEX(決定版!$A$4:$AE$53,計算用!$BE$63,IF(計算用!$BB$63="男",0,16)+13))</f>
        <v/>
      </c>
      <c r="L67" s="26">
        <f>IF($A67="","",INDEX(決定版!$A$4:$AE$53,計算用!$BE$63,IF(計算用!$BB$63="男",0,16)+14))</f>
        <v/>
      </c>
      <c r="M67" s="26">
        <f>IF($A67="","",INDEX(決定版!$A$4:$AE$53,計算用!$BE$63,IF(計算用!$BB$63="男",0,16)+15))</f>
        <v/>
      </c>
    </row>
    <row r="68">
      <c r="A68" s="26">
        <f>IF(計算用!$BB$64="","",計算用!$BA$64)</f>
        <v/>
      </c>
      <c r="B68">
        <f>IF($A68="","",INDEX(決定版!$A$4:$AE$53,計算用!$BE$64,IF(計算用!$BB$64="男",0,16)+4))</f>
        <v/>
      </c>
      <c r="C68" s="26">
        <f>IF($A68="","",INDEX(決定版!$A$4:$AE$53,計算用!$BE$64,IF(計算用!$BB$64="男",0,16)+5))</f>
        <v/>
      </c>
      <c r="D68" s="26">
        <f>IF($A68="","",INDEX(決定版!$A$4:$AE$53,計算用!$BE$64,IF(計算用!$BB$64="男",0,16)+6))</f>
        <v/>
      </c>
      <c r="E68">
        <f>IF($A68="","",INDEX(決定版!$A$4:$AE$53,計算用!$BE$64,IF(計算用!$BB$64="男",0,16)+7))</f>
        <v/>
      </c>
      <c r="F68" s="26">
        <f>IF($A68="","",INDEX(決定版!$A$4:$AE$53,計算用!$BE$64,IF(計算用!$BB$64="男",0,16)+8))</f>
        <v/>
      </c>
      <c r="G68" s="26">
        <f>IF($A68="","",INDEX(決定版!$A$4:$AE$53,計算用!$BE$64,IF(計算用!$BB$64="男",0,16)+9))</f>
        <v/>
      </c>
      <c r="H68">
        <f>IF($A68="","",INDEX(決定版!$A$4:$AE$53,計算用!$BE$64,IF(計算用!$BB$64="男",0,16)+10))</f>
        <v/>
      </c>
      <c r="I68" s="26">
        <f>IF($A68="","",INDEX(決定版!$A$4:$AE$53,計算用!$BE$64,IF(計算用!$BB$64="男",0,16)+11))</f>
        <v/>
      </c>
      <c r="J68" s="26">
        <f>IF($A68="","",INDEX(決定版!$A$4:$AE$53,計算用!$BE$64,IF(計算用!$BB$64="男",0,16)+12))</f>
        <v/>
      </c>
      <c r="K68">
        <f>IF($A68="","",INDEX(決定版!$A$4:$AE$53,計算用!$BE$64,IF(計算用!$BB$64="男",0,16)+13))</f>
        <v/>
      </c>
      <c r="L68" s="26">
        <f>IF($A68="","",INDEX(決定版!$A$4:$AE$53,計算用!$BE$64,IF(計算用!$BB$64="男",0,16)+14))</f>
        <v/>
      </c>
      <c r="M68" s="26">
        <f>IF($A68="","",INDEX(決定版!$A$4:$AE$53,計算用!$BE$64,IF(計算用!$BB$64="男",0,16)+15))</f>
        <v/>
      </c>
    </row>
    <row r="69">
      <c r="A69" s="26">
        <f>IF(計算用!$BB$65="","",計算用!$BA$65)</f>
        <v/>
      </c>
      <c r="B69">
        <f>IF($A69="","",INDEX(決定版!$A$4:$AE$53,計算用!$BE$65,IF(計算用!$BB$65="男",0,16)+4))</f>
        <v/>
      </c>
      <c r="C69" s="26">
        <f>IF($A69="","",INDEX(決定版!$A$4:$AE$53,計算用!$BE$65,IF(計算用!$BB$65="男",0,16)+5))</f>
        <v/>
      </c>
      <c r="D69" s="26">
        <f>IF($A69="","",INDEX(決定版!$A$4:$AE$53,計算用!$BE$65,IF(計算用!$BB$65="男",0,16)+6))</f>
        <v/>
      </c>
      <c r="E69">
        <f>IF($A69="","",INDEX(決定版!$A$4:$AE$53,計算用!$BE$65,IF(計算用!$BB$65="男",0,16)+7))</f>
        <v/>
      </c>
      <c r="F69" s="26">
        <f>IF($A69="","",INDEX(決定版!$A$4:$AE$53,計算用!$BE$65,IF(計算用!$BB$65="男",0,16)+8))</f>
        <v/>
      </c>
      <c r="G69" s="26">
        <f>IF($A69="","",INDEX(決定版!$A$4:$AE$53,計算用!$BE$65,IF(計算用!$BB$65="男",0,16)+9))</f>
        <v/>
      </c>
      <c r="H69">
        <f>IF($A69="","",INDEX(決定版!$A$4:$AE$53,計算用!$BE$65,IF(計算用!$BB$65="男",0,16)+10))</f>
        <v/>
      </c>
      <c r="I69" s="26">
        <f>IF($A69="","",INDEX(決定版!$A$4:$AE$53,計算用!$BE$65,IF(計算用!$BB$65="男",0,16)+11))</f>
        <v/>
      </c>
      <c r="J69" s="26">
        <f>IF($A69="","",INDEX(決定版!$A$4:$AE$53,計算用!$BE$65,IF(計算用!$BB$65="男",0,16)+12))</f>
        <v/>
      </c>
      <c r="K69">
        <f>IF($A69="","",INDEX(決定版!$A$4:$AE$53,計算用!$BE$65,IF(計算用!$BB$65="男",0,16)+13))</f>
        <v/>
      </c>
      <c r="L69" s="26">
        <f>IF($A69="","",INDEX(決定版!$A$4:$AE$53,計算用!$BE$65,IF(計算用!$BB$65="男",0,16)+14))</f>
        <v/>
      </c>
      <c r="M69" s="26">
        <f>IF($A69="","",INDEX(決定版!$A$4:$AE$53,計算用!$BE$65,IF(計算用!$BB$65="男",0,16)+15))</f>
        <v/>
      </c>
    </row>
    <row r="70">
      <c r="A70" s="26">
        <f>IF(計算用!$BB$66="","",計算用!$BA$66)</f>
        <v/>
      </c>
      <c r="B70">
        <f>IF($A70="","",INDEX(決定版!$A$4:$AE$53,計算用!$BE$66,IF(計算用!$BB$66="男",0,16)+4))</f>
        <v/>
      </c>
      <c r="C70" s="26">
        <f>IF($A70="","",INDEX(決定版!$A$4:$AE$53,計算用!$BE$66,IF(計算用!$BB$66="男",0,16)+5))</f>
        <v/>
      </c>
      <c r="D70" s="26">
        <f>IF($A70="","",INDEX(決定版!$A$4:$AE$53,計算用!$BE$66,IF(計算用!$BB$66="男",0,16)+6))</f>
        <v/>
      </c>
      <c r="E70">
        <f>IF($A70="","",INDEX(決定版!$A$4:$AE$53,計算用!$BE$66,IF(計算用!$BB$66="男",0,16)+7))</f>
        <v/>
      </c>
      <c r="F70" s="26">
        <f>IF($A70="","",INDEX(決定版!$A$4:$AE$53,計算用!$BE$66,IF(計算用!$BB$66="男",0,16)+8))</f>
        <v/>
      </c>
      <c r="G70" s="26">
        <f>IF($A70="","",INDEX(決定版!$A$4:$AE$53,計算用!$BE$66,IF(計算用!$BB$66="男",0,16)+9))</f>
        <v/>
      </c>
      <c r="H70">
        <f>IF($A70="","",INDEX(決定版!$A$4:$AE$53,計算用!$BE$66,IF(計算用!$BB$66="男",0,16)+10))</f>
        <v/>
      </c>
      <c r="I70" s="26">
        <f>IF($A70="","",INDEX(決定版!$A$4:$AE$53,計算用!$BE$66,IF(計算用!$BB$66="男",0,16)+11))</f>
        <v/>
      </c>
      <c r="J70" s="26">
        <f>IF($A70="","",INDEX(決定版!$A$4:$AE$53,計算用!$BE$66,IF(計算用!$BB$66="男",0,16)+12))</f>
        <v/>
      </c>
      <c r="K70">
        <f>IF($A70="","",INDEX(決定版!$A$4:$AE$53,計算用!$BE$66,IF(計算用!$BB$66="男",0,16)+13))</f>
        <v/>
      </c>
      <c r="L70" s="26">
        <f>IF($A70="","",INDEX(決定版!$A$4:$AE$53,計算用!$BE$66,IF(計算用!$BB$66="男",0,16)+14))</f>
        <v/>
      </c>
      <c r="M70" s="26">
        <f>IF($A70="","",INDEX(決定版!$A$4:$AE$53,計算用!$BE$66,IF(計算用!$BB$66="男",0,16)+15))</f>
        <v/>
      </c>
    </row>
    <row r="71">
      <c r="A71" s="26">
        <f>IF(計算用!$BB$67="","",計算用!$BA$67)</f>
        <v/>
      </c>
      <c r="B71">
        <f>IF($A71="","",INDEX(決定版!$A$4:$AE$53,計算用!$BE$67,IF(計算用!$BB$67="男",0,16)+4))</f>
        <v/>
      </c>
      <c r="C71" s="26">
        <f>IF($A71="","",INDEX(決定版!$A$4:$AE$53,計算用!$BE$67,IF(計算用!$BB$67="男",0,16)+5))</f>
        <v/>
      </c>
      <c r="D71" s="26">
        <f>IF($A71="","",INDEX(決定版!$A$4:$AE$53,計算用!$BE$67,IF(計算用!$BB$67="男",0,16)+6))</f>
        <v/>
      </c>
      <c r="E71">
        <f>IF($A71="","",INDEX(決定版!$A$4:$AE$53,計算用!$BE$67,IF(計算用!$BB$67="男",0,16)+7))</f>
        <v/>
      </c>
      <c r="F71" s="26">
        <f>IF($A71="","",INDEX(決定版!$A$4:$AE$53,計算用!$BE$67,IF(計算用!$BB$67="男",0,16)+8))</f>
        <v/>
      </c>
      <c r="G71" s="26">
        <f>IF($A71="","",INDEX(決定版!$A$4:$AE$53,計算用!$BE$67,IF(計算用!$BB$67="男",0,16)+9))</f>
        <v/>
      </c>
      <c r="H71">
        <f>IF($A71="","",INDEX(決定版!$A$4:$AE$53,計算用!$BE$67,IF(計算用!$BB$67="男",0,16)+10))</f>
        <v/>
      </c>
      <c r="I71" s="26">
        <f>IF($A71="","",INDEX(決定版!$A$4:$AE$53,計算用!$BE$67,IF(計算用!$BB$67="男",0,16)+11))</f>
        <v/>
      </c>
      <c r="J71" s="26">
        <f>IF($A71="","",INDEX(決定版!$A$4:$AE$53,計算用!$BE$67,IF(計算用!$BB$67="男",0,16)+12))</f>
        <v/>
      </c>
      <c r="K71">
        <f>IF($A71="","",INDEX(決定版!$A$4:$AE$53,計算用!$BE$67,IF(計算用!$BB$67="男",0,16)+13))</f>
        <v/>
      </c>
      <c r="L71" s="26">
        <f>IF($A71="","",INDEX(決定版!$A$4:$AE$53,計算用!$BE$67,IF(計算用!$BB$67="男",0,16)+14))</f>
        <v/>
      </c>
      <c r="M71" s="26">
        <f>IF($A71="","",INDEX(決定版!$A$4:$AE$53,計算用!$BE$67,IF(計算用!$BB$67="男",0,16)+15))</f>
        <v/>
      </c>
    </row>
    <row r="72">
      <c r="A72" s="26">
        <f>IF(計算用!$BB$68="","",計算用!$BA$68)</f>
        <v/>
      </c>
      <c r="B72">
        <f>IF($A72="","",INDEX(決定版!$A$4:$AE$53,計算用!$BE$68,IF(計算用!$BB$68="男",0,16)+4))</f>
        <v/>
      </c>
      <c r="C72" s="26">
        <f>IF($A72="","",INDEX(決定版!$A$4:$AE$53,計算用!$BE$68,IF(計算用!$BB$68="男",0,16)+5))</f>
        <v/>
      </c>
      <c r="D72" s="26">
        <f>IF($A72="","",INDEX(決定版!$A$4:$AE$53,計算用!$BE$68,IF(計算用!$BB$68="男",0,16)+6))</f>
        <v/>
      </c>
      <c r="E72">
        <f>IF($A72="","",INDEX(決定版!$A$4:$AE$53,計算用!$BE$68,IF(計算用!$BB$68="男",0,16)+7))</f>
        <v/>
      </c>
      <c r="F72" s="26">
        <f>IF($A72="","",INDEX(決定版!$A$4:$AE$53,計算用!$BE$68,IF(計算用!$BB$68="男",0,16)+8))</f>
        <v/>
      </c>
      <c r="G72" s="26">
        <f>IF($A72="","",INDEX(決定版!$A$4:$AE$53,計算用!$BE$68,IF(計算用!$BB$68="男",0,16)+9))</f>
        <v/>
      </c>
      <c r="H72">
        <f>IF($A72="","",INDEX(決定版!$A$4:$AE$53,計算用!$BE$68,IF(計算用!$BB$68="男",0,16)+10))</f>
        <v/>
      </c>
      <c r="I72" s="26">
        <f>IF($A72="","",INDEX(決定版!$A$4:$AE$53,計算用!$BE$68,IF(計算用!$BB$68="男",0,16)+11))</f>
        <v/>
      </c>
      <c r="J72" s="26">
        <f>IF($A72="","",INDEX(決定版!$A$4:$AE$53,計算用!$BE$68,IF(計算用!$BB$68="男",0,16)+12))</f>
        <v/>
      </c>
      <c r="K72">
        <f>IF($A72="","",INDEX(決定版!$A$4:$AE$53,計算用!$BE$68,IF(計算用!$BB$68="男",0,16)+13))</f>
        <v/>
      </c>
      <c r="L72" s="26">
        <f>IF($A72="","",INDEX(決定版!$A$4:$AE$53,計算用!$BE$68,IF(計算用!$BB$68="男",0,16)+14))</f>
        <v/>
      </c>
      <c r="M72" s="26">
        <f>IF($A72="","",INDEX(決定版!$A$4:$AE$53,計算用!$BE$68,IF(計算用!$BB$68="男",0,16)+15))</f>
        <v/>
      </c>
    </row>
    <row r="73">
      <c r="A73" s="26">
        <f>IF(計算用!$BB$69="","",計算用!$BA$69)</f>
        <v/>
      </c>
      <c r="B73">
        <f>IF($A73="","",INDEX(決定版!$A$4:$AE$53,計算用!$BE$69,IF(計算用!$BB$69="男",0,16)+4))</f>
        <v/>
      </c>
      <c r="C73" s="26">
        <f>IF($A73="","",INDEX(決定版!$A$4:$AE$53,計算用!$BE$69,IF(計算用!$BB$69="男",0,16)+5))</f>
        <v/>
      </c>
      <c r="D73" s="26">
        <f>IF($A73="","",INDEX(決定版!$A$4:$AE$53,計算用!$BE$69,IF(計算用!$BB$69="男",0,16)+6))</f>
        <v/>
      </c>
      <c r="E73">
        <f>IF($A73="","",INDEX(決定版!$A$4:$AE$53,計算用!$BE$69,IF(計算用!$BB$69="男",0,16)+7))</f>
        <v/>
      </c>
      <c r="F73" s="26">
        <f>IF($A73="","",INDEX(決定版!$A$4:$AE$53,計算用!$BE$69,IF(計算用!$BB$69="男",0,16)+8))</f>
        <v/>
      </c>
      <c r="G73" s="26">
        <f>IF($A73="","",INDEX(決定版!$A$4:$AE$53,計算用!$BE$69,IF(計算用!$BB$69="男",0,16)+9))</f>
        <v/>
      </c>
      <c r="H73">
        <f>IF($A73="","",INDEX(決定版!$A$4:$AE$53,計算用!$BE$69,IF(計算用!$BB$69="男",0,16)+10))</f>
        <v/>
      </c>
      <c r="I73" s="26">
        <f>IF($A73="","",INDEX(決定版!$A$4:$AE$53,計算用!$BE$69,IF(計算用!$BB$69="男",0,16)+11))</f>
        <v/>
      </c>
      <c r="J73" s="26">
        <f>IF($A73="","",INDEX(決定版!$A$4:$AE$53,計算用!$BE$69,IF(計算用!$BB$69="男",0,16)+12))</f>
        <v/>
      </c>
      <c r="K73">
        <f>IF($A73="","",INDEX(決定版!$A$4:$AE$53,計算用!$BE$69,IF(計算用!$BB$69="男",0,16)+13))</f>
        <v/>
      </c>
      <c r="L73" s="26">
        <f>IF($A73="","",INDEX(決定版!$A$4:$AE$53,計算用!$BE$69,IF(計算用!$BB$69="男",0,16)+14))</f>
        <v/>
      </c>
      <c r="M73" s="26">
        <f>IF($A73="","",INDEX(決定版!$A$4:$AE$53,計算用!$BE$69,IF(計算用!$BB$69="男",0,16)+15))</f>
        <v/>
      </c>
    </row>
    <row r="74">
      <c r="A74" s="26">
        <f>IF(計算用!$BB$70="","",計算用!$BA$70)</f>
        <v/>
      </c>
      <c r="B74">
        <f>IF($A74="","",INDEX(決定版!$A$4:$AE$53,計算用!$BE$70,IF(計算用!$BB$70="男",0,16)+4))</f>
        <v/>
      </c>
      <c r="C74" s="26">
        <f>IF($A74="","",INDEX(決定版!$A$4:$AE$53,計算用!$BE$70,IF(計算用!$BB$70="男",0,16)+5))</f>
        <v/>
      </c>
      <c r="D74" s="26">
        <f>IF($A74="","",INDEX(決定版!$A$4:$AE$53,計算用!$BE$70,IF(計算用!$BB$70="男",0,16)+6))</f>
        <v/>
      </c>
      <c r="E74">
        <f>IF($A74="","",INDEX(決定版!$A$4:$AE$53,計算用!$BE$70,IF(計算用!$BB$70="男",0,16)+7))</f>
        <v/>
      </c>
      <c r="F74" s="26">
        <f>IF($A74="","",INDEX(決定版!$A$4:$AE$53,計算用!$BE$70,IF(計算用!$BB$70="男",0,16)+8))</f>
        <v/>
      </c>
      <c r="G74" s="26">
        <f>IF($A74="","",INDEX(決定版!$A$4:$AE$53,計算用!$BE$70,IF(計算用!$BB$70="男",0,16)+9))</f>
        <v/>
      </c>
      <c r="H74">
        <f>IF($A74="","",INDEX(決定版!$A$4:$AE$53,計算用!$BE$70,IF(計算用!$BB$70="男",0,16)+10))</f>
        <v/>
      </c>
      <c r="I74" s="26">
        <f>IF($A74="","",INDEX(決定版!$A$4:$AE$53,計算用!$BE$70,IF(計算用!$BB$70="男",0,16)+11))</f>
        <v/>
      </c>
      <c r="J74" s="26">
        <f>IF($A74="","",INDEX(決定版!$A$4:$AE$53,計算用!$BE$70,IF(計算用!$BB$70="男",0,16)+12))</f>
        <v/>
      </c>
      <c r="K74">
        <f>IF($A74="","",INDEX(決定版!$A$4:$AE$53,計算用!$BE$70,IF(計算用!$BB$70="男",0,16)+13))</f>
        <v/>
      </c>
      <c r="L74" s="26">
        <f>IF($A74="","",INDEX(決定版!$A$4:$AE$53,計算用!$BE$70,IF(計算用!$BB$70="男",0,16)+14))</f>
        <v/>
      </c>
      <c r="M74" s="26">
        <f>IF($A74="","",INDEX(決定版!$A$4:$AE$53,計算用!$BE$70,IF(計算用!$BB$70="男",0,16)+15))</f>
        <v/>
      </c>
    </row>
    <row r="75">
      <c r="A75" s="26">
        <f>IF(計算用!$BB$71="","",計算用!$BA$71)</f>
        <v/>
      </c>
      <c r="B75">
        <f>IF($A75="","",INDEX(決定版!$A$4:$AE$53,計算用!$BE$71,IF(計算用!$BB$71="男",0,16)+4))</f>
        <v/>
      </c>
      <c r="C75" s="26">
        <f>IF($A75="","",INDEX(決定版!$A$4:$AE$53,計算用!$BE$71,IF(計算用!$BB$71="男",0,16)+5))</f>
        <v/>
      </c>
      <c r="D75" s="26">
        <f>IF($A75="","",INDEX(決定版!$A$4:$AE$53,計算用!$BE$71,IF(計算用!$BB$71="男",0,16)+6))</f>
        <v/>
      </c>
      <c r="E75">
        <f>IF($A75="","",INDEX(決定版!$A$4:$AE$53,計算用!$BE$71,IF(計算用!$BB$71="男",0,16)+7))</f>
        <v/>
      </c>
      <c r="F75" s="26">
        <f>IF($A75="","",INDEX(決定版!$A$4:$AE$53,計算用!$BE$71,IF(計算用!$BB$71="男",0,16)+8))</f>
        <v/>
      </c>
      <c r="G75" s="26">
        <f>IF($A75="","",INDEX(決定版!$A$4:$AE$53,計算用!$BE$71,IF(計算用!$BB$71="男",0,16)+9))</f>
        <v/>
      </c>
      <c r="H75">
        <f>IF($A75="","",INDEX(決定版!$A$4:$AE$53,計算用!$BE$71,IF(計算用!$BB$71="男",0,16)+10))</f>
        <v/>
      </c>
      <c r="I75" s="26">
        <f>IF($A75="","",INDEX(決定版!$A$4:$AE$53,計算用!$BE$71,IF(計算用!$BB$71="男",0,16)+11))</f>
        <v/>
      </c>
      <c r="J75" s="26">
        <f>IF($A75="","",INDEX(決定版!$A$4:$AE$53,計算用!$BE$71,IF(計算用!$BB$71="男",0,16)+12))</f>
        <v/>
      </c>
      <c r="K75">
        <f>IF($A75="","",INDEX(決定版!$A$4:$AE$53,計算用!$BE$71,IF(計算用!$BB$71="男",0,16)+13))</f>
        <v/>
      </c>
      <c r="L75" s="26">
        <f>IF($A75="","",INDEX(決定版!$A$4:$AE$53,計算用!$BE$71,IF(計算用!$BB$71="男",0,16)+14))</f>
        <v/>
      </c>
      <c r="M75" s="26">
        <f>IF($A75="","",INDEX(決定版!$A$4:$AE$53,計算用!$BE$71,IF(計算用!$BB$71="男",0,16)+15))</f>
        <v/>
      </c>
    </row>
    <row r="76">
      <c r="A76" s="26">
        <f>IF(計算用!$BB$72="","",計算用!$BA$72)</f>
        <v/>
      </c>
      <c r="B76">
        <f>IF($A76="","",INDEX(決定版!$A$4:$AE$53,計算用!$BE$72,IF(計算用!$BB$72="男",0,16)+4))</f>
        <v/>
      </c>
      <c r="C76" s="26">
        <f>IF($A76="","",INDEX(決定版!$A$4:$AE$53,計算用!$BE$72,IF(計算用!$BB$72="男",0,16)+5))</f>
        <v/>
      </c>
      <c r="D76" s="26">
        <f>IF($A76="","",INDEX(決定版!$A$4:$AE$53,計算用!$BE$72,IF(計算用!$BB$72="男",0,16)+6))</f>
        <v/>
      </c>
      <c r="E76">
        <f>IF($A76="","",INDEX(決定版!$A$4:$AE$53,計算用!$BE$72,IF(計算用!$BB$72="男",0,16)+7))</f>
        <v/>
      </c>
      <c r="F76" s="26">
        <f>IF($A76="","",INDEX(決定版!$A$4:$AE$53,計算用!$BE$72,IF(計算用!$BB$72="男",0,16)+8))</f>
        <v/>
      </c>
      <c r="G76" s="26">
        <f>IF($A76="","",INDEX(決定版!$A$4:$AE$53,計算用!$BE$72,IF(計算用!$BB$72="男",0,16)+9))</f>
        <v/>
      </c>
      <c r="H76">
        <f>IF($A76="","",INDEX(決定版!$A$4:$AE$53,計算用!$BE$72,IF(計算用!$BB$72="男",0,16)+10))</f>
        <v/>
      </c>
      <c r="I76" s="26">
        <f>IF($A76="","",INDEX(決定版!$A$4:$AE$53,計算用!$BE$72,IF(計算用!$BB$72="男",0,16)+11))</f>
        <v/>
      </c>
      <c r="J76" s="26">
        <f>IF($A76="","",INDEX(決定版!$A$4:$AE$53,計算用!$BE$72,IF(計算用!$BB$72="男",0,16)+12))</f>
        <v/>
      </c>
      <c r="K76">
        <f>IF($A76="","",INDEX(決定版!$A$4:$AE$53,計算用!$BE$72,IF(計算用!$BB$72="男",0,16)+13))</f>
        <v/>
      </c>
      <c r="L76" s="26">
        <f>IF($A76="","",INDEX(決定版!$A$4:$AE$53,計算用!$BE$72,IF(計算用!$BB$72="男",0,16)+14))</f>
        <v/>
      </c>
      <c r="M76" s="26">
        <f>IF($A76="","",INDEX(決定版!$A$4:$AE$53,計算用!$BE$72,IF(計算用!$BB$72="男",0,16)+15))</f>
        <v/>
      </c>
    </row>
    <row r="77">
      <c r="A77" s="26">
        <f>IF(計算用!$BB$73="","",計算用!$BA$73)</f>
        <v/>
      </c>
      <c r="B77">
        <f>IF($A77="","",INDEX(決定版!$A$4:$AE$53,計算用!$BE$73,IF(計算用!$BB$73="男",0,16)+4))</f>
        <v/>
      </c>
      <c r="C77" s="26">
        <f>IF($A77="","",INDEX(決定版!$A$4:$AE$53,計算用!$BE$73,IF(計算用!$BB$73="男",0,16)+5))</f>
        <v/>
      </c>
      <c r="D77" s="26">
        <f>IF($A77="","",INDEX(決定版!$A$4:$AE$53,計算用!$BE$73,IF(計算用!$BB$73="男",0,16)+6))</f>
        <v/>
      </c>
      <c r="E77">
        <f>IF($A77="","",INDEX(決定版!$A$4:$AE$53,計算用!$BE$73,IF(計算用!$BB$73="男",0,16)+7))</f>
        <v/>
      </c>
      <c r="F77" s="26">
        <f>IF($A77="","",INDEX(決定版!$A$4:$AE$53,計算用!$BE$73,IF(計算用!$BB$73="男",0,16)+8))</f>
        <v/>
      </c>
      <c r="G77" s="26">
        <f>IF($A77="","",INDEX(決定版!$A$4:$AE$53,計算用!$BE$73,IF(計算用!$BB$73="男",0,16)+9))</f>
        <v/>
      </c>
      <c r="H77">
        <f>IF($A77="","",INDEX(決定版!$A$4:$AE$53,計算用!$BE$73,IF(計算用!$BB$73="男",0,16)+10))</f>
        <v/>
      </c>
      <c r="I77" s="26">
        <f>IF($A77="","",INDEX(決定版!$A$4:$AE$53,計算用!$BE$73,IF(計算用!$BB$73="男",0,16)+11))</f>
        <v/>
      </c>
      <c r="J77" s="26">
        <f>IF($A77="","",INDEX(決定版!$A$4:$AE$53,計算用!$BE$73,IF(計算用!$BB$73="男",0,16)+12))</f>
        <v/>
      </c>
      <c r="K77">
        <f>IF($A77="","",INDEX(決定版!$A$4:$AE$53,計算用!$BE$73,IF(計算用!$BB$73="男",0,16)+13))</f>
        <v/>
      </c>
      <c r="L77" s="26">
        <f>IF($A77="","",INDEX(決定版!$A$4:$AE$53,計算用!$BE$73,IF(計算用!$BB$73="男",0,16)+14))</f>
        <v/>
      </c>
      <c r="M77" s="26">
        <f>IF($A77="","",INDEX(決定版!$A$4:$AE$53,計算用!$BE$73,IF(計算用!$BB$73="男",0,16)+15))</f>
        <v/>
      </c>
    </row>
    <row r="78">
      <c r="A78" s="26">
        <f>IF(計算用!$BB$74="","",計算用!$BA$74)</f>
        <v/>
      </c>
      <c r="B78">
        <f>IF($A78="","",INDEX(決定版!$A$4:$AE$53,計算用!$BE$74,IF(計算用!$BB$74="男",0,16)+4))</f>
        <v/>
      </c>
      <c r="C78" s="26">
        <f>IF($A78="","",INDEX(決定版!$A$4:$AE$53,計算用!$BE$74,IF(計算用!$BB$74="男",0,16)+5))</f>
        <v/>
      </c>
      <c r="D78" s="26">
        <f>IF($A78="","",INDEX(決定版!$A$4:$AE$53,計算用!$BE$74,IF(計算用!$BB$74="男",0,16)+6))</f>
        <v/>
      </c>
      <c r="E78">
        <f>IF($A78="","",INDEX(決定版!$A$4:$AE$53,計算用!$BE$74,IF(計算用!$BB$74="男",0,16)+7))</f>
        <v/>
      </c>
      <c r="F78" s="26">
        <f>IF($A78="","",INDEX(決定版!$A$4:$AE$53,計算用!$BE$74,IF(計算用!$BB$74="男",0,16)+8))</f>
        <v/>
      </c>
      <c r="G78" s="26">
        <f>IF($A78="","",INDEX(決定版!$A$4:$AE$53,計算用!$BE$74,IF(計算用!$BB$74="男",0,16)+9))</f>
        <v/>
      </c>
      <c r="H78">
        <f>IF($A78="","",INDEX(決定版!$A$4:$AE$53,計算用!$BE$74,IF(計算用!$BB$74="男",0,16)+10))</f>
        <v/>
      </c>
      <c r="I78" s="26">
        <f>IF($A78="","",INDEX(決定版!$A$4:$AE$53,計算用!$BE$74,IF(計算用!$BB$74="男",0,16)+11))</f>
        <v/>
      </c>
      <c r="J78" s="26">
        <f>IF($A78="","",INDEX(決定版!$A$4:$AE$53,計算用!$BE$74,IF(計算用!$BB$74="男",0,16)+12))</f>
        <v/>
      </c>
      <c r="K78">
        <f>IF($A78="","",INDEX(決定版!$A$4:$AE$53,計算用!$BE$74,IF(計算用!$BB$74="男",0,16)+13))</f>
        <v/>
      </c>
      <c r="L78" s="26">
        <f>IF($A78="","",INDEX(決定版!$A$4:$AE$53,計算用!$BE$74,IF(計算用!$BB$74="男",0,16)+14))</f>
        <v/>
      </c>
      <c r="M78" s="26">
        <f>IF($A78="","",INDEX(決定版!$A$4:$AE$53,計算用!$BE$74,IF(計算用!$BB$74="男",0,16)+15))</f>
        <v/>
      </c>
    </row>
    <row r="79">
      <c r="A79" s="26">
        <f>IF(計算用!$BB$75="","",計算用!$BA$75)</f>
        <v/>
      </c>
      <c r="B79">
        <f>IF($A79="","",INDEX(決定版!$A$4:$AE$53,計算用!$BE$75,IF(計算用!$BB$75="男",0,16)+4))</f>
        <v/>
      </c>
      <c r="C79" s="26">
        <f>IF($A79="","",INDEX(決定版!$A$4:$AE$53,計算用!$BE$75,IF(計算用!$BB$75="男",0,16)+5))</f>
        <v/>
      </c>
      <c r="D79" s="26">
        <f>IF($A79="","",INDEX(決定版!$A$4:$AE$53,計算用!$BE$75,IF(計算用!$BB$75="男",0,16)+6))</f>
        <v/>
      </c>
      <c r="E79">
        <f>IF($A79="","",INDEX(決定版!$A$4:$AE$53,計算用!$BE$75,IF(計算用!$BB$75="男",0,16)+7))</f>
        <v/>
      </c>
      <c r="F79" s="26">
        <f>IF($A79="","",INDEX(決定版!$A$4:$AE$53,計算用!$BE$75,IF(計算用!$BB$75="男",0,16)+8))</f>
        <v/>
      </c>
      <c r="G79" s="26">
        <f>IF($A79="","",INDEX(決定版!$A$4:$AE$53,計算用!$BE$75,IF(計算用!$BB$75="男",0,16)+9))</f>
        <v/>
      </c>
      <c r="H79">
        <f>IF($A79="","",INDEX(決定版!$A$4:$AE$53,計算用!$BE$75,IF(計算用!$BB$75="男",0,16)+10))</f>
        <v/>
      </c>
      <c r="I79" s="26">
        <f>IF($A79="","",INDEX(決定版!$A$4:$AE$53,計算用!$BE$75,IF(計算用!$BB$75="男",0,16)+11))</f>
        <v/>
      </c>
      <c r="J79" s="26">
        <f>IF($A79="","",INDEX(決定版!$A$4:$AE$53,計算用!$BE$75,IF(計算用!$BB$75="男",0,16)+12))</f>
        <v/>
      </c>
      <c r="K79">
        <f>IF($A79="","",INDEX(決定版!$A$4:$AE$53,計算用!$BE$75,IF(計算用!$BB$75="男",0,16)+13))</f>
        <v/>
      </c>
      <c r="L79" s="26">
        <f>IF($A79="","",INDEX(決定版!$A$4:$AE$53,計算用!$BE$75,IF(計算用!$BB$75="男",0,16)+14))</f>
        <v/>
      </c>
      <c r="M79" s="26">
        <f>IF($A79="","",INDEX(決定版!$A$4:$AE$53,計算用!$BE$75,IF(計算用!$BB$75="男",0,16)+15))</f>
        <v/>
      </c>
    </row>
    <row r="80">
      <c r="A80" s="26">
        <f>IF(計算用!$BB$76="","",計算用!$BA$76)</f>
        <v/>
      </c>
      <c r="B80">
        <f>IF($A80="","",INDEX(決定版!$A$4:$AE$53,計算用!$BE$76,IF(計算用!$BB$76="男",0,16)+4))</f>
        <v/>
      </c>
      <c r="C80" s="26">
        <f>IF($A80="","",INDEX(決定版!$A$4:$AE$53,計算用!$BE$76,IF(計算用!$BB$76="男",0,16)+5))</f>
        <v/>
      </c>
      <c r="D80" s="26">
        <f>IF($A80="","",INDEX(決定版!$A$4:$AE$53,計算用!$BE$76,IF(計算用!$BB$76="男",0,16)+6))</f>
        <v/>
      </c>
      <c r="E80">
        <f>IF($A80="","",INDEX(決定版!$A$4:$AE$53,計算用!$BE$76,IF(計算用!$BB$76="男",0,16)+7))</f>
        <v/>
      </c>
      <c r="F80" s="26">
        <f>IF($A80="","",INDEX(決定版!$A$4:$AE$53,計算用!$BE$76,IF(計算用!$BB$76="男",0,16)+8))</f>
        <v/>
      </c>
      <c r="G80" s="26">
        <f>IF($A80="","",INDEX(決定版!$A$4:$AE$53,計算用!$BE$76,IF(計算用!$BB$76="男",0,16)+9))</f>
        <v/>
      </c>
      <c r="H80">
        <f>IF($A80="","",INDEX(決定版!$A$4:$AE$53,計算用!$BE$76,IF(計算用!$BB$76="男",0,16)+10))</f>
        <v/>
      </c>
      <c r="I80" s="26">
        <f>IF($A80="","",INDEX(決定版!$A$4:$AE$53,計算用!$BE$76,IF(計算用!$BB$76="男",0,16)+11))</f>
        <v/>
      </c>
      <c r="J80" s="26">
        <f>IF($A80="","",INDEX(決定版!$A$4:$AE$53,計算用!$BE$76,IF(計算用!$BB$76="男",0,16)+12))</f>
        <v/>
      </c>
      <c r="K80">
        <f>IF($A80="","",INDEX(決定版!$A$4:$AE$53,計算用!$BE$76,IF(計算用!$BB$76="男",0,16)+13))</f>
        <v/>
      </c>
      <c r="L80" s="26">
        <f>IF($A80="","",INDEX(決定版!$A$4:$AE$53,計算用!$BE$76,IF(計算用!$BB$76="男",0,16)+14))</f>
        <v/>
      </c>
      <c r="M80" s="26">
        <f>IF($A80="","",INDEX(決定版!$A$4:$AE$53,計算用!$BE$76,IF(計算用!$BB$76="男",0,16)+15))</f>
        <v/>
      </c>
    </row>
    <row r="81">
      <c r="A81" s="26">
        <f>IF(計算用!$BB$77="","",計算用!$BA$77)</f>
        <v/>
      </c>
      <c r="B81">
        <f>IF($A81="","",INDEX(決定版!$A$4:$AE$53,計算用!$BE$77,IF(計算用!$BB$77="男",0,16)+4))</f>
        <v/>
      </c>
      <c r="C81" s="26">
        <f>IF($A81="","",INDEX(決定版!$A$4:$AE$53,計算用!$BE$77,IF(計算用!$BB$77="男",0,16)+5))</f>
        <v/>
      </c>
      <c r="D81" s="26">
        <f>IF($A81="","",INDEX(決定版!$A$4:$AE$53,計算用!$BE$77,IF(計算用!$BB$77="男",0,16)+6))</f>
        <v/>
      </c>
      <c r="E81">
        <f>IF($A81="","",INDEX(決定版!$A$4:$AE$53,計算用!$BE$77,IF(計算用!$BB$77="男",0,16)+7))</f>
        <v/>
      </c>
      <c r="F81" s="26">
        <f>IF($A81="","",INDEX(決定版!$A$4:$AE$53,計算用!$BE$77,IF(計算用!$BB$77="男",0,16)+8))</f>
        <v/>
      </c>
      <c r="G81" s="26">
        <f>IF($A81="","",INDEX(決定版!$A$4:$AE$53,計算用!$BE$77,IF(計算用!$BB$77="男",0,16)+9))</f>
        <v/>
      </c>
      <c r="H81">
        <f>IF($A81="","",INDEX(決定版!$A$4:$AE$53,計算用!$BE$77,IF(計算用!$BB$77="男",0,16)+10))</f>
        <v/>
      </c>
      <c r="I81" s="26">
        <f>IF($A81="","",INDEX(決定版!$A$4:$AE$53,計算用!$BE$77,IF(計算用!$BB$77="男",0,16)+11))</f>
        <v/>
      </c>
      <c r="J81" s="26">
        <f>IF($A81="","",INDEX(決定版!$A$4:$AE$53,計算用!$BE$77,IF(計算用!$BB$77="男",0,16)+12))</f>
        <v/>
      </c>
      <c r="K81">
        <f>IF($A81="","",INDEX(決定版!$A$4:$AE$53,計算用!$BE$77,IF(計算用!$BB$77="男",0,16)+13))</f>
        <v/>
      </c>
      <c r="L81" s="26">
        <f>IF($A81="","",INDEX(決定版!$A$4:$AE$53,計算用!$BE$77,IF(計算用!$BB$77="男",0,16)+14))</f>
        <v/>
      </c>
      <c r="M81" s="26">
        <f>IF($A81="","",INDEX(決定版!$A$4:$AE$53,計算用!$BE$77,IF(計算用!$BB$77="男",0,16)+15))</f>
        <v/>
      </c>
    </row>
    <row r="82">
      <c r="A82" s="26">
        <f>IF(計算用!$BB$78="","",計算用!$BA$78)</f>
        <v/>
      </c>
      <c r="B82">
        <f>IF($A82="","",INDEX(決定版!$A$4:$AE$53,計算用!$BE$78,IF(計算用!$BB$78="男",0,16)+4))</f>
        <v/>
      </c>
      <c r="C82" s="26">
        <f>IF($A82="","",INDEX(決定版!$A$4:$AE$53,計算用!$BE$78,IF(計算用!$BB$78="男",0,16)+5))</f>
        <v/>
      </c>
      <c r="D82" s="26">
        <f>IF($A82="","",INDEX(決定版!$A$4:$AE$53,計算用!$BE$78,IF(計算用!$BB$78="男",0,16)+6))</f>
        <v/>
      </c>
      <c r="E82">
        <f>IF($A82="","",INDEX(決定版!$A$4:$AE$53,計算用!$BE$78,IF(計算用!$BB$78="男",0,16)+7))</f>
        <v/>
      </c>
      <c r="F82" s="26">
        <f>IF($A82="","",INDEX(決定版!$A$4:$AE$53,計算用!$BE$78,IF(計算用!$BB$78="男",0,16)+8))</f>
        <v/>
      </c>
      <c r="G82" s="26">
        <f>IF($A82="","",INDEX(決定版!$A$4:$AE$53,計算用!$BE$78,IF(計算用!$BB$78="男",0,16)+9))</f>
        <v/>
      </c>
      <c r="H82">
        <f>IF($A82="","",INDEX(決定版!$A$4:$AE$53,計算用!$BE$78,IF(計算用!$BB$78="男",0,16)+10))</f>
        <v/>
      </c>
      <c r="I82" s="26">
        <f>IF($A82="","",INDEX(決定版!$A$4:$AE$53,計算用!$BE$78,IF(計算用!$BB$78="男",0,16)+11))</f>
        <v/>
      </c>
      <c r="J82" s="26">
        <f>IF($A82="","",INDEX(決定版!$A$4:$AE$53,計算用!$BE$78,IF(計算用!$BB$78="男",0,16)+12))</f>
        <v/>
      </c>
      <c r="K82">
        <f>IF($A82="","",INDEX(決定版!$A$4:$AE$53,計算用!$BE$78,IF(計算用!$BB$78="男",0,16)+13))</f>
        <v/>
      </c>
      <c r="L82" s="26">
        <f>IF($A82="","",INDEX(決定版!$A$4:$AE$53,計算用!$BE$78,IF(計算用!$BB$78="男",0,16)+14))</f>
        <v/>
      </c>
      <c r="M82" s="26">
        <f>IF($A82="","",INDEX(決定版!$A$4:$AE$53,計算用!$BE$78,IF(計算用!$BB$78="男",0,16)+15))</f>
        <v/>
      </c>
    </row>
    <row r="83">
      <c r="A83" s="26">
        <f>IF(計算用!$BB$79="","",計算用!$BA$79)</f>
        <v/>
      </c>
      <c r="B83">
        <f>IF($A83="","",INDEX(決定版!$A$4:$AE$53,計算用!$BE$79,IF(計算用!$BB$79="男",0,16)+4))</f>
        <v/>
      </c>
      <c r="C83" s="26">
        <f>IF($A83="","",INDEX(決定版!$A$4:$AE$53,計算用!$BE$79,IF(計算用!$BB$79="男",0,16)+5))</f>
        <v/>
      </c>
      <c r="D83" s="26">
        <f>IF($A83="","",INDEX(決定版!$A$4:$AE$53,計算用!$BE$79,IF(計算用!$BB$79="男",0,16)+6))</f>
        <v/>
      </c>
      <c r="E83">
        <f>IF($A83="","",INDEX(決定版!$A$4:$AE$53,計算用!$BE$79,IF(計算用!$BB$79="男",0,16)+7))</f>
        <v/>
      </c>
      <c r="F83" s="26">
        <f>IF($A83="","",INDEX(決定版!$A$4:$AE$53,計算用!$BE$79,IF(計算用!$BB$79="男",0,16)+8))</f>
        <v/>
      </c>
      <c r="G83" s="26">
        <f>IF($A83="","",INDEX(決定版!$A$4:$AE$53,計算用!$BE$79,IF(計算用!$BB$79="男",0,16)+9))</f>
        <v/>
      </c>
      <c r="H83">
        <f>IF($A83="","",INDEX(決定版!$A$4:$AE$53,計算用!$BE$79,IF(計算用!$BB$79="男",0,16)+10))</f>
        <v/>
      </c>
      <c r="I83" s="26">
        <f>IF($A83="","",INDEX(決定版!$A$4:$AE$53,計算用!$BE$79,IF(計算用!$BB$79="男",0,16)+11))</f>
        <v/>
      </c>
      <c r="J83" s="26">
        <f>IF($A83="","",INDEX(決定版!$A$4:$AE$53,計算用!$BE$79,IF(計算用!$BB$79="男",0,16)+12))</f>
        <v/>
      </c>
      <c r="K83">
        <f>IF($A83="","",INDEX(決定版!$A$4:$AE$53,計算用!$BE$79,IF(計算用!$BB$79="男",0,16)+13))</f>
        <v/>
      </c>
      <c r="L83" s="26">
        <f>IF($A83="","",INDEX(決定版!$A$4:$AE$53,計算用!$BE$79,IF(計算用!$BB$79="男",0,16)+14))</f>
        <v/>
      </c>
      <c r="M83" s="26">
        <f>IF($A83="","",INDEX(決定版!$A$4:$AE$53,計算用!$BE$79,IF(計算用!$BB$79="男",0,16)+15))</f>
        <v/>
      </c>
    </row>
    <row r="84">
      <c r="A84" s="26">
        <f>IF(計算用!$BB$80="","",計算用!$BA$80)</f>
        <v/>
      </c>
      <c r="B84">
        <f>IF($A84="","",INDEX(決定版!$A$4:$AE$53,計算用!$BE$80,IF(計算用!$BB$80="男",0,16)+4))</f>
        <v/>
      </c>
      <c r="C84" s="26">
        <f>IF($A84="","",INDEX(決定版!$A$4:$AE$53,計算用!$BE$80,IF(計算用!$BB$80="男",0,16)+5))</f>
        <v/>
      </c>
      <c r="D84" s="26">
        <f>IF($A84="","",INDEX(決定版!$A$4:$AE$53,計算用!$BE$80,IF(計算用!$BB$80="男",0,16)+6))</f>
        <v/>
      </c>
      <c r="E84">
        <f>IF($A84="","",INDEX(決定版!$A$4:$AE$53,計算用!$BE$80,IF(計算用!$BB$80="男",0,16)+7))</f>
        <v/>
      </c>
      <c r="F84" s="26">
        <f>IF($A84="","",INDEX(決定版!$A$4:$AE$53,計算用!$BE$80,IF(計算用!$BB$80="男",0,16)+8))</f>
        <v/>
      </c>
      <c r="G84" s="26">
        <f>IF($A84="","",INDEX(決定版!$A$4:$AE$53,計算用!$BE$80,IF(計算用!$BB$80="男",0,16)+9))</f>
        <v/>
      </c>
      <c r="H84">
        <f>IF($A84="","",INDEX(決定版!$A$4:$AE$53,計算用!$BE$80,IF(計算用!$BB$80="男",0,16)+10))</f>
        <v/>
      </c>
      <c r="I84" s="26">
        <f>IF($A84="","",INDEX(決定版!$A$4:$AE$53,計算用!$BE$80,IF(計算用!$BB$80="男",0,16)+11))</f>
        <v/>
      </c>
      <c r="J84" s="26">
        <f>IF($A84="","",INDEX(決定版!$A$4:$AE$53,計算用!$BE$80,IF(計算用!$BB$80="男",0,16)+12))</f>
        <v/>
      </c>
      <c r="K84">
        <f>IF($A84="","",INDEX(決定版!$A$4:$AE$53,計算用!$BE$80,IF(計算用!$BB$80="男",0,16)+13))</f>
        <v/>
      </c>
      <c r="L84" s="26">
        <f>IF($A84="","",INDEX(決定版!$A$4:$AE$53,計算用!$BE$80,IF(計算用!$BB$80="男",0,16)+14))</f>
        <v/>
      </c>
      <c r="M84" s="26">
        <f>IF($A84="","",INDEX(決定版!$A$4:$AE$53,計算用!$BE$80,IF(計算用!$BB$80="男",0,16)+15))</f>
        <v/>
      </c>
    </row>
    <row r="85">
      <c r="A85" s="26">
        <f>IF(計算用!$BB$81="","",計算用!$BA$81)</f>
        <v/>
      </c>
      <c r="B85">
        <f>IF($A85="","",INDEX(決定版!$A$4:$AE$53,計算用!$BE$81,IF(計算用!$BB$81="男",0,16)+4))</f>
        <v/>
      </c>
      <c r="C85" s="26">
        <f>IF($A85="","",INDEX(決定版!$A$4:$AE$53,計算用!$BE$81,IF(計算用!$BB$81="男",0,16)+5))</f>
        <v/>
      </c>
      <c r="D85" s="26">
        <f>IF($A85="","",INDEX(決定版!$A$4:$AE$53,計算用!$BE$81,IF(計算用!$BB$81="男",0,16)+6))</f>
        <v/>
      </c>
      <c r="E85">
        <f>IF($A85="","",INDEX(決定版!$A$4:$AE$53,計算用!$BE$81,IF(計算用!$BB$81="男",0,16)+7))</f>
        <v/>
      </c>
      <c r="F85" s="26">
        <f>IF($A85="","",INDEX(決定版!$A$4:$AE$53,計算用!$BE$81,IF(計算用!$BB$81="男",0,16)+8))</f>
        <v/>
      </c>
      <c r="G85" s="26">
        <f>IF($A85="","",INDEX(決定版!$A$4:$AE$53,計算用!$BE$81,IF(計算用!$BB$81="男",0,16)+9))</f>
        <v/>
      </c>
      <c r="H85">
        <f>IF($A85="","",INDEX(決定版!$A$4:$AE$53,計算用!$BE$81,IF(計算用!$BB$81="男",0,16)+10))</f>
        <v/>
      </c>
      <c r="I85" s="26">
        <f>IF($A85="","",INDEX(決定版!$A$4:$AE$53,計算用!$BE$81,IF(計算用!$BB$81="男",0,16)+11))</f>
        <v/>
      </c>
      <c r="J85" s="26">
        <f>IF($A85="","",INDEX(決定版!$A$4:$AE$53,計算用!$BE$81,IF(計算用!$BB$81="男",0,16)+12))</f>
        <v/>
      </c>
      <c r="K85">
        <f>IF($A85="","",INDEX(決定版!$A$4:$AE$53,計算用!$BE$81,IF(計算用!$BB$81="男",0,16)+13))</f>
        <v/>
      </c>
      <c r="L85" s="26">
        <f>IF($A85="","",INDEX(決定版!$A$4:$AE$53,計算用!$BE$81,IF(計算用!$BB$81="男",0,16)+14))</f>
        <v/>
      </c>
      <c r="M85" s="26">
        <f>IF($A85="","",INDEX(決定版!$A$4:$AE$53,計算用!$BE$81,IF(計算用!$BB$81="男",0,16)+15))</f>
        <v/>
      </c>
    </row>
    <row r="86">
      <c r="A86" s="26">
        <f>IF(計算用!$BB$82="","",計算用!$BA$82)</f>
        <v/>
      </c>
      <c r="B86">
        <f>IF($A86="","",INDEX(決定版!$A$4:$AE$53,計算用!$BE$82,IF(計算用!$BB$82="男",0,16)+4))</f>
        <v/>
      </c>
      <c r="C86" s="26">
        <f>IF($A86="","",INDEX(決定版!$A$4:$AE$53,計算用!$BE$82,IF(計算用!$BB$82="男",0,16)+5))</f>
        <v/>
      </c>
      <c r="D86" s="26">
        <f>IF($A86="","",INDEX(決定版!$A$4:$AE$53,計算用!$BE$82,IF(計算用!$BB$82="男",0,16)+6))</f>
        <v/>
      </c>
      <c r="E86">
        <f>IF($A86="","",INDEX(決定版!$A$4:$AE$53,計算用!$BE$82,IF(計算用!$BB$82="男",0,16)+7))</f>
        <v/>
      </c>
      <c r="F86" s="26">
        <f>IF($A86="","",INDEX(決定版!$A$4:$AE$53,計算用!$BE$82,IF(計算用!$BB$82="男",0,16)+8))</f>
        <v/>
      </c>
      <c r="G86" s="26">
        <f>IF($A86="","",INDEX(決定版!$A$4:$AE$53,計算用!$BE$82,IF(計算用!$BB$82="男",0,16)+9))</f>
        <v/>
      </c>
      <c r="H86">
        <f>IF($A86="","",INDEX(決定版!$A$4:$AE$53,計算用!$BE$82,IF(計算用!$BB$82="男",0,16)+10))</f>
        <v/>
      </c>
      <c r="I86" s="26">
        <f>IF($A86="","",INDEX(決定版!$A$4:$AE$53,計算用!$BE$82,IF(計算用!$BB$82="男",0,16)+11))</f>
        <v/>
      </c>
      <c r="J86" s="26">
        <f>IF($A86="","",INDEX(決定版!$A$4:$AE$53,計算用!$BE$82,IF(計算用!$BB$82="男",0,16)+12))</f>
        <v/>
      </c>
      <c r="K86">
        <f>IF($A86="","",INDEX(決定版!$A$4:$AE$53,計算用!$BE$82,IF(計算用!$BB$82="男",0,16)+13))</f>
        <v/>
      </c>
      <c r="L86" s="26">
        <f>IF($A86="","",INDEX(決定版!$A$4:$AE$53,計算用!$BE$82,IF(計算用!$BB$82="男",0,16)+14))</f>
        <v/>
      </c>
      <c r="M86" s="26">
        <f>IF($A86="","",INDEX(決定版!$A$4:$AE$53,計算用!$BE$82,IF(計算用!$BB$82="男",0,16)+15))</f>
        <v/>
      </c>
    </row>
    <row r="87">
      <c r="A87" s="26">
        <f>IF(計算用!$BB$83="","",計算用!$BA$83)</f>
        <v/>
      </c>
      <c r="B87">
        <f>IF($A87="","",INDEX(決定版!$A$4:$AE$53,計算用!$BE$83,IF(計算用!$BB$83="男",0,16)+4))</f>
        <v/>
      </c>
      <c r="C87" s="26">
        <f>IF($A87="","",INDEX(決定版!$A$4:$AE$53,計算用!$BE$83,IF(計算用!$BB$83="男",0,16)+5))</f>
        <v/>
      </c>
      <c r="D87" s="26">
        <f>IF($A87="","",INDEX(決定版!$A$4:$AE$53,計算用!$BE$83,IF(計算用!$BB$83="男",0,16)+6))</f>
        <v/>
      </c>
      <c r="E87">
        <f>IF($A87="","",INDEX(決定版!$A$4:$AE$53,計算用!$BE$83,IF(計算用!$BB$83="男",0,16)+7))</f>
        <v/>
      </c>
      <c r="F87" s="26">
        <f>IF($A87="","",INDEX(決定版!$A$4:$AE$53,計算用!$BE$83,IF(計算用!$BB$83="男",0,16)+8))</f>
        <v/>
      </c>
      <c r="G87" s="26">
        <f>IF($A87="","",INDEX(決定版!$A$4:$AE$53,計算用!$BE$83,IF(計算用!$BB$83="男",0,16)+9))</f>
        <v/>
      </c>
      <c r="H87">
        <f>IF($A87="","",INDEX(決定版!$A$4:$AE$53,計算用!$BE$83,IF(計算用!$BB$83="男",0,16)+10))</f>
        <v/>
      </c>
      <c r="I87" s="26">
        <f>IF($A87="","",INDEX(決定版!$A$4:$AE$53,計算用!$BE$83,IF(計算用!$BB$83="男",0,16)+11))</f>
        <v/>
      </c>
      <c r="J87" s="26">
        <f>IF($A87="","",INDEX(決定版!$A$4:$AE$53,計算用!$BE$83,IF(計算用!$BB$83="男",0,16)+12))</f>
        <v/>
      </c>
      <c r="K87">
        <f>IF($A87="","",INDEX(決定版!$A$4:$AE$53,計算用!$BE$83,IF(計算用!$BB$83="男",0,16)+13))</f>
        <v/>
      </c>
      <c r="L87" s="26">
        <f>IF($A87="","",INDEX(決定版!$A$4:$AE$53,計算用!$BE$83,IF(計算用!$BB$83="男",0,16)+14))</f>
        <v/>
      </c>
      <c r="M87" s="26">
        <f>IF($A87="","",INDEX(決定版!$A$4:$AE$53,計算用!$BE$83,IF(計算用!$BB$83="男",0,16)+15))</f>
        <v/>
      </c>
    </row>
    <row r="88">
      <c r="A88" s="26">
        <f>IF(計算用!$BB$84="","",計算用!$BA$84)</f>
        <v/>
      </c>
      <c r="B88">
        <f>IF($A88="","",INDEX(決定版!$A$4:$AE$53,計算用!$BE$84,IF(計算用!$BB$84="男",0,16)+4))</f>
        <v/>
      </c>
      <c r="C88" s="26">
        <f>IF($A88="","",INDEX(決定版!$A$4:$AE$53,計算用!$BE$84,IF(計算用!$BB$84="男",0,16)+5))</f>
        <v/>
      </c>
      <c r="D88" s="26">
        <f>IF($A88="","",INDEX(決定版!$A$4:$AE$53,計算用!$BE$84,IF(計算用!$BB$84="男",0,16)+6))</f>
        <v/>
      </c>
      <c r="E88">
        <f>IF($A88="","",INDEX(決定版!$A$4:$AE$53,計算用!$BE$84,IF(計算用!$BB$84="男",0,16)+7))</f>
        <v/>
      </c>
      <c r="F88" s="26">
        <f>IF($A88="","",INDEX(決定版!$A$4:$AE$53,計算用!$BE$84,IF(計算用!$BB$84="男",0,16)+8))</f>
        <v/>
      </c>
      <c r="G88" s="26">
        <f>IF($A88="","",INDEX(決定版!$A$4:$AE$53,計算用!$BE$84,IF(計算用!$BB$84="男",0,16)+9))</f>
        <v/>
      </c>
      <c r="H88">
        <f>IF($A88="","",INDEX(決定版!$A$4:$AE$53,計算用!$BE$84,IF(計算用!$BB$84="男",0,16)+10))</f>
        <v/>
      </c>
      <c r="I88" s="26">
        <f>IF($A88="","",INDEX(決定版!$A$4:$AE$53,計算用!$BE$84,IF(計算用!$BB$84="男",0,16)+11))</f>
        <v/>
      </c>
      <c r="J88" s="26">
        <f>IF($A88="","",INDEX(決定版!$A$4:$AE$53,計算用!$BE$84,IF(計算用!$BB$84="男",0,16)+12))</f>
        <v/>
      </c>
      <c r="K88">
        <f>IF($A88="","",INDEX(決定版!$A$4:$AE$53,計算用!$BE$84,IF(計算用!$BB$84="男",0,16)+13))</f>
        <v/>
      </c>
      <c r="L88" s="26">
        <f>IF($A88="","",INDEX(決定版!$A$4:$AE$53,計算用!$BE$84,IF(計算用!$BB$84="男",0,16)+14))</f>
        <v/>
      </c>
      <c r="M88" s="26">
        <f>IF($A88="","",INDEX(決定版!$A$4:$AE$53,計算用!$BE$84,IF(計算用!$BB$84="男",0,16)+15))</f>
        <v/>
      </c>
    </row>
    <row r="89">
      <c r="A89" s="26">
        <f>IF(計算用!$BB$85="","",計算用!$BA$85)</f>
        <v/>
      </c>
      <c r="B89">
        <f>IF($A89="","",INDEX(決定版!$A$4:$AE$53,計算用!$BE$85,IF(計算用!$BB$85="男",0,16)+4))</f>
        <v/>
      </c>
      <c r="C89" s="26">
        <f>IF($A89="","",INDEX(決定版!$A$4:$AE$53,計算用!$BE$85,IF(計算用!$BB$85="男",0,16)+5))</f>
        <v/>
      </c>
      <c r="D89" s="26">
        <f>IF($A89="","",INDEX(決定版!$A$4:$AE$53,計算用!$BE$85,IF(計算用!$BB$85="男",0,16)+6))</f>
        <v/>
      </c>
      <c r="E89">
        <f>IF($A89="","",INDEX(決定版!$A$4:$AE$53,計算用!$BE$85,IF(計算用!$BB$85="男",0,16)+7))</f>
        <v/>
      </c>
      <c r="F89" s="26">
        <f>IF($A89="","",INDEX(決定版!$A$4:$AE$53,計算用!$BE$85,IF(計算用!$BB$85="男",0,16)+8))</f>
        <v/>
      </c>
      <c r="G89" s="26">
        <f>IF($A89="","",INDEX(決定版!$A$4:$AE$53,計算用!$BE$85,IF(計算用!$BB$85="男",0,16)+9))</f>
        <v/>
      </c>
      <c r="H89">
        <f>IF($A89="","",INDEX(決定版!$A$4:$AE$53,計算用!$BE$85,IF(計算用!$BB$85="男",0,16)+10))</f>
        <v/>
      </c>
      <c r="I89" s="26">
        <f>IF($A89="","",INDEX(決定版!$A$4:$AE$53,計算用!$BE$85,IF(計算用!$BB$85="男",0,16)+11))</f>
        <v/>
      </c>
      <c r="J89" s="26">
        <f>IF($A89="","",INDEX(決定版!$A$4:$AE$53,計算用!$BE$85,IF(計算用!$BB$85="男",0,16)+12))</f>
        <v/>
      </c>
      <c r="K89">
        <f>IF($A89="","",INDEX(決定版!$A$4:$AE$53,計算用!$BE$85,IF(計算用!$BB$85="男",0,16)+13))</f>
        <v/>
      </c>
      <c r="L89" s="26">
        <f>IF($A89="","",INDEX(決定版!$A$4:$AE$53,計算用!$BE$85,IF(計算用!$BB$85="男",0,16)+14))</f>
        <v/>
      </c>
      <c r="M89" s="26">
        <f>IF($A89="","",INDEX(決定版!$A$4:$AE$53,計算用!$BE$85,IF(計算用!$BB$85="男",0,16)+15))</f>
        <v/>
      </c>
    </row>
    <row r="90">
      <c r="A90" s="26">
        <f>IF(計算用!$BB$86="","",計算用!$BA$86)</f>
        <v/>
      </c>
      <c r="B90">
        <f>IF($A90="","",INDEX(決定版!$A$4:$AE$53,計算用!$BE$86,IF(計算用!$BB$86="男",0,16)+4))</f>
        <v/>
      </c>
      <c r="C90" s="26">
        <f>IF($A90="","",INDEX(決定版!$A$4:$AE$53,計算用!$BE$86,IF(計算用!$BB$86="男",0,16)+5))</f>
        <v/>
      </c>
      <c r="D90" s="26">
        <f>IF($A90="","",INDEX(決定版!$A$4:$AE$53,計算用!$BE$86,IF(計算用!$BB$86="男",0,16)+6))</f>
        <v/>
      </c>
      <c r="E90">
        <f>IF($A90="","",INDEX(決定版!$A$4:$AE$53,計算用!$BE$86,IF(計算用!$BB$86="男",0,16)+7))</f>
        <v/>
      </c>
      <c r="F90" s="26">
        <f>IF($A90="","",INDEX(決定版!$A$4:$AE$53,計算用!$BE$86,IF(計算用!$BB$86="男",0,16)+8))</f>
        <v/>
      </c>
      <c r="G90" s="26">
        <f>IF($A90="","",INDEX(決定版!$A$4:$AE$53,計算用!$BE$86,IF(計算用!$BB$86="男",0,16)+9))</f>
        <v/>
      </c>
      <c r="H90">
        <f>IF($A90="","",INDEX(決定版!$A$4:$AE$53,計算用!$BE$86,IF(計算用!$BB$86="男",0,16)+10))</f>
        <v/>
      </c>
      <c r="I90" s="26">
        <f>IF($A90="","",INDEX(決定版!$A$4:$AE$53,計算用!$BE$86,IF(計算用!$BB$86="男",0,16)+11))</f>
        <v/>
      </c>
      <c r="J90" s="26">
        <f>IF($A90="","",INDEX(決定版!$A$4:$AE$53,計算用!$BE$86,IF(計算用!$BB$86="男",0,16)+12))</f>
        <v/>
      </c>
      <c r="K90">
        <f>IF($A90="","",INDEX(決定版!$A$4:$AE$53,計算用!$BE$86,IF(計算用!$BB$86="男",0,16)+13))</f>
        <v/>
      </c>
      <c r="L90" s="26">
        <f>IF($A90="","",INDEX(決定版!$A$4:$AE$53,計算用!$BE$86,IF(計算用!$BB$86="男",0,16)+14))</f>
        <v/>
      </c>
      <c r="M90" s="26">
        <f>IF($A90="","",INDEX(決定版!$A$4:$AE$53,計算用!$BE$86,IF(計算用!$BB$86="男",0,16)+15))</f>
        <v/>
      </c>
    </row>
    <row r="91">
      <c r="A91" s="26">
        <f>IF(計算用!$BB$87="","",計算用!$BA$87)</f>
        <v/>
      </c>
      <c r="B91">
        <f>IF($A91="","",INDEX(決定版!$A$4:$AE$53,計算用!$BE$87,IF(計算用!$BB$87="男",0,16)+4))</f>
        <v/>
      </c>
      <c r="C91" s="26">
        <f>IF($A91="","",INDEX(決定版!$A$4:$AE$53,計算用!$BE$87,IF(計算用!$BB$87="男",0,16)+5))</f>
        <v/>
      </c>
      <c r="D91" s="26">
        <f>IF($A91="","",INDEX(決定版!$A$4:$AE$53,計算用!$BE$87,IF(計算用!$BB$87="男",0,16)+6))</f>
        <v/>
      </c>
      <c r="E91">
        <f>IF($A91="","",INDEX(決定版!$A$4:$AE$53,計算用!$BE$87,IF(計算用!$BB$87="男",0,16)+7))</f>
        <v/>
      </c>
      <c r="F91" s="26">
        <f>IF($A91="","",INDEX(決定版!$A$4:$AE$53,計算用!$BE$87,IF(計算用!$BB$87="男",0,16)+8))</f>
        <v/>
      </c>
      <c r="G91" s="26">
        <f>IF($A91="","",INDEX(決定版!$A$4:$AE$53,計算用!$BE$87,IF(計算用!$BB$87="男",0,16)+9))</f>
        <v/>
      </c>
      <c r="H91">
        <f>IF($A91="","",INDEX(決定版!$A$4:$AE$53,計算用!$BE$87,IF(計算用!$BB$87="男",0,16)+10))</f>
        <v/>
      </c>
      <c r="I91" s="26">
        <f>IF($A91="","",INDEX(決定版!$A$4:$AE$53,計算用!$BE$87,IF(計算用!$BB$87="男",0,16)+11))</f>
        <v/>
      </c>
      <c r="J91" s="26">
        <f>IF($A91="","",INDEX(決定版!$A$4:$AE$53,計算用!$BE$87,IF(計算用!$BB$87="男",0,16)+12))</f>
        <v/>
      </c>
      <c r="K91">
        <f>IF($A91="","",INDEX(決定版!$A$4:$AE$53,計算用!$BE$87,IF(計算用!$BB$87="男",0,16)+13))</f>
        <v/>
      </c>
      <c r="L91" s="26">
        <f>IF($A91="","",INDEX(決定版!$A$4:$AE$53,計算用!$BE$87,IF(計算用!$BB$87="男",0,16)+14))</f>
        <v/>
      </c>
      <c r="M91" s="26">
        <f>IF($A91="","",INDEX(決定版!$A$4:$AE$53,計算用!$BE$87,IF(計算用!$BB$87="男",0,16)+15))</f>
        <v/>
      </c>
    </row>
    <row r="92">
      <c r="A92" s="26">
        <f>IF(計算用!$BB$88="","",計算用!$BA$88)</f>
        <v/>
      </c>
      <c r="B92">
        <f>IF($A92="","",INDEX(決定版!$A$4:$AE$53,計算用!$BE$88,IF(計算用!$BB$88="男",0,16)+4))</f>
        <v/>
      </c>
      <c r="C92" s="26">
        <f>IF($A92="","",INDEX(決定版!$A$4:$AE$53,計算用!$BE$88,IF(計算用!$BB$88="男",0,16)+5))</f>
        <v/>
      </c>
      <c r="D92" s="26">
        <f>IF($A92="","",INDEX(決定版!$A$4:$AE$53,計算用!$BE$88,IF(計算用!$BB$88="男",0,16)+6))</f>
        <v/>
      </c>
      <c r="E92">
        <f>IF($A92="","",INDEX(決定版!$A$4:$AE$53,計算用!$BE$88,IF(計算用!$BB$88="男",0,16)+7))</f>
        <v/>
      </c>
      <c r="F92" s="26">
        <f>IF($A92="","",INDEX(決定版!$A$4:$AE$53,計算用!$BE$88,IF(計算用!$BB$88="男",0,16)+8))</f>
        <v/>
      </c>
      <c r="G92" s="26">
        <f>IF($A92="","",INDEX(決定版!$A$4:$AE$53,計算用!$BE$88,IF(計算用!$BB$88="男",0,16)+9))</f>
        <v/>
      </c>
      <c r="H92">
        <f>IF($A92="","",INDEX(決定版!$A$4:$AE$53,計算用!$BE$88,IF(計算用!$BB$88="男",0,16)+10))</f>
        <v/>
      </c>
      <c r="I92" s="26">
        <f>IF($A92="","",INDEX(決定版!$A$4:$AE$53,計算用!$BE$88,IF(計算用!$BB$88="男",0,16)+11))</f>
        <v/>
      </c>
      <c r="J92" s="26">
        <f>IF($A92="","",INDEX(決定版!$A$4:$AE$53,計算用!$BE$88,IF(計算用!$BB$88="男",0,16)+12))</f>
        <v/>
      </c>
      <c r="K92">
        <f>IF($A92="","",INDEX(決定版!$A$4:$AE$53,計算用!$BE$88,IF(計算用!$BB$88="男",0,16)+13))</f>
        <v/>
      </c>
      <c r="L92" s="26">
        <f>IF($A92="","",INDEX(決定版!$A$4:$AE$53,計算用!$BE$88,IF(計算用!$BB$88="男",0,16)+14))</f>
        <v/>
      </c>
      <c r="M92" s="26">
        <f>IF($A92="","",INDEX(決定版!$A$4:$AE$53,計算用!$BE$88,IF(計算用!$BB$88="男",0,16)+15))</f>
        <v/>
      </c>
    </row>
    <row r="93">
      <c r="A93" s="26">
        <f>IF(計算用!$BB$89="","",計算用!$BA$89)</f>
        <v/>
      </c>
      <c r="B93">
        <f>IF($A93="","",INDEX(決定版!$A$4:$AE$53,計算用!$BE$89,IF(計算用!$BB$89="男",0,16)+4))</f>
        <v/>
      </c>
      <c r="C93" s="26">
        <f>IF($A93="","",INDEX(決定版!$A$4:$AE$53,計算用!$BE$89,IF(計算用!$BB$89="男",0,16)+5))</f>
        <v/>
      </c>
      <c r="D93" s="26">
        <f>IF($A93="","",INDEX(決定版!$A$4:$AE$53,計算用!$BE$89,IF(計算用!$BB$89="男",0,16)+6))</f>
        <v/>
      </c>
      <c r="E93">
        <f>IF($A93="","",INDEX(決定版!$A$4:$AE$53,計算用!$BE$89,IF(計算用!$BB$89="男",0,16)+7))</f>
        <v/>
      </c>
      <c r="F93" s="26">
        <f>IF($A93="","",INDEX(決定版!$A$4:$AE$53,計算用!$BE$89,IF(計算用!$BB$89="男",0,16)+8))</f>
        <v/>
      </c>
      <c r="G93" s="26">
        <f>IF($A93="","",INDEX(決定版!$A$4:$AE$53,計算用!$BE$89,IF(計算用!$BB$89="男",0,16)+9))</f>
        <v/>
      </c>
      <c r="H93">
        <f>IF($A93="","",INDEX(決定版!$A$4:$AE$53,計算用!$BE$89,IF(計算用!$BB$89="男",0,16)+10))</f>
        <v/>
      </c>
      <c r="I93" s="26">
        <f>IF($A93="","",INDEX(決定版!$A$4:$AE$53,計算用!$BE$89,IF(計算用!$BB$89="男",0,16)+11))</f>
        <v/>
      </c>
      <c r="J93" s="26">
        <f>IF($A93="","",INDEX(決定版!$A$4:$AE$53,計算用!$BE$89,IF(計算用!$BB$89="男",0,16)+12))</f>
        <v/>
      </c>
      <c r="K93">
        <f>IF($A93="","",INDEX(決定版!$A$4:$AE$53,計算用!$BE$89,IF(計算用!$BB$89="男",0,16)+13))</f>
        <v/>
      </c>
      <c r="L93" s="26">
        <f>IF($A93="","",INDEX(決定版!$A$4:$AE$53,計算用!$BE$89,IF(計算用!$BB$89="男",0,16)+14))</f>
        <v/>
      </c>
      <c r="M93" s="26">
        <f>IF($A93="","",INDEX(決定版!$A$4:$AE$53,計算用!$BE$89,IF(計算用!$BB$89="男",0,16)+15))</f>
        <v/>
      </c>
    </row>
    <row r="94">
      <c r="A94" s="26">
        <f>IF(計算用!$BB$90="","",計算用!$BA$90)</f>
        <v/>
      </c>
      <c r="B94">
        <f>IF($A94="","",INDEX(決定版!$A$4:$AE$53,計算用!$BE$90,IF(計算用!$BB$90="男",0,16)+4))</f>
        <v/>
      </c>
      <c r="C94" s="26">
        <f>IF($A94="","",INDEX(決定版!$A$4:$AE$53,計算用!$BE$90,IF(計算用!$BB$90="男",0,16)+5))</f>
        <v/>
      </c>
      <c r="D94" s="26">
        <f>IF($A94="","",INDEX(決定版!$A$4:$AE$53,計算用!$BE$90,IF(計算用!$BB$90="男",0,16)+6))</f>
        <v/>
      </c>
      <c r="E94">
        <f>IF($A94="","",INDEX(決定版!$A$4:$AE$53,計算用!$BE$90,IF(計算用!$BB$90="男",0,16)+7))</f>
        <v/>
      </c>
      <c r="F94" s="26">
        <f>IF($A94="","",INDEX(決定版!$A$4:$AE$53,計算用!$BE$90,IF(計算用!$BB$90="男",0,16)+8))</f>
        <v/>
      </c>
      <c r="G94" s="26">
        <f>IF($A94="","",INDEX(決定版!$A$4:$AE$53,計算用!$BE$90,IF(計算用!$BB$90="男",0,16)+9))</f>
        <v/>
      </c>
      <c r="H94">
        <f>IF($A94="","",INDEX(決定版!$A$4:$AE$53,計算用!$BE$90,IF(計算用!$BB$90="男",0,16)+10))</f>
        <v/>
      </c>
      <c r="I94" s="26">
        <f>IF($A94="","",INDEX(決定版!$A$4:$AE$53,計算用!$BE$90,IF(計算用!$BB$90="男",0,16)+11))</f>
        <v/>
      </c>
      <c r="J94" s="26">
        <f>IF($A94="","",INDEX(決定版!$A$4:$AE$53,計算用!$BE$90,IF(計算用!$BB$90="男",0,16)+12))</f>
        <v/>
      </c>
      <c r="K94">
        <f>IF($A94="","",INDEX(決定版!$A$4:$AE$53,計算用!$BE$90,IF(計算用!$BB$90="男",0,16)+13))</f>
        <v/>
      </c>
      <c r="L94" s="26">
        <f>IF($A94="","",INDEX(決定版!$A$4:$AE$53,計算用!$BE$90,IF(計算用!$BB$90="男",0,16)+14))</f>
        <v/>
      </c>
      <c r="M94" s="26">
        <f>IF($A94="","",INDEX(決定版!$A$4:$AE$53,計算用!$BE$90,IF(計算用!$BB$90="男",0,16)+15))</f>
        <v/>
      </c>
    </row>
    <row r="95">
      <c r="A95" s="26">
        <f>IF(計算用!$BB$91="","",計算用!$BA$91)</f>
        <v/>
      </c>
      <c r="B95">
        <f>IF($A95="","",INDEX(決定版!$A$4:$AE$53,計算用!$BE$91,IF(計算用!$BB$91="男",0,16)+4))</f>
        <v/>
      </c>
      <c r="C95" s="26">
        <f>IF($A95="","",INDEX(決定版!$A$4:$AE$53,計算用!$BE$91,IF(計算用!$BB$91="男",0,16)+5))</f>
        <v/>
      </c>
      <c r="D95" s="26">
        <f>IF($A95="","",INDEX(決定版!$A$4:$AE$53,計算用!$BE$91,IF(計算用!$BB$91="男",0,16)+6))</f>
        <v/>
      </c>
      <c r="E95">
        <f>IF($A95="","",INDEX(決定版!$A$4:$AE$53,計算用!$BE$91,IF(計算用!$BB$91="男",0,16)+7))</f>
        <v/>
      </c>
      <c r="F95" s="26">
        <f>IF($A95="","",INDEX(決定版!$A$4:$AE$53,計算用!$BE$91,IF(計算用!$BB$91="男",0,16)+8))</f>
        <v/>
      </c>
      <c r="G95" s="26">
        <f>IF($A95="","",INDEX(決定版!$A$4:$AE$53,計算用!$BE$91,IF(計算用!$BB$91="男",0,16)+9))</f>
        <v/>
      </c>
      <c r="H95">
        <f>IF($A95="","",INDEX(決定版!$A$4:$AE$53,計算用!$BE$91,IF(計算用!$BB$91="男",0,16)+10))</f>
        <v/>
      </c>
      <c r="I95" s="26">
        <f>IF($A95="","",INDEX(決定版!$A$4:$AE$53,計算用!$BE$91,IF(計算用!$BB$91="男",0,16)+11))</f>
        <v/>
      </c>
      <c r="J95" s="26">
        <f>IF($A95="","",INDEX(決定版!$A$4:$AE$53,計算用!$BE$91,IF(計算用!$BB$91="男",0,16)+12))</f>
        <v/>
      </c>
      <c r="K95">
        <f>IF($A95="","",INDEX(決定版!$A$4:$AE$53,計算用!$BE$91,IF(計算用!$BB$91="男",0,16)+13))</f>
        <v/>
      </c>
      <c r="L95" s="26">
        <f>IF($A95="","",INDEX(決定版!$A$4:$AE$53,計算用!$BE$91,IF(計算用!$BB$91="男",0,16)+14))</f>
        <v/>
      </c>
      <c r="M95" s="26">
        <f>IF($A95="","",INDEX(決定版!$A$4:$AE$53,計算用!$BE$91,IF(計算用!$BB$91="男",0,16)+15))</f>
        <v/>
      </c>
    </row>
    <row r="96">
      <c r="A96" s="26">
        <f>IF(計算用!$BB$92="","",計算用!$BA$92)</f>
        <v/>
      </c>
      <c r="B96">
        <f>IF($A96="","",INDEX(決定版!$A$4:$AE$53,計算用!$BE$92,IF(計算用!$BB$92="男",0,16)+4))</f>
        <v/>
      </c>
      <c r="C96" s="26">
        <f>IF($A96="","",INDEX(決定版!$A$4:$AE$53,計算用!$BE$92,IF(計算用!$BB$92="男",0,16)+5))</f>
        <v/>
      </c>
      <c r="D96" s="26">
        <f>IF($A96="","",INDEX(決定版!$A$4:$AE$53,計算用!$BE$92,IF(計算用!$BB$92="男",0,16)+6))</f>
        <v/>
      </c>
      <c r="E96">
        <f>IF($A96="","",INDEX(決定版!$A$4:$AE$53,計算用!$BE$92,IF(計算用!$BB$92="男",0,16)+7))</f>
        <v/>
      </c>
      <c r="F96" s="26">
        <f>IF($A96="","",INDEX(決定版!$A$4:$AE$53,計算用!$BE$92,IF(計算用!$BB$92="男",0,16)+8))</f>
        <v/>
      </c>
      <c r="G96" s="26">
        <f>IF($A96="","",INDEX(決定版!$A$4:$AE$53,計算用!$BE$92,IF(計算用!$BB$92="男",0,16)+9))</f>
        <v/>
      </c>
      <c r="H96">
        <f>IF($A96="","",INDEX(決定版!$A$4:$AE$53,計算用!$BE$92,IF(計算用!$BB$92="男",0,16)+10))</f>
        <v/>
      </c>
      <c r="I96" s="26">
        <f>IF($A96="","",INDEX(決定版!$A$4:$AE$53,計算用!$BE$92,IF(計算用!$BB$92="男",0,16)+11))</f>
        <v/>
      </c>
      <c r="J96" s="26">
        <f>IF($A96="","",INDEX(決定版!$A$4:$AE$53,計算用!$BE$92,IF(計算用!$BB$92="男",0,16)+12))</f>
        <v/>
      </c>
      <c r="K96">
        <f>IF($A96="","",INDEX(決定版!$A$4:$AE$53,計算用!$BE$92,IF(計算用!$BB$92="男",0,16)+13))</f>
        <v/>
      </c>
      <c r="L96" s="26">
        <f>IF($A96="","",INDEX(決定版!$A$4:$AE$53,計算用!$BE$92,IF(計算用!$BB$92="男",0,16)+14))</f>
        <v/>
      </c>
      <c r="M96" s="26">
        <f>IF($A96="","",INDEX(決定版!$A$4:$AE$53,計算用!$BE$92,IF(計算用!$BB$92="男",0,16)+15))</f>
        <v/>
      </c>
    </row>
    <row r="97">
      <c r="A97" s="26">
        <f>IF(計算用!$BB$93="","",計算用!$BA$93)</f>
        <v/>
      </c>
      <c r="B97">
        <f>IF($A97="","",INDEX(決定版!$A$4:$AE$53,計算用!$BE$93,IF(計算用!$BB$93="男",0,16)+4))</f>
        <v/>
      </c>
      <c r="C97" s="26">
        <f>IF($A97="","",INDEX(決定版!$A$4:$AE$53,計算用!$BE$93,IF(計算用!$BB$93="男",0,16)+5))</f>
        <v/>
      </c>
      <c r="D97" s="26">
        <f>IF($A97="","",INDEX(決定版!$A$4:$AE$53,計算用!$BE$93,IF(計算用!$BB$93="男",0,16)+6))</f>
        <v/>
      </c>
      <c r="E97">
        <f>IF($A97="","",INDEX(決定版!$A$4:$AE$53,計算用!$BE$93,IF(計算用!$BB$93="男",0,16)+7))</f>
        <v/>
      </c>
      <c r="F97" s="26">
        <f>IF($A97="","",INDEX(決定版!$A$4:$AE$53,計算用!$BE$93,IF(計算用!$BB$93="男",0,16)+8))</f>
        <v/>
      </c>
      <c r="G97" s="26">
        <f>IF($A97="","",INDEX(決定版!$A$4:$AE$53,計算用!$BE$93,IF(計算用!$BB$93="男",0,16)+9))</f>
        <v/>
      </c>
      <c r="H97">
        <f>IF($A97="","",INDEX(決定版!$A$4:$AE$53,計算用!$BE$93,IF(計算用!$BB$93="男",0,16)+10))</f>
        <v/>
      </c>
      <c r="I97" s="26">
        <f>IF($A97="","",INDEX(決定版!$A$4:$AE$53,計算用!$BE$93,IF(計算用!$BB$93="男",0,16)+11))</f>
        <v/>
      </c>
      <c r="J97" s="26">
        <f>IF($A97="","",INDEX(決定版!$A$4:$AE$53,計算用!$BE$93,IF(計算用!$BB$93="男",0,16)+12))</f>
        <v/>
      </c>
      <c r="K97">
        <f>IF($A97="","",INDEX(決定版!$A$4:$AE$53,計算用!$BE$93,IF(計算用!$BB$93="男",0,16)+13))</f>
        <v/>
      </c>
      <c r="L97" s="26">
        <f>IF($A97="","",INDEX(決定版!$A$4:$AE$53,計算用!$BE$93,IF(計算用!$BB$93="男",0,16)+14))</f>
        <v/>
      </c>
      <c r="M97" s="26">
        <f>IF($A97="","",INDEX(決定版!$A$4:$AE$53,計算用!$BE$93,IF(計算用!$BB$93="男",0,16)+15))</f>
        <v/>
      </c>
    </row>
    <row r="98">
      <c r="A98" s="26">
        <f>IF(計算用!$BB$94="","",計算用!$BA$94)</f>
        <v/>
      </c>
      <c r="B98">
        <f>IF($A98="","",INDEX(決定版!$A$4:$AE$53,計算用!$BE$94,IF(計算用!$BB$94="男",0,16)+4))</f>
        <v/>
      </c>
      <c r="C98" s="26">
        <f>IF($A98="","",INDEX(決定版!$A$4:$AE$53,計算用!$BE$94,IF(計算用!$BB$94="男",0,16)+5))</f>
        <v/>
      </c>
      <c r="D98" s="26">
        <f>IF($A98="","",INDEX(決定版!$A$4:$AE$53,計算用!$BE$94,IF(計算用!$BB$94="男",0,16)+6))</f>
        <v/>
      </c>
      <c r="E98">
        <f>IF($A98="","",INDEX(決定版!$A$4:$AE$53,計算用!$BE$94,IF(計算用!$BB$94="男",0,16)+7))</f>
        <v/>
      </c>
      <c r="F98" s="26">
        <f>IF($A98="","",INDEX(決定版!$A$4:$AE$53,計算用!$BE$94,IF(計算用!$BB$94="男",0,16)+8))</f>
        <v/>
      </c>
      <c r="G98" s="26">
        <f>IF($A98="","",INDEX(決定版!$A$4:$AE$53,計算用!$BE$94,IF(計算用!$BB$94="男",0,16)+9))</f>
        <v/>
      </c>
      <c r="H98">
        <f>IF($A98="","",INDEX(決定版!$A$4:$AE$53,計算用!$BE$94,IF(計算用!$BB$94="男",0,16)+10))</f>
        <v/>
      </c>
      <c r="I98" s="26">
        <f>IF($A98="","",INDEX(決定版!$A$4:$AE$53,計算用!$BE$94,IF(計算用!$BB$94="男",0,16)+11))</f>
        <v/>
      </c>
      <c r="J98" s="26">
        <f>IF($A98="","",INDEX(決定版!$A$4:$AE$53,計算用!$BE$94,IF(計算用!$BB$94="男",0,16)+12))</f>
        <v/>
      </c>
      <c r="K98">
        <f>IF($A98="","",INDEX(決定版!$A$4:$AE$53,計算用!$BE$94,IF(計算用!$BB$94="男",0,16)+13))</f>
        <v/>
      </c>
      <c r="L98" s="26">
        <f>IF($A98="","",INDEX(決定版!$A$4:$AE$53,計算用!$BE$94,IF(計算用!$BB$94="男",0,16)+14))</f>
        <v/>
      </c>
      <c r="M98" s="26">
        <f>IF($A98="","",INDEX(決定版!$A$4:$AE$53,計算用!$BE$94,IF(計算用!$BB$94="男",0,16)+15))</f>
        <v/>
      </c>
    </row>
    <row r="99">
      <c r="A99" s="26">
        <f>IF(計算用!$BB$95="","",計算用!$BA$95)</f>
        <v/>
      </c>
      <c r="B99">
        <f>IF($A99="","",INDEX(決定版!$A$4:$AE$53,計算用!$BE$95,IF(計算用!$BB$95="男",0,16)+4))</f>
        <v/>
      </c>
      <c r="C99" s="26">
        <f>IF($A99="","",INDEX(決定版!$A$4:$AE$53,計算用!$BE$95,IF(計算用!$BB$95="男",0,16)+5))</f>
        <v/>
      </c>
      <c r="D99" s="26">
        <f>IF($A99="","",INDEX(決定版!$A$4:$AE$53,計算用!$BE$95,IF(計算用!$BB$95="男",0,16)+6))</f>
        <v/>
      </c>
      <c r="E99">
        <f>IF($A99="","",INDEX(決定版!$A$4:$AE$53,計算用!$BE$95,IF(計算用!$BB$95="男",0,16)+7))</f>
        <v/>
      </c>
      <c r="F99" s="26">
        <f>IF($A99="","",INDEX(決定版!$A$4:$AE$53,計算用!$BE$95,IF(計算用!$BB$95="男",0,16)+8))</f>
        <v/>
      </c>
      <c r="G99" s="26">
        <f>IF($A99="","",INDEX(決定版!$A$4:$AE$53,計算用!$BE$95,IF(計算用!$BB$95="男",0,16)+9))</f>
        <v/>
      </c>
      <c r="H99">
        <f>IF($A99="","",INDEX(決定版!$A$4:$AE$53,計算用!$BE$95,IF(計算用!$BB$95="男",0,16)+10))</f>
        <v/>
      </c>
      <c r="I99" s="26">
        <f>IF($A99="","",INDEX(決定版!$A$4:$AE$53,計算用!$BE$95,IF(計算用!$BB$95="男",0,16)+11))</f>
        <v/>
      </c>
      <c r="J99" s="26">
        <f>IF($A99="","",INDEX(決定版!$A$4:$AE$53,計算用!$BE$95,IF(計算用!$BB$95="男",0,16)+12))</f>
        <v/>
      </c>
      <c r="K99">
        <f>IF($A99="","",INDEX(決定版!$A$4:$AE$53,計算用!$BE$95,IF(計算用!$BB$95="男",0,16)+13))</f>
        <v/>
      </c>
      <c r="L99" s="26">
        <f>IF($A99="","",INDEX(決定版!$A$4:$AE$53,計算用!$BE$95,IF(計算用!$BB$95="男",0,16)+14))</f>
        <v/>
      </c>
      <c r="M99" s="26">
        <f>IF($A99="","",INDEX(決定版!$A$4:$AE$53,計算用!$BE$95,IF(計算用!$BB$95="男",0,16)+15))</f>
        <v/>
      </c>
    </row>
    <row r="100">
      <c r="A100" s="26">
        <f>IF(計算用!$BB$96="","",計算用!$BA$96)</f>
        <v/>
      </c>
      <c r="B100">
        <f>IF($A100="","",INDEX(決定版!$A$4:$AE$53,計算用!$BE$96,IF(計算用!$BB$96="男",0,16)+4))</f>
        <v/>
      </c>
      <c r="C100" s="26">
        <f>IF($A100="","",INDEX(決定版!$A$4:$AE$53,計算用!$BE$96,IF(計算用!$BB$96="男",0,16)+5))</f>
        <v/>
      </c>
      <c r="D100" s="26">
        <f>IF($A100="","",INDEX(決定版!$A$4:$AE$53,計算用!$BE$96,IF(計算用!$BB$96="男",0,16)+6))</f>
        <v/>
      </c>
      <c r="E100">
        <f>IF($A100="","",INDEX(決定版!$A$4:$AE$53,計算用!$BE$96,IF(計算用!$BB$96="男",0,16)+7))</f>
        <v/>
      </c>
      <c r="F100" s="26">
        <f>IF($A100="","",INDEX(決定版!$A$4:$AE$53,計算用!$BE$96,IF(計算用!$BB$96="男",0,16)+8))</f>
        <v/>
      </c>
      <c r="G100" s="26">
        <f>IF($A100="","",INDEX(決定版!$A$4:$AE$53,計算用!$BE$96,IF(計算用!$BB$96="男",0,16)+9))</f>
        <v/>
      </c>
      <c r="H100">
        <f>IF($A100="","",INDEX(決定版!$A$4:$AE$53,計算用!$BE$96,IF(計算用!$BB$96="男",0,16)+10))</f>
        <v/>
      </c>
      <c r="I100" s="26">
        <f>IF($A100="","",INDEX(決定版!$A$4:$AE$53,計算用!$BE$96,IF(計算用!$BB$96="男",0,16)+11))</f>
        <v/>
      </c>
      <c r="J100" s="26">
        <f>IF($A100="","",INDEX(決定版!$A$4:$AE$53,計算用!$BE$96,IF(計算用!$BB$96="男",0,16)+12))</f>
        <v/>
      </c>
      <c r="K100">
        <f>IF($A100="","",INDEX(決定版!$A$4:$AE$53,計算用!$BE$96,IF(計算用!$BB$96="男",0,16)+13))</f>
        <v/>
      </c>
      <c r="L100" s="26">
        <f>IF($A100="","",INDEX(決定版!$A$4:$AE$53,計算用!$BE$96,IF(計算用!$BB$96="男",0,16)+14))</f>
        <v/>
      </c>
      <c r="M100" s="26">
        <f>IF($A100="","",INDEX(決定版!$A$4:$AE$53,計算用!$BE$96,IF(計算用!$BB$96="男",0,16)+15))</f>
        <v/>
      </c>
    </row>
    <row r="101">
      <c r="A101" s="26">
        <f>IF(計算用!$BB$97="","",計算用!$BA$97)</f>
        <v/>
      </c>
      <c r="B101">
        <f>IF($A101="","",INDEX(決定版!$A$4:$AE$53,計算用!$BE$97,IF(計算用!$BB$97="男",0,16)+4))</f>
        <v/>
      </c>
      <c r="C101" s="26">
        <f>IF($A101="","",INDEX(決定版!$A$4:$AE$53,計算用!$BE$97,IF(計算用!$BB$97="男",0,16)+5))</f>
        <v/>
      </c>
      <c r="D101" s="26">
        <f>IF($A101="","",INDEX(決定版!$A$4:$AE$53,計算用!$BE$97,IF(計算用!$BB$97="男",0,16)+6))</f>
        <v/>
      </c>
      <c r="E101">
        <f>IF($A101="","",INDEX(決定版!$A$4:$AE$53,計算用!$BE$97,IF(計算用!$BB$97="男",0,16)+7))</f>
        <v/>
      </c>
      <c r="F101" s="26">
        <f>IF($A101="","",INDEX(決定版!$A$4:$AE$53,計算用!$BE$97,IF(計算用!$BB$97="男",0,16)+8))</f>
        <v/>
      </c>
      <c r="G101" s="26">
        <f>IF($A101="","",INDEX(決定版!$A$4:$AE$53,計算用!$BE$97,IF(計算用!$BB$97="男",0,16)+9))</f>
        <v/>
      </c>
      <c r="H101">
        <f>IF($A101="","",INDEX(決定版!$A$4:$AE$53,計算用!$BE$97,IF(計算用!$BB$97="男",0,16)+10))</f>
        <v/>
      </c>
      <c r="I101" s="26">
        <f>IF($A101="","",INDEX(決定版!$A$4:$AE$53,計算用!$BE$97,IF(計算用!$BB$97="男",0,16)+11))</f>
        <v/>
      </c>
      <c r="J101" s="26">
        <f>IF($A101="","",INDEX(決定版!$A$4:$AE$53,計算用!$BE$97,IF(計算用!$BB$97="男",0,16)+12))</f>
        <v/>
      </c>
      <c r="K101">
        <f>IF($A101="","",INDEX(決定版!$A$4:$AE$53,計算用!$BE$97,IF(計算用!$BB$97="男",0,16)+13))</f>
        <v/>
      </c>
      <c r="L101" s="26">
        <f>IF($A101="","",INDEX(決定版!$A$4:$AE$53,計算用!$BE$97,IF(計算用!$BB$97="男",0,16)+14))</f>
        <v/>
      </c>
      <c r="M101" s="26">
        <f>IF($A101="","",INDEX(決定版!$A$4:$AE$53,計算用!$BE$97,IF(計算用!$BB$97="男",0,16)+15))</f>
        <v/>
      </c>
    </row>
    <row r="102">
      <c r="A102" s="26">
        <f>IF(計算用!$BB$98="","",計算用!$BA$98)</f>
        <v/>
      </c>
      <c r="B102">
        <f>IF($A102="","",INDEX(決定版!$A$4:$AE$53,計算用!$BE$98,IF(計算用!$BB$98="男",0,16)+4))</f>
        <v/>
      </c>
      <c r="C102" s="26">
        <f>IF($A102="","",INDEX(決定版!$A$4:$AE$53,計算用!$BE$98,IF(計算用!$BB$98="男",0,16)+5))</f>
        <v/>
      </c>
      <c r="D102" s="26">
        <f>IF($A102="","",INDEX(決定版!$A$4:$AE$53,計算用!$BE$98,IF(計算用!$BB$98="男",0,16)+6))</f>
        <v/>
      </c>
      <c r="E102">
        <f>IF($A102="","",INDEX(決定版!$A$4:$AE$53,計算用!$BE$98,IF(計算用!$BB$98="男",0,16)+7))</f>
        <v/>
      </c>
      <c r="F102" s="26">
        <f>IF($A102="","",INDEX(決定版!$A$4:$AE$53,計算用!$BE$98,IF(計算用!$BB$98="男",0,16)+8))</f>
        <v/>
      </c>
      <c r="G102" s="26">
        <f>IF($A102="","",INDEX(決定版!$A$4:$AE$53,計算用!$BE$98,IF(計算用!$BB$98="男",0,16)+9))</f>
        <v/>
      </c>
      <c r="H102">
        <f>IF($A102="","",INDEX(決定版!$A$4:$AE$53,計算用!$BE$98,IF(計算用!$BB$98="男",0,16)+10))</f>
        <v/>
      </c>
      <c r="I102" s="26">
        <f>IF($A102="","",INDEX(決定版!$A$4:$AE$53,計算用!$BE$98,IF(計算用!$BB$98="男",0,16)+11))</f>
        <v/>
      </c>
      <c r="J102" s="26">
        <f>IF($A102="","",INDEX(決定版!$A$4:$AE$53,計算用!$BE$98,IF(計算用!$BB$98="男",0,16)+12))</f>
        <v/>
      </c>
      <c r="K102">
        <f>IF($A102="","",INDEX(決定版!$A$4:$AE$53,計算用!$BE$98,IF(計算用!$BB$98="男",0,16)+13))</f>
        <v/>
      </c>
      <c r="L102" s="26">
        <f>IF($A102="","",INDEX(決定版!$A$4:$AE$53,計算用!$BE$98,IF(計算用!$BB$98="男",0,16)+14))</f>
        <v/>
      </c>
      <c r="M102" s="26">
        <f>IF($A102="","",INDEX(決定版!$A$4:$AE$53,計算用!$BE$98,IF(計算用!$BB$98="男",0,16)+15))</f>
        <v/>
      </c>
    </row>
    <row r="103">
      <c r="A103" s="26">
        <f>IF(計算用!$BB$99="","",計算用!$BA$99)</f>
        <v/>
      </c>
      <c r="B103">
        <f>IF($A103="","",INDEX(決定版!$A$4:$AE$53,計算用!$BE$99,IF(計算用!$BB$99="男",0,16)+4))</f>
        <v/>
      </c>
      <c r="C103" s="26">
        <f>IF($A103="","",INDEX(決定版!$A$4:$AE$53,計算用!$BE$99,IF(計算用!$BB$99="男",0,16)+5))</f>
        <v/>
      </c>
      <c r="D103" s="26">
        <f>IF($A103="","",INDEX(決定版!$A$4:$AE$53,計算用!$BE$99,IF(計算用!$BB$99="男",0,16)+6))</f>
        <v/>
      </c>
      <c r="E103">
        <f>IF($A103="","",INDEX(決定版!$A$4:$AE$53,計算用!$BE$99,IF(計算用!$BB$99="男",0,16)+7))</f>
        <v/>
      </c>
      <c r="F103" s="26">
        <f>IF($A103="","",INDEX(決定版!$A$4:$AE$53,計算用!$BE$99,IF(計算用!$BB$99="男",0,16)+8))</f>
        <v/>
      </c>
      <c r="G103" s="26">
        <f>IF($A103="","",INDEX(決定版!$A$4:$AE$53,計算用!$BE$99,IF(計算用!$BB$99="男",0,16)+9))</f>
        <v/>
      </c>
      <c r="H103">
        <f>IF($A103="","",INDEX(決定版!$A$4:$AE$53,計算用!$BE$99,IF(計算用!$BB$99="男",0,16)+10))</f>
        <v/>
      </c>
      <c r="I103" s="26">
        <f>IF($A103="","",INDEX(決定版!$A$4:$AE$53,計算用!$BE$99,IF(計算用!$BB$99="男",0,16)+11))</f>
        <v/>
      </c>
      <c r="J103" s="26">
        <f>IF($A103="","",INDEX(決定版!$A$4:$AE$53,計算用!$BE$99,IF(計算用!$BB$99="男",0,16)+12))</f>
        <v/>
      </c>
      <c r="K103">
        <f>IF($A103="","",INDEX(決定版!$A$4:$AE$53,計算用!$BE$99,IF(計算用!$BB$99="男",0,16)+13))</f>
        <v/>
      </c>
      <c r="L103" s="26">
        <f>IF($A103="","",INDEX(決定版!$A$4:$AE$53,計算用!$BE$99,IF(計算用!$BB$99="男",0,16)+14))</f>
        <v/>
      </c>
      <c r="M103" s="26">
        <f>IF($A103="","",INDEX(決定版!$A$4:$AE$53,計算用!$BE$99,IF(計算用!$BB$99="男",0,16)+15))</f>
        <v/>
      </c>
    </row>
    <row r="104">
      <c r="A104" s="26">
        <f>IF(計算用!$BB$100="","",計算用!$BA$100)</f>
        <v/>
      </c>
      <c r="B104">
        <f>IF($A104="","",INDEX(決定版!$A$4:$AE$53,計算用!$BE$100,IF(計算用!$BB$100="男",0,16)+4))</f>
        <v/>
      </c>
      <c r="C104" s="26">
        <f>IF($A104="","",INDEX(決定版!$A$4:$AE$53,計算用!$BE$100,IF(計算用!$BB$100="男",0,16)+5))</f>
        <v/>
      </c>
      <c r="D104" s="26">
        <f>IF($A104="","",INDEX(決定版!$A$4:$AE$53,計算用!$BE$100,IF(計算用!$BB$100="男",0,16)+6))</f>
        <v/>
      </c>
      <c r="E104">
        <f>IF($A104="","",INDEX(決定版!$A$4:$AE$53,計算用!$BE$100,IF(計算用!$BB$100="男",0,16)+7))</f>
        <v/>
      </c>
      <c r="F104" s="26">
        <f>IF($A104="","",INDEX(決定版!$A$4:$AE$53,計算用!$BE$100,IF(計算用!$BB$100="男",0,16)+8))</f>
        <v/>
      </c>
      <c r="G104" s="26">
        <f>IF($A104="","",INDEX(決定版!$A$4:$AE$53,計算用!$BE$100,IF(計算用!$BB$100="男",0,16)+9))</f>
        <v/>
      </c>
      <c r="H104">
        <f>IF($A104="","",INDEX(決定版!$A$4:$AE$53,計算用!$BE$100,IF(計算用!$BB$100="男",0,16)+10))</f>
        <v/>
      </c>
      <c r="I104" s="26">
        <f>IF($A104="","",INDEX(決定版!$A$4:$AE$53,計算用!$BE$100,IF(計算用!$BB$100="男",0,16)+11))</f>
        <v/>
      </c>
      <c r="J104" s="26">
        <f>IF($A104="","",INDEX(決定版!$A$4:$AE$53,計算用!$BE$100,IF(計算用!$BB$100="男",0,16)+12))</f>
        <v/>
      </c>
      <c r="K104">
        <f>IF($A104="","",INDEX(決定版!$A$4:$AE$53,計算用!$BE$100,IF(計算用!$BB$100="男",0,16)+13))</f>
        <v/>
      </c>
      <c r="L104" s="26">
        <f>IF($A104="","",INDEX(決定版!$A$4:$AE$53,計算用!$BE$100,IF(計算用!$BB$100="男",0,16)+14))</f>
        <v/>
      </c>
      <c r="M104" s="26">
        <f>IF($A104="","",INDEX(決定版!$A$4:$AE$53,計算用!$BE$100,IF(計算用!$BB$100="男",0,16)+15))</f>
        <v/>
      </c>
    </row>
    <row r="105">
      <c r="A105" s="26">
        <f>IF(計算用!$BB$101="","",計算用!$BA$101)</f>
        <v/>
      </c>
      <c r="B105">
        <f>IF($A105="","",INDEX(決定版!$A$4:$AE$53,計算用!$BE$101,IF(計算用!$BB$101="男",0,16)+4))</f>
        <v/>
      </c>
      <c r="C105" s="26">
        <f>IF($A105="","",INDEX(決定版!$A$4:$AE$53,計算用!$BE$101,IF(計算用!$BB$101="男",0,16)+5))</f>
        <v/>
      </c>
      <c r="D105" s="26">
        <f>IF($A105="","",INDEX(決定版!$A$4:$AE$53,計算用!$BE$101,IF(計算用!$BB$101="男",0,16)+6))</f>
        <v/>
      </c>
      <c r="E105">
        <f>IF($A105="","",INDEX(決定版!$A$4:$AE$53,計算用!$BE$101,IF(計算用!$BB$101="男",0,16)+7))</f>
        <v/>
      </c>
      <c r="F105" s="26">
        <f>IF($A105="","",INDEX(決定版!$A$4:$AE$53,計算用!$BE$101,IF(計算用!$BB$101="男",0,16)+8))</f>
        <v/>
      </c>
      <c r="G105" s="26">
        <f>IF($A105="","",INDEX(決定版!$A$4:$AE$53,計算用!$BE$101,IF(計算用!$BB$101="男",0,16)+9))</f>
        <v/>
      </c>
      <c r="H105">
        <f>IF($A105="","",INDEX(決定版!$A$4:$AE$53,計算用!$BE$101,IF(計算用!$BB$101="男",0,16)+10))</f>
        <v/>
      </c>
      <c r="I105" s="26">
        <f>IF($A105="","",INDEX(決定版!$A$4:$AE$53,計算用!$BE$101,IF(計算用!$BB$101="男",0,16)+11))</f>
        <v/>
      </c>
      <c r="J105" s="26">
        <f>IF($A105="","",INDEX(決定版!$A$4:$AE$53,計算用!$BE$101,IF(計算用!$BB$101="男",0,16)+12))</f>
        <v/>
      </c>
      <c r="K105">
        <f>IF($A105="","",INDEX(決定版!$A$4:$AE$53,計算用!$BE$101,IF(計算用!$BB$101="男",0,16)+13))</f>
        <v/>
      </c>
      <c r="L105" s="26">
        <f>IF($A105="","",INDEX(決定版!$A$4:$AE$53,計算用!$BE$101,IF(計算用!$BB$101="男",0,16)+14))</f>
        <v/>
      </c>
      <c r="M105" s="26">
        <f>IF($A105="","",INDEX(決定版!$A$4:$AE$53,計算用!$BE$101,IF(計算用!$BB$101="男",0,16)+15))</f>
        <v/>
      </c>
    </row>
  </sheetData>
  <mergeCells count="7">
    <mergeCell ref="A2:B2"/>
    <mergeCell ref="A4:A5"/>
    <mergeCell ref="D2:H2"/>
    <mergeCell ref="K4:M4"/>
    <mergeCell ref="B4:D4"/>
    <mergeCell ref="H4:J4"/>
    <mergeCell ref="E4:G4"/>
  </mergeCells>
  <conditionalFormatting sqref="B6:B105">
    <cfRule type="expression" priority="1" dxfId="15">
      <formula>AND(B6&lt;&gt;"",INDEX(計算用!$BB$2:$BB$101,ROW()-5)="女")</formula>
    </cfRule>
  </conditionalFormatting>
  <conditionalFormatting sqref="D6:D105">
    <cfRule type="expression" priority="2" dxfId="16">
      <formula>D6="赤"</formula>
    </cfRule>
  </conditionalFormatting>
  <conditionalFormatting sqref="E6:E105">
    <cfRule type="expression" priority="3" dxfId="15">
      <formula>AND(E6&lt;&gt;"",INDEX(計算用!$BB$2:$BB$101,ROW()-5)="女")</formula>
    </cfRule>
  </conditionalFormatting>
  <conditionalFormatting sqref="G6:G105">
    <cfRule type="expression" priority="4" dxfId="16">
      <formula>G6="赤"</formula>
    </cfRule>
  </conditionalFormatting>
  <conditionalFormatting sqref="H6:H105">
    <cfRule type="expression" priority="5" dxfId="15">
      <formula>AND(H6&lt;&gt;"",INDEX(計算用!$BB$2:$BB$101,ROW()-5)="女")</formula>
    </cfRule>
  </conditionalFormatting>
  <conditionalFormatting sqref="J6:J105">
    <cfRule type="expression" priority="6" dxfId="16">
      <formula>J6="赤"</formula>
    </cfRule>
  </conditionalFormatting>
  <conditionalFormatting sqref="K6:K105">
    <cfRule type="expression" priority="7" dxfId="15">
      <formula>AND(K6&lt;&gt;"",INDEX(計算用!$BB$2:$BB$101,ROW()-5)="女")</formula>
    </cfRule>
  </conditionalFormatting>
  <conditionalFormatting sqref="M6:M105">
    <cfRule type="expression" priority="8" dxfId="16">
      <formula>M6="赤"</formula>
    </cfRule>
  </conditionalFormatting>
  <conditionalFormatting sqref="A6:M105">
    <cfRule type="expression" priority="9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IF(J2="","",IF(F2="男",COUNTIF(手直し!$B$6:$E$55,D2),COUNTIF(手直し!$F$6:$I$55,D2)))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IF(J3="","",IF(F3="男",COUNTIF(手直し!$B$6:$E$55,D3),COUNTIF(手直し!$F$6:$I$55,D3)))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IF(J4="","",IF(F4="男",COUNTIF(手直し!$B$6:$E$55,D4),COUNTIF(手直し!$F$6:$I$55,D4)))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IF(J5="","",IF(F5="男",COUNTIF(手直し!$B$6:$E$55,D5),COUNTIF(手直し!$F$6:$I$55,D5)))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IF(J6="","",IF(F6="男",COUNTIF(手直し!$B$6:$E$55,D6),COUNTIF(手直し!$F$6:$I$55,D6)))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IF(J7="","",IF(F7="男",COUNTIF(手直し!$B$6:$E$55,D7),COUNTIF(手直し!$F$6:$I$55,D7)))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IF(J8="","",IF(F8="男",COUNTIF(手直し!$B$6:$E$55,D8),COUNTIF(手直し!$F$6:$I$55,D8)))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IF(J9="","",IF(F9="男",COUNTIF(手直し!$B$6:$E$55,D9),COUNTIF(手直し!$F$6:$I$55,D9)))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IF(J10="","",IF(F10="男",COUNTIF(手直し!$B$6:$E$55,D10),COUNTIF(手直し!$F$6:$I$55,D10)))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IF(J11="","",IF(F11="男",COUNTIF(手直し!$B$6:$E$55,D11),COUNTIF(手直し!$F$6:$I$55,D11)))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IF(J12="","",IF(F12="男",COUNTIF(手直し!$B$6:$E$55,D12),COUNTIF(手直し!$F$6:$I$55,D12)))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SUMPRODUCT(MAX((手直し!$B$6:$E$55&lt;&gt;"")*(ROW(手直し!$B$6:$E$55)-5)))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IF(J13="","",IF(F13="男",COUNTIF(手直し!$B$6:$E$55,D13),COUNTIF(手直し!$F$6:$I$55,D13)))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SUMPRODUCT(MAX((手直し!$F$6:$I$55&lt;&gt;"")*(ROW(手直し!$F$6:$I$55)-5)))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IF(J14="","",IF(F14="男",COUNTIF(手直し!$B$6:$E$55,D14),COUNTIF(手直し!$F$6:$I$55,D14)))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IF(J15="","",IF(F15="男",COUNTIF(手直し!$B$6:$E$55,D15),COUNTIF(手直し!$F$6:$I$55,D15)))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IF(J16="","",IF(F16="男",COUNTIF(手直し!$B$6:$E$55,D16),COUNTIF(手直し!$F$6:$I$55,D16)))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IF(J17="","",IF(F17="男",COUNTIF(手直し!$B$6:$E$55,D17),COUNTIF(手直し!$F$6:$I$55,D17)))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IF(J18="","",IF(F18="男",COUNTIF(手直し!$B$6:$E$55,D18),COUNTIF(手直し!$F$6:$I$55,D18)))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IF(J19="","",IF(F19="男",COUNTIF(手直し!$B$6:$E$55,D19),COUNTIF(手直し!$F$6:$I$55,D19)))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IF(J20="","",IF(F20="男",COUNTIF(手直し!$B$6:$E$55,D20),COUNTIF(手直し!$F$6:$I$55,D20)))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SUMPRODUCT((手直し!$B$6:$E$55&lt;&gt;"")*(COUNTIF($AO$2:$AO$186,"男"&amp;手直し!$B$6:$E$55)=0))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IF(J21="","",IF(F21="男",COUNTIF(手直し!$B$6:$E$55,D21),COUNTIF(手直し!$F$6:$I$55,D21)))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SUMPRODUCT((手直し!$F$6:$I$55&lt;&gt;"")*(COUNTIF($AO$2:$AO$186,"女"&amp;手直し!$F$6:$I$55)=0))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IF(J22="","",IF(F22="男",COUNTIF(手直し!$B$6:$E$55,D22),COUNTIF(手直し!$F$6:$I$55,D22)))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IF(J23="","",IF(F23="男",COUNTIF(手直し!$B$6:$E$55,D23),COUNTIF(手直し!$F$6:$I$55,D23)))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IF(J24="","",IF(F24="男",COUNTIF(手直し!$B$6:$E$55,D24),COUNTIF(手直し!$F$6:$I$55,D24)))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IF(J25="","",IF(F25="男",COUNTIF(手直し!$B$6:$E$55,D25),COUNTIF(手直し!$F$6:$I$55,D25)))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IF(J26="","",IF(F26="男",COUNTIF(手直し!$B$6:$E$55,D26),COUNTIF(手直し!$F$6:$I$55,D26)))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IF(J27="","",IF(F27="男",COUNTIF(手直し!$B$6:$E$55,D27),COUNTIF(手直し!$F$6:$I$55,D27)))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IF(J28="","",IF(F28="男",COUNTIF(手直し!$B$6:$E$55,D28),COUNTIF(手直し!$F$6:$I$55,D28)))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IF(J29="","",IF(F29="男",COUNTIF(手直し!$B$6:$E$55,D29),COUNTIF(手直し!$F$6:$I$55,D29)))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IF(J30="","",IF(F30="男",COUNTIF(手直し!$B$6:$E$55,D30),COUNTIF(手直し!$F$6:$I$55,D30)))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IF(J31="","",IF(F31="男",COUNTIF(手直し!$B$6:$E$55,D31),COUNTIF(手直し!$F$6:$I$55,D31)))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IF(J32="","",IF(F32="男",COUNTIF(手直し!$B$6:$E$55,D32),COUNTIF(手直し!$F$6:$I$55,D32)))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IF(J33="","",IF(F33="男",COUNTIF(手直し!$B$6:$E$55,D33),COUNTIF(手直し!$F$6:$I$55,D33)))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IF(J34="","",IF(F34="男",COUNTIF(手直し!$B$6:$E$55,D34),COUNTIF(手直し!$F$6:$I$55,D34)))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IF(J35="","",IF(F35="男",COUNTIF(手直し!$B$6:$E$55,D35),COUNTIF(手直し!$F$6:$I$55,D35)))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IF(J36="","",IF(F36="男",COUNTIF(手直し!$B$6:$E$55,D36),COUNTIF(手直し!$F$6:$I$55,D36)))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IF(J37="","",IF(F37="男",COUNTIF(手直し!$B$6:$E$55,D37),COUNTIF(手直し!$F$6:$I$55,D37)))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IF(J38="","",IF(F38="男",COUNTIF(手直し!$B$6:$E$55,D38),COUNTIF(手直し!$F$6:$I$55,D38)))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IF(J39="","",IF(F39="男",COUNTIF(手直し!$B$6:$E$55,D39),COUNTIF(手直し!$F$6:$I$55,D39)))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IF(J40="","",IF(F40="男",COUNTIF(手直し!$B$6:$E$55,D40),COUNTIF(手直し!$F$6:$I$55,D40)))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IF(J41="","",IF(F41="男",COUNTIF(手直し!$B$6:$E$55,D41),COUNTIF(手直し!$F$6:$I$55,D41)))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IF(J42="","",IF(F42="男",COUNTIF(手直し!$B$6:$E$55,D42),COUNTIF(手直し!$F$6:$I$55,D42)))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IF(J43="","",IF(F43="男",COUNTIF(手直し!$B$6:$E$55,D43),COUNTIF(手直し!$F$6:$I$55,D43)))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IF(J44="","",IF(F44="男",COUNTIF(手直し!$B$6:$E$55,D44),COUNTIF(手直し!$F$6:$I$55,D44)))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IF(J45="","",IF(F45="男",COUNTIF(手直し!$B$6:$E$55,D45),COUNTIF(手直し!$F$6:$I$55,D45)))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IF(J46="","",IF(F46="男",COUNTIF(手直し!$B$6:$E$55,D46),COUNTIF(手直し!$F$6:$I$55,D46)))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IF(J47="","",IF(F47="男",COUNTIF(手直し!$B$6:$E$55,D47),COUNTIF(手直し!$F$6:$I$55,D47)))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IF(J48="","",IF(F48="男",COUNTIF(手直し!$B$6:$E$55,D48),COUNTIF(手直し!$F$6:$I$55,D48)))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IF(J49="","",IF(F49="男",COUNTIF(手直し!$B$6:$E$55,D49),COUNTIF(手直し!$F$6:$I$55,D49)))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IF(J50="","",IF(F50="男",COUNTIF(手直し!$B$6:$E$55,D50),COUNTIF(手直し!$F$6:$I$55,D50)))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IF(J51="","",IF(F51="男",COUNTIF(手直し!$B$6:$E$55,D51),COUNTIF(手直し!$F$6:$I$55,D51)))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IF(J52="","",IF(F52="男",COUNTIF(手直し!$B$6:$E$55,D52),COUNTIF(手直し!$F$6:$I$55,D52)))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IF(J53="","",IF(F53="男",COUNTIF(手直し!$B$6:$E$55,D53),COUNTIF(手直し!$F$6:$I$55,D53)))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IF(J54="","",IF(F54="男",COUNTIF(手直し!$B$6:$E$55,D54),COUNTIF(手直し!$F$6:$I$55,D54)))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IF(J55="","",IF(F55="男",COUNTIF(手直し!$B$6:$E$55,D55),COUNTIF(手直し!$F$6:$I$55,D55)))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IF(J56="","",IF(F56="男",COUNTIF(手直し!$B$6:$E$55,D56),COUNTIF(手直し!$F$6:$I$55,D56)))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IF(J57="","",IF(F57="男",COUNTIF(手直し!$B$6:$E$55,D57),COUNTIF(手直し!$F$6:$I$55,D57)))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IF(J58="","",IF(F58="男",COUNTIF(手直し!$B$6:$E$55,D58),COUNTIF(手直し!$F$6:$I$55,D58)))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IF(J59="","",IF(F59="男",COUNTIF(手直し!$B$6:$E$55,D59),COUNTIF(手直し!$F$6:$I$55,D59)))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IF(J60="","",IF(F60="男",COUNTIF(手直し!$B$6:$E$55,D60),COUNTIF(手直し!$F$6:$I$55,D60)))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IF(J61="","",IF(F61="男",COUNTIF(手直し!$B$6:$E$55,D61),COUNTIF(手直し!$F$6:$I$55,D61)))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IF(J62="","",IF(F62="男",COUNTIF(手直し!$B$6:$E$55,D62),COUNTIF(手直し!$F$6:$I$55,D62)))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IF(J63="","",IF(F63="男",COUNTIF(手直し!$B$6:$E$55,D63),COUNTIF(手直し!$F$6:$I$55,D63)))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IF(J64="","",IF(F64="男",COUNTIF(手直し!$B$6:$E$55,D64),COUNTIF(手直し!$F$6:$I$55,D64)))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IF(J65="","",IF(F65="男",COUNTIF(手直し!$B$6:$E$55,D65),COUNTIF(手直し!$F$6:$I$55,D65)))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IF(J66="","",IF(F66="男",COUNTIF(手直し!$B$6:$E$55,D66),COUNTIF(手直し!$F$6:$I$55,D66)))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IF(J67="","",IF(F67="男",COUNTIF(手直し!$B$6:$E$55,D67),COUNTIF(手直し!$F$6:$I$55,D67)))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IF(J68="","",IF(F68="男",COUNTIF(手直し!$B$6:$E$55,D68),COUNTIF(手直し!$F$6:$I$55,D68)))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IF(J69="","",IF(F69="男",COUNTIF(手直し!$B$6:$E$55,D69),COUNTIF(手直し!$F$6:$I$55,D69)))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IF(J70="","",IF(F70="男",COUNTIF(手直し!$B$6:$E$55,D70),COUNTIF(手直し!$F$6:$I$55,D70)))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IF(J71="","",IF(F71="男",COUNTIF(手直し!$B$6:$E$55,D71),COUNTIF(手直し!$F$6:$I$55,D71)))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IF(J72="","",IF(F72="男",COUNTIF(手直し!$B$6:$E$55,D72),COUNTIF(手直し!$F$6:$I$55,D72)))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IF(J73="","",IF(F73="男",COUNTIF(手直し!$B$6:$E$55,D73),COUNTIF(手直し!$F$6:$I$55,D73)))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IF(J74="","",IF(F74="男",COUNTIF(手直し!$B$6:$E$55,D74),COUNTIF(手直し!$F$6:$I$55,D74)))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IF(J75="","",IF(F75="男",COUNTIF(手直し!$B$6:$E$55,D75),COUNTIF(手直し!$F$6:$I$55,D75)))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IF(J76="","",IF(F76="男",COUNTIF(手直し!$B$6:$E$55,D76),COUNTIF(手直し!$F$6:$I$55,D76)))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IF(J77="","",IF(F77="男",COUNTIF(手直し!$B$6:$E$55,D77),COUNTIF(手直し!$F$6:$I$55,D77)))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IF(J78="","",IF(F78="男",COUNTIF(手直し!$B$6:$E$55,D78),COUNTIF(手直し!$F$6:$I$55,D78)))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IF(J79="","",IF(F79="男",COUNTIF(手直し!$B$6:$E$55,D79),COUNTIF(手直し!$F$6:$I$55,D79)))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IF(J80="","",IF(F80="男",COUNTIF(手直し!$B$6:$E$55,D80),COUNTIF(手直し!$F$6:$I$55,D80)))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IF(J81="","",IF(F81="男",COUNTIF(手直し!$B$6:$E$55,D81),COUNTIF(手直し!$F$6:$I$55,D81)))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IF(J82="","",IF(F82="男",COUNTIF(手直し!$B$6:$E$55,D82),COUNTIF(手直し!$F$6:$I$55,D82)))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IF(J83="","",IF(F83="男",COUNTIF(手直し!$B$6:$E$55,D83),COUNTIF(手直し!$F$6:$I$55,D83)))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IF(J84="","",IF(F84="男",COUNTIF(手直し!$B$6:$E$55,D84),COUNTIF(手直し!$F$6:$I$55,D84)))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IF(J85="","",IF(F85="男",COUNTIF(手直し!$B$6:$E$55,D85),COUNTIF(手直し!$F$6:$I$55,D85)))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IF(J86="","",IF(F86="男",COUNTIF(手直し!$B$6:$E$55,D86),COUNTIF(手直し!$F$6:$I$55,D86)))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IF(J87="","",IF(F87="男",COUNTIF(手直し!$B$6:$E$55,D87),COUNTIF(手直し!$F$6:$I$55,D87)))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IF(J88="","",IF(F88="男",COUNTIF(手直し!$B$6:$E$55,D88),COUNTIF(手直し!$F$6:$I$55,D88)))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IF(J89="","",IF(F89="男",COUNTIF(手直し!$B$6:$E$55,D89),COUNTIF(手直し!$F$6:$I$55,D89)))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IF(J90="","",IF(F90="男",COUNTIF(手直し!$B$6:$E$55,D90),COUNTIF(手直し!$F$6:$I$55,D90)))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IF(J91="","",IF(F91="男",COUNTIF(手直し!$B$6:$E$55,D91),COUNTIF(手直し!$F$6:$I$55,D91)))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IF(J92="","",IF(F92="男",COUNTIF(手直し!$B$6:$E$55,D92),COUNTIF(手直し!$F$6:$I$55,D92)))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IF(J93="","",IF(F93="男",COUNTIF(手直し!$B$6:$E$55,D93),COUNTIF(手直し!$F$6:$I$55,D93)))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IF(J94="","",IF(F94="男",COUNTIF(手直し!$B$6:$E$55,D94),COUNTIF(手直し!$F$6:$I$55,D94)))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IF(J95="","",IF(F95="男",COUNTIF(手直し!$B$6:$E$55,D95),COUNTIF(手直し!$F$6:$I$55,D95)))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IF(J96="","",IF(F96="男",COUNTIF(手直し!$B$6:$E$55,D96),COUNTIF(手直し!$F$6:$I$55,D96)))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IF(J97="","",IF(F97="男",COUNTIF(手直し!$B$6:$E$55,D97),COUNTIF(手直し!$F$6:$I$55,D97)))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IF(J98="","",IF(F98="男",COUNTIF(手直し!$B$6:$E$55,D98),COUNTIF(手直し!$F$6:$I$55,D98)))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IF(J99="","",IF(F99="男",COUNTIF(手直し!$B$6:$E$55,D99),COUNTIF(手直し!$F$6:$I$55,D99)))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IF(J100="","",IF(F100="男",COUNTIF(手直し!$B$6:$E$55,D100),COUNTIF(手直し!$F$6:$I$55,D100)))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IF(J101="","",IF(F101="男",COUNTIF(手直し!$B$6:$E$55,D101),COUNTIF(手直し!$F$6:$I$55,D101)))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IF(J102="","",IF(F102="男",COUNTIF(手直し!$B$6:$E$55,D102),COUNTIF(手直し!$F$6:$I$55,D102)))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IF(J103="","",IF(F103="男",COUNTIF(手直し!$B$6:$E$55,D103),COUNTIF(手直し!$F$6:$I$55,D103)))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IF(J104="","",IF(F104="男",COUNTIF(手直し!$B$6:$E$55,D104),COUNTIF(手直し!$F$6:$I$55,D104)))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IF(J105="","",IF(F105="男",COUNTIF(手直し!$B$6:$E$55,D105),COUNTIF(手直し!$F$6:$I$55,D105)))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IF(J106="","",IF(F106="男",COUNTIF(手直し!$B$6:$E$55,D106),COUNTIF(手直し!$F$6:$I$55,D106)))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IF(J107="","",IF(F107="男",COUNTIF(手直し!$B$6:$E$55,D107),COUNTIF(手直し!$F$6:$I$55,D107)))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IF(J108="","",IF(F108="男",COUNTIF(手直し!$B$6:$E$55,D108),COUNTIF(手直し!$F$6:$I$55,D108)))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IF(J109="","",IF(F109="男",COUNTIF(手直し!$B$6:$E$55,D109),COUNTIF(手直し!$F$6:$I$55,D109)))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IF(J110="","",IF(F110="男",COUNTIF(手直し!$B$6:$E$55,D110),COUNTIF(手直し!$F$6:$I$55,D110)))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IF(J111="","",IF(F111="男",COUNTIF(手直し!$B$6:$E$55,D111),COUNTIF(手直し!$F$6:$I$55,D111)))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IF(J112="","",IF(F112="男",COUNTIF(手直し!$B$6:$E$55,D112),COUNTIF(手直し!$F$6:$I$55,D112)))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IF(J113="","",IF(F113="男",COUNTIF(手直し!$B$6:$E$55,D113),COUNTIF(手直し!$F$6:$I$55,D113)))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IF(J114="","",IF(F114="男",COUNTIF(手直し!$B$6:$E$55,D114),COUNTIF(手直し!$F$6:$I$55,D114)))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IF(J115="","",IF(F115="男",COUNTIF(手直し!$B$6:$E$55,D115),COUNTIF(手直し!$F$6:$I$55,D115)))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IF(J116="","",IF(F116="男",COUNTIF(手直し!$B$6:$E$55,D116),COUNTIF(手直し!$F$6:$I$55,D116)))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IF(J117="","",IF(F117="男",COUNTIF(手直し!$B$6:$E$55,D117),COUNTIF(手直し!$F$6:$I$55,D117)))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IF(J118="","",IF(F118="男",COUNTIF(手直し!$B$6:$E$55,D118),COUNTIF(手直し!$F$6:$I$55,D118)))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IF(J119="","",IF(F119="男",COUNTIF(手直し!$B$6:$E$55,D119),COUNTIF(手直し!$F$6:$I$55,D119)))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IF(J120="","",IF(F120="男",COUNTIF(手直し!$B$6:$E$55,D120),COUNTIF(手直し!$F$6:$I$55,D120)))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IF(J121="","",IF(F121="男",COUNTIF(手直し!$B$6:$E$55,D121),COUNTIF(手直し!$F$6:$I$55,D121)))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IF(J122="","",IF(F122="男",COUNTIF(手直し!$B$6:$E$55,D122),COUNTIF(手直し!$F$6:$I$55,D122)))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IF(J123="","",IF(F123="男",COUNTIF(手直し!$B$6:$E$55,D123),COUNTIF(手直し!$F$6:$I$55,D123)))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IF(J124="","",IF(F124="男",COUNTIF(手直し!$B$6:$E$55,D124),COUNTIF(手直し!$F$6:$I$55,D124)))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IF(J125="","",IF(F125="男",COUNTIF(手直し!$B$6:$E$55,D125),COUNTIF(手直し!$F$6:$I$55,D125)))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IF(J126="","",IF(F126="男",COUNTIF(手直し!$B$6:$E$55,D126),COUNTIF(手直し!$F$6:$I$55,D126)))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IF(J127="","",IF(F127="男",COUNTIF(手直し!$B$6:$E$55,D127),COUNTIF(手直し!$F$6:$I$55,D127)))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IF(J128="","",IF(F128="男",COUNTIF(手直し!$B$6:$E$55,D128),COUNTIF(手直し!$F$6:$I$55,D128)))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IF(J129="","",IF(F129="男",COUNTIF(手直し!$B$6:$E$55,D129),COUNTIF(手直し!$F$6:$I$55,D129)))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IF(J130="","",IF(F130="男",COUNTIF(手直し!$B$6:$E$55,D130),COUNTIF(手直し!$F$6:$I$55,D130)))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IF(J131="","",IF(F131="男",COUNTIF(手直し!$B$6:$E$55,D131),COUNTIF(手直し!$F$6:$I$55,D131)))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IF(J132="","",IF(F132="男",COUNTIF(手直し!$B$6:$E$55,D132),COUNTIF(手直し!$F$6:$I$55,D132)))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IF(J133="","",IF(F133="男",COUNTIF(手直し!$B$6:$E$55,D133),COUNTIF(手直し!$F$6:$I$55,D133)))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IF(J134="","",IF(F134="男",COUNTIF(手直し!$B$6:$E$55,D134),COUNTIF(手直し!$F$6:$I$55,D134)))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IF(J135="","",IF(F135="男",COUNTIF(手直し!$B$6:$E$55,D135),COUNTIF(手直し!$F$6:$I$55,D135)))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IF(J136="","",IF(F136="男",COUNTIF(手直し!$B$6:$E$55,D136),COUNTIF(手直し!$F$6:$I$55,D136)))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IF(J137="","",IF(F137="男",COUNTIF(手直し!$B$6:$E$55,D137),COUNTIF(手直し!$F$6:$I$55,D137)))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IF(J138="","",IF(F138="男",COUNTIF(手直し!$B$6:$E$55,D138),COUNTIF(手直し!$F$6:$I$55,D138)))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IF(J139="","",IF(F139="男",COUNTIF(手直し!$B$6:$E$55,D139),COUNTIF(手直し!$F$6:$I$55,D139)))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IF(J140="","",IF(F140="男",COUNTIF(手直し!$B$6:$E$55,D140),COUNTIF(手直し!$F$6:$I$55,D140)))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IF(J141="","",IF(F141="男",COUNTIF(手直し!$B$6:$E$55,D141),COUNTIF(手直し!$F$6:$I$55,D141)))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IF(J142="","",IF(F142="男",COUNTIF(手直し!$B$6:$E$55,D142),COUNTIF(手直し!$F$6:$I$55,D142)))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IF(J143="","",IF(F143="男",COUNTIF(手直し!$B$6:$E$55,D143),COUNTIF(手直し!$F$6:$I$55,D143)))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IF(J144="","",IF(F144="男",COUNTIF(手直し!$B$6:$E$55,D144),COUNTIF(手直し!$F$6:$I$55,D144)))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IF(J145="","",IF(F145="男",COUNTIF(手直し!$B$6:$E$55,D145),COUNTIF(手直し!$F$6:$I$55,D145)))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IF(J146="","",IF(F146="男",COUNTIF(手直し!$B$6:$E$55,D146),COUNTIF(手直し!$F$6:$I$55,D146)))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IF(J147="","",IF(F147="男",COUNTIF(手直し!$B$6:$E$55,D147),COUNTIF(手直し!$F$6:$I$55,D147)))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IF(J148="","",IF(F148="男",COUNTIF(手直し!$B$6:$E$55,D148),COUNTIF(手直し!$F$6:$I$55,D148)))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IF(J149="","",IF(F149="男",COUNTIF(手直し!$B$6:$E$55,D149),COUNTIF(手直し!$F$6:$I$55,D149)))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IF(J150="","",IF(F150="男",COUNTIF(手直し!$B$6:$E$55,D150),COUNTIF(手直し!$F$6:$I$55,D150)))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IF(J151="","",IF(F151="男",COUNTIF(手直し!$B$6:$E$55,D151),COUNTIF(手直し!$F$6:$I$55,D151)))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IF(J152="","",IF(F152="男",COUNTIF(手直し!$B$6:$E$55,D152),COUNTIF(手直し!$F$6:$I$55,D152)))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IF(J153="","",IF(F153="男",COUNTIF(手直し!$B$6:$E$55,D153),COUNTIF(手直し!$F$6:$I$55,D153)))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IF(J154="","",IF(F154="男",COUNTIF(手直し!$B$6:$E$55,D154),COUNTIF(手直し!$F$6:$I$55,D154)))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IF(J155="","",IF(F155="男",COUNTIF(手直し!$B$6:$E$55,D155),COUNTIF(手直し!$F$6:$I$55,D155)))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IF(J156="","",IF(F156="男",COUNTIF(手直し!$B$6:$E$55,D156),COUNTIF(手直し!$F$6:$I$55,D156)))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IF(J157="","",IF(F157="男",COUNTIF(手直し!$B$6:$E$55,D157),COUNTIF(手直し!$F$6:$I$55,D157)))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IF(J158="","",IF(F158="男",COUNTIF(手直し!$B$6:$E$55,D158),COUNTIF(手直し!$F$6:$I$55,D158)))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IF(J159="","",IF(F159="男",COUNTIF(手直し!$B$6:$E$55,D159),COUNTIF(手直し!$F$6:$I$55,D159)))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IF(J160="","",IF(F160="男",COUNTIF(手直し!$B$6:$E$55,D160),COUNTIF(手直し!$F$6:$I$55,D160)))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IF(J161="","",IF(F161="男",COUNTIF(手直し!$B$6:$E$55,D161),COUNTIF(手直し!$F$6:$I$55,D161)))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IF(J162="","",IF(F162="男",COUNTIF(手直し!$B$6:$E$55,D162),COUNTIF(手直し!$F$6:$I$55,D162)))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IF(J163="","",IF(F163="男",COUNTIF(手直し!$B$6:$E$55,D163),COUNTIF(手直し!$F$6:$I$55,D163)))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IF(J164="","",IF(F164="男",COUNTIF(手直し!$B$6:$E$55,D164),COUNTIF(手直し!$F$6:$I$55,D164)))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IF(J165="","",IF(F165="男",COUNTIF(手直し!$B$6:$E$55,D165),COUNTIF(手直し!$F$6:$I$55,D165)))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IF(J166="","",IF(F166="男",COUNTIF(手直し!$B$6:$E$55,D166),COUNTIF(手直し!$F$6:$I$55,D166)))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IF(J167="","",IF(F167="男",COUNTIF(手直し!$B$6:$E$55,D167),COUNTIF(手直し!$F$6:$I$55,D167)))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IF(J168="","",IF(F168="男",COUNTIF(手直し!$B$6:$E$55,D168),COUNTIF(手直し!$F$6:$I$55,D168)))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IF(J169="","",IF(F169="男",COUNTIF(手直し!$B$6:$E$55,D169),COUNTIF(手直し!$F$6:$I$55,D169)))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IF(J170="","",IF(F170="男",COUNTIF(手直し!$B$6:$E$55,D170),COUNTIF(手直し!$F$6:$I$55,D170)))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IF(J171="","",IF(F171="男",COUNTIF(手直し!$B$6:$E$55,D171),COUNTIF(手直し!$F$6:$I$55,D171)))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IF(J172="","",IF(F172="男",COUNTIF(手直し!$B$6:$E$55,D172),COUNTIF(手直し!$F$6:$I$55,D172)))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IF(J173="","",IF(F173="男",COUNTIF(手直し!$B$6:$E$55,D173),COUNTIF(手直し!$F$6:$I$55,D173)))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IF(J174="","",IF(F174="男",COUNTIF(手直し!$B$6:$E$55,D174),COUNTIF(手直し!$F$6:$I$55,D174)))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IF(J175="","",IF(F175="男",COUNTIF(手直し!$B$6:$E$55,D175),COUNTIF(手直し!$F$6:$I$55,D175)))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IF(J176="","",IF(F176="男",COUNTIF(手直し!$B$6:$E$55,D176),COUNTIF(手直し!$F$6:$I$55,D176)))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IF(J177="","",IF(F177="男",COUNTIF(手直し!$B$6:$E$55,D177),COUNTIF(手直し!$F$6:$I$55,D177)))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IF(J178="","",IF(F178="男",COUNTIF(手直し!$B$6:$E$55,D178),COUNTIF(手直し!$F$6:$I$55,D178)))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IF(J179="","",IF(F179="男",COUNTIF(手直し!$B$6:$E$55,D179),COUNTIF(手直し!$F$6:$I$55,D179)))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IF(J180="","",IF(F180="男",COUNTIF(手直し!$B$6:$E$55,D180),COUNTIF(手直し!$F$6:$I$55,D180)))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IF(J181="","",IF(F181="男",COUNTIF(手直し!$B$6:$E$55,D181),COUNTIF(手直し!$F$6:$I$55,D181)))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IF(J182="","",IF(F182="男",COUNTIF(手直し!$B$6:$E$55,D182),COUNTIF(手直し!$F$6:$I$55,D182)))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IF(J183="","",IF(F183="男",COUNTIF(手直し!$B$6:$E$55,D183),COUNTIF(手直し!$F$6:$I$55,D183)))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IF(J184="","",IF(F184="男",COUNTIF(手直し!$B$6:$E$55,D184),COUNTIF(手直し!$F$6:$I$55,D184)))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IF(J185="","",IF(F185="男",COUNTIF(手直し!$B$6:$E$55,D185),COUNTIF(手直し!$F$6:$I$55,D185)))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IF(J186="","",IF(F186="男",COUNTIF(手直し!$B$6:$E$55,D186),COUNTIF(手直し!$F$6:$I$55,D186)))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2026-09-29T15:52:52Z</dcterms:modified>
  <cp:lastModifiedBy>馬場　久寿</cp:lastModifiedBy>
  <cp:revision>0</cp:revision>
  <cp:lastPrinted>2026-09-12T09:14:17Z</cp:lastPrinted>
</cp:coreProperties>
</file>