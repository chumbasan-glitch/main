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OFFSET(最終修正!$A$1,0,0,2+計算用!$U$22,9)</definedName>
    <definedName name="_xlnm.Print_Area" localSheetId="5">OFFSET(最終決定!$A$1,0,0,1+計算用!$U$22,5)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9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  <font>
      <b val="1"/>
      <color rgb="FF0000CC"/>
      <sz val="12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n"/>
      <c r="C5" s="13" t="n"/>
      <c r="D5" s="14" t="n"/>
      <c r="F5" s="12" t="n"/>
      <c r="G5" s="13" t="n"/>
      <c r="H5" s="14" t="n"/>
      <c r="J5" s="12" t="n"/>
      <c r="K5" s="13" t="n"/>
      <c r="L5" s="14" t="n"/>
      <c r="N5" s="12" t="n"/>
      <c r="O5" s="13" t="n"/>
      <c r="P5" s="14" t="n"/>
    </row>
    <row r="6">
      <c r="A6" s="11" t="n">
        <v>2</v>
      </c>
      <c r="B6" s="12" t="n"/>
      <c r="C6" s="13" t="n"/>
      <c r="D6" s="14" t="n"/>
      <c r="F6" s="12" t="n"/>
      <c r="G6" s="13" t="n"/>
      <c r="H6" s="14" t="n"/>
      <c r="J6" s="12" t="n"/>
      <c r="K6" s="13" t="n"/>
      <c r="L6" s="14" t="n"/>
      <c r="N6" s="12" t="n"/>
      <c r="O6" s="13" t="n"/>
      <c r="P6" s="14" t="n"/>
    </row>
    <row r="7">
      <c r="A7" s="11" t="n">
        <v>3</v>
      </c>
      <c r="B7" s="12" t="n"/>
      <c r="C7" s="13" t="n"/>
      <c r="D7" s="14" t="n"/>
      <c r="F7" s="12" t="n"/>
      <c r="G7" s="13" t="n"/>
      <c r="H7" s="14" t="n"/>
      <c r="J7" s="12" t="n"/>
      <c r="K7" s="13" t="n"/>
      <c r="L7" s="14" t="n"/>
      <c r="N7" s="12" t="n"/>
      <c r="O7" s="13" t="n"/>
      <c r="P7" s="14" t="n"/>
    </row>
    <row r="8">
      <c r="A8" s="11" t="n">
        <v>4</v>
      </c>
      <c r="B8" s="12" t="n"/>
      <c r="C8" s="13" t="n"/>
      <c r="D8" s="14" t="n"/>
      <c r="F8" s="12" t="n"/>
      <c r="G8" s="13" t="n"/>
      <c r="H8" s="14" t="n"/>
      <c r="J8" s="12" t="n"/>
      <c r="K8" s="13" t="n"/>
      <c r="L8" s="14" t="n"/>
      <c r="N8" s="12" t="n"/>
      <c r="O8" s="13" t="n"/>
      <c r="P8" s="14" t="n"/>
    </row>
    <row r="9">
      <c r="A9" s="11" t="n">
        <v>5</v>
      </c>
      <c r="B9" s="12" t="n"/>
      <c r="C9" s="13" t="n"/>
      <c r="D9" s="14" t="n"/>
      <c r="F9" s="12" t="n"/>
      <c r="G9" s="13" t="n"/>
      <c r="H9" s="14" t="n"/>
      <c r="J9" s="12" t="n"/>
      <c r="K9" s="13" t="n"/>
      <c r="L9" s="14" t="n"/>
      <c r="N9" s="12" t="n"/>
      <c r="O9" s="13" t="n"/>
      <c r="P9" s="14" t="n"/>
    </row>
    <row r="10">
      <c r="A10" s="11" t="n">
        <v>6</v>
      </c>
      <c r="B10" s="12" t="n"/>
      <c r="C10" s="13" t="n"/>
      <c r="D10" s="14" t="n"/>
      <c r="F10" s="12" t="n"/>
      <c r="G10" s="13" t="n"/>
      <c r="H10" s="14" t="n"/>
      <c r="J10" s="12" t="n"/>
      <c r="K10" s="13" t="n"/>
      <c r="L10" s="14" t="n"/>
      <c r="N10" s="12" t="n"/>
      <c r="O10" s="13" t="n"/>
      <c r="P10" s="14" t="n"/>
    </row>
    <row r="11">
      <c r="A11" s="11" t="n">
        <v>7</v>
      </c>
      <c r="B11" s="12" t="n"/>
      <c r="C11" s="13" t="n"/>
      <c r="D11" s="14" t="n"/>
      <c r="F11" s="12" t="n"/>
      <c r="G11" s="13" t="n"/>
      <c r="H11" s="14" t="n"/>
      <c r="J11" s="12" t="n"/>
      <c r="K11" s="13" t="n"/>
      <c r="L11" s="14" t="n"/>
      <c r="N11" s="12" t="n"/>
      <c r="O11" s="13" t="n"/>
      <c r="P11" s="14" t="n"/>
    </row>
    <row r="12">
      <c r="A12" s="11" t="n">
        <v>8</v>
      </c>
      <c r="B12" s="12" t="n"/>
      <c r="C12" s="13" t="n"/>
      <c r="D12" s="14" t="n"/>
      <c r="F12" s="12" t="n"/>
      <c r="G12" s="13" t="n"/>
      <c r="H12" s="14" t="n"/>
      <c r="J12" s="12" t="n"/>
      <c r="K12" s="13" t="n"/>
      <c r="L12" s="14" t="n"/>
      <c r="N12" s="12" t="n"/>
      <c r="O12" s="13" t="n"/>
      <c r="P12" s="14" t="n"/>
    </row>
    <row r="13">
      <c r="A13" s="11" t="n">
        <v>9</v>
      </c>
      <c r="B13" s="12" t="n"/>
      <c r="C13" s="13" t="n"/>
      <c r="D13" s="14" t="n"/>
      <c r="F13" s="12" t="n"/>
      <c r="G13" s="13" t="n"/>
      <c r="H13" s="14" t="n"/>
      <c r="J13" s="12" t="n"/>
      <c r="K13" s="13" t="n"/>
      <c r="L13" s="14" t="n"/>
      <c r="N13" s="12" t="n"/>
      <c r="O13" s="13" t="n"/>
      <c r="P13" s="14" t="n"/>
    </row>
    <row r="14">
      <c r="A14" s="11" t="n">
        <v>10</v>
      </c>
      <c r="B14" s="12" t="n"/>
      <c r="C14" s="13" t="n"/>
      <c r="D14" s="14" t="n"/>
      <c r="F14" s="12" t="n"/>
      <c r="G14" s="13" t="n"/>
      <c r="H14" s="14" t="n"/>
      <c r="J14" s="12" t="n"/>
      <c r="K14" s="13" t="n"/>
      <c r="L14" s="14" t="n"/>
      <c r="N14" s="12" t="n"/>
      <c r="O14" s="13" t="n"/>
      <c r="P14" s="14" t="n"/>
    </row>
    <row r="15">
      <c r="A15" s="11" t="n">
        <v>11</v>
      </c>
      <c r="B15" s="12" t="n"/>
      <c r="C15" s="13" t="n"/>
      <c r="D15" s="14" t="n"/>
      <c r="F15" s="12" t="n"/>
      <c r="G15" s="13" t="n"/>
      <c r="H15" s="14" t="n"/>
      <c r="J15" s="12" t="n"/>
      <c r="K15" s="13" t="n"/>
      <c r="L15" s="14" t="n"/>
      <c r="N15" s="12" t="n"/>
      <c r="O15" s="13" t="n"/>
      <c r="P15" s="14" t="n"/>
    </row>
    <row r="16">
      <c r="A16" s="11" t="n">
        <v>12</v>
      </c>
      <c r="B16" s="12" t="n"/>
      <c r="C16" s="13" t="n"/>
      <c r="D16" s="14" t="n"/>
      <c r="F16" s="12" t="n"/>
      <c r="G16" s="13" t="n"/>
      <c r="H16" s="14" t="n"/>
      <c r="J16" s="12" t="n"/>
      <c r="K16" s="13" t="n"/>
      <c r="L16" s="14" t="n"/>
      <c r="N16" s="12" t="n"/>
      <c r="O16" s="13" t="n"/>
      <c r="P16" s="14" t="n"/>
    </row>
    <row r="17">
      <c r="A17" s="11" t="n">
        <v>13</v>
      </c>
      <c r="B17" s="12" t="n"/>
      <c r="C17" s="13" t="n"/>
      <c r="D17" s="14" t="n"/>
      <c r="F17" s="12" t="n"/>
      <c r="G17" s="13" t="n"/>
      <c r="H17" s="14" t="n"/>
      <c r="J17" s="12" t="n"/>
      <c r="K17" s="13" t="n"/>
      <c r="L17" s="14" t="n"/>
      <c r="N17" s="12" t="n"/>
      <c r="O17" s="13" t="n"/>
      <c r="P17" s="14" t="n"/>
    </row>
    <row r="18">
      <c r="A18" s="11" t="n">
        <v>14</v>
      </c>
      <c r="B18" s="12" t="n"/>
      <c r="C18" s="13" t="n"/>
      <c r="D18" s="14" t="n"/>
      <c r="F18" s="12" t="n"/>
      <c r="G18" s="13" t="n"/>
      <c r="H18" s="14" t="n"/>
      <c r="J18" s="12" t="n"/>
      <c r="K18" s="13" t="n"/>
      <c r="L18" s="14" t="n"/>
      <c r="N18" s="12" t="n"/>
      <c r="O18" s="13" t="n"/>
      <c r="P18" s="14" t="n"/>
    </row>
    <row r="19">
      <c r="A19" s="11" t="n">
        <v>15</v>
      </c>
      <c r="B19" s="12" t="n"/>
      <c r="C19" s="13" t="n"/>
      <c r="D19" s="14" t="n"/>
      <c r="F19" s="12" t="n"/>
      <c r="G19" s="13" t="n"/>
      <c r="H19" s="14" t="n"/>
      <c r="J19" s="12" t="n"/>
      <c r="K19" s="13" t="n"/>
      <c r="L19" s="14" t="n"/>
      <c r="N19" s="12" t="n"/>
      <c r="O19" s="13" t="n"/>
      <c r="P19" s="14" t="n"/>
    </row>
    <row r="20">
      <c r="A20" s="11" t="n">
        <v>16</v>
      </c>
      <c r="B20" s="12" t="n"/>
      <c r="C20" s="13" t="n"/>
      <c r="D20" s="14" t="n"/>
      <c r="F20" s="12" t="n"/>
      <c r="G20" s="13" t="n"/>
      <c r="H20" s="14" t="n"/>
      <c r="J20" s="12" t="n"/>
      <c r="K20" s="13" t="n"/>
      <c r="L20" s="14" t="n"/>
      <c r="N20" s="12" t="n"/>
      <c r="O20" s="13" t="n"/>
      <c r="P20" s="14" t="n"/>
    </row>
    <row r="21">
      <c r="A21" s="11" t="n">
        <v>17</v>
      </c>
      <c r="B21" s="12" t="n"/>
      <c r="C21" s="13" t="n"/>
      <c r="D21" s="14" t="n"/>
      <c r="F21" s="12" t="n"/>
      <c r="G21" s="13" t="n"/>
      <c r="H21" s="14" t="n"/>
      <c r="J21" s="12" t="n"/>
      <c r="K21" s="13" t="n"/>
      <c r="L21" s="14" t="n"/>
      <c r="N21" s="12" t="n"/>
      <c r="O21" s="13" t="n"/>
      <c r="P21" s="14" t="n"/>
    </row>
    <row r="22">
      <c r="A22" s="11" t="n">
        <v>18</v>
      </c>
      <c r="B22" s="12" t="n"/>
      <c r="C22" s="13" t="n"/>
      <c r="D22" s="14" t="n"/>
      <c r="F22" s="12" t="n"/>
      <c r="G22" s="13" t="n"/>
      <c r="H22" s="14" t="n"/>
      <c r="J22" s="12" t="n"/>
      <c r="K22" s="13" t="n"/>
      <c r="L22" s="14" t="n"/>
      <c r="N22" s="12" t="n"/>
      <c r="O22" s="13" t="n"/>
      <c r="P22" s="14" t="n"/>
    </row>
    <row r="23">
      <c r="A23" s="11" t="n">
        <v>19</v>
      </c>
      <c r="B23" s="12" t="n"/>
      <c r="C23" s="13" t="n"/>
      <c r="D23" s="14" t="n"/>
      <c r="F23" s="12" t="n"/>
      <c r="G23" s="13" t="n"/>
      <c r="H23" s="14" t="n"/>
      <c r="J23" s="12" t="n"/>
      <c r="K23" s="13" t="n"/>
      <c r="L23" s="14" t="n"/>
      <c r="N23" s="12" t="n"/>
      <c r="O23" s="13" t="n"/>
      <c r="P23" s="14" t="n"/>
    </row>
    <row r="24">
      <c r="A24" s="11" t="n">
        <v>20</v>
      </c>
      <c r="B24" s="12" t="n"/>
      <c r="C24" s="13" t="n"/>
      <c r="D24" s="14" t="n"/>
      <c r="F24" s="12" t="n"/>
      <c r="G24" s="13" t="n"/>
      <c r="H24" s="14" t="n"/>
      <c r="J24" s="12" t="n"/>
      <c r="K24" s="13" t="n"/>
      <c r="L24" s="14" t="n"/>
      <c r="N24" s="12" t="n"/>
      <c r="O24" s="13" t="n"/>
      <c r="P24" s="14" t="n"/>
    </row>
    <row r="25">
      <c r="A25" s="11" t="n">
        <v>21</v>
      </c>
      <c r="B25" s="12" t="n"/>
      <c r="C25" s="13" t="n"/>
      <c r="D25" s="14" t="n"/>
      <c r="F25" s="12" t="n"/>
      <c r="G25" s="13" t="n"/>
      <c r="H25" s="14" t="n"/>
      <c r="J25" s="12" t="n"/>
      <c r="K25" s="13" t="n"/>
      <c r="L25" s="14" t="n"/>
      <c r="N25" s="12" t="n"/>
      <c r="O25" s="13" t="n"/>
      <c r="P25" s="14" t="n"/>
    </row>
    <row r="26">
      <c r="A26" s="11" t="n">
        <v>22</v>
      </c>
      <c r="B26" s="12" t="n"/>
      <c r="C26" s="13" t="n"/>
      <c r="D26" s="14" t="n"/>
      <c r="F26" s="12" t="n"/>
      <c r="G26" s="13" t="n"/>
      <c r="H26" s="14" t="n"/>
      <c r="J26" s="12" t="n"/>
      <c r="K26" s="13" t="n"/>
      <c r="L26" s="14" t="n"/>
      <c r="N26" s="12" t="n"/>
      <c r="O26" s="13" t="n"/>
      <c r="P26" s="14" t="n"/>
    </row>
    <row r="27">
      <c r="A27" s="11" t="n">
        <v>23</v>
      </c>
      <c r="B27" s="12" t="n"/>
      <c r="C27" s="13" t="n"/>
      <c r="D27" s="14" t="n"/>
      <c r="F27" s="12" t="n"/>
      <c r="G27" s="13" t="n"/>
      <c r="H27" s="14" t="n"/>
      <c r="J27" s="12" t="n"/>
      <c r="K27" s="13" t="n"/>
      <c r="L27" s="14" t="n"/>
      <c r="N27" s="12" t="n"/>
      <c r="O27" s="13" t="n"/>
      <c r="P27" s="14" t="n"/>
    </row>
    <row r="28">
      <c r="A28" s="11" t="n">
        <v>24</v>
      </c>
      <c r="B28" s="12" t="n"/>
      <c r="C28" s="13" t="n"/>
      <c r="D28" s="14" t="n"/>
      <c r="F28" s="12" t="n"/>
      <c r="G28" s="13" t="n"/>
      <c r="H28" s="14" t="n"/>
      <c r="J28" s="12" t="n"/>
      <c r="K28" s="13" t="n"/>
      <c r="L28" s="14" t="n"/>
      <c r="N28" s="12" t="n"/>
      <c r="O28" s="13" t="n"/>
      <c r="P28" s="14" t="n"/>
    </row>
    <row r="29">
      <c r="A29" s="11" t="n">
        <v>25</v>
      </c>
      <c r="B29" s="12" t="n"/>
      <c r="C29" s="13" t="n"/>
      <c r="D29" s="14" t="n"/>
      <c r="F29" s="12" t="n"/>
      <c r="G29" s="13" t="n"/>
      <c r="H29" s="14" t="n"/>
      <c r="J29" s="12" t="n"/>
      <c r="K29" s="13" t="n"/>
      <c r="L29" s="14" t="n"/>
      <c r="N29" s="12" t="n"/>
      <c r="O29" s="13" t="n"/>
      <c r="P29" s="14" t="n"/>
    </row>
    <row r="30">
      <c r="A30" s="11" t="n">
        <v>26</v>
      </c>
      <c r="B30" s="12" t="n"/>
      <c r="C30" s="13" t="n"/>
      <c r="D30" s="14" t="n"/>
      <c r="F30" s="12" t="n"/>
      <c r="G30" s="13" t="n"/>
      <c r="H30" s="14" t="n"/>
      <c r="J30" s="12" t="n"/>
      <c r="K30" s="13" t="n"/>
      <c r="L30" s="14" t="n"/>
      <c r="N30" s="12" t="n"/>
      <c r="O30" s="13" t="n"/>
      <c r="P30" s="14" t="n"/>
    </row>
    <row r="31">
      <c r="A31" s="11" t="n">
        <v>27</v>
      </c>
      <c r="B31" s="12" t="n"/>
      <c r="C31" s="13" t="n"/>
      <c r="D31" s="14" t="n"/>
      <c r="F31" s="12" t="n"/>
      <c r="G31" s="13" t="n"/>
      <c r="H31" s="14" t="n"/>
      <c r="J31" s="12" t="n"/>
      <c r="K31" s="13" t="n"/>
      <c r="L31" s="14" t="n"/>
      <c r="N31" s="12" t="n"/>
      <c r="O31" s="13" t="n"/>
      <c r="P31" s="14" t="n"/>
    </row>
    <row r="32">
      <c r="A32" s="11" t="n">
        <v>28</v>
      </c>
      <c r="B32" s="12" t="n"/>
      <c r="C32" s="13" t="n"/>
      <c r="D32" s="14" t="n"/>
      <c r="F32" s="12" t="n"/>
      <c r="G32" s="13" t="n"/>
      <c r="H32" s="14" t="n"/>
      <c r="J32" s="12" t="n"/>
      <c r="K32" s="13" t="n"/>
      <c r="L32" s="14" t="n"/>
      <c r="N32" s="12" t="n"/>
      <c r="O32" s="13" t="n"/>
      <c r="P32" s="14" t="n"/>
    </row>
    <row r="33">
      <c r="A33" s="11" t="n">
        <v>29</v>
      </c>
      <c r="B33" s="12" t="n"/>
      <c r="C33" s="13" t="n"/>
      <c r="D33" s="14" t="n"/>
      <c r="F33" s="12" t="n"/>
      <c r="G33" s="13" t="n"/>
      <c r="H33" s="14" t="n"/>
      <c r="J33" s="12" t="n"/>
      <c r="K33" s="13" t="n"/>
      <c r="L33" s="14" t="n"/>
      <c r="N33" s="12" t="n"/>
      <c r="O33" s="13" t="n"/>
      <c r="P33" s="14" t="n"/>
    </row>
    <row r="34">
      <c r="A34" s="11" t="n">
        <v>30</v>
      </c>
      <c r="B34" s="12" t="n"/>
      <c r="C34" s="13" t="n"/>
      <c r="D34" s="14" t="n"/>
      <c r="F34" s="12" t="n"/>
      <c r="G34" s="13" t="n"/>
      <c r="H34" s="14" t="n"/>
      <c r="J34" s="12" t="n"/>
      <c r="K34" s="13" t="n"/>
      <c r="L34" s="14" t="n"/>
      <c r="N34" s="12" t="n"/>
      <c r="O34" s="13" t="n"/>
      <c r="P34" s="14" t="n"/>
    </row>
    <row r="35">
      <c r="A35" s="11" t="n">
        <v>31</v>
      </c>
      <c r="B35" s="12" t="n"/>
      <c r="C35" s="13" t="n"/>
      <c r="D35" s="14" t="n"/>
      <c r="F35" s="12" t="n"/>
      <c r="G35" s="13" t="n"/>
      <c r="H35" s="14" t="n"/>
      <c r="J35" s="12" t="n"/>
      <c r="K35" s="13" t="n"/>
      <c r="L35" s="14" t="n"/>
      <c r="N35" s="12" t="n"/>
      <c r="O35" s="13" t="n"/>
      <c r="P35" s="14" t="n"/>
    </row>
    <row r="36">
      <c r="A36" s="11" t="n">
        <v>32</v>
      </c>
      <c r="B36" s="12" t="n"/>
      <c r="C36" s="13" t="n"/>
      <c r="D36" s="14" t="n"/>
      <c r="F36" s="12" t="n"/>
      <c r="G36" s="13" t="n"/>
      <c r="H36" s="14" t="n"/>
      <c r="J36" s="12" t="n"/>
      <c r="K36" s="13" t="n"/>
      <c r="L36" s="14" t="n"/>
      <c r="N36" s="12" t="n"/>
      <c r="O36" s="13" t="n"/>
      <c r="P36" s="14" t="n"/>
    </row>
    <row r="37">
      <c r="A37" s="11" t="n">
        <v>33</v>
      </c>
      <c r="B37" s="12" t="n"/>
      <c r="C37" s="13" t="n"/>
      <c r="D37" s="14" t="n"/>
      <c r="F37" s="12" t="n"/>
      <c r="G37" s="13" t="n"/>
      <c r="H37" s="14" t="n"/>
      <c r="J37" s="12" t="n"/>
      <c r="K37" s="13" t="n"/>
      <c r="L37" s="14" t="n"/>
      <c r="N37" s="12" t="n"/>
      <c r="O37" s="13" t="n"/>
      <c r="P37" s="14" t="n"/>
    </row>
    <row r="38">
      <c r="A38" s="11" t="n">
        <v>34</v>
      </c>
      <c r="B38" s="12" t="n"/>
      <c r="C38" s="13" t="n"/>
      <c r="D38" s="14" t="n"/>
      <c r="F38" s="12" t="n"/>
      <c r="G38" s="13" t="n"/>
      <c r="H38" s="14" t="n"/>
      <c r="J38" s="12" t="n"/>
      <c r="K38" s="13" t="n"/>
      <c r="L38" s="14" t="n"/>
      <c r="N38" s="12" t="n"/>
      <c r="O38" s="13" t="n"/>
      <c r="P38" s="14" t="n"/>
    </row>
    <row r="39">
      <c r="A39" s="11" t="n">
        <v>35</v>
      </c>
      <c r="B39" s="12" t="n"/>
      <c r="C39" s="13" t="n"/>
      <c r="D39" s="14" t="n"/>
      <c r="F39" s="12" t="n"/>
      <c r="G39" s="13" t="n"/>
      <c r="H39" s="14" t="n"/>
      <c r="J39" s="12" t="n"/>
      <c r="K39" s="13" t="n"/>
      <c r="L39" s="14" t="n"/>
      <c r="N39" s="12" t="n"/>
      <c r="O39" s="13" t="n"/>
      <c r="P39" s="14" t="n"/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1" s="24" t="inlineStr">
        <is>
          <t>色</t>
        </is>
      </c>
      <c r="L1" s="2" t="inlineStr">
        <is>
          <t>色あり</t>
        </is>
      </c>
    </row>
    <row r="2" ht="27.75" customHeight="1">
      <c r="A2" s="25">
        <f>計算用!$AD$2</f>
        <v/>
      </c>
      <c r="B2" s="26">
        <f>IF(計算用!$Z$2="","",IF(計算用!$U$24,IF(計算用!$Z$2="A",INDEX(手直し!$B$6:$E$42,計算用!$AC$2,MOD(0-計算用!$AA$2+1,4)+1),INDEX(手直し!$G$6:$J$42,計算用!$AC$2,MOD(0-計算用!$AA$2+1,4)+1)),IF(計算用!$Z$2="A",INDEX(組分け!$B$5:$I$41,計算用!$AC$2,(MOD(0-計算用!$AA$2+1,4)+1)*2-1),INDEX(組分け!$L$5:$S$41,計算用!$AC$2,(MOD(0-計算用!$AA$2+1,4)+1)*2-1)))&amp;"")</f>
        <v/>
      </c>
      <c r="C2" s="26">
        <f>IF(計算用!$Z$2="","",IF(計算用!$U$24,IF(計算用!$Z$2="A",INDEX(手直し!$B$6:$E$42,計算用!$AC$2,MOD(1-計算用!$AA$2+1,4)+1),INDEX(手直し!$G$6:$J$42,計算用!$AC$2,MOD(1-計算用!$AA$2+1,4)+1)),IF(計算用!$Z$2="A",INDEX(組分け!$B$5:$I$41,計算用!$AC$2,(MOD(1-計算用!$AA$2+1,4)+1)*2-1),INDEX(組分け!$L$5:$S$41,計算用!$AC$2,(MOD(1-計算用!$AA$2+1,4)+1)*2-1)))&amp;"")</f>
        <v/>
      </c>
      <c r="D2" s="26">
        <f>IF(計算用!$Z$2="","",IF(計算用!$U$24,IF(計算用!$Z$2="A",INDEX(手直し!$B$6:$E$42,計算用!$AC$2,MOD(2-計算用!$AA$2+1,4)+1),INDEX(手直し!$G$6:$J$42,計算用!$AC$2,MOD(2-計算用!$AA$2+1,4)+1)),IF(計算用!$Z$2="A",INDEX(組分け!$B$5:$I$41,計算用!$AC$2,(MOD(2-計算用!$AA$2+1,4)+1)*2-1),INDEX(組分け!$L$5:$S$41,計算用!$AC$2,(MOD(2-計算用!$AA$2+1,4)+1)*2-1)))&amp;"")</f>
        <v/>
      </c>
      <c r="E2" s="26">
        <f>IF(計算用!$Z$2="","",IF(計算用!$U$24,IF(計算用!$Z$2="A",INDEX(手直し!$B$6:$E$42,計算用!$AC$2,MOD(3-計算用!$AA$2+1,4)+1),INDEX(手直し!$G$6:$J$42,計算用!$AC$2,MOD(3-計算用!$AA$2+1,4)+1)),IF(計算用!$Z$2="A",INDEX(組分け!$B$5:$I$41,計算用!$AC$2,(MOD(3-計算用!$AA$2+1,4)+1)*2-1),INDEX(組分け!$L$5:$S$41,計算用!$AC$2,(MOD(3-計算用!$AA$2+1,4)+1)*2-1)))&amp;"")</f>
        <v/>
      </c>
      <c r="K2" t="inlineStr">
        <is>
          <t>← 印刷の前に選んでください（この欄は印刷されません）</t>
        </is>
      </c>
    </row>
    <row r="3" ht="27.75" customHeight="1">
      <c r="A3" s="25">
        <f>計算用!$AD$3</f>
        <v/>
      </c>
      <c r="B3" s="26">
        <f>IF(計算用!$Z$3="","",IF(計算用!$U$24,IF(計算用!$Z$3="A",INDEX(手直し!$B$6:$E$42,計算用!$AC$3,MOD(0-計算用!$AA$3+1,4)+1),INDEX(手直し!$G$6:$J$42,計算用!$AC$3,MOD(0-計算用!$AA$3+1,4)+1)),IF(計算用!$Z$3="A",INDEX(組分け!$B$5:$I$41,計算用!$AC$3,(MOD(0-計算用!$AA$3+1,4)+1)*2-1),INDEX(組分け!$L$5:$S$41,計算用!$AC$3,(MOD(0-計算用!$AA$3+1,4)+1)*2-1)))&amp;"")</f>
        <v/>
      </c>
      <c r="C3" s="26">
        <f>IF(計算用!$Z$3="","",IF(計算用!$U$24,IF(計算用!$Z$3="A",INDEX(手直し!$B$6:$E$42,計算用!$AC$3,MOD(1-計算用!$AA$3+1,4)+1),INDEX(手直し!$G$6:$J$42,計算用!$AC$3,MOD(1-計算用!$AA$3+1,4)+1)),IF(計算用!$Z$3="A",INDEX(組分け!$B$5:$I$41,計算用!$AC$3,(MOD(1-計算用!$AA$3+1,4)+1)*2-1),INDEX(組分け!$L$5:$S$41,計算用!$AC$3,(MOD(1-計算用!$AA$3+1,4)+1)*2-1)))&amp;"")</f>
        <v/>
      </c>
      <c r="D3" s="26">
        <f>IF(計算用!$Z$3="","",IF(計算用!$U$24,IF(計算用!$Z$3="A",INDEX(手直し!$B$6:$E$42,計算用!$AC$3,MOD(2-計算用!$AA$3+1,4)+1),INDEX(手直し!$G$6:$J$42,計算用!$AC$3,MOD(2-計算用!$AA$3+1,4)+1)),IF(計算用!$Z$3="A",INDEX(組分け!$B$5:$I$41,計算用!$AC$3,(MOD(2-計算用!$AA$3+1,4)+1)*2-1),INDEX(組分け!$L$5:$S$41,計算用!$AC$3,(MOD(2-計算用!$AA$3+1,4)+1)*2-1)))&amp;"")</f>
        <v/>
      </c>
      <c r="E3" s="26">
        <f>IF(計算用!$Z$3="","",IF(計算用!$U$24,IF(計算用!$Z$3="A",INDEX(手直し!$B$6:$E$42,計算用!$AC$3,MOD(3-計算用!$AA$3+1,4)+1),INDEX(手直し!$G$6:$J$42,計算用!$AC$3,MOD(3-計算用!$AA$3+1,4)+1)),IF(計算用!$Z$3="A",INDEX(組分け!$B$5:$I$41,計算用!$AC$3,(MOD(3-計算用!$AA$3+1,4)+1)*2-1),INDEX(組分け!$L$5:$S$41,計算用!$AC$3,(MOD(3-計算用!$AA$3+1,4)+1)*2-1)))&amp;"")</f>
        <v/>
      </c>
      <c r="K3" s="4">
        <f>計算用!$U$27</f>
        <v/>
      </c>
    </row>
    <row r="4" ht="27.75" customHeight="1">
      <c r="A4" s="25">
        <f>計算用!$AD$4</f>
        <v/>
      </c>
      <c r="B4" s="26">
        <f>IF(計算用!$Z$4="","",IF(計算用!$U$24,IF(計算用!$Z$4="A",INDEX(手直し!$B$6:$E$42,計算用!$AC$4,MOD(0-計算用!$AA$4+1,4)+1),INDEX(手直し!$G$6:$J$42,計算用!$AC$4,MOD(0-計算用!$AA$4+1,4)+1)),IF(計算用!$Z$4="A",INDEX(組分け!$B$5:$I$41,計算用!$AC$4,(MOD(0-計算用!$AA$4+1,4)+1)*2-1),INDEX(組分け!$L$5:$S$41,計算用!$AC$4,(MOD(0-計算用!$AA$4+1,4)+1)*2-1)))&amp;"")</f>
        <v/>
      </c>
      <c r="C4" s="26">
        <f>IF(計算用!$Z$4="","",IF(計算用!$U$24,IF(計算用!$Z$4="A",INDEX(手直し!$B$6:$E$42,計算用!$AC$4,MOD(1-計算用!$AA$4+1,4)+1),INDEX(手直し!$G$6:$J$42,計算用!$AC$4,MOD(1-計算用!$AA$4+1,4)+1)),IF(計算用!$Z$4="A",INDEX(組分け!$B$5:$I$41,計算用!$AC$4,(MOD(1-計算用!$AA$4+1,4)+1)*2-1),INDEX(組分け!$L$5:$S$41,計算用!$AC$4,(MOD(1-計算用!$AA$4+1,4)+1)*2-1)))&amp;"")</f>
        <v/>
      </c>
      <c r="D4" s="26">
        <f>IF(計算用!$Z$4="","",IF(計算用!$U$24,IF(計算用!$Z$4="A",INDEX(手直し!$B$6:$E$42,計算用!$AC$4,MOD(2-計算用!$AA$4+1,4)+1),INDEX(手直し!$G$6:$J$42,計算用!$AC$4,MOD(2-計算用!$AA$4+1,4)+1)),IF(計算用!$Z$4="A",INDEX(組分け!$B$5:$I$41,計算用!$AC$4,(MOD(2-計算用!$AA$4+1,4)+1)*2-1),INDEX(組分け!$L$5:$S$41,計算用!$AC$4,(MOD(2-計算用!$AA$4+1,4)+1)*2-1)))&amp;"")</f>
        <v/>
      </c>
      <c r="E4" s="26">
        <f>IF(計算用!$Z$4="","",IF(計算用!$U$24,IF(計算用!$Z$4="A",INDEX(手直し!$B$6:$E$42,計算用!$AC$4,MOD(3-計算用!$AA$4+1,4)+1),INDEX(手直し!$G$6:$J$42,計算用!$AC$4,MOD(3-計算用!$AA$4+1,4)+1)),IF(計算用!$Z$4="A",INDEX(組分け!$B$5:$I$41,計算用!$AC$4,(MOD(3-計算用!$AA$4+1,4)+1)*2-1),INDEX(組分け!$L$5:$S$41,計算用!$AC$4,(MOD(3-計算用!$AA$4+1,4)+1)*2-1)))&amp;"")</f>
        <v/>
      </c>
    </row>
    <row r="5" ht="27.75" customHeight="1">
      <c r="A5" s="25">
        <f>計算用!$AD$5</f>
        <v/>
      </c>
      <c r="B5" s="26">
        <f>IF(計算用!$Z$5="","",IF(計算用!$U$24,IF(計算用!$Z$5="A",INDEX(手直し!$B$6:$E$42,計算用!$AC$5,MOD(0-計算用!$AA$5+1,4)+1),INDEX(手直し!$G$6:$J$42,計算用!$AC$5,MOD(0-計算用!$AA$5+1,4)+1)),IF(計算用!$Z$5="A",INDEX(組分け!$B$5:$I$41,計算用!$AC$5,(MOD(0-計算用!$AA$5+1,4)+1)*2-1),INDEX(組分け!$L$5:$S$41,計算用!$AC$5,(MOD(0-計算用!$AA$5+1,4)+1)*2-1)))&amp;"")</f>
        <v/>
      </c>
      <c r="C5" s="26">
        <f>IF(計算用!$Z$5="","",IF(計算用!$U$24,IF(計算用!$Z$5="A",INDEX(手直し!$B$6:$E$42,計算用!$AC$5,MOD(1-計算用!$AA$5+1,4)+1),INDEX(手直し!$G$6:$J$42,計算用!$AC$5,MOD(1-計算用!$AA$5+1,4)+1)),IF(計算用!$Z$5="A",INDEX(組分け!$B$5:$I$41,計算用!$AC$5,(MOD(1-計算用!$AA$5+1,4)+1)*2-1),INDEX(組分け!$L$5:$S$41,計算用!$AC$5,(MOD(1-計算用!$AA$5+1,4)+1)*2-1)))&amp;"")</f>
        <v/>
      </c>
      <c r="D5" s="26">
        <f>IF(計算用!$Z$5="","",IF(計算用!$U$24,IF(計算用!$Z$5="A",INDEX(手直し!$B$6:$E$42,計算用!$AC$5,MOD(2-計算用!$AA$5+1,4)+1),INDEX(手直し!$G$6:$J$42,計算用!$AC$5,MOD(2-計算用!$AA$5+1,4)+1)),IF(計算用!$Z$5="A",INDEX(組分け!$B$5:$I$41,計算用!$AC$5,(MOD(2-計算用!$AA$5+1,4)+1)*2-1),INDEX(組分け!$L$5:$S$41,計算用!$AC$5,(MOD(2-計算用!$AA$5+1,4)+1)*2-1)))&amp;"")</f>
        <v/>
      </c>
      <c r="E5" s="26">
        <f>IF(計算用!$Z$5="","",IF(計算用!$U$24,IF(計算用!$Z$5="A",INDEX(手直し!$B$6:$E$42,計算用!$AC$5,MOD(3-計算用!$AA$5+1,4)+1),INDEX(手直し!$G$6:$J$42,計算用!$AC$5,MOD(3-計算用!$AA$5+1,4)+1)),IF(計算用!$Z$5="A",INDEX(組分け!$B$5:$I$41,計算用!$AC$5,(MOD(3-計算用!$AA$5+1,4)+1)*2-1),INDEX(組分け!$L$5:$S$41,計算用!$AC$5,(MOD(3-計算用!$AA$5+1,4)+1)*2-1)))&amp;"")</f>
        <v/>
      </c>
    </row>
    <row r="6" ht="27.75" customHeight="1">
      <c r="A6" s="25">
        <f>計算用!$AD$6</f>
        <v/>
      </c>
      <c r="B6" s="26">
        <f>IF(計算用!$Z$6="","",IF(計算用!$U$24,IF(計算用!$Z$6="A",INDEX(手直し!$B$6:$E$42,計算用!$AC$6,MOD(0-計算用!$AA$6+1,4)+1),INDEX(手直し!$G$6:$J$42,計算用!$AC$6,MOD(0-計算用!$AA$6+1,4)+1)),IF(計算用!$Z$6="A",INDEX(組分け!$B$5:$I$41,計算用!$AC$6,(MOD(0-計算用!$AA$6+1,4)+1)*2-1),INDEX(組分け!$L$5:$S$41,計算用!$AC$6,(MOD(0-計算用!$AA$6+1,4)+1)*2-1)))&amp;"")</f>
        <v/>
      </c>
      <c r="C6" s="26">
        <f>IF(計算用!$Z$6="","",IF(計算用!$U$24,IF(計算用!$Z$6="A",INDEX(手直し!$B$6:$E$42,計算用!$AC$6,MOD(1-計算用!$AA$6+1,4)+1),INDEX(手直し!$G$6:$J$42,計算用!$AC$6,MOD(1-計算用!$AA$6+1,4)+1)),IF(計算用!$Z$6="A",INDEX(組分け!$B$5:$I$41,計算用!$AC$6,(MOD(1-計算用!$AA$6+1,4)+1)*2-1),INDEX(組分け!$L$5:$S$41,計算用!$AC$6,(MOD(1-計算用!$AA$6+1,4)+1)*2-1)))&amp;"")</f>
        <v/>
      </c>
      <c r="D6" s="26">
        <f>IF(計算用!$Z$6="","",IF(計算用!$U$24,IF(計算用!$Z$6="A",INDEX(手直し!$B$6:$E$42,計算用!$AC$6,MOD(2-計算用!$AA$6+1,4)+1),INDEX(手直し!$G$6:$J$42,計算用!$AC$6,MOD(2-計算用!$AA$6+1,4)+1)),IF(計算用!$Z$6="A",INDEX(組分け!$B$5:$I$41,計算用!$AC$6,(MOD(2-計算用!$AA$6+1,4)+1)*2-1),INDEX(組分け!$L$5:$S$41,計算用!$AC$6,(MOD(2-計算用!$AA$6+1,4)+1)*2-1)))&amp;"")</f>
        <v/>
      </c>
      <c r="E6" s="26">
        <f>IF(計算用!$Z$6="","",IF(計算用!$U$24,IF(計算用!$Z$6="A",INDEX(手直し!$B$6:$E$42,計算用!$AC$6,MOD(3-計算用!$AA$6+1,4)+1),INDEX(手直し!$G$6:$J$42,計算用!$AC$6,MOD(3-計算用!$AA$6+1,4)+1)),IF(計算用!$Z$6="A",INDEX(組分け!$B$5:$I$41,計算用!$AC$6,(MOD(3-計算用!$AA$6+1,4)+1)*2-1),INDEX(組分け!$L$5:$S$41,計算用!$AC$6,(MOD(3-計算用!$AA$6+1,4)+1)*2-1)))&amp;"")</f>
        <v/>
      </c>
    </row>
    <row r="7" ht="27.75" customHeight="1">
      <c r="A7" s="25">
        <f>計算用!$AD$7</f>
        <v/>
      </c>
      <c r="B7" s="26">
        <f>IF(計算用!$Z$7="","",IF(計算用!$U$24,IF(計算用!$Z$7="A",INDEX(手直し!$B$6:$E$42,計算用!$AC$7,MOD(0-計算用!$AA$7+1,4)+1),INDEX(手直し!$G$6:$J$42,計算用!$AC$7,MOD(0-計算用!$AA$7+1,4)+1)),IF(計算用!$Z$7="A",INDEX(組分け!$B$5:$I$41,計算用!$AC$7,(MOD(0-計算用!$AA$7+1,4)+1)*2-1),INDEX(組分け!$L$5:$S$41,計算用!$AC$7,(MOD(0-計算用!$AA$7+1,4)+1)*2-1)))&amp;"")</f>
        <v/>
      </c>
      <c r="C7" s="26">
        <f>IF(計算用!$Z$7="","",IF(計算用!$U$24,IF(計算用!$Z$7="A",INDEX(手直し!$B$6:$E$42,計算用!$AC$7,MOD(1-計算用!$AA$7+1,4)+1),INDEX(手直し!$G$6:$J$42,計算用!$AC$7,MOD(1-計算用!$AA$7+1,4)+1)),IF(計算用!$Z$7="A",INDEX(組分け!$B$5:$I$41,計算用!$AC$7,(MOD(1-計算用!$AA$7+1,4)+1)*2-1),INDEX(組分け!$L$5:$S$41,計算用!$AC$7,(MOD(1-計算用!$AA$7+1,4)+1)*2-1)))&amp;"")</f>
        <v/>
      </c>
      <c r="D7" s="26">
        <f>IF(計算用!$Z$7="","",IF(計算用!$U$24,IF(計算用!$Z$7="A",INDEX(手直し!$B$6:$E$42,計算用!$AC$7,MOD(2-計算用!$AA$7+1,4)+1),INDEX(手直し!$G$6:$J$42,計算用!$AC$7,MOD(2-計算用!$AA$7+1,4)+1)),IF(計算用!$Z$7="A",INDEX(組分け!$B$5:$I$41,計算用!$AC$7,(MOD(2-計算用!$AA$7+1,4)+1)*2-1),INDEX(組分け!$L$5:$S$41,計算用!$AC$7,(MOD(2-計算用!$AA$7+1,4)+1)*2-1)))&amp;"")</f>
        <v/>
      </c>
      <c r="E7" s="26">
        <f>IF(計算用!$Z$7="","",IF(計算用!$U$24,IF(計算用!$Z$7="A",INDEX(手直し!$B$6:$E$42,計算用!$AC$7,MOD(3-計算用!$AA$7+1,4)+1),INDEX(手直し!$G$6:$J$42,計算用!$AC$7,MOD(3-計算用!$AA$7+1,4)+1)),IF(計算用!$Z$7="A",INDEX(組分け!$B$5:$I$41,計算用!$AC$7,(MOD(3-計算用!$AA$7+1,4)+1)*2-1),INDEX(組分け!$L$5:$S$41,計算用!$AC$7,(MOD(3-計算用!$AA$7+1,4)+1)*2-1)))&amp;"")</f>
        <v/>
      </c>
    </row>
    <row r="8" ht="27.75" customHeight="1">
      <c r="A8" s="25">
        <f>計算用!$AD$8</f>
        <v/>
      </c>
      <c r="B8" s="26">
        <f>IF(計算用!$Z$8="","",IF(計算用!$U$24,IF(計算用!$Z$8="A",INDEX(手直し!$B$6:$E$42,計算用!$AC$8,MOD(0-計算用!$AA$8+1,4)+1),INDEX(手直し!$G$6:$J$42,計算用!$AC$8,MOD(0-計算用!$AA$8+1,4)+1)),IF(計算用!$Z$8="A",INDEX(組分け!$B$5:$I$41,計算用!$AC$8,(MOD(0-計算用!$AA$8+1,4)+1)*2-1),INDEX(組分け!$L$5:$S$41,計算用!$AC$8,(MOD(0-計算用!$AA$8+1,4)+1)*2-1)))&amp;"")</f>
        <v/>
      </c>
      <c r="C8" s="26">
        <f>IF(計算用!$Z$8="","",IF(計算用!$U$24,IF(計算用!$Z$8="A",INDEX(手直し!$B$6:$E$42,計算用!$AC$8,MOD(1-計算用!$AA$8+1,4)+1),INDEX(手直し!$G$6:$J$42,計算用!$AC$8,MOD(1-計算用!$AA$8+1,4)+1)),IF(計算用!$Z$8="A",INDEX(組分け!$B$5:$I$41,計算用!$AC$8,(MOD(1-計算用!$AA$8+1,4)+1)*2-1),INDEX(組分け!$L$5:$S$41,計算用!$AC$8,(MOD(1-計算用!$AA$8+1,4)+1)*2-1)))&amp;"")</f>
        <v/>
      </c>
      <c r="D8" s="26">
        <f>IF(計算用!$Z$8="","",IF(計算用!$U$24,IF(計算用!$Z$8="A",INDEX(手直し!$B$6:$E$42,計算用!$AC$8,MOD(2-計算用!$AA$8+1,4)+1),INDEX(手直し!$G$6:$J$42,計算用!$AC$8,MOD(2-計算用!$AA$8+1,4)+1)),IF(計算用!$Z$8="A",INDEX(組分け!$B$5:$I$41,計算用!$AC$8,(MOD(2-計算用!$AA$8+1,4)+1)*2-1),INDEX(組分け!$L$5:$S$41,計算用!$AC$8,(MOD(2-計算用!$AA$8+1,4)+1)*2-1)))&amp;"")</f>
        <v/>
      </c>
      <c r="E8" s="26">
        <f>IF(計算用!$Z$8="","",IF(計算用!$U$24,IF(計算用!$Z$8="A",INDEX(手直し!$B$6:$E$42,計算用!$AC$8,MOD(3-計算用!$AA$8+1,4)+1),INDEX(手直し!$G$6:$J$42,計算用!$AC$8,MOD(3-計算用!$AA$8+1,4)+1)),IF(計算用!$Z$8="A",INDEX(組分け!$B$5:$I$41,計算用!$AC$8,(MOD(3-計算用!$AA$8+1,4)+1)*2-1),INDEX(組分け!$L$5:$S$41,計算用!$AC$8,(MOD(3-計算用!$AA$8+1,4)+1)*2-1)))&amp;"")</f>
        <v/>
      </c>
    </row>
    <row r="9" ht="27.75" customHeight="1">
      <c r="A9" s="25">
        <f>計算用!$AD$9</f>
        <v/>
      </c>
      <c r="B9" s="26">
        <f>IF(計算用!$Z$9="","",IF(計算用!$U$24,IF(計算用!$Z$9="A",INDEX(手直し!$B$6:$E$42,計算用!$AC$9,MOD(0-計算用!$AA$9+1,4)+1),INDEX(手直し!$G$6:$J$42,計算用!$AC$9,MOD(0-計算用!$AA$9+1,4)+1)),IF(計算用!$Z$9="A",INDEX(組分け!$B$5:$I$41,計算用!$AC$9,(MOD(0-計算用!$AA$9+1,4)+1)*2-1),INDEX(組分け!$L$5:$S$41,計算用!$AC$9,(MOD(0-計算用!$AA$9+1,4)+1)*2-1)))&amp;"")</f>
        <v/>
      </c>
      <c r="C9" s="26">
        <f>IF(計算用!$Z$9="","",IF(計算用!$U$24,IF(計算用!$Z$9="A",INDEX(手直し!$B$6:$E$42,計算用!$AC$9,MOD(1-計算用!$AA$9+1,4)+1),INDEX(手直し!$G$6:$J$42,計算用!$AC$9,MOD(1-計算用!$AA$9+1,4)+1)),IF(計算用!$Z$9="A",INDEX(組分け!$B$5:$I$41,計算用!$AC$9,(MOD(1-計算用!$AA$9+1,4)+1)*2-1),INDEX(組分け!$L$5:$S$41,計算用!$AC$9,(MOD(1-計算用!$AA$9+1,4)+1)*2-1)))&amp;"")</f>
        <v/>
      </c>
      <c r="D9" s="26">
        <f>IF(計算用!$Z$9="","",IF(計算用!$U$24,IF(計算用!$Z$9="A",INDEX(手直し!$B$6:$E$42,計算用!$AC$9,MOD(2-計算用!$AA$9+1,4)+1),INDEX(手直し!$G$6:$J$42,計算用!$AC$9,MOD(2-計算用!$AA$9+1,4)+1)),IF(計算用!$Z$9="A",INDEX(組分け!$B$5:$I$41,計算用!$AC$9,(MOD(2-計算用!$AA$9+1,4)+1)*2-1),INDEX(組分け!$L$5:$S$41,計算用!$AC$9,(MOD(2-計算用!$AA$9+1,4)+1)*2-1)))&amp;"")</f>
        <v/>
      </c>
      <c r="E9" s="26">
        <f>IF(計算用!$Z$9="","",IF(計算用!$U$24,IF(計算用!$Z$9="A",INDEX(手直し!$B$6:$E$42,計算用!$AC$9,MOD(3-計算用!$AA$9+1,4)+1),INDEX(手直し!$G$6:$J$42,計算用!$AC$9,MOD(3-計算用!$AA$9+1,4)+1)),IF(計算用!$Z$9="A",INDEX(組分け!$B$5:$I$41,計算用!$AC$9,(MOD(3-計算用!$AA$9+1,4)+1)*2-1),INDEX(組分け!$L$5:$S$41,計算用!$AC$9,(MOD(3-計算用!$AA$9+1,4)+1)*2-1)))&amp;"")</f>
        <v/>
      </c>
    </row>
    <row r="10" ht="27.75" customHeight="1">
      <c r="A10" s="25">
        <f>計算用!$AD$10</f>
        <v/>
      </c>
      <c r="B10" s="26">
        <f>IF(計算用!$Z$10="","",IF(計算用!$U$24,IF(計算用!$Z$10="A",INDEX(手直し!$B$6:$E$42,計算用!$AC$10,MOD(0-計算用!$AA$10+1,4)+1),INDEX(手直し!$G$6:$J$42,計算用!$AC$10,MOD(0-計算用!$AA$10+1,4)+1)),IF(計算用!$Z$10="A",INDEX(組分け!$B$5:$I$41,計算用!$AC$10,(MOD(0-計算用!$AA$10+1,4)+1)*2-1),INDEX(組分け!$L$5:$S$41,計算用!$AC$10,(MOD(0-計算用!$AA$10+1,4)+1)*2-1)))&amp;"")</f>
        <v/>
      </c>
      <c r="C10" s="26">
        <f>IF(計算用!$Z$10="","",IF(計算用!$U$24,IF(計算用!$Z$10="A",INDEX(手直し!$B$6:$E$42,計算用!$AC$10,MOD(1-計算用!$AA$10+1,4)+1),INDEX(手直し!$G$6:$J$42,計算用!$AC$10,MOD(1-計算用!$AA$10+1,4)+1)),IF(計算用!$Z$10="A",INDEX(組分け!$B$5:$I$41,計算用!$AC$10,(MOD(1-計算用!$AA$10+1,4)+1)*2-1),INDEX(組分け!$L$5:$S$41,計算用!$AC$10,(MOD(1-計算用!$AA$10+1,4)+1)*2-1)))&amp;"")</f>
        <v/>
      </c>
      <c r="D10" s="26">
        <f>IF(計算用!$Z$10="","",IF(計算用!$U$24,IF(計算用!$Z$10="A",INDEX(手直し!$B$6:$E$42,計算用!$AC$10,MOD(2-計算用!$AA$10+1,4)+1),INDEX(手直し!$G$6:$J$42,計算用!$AC$10,MOD(2-計算用!$AA$10+1,4)+1)),IF(計算用!$Z$10="A",INDEX(組分け!$B$5:$I$41,計算用!$AC$10,(MOD(2-計算用!$AA$10+1,4)+1)*2-1),INDEX(組分け!$L$5:$S$41,計算用!$AC$10,(MOD(2-計算用!$AA$10+1,4)+1)*2-1)))&amp;"")</f>
        <v/>
      </c>
      <c r="E10" s="26">
        <f>IF(計算用!$Z$10="","",IF(計算用!$U$24,IF(計算用!$Z$10="A",INDEX(手直し!$B$6:$E$42,計算用!$AC$10,MOD(3-計算用!$AA$10+1,4)+1),INDEX(手直し!$G$6:$J$42,計算用!$AC$10,MOD(3-計算用!$AA$10+1,4)+1)),IF(計算用!$Z$10="A",INDEX(組分け!$B$5:$I$41,計算用!$AC$10,(MOD(3-計算用!$AA$10+1,4)+1)*2-1),INDEX(組分け!$L$5:$S$41,計算用!$AC$10,(MOD(3-計算用!$AA$10+1,4)+1)*2-1)))&amp;"")</f>
        <v/>
      </c>
    </row>
    <row r="11" ht="27.75" customHeight="1">
      <c r="A11" s="25">
        <f>計算用!$AD$11</f>
        <v/>
      </c>
      <c r="B11" s="26">
        <f>IF(計算用!$Z$11="","",IF(計算用!$U$24,IF(計算用!$Z$11="A",INDEX(手直し!$B$6:$E$42,計算用!$AC$11,MOD(0-計算用!$AA$11+1,4)+1),INDEX(手直し!$G$6:$J$42,計算用!$AC$11,MOD(0-計算用!$AA$11+1,4)+1)),IF(計算用!$Z$11="A",INDEX(組分け!$B$5:$I$41,計算用!$AC$11,(MOD(0-計算用!$AA$11+1,4)+1)*2-1),INDEX(組分け!$L$5:$S$41,計算用!$AC$11,(MOD(0-計算用!$AA$11+1,4)+1)*2-1)))&amp;"")</f>
        <v/>
      </c>
      <c r="C11" s="26">
        <f>IF(計算用!$Z$11="","",IF(計算用!$U$24,IF(計算用!$Z$11="A",INDEX(手直し!$B$6:$E$42,計算用!$AC$11,MOD(1-計算用!$AA$11+1,4)+1),INDEX(手直し!$G$6:$J$42,計算用!$AC$11,MOD(1-計算用!$AA$11+1,4)+1)),IF(計算用!$Z$11="A",INDEX(組分け!$B$5:$I$41,計算用!$AC$11,(MOD(1-計算用!$AA$11+1,4)+1)*2-1),INDEX(組分け!$L$5:$S$41,計算用!$AC$11,(MOD(1-計算用!$AA$11+1,4)+1)*2-1)))&amp;"")</f>
        <v/>
      </c>
      <c r="D11" s="26">
        <f>IF(計算用!$Z$11="","",IF(計算用!$U$24,IF(計算用!$Z$11="A",INDEX(手直し!$B$6:$E$42,計算用!$AC$11,MOD(2-計算用!$AA$11+1,4)+1),INDEX(手直し!$G$6:$J$42,計算用!$AC$11,MOD(2-計算用!$AA$11+1,4)+1)),IF(計算用!$Z$11="A",INDEX(組分け!$B$5:$I$41,計算用!$AC$11,(MOD(2-計算用!$AA$11+1,4)+1)*2-1),INDEX(組分け!$L$5:$S$41,計算用!$AC$11,(MOD(2-計算用!$AA$11+1,4)+1)*2-1)))&amp;"")</f>
        <v/>
      </c>
      <c r="E11" s="26">
        <f>IF(計算用!$Z$11="","",IF(計算用!$U$24,IF(計算用!$Z$11="A",INDEX(手直し!$B$6:$E$42,計算用!$AC$11,MOD(3-計算用!$AA$11+1,4)+1),INDEX(手直し!$G$6:$J$42,計算用!$AC$11,MOD(3-計算用!$AA$11+1,4)+1)),IF(計算用!$Z$11="A",INDEX(組分け!$B$5:$I$41,計算用!$AC$11,(MOD(3-計算用!$AA$11+1,4)+1)*2-1),INDEX(組分け!$L$5:$S$41,計算用!$AC$11,(MOD(3-計算用!$AA$11+1,4)+1)*2-1)))&amp;"")</f>
        <v/>
      </c>
    </row>
    <row r="12" ht="27.75" customHeight="1">
      <c r="A12" s="25">
        <f>計算用!$AD$12</f>
        <v/>
      </c>
      <c r="B12" s="26">
        <f>IF(計算用!$Z$12="","",IF(計算用!$U$24,IF(計算用!$Z$12="A",INDEX(手直し!$B$6:$E$42,計算用!$AC$12,MOD(0-計算用!$AA$12+1,4)+1),INDEX(手直し!$G$6:$J$42,計算用!$AC$12,MOD(0-計算用!$AA$12+1,4)+1)),IF(計算用!$Z$12="A",INDEX(組分け!$B$5:$I$41,計算用!$AC$12,(MOD(0-計算用!$AA$12+1,4)+1)*2-1),INDEX(組分け!$L$5:$S$41,計算用!$AC$12,(MOD(0-計算用!$AA$12+1,4)+1)*2-1)))&amp;"")</f>
        <v/>
      </c>
      <c r="C12" s="26">
        <f>IF(計算用!$Z$12="","",IF(計算用!$U$24,IF(計算用!$Z$12="A",INDEX(手直し!$B$6:$E$42,計算用!$AC$12,MOD(1-計算用!$AA$12+1,4)+1),INDEX(手直し!$G$6:$J$42,計算用!$AC$12,MOD(1-計算用!$AA$12+1,4)+1)),IF(計算用!$Z$12="A",INDEX(組分け!$B$5:$I$41,計算用!$AC$12,(MOD(1-計算用!$AA$12+1,4)+1)*2-1),INDEX(組分け!$L$5:$S$41,計算用!$AC$12,(MOD(1-計算用!$AA$12+1,4)+1)*2-1)))&amp;"")</f>
        <v/>
      </c>
      <c r="D12" s="26">
        <f>IF(計算用!$Z$12="","",IF(計算用!$U$24,IF(計算用!$Z$12="A",INDEX(手直し!$B$6:$E$42,計算用!$AC$12,MOD(2-計算用!$AA$12+1,4)+1),INDEX(手直し!$G$6:$J$42,計算用!$AC$12,MOD(2-計算用!$AA$12+1,4)+1)),IF(計算用!$Z$12="A",INDEX(組分け!$B$5:$I$41,計算用!$AC$12,(MOD(2-計算用!$AA$12+1,4)+1)*2-1),INDEX(組分け!$L$5:$S$41,計算用!$AC$12,(MOD(2-計算用!$AA$12+1,4)+1)*2-1)))&amp;"")</f>
        <v/>
      </c>
      <c r="E12" s="26">
        <f>IF(計算用!$Z$12="","",IF(計算用!$U$24,IF(計算用!$Z$12="A",INDEX(手直し!$B$6:$E$42,計算用!$AC$12,MOD(3-計算用!$AA$12+1,4)+1),INDEX(手直し!$G$6:$J$42,計算用!$AC$12,MOD(3-計算用!$AA$12+1,4)+1)),IF(計算用!$Z$12="A",INDEX(組分け!$B$5:$I$41,計算用!$AC$12,(MOD(3-計算用!$AA$12+1,4)+1)*2-1),INDEX(組分け!$L$5:$S$41,計算用!$AC$12,(MOD(3-計算用!$AA$12+1,4)+1)*2-1)))&amp;"")</f>
        <v/>
      </c>
    </row>
    <row r="13" ht="27.75" customHeight="1">
      <c r="A13" s="25">
        <f>計算用!$AD$13</f>
        <v/>
      </c>
      <c r="B13" s="26">
        <f>IF(計算用!$Z$13="","",IF(計算用!$U$24,IF(計算用!$Z$13="A",INDEX(手直し!$B$6:$E$42,計算用!$AC$13,MOD(0-計算用!$AA$13+1,4)+1),INDEX(手直し!$G$6:$J$42,計算用!$AC$13,MOD(0-計算用!$AA$13+1,4)+1)),IF(計算用!$Z$13="A",INDEX(組分け!$B$5:$I$41,計算用!$AC$13,(MOD(0-計算用!$AA$13+1,4)+1)*2-1),INDEX(組分け!$L$5:$S$41,計算用!$AC$13,(MOD(0-計算用!$AA$13+1,4)+1)*2-1)))&amp;"")</f>
        <v/>
      </c>
      <c r="C13" s="26">
        <f>IF(計算用!$Z$13="","",IF(計算用!$U$24,IF(計算用!$Z$13="A",INDEX(手直し!$B$6:$E$42,計算用!$AC$13,MOD(1-計算用!$AA$13+1,4)+1),INDEX(手直し!$G$6:$J$42,計算用!$AC$13,MOD(1-計算用!$AA$13+1,4)+1)),IF(計算用!$Z$13="A",INDEX(組分け!$B$5:$I$41,計算用!$AC$13,(MOD(1-計算用!$AA$13+1,4)+1)*2-1),INDEX(組分け!$L$5:$S$41,計算用!$AC$13,(MOD(1-計算用!$AA$13+1,4)+1)*2-1)))&amp;"")</f>
        <v/>
      </c>
      <c r="D13" s="26">
        <f>IF(計算用!$Z$13="","",IF(計算用!$U$24,IF(計算用!$Z$13="A",INDEX(手直し!$B$6:$E$42,計算用!$AC$13,MOD(2-計算用!$AA$13+1,4)+1),INDEX(手直し!$G$6:$J$42,計算用!$AC$13,MOD(2-計算用!$AA$13+1,4)+1)),IF(計算用!$Z$13="A",INDEX(組分け!$B$5:$I$41,計算用!$AC$13,(MOD(2-計算用!$AA$13+1,4)+1)*2-1),INDEX(組分け!$L$5:$S$41,計算用!$AC$13,(MOD(2-計算用!$AA$13+1,4)+1)*2-1)))&amp;"")</f>
        <v/>
      </c>
      <c r="E13" s="26">
        <f>IF(計算用!$Z$13="","",IF(計算用!$U$24,IF(計算用!$Z$13="A",INDEX(手直し!$B$6:$E$42,計算用!$AC$13,MOD(3-計算用!$AA$13+1,4)+1),INDEX(手直し!$G$6:$J$42,計算用!$AC$13,MOD(3-計算用!$AA$13+1,4)+1)),IF(計算用!$Z$13="A",INDEX(組分け!$B$5:$I$41,計算用!$AC$13,(MOD(3-計算用!$AA$13+1,4)+1)*2-1),INDEX(組分け!$L$5:$S$41,計算用!$AC$13,(MOD(3-計算用!$AA$13+1,4)+1)*2-1)))&amp;"")</f>
        <v/>
      </c>
    </row>
    <row r="14" ht="27.75" customHeight="1">
      <c r="A14" s="25">
        <f>計算用!$AD$14</f>
        <v/>
      </c>
      <c r="B14" s="26">
        <f>IF(計算用!$Z$14="","",IF(計算用!$U$24,IF(計算用!$Z$14="A",INDEX(手直し!$B$6:$E$42,計算用!$AC$14,MOD(0-計算用!$AA$14+1,4)+1),INDEX(手直し!$G$6:$J$42,計算用!$AC$14,MOD(0-計算用!$AA$14+1,4)+1)),IF(計算用!$Z$14="A",INDEX(組分け!$B$5:$I$41,計算用!$AC$14,(MOD(0-計算用!$AA$14+1,4)+1)*2-1),INDEX(組分け!$L$5:$S$41,計算用!$AC$14,(MOD(0-計算用!$AA$14+1,4)+1)*2-1)))&amp;"")</f>
        <v/>
      </c>
      <c r="C14" s="26">
        <f>IF(計算用!$Z$14="","",IF(計算用!$U$24,IF(計算用!$Z$14="A",INDEX(手直し!$B$6:$E$42,計算用!$AC$14,MOD(1-計算用!$AA$14+1,4)+1),INDEX(手直し!$G$6:$J$42,計算用!$AC$14,MOD(1-計算用!$AA$14+1,4)+1)),IF(計算用!$Z$14="A",INDEX(組分け!$B$5:$I$41,計算用!$AC$14,(MOD(1-計算用!$AA$14+1,4)+1)*2-1),INDEX(組分け!$L$5:$S$41,計算用!$AC$14,(MOD(1-計算用!$AA$14+1,4)+1)*2-1)))&amp;"")</f>
        <v/>
      </c>
      <c r="D14" s="26">
        <f>IF(計算用!$Z$14="","",IF(計算用!$U$24,IF(計算用!$Z$14="A",INDEX(手直し!$B$6:$E$42,計算用!$AC$14,MOD(2-計算用!$AA$14+1,4)+1),INDEX(手直し!$G$6:$J$42,計算用!$AC$14,MOD(2-計算用!$AA$14+1,4)+1)),IF(計算用!$Z$14="A",INDEX(組分け!$B$5:$I$41,計算用!$AC$14,(MOD(2-計算用!$AA$14+1,4)+1)*2-1),INDEX(組分け!$L$5:$S$41,計算用!$AC$14,(MOD(2-計算用!$AA$14+1,4)+1)*2-1)))&amp;"")</f>
        <v/>
      </c>
      <c r="E14" s="26">
        <f>IF(計算用!$Z$14="","",IF(計算用!$U$24,IF(計算用!$Z$14="A",INDEX(手直し!$B$6:$E$42,計算用!$AC$14,MOD(3-計算用!$AA$14+1,4)+1),INDEX(手直し!$G$6:$J$42,計算用!$AC$14,MOD(3-計算用!$AA$14+1,4)+1)),IF(計算用!$Z$14="A",INDEX(組分け!$B$5:$I$41,計算用!$AC$14,(MOD(3-計算用!$AA$14+1,4)+1)*2-1),INDEX(組分け!$L$5:$S$41,計算用!$AC$14,(MOD(3-計算用!$AA$14+1,4)+1)*2-1)))&amp;"")</f>
        <v/>
      </c>
    </row>
    <row r="15" ht="27.75" customHeight="1">
      <c r="A15" s="25">
        <f>計算用!$AD$15</f>
        <v/>
      </c>
      <c r="B15" s="26">
        <f>IF(計算用!$Z$15="","",IF(計算用!$U$24,IF(計算用!$Z$15="A",INDEX(手直し!$B$6:$E$42,計算用!$AC$15,MOD(0-計算用!$AA$15+1,4)+1),INDEX(手直し!$G$6:$J$42,計算用!$AC$15,MOD(0-計算用!$AA$15+1,4)+1)),IF(計算用!$Z$15="A",INDEX(組分け!$B$5:$I$41,計算用!$AC$15,(MOD(0-計算用!$AA$15+1,4)+1)*2-1),INDEX(組分け!$L$5:$S$41,計算用!$AC$15,(MOD(0-計算用!$AA$15+1,4)+1)*2-1)))&amp;"")</f>
        <v/>
      </c>
      <c r="C15" s="26">
        <f>IF(計算用!$Z$15="","",IF(計算用!$U$24,IF(計算用!$Z$15="A",INDEX(手直し!$B$6:$E$42,計算用!$AC$15,MOD(1-計算用!$AA$15+1,4)+1),INDEX(手直し!$G$6:$J$42,計算用!$AC$15,MOD(1-計算用!$AA$15+1,4)+1)),IF(計算用!$Z$15="A",INDEX(組分け!$B$5:$I$41,計算用!$AC$15,(MOD(1-計算用!$AA$15+1,4)+1)*2-1),INDEX(組分け!$L$5:$S$41,計算用!$AC$15,(MOD(1-計算用!$AA$15+1,4)+1)*2-1)))&amp;"")</f>
        <v/>
      </c>
      <c r="D15" s="26">
        <f>IF(計算用!$Z$15="","",IF(計算用!$U$24,IF(計算用!$Z$15="A",INDEX(手直し!$B$6:$E$42,計算用!$AC$15,MOD(2-計算用!$AA$15+1,4)+1),INDEX(手直し!$G$6:$J$42,計算用!$AC$15,MOD(2-計算用!$AA$15+1,4)+1)),IF(計算用!$Z$15="A",INDEX(組分け!$B$5:$I$41,計算用!$AC$15,(MOD(2-計算用!$AA$15+1,4)+1)*2-1),INDEX(組分け!$L$5:$S$41,計算用!$AC$15,(MOD(2-計算用!$AA$15+1,4)+1)*2-1)))&amp;"")</f>
        <v/>
      </c>
      <c r="E15" s="26">
        <f>IF(計算用!$Z$15="","",IF(計算用!$U$24,IF(計算用!$Z$15="A",INDEX(手直し!$B$6:$E$42,計算用!$AC$15,MOD(3-計算用!$AA$15+1,4)+1),INDEX(手直し!$G$6:$J$42,計算用!$AC$15,MOD(3-計算用!$AA$15+1,4)+1)),IF(計算用!$Z$15="A",INDEX(組分け!$B$5:$I$41,計算用!$AC$15,(MOD(3-計算用!$AA$15+1,4)+1)*2-1),INDEX(組分け!$L$5:$S$41,計算用!$AC$15,(MOD(3-計算用!$AA$15+1,4)+1)*2-1)))&amp;"")</f>
        <v/>
      </c>
    </row>
    <row r="16" ht="27.75" customHeight="1">
      <c r="A16" s="25">
        <f>計算用!$AD$16</f>
        <v/>
      </c>
      <c r="B16" s="26">
        <f>IF(計算用!$Z$16="","",IF(計算用!$U$24,IF(計算用!$Z$16="A",INDEX(手直し!$B$6:$E$42,計算用!$AC$16,MOD(0-計算用!$AA$16+1,4)+1),INDEX(手直し!$G$6:$J$42,計算用!$AC$16,MOD(0-計算用!$AA$16+1,4)+1)),IF(計算用!$Z$16="A",INDEX(組分け!$B$5:$I$41,計算用!$AC$16,(MOD(0-計算用!$AA$16+1,4)+1)*2-1),INDEX(組分け!$L$5:$S$41,計算用!$AC$16,(MOD(0-計算用!$AA$16+1,4)+1)*2-1)))&amp;"")</f>
        <v/>
      </c>
      <c r="C16" s="26">
        <f>IF(計算用!$Z$16="","",IF(計算用!$U$24,IF(計算用!$Z$16="A",INDEX(手直し!$B$6:$E$42,計算用!$AC$16,MOD(1-計算用!$AA$16+1,4)+1),INDEX(手直し!$G$6:$J$42,計算用!$AC$16,MOD(1-計算用!$AA$16+1,4)+1)),IF(計算用!$Z$16="A",INDEX(組分け!$B$5:$I$41,計算用!$AC$16,(MOD(1-計算用!$AA$16+1,4)+1)*2-1),INDEX(組分け!$L$5:$S$41,計算用!$AC$16,(MOD(1-計算用!$AA$16+1,4)+1)*2-1)))&amp;"")</f>
        <v/>
      </c>
      <c r="D16" s="26">
        <f>IF(計算用!$Z$16="","",IF(計算用!$U$24,IF(計算用!$Z$16="A",INDEX(手直し!$B$6:$E$42,計算用!$AC$16,MOD(2-計算用!$AA$16+1,4)+1),INDEX(手直し!$G$6:$J$42,計算用!$AC$16,MOD(2-計算用!$AA$16+1,4)+1)),IF(計算用!$Z$16="A",INDEX(組分け!$B$5:$I$41,計算用!$AC$16,(MOD(2-計算用!$AA$16+1,4)+1)*2-1),INDEX(組分け!$L$5:$S$41,計算用!$AC$16,(MOD(2-計算用!$AA$16+1,4)+1)*2-1)))&amp;"")</f>
        <v/>
      </c>
      <c r="E16" s="26">
        <f>IF(計算用!$Z$16="","",IF(計算用!$U$24,IF(計算用!$Z$16="A",INDEX(手直し!$B$6:$E$42,計算用!$AC$16,MOD(3-計算用!$AA$16+1,4)+1),INDEX(手直し!$G$6:$J$42,計算用!$AC$16,MOD(3-計算用!$AA$16+1,4)+1)),IF(計算用!$Z$16="A",INDEX(組分け!$B$5:$I$41,計算用!$AC$16,(MOD(3-計算用!$AA$16+1,4)+1)*2-1),INDEX(組分け!$L$5:$S$41,計算用!$AC$16,(MOD(3-計算用!$AA$16+1,4)+1)*2-1)))&amp;"")</f>
        <v/>
      </c>
    </row>
    <row r="17" ht="27.75" customHeight="1">
      <c r="A17" s="25">
        <f>計算用!$AD$17</f>
        <v/>
      </c>
      <c r="B17" s="26">
        <f>IF(計算用!$Z$17="","",IF(計算用!$U$24,IF(計算用!$Z$17="A",INDEX(手直し!$B$6:$E$42,計算用!$AC$17,MOD(0-計算用!$AA$17+1,4)+1),INDEX(手直し!$G$6:$J$42,計算用!$AC$17,MOD(0-計算用!$AA$17+1,4)+1)),IF(計算用!$Z$17="A",INDEX(組分け!$B$5:$I$41,計算用!$AC$17,(MOD(0-計算用!$AA$17+1,4)+1)*2-1),INDEX(組分け!$L$5:$S$41,計算用!$AC$17,(MOD(0-計算用!$AA$17+1,4)+1)*2-1)))&amp;"")</f>
        <v/>
      </c>
      <c r="C17" s="26">
        <f>IF(計算用!$Z$17="","",IF(計算用!$U$24,IF(計算用!$Z$17="A",INDEX(手直し!$B$6:$E$42,計算用!$AC$17,MOD(1-計算用!$AA$17+1,4)+1),INDEX(手直し!$G$6:$J$42,計算用!$AC$17,MOD(1-計算用!$AA$17+1,4)+1)),IF(計算用!$Z$17="A",INDEX(組分け!$B$5:$I$41,計算用!$AC$17,(MOD(1-計算用!$AA$17+1,4)+1)*2-1),INDEX(組分け!$L$5:$S$41,計算用!$AC$17,(MOD(1-計算用!$AA$17+1,4)+1)*2-1)))&amp;"")</f>
        <v/>
      </c>
      <c r="D17" s="26">
        <f>IF(計算用!$Z$17="","",IF(計算用!$U$24,IF(計算用!$Z$17="A",INDEX(手直し!$B$6:$E$42,計算用!$AC$17,MOD(2-計算用!$AA$17+1,4)+1),INDEX(手直し!$G$6:$J$42,計算用!$AC$17,MOD(2-計算用!$AA$17+1,4)+1)),IF(計算用!$Z$17="A",INDEX(組分け!$B$5:$I$41,計算用!$AC$17,(MOD(2-計算用!$AA$17+1,4)+1)*2-1),INDEX(組分け!$L$5:$S$41,計算用!$AC$17,(MOD(2-計算用!$AA$17+1,4)+1)*2-1)))&amp;"")</f>
        <v/>
      </c>
      <c r="E17" s="26">
        <f>IF(計算用!$Z$17="","",IF(計算用!$U$24,IF(計算用!$Z$17="A",INDEX(手直し!$B$6:$E$42,計算用!$AC$17,MOD(3-計算用!$AA$17+1,4)+1),INDEX(手直し!$G$6:$J$42,計算用!$AC$17,MOD(3-計算用!$AA$17+1,4)+1)),IF(計算用!$Z$17="A",INDEX(組分け!$B$5:$I$41,計算用!$AC$17,(MOD(3-計算用!$AA$17+1,4)+1)*2-1),INDEX(組分け!$L$5:$S$41,計算用!$AC$17,(MOD(3-計算用!$AA$17+1,4)+1)*2-1)))&amp;"")</f>
        <v/>
      </c>
    </row>
    <row r="18" ht="27.75" customHeight="1">
      <c r="A18" s="25">
        <f>計算用!$AD$18</f>
        <v/>
      </c>
      <c r="B18" s="26">
        <f>IF(計算用!$Z$18="","",IF(計算用!$U$24,IF(計算用!$Z$18="A",INDEX(手直し!$B$6:$E$42,計算用!$AC$18,MOD(0-計算用!$AA$18+1,4)+1),INDEX(手直し!$G$6:$J$42,計算用!$AC$18,MOD(0-計算用!$AA$18+1,4)+1)),IF(計算用!$Z$18="A",INDEX(組分け!$B$5:$I$41,計算用!$AC$18,(MOD(0-計算用!$AA$18+1,4)+1)*2-1),INDEX(組分け!$L$5:$S$41,計算用!$AC$18,(MOD(0-計算用!$AA$18+1,4)+1)*2-1)))&amp;"")</f>
        <v/>
      </c>
      <c r="C18" s="26">
        <f>IF(計算用!$Z$18="","",IF(計算用!$U$24,IF(計算用!$Z$18="A",INDEX(手直し!$B$6:$E$42,計算用!$AC$18,MOD(1-計算用!$AA$18+1,4)+1),INDEX(手直し!$G$6:$J$42,計算用!$AC$18,MOD(1-計算用!$AA$18+1,4)+1)),IF(計算用!$Z$18="A",INDEX(組分け!$B$5:$I$41,計算用!$AC$18,(MOD(1-計算用!$AA$18+1,4)+1)*2-1),INDEX(組分け!$L$5:$S$41,計算用!$AC$18,(MOD(1-計算用!$AA$18+1,4)+1)*2-1)))&amp;"")</f>
        <v/>
      </c>
      <c r="D18" s="26">
        <f>IF(計算用!$Z$18="","",IF(計算用!$U$24,IF(計算用!$Z$18="A",INDEX(手直し!$B$6:$E$42,計算用!$AC$18,MOD(2-計算用!$AA$18+1,4)+1),INDEX(手直し!$G$6:$J$42,計算用!$AC$18,MOD(2-計算用!$AA$18+1,4)+1)),IF(計算用!$Z$18="A",INDEX(組分け!$B$5:$I$41,計算用!$AC$18,(MOD(2-計算用!$AA$18+1,4)+1)*2-1),INDEX(組分け!$L$5:$S$41,計算用!$AC$18,(MOD(2-計算用!$AA$18+1,4)+1)*2-1)))&amp;"")</f>
        <v/>
      </c>
      <c r="E18" s="26">
        <f>IF(計算用!$Z$18="","",IF(計算用!$U$24,IF(計算用!$Z$18="A",INDEX(手直し!$B$6:$E$42,計算用!$AC$18,MOD(3-計算用!$AA$18+1,4)+1),INDEX(手直し!$G$6:$J$42,計算用!$AC$18,MOD(3-計算用!$AA$18+1,4)+1)),IF(計算用!$Z$18="A",INDEX(組分け!$B$5:$I$41,計算用!$AC$18,(MOD(3-計算用!$AA$18+1,4)+1)*2-1),INDEX(組分け!$L$5:$S$41,計算用!$AC$18,(MOD(3-計算用!$AA$18+1,4)+1)*2-1)))&amp;"")</f>
        <v/>
      </c>
    </row>
    <row r="19" ht="27.75" customHeight="1">
      <c r="A19" s="25">
        <f>計算用!$AD$19</f>
        <v/>
      </c>
      <c r="B19" s="26">
        <f>IF(計算用!$Z$19="","",IF(計算用!$U$24,IF(計算用!$Z$19="A",INDEX(手直し!$B$6:$E$42,計算用!$AC$19,MOD(0-計算用!$AA$19+1,4)+1),INDEX(手直し!$G$6:$J$42,計算用!$AC$19,MOD(0-計算用!$AA$19+1,4)+1)),IF(計算用!$Z$19="A",INDEX(組分け!$B$5:$I$41,計算用!$AC$19,(MOD(0-計算用!$AA$19+1,4)+1)*2-1),INDEX(組分け!$L$5:$S$41,計算用!$AC$19,(MOD(0-計算用!$AA$19+1,4)+1)*2-1)))&amp;"")</f>
        <v/>
      </c>
      <c r="C19" s="26">
        <f>IF(計算用!$Z$19="","",IF(計算用!$U$24,IF(計算用!$Z$19="A",INDEX(手直し!$B$6:$E$42,計算用!$AC$19,MOD(1-計算用!$AA$19+1,4)+1),INDEX(手直し!$G$6:$J$42,計算用!$AC$19,MOD(1-計算用!$AA$19+1,4)+1)),IF(計算用!$Z$19="A",INDEX(組分け!$B$5:$I$41,計算用!$AC$19,(MOD(1-計算用!$AA$19+1,4)+1)*2-1),INDEX(組分け!$L$5:$S$41,計算用!$AC$19,(MOD(1-計算用!$AA$19+1,4)+1)*2-1)))&amp;"")</f>
        <v/>
      </c>
      <c r="D19" s="26">
        <f>IF(計算用!$Z$19="","",IF(計算用!$U$24,IF(計算用!$Z$19="A",INDEX(手直し!$B$6:$E$42,計算用!$AC$19,MOD(2-計算用!$AA$19+1,4)+1),INDEX(手直し!$G$6:$J$42,計算用!$AC$19,MOD(2-計算用!$AA$19+1,4)+1)),IF(計算用!$Z$19="A",INDEX(組分け!$B$5:$I$41,計算用!$AC$19,(MOD(2-計算用!$AA$19+1,4)+1)*2-1),INDEX(組分け!$L$5:$S$41,計算用!$AC$19,(MOD(2-計算用!$AA$19+1,4)+1)*2-1)))&amp;"")</f>
        <v/>
      </c>
      <c r="E19" s="26">
        <f>IF(計算用!$Z$19="","",IF(計算用!$U$24,IF(計算用!$Z$19="A",INDEX(手直し!$B$6:$E$42,計算用!$AC$19,MOD(3-計算用!$AA$19+1,4)+1),INDEX(手直し!$G$6:$J$42,計算用!$AC$19,MOD(3-計算用!$AA$19+1,4)+1)),IF(計算用!$Z$19="A",INDEX(組分け!$B$5:$I$41,計算用!$AC$19,(MOD(3-計算用!$AA$19+1,4)+1)*2-1),INDEX(組分け!$L$5:$S$41,計算用!$AC$19,(MOD(3-計算用!$AA$19+1,4)+1)*2-1)))&amp;"")</f>
        <v/>
      </c>
    </row>
    <row r="20" ht="27.75" customHeight="1">
      <c r="A20" s="25">
        <f>計算用!$AD$20</f>
        <v/>
      </c>
      <c r="B20" s="26">
        <f>IF(計算用!$Z$20="","",IF(計算用!$U$24,IF(計算用!$Z$20="A",INDEX(手直し!$B$6:$E$42,計算用!$AC$20,MOD(0-計算用!$AA$20+1,4)+1),INDEX(手直し!$G$6:$J$42,計算用!$AC$20,MOD(0-計算用!$AA$20+1,4)+1)),IF(計算用!$Z$20="A",INDEX(組分け!$B$5:$I$41,計算用!$AC$20,(MOD(0-計算用!$AA$20+1,4)+1)*2-1),INDEX(組分け!$L$5:$S$41,計算用!$AC$20,(MOD(0-計算用!$AA$20+1,4)+1)*2-1)))&amp;"")</f>
        <v/>
      </c>
      <c r="C20" s="26">
        <f>IF(計算用!$Z$20="","",IF(計算用!$U$24,IF(計算用!$Z$20="A",INDEX(手直し!$B$6:$E$42,計算用!$AC$20,MOD(1-計算用!$AA$20+1,4)+1),INDEX(手直し!$G$6:$J$42,計算用!$AC$20,MOD(1-計算用!$AA$20+1,4)+1)),IF(計算用!$Z$20="A",INDEX(組分け!$B$5:$I$41,計算用!$AC$20,(MOD(1-計算用!$AA$20+1,4)+1)*2-1),INDEX(組分け!$L$5:$S$41,計算用!$AC$20,(MOD(1-計算用!$AA$20+1,4)+1)*2-1)))&amp;"")</f>
        <v/>
      </c>
      <c r="D20" s="26">
        <f>IF(計算用!$Z$20="","",IF(計算用!$U$24,IF(計算用!$Z$20="A",INDEX(手直し!$B$6:$E$42,計算用!$AC$20,MOD(2-計算用!$AA$20+1,4)+1),INDEX(手直し!$G$6:$J$42,計算用!$AC$20,MOD(2-計算用!$AA$20+1,4)+1)),IF(計算用!$Z$20="A",INDEX(組分け!$B$5:$I$41,計算用!$AC$20,(MOD(2-計算用!$AA$20+1,4)+1)*2-1),INDEX(組分け!$L$5:$S$41,計算用!$AC$20,(MOD(2-計算用!$AA$20+1,4)+1)*2-1)))&amp;"")</f>
        <v/>
      </c>
      <c r="E20" s="26">
        <f>IF(計算用!$Z$20="","",IF(計算用!$U$24,IF(計算用!$Z$20="A",INDEX(手直し!$B$6:$E$42,計算用!$AC$20,MOD(3-計算用!$AA$20+1,4)+1),INDEX(手直し!$G$6:$J$42,計算用!$AC$20,MOD(3-計算用!$AA$20+1,4)+1)),IF(計算用!$Z$20="A",INDEX(組分け!$B$5:$I$41,計算用!$AC$20,(MOD(3-計算用!$AA$20+1,4)+1)*2-1),INDEX(組分け!$L$5:$S$41,計算用!$AC$20,(MOD(3-計算用!$AA$20+1,4)+1)*2-1)))&amp;"")</f>
        <v/>
      </c>
    </row>
    <row r="21" ht="27.75" customHeight="1">
      <c r="A21" s="25">
        <f>計算用!$AD$21</f>
        <v/>
      </c>
      <c r="B21" s="26">
        <f>IF(計算用!$Z$21="","",IF(計算用!$U$24,IF(計算用!$Z$21="A",INDEX(手直し!$B$6:$E$42,計算用!$AC$21,MOD(0-計算用!$AA$21+1,4)+1),INDEX(手直し!$G$6:$J$42,計算用!$AC$21,MOD(0-計算用!$AA$21+1,4)+1)),IF(計算用!$Z$21="A",INDEX(組分け!$B$5:$I$41,計算用!$AC$21,(MOD(0-計算用!$AA$21+1,4)+1)*2-1),INDEX(組分け!$L$5:$S$41,計算用!$AC$21,(MOD(0-計算用!$AA$21+1,4)+1)*2-1)))&amp;"")</f>
        <v/>
      </c>
      <c r="C21" s="26">
        <f>IF(計算用!$Z$21="","",IF(計算用!$U$24,IF(計算用!$Z$21="A",INDEX(手直し!$B$6:$E$42,計算用!$AC$21,MOD(1-計算用!$AA$21+1,4)+1),INDEX(手直し!$G$6:$J$42,計算用!$AC$21,MOD(1-計算用!$AA$21+1,4)+1)),IF(計算用!$Z$21="A",INDEX(組分け!$B$5:$I$41,計算用!$AC$21,(MOD(1-計算用!$AA$21+1,4)+1)*2-1),INDEX(組分け!$L$5:$S$41,計算用!$AC$21,(MOD(1-計算用!$AA$21+1,4)+1)*2-1)))&amp;"")</f>
        <v/>
      </c>
      <c r="D21" s="26">
        <f>IF(計算用!$Z$21="","",IF(計算用!$U$24,IF(計算用!$Z$21="A",INDEX(手直し!$B$6:$E$42,計算用!$AC$21,MOD(2-計算用!$AA$21+1,4)+1),INDEX(手直し!$G$6:$J$42,計算用!$AC$21,MOD(2-計算用!$AA$21+1,4)+1)),IF(計算用!$Z$21="A",INDEX(組分け!$B$5:$I$41,計算用!$AC$21,(MOD(2-計算用!$AA$21+1,4)+1)*2-1),INDEX(組分け!$L$5:$S$41,計算用!$AC$21,(MOD(2-計算用!$AA$21+1,4)+1)*2-1)))&amp;"")</f>
        <v/>
      </c>
      <c r="E21" s="26">
        <f>IF(計算用!$Z$21="","",IF(計算用!$U$24,IF(計算用!$Z$21="A",INDEX(手直し!$B$6:$E$42,計算用!$AC$21,MOD(3-計算用!$AA$21+1,4)+1),INDEX(手直し!$G$6:$J$42,計算用!$AC$21,MOD(3-計算用!$AA$21+1,4)+1)),IF(計算用!$Z$21="A",INDEX(組分け!$B$5:$I$41,計算用!$AC$21,(MOD(3-計算用!$AA$21+1,4)+1)*2-1),INDEX(組分け!$L$5:$S$41,計算用!$AC$21,(MOD(3-計算用!$AA$21+1,4)+1)*2-1)))&amp;"")</f>
        <v/>
      </c>
    </row>
    <row r="22" ht="27.75" customHeight="1">
      <c r="A22" s="25">
        <f>計算用!$AD$22</f>
        <v/>
      </c>
      <c r="B22" s="26">
        <f>IF(計算用!$Z$22="","",IF(計算用!$U$24,IF(計算用!$Z$22="A",INDEX(手直し!$B$6:$E$42,計算用!$AC$22,MOD(0-計算用!$AA$22+1,4)+1),INDEX(手直し!$G$6:$J$42,計算用!$AC$22,MOD(0-計算用!$AA$22+1,4)+1)),IF(計算用!$Z$22="A",INDEX(組分け!$B$5:$I$41,計算用!$AC$22,(MOD(0-計算用!$AA$22+1,4)+1)*2-1),INDEX(組分け!$L$5:$S$41,計算用!$AC$22,(MOD(0-計算用!$AA$22+1,4)+1)*2-1)))&amp;"")</f>
        <v/>
      </c>
      <c r="C22" s="26">
        <f>IF(計算用!$Z$22="","",IF(計算用!$U$24,IF(計算用!$Z$22="A",INDEX(手直し!$B$6:$E$42,計算用!$AC$22,MOD(1-計算用!$AA$22+1,4)+1),INDEX(手直し!$G$6:$J$42,計算用!$AC$22,MOD(1-計算用!$AA$22+1,4)+1)),IF(計算用!$Z$22="A",INDEX(組分け!$B$5:$I$41,計算用!$AC$22,(MOD(1-計算用!$AA$22+1,4)+1)*2-1),INDEX(組分け!$L$5:$S$41,計算用!$AC$22,(MOD(1-計算用!$AA$22+1,4)+1)*2-1)))&amp;"")</f>
        <v/>
      </c>
      <c r="D22" s="26">
        <f>IF(計算用!$Z$22="","",IF(計算用!$U$24,IF(計算用!$Z$22="A",INDEX(手直し!$B$6:$E$42,計算用!$AC$22,MOD(2-計算用!$AA$22+1,4)+1),INDEX(手直し!$G$6:$J$42,計算用!$AC$22,MOD(2-計算用!$AA$22+1,4)+1)),IF(計算用!$Z$22="A",INDEX(組分け!$B$5:$I$41,計算用!$AC$22,(MOD(2-計算用!$AA$22+1,4)+1)*2-1),INDEX(組分け!$L$5:$S$41,計算用!$AC$22,(MOD(2-計算用!$AA$22+1,4)+1)*2-1)))&amp;"")</f>
        <v/>
      </c>
      <c r="E22" s="26">
        <f>IF(計算用!$Z$22="","",IF(計算用!$U$24,IF(計算用!$Z$22="A",INDEX(手直し!$B$6:$E$42,計算用!$AC$22,MOD(3-計算用!$AA$22+1,4)+1),INDEX(手直し!$G$6:$J$42,計算用!$AC$22,MOD(3-計算用!$AA$22+1,4)+1)),IF(計算用!$Z$22="A",INDEX(組分け!$B$5:$I$41,計算用!$AC$22,(MOD(3-計算用!$AA$22+1,4)+1)*2-1),INDEX(組分け!$L$5:$S$41,計算用!$AC$22,(MOD(3-計算用!$AA$22+1,4)+1)*2-1)))&amp;"")</f>
        <v/>
      </c>
    </row>
    <row r="23" ht="27.75" customHeight="1">
      <c r="A23" s="25">
        <f>計算用!$AD$23</f>
        <v/>
      </c>
      <c r="B23" s="26">
        <f>IF(計算用!$Z$23="","",IF(計算用!$U$24,IF(計算用!$Z$23="A",INDEX(手直し!$B$6:$E$42,計算用!$AC$23,MOD(0-計算用!$AA$23+1,4)+1),INDEX(手直し!$G$6:$J$42,計算用!$AC$23,MOD(0-計算用!$AA$23+1,4)+1)),IF(計算用!$Z$23="A",INDEX(組分け!$B$5:$I$41,計算用!$AC$23,(MOD(0-計算用!$AA$23+1,4)+1)*2-1),INDEX(組分け!$L$5:$S$41,計算用!$AC$23,(MOD(0-計算用!$AA$23+1,4)+1)*2-1)))&amp;"")</f>
        <v/>
      </c>
      <c r="C23" s="26">
        <f>IF(計算用!$Z$23="","",IF(計算用!$U$24,IF(計算用!$Z$23="A",INDEX(手直し!$B$6:$E$42,計算用!$AC$23,MOD(1-計算用!$AA$23+1,4)+1),INDEX(手直し!$G$6:$J$42,計算用!$AC$23,MOD(1-計算用!$AA$23+1,4)+1)),IF(計算用!$Z$23="A",INDEX(組分け!$B$5:$I$41,計算用!$AC$23,(MOD(1-計算用!$AA$23+1,4)+1)*2-1),INDEX(組分け!$L$5:$S$41,計算用!$AC$23,(MOD(1-計算用!$AA$23+1,4)+1)*2-1)))&amp;"")</f>
        <v/>
      </c>
      <c r="D23" s="26">
        <f>IF(計算用!$Z$23="","",IF(計算用!$U$24,IF(計算用!$Z$23="A",INDEX(手直し!$B$6:$E$42,計算用!$AC$23,MOD(2-計算用!$AA$23+1,4)+1),INDEX(手直し!$G$6:$J$42,計算用!$AC$23,MOD(2-計算用!$AA$23+1,4)+1)),IF(計算用!$Z$23="A",INDEX(組分け!$B$5:$I$41,計算用!$AC$23,(MOD(2-計算用!$AA$23+1,4)+1)*2-1),INDEX(組分け!$L$5:$S$41,計算用!$AC$23,(MOD(2-計算用!$AA$23+1,4)+1)*2-1)))&amp;"")</f>
        <v/>
      </c>
      <c r="E23" s="26">
        <f>IF(計算用!$Z$23="","",IF(計算用!$U$24,IF(計算用!$Z$23="A",INDEX(手直し!$B$6:$E$42,計算用!$AC$23,MOD(3-計算用!$AA$23+1,4)+1),INDEX(手直し!$G$6:$J$42,計算用!$AC$23,MOD(3-計算用!$AA$23+1,4)+1)),IF(計算用!$Z$23="A",INDEX(組分け!$B$5:$I$41,計算用!$AC$23,(MOD(3-計算用!$AA$23+1,4)+1)*2-1),INDEX(組分け!$L$5:$S$41,計算用!$AC$23,(MOD(3-計算用!$AA$23+1,4)+1)*2-1)))&amp;"")</f>
        <v/>
      </c>
    </row>
    <row r="24" ht="27.75" customHeight="1">
      <c r="A24" s="25">
        <f>計算用!$AD$24</f>
        <v/>
      </c>
      <c r="B24" s="26">
        <f>IF(計算用!$Z$24="","",IF(計算用!$U$24,IF(計算用!$Z$24="A",INDEX(手直し!$B$6:$E$42,計算用!$AC$24,MOD(0-計算用!$AA$24+1,4)+1),INDEX(手直し!$G$6:$J$42,計算用!$AC$24,MOD(0-計算用!$AA$24+1,4)+1)),IF(計算用!$Z$24="A",INDEX(組分け!$B$5:$I$41,計算用!$AC$24,(MOD(0-計算用!$AA$24+1,4)+1)*2-1),INDEX(組分け!$L$5:$S$41,計算用!$AC$24,(MOD(0-計算用!$AA$24+1,4)+1)*2-1)))&amp;"")</f>
        <v/>
      </c>
      <c r="C24" s="26">
        <f>IF(計算用!$Z$24="","",IF(計算用!$U$24,IF(計算用!$Z$24="A",INDEX(手直し!$B$6:$E$42,計算用!$AC$24,MOD(1-計算用!$AA$24+1,4)+1),INDEX(手直し!$G$6:$J$42,計算用!$AC$24,MOD(1-計算用!$AA$24+1,4)+1)),IF(計算用!$Z$24="A",INDEX(組分け!$B$5:$I$41,計算用!$AC$24,(MOD(1-計算用!$AA$24+1,4)+1)*2-1),INDEX(組分け!$L$5:$S$41,計算用!$AC$24,(MOD(1-計算用!$AA$24+1,4)+1)*2-1)))&amp;"")</f>
        <v/>
      </c>
      <c r="D24" s="26">
        <f>IF(計算用!$Z$24="","",IF(計算用!$U$24,IF(計算用!$Z$24="A",INDEX(手直し!$B$6:$E$42,計算用!$AC$24,MOD(2-計算用!$AA$24+1,4)+1),INDEX(手直し!$G$6:$J$42,計算用!$AC$24,MOD(2-計算用!$AA$24+1,4)+1)),IF(計算用!$Z$24="A",INDEX(組分け!$B$5:$I$41,計算用!$AC$24,(MOD(2-計算用!$AA$24+1,4)+1)*2-1),INDEX(組分け!$L$5:$S$41,計算用!$AC$24,(MOD(2-計算用!$AA$24+1,4)+1)*2-1)))&amp;"")</f>
        <v/>
      </c>
      <c r="E24" s="26">
        <f>IF(計算用!$Z$24="","",IF(計算用!$U$24,IF(計算用!$Z$24="A",INDEX(手直し!$B$6:$E$42,計算用!$AC$24,MOD(3-計算用!$AA$24+1,4)+1),INDEX(手直し!$G$6:$J$42,計算用!$AC$24,MOD(3-計算用!$AA$24+1,4)+1)),IF(計算用!$Z$24="A",INDEX(組分け!$B$5:$I$41,計算用!$AC$24,(MOD(3-計算用!$AA$24+1,4)+1)*2-1),INDEX(組分け!$L$5:$S$41,計算用!$AC$24,(MOD(3-計算用!$AA$24+1,4)+1)*2-1)))&amp;"")</f>
        <v/>
      </c>
    </row>
    <row r="25" ht="27.75" customHeight="1">
      <c r="A25" s="25">
        <f>計算用!$AD$25</f>
        <v/>
      </c>
      <c r="B25" s="26">
        <f>IF(計算用!$Z$25="","",IF(計算用!$U$24,IF(計算用!$Z$25="A",INDEX(手直し!$B$6:$E$42,計算用!$AC$25,MOD(0-計算用!$AA$25+1,4)+1),INDEX(手直し!$G$6:$J$42,計算用!$AC$25,MOD(0-計算用!$AA$25+1,4)+1)),IF(計算用!$Z$25="A",INDEX(組分け!$B$5:$I$41,計算用!$AC$25,(MOD(0-計算用!$AA$25+1,4)+1)*2-1),INDEX(組分け!$L$5:$S$41,計算用!$AC$25,(MOD(0-計算用!$AA$25+1,4)+1)*2-1)))&amp;"")</f>
        <v/>
      </c>
      <c r="C25" s="26">
        <f>IF(計算用!$Z$25="","",IF(計算用!$U$24,IF(計算用!$Z$25="A",INDEX(手直し!$B$6:$E$42,計算用!$AC$25,MOD(1-計算用!$AA$25+1,4)+1),INDEX(手直し!$G$6:$J$42,計算用!$AC$25,MOD(1-計算用!$AA$25+1,4)+1)),IF(計算用!$Z$25="A",INDEX(組分け!$B$5:$I$41,計算用!$AC$25,(MOD(1-計算用!$AA$25+1,4)+1)*2-1),INDEX(組分け!$L$5:$S$41,計算用!$AC$25,(MOD(1-計算用!$AA$25+1,4)+1)*2-1)))&amp;"")</f>
        <v/>
      </c>
      <c r="D25" s="26">
        <f>IF(計算用!$Z$25="","",IF(計算用!$U$24,IF(計算用!$Z$25="A",INDEX(手直し!$B$6:$E$42,計算用!$AC$25,MOD(2-計算用!$AA$25+1,4)+1),INDEX(手直し!$G$6:$J$42,計算用!$AC$25,MOD(2-計算用!$AA$25+1,4)+1)),IF(計算用!$Z$25="A",INDEX(組分け!$B$5:$I$41,計算用!$AC$25,(MOD(2-計算用!$AA$25+1,4)+1)*2-1),INDEX(組分け!$L$5:$S$41,計算用!$AC$25,(MOD(2-計算用!$AA$25+1,4)+1)*2-1)))&amp;"")</f>
        <v/>
      </c>
      <c r="E25" s="26">
        <f>IF(計算用!$Z$25="","",IF(計算用!$U$24,IF(計算用!$Z$25="A",INDEX(手直し!$B$6:$E$42,計算用!$AC$25,MOD(3-計算用!$AA$25+1,4)+1),INDEX(手直し!$G$6:$J$42,計算用!$AC$25,MOD(3-計算用!$AA$25+1,4)+1)),IF(計算用!$Z$25="A",INDEX(組分け!$B$5:$I$41,計算用!$AC$25,(MOD(3-計算用!$AA$25+1,4)+1)*2-1),INDEX(組分け!$L$5:$S$41,計算用!$AC$25,(MOD(3-計算用!$AA$25+1,4)+1)*2-1)))&amp;"")</f>
        <v/>
      </c>
    </row>
    <row r="26" ht="27.75" customHeight="1">
      <c r="A26" s="25">
        <f>計算用!$AD$26</f>
        <v/>
      </c>
      <c r="B26" s="26">
        <f>IF(計算用!$Z$26="","",IF(計算用!$U$24,IF(計算用!$Z$26="A",INDEX(手直し!$B$6:$E$42,計算用!$AC$26,MOD(0-計算用!$AA$26+1,4)+1),INDEX(手直し!$G$6:$J$42,計算用!$AC$26,MOD(0-計算用!$AA$26+1,4)+1)),IF(計算用!$Z$26="A",INDEX(組分け!$B$5:$I$41,計算用!$AC$26,(MOD(0-計算用!$AA$26+1,4)+1)*2-1),INDEX(組分け!$L$5:$S$41,計算用!$AC$26,(MOD(0-計算用!$AA$26+1,4)+1)*2-1)))&amp;"")</f>
        <v/>
      </c>
      <c r="C26" s="26">
        <f>IF(計算用!$Z$26="","",IF(計算用!$U$24,IF(計算用!$Z$26="A",INDEX(手直し!$B$6:$E$42,計算用!$AC$26,MOD(1-計算用!$AA$26+1,4)+1),INDEX(手直し!$G$6:$J$42,計算用!$AC$26,MOD(1-計算用!$AA$26+1,4)+1)),IF(計算用!$Z$26="A",INDEX(組分け!$B$5:$I$41,計算用!$AC$26,(MOD(1-計算用!$AA$26+1,4)+1)*2-1),INDEX(組分け!$L$5:$S$41,計算用!$AC$26,(MOD(1-計算用!$AA$26+1,4)+1)*2-1)))&amp;"")</f>
        <v/>
      </c>
      <c r="D26" s="26">
        <f>IF(計算用!$Z$26="","",IF(計算用!$U$24,IF(計算用!$Z$26="A",INDEX(手直し!$B$6:$E$42,計算用!$AC$26,MOD(2-計算用!$AA$26+1,4)+1),INDEX(手直し!$G$6:$J$42,計算用!$AC$26,MOD(2-計算用!$AA$26+1,4)+1)),IF(計算用!$Z$26="A",INDEX(組分け!$B$5:$I$41,計算用!$AC$26,(MOD(2-計算用!$AA$26+1,4)+1)*2-1),INDEX(組分け!$L$5:$S$41,計算用!$AC$26,(MOD(2-計算用!$AA$26+1,4)+1)*2-1)))&amp;"")</f>
        <v/>
      </c>
      <c r="E26" s="26">
        <f>IF(計算用!$Z$26="","",IF(計算用!$U$24,IF(計算用!$Z$26="A",INDEX(手直し!$B$6:$E$42,計算用!$AC$26,MOD(3-計算用!$AA$26+1,4)+1),INDEX(手直し!$G$6:$J$42,計算用!$AC$26,MOD(3-計算用!$AA$26+1,4)+1)),IF(計算用!$Z$26="A",INDEX(組分け!$B$5:$I$41,計算用!$AC$26,(MOD(3-計算用!$AA$26+1,4)+1)*2-1),INDEX(組分け!$L$5:$S$41,計算用!$AC$26,(MOD(3-計算用!$AA$26+1,4)+1)*2-1)))&amp;"")</f>
        <v/>
      </c>
    </row>
    <row r="27" ht="27.75" customHeight="1">
      <c r="A27" s="25">
        <f>計算用!$AD$27</f>
        <v/>
      </c>
      <c r="B27" s="26">
        <f>IF(計算用!$Z$27="","",IF(計算用!$U$24,IF(計算用!$Z$27="A",INDEX(手直し!$B$6:$E$42,計算用!$AC$27,MOD(0-計算用!$AA$27+1,4)+1),INDEX(手直し!$G$6:$J$42,計算用!$AC$27,MOD(0-計算用!$AA$27+1,4)+1)),IF(計算用!$Z$27="A",INDEX(組分け!$B$5:$I$41,計算用!$AC$27,(MOD(0-計算用!$AA$27+1,4)+1)*2-1),INDEX(組分け!$L$5:$S$41,計算用!$AC$27,(MOD(0-計算用!$AA$27+1,4)+1)*2-1)))&amp;"")</f>
        <v/>
      </c>
      <c r="C27" s="26">
        <f>IF(計算用!$Z$27="","",IF(計算用!$U$24,IF(計算用!$Z$27="A",INDEX(手直し!$B$6:$E$42,計算用!$AC$27,MOD(1-計算用!$AA$27+1,4)+1),INDEX(手直し!$G$6:$J$42,計算用!$AC$27,MOD(1-計算用!$AA$27+1,4)+1)),IF(計算用!$Z$27="A",INDEX(組分け!$B$5:$I$41,計算用!$AC$27,(MOD(1-計算用!$AA$27+1,4)+1)*2-1),INDEX(組分け!$L$5:$S$41,計算用!$AC$27,(MOD(1-計算用!$AA$27+1,4)+1)*2-1)))&amp;"")</f>
        <v/>
      </c>
      <c r="D27" s="26">
        <f>IF(計算用!$Z$27="","",IF(計算用!$U$24,IF(計算用!$Z$27="A",INDEX(手直し!$B$6:$E$42,計算用!$AC$27,MOD(2-計算用!$AA$27+1,4)+1),INDEX(手直し!$G$6:$J$42,計算用!$AC$27,MOD(2-計算用!$AA$27+1,4)+1)),IF(計算用!$Z$27="A",INDEX(組分け!$B$5:$I$41,計算用!$AC$27,(MOD(2-計算用!$AA$27+1,4)+1)*2-1),INDEX(組分け!$L$5:$S$41,計算用!$AC$27,(MOD(2-計算用!$AA$27+1,4)+1)*2-1)))&amp;"")</f>
        <v/>
      </c>
      <c r="E27" s="26">
        <f>IF(計算用!$Z$27="","",IF(計算用!$U$24,IF(計算用!$Z$27="A",INDEX(手直し!$B$6:$E$42,計算用!$AC$27,MOD(3-計算用!$AA$27+1,4)+1),INDEX(手直し!$G$6:$J$42,計算用!$AC$27,MOD(3-計算用!$AA$27+1,4)+1)),IF(計算用!$Z$27="A",INDEX(組分け!$B$5:$I$41,計算用!$AC$27,(MOD(3-計算用!$AA$27+1,4)+1)*2-1),INDEX(組分け!$L$5:$S$41,計算用!$AC$27,(MOD(3-計算用!$AA$27+1,4)+1)*2-1)))&amp;"")</f>
        <v/>
      </c>
    </row>
    <row r="28" ht="27.75" customHeight="1">
      <c r="A28" s="25">
        <f>計算用!$AD$28</f>
        <v/>
      </c>
      <c r="B28" s="26">
        <f>IF(計算用!$Z$28="","",IF(計算用!$U$24,IF(計算用!$Z$28="A",INDEX(手直し!$B$6:$E$42,計算用!$AC$28,MOD(0-計算用!$AA$28+1,4)+1),INDEX(手直し!$G$6:$J$42,計算用!$AC$28,MOD(0-計算用!$AA$28+1,4)+1)),IF(計算用!$Z$28="A",INDEX(組分け!$B$5:$I$41,計算用!$AC$28,(MOD(0-計算用!$AA$28+1,4)+1)*2-1),INDEX(組分け!$L$5:$S$41,計算用!$AC$28,(MOD(0-計算用!$AA$28+1,4)+1)*2-1)))&amp;"")</f>
        <v/>
      </c>
      <c r="C28" s="26">
        <f>IF(計算用!$Z$28="","",IF(計算用!$U$24,IF(計算用!$Z$28="A",INDEX(手直し!$B$6:$E$42,計算用!$AC$28,MOD(1-計算用!$AA$28+1,4)+1),INDEX(手直し!$G$6:$J$42,計算用!$AC$28,MOD(1-計算用!$AA$28+1,4)+1)),IF(計算用!$Z$28="A",INDEX(組分け!$B$5:$I$41,計算用!$AC$28,(MOD(1-計算用!$AA$28+1,4)+1)*2-1),INDEX(組分け!$L$5:$S$41,計算用!$AC$28,(MOD(1-計算用!$AA$28+1,4)+1)*2-1)))&amp;"")</f>
        <v/>
      </c>
      <c r="D28" s="26">
        <f>IF(計算用!$Z$28="","",IF(計算用!$U$24,IF(計算用!$Z$28="A",INDEX(手直し!$B$6:$E$42,計算用!$AC$28,MOD(2-計算用!$AA$28+1,4)+1),INDEX(手直し!$G$6:$J$42,計算用!$AC$28,MOD(2-計算用!$AA$28+1,4)+1)),IF(計算用!$Z$28="A",INDEX(組分け!$B$5:$I$41,計算用!$AC$28,(MOD(2-計算用!$AA$28+1,4)+1)*2-1),INDEX(組分け!$L$5:$S$41,計算用!$AC$28,(MOD(2-計算用!$AA$28+1,4)+1)*2-1)))&amp;"")</f>
        <v/>
      </c>
      <c r="E28" s="26">
        <f>IF(計算用!$Z$28="","",IF(計算用!$U$24,IF(計算用!$Z$28="A",INDEX(手直し!$B$6:$E$42,計算用!$AC$28,MOD(3-計算用!$AA$28+1,4)+1),INDEX(手直し!$G$6:$J$42,計算用!$AC$28,MOD(3-計算用!$AA$28+1,4)+1)),IF(計算用!$Z$28="A",INDEX(組分け!$B$5:$I$41,計算用!$AC$28,(MOD(3-計算用!$AA$28+1,4)+1)*2-1),INDEX(組分け!$L$5:$S$41,計算用!$AC$28,(MOD(3-計算用!$AA$28+1,4)+1)*2-1)))&amp;"")</f>
        <v/>
      </c>
    </row>
    <row r="29" ht="27.75" customHeight="1">
      <c r="A29" s="25">
        <f>計算用!$AD$29</f>
        <v/>
      </c>
      <c r="B29" s="26">
        <f>IF(計算用!$Z$29="","",IF(計算用!$U$24,IF(計算用!$Z$29="A",INDEX(手直し!$B$6:$E$42,計算用!$AC$29,MOD(0-計算用!$AA$29+1,4)+1),INDEX(手直し!$G$6:$J$42,計算用!$AC$29,MOD(0-計算用!$AA$29+1,4)+1)),IF(計算用!$Z$29="A",INDEX(組分け!$B$5:$I$41,計算用!$AC$29,(MOD(0-計算用!$AA$29+1,4)+1)*2-1),INDEX(組分け!$L$5:$S$41,計算用!$AC$29,(MOD(0-計算用!$AA$29+1,4)+1)*2-1)))&amp;"")</f>
        <v/>
      </c>
      <c r="C29" s="26">
        <f>IF(計算用!$Z$29="","",IF(計算用!$U$24,IF(計算用!$Z$29="A",INDEX(手直し!$B$6:$E$42,計算用!$AC$29,MOD(1-計算用!$AA$29+1,4)+1),INDEX(手直し!$G$6:$J$42,計算用!$AC$29,MOD(1-計算用!$AA$29+1,4)+1)),IF(計算用!$Z$29="A",INDEX(組分け!$B$5:$I$41,計算用!$AC$29,(MOD(1-計算用!$AA$29+1,4)+1)*2-1),INDEX(組分け!$L$5:$S$41,計算用!$AC$29,(MOD(1-計算用!$AA$29+1,4)+1)*2-1)))&amp;"")</f>
        <v/>
      </c>
      <c r="D29" s="26">
        <f>IF(計算用!$Z$29="","",IF(計算用!$U$24,IF(計算用!$Z$29="A",INDEX(手直し!$B$6:$E$42,計算用!$AC$29,MOD(2-計算用!$AA$29+1,4)+1),INDEX(手直し!$G$6:$J$42,計算用!$AC$29,MOD(2-計算用!$AA$29+1,4)+1)),IF(計算用!$Z$29="A",INDEX(組分け!$B$5:$I$41,計算用!$AC$29,(MOD(2-計算用!$AA$29+1,4)+1)*2-1),INDEX(組分け!$L$5:$S$41,計算用!$AC$29,(MOD(2-計算用!$AA$29+1,4)+1)*2-1)))&amp;"")</f>
        <v/>
      </c>
      <c r="E29" s="26">
        <f>IF(計算用!$Z$29="","",IF(計算用!$U$24,IF(計算用!$Z$29="A",INDEX(手直し!$B$6:$E$42,計算用!$AC$29,MOD(3-計算用!$AA$29+1,4)+1),INDEX(手直し!$G$6:$J$42,計算用!$AC$29,MOD(3-計算用!$AA$29+1,4)+1)),IF(計算用!$Z$29="A",INDEX(組分け!$B$5:$I$41,計算用!$AC$29,(MOD(3-計算用!$AA$29+1,4)+1)*2-1),INDEX(組分け!$L$5:$S$41,計算用!$AC$29,(MOD(3-計算用!$AA$29+1,4)+1)*2-1)))&amp;"")</f>
        <v/>
      </c>
    </row>
    <row r="30" ht="27.75" customHeight="1">
      <c r="A30" s="25">
        <f>計算用!$AD$30</f>
        <v/>
      </c>
      <c r="B30" s="26">
        <f>IF(計算用!$Z$30="","",IF(計算用!$U$24,IF(計算用!$Z$30="A",INDEX(手直し!$B$6:$E$42,計算用!$AC$30,MOD(0-計算用!$AA$30+1,4)+1),INDEX(手直し!$G$6:$J$42,計算用!$AC$30,MOD(0-計算用!$AA$30+1,4)+1)),IF(計算用!$Z$30="A",INDEX(組分け!$B$5:$I$41,計算用!$AC$30,(MOD(0-計算用!$AA$30+1,4)+1)*2-1),INDEX(組分け!$L$5:$S$41,計算用!$AC$30,(MOD(0-計算用!$AA$30+1,4)+1)*2-1)))&amp;"")</f>
        <v/>
      </c>
      <c r="C30" s="26">
        <f>IF(計算用!$Z$30="","",IF(計算用!$U$24,IF(計算用!$Z$30="A",INDEX(手直し!$B$6:$E$42,計算用!$AC$30,MOD(1-計算用!$AA$30+1,4)+1),INDEX(手直し!$G$6:$J$42,計算用!$AC$30,MOD(1-計算用!$AA$30+1,4)+1)),IF(計算用!$Z$30="A",INDEX(組分け!$B$5:$I$41,計算用!$AC$30,(MOD(1-計算用!$AA$30+1,4)+1)*2-1),INDEX(組分け!$L$5:$S$41,計算用!$AC$30,(MOD(1-計算用!$AA$30+1,4)+1)*2-1)))&amp;"")</f>
        <v/>
      </c>
      <c r="D30" s="26">
        <f>IF(計算用!$Z$30="","",IF(計算用!$U$24,IF(計算用!$Z$30="A",INDEX(手直し!$B$6:$E$42,計算用!$AC$30,MOD(2-計算用!$AA$30+1,4)+1),INDEX(手直し!$G$6:$J$42,計算用!$AC$30,MOD(2-計算用!$AA$30+1,4)+1)),IF(計算用!$Z$30="A",INDEX(組分け!$B$5:$I$41,計算用!$AC$30,(MOD(2-計算用!$AA$30+1,4)+1)*2-1),INDEX(組分け!$L$5:$S$41,計算用!$AC$30,(MOD(2-計算用!$AA$30+1,4)+1)*2-1)))&amp;"")</f>
        <v/>
      </c>
      <c r="E30" s="26">
        <f>IF(計算用!$Z$30="","",IF(計算用!$U$24,IF(計算用!$Z$30="A",INDEX(手直し!$B$6:$E$42,計算用!$AC$30,MOD(3-計算用!$AA$30+1,4)+1),INDEX(手直し!$G$6:$J$42,計算用!$AC$30,MOD(3-計算用!$AA$30+1,4)+1)),IF(計算用!$Z$30="A",INDEX(組分け!$B$5:$I$41,計算用!$AC$30,(MOD(3-計算用!$AA$30+1,4)+1)*2-1),INDEX(組分け!$L$5:$S$41,計算用!$AC$30,(MOD(3-計算用!$AA$30+1,4)+1)*2-1)))&amp;"")</f>
        <v/>
      </c>
    </row>
    <row r="31" ht="27.75" customHeight="1">
      <c r="A31" s="25">
        <f>計算用!$AD$31</f>
        <v/>
      </c>
      <c r="B31" s="26">
        <f>IF(計算用!$Z$31="","",IF(計算用!$U$24,IF(計算用!$Z$31="A",INDEX(手直し!$B$6:$E$42,計算用!$AC$31,MOD(0-計算用!$AA$31+1,4)+1),INDEX(手直し!$G$6:$J$42,計算用!$AC$31,MOD(0-計算用!$AA$31+1,4)+1)),IF(計算用!$Z$31="A",INDEX(組分け!$B$5:$I$41,計算用!$AC$31,(MOD(0-計算用!$AA$31+1,4)+1)*2-1),INDEX(組分け!$L$5:$S$41,計算用!$AC$31,(MOD(0-計算用!$AA$31+1,4)+1)*2-1)))&amp;"")</f>
        <v/>
      </c>
      <c r="C31" s="26">
        <f>IF(計算用!$Z$31="","",IF(計算用!$U$24,IF(計算用!$Z$31="A",INDEX(手直し!$B$6:$E$42,計算用!$AC$31,MOD(1-計算用!$AA$31+1,4)+1),INDEX(手直し!$G$6:$J$42,計算用!$AC$31,MOD(1-計算用!$AA$31+1,4)+1)),IF(計算用!$Z$31="A",INDEX(組分け!$B$5:$I$41,計算用!$AC$31,(MOD(1-計算用!$AA$31+1,4)+1)*2-1),INDEX(組分け!$L$5:$S$41,計算用!$AC$31,(MOD(1-計算用!$AA$31+1,4)+1)*2-1)))&amp;"")</f>
        <v/>
      </c>
      <c r="D31" s="26">
        <f>IF(計算用!$Z$31="","",IF(計算用!$U$24,IF(計算用!$Z$31="A",INDEX(手直し!$B$6:$E$42,計算用!$AC$31,MOD(2-計算用!$AA$31+1,4)+1),INDEX(手直し!$G$6:$J$42,計算用!$AC$31,MOD(2-計算用!$AA$31+1,4)+1)),IF(計算用!$Z$31="A",INDEX(組分け!$B$5:$I$41,計算用!$AC$31,(MOD(2-計算用!$AA$31+1,4)+1)*2-1),INDEX(組分け!$L$5:$S$41,計算用!$AC$31,(MOD(2-計算用!$AA$31+1,4)+1)*2-1)))&amp;"")</f>
        <v/>
      </c>
      <c r="E31" s="26">
        <f>IF(計算用!$Z$31="","",IF(計算用!$U$24,IF(計算用!$Z$31="A",INDEX(手直し!$B$6:$E$42,計算用!$AC$31,MOD(3-計算用!$AA$31+1,4)+1),INDEX(手直し!$G$6:$J$42,計算用!$AC$31,MOD(3-計算用!$AA$31+1,4)+1)),IF(計算用!$Z$31="A",INDEX(組分け!$B$5:$I$41,計算用!$AC$31,(MOD(3-計算用!$AA$31+1,4)+1)*2-1),INDEX(組分け!$L$5:$S$41,計算用!$AC$31,(MOD(3-計算用!$AA$31+1,4)+1)*2-1)))&amp;"")</f>
        <v/>
      </c>
    </row>
    <row r="32" ht="27.75" customHeight="1">
      <c r="A32" s="25">
        <f>計算用!$AD$32</f>
        <v/>
      </c>
      <c r="B32" s="26">
        <f>IF(計算用!$Z$32="","",IF(計算用!$U$24,IF(計算用!$Z$32="A",INDEX(手直し!$B$6:$E$42,計算用!$AC$32,MOD(0-計算用!$AA$32+1,4)+1),INDEX(手直し!$G$6:$J$42,計算用!$AC$32,MOD(0-計算用!$AA$32+1,4)+1)),IF(計算用!$Z$32="A",INDEX(組分け!$B$5:$I$41,計算用!$AC$32,(MOD(0-計算用!$AA$32+1,4)+1)*2-1),INDEX(組分け!$L$5:$S$41,計算用!$AC$32,(MOD(0-計算用!$AA$32+1,4)+1)*2-1)))&amp;"")</f>
        <v/>
      </c>
      <c r="C32" s="26">
        <f>IF(計算用!$Z$32="","",IF(計算用!$U$24,IF(計算用!$Z$32="A",INDEX(手直し!$B$6:$E$42,計算用!$AC$32,MOD(1-計算用!$AA$32+1,4)+1),INDEX(手直し!$G$6:$J$42,計算用!$AC$32,MOD(1-計算用!$AA$32+1,4)+1)),IF(計算用!$Z$32="A",INDEX(組分け!$B$5:$I$41,計算用!$AC$32,(MOD(1-計算用!$AA$32+1,4)+1)*2-1),INDEX(組分け!$L$5:$S$41,計算用!$AC$32,(MOD(1-計算用!$AA$32+1,4)+1)*2-1)))&amp;"")</f>
        <v/>
      </c>
      <c r="D32" s="26">
        <f>IF(計算用!$Z$32="","",IF(計算用!$U$24,IF(計算用!$Z$32="A",INDEX(手直し!$B$6:$E$42,計算用!$AC$32,MOD(2-計算用!$AA$32+1,4)+1),INDEX(手直し!$G$6:$J$42,計算用!$AC$32,MOD(2-計算用!$AA$32+1,4)+1)),IF(計算用!$Z$32="A",INDEX(組分け!$B$5:$I$41,計算用!$AC$32,(MOD(2-計算用!$AA$32+1,4)+1)*2-1),INDEX(組分け!$L$5:$S$41,計算用!$AC$32,(MOD(2-計算用!$AA$32+1,4)+1)*2-1)))&amp;"")</f>
        <v/>
      </c>
      <c r="E32" s="26">
        <f>IF(計算用!$Z$32="","",IF(計算用!$U$24,IF(計算用!$Z$32="A",INDEX(手直し!$B$6:$E$42,計算用!$AC$32,MOD(3-計算用!$AA$32+1,4)+1),INDEX(手直し!$G$6:$J$42,計算用!$AC$32,MOD(3-計算用!$AA$32+1,4)+1)),IF(計算用!$Z$32="A",INDEX(組分け!$B$5:$I$41,計算用!$AC$32,(MOD(3-計算用!$AA$32+1,4)+1)*2-1),INDEX(組分け!$L$5:$S$41,計算用!$AC$32,(MOD(3-計算用!$AA$32+1,4)+1)*2-1)))&amp;"")</f>
        <v/>
      </c>
    </row>
    <row r="33" ht="27.75" customHeight="1">
      <c r="A33" s="25">
        <f>計算用!$AD$33</f>
        <v/>
      </c>
      <c r="B33" s="26">
        <f>IF(計算用!$Z$33="","",IF(計算用!$U$24,IF(計算用!$Z$33="A",INDEX(手直し!$B$6:$E$42,計算用!$AC$33,MOD(0-計算用!$AA$33+1,4)+1),INDEX(手直し!$G$6:$J$42,計算用!$AC$33,MOD(0-計算用!$AA$33+1,4)+1)),IF(計算用!$Z$33="A",INDEX(組分け!$B$5:$I$41,計算用!$AC$33,(MOD(0-計算用!$AA$33+1,4)+1)*2-1),INDEX(組分け!$L$5:$S$41,計算用!$AC$33,(MOD(0-計算用!$AA$33+1,4)+1)*2-1)))&amp;"")</f>
        <v/>
      </c>
      <c r="C33" s="26">
        <f>IF(計算用!$Z$33="","",IF(計算用!$U$24,IF(計算用!$Z$33="A",INDEX(手直し!$B$6:$E$42,計算用!$AC$33,MOD(1-計算用!$AA$33+1,4)+1),INDEX(手直し!$G$6:$J$42,計算用!$AC$33,MOD(1-計算用!$AA$33+1,4)+1)),IF(計算用!$Z$33="A",INDEX(組分け!$B$5:$I$41,計算用!$AC$33,(MOD(1-計算用!$AA$33+1,4)+1)*2-1),INDEX(組分け!$L$5:$S$41,計算用!$AC$33,(MOD(1-計算用!$AA$33+1,4)+1)*2-1)))&amp;"")</f>
        <v/>
      </c>
      <c r="D33" s="26">
        <f>IF(計算用!$Z$33="","",IF(計算用!$U$24,IF(計算用!$Z$33="A",INDEX(手直し!$B$6:$E$42,計算用!$AC$33,MOD(2-計算用!$AA$33+1,4)+1),INDEX(手直し!$G$6:$J$42,計算用!$AC$33,MOD(2-計算用!$AA$33+1,4)+1)),IF(計算用!$Z$33="A",INDEX(組分け!$B$5:$I$41,計算用!$AC$33,(MOD(2-計算用!$AA$33+1,4)+1)*2-1),INDEX(組分け!$L$5:$S$41,計算用!$AC$33,(MOD(2-計算用!$AA$33+1,4)+1)*2-1)))&amp;"")</f>
        <v/>
      </c>
      <c r="E33" s="26">
        <f>IF(計算用!$Z$33="","",IF(計算用!$U$24,IF(計算用!$Z$33="A",INDEX(手直し!$B$6:$E$42,計算用!$AC$33,MOD(3-計算用!$AA$33+1,4)+1),INDEX(手直し!$G$6:$J$42,計算用!$AC$33,MOD(3-計算用!$AA$33+1,4)+1)),IF(計算用!$Z$33="A",INDEX(組分け!$B$5:$I$41,計算用!$AC$33,(MOD(3-計算用!$AA$33+1,4)+1)*2-1),INDEX(組分け!$L$5:$S$41,計算用!$AC$33,(MOD(3-計算用!$AA$33+1,4)+1)*2-1)))&amp;"")</f>
        <v/>
      </c>
    </row>
    <row r="34" ht="27.75" customHeight="1">
      <c r="A34" s="25">
        <f>計算用!$AD$34</f>
        <v/>
      </c>
      <c r="B34" s="26">
        <f>IF(計算用!$Z$34="","",IF(計算用!$U$24,IF(計算用!$Z$34="A",INDEX(手直し!$B$6:$E$42,計算用!$AC$34,MOD(0-計算用!$AA$34+1,4)+1),INDEX(手直し!$G$6:$J$42,計算用!$AC$34,MOD(0-計算用!$AA$34+1,4)+1)),IF(計算用!$Z$34="A",INDEX(組分け!$B$5:$I$41,計算用!$AC$34,(MOD(0-計算用!$AA$34+1,4)+1)*2-1),INDEX(組分け!$L$5:$S$41,計算用!$AC$34,(MOD(0-計算用!$AA$34+1,4)+1)*2-1)))&amp;"")</f>
        <v/>
      </c>
      <c r="C34" s="26">
        <f>IF(計算用!$Z$34="","",IF(計算用!$U$24,IF(計算用!$Z$34="A",INDEX(手直し!$B$6:$E$42,計算用!$AC$34,MOD(1-計算用!$AA$34+1,4)+1),INDEX(手直し!$G$6:$J$42,計算用!$AC$34,MOD(1-計算用!$AA$34+1,4)+1)),IF(計算用!$Z$34="A",INDEX(組分け!$B$5:$I$41,計算用!$AC$34,(MOD(1-計算用!$AA$34+1,4)+1)*2-1),INDEX(組分け!$L$5:$S$41,計算用!$AC$34,(MOD(1-計算用!$AA$34+1,4)+1)*2-1)))&amp;"")</f>
        <v/>
      </c>
      <c r="D34" s="26">
        <f>IF(計算用!$Z$34="","",IF(計算用!$U$24,IF(計算用!$Z$34="A",INDEX(手直し!$B$6:$E$42,計算用!$AC$34,MOD(2-計算用!$AA$34+1,4)+1),INDEX(手直し!$G$6:$J$42,計算用!$AC$34,MOD(2-計算用!$AA$34+1,4)+1)),IF(計算用!$Z$34="A",INDEX(組分け!$B$5:$I$41,計算用!$AC$34,(MOD(2-計算用!$AA$34+1,4)+1)*2-1),INDEX(組分け!$L$5:$S$41,計算用!$AC$34,(MOD(2-計算用!$AA$34+1,4)+1)*2-1)))&amp;"")</f>
        <v/>
      </c>
      <c r="E34" s="26">
        <f>IF(計算用!$Z$34="","",IF(計算用!$U$24,IF(計算用!$Z$34="A",INDEX(手直し!$B$6:$E$42,計算用!$AC$34,MOD(3-計算用!$AA$34+1,4)+1),INDEX(手直し!$G$6:$J$42,計算用!$AC$34,MOD(3-計算用!$AA$34+1,4)+1)),IF(計算用!$Z$34="A",INDEX(組分け!$B$5:$I$41,計算用!$AC$34,(MOD(3-計算用!$AA$34+1,4)+1)*2-1),INDEX(組分け!$L$5:$S$41,計算用!$AC$34,(MOD(3-計算用!$AA$34+1,4)+1)*2-1)))&amp;"")</f>
        <v/>
      </c>
    </row>
    <row r="35" ht="27.75" customHeight="1">
      <c r="A35" s="25">
        <f>計算用!$AD$35</f>
        <v/>
      </c>
      <c r="B35" s="26">
        <f>IF(計算用!$Z$35="","",IF(計算用!$U$24,IF(計算用!$Z$35="A",INDEX(手直し!$B$6:$E$42,計算用!$AC$35,MOD(0-計算用!$AA$35+1,4)+1),INDEX(手直し!$G$6:$J$42,計算用!$AC$35,MOD(0-計算用!$AA$35+1,4)+1)),IF(計算用!$Z$35="A",INDEX(組分け!$B$5:$I$41,計算用!$AC$35,(MOD(0-計算用!$AA$35+1,4)+1)*2-1),INDEX(組分け!$L$5:$S$41,計算用!$AC$35,(MOD(0-計算用!$AA$35+1,4)+1)*2-1)))&amp;"")</f>
        <v/>
      </c>
      <c r="C35" s="26">
        <f>IF(計算用!$Z$35="","",IF(計算用!$U$24,IF(計算用!$Z$35="A",INDEX(手直し!$B$6:$E$42,計算用!$AC$35,MOD(1-計算用!$AA$35+1,4)+1),INDEX(手直し!$G$6:$J$42,計算用!$AC$35,MOD(1-計算用!$AA$35+1,4)+1)),IF(計算用!$Z$35="A",INDEX(組分け!$B$5:$I$41,計算用!$AC$35,(MOD(1-計算用!$AA$35+1,4)+1)*2-1),INDEX(組分け!$L$5:$S$41,計算用!$AC$35,(MOD(1-計算用!$AA$35+1,4)+1)*2-1)))&amp;"")</f>
        <v/>
      </c>
      <c r="D35" s="26">
        <f>IF(計算用!$Z$35="","",IF(計算用!$U$24,IF(計算用!$Z$35="A",INDEX(手直し!$B$6:$E$42,計算用!$AC$35,MOD(2-計算用!$AA$35+1,4)+1),INDEX(手直し!$G$6:$J$42,計算用!$AC$35,MOD(2-計算用!$AA$35+1,4)+1)),IF(計算用!$Z$35="A",INDEX(組分け!$B$5:$I$41,計算用!$AC$35,(MOD(2-計算用!$AA$35+1,4)+1)*2-1),INDEX(組分け!$L$5:$S$41,計算用!$AC$35,(MOD(2-計算用!$AA$35+1,4)+1)*2-1)))&amp;"")</f>
        <v/>
      </c>
      <c r="E35" s="26">
        <f>IF(計算用!$Z$35="","",IF(計算用!$U$24,IF(計算用!$Z$35="A",INDEX(手直し!$B$6:$E$42,計算用!$AC$35,MOD(3-計算用!$AA$35+1,4)+1),INDEX(手直し!$G$6:$J$42,計算用!$AC$35,MOD(3-計算用!$AA$35+1,4)+1)),IF(計算用!$Z$35="A",INDEX(組分け!$B$5:$I$41,計算用!$AC$35,(MOD(3-計算用!$AA$35+1,4)+1)*2-1),INDEX(組分け!$L$5:$S$41,計算用!$AC$35,(MOD(3-計算用!$AA$35+1,4)+1)*2-1)))&amp;"")</f>
        <v/>
      </c>
    </row>
    <row r="36" ht="27.75" customHeight="1">
      <c r="A36" s="25">
        <f>計算用!$AD$36</f>
        <v/>
      </c>
      <c r="B36" s="26">
        <f>IF(計算用!$Z$36="","",IF(計算用!$U$24,IF(計算用!$Z$36="A",INDEX(手直し!$B$6:$E$42,計算用!$AC$36,MOD(0-計算用!$AA$36+1,4)+1),INDEX(手直し!$G$6:$J$42,計算用!$AC$36,MOD(0-計算用!$AA$36+1,4)+1)),IF(計算用!$Z$36="A",INDEX(組分け!$B$5:$I$41,計算用!$AC$36,(MOD(0-計算用!$AA$36+1,4)+1)*2-1),INDEX(組分け!$L$5:$S$41,計算用!$AC$36,(MOD(0-計算用!$AA$36+1,4)+1)*2-1)))&amp;"")</f>
        <v/>
      </c>
      <c r="C36" s="26">
        <f>IF(計算用!$Z$36="","",IF(計算用!$U$24,IF(計算用!$Z$36="A",INDEX(手直し!$B$6:$E$42,計算用!$AC$36,MOD(1-計算用!$AA$36+1,4)+1),INDEX(手直し!$G$6:$J$42,計算用!$AC$36,MOD(1-計算用!$AA$36+1,4)+1)),IF(計算用!$Z$36="A",INDEX(組分け!$B$5:$I$41,計算用!$AC$36,(MOD(1-計算用!$AA$36+1,4)+1)*2-1),INDEX(組分け!$L$5:$S$41,計算用!$AC$36,(MOD(1-計算用!$AA$36+1,4)+1)*2-1)))&amp;"")</f>
        <v/>
      </c>
      <c r="D36" s="26">
        <f>IF(計算用!$Z$36="","",IF(計算用!$U$24,IF(計算用!$Z$36="A",INDEX(手直し!$B$6:$E$42,計算用!$AC$36,MOD(2-計算用!$AA$36+1,4)+1),INDEX(手直し!$G$6:$J$42,計算用!$AC$36,MOD(2-計算用!$AA$36+1,4)+1)),IF(計算用!$Z$36="A",INDEX(組分け!$B$5:$I$41,計算用!$AC$36,(MOD(2-計算用!$AA$36+1,4)+1)*2-1),INDEX(組分け!$L$5:$S$41,計算用!$AC$36,(MOD(2-計算用!$AA$36+1,4)+1)*2-1)))&amp;"")</f>
        <v/>
      </c>
      <c r="E36" s="26">
        <f>IF(計算用!$Z$36="","",IF(計算用!$U$24,IF(計算用!$Z$36="A",INDEX(手直し!$B$6:$E$42,計算用!$AC$36,MOD(3-計算用!$AA$36+1,4)+1),INDEX(手直し!$G$6:$J$42,計算用!$AC$36,MOD(3-計算用!$AA$36+1,4)+1)),IF(計算用!$Z$36="A",INDEX(組分け!$B$5:$I$41,計算用!$AC$36,(MOD(3-計算用!$AA$36+1,4)+1)*2-1),INDEX(組分け!$L$5:$S$41,計算用!$AC$36,(MOD(3-計算用!$AA$36+1,4)+1)*2-1)))&amp;"")</f>
        <v/>
      </c>
    </row>
    <row r="37" ht="27.75" customHeight="1">
      <c r="A37" s="25">
        <f>計算用!$AD$37</f>
        <v/>
      </c>
      <c r="B37" s="26">
        <f>IF(計算用!$Z$37="","",IF(計算用!$U$24,IF(計算用!$Z$37="A",INDEX(手直し!$B$6:$E$42,計算用!$AC$37,MOD(0-計算用!$AA$37+1,4)+1),INDEX(手直し!$G$6:$J$42,計算用!$AC$37,MOD(0-計算用!$AA$37+1,4)+1)),IF(計算用!$Z$37="A",INDEX(組分け!$B$5:$I$41,計算用!$AC$37,(MOD(0-計算用!$AA$37+1,4)+1)*2-1),INDEX(組分け!$L$5:$S$41,計算用!$AC$37,(MOD(0-計算用!$AA$37+1,4)+1)*2-1)))&amp;"")</f>
        <v/>
      </c>
      <c r="C37" s="26">
        <f>IF(計算用!$Z$37="","",IF(計算用!$U$24,IF(計算用!$Z$37="A",INDEX(手直し!$B$6:$E$42,計算用!$AC$37,MOD(1-計算用!$AA$37+1,4)+1),INDEX(手直し!$G$6:$J$42,計算用!$AC$37,MOD(1-計算用!$AA$37+1,4)+1)),IF(計算用!$Z$37="A",INDEX(組分け!$B$5:$I$41,計算用!$AC$37,(MOD(1-計算用!$AA$37+1,4)+1)*2-1),INDEX(組分け!$L$5:$S$41,計算用!$AC$37,(MOD(1-計算用!$AA$37+1,4)+1)*2-1)))&amp;"")</f>
        <v/>
      </c>
      <c r="D37" s="26">
        <f>IF(計算用!$Z$37="","",IF(計算用!$U$24,IF(計算用!$Z$37="A",INDEX(手直し!$B$6:$E$42,計算用!$AC$37,MOD(2-計算用!$AA$37+1,4)+1),INDEX(手直し!$G$6:$J$42,計算用!$AC$37,MOD(2-計算用!$AA$37+1,4)+1)),IF(計算用!$Z$37="A",INDEX(組分け!$B$5:$I$41,計算用!$AC$37,(MOD(2-計算用!$AA$37+1,4)+1)*2-1),INDEX(組分け!$L$5:$S$41,計算用!$AC$37,(MOD(2-計算用!$AA$37+1,4)+1)*2-1)))&amp;"")</f>
        <v/>
      </c>
      <c r="E37" s="26">
        <f>IF(計算用!$Z$37="","",IF(計算用!$U$24,IF(計算用!$Z$37="A",INDEX(手直し!$B$6:$E$42,計算用!$AC$37,MOD(3-計算用!$AA$37+1,4)+1),INDEX(手直し!$G$6:$J$42,計算用!$AC$37,MOD(3-計算用!$AA$37+1,4)+1)),IF(計算用!$Z$37="A",INDEX(組分け!$B$5:$I$41,計算用!$AC$37,(MOD(3-計算用!$AA$37+1,4)+1)*2-1),INDEX(組分け!$L$5:$S$41,計算用!$AC$37,(MOD(3-計算用!$AA$37+1,4)+1)*2-1)))&amp;"")</f>
        <v/>
      </c>
    </row>
    <row r="38" ht="27.75" customHeight="1">
      <c r="A38" s="25">
        <f>計算用!$AD$38</f>
        <v/>
      </c>
      <c r="B38" s="26">
        <f>IF(計算用!$Z$38="","",IF(計算用!$U$24,IF(計算用!$Z$38="A",INDEX(手直し!$B$6:$E$42,計算用!$AC$38,MOD(0-計算用!$AA$38+1,4)+1),INDEX(手直し!$G$6:$J$42,計算用!$AC$38,MOD(0-計算用!$AA$38+1,4)+1)),IF(計算用!$Z$38="A",INDEX(組分け!$B$5:$I$41,計算用!$AC$38,(MOD(0-計算用!$AA$38+1,4)+1)*2-1),INDEX(組分け!$L$5:$S$41,計算用!$AC$38,(MOD(0-計算用!$AA$38+1,4)+1)*2-1)))&amp;"")</f>
        <v/>
      </c>
      <c r="C38" s="26">
        <f>IF(計算用!$Z$38="","",IF(計算用!$U$24,IF(計算用!$Z$38="A",INDEX(手直し!$B$6:$E$42,計算用!$AC$38,MOD(1-計算用!$AA$38+1,4)+1),INDEX(手直し!$G$6:$J$42,計算用!$AC$38,MOD(1-計算用!$AA$38+1,4)+1)),IF(計算用!$Z$38="A",INDEX(組分け!$B$5:$I$41,計算用!$AC$38,(MOD(1-計算用!$AA$38+1,4)+1)*2-1),INDEX(組分け!$L$5:$S$41,計算用!$AC$38,(MOD(1-計算用!$AA$38+1,4)+1)*2-1)))&amp;"")</f>
        <v/>
      </c>
      <c r="D38" s="26">
        <f>IF(計算用!$Z$38="","",IF(計算用!$U$24,IF(計算用!$Z$38="A",INDEX(手直し!$B$6:$E$42,計算用!$AC$38,MOD(2-計算用!$AA$38+1,4)+1),INDEX(手直し!$G$6:$J$42,計算用!$AC$38,MOD(2-計算用!$AA$38+1,4)+1)),IF(計算用!$Z$38="A",INDEX(組分け!$B$5:$I$41,計算用!$AC$38,(MOD(2-計算用!$AA$38+1,4)+1)*2-1),INDEX(組分け!$L$5:$S$41,計算用!$AC$38,(MOD(2-計算用!$AA$38+1,4)+1)*2-1)))&amp;"")</f>
        <v/>
      </c>
      <c r="E38" s="26">
        <f>IF(計算用!$Z$38="","",IF(計算用!$U$24,IF(計算用!$Z$38="A",INDEX(手直し!$B$6:$E$42,計算用!$AC$38,MOD(3-計算用!$AA$38+1,4)+1),INDEX(手直し!$G$6:$J$42,計算用!$AC$38,MOD(3-計算用!$AA$38+1,4)+1)),IF(計算用!$Z$38="A",INDEX(組分け!$B$5:$I$41,計算用!$AC$38,(MOD(3-計算用!$AA$38+1,4)+1)*2-1),INDEX(組分け!$L$5:$S$41,計算用!$AC$38,(MOD(3-計算用!$AA$38+1,4)+1)*2-1)))&amp;"")</f>
        <v/>
      </c>
    </row>
    <row r="39" ht="27.75" customHeight="1">
      <c r="A39" s="25">
        <f>計算用!$AD$39</f>
        <v/>
      </c>
      <c r="B39" s="26">
        <f>IF(計算用!$Z$39="","",IF(計算用!$U$24,IF(計算用!$Z$39="A",INDEX(手直し!$B$6:$E$42,計算用!$AC$39,MOD(0-計算用!$AA$39+1,4)+1),INDEX(手直し!$G$6:$J$42,計算用!$AC$39,MOD(0-計算用!$AA$39+1,4)+1)),IF(計算用!$Z$39="A",INDEX(組分け!$B$5:$I$41,計算用!$AC$39,(MOD(0-計算用!$AA$39+1,4)+1)*2-1),INDEX(組分け!$L$5:$S$41,計算用!$AC$39,(MOD(0-計算用!$AA$39+1,4)+1)*2-1)))&amp;"")</f>
        <v/>
      </c>
      <c r="C39" s="26">
        <f>IF(計算用!$Z$39="","",IF(計算用!$U$24,IF(計算用!$Z$39="A",INDEX(手直し!$B$6:$E$42,計算用!$AC$39,MOD(1-計算用!$AA$39+1,4)+1),INDEX(手直し!$G$6:$J$42,計算用!$AC$39,MOD(1-計算用!$AA$39+1,4)+1)),IF(計算用!$Z$39="A",INDEX(組分け!$B$5:$I$41,計算用!$AC$39,(MOD(1-計算用!$AA$39+1,4)+1)*2-1),INDEX(組分け!$L$5:$S$41,計算用!$AC$39,(MOD(1-計算用!$AA$39+1,4)+1)*2-1)))&amp;"")</f>
        <v/>
      </c>
      <c r="D39" s="26">
        <f>IF(計算用!$Z$39="","",IF(計算用!$U$24,IF(計算用!$Z$39="A",INDEX(手直し!$B$6:$E$42,計算用!$AC$39,MOD(2-計算用!$AA$39+1,4)+1),INDEX(手直し!$G$6:$J$42,計算用!$AC$39,MOD(2-計算用!$AA$39+1,4)+1)),IF(計算用!$Z$39="A",INDEX(組分け!$B$5:$I$41,計算用!$AC$39,(MOD(2-計算用!$AA$39+1,4)+1)*2-1),INDEX(組分け!$L$5:$S$41,計算用!$AC$39,(MOD(2-計算用!$AA$39+1,4)+1)*2-1)))&amp;"")</f>
        <v/>
      </c>
      <c r="E39" s="26">
        <f>IF(計算用!$Z$39="","",IF(計算用!$U$24,IF(計算用!$Z$39="A",INDEX(手直し!$B$6:$E$42,計算用!$AC$39,MOD(3-計算用!$AA$39+1,4)+1),INDEX(手直し!$G$6:$J$42,計算用!$AC$39,MOD(3-計算用!$AA$39+1,4)+1)),IF(計算用!$Z$39="A",INDEX(組分け!$B$5:$I$41,計算用!$AC$39,(MOD(3-計算用!$AA$39+1,4)+1)*2-1),INDEX(組分け!$L$5:$S$41,計算用!$AC$39,(MOD(3-計算用!$AA$39+1,4)+1)*2-1)))&amp;"")</f>
        <v/>
      </c>
    </row>
    <row r="40" ht="27.75" customHeight="1">
      <c r="A40" s="25">
        <f>計算用!$AD$40</f>
        <v/>
      </c>
      <c r="B40" s="26">
        <f>IF(計算用!$Z$40="","",IF(計算用!$U$24,IF(計算用!$Z$40="A",INDEX(手直し!$B$6:$E$42,計算用!$AC$40,MOD(0-計算用!$AA$40+1,4)+1),INDEX(手直し!$G$6:$J$42,計算用!$AC$40,MOD(0-計算用!$AA$40+1,4)+1)),IF(計算用!$Z$40="A",INDEX(組分け!$B$5:$I$41,計算用!$AC$40,(MOD(0-計算用!$AA$40+1,4)+1)*2-1),INDEX(組分け!$L$5:$S$41,計算用!$AC$40,(MOD(0-計算用!$AA$40+1,4)+1)*2-1)))&amp;"")</f>
        <v/>
      </c>
      <c r="C40" s="26">
        <f>IF(計算用!$Z$40="","",IF(計算用!$U$24,IF(計算用!$Z$40="A",INDEX(手直し!$B$6:$E$42,計算用!$AC$40,MOD(1-計算用!$AA$40+1,4)+1),INDEX(手直し!$G$6:$J$42,計算用!$AC$40,MOD(1-計算用!$AA$40+1,4)+1)),IF(計算用!$Z$40="A",INDEX(組分け!$B$5:$I$41,計算用!$AC$40,(MOD(1-計算用!$AA$40+1,4)+1)*2-1),INDEX(組分け!$L$5:$S$41,計算用!$AC$40,(MOD(1-計算用!$AA$40+1,4)+1)*2-1)))&amp;"")</f>
        <v/>
      </c>
      <c r="D40" s="26">
        <f>IF(計算用!$Z$40="","",IF(計算用!$U$24,IF(計算用!$Z$40="A",INDEX(手直し!$B$6:$E$42,計算用!$AC$40,MOD(2-計算用!$AA$40+1,4)+1),INDEX(手直し!$G$6:$J$42,計算用!$AC$40,MOD(2-計算用!$AA$40+1,4)+1)),IF(計算用!$Z$40="A",INDEX(組分け!$B$5:$I$41,計算用!$AC$40,(MOD(2-計算用!$AA$40+1,4)+1)*2-1),INDEX(組分け!$L$5:$S$41,計算用!$AC$40,(MOD(2-計算用!$AA$40+1,4)+1)*2-1)))&amp;"")</f>
        <v/>
      </c>
      <c r="E40" s="26">
        <f>IF(計算用!$Z$40="","",IF(計算用!$U$24,IF(計算用!$Z$40="A",INDEX(手直し!$B$6:$E$42,計算用!$AC$40,MOD(3-計算用!$AA$40+1,4)+1),INDEX(手直し!$G$6:$J$42,計算用!$AC$40,MOD(3-計算用!$AA$40+1,4)+1)),IF(計算用!$Z$40="A",INDEX(組分け!$B$5:$I$41,計算用!$AC$40,(MOD(3-計算用!$AA$40+1,4)+1)*2-1),INDEX(組分け!$L$5:$S$41,計算用!$AC$40,(MOD(3-計算用!$AA$40+1,4)+1)*2-1)))&amp;"")</f>
        <v/>
      </c>
    </row>
    <row r="41" ht="27.75" customHeight="1">
      <c r="A41" s="25">
        <f>計算用!$AD$41</f>
        <v/>
      </c>
      <c r="B41" s="26">
        <f>IF(計算用!$Z$41="","",IF(計算用!$U$24,IF(計算用!$Z$41="A",INDEX(手直し!$B$6:$E$42,計算用!$AC$41,MOD(0-計算用!$AA$41+1,4)+1),INDEX(手直し!$G$6:$J$42,計算用!$AC$41,MOD(0-計算用!$AA$41+1,4)+1)),IF(計算用!$Z$41="A",INDEX(組分け!$B$5:$I$41,計算用!$AC$41,(MOD(0-計算用!$AA$41+1,4)+1)*2-1),INDEX(組分け!$L$5:$S$41,計算用!$AC$41,(MOD(0-計算用!$AA$41+1,4)+1)*2-1)))&amp;"")</f>
        <v/>
      </c>
      <c r="C41" s="26">
        <f>IF(計算用!$Z$41="","",IF(計算用!$U$24,IF(計算用!$Z$41="A",INDEX(手直し!$B$6:$E$42,計算用!$AC$41,MOD(1-計算用!$AA$41+1,4)+1),INDEX(手直し!$G$6:$J$42,計算用!$AC$41,MOD(1-計算用!$AA$41+1,4)+1)),IF(計算用!$Z$41="A",INDEX(組分け!$B$5:$I$41,計算用!$AC$41,(MOD(1-計算用!$AA$41+1,4)+1)*2-1),INDEX(組分け!$L$5:$S$41,計算用!$AC$41,(MOD(1-計算用!$AA$41+1,4)+1)*2-1)))&amp;"")</f>
        <v/>
      </c>
      <c r="D41" s="26">
        <f>IF(計算用!$Z$41="","",IF(計算用!$U$24,IF(計算用!$Z$41="A",INDEX(手直し!$B$6:$E$42,計算用!$AC$41,MOD(2-計算用!$AA$41+1,4)+1),INDEX(手直し!$G$6:$J$42,計算用!$AC$41,MOD(2-計算用!$AA$41+1,4)+1)),IF(計算用!$Z$41="A",INDEX(組分け!$B$5:$I$41,計算用!$AC$41,(MOD(2-計算用!$AA$41+1,4)+1)*2-1),INDEX(組分け!$L$5:$S$41,計算用!$AC$41,(MOD(2-計算用!$AA$41+1,4)+1)*2-1)))&amp;"")</f>
        <v/>
      </c>
      <c r="E41" s="26">
        <f>IF(計算用!$Z$41="","",IF(計算用!$U$24,IF(計算用!$Z$41="A",INDEX(手直し!$B$6:$E$42,計算用!$AC$41,MOD(3-計算用!$AA$41+1,4)+1),INDEX(手直し!$G$6:$J$42,計算用!$AC$41,MOD(3-計算用!$AA$41+1,4)+1)),IF(計算用!$Z$41="A",INDEX(組分け!$B$5:$I$41,計算用!$AC$41,(MOD(3-計算用!$AA$41+1,4)+1)*2-1),INDEX(組分け!$L$5:$S$41,計算用!$AC$41,(MOD(3-計算用!$AA$41+1,4)+1)*2-1)))&amp;"")</f>
        <v/>
      </c>
    </row>
    <row r="42" ht="27.75" customHeight="1">
      <c r="A42" s="25">
        <f>計算用!$AD$42</f>
        <v/>
      </c>
      <c r="B42" s="26">
        <f>IF(計算用!$Z$42="","",IF(計算用!$U$24,IF(計算用!$Z$42="A",INDEX(手直し!$B$6:$E$42,計算用!$AC$42,MOD(0-計算用!$AA$42+1,4)+1),INDEX(手直し!$G$6:$J$42,計算用!$AC$42,MOD(0-計算用!$AA$42+1,4)+1)),IF(計算用!$Z$42="A",INDEX(組分け!$B$5:$I$41,計算用!$AC$42,(MOD(0-計算用!$AA$42+1,4)+1)*2-1),INDEX(組分け!$L$5:$S$41,計算用!$AC$42,(MOD(0-計算用!$AA$42+1,4)+1)*2-1)))&amp;"")</f>
        <v/>
      </c>
      <c r="C42" s="26">
        <f>IF(計算用!$Z$42="","",IF(計算用!$U$24,IF(計算用!$Z$42="A",INDEX(手直し!$B$6:$E$42,計算用!$AC$42,MOD(1-計算用!$AA$42+1,4)+1),INDEX(手直し!$G$6:$J$42,計算用!$AC$42,MOD(1-計算用!$AA$42+1,4)+1)),IF(計算用!$Z$42="A",INDEX(組分け!$B$5:$I$41,計算用!$AC$42,(MOD(1-計算用!$AA$42+1,4)+1)*2-1),INDEX(組分け!$L$5:$S$41,計算用!$AC$42,(MOD(1-計算用!$AA$42+1,4)+1)*2-1)))&amp;"")</f>
        <v/>
      </c>
      <c r="D42" s="26">
        <f>IF(計算用!$Z$42="","",IF(計算用!$U$24,IF(計算用!$Z$42="A",INDEX(手直し!$B$6:$E$42,計算用!$AC$42,MOD(2-計算用!$AA$42+1,4)+1),INDEX(手直し!$G$6:$J$42,計算用!$AC$42,MOD(2-計算用!$AA$42+1,4)+1)),IF(計算用!$Z$42="A",INDEX(組分け!$B$5:$I$41,計算用!$AC$42,(MOD(2-計算用!$AA$42+1,4)+1)*2-1),INDEX(組分け!$L$5:$S$41,計算用!$AC$42,(MOD(2-計算用!$AA$42+1,4)+1)*2-1)))&amp;"")</f>
        <v/>
      </c>
      <c r="E42" s="26">
        <f>IF(計算用!$Z$42="","",IF(計算用!$U$24,IF(計算用!$Z$42="A",INDEX(手直し!$B$6:$E$42,計算用!$AC$42,MOD(3-計算用!$AA$42+1,4)+1),INDEX(手直し!$G$6:$J$42,計算用!$AC$42,MOD(3-計算用!$AA$42+1,4)+1)),IF(計算用!$Z$42="A",INDEX(組分け!$B$5:$I$41,計算用!$AC$42,(MOD(3-計算用!$AA$42+1,4)+1)*2-1),INDEX(組分け!$L$5:$S$41,計算用!$AC$42,(MOD(3-計算用!$AA$42+1,4)+1)*2-1)))&amp;"")</f>
        <v/>
      </c>
    </row>
    <row r="43" ht="27.75" customHeight="1">
      <c r="A43" s="25">
        <f>計算用!$AD$43</f>
        <v/>
      </c>
      <c r="B43" s="26">
        <f>IF(計算用!$Z$43="","",IF(計算用!$U$24,IF(計算用!$Z$43="A",INDEX(手直し!$B$6:$E$42,計算用!$AC$43,MOD(0-計算用!$AA$43+1,4)+1),INDEX(手直し!$G$6:$J$42,計算用!$AC$43,MOD(0-計算用!$AA$43+1,4)+1)),IF(計算用!$Z$43="A",INDEX(組分け!$B$5:$I$41,計算用!$AC$43,(MOD(0-計算用!$AA$43+1,4)+1)*2-1),INDEX(組分け!$L$5:$S$41,計算用!$AC$43,(MOD(0-計算用!$AA$43+1,4)+1)*2-1)))&amp;"")</f>
        <v/>
      </c>
      <c r="C43" s="26">
        <f>IF(計算用!$Z$43="","",IF(計算用!$U$24,IF(計算用!$Z$43="A",INDEX(手直し!$B$6:$E$42,計算用!$AC$43,MOD(1-計算用!$AA$43+1,4)+1),INDEX(手直し!$G$6:$J$42,計算用!$AC$43,MOD(1-計算用!$AA$43+1,4)+1)),IF(計算用!$Z$43="A",INDEX(組分け!$B$5:$I$41,計算用!$AC$43,(MOD(1-計算用!$AA$43+1,4)+1)*2-1),INDEX(組分け!$L$5:$S$41,計算用!$AC$43,(MOD(1-計算用!$AA$43+1,4)+1)*2-1)))&amp;"")</f>
        <v/>
      </c>
      <c r="D43" s="26">
        <f>IF(計算用!$Z$43="","",IF(計算用!$U$24,IF(計算用!$Z$43="A",INDEX(手直し!$B$6:$E$42,計算用!$AC$43,MOD(2-計算用!$AA$43+1,4)+1),INDEX(手直し!$G$6:$J$42,計算用!$AC$43,MOD(2-計算用!$AA$43+1,4)+1)),IF(計算用!$Z$43="A",INDEX(組分け!$B$5:$I$41,計算用!$AC$43,(MOD(2-計算用!$AA$43+1,4)+1)*2-1),INDEX(組分け!$L$5:$S$41,計算用!$AC$43,(MOD(2-計算用!$AA$43+1,4)+1)*2-1)))&amp;"")</f>
        <v/>
      </c>
      <c r="E43" s="26">
        <f>IF(計算用!$Z$43="","",IF(計算用!$U$24,IF(計算用!$Z$43="A",INDEX(手直し!$B$6:$E$42,計算用!$AC$43,MOD(3-計算用!$AA$43+1,4)+1),INDEX(手直し!$G$6:$J$42,計算用!$AC$43,MOD(3-計算用!$AA$43+1,4)+1)),IF(計算用!$Z$43="A",INDEX(組分け!$B$5:$I$41,計算用!$AC$43,(MOD(3-計算用!$AA$43+1,4)+1)*2-1),INDEX(組分け!$L$5:$S$41,計算用!$AC$43,(MOD(3-計算用!$AA$43+1,4)+1)*2-1)))&amp;"")</f>
        <v/>
      </c>
    </row>
    <row r="44" ht="27.75" customHeight="1">
      <c r="A44" s="25">
        <f>計算用!$AD$44</f>
        <v/>
      </c>
      <c r="B44" s="26">
        <f>IF(計算用!$Z$44="","",IF(計算用!$U$24,IF(計算用!$Z$44="A",INDEX(手直し!$B$6:$E$42,計算用!$AC$44,MOD(0-計算用!$AA$44+1,4)+1),INDEX(手直し!$G$6:$J$42,計算用!$AC$44,MOD(0-計算用!$AA$44+1,4)+1)),IF(計算用!$Z$44="A",INDEX(組分け!$B$5:$I$41,計算用!$AC$44,(MOD(0-計算用!$AA$44+1,4)+1)*2-1),INDEX(組分け!$L$5:$S$41,計算用!$AC$44,(MOD(0-計算用!$AA$44+1,4)+1)*2-1)))&amp;"")</f>
        <v/>
      </c>
      <c r="C44" s="26">
        <f>IF(計算用!$Z$44="","",IF(計算用!$U$24,IF(計算用!$Z$44="A",INDEX(手直し!$B$6:$E$42,計算用!$AC$44,MOD(1-計算用!$AA$44+1,4)+1),INDEX(手直し!$G$6:$J$42,計算用!$AC$44,MOD(1-計算用!$AA$44+1,4)+1)),IF(計算用!$Z$44="A",INDEX(組分け!$B$5:$I$41,計算用!$AC$44,(MOD(1-計算用!$AA$44+1,4)+1)*2-1),INDEX(組分け!$L$5:$S$41,計算用!$AC$44,(MOD(1-計算用!$AA$44+1,4)+1)*2-1)))&amp;"")</f>
        <v/>
      </c>
      <c r="D44" s="26">
        <f>IF(計算用!$Z$44="","",IF(計算用!$U$24,IF(計算用!$Z$44="A",INDEX(手直し!$B$6:$E$42,計算用!$AC$44,MOD(2-計算用!$AA$44+1,4)+1),INDEX(手直し!$G$6:$J$42,計算用!$AC$44,MOD(2-計算用!$AA$44+1,4)+1)),IF(計算用!$Z$44="A",INDEX(組分け!$B$5:$I$41,計算用!$AC$44,(MOD(2-計算用!$AA$44+1,4)+1)*2-1),INDEX(組分け!$L$5:$S$41,計算用!$AC$44,(MOD(2-計算用!$AA$44+1,4)+1)*2-1)))&amp;"")</f>
        <v/>
      </c>
      <c r="E44" s="26">
        <f>IF(計算用!$Z$44="","",IF(計算用!$U$24,IF(計算用!$Z$44="A",INDEX(手直し!$B$6:$E$42,計算用!$AC$44,MOD(3-計算用!$AA$44+1,4)+1),INDEX(手直し!$G$6:$J$42,計算用!$AC$44,MOD(3-計算用!$AA$44+1,4)+1)),IF(計算用!$Z$44="A",INDEX(組分け!$B$5:$I$41,計算用!$AC$44,(MOD(3-計算用!$AA$44+1,4)+1)*2-1),INDEX(組分け!$L$5:$S$41,計算用!$AC$44,(MOD(3-計算用!$AA$44+1,4)+1)*2-1)))&amp;"")</f>
        <v/>
      </c>
    </row>
    <row r="45" ht="27.75" customHeight="1">
      <c r="A45" s="25">
        <f>計算用!$AD$45</f>
        <v/>
      </c>
      <c r="B45" s="26">
        <f>IF(計算用!$Z$45="","",IF(計算用!$U$24,IF(計算用!$Z$45="A",INDEX(手直し!$B$6:$E$42,計算用!$AC$45,MOD(0-計算用!$AA$45+1,4)+1),INDEX(手直し!$G$6:$J$42,計算用!$AC$45,MOD(0-計算用!$AA$45+1,4)+1)),IF(計算用!$Z$45="A",INDEX(組分け!$B$5:$I$41,計算用!$AC$45,(MOD(0-計算用!$AA$45+1,4)+1)*2-1),INDEX(組分け!$L$5:$S$41,計算用!$AC$45,(MOD(0-計算用!$AA$45+1,4)+1)*2-1)))&amp;"")</f>
        <v/>
      </c>
      <c r="C45" s="26">
        <f>IF(計算用!$Z$45="","",IF(計算用!$U$24,IF(計算用!$Z$45="A",INDEX(手直し!$B$6:$E$42,計算用!$AC$45,MOD(1-計算用!$AA$45+1,4)+1),INDEX(手直し!$G$6:$J$42,計算用!$AC$45,MOD(1-計算用!$AA$45+1,4)+1)),IF(計算用!$Z$45="A",INDEX(組分け!$B$5:$I$41,計算用!$AC$45,(MOD(1-計算用!$AA$45+1,4)+1)*2-1),INDEX(組分け!$L$5:$S$41,計算用!$AC$45,(MOD(1-計算用!$AA$45+1,4)+1)*2-1)))&amp;"")</f>
        <v/>
      </c>
      <c r="D45" s="26">
        <f>IF(計算用!$Z$45="","",IF(計算用!$U$24,IF(計算用!$Z$45="A",INDEX(手直し!$B$6:$E$42,計算用!$AC$45,MOD(2-計算用!$AA$45+1,4)+1),INDEX(手直し!$G$6:$J$42,計算用!$AC$45,MOD(2-計算用!$AA$45+1,4)+1)),IF(計算用!$Z$45="A",INDEX(組分け!$B$5:$I$41,計算用!$AC$45,(MOD(2-計算用!$AA$45+1,4)+1)*2-1),INDEX(組分け!$L$5:$S$41,計算用!$AC$45,(MOD(2-計算用!$AA$45+1,4)+1)*2-1)))&amp;"")</f>
        <v/>
      </c>
      <c r="E45" s="26">
        <f>IF(計算用!$Z$45="","",IF(計算用!$U$24,IF(計算用!$Z$45="A",INDEX(手直し!$B$6:$E$42,計算用!$AC$45,MOD(3-計算用!$AA$45+1,4)+1),INDEX(手直し!$G$6:$J$42,計算用!$AC$45,MOD(3-計算用!$AA$45+1,4)+1)),IF(計算用!$Z$45="A",INDEX(組分け!$B$5:$I$41,計算用!$AC$45,(MOD(3-計算用!$AA$45+1,4)+1)*2-1),INDEX(組分け!$L$5:$S$41,計算用!$AC$45,(MOD(3-計算用!$AA$45+1,4)+1)*2-1)))&amp;"")</f>
        <v/>
      </c>
    </row>
    <row r="46" ht="27.75" customHeight="1">
      <c r="A46" s="25">
        <f>計算用!$AD$46</f>
        <v/>
      </c>
      <c r="B46" s="26">
        <f>IF(計算用!$Z$46="","",IF(計算用!$U$24,IF(計算用!$Z$46="A",INDEX(手直し!$B$6:$E$42,計算用!$AC$46,MOD(0-計算用!$AA$46+1,4)+1),INDEX(手直し!$G$6:$J$42,計算用!$AC$46,MOD(0-計算用!$AA$46+1,4)+1)),IF(計算用!$Z$46="A",INDEX(組分け!$B$5:$I$41,計算用!$AC$46,(MOD(0-計算用!$AA$46+1,4)+1)*2-1),INDEX(組分け!$L$5:$S$41,計算用!$AC$46,(MOD(0-計算用!$AA$46+1,4)+1)*2-1)))&amp;"")</f>
        <v/>
      </c>
      <c r="C46" s="26">
        <f>IF(計算用!$Z$46="","",IF(計算用!$U$24,IF(計算用!$Z$46="A",INDEX(手直し!$B$6:$E$42,計算用!$AC$46,MOD(1-計算用!$AA$46+1,4)+1),INDEX(手直し!$G$6:$J$42,計算用!$AC$46,MOD(1-計算用!$AA$46+1,4)+1)),IF(計算用!$Z$46="A",INDEX(組分け!$B$5:$I$41,計算用!$AC$46,(MOD(1-計算用!$AA$46+1,4)+1)*2-1),INDEX(組分け!$L$5:$S$41,計算用!$AC$46,(MOD(1-計算用!$AA$46+1,4)+1)*2-1)))&amp;"")</f>
        <v/>
      </c>
      <c r="D46" s="26">
        <f>IF(計算用!$Z$46="","",IF(計算用!$U$24,IF(計算用!$Z$46="A",INDEX(手直し!$B$6:$E$42,計算用!$AC$46,MOD(2-計算用!$AA$46+1,4)+1),INDEX(手直し!$G$6:$J$42,計算用!$AC$46,MOD(2-計算用!$AA$46+1,4)+1)),IF(計算用!$Z$46="A",INDEX(組分け!$B$5:$I$41,計算用!$AC$46,(MOD(2-計算用!$AA$46+1,4)+1)*2-1),INDEX(組分け!$L$5:$S$41,計算用!$AC$46,(MOD(2-計算用!$AA$46+1,4)+1)*2-1)))&amp;"")</f>
        <v/>
      </c>
      <c r="E46" s="26">
        <f>IF(計算用!$Z$46="","",IF(計算用!$U$24,IF(計算用!$Z$46="A",INDEX(手直し!$B$6:$E$42,計算用!$AC$46,MOD(3-計算用!$AA$46+1,4)+1),INDEX(手直し!$G$6:$J$42,計算用!$AC$46,MOD(3-計算用!$AA$46+1,4)+1)),IF(計算用!$Z$46="A",INDEX(組分け!$B$5:$I$41,計算用!$AC$46,(MOD(3-計算用!$AA$46+1,4)+1)*2-1),INDEX(組分け!$L$5:$S$41,計算用!$AC$46,(MOD(3-計算用!$AA$46+1,4)+1)*2-1)))&amp;"")</f>
        <v/>
      </c>
    </row>
    <row r="47" ht="27.75" customHeight="1">
      <c r="A47" s="25">
        <f>計算用!$AD$47</f>
        <v/>
      </c>
      <c r="B47" s="26">
        <f>IF(計算用!$Z$47="","",IF(計算用!$U$24,IF(計算用!$Z$47="A",INDEX(手直し!$B$6:$E$42,計算用!$AC$47,MOD(0-計算用!$AA$47+1,4)+1),INDEX(手直し!$G$6:$J$42,計算用!$AC$47,MOD(0-計算用!$AA$47+1,4)+1)),IF(計算用!$Z$47="A",INDEX(組分け!$B$5:$I$41,計算用!$AC$47,(MOD(0-計算用!$AA$47+1,4)+1)*2-1),INDEX(組分け!$L$5:$S$41,計算用!$AC$47,(MOD(0-計算用!$AA$47+1,4)+1)*2-1)))&amp;"")</f>
        <v/>
      </c>
      <c r="C47" s="26">
        <f>IF(計算用!$Z$47="","",IF(計算用!$U$24,IF(計算用!$Z$47="A",INDEX(手直し!$B$6:$E$42,計算用!$AC$47,MOD(1-計算用!$AA$47+1,4)+1),INDEX(手直し!$G$6:$J$42,計算用!$AC$47,MOD(1-計算用!$AA$47+1,4)+1)),IF(計算用!$Z$47="A",INDEX(組分け!$B$5:$I$41,計算用!$AC$47,(MOD(1-計算用!$AA$47+1,4)+1)*2-1),INDEX(組分け!$L$5:$S$41,計算用!$AC$47,(MOD(1-計算用!$AA$47+1,4)+1)*2-1)))&amp;"")</f>
        <v/>
      </c>
      <c r="D47" s="26">
        <f>IF(計算用!$Z$47="","",IF(計算用!$U$24,IF(計算用!$Z$47="A",INDEX(手直し!$B$6:$E$42,計算用!$AC$47,MOD(2-計算用!$AA$47+1,4)+1),INDEX(手直し!$G$6:$J$42,計算用!$AC$47,MOD(2-計算用!$AA$47+1,4)+1)),IF(計算用!$Z$47="A",INDEX(組分け!$B$5:$I$41,計算用!$AC$47,(MOD(2-計算用!$AA$47+1,4)+1)*2-1),INDEX(組分け!$L$5:$S$41,計算用!$AC$47,(MOD(2-計算用!$AA$47+1,4)+1)*2-1)))&amp;"")</f>
        <v/>
      </c>
      <c r="E47" s="26">
        <f>IF(計算用!$Z$47="","",IF(計算用!$U$24,IF(計算用!$Z$47="A",INDEX(手直し!$B$6:$E$42,計算用!$AC$47,MOD(3-計算用!$AA$47+1,4)+1),INDEX(手直し!$G$6:$J$42,計算用!$AC$47,MOD(3-計算用!$AA$47+1,4)+1)),IF(計算用!$Z$47="A",INDEX(組分け!$B$5:$I$41,計算用!$AC$47,(MOD(3-計算用!$AA$47+1,4)+1)*2-1),INDEX(組分け!$L$5:$S$41,計算用!$AC$47,(MOD(3-計算用!$AA$47+1,4)+1)*2-1)))&amp;"")</f>
        <v/>
      </c>
    </row>
    <row r="48" ht="27.75" customHeight="1">
      <c r="A48" s="25">
        <f>計算用!$AD$48</f>
        <v/>
      </c>
      <c r="B48" s="26">
        <f>IF(計算用!$Z$48="","",IF(計算用!$U$24,IF(計算用!$Z$48="A",INDEX(手直し!$B$6:$E$42,計算用!$AC$48,MOD(0-計算用!$AA$48+1,4)+1),INDEX(手直し!$G$6:$J$42,計算用!$AC$48,MOD(0-計算用!$AA$48+1,4)+1)),IF(計算用!$Z$48="A",INDEX(組分け!$B$5:$I$41,計算用!$AC$48,(MOD(0-計算用!$AA$48+1,4)+1)*2-1),INDEX(組分け!$L$5:$S$41,計算用!$AC$48,(MOD(0-計算用!$AA$48+1,4)+1)*2-1)))&amp;"")</f>
        <v/>
      </c>
      <c r="C48" s="26">
        <f>IF(計算用!$Z$48="","",IF(計算用!$U$24,IF(計算用!$Z$48="A",INDEX(手直し!$B$6:$E$42,計算用!$AC$48,MOD(1-計算用!$AA$48+1,4)+1),INDEX(手直し!$G$6:$J$42,計算用!$AC$48,MOD(1-計算用!$AA$48+1,4)+1)),IF(計算用!$Z$48="A",INDEX(組分け!$B$5:$I$41,計算用!$AC$48,(MOD(1-計算用!$AA$48+1,4)+1)*2-1),INDEX(組分け!$L$5:$S$41,計算用!$AC$48,(MOD(1-計算用!$AA$48+1,4)+1)*2-1)))&amp;"")</f>
        <v/>
      </c>
      <c r="D48" s="26">
        <f>IF(計算用!$Z$48="","",IF(計算用!$U$24,IF(計算用!$Z$48="A",INDEX(手直し!$B$6:$E$42,計算用!$AC$48,MOD(2-計算用!$AA$48+1,4)+1),INDEX(手直し!$G$6:$J$42,計算用!$AC$48,MOD(2-計算用!$AA$48+1,4)+1)),IF(計算用!$Z$48="A",INDEX(組分け!$B$5:$I$41,計算用!$AC$48,(MOD(2-計算用!$AA$48+1,4)+1)*2-1),INDEX(組分け!$L$5:$S$41,計算用!$AC$48,(MOD(2-計算用!$AA$48+1,4)+1)*2-1)))&amp;"")</f>
        <v/>
      </c>
      <c r="E48" s="26">
        <f>IF(計算用!$Z$48="","",IF(計算用!$U$24,IF(計算用!$Z$48="A",INDEX(手直し!$B$6:$E$42,計算用!$AC$48,MOD(3-計算用!$AA$48+1,4)+1),INDEX(手直し!$G$6:$J$42,計算用!$AC$48,MOD(3-計算用!$AA$48+1,4)+1)),IF(計算用!$Z$48="A",INDEX(組分け!$B$5:$I$41,計算用!$AC$48,(MOD(3-計算用!$AA$48+1,4)+1)*2-1),INDEX(組分け!$L$5:$S$41,計算用!$AC$48,(MOD(3-計算用!$AA$48+1,4)+1)*2-1)))&amp;"")</f>
        <v/>
      </c>
    </row>
    <row r="49" ht="27.75" customHeight="1">
      <c r="A49" s="25">
        <f>計算用!$AD$49</f>
        <v/>
      </c>
      <c r="B49" s="26">
        <f>IF(計算用!$Z$49="","",IF(計算用!$U$24,IF(計算用!$Z$49="A",INDEX(手直し!$B$6:$E$42,計算用!$AC$49,MOD(0-計算用!$AA$49+1,4)+1),INDEX(手直し!$G$6:$J$42,計算用!$AC$49,MOD(0-計算用!$AA$49+1,4)+1)),IF(計算用!$Z$49="A",INDEX(組分け!$B$5:$I$41,計算用!$AC$49,(MOD(0-計算用!$AA$49+1,4)+1)*2-1),INDEX(組分け!$L$5:$S$41,計算用!$AC$49,(MOD(0-計算用!$AA$49+1,4)+1)*2-1)))&amp;"")</f>
        <v/>
      </c>
      <c r="C49" s="26">
        <f>IF(計算用!$Z$49="","",IF(計算用!$U$24,IF(計算用!$Z$49="A",INDEX(手直し!$B$6:$E$42,計算用!$AC$49,MOD(1-計算用!$AA$49+1,4)+1),INDEX(手直し!$G$6:$J$42,計算用!$AC$49,MOD(1-計算用!$AA$49+1,4)+1)),IF(計算用!$Z$49="A",INDEX(組分け!$B$5:$I$41,計算用!$AC$49,(MOD(1-計算用!$AA$49+1,4)+1)*2-1),INDEX(組分け!$L$5:$S$41,計算用!$AC$49,(MOD(1-計算用!$AA$49+1,4)+1)*2-1)))&amp;"")</f>
        <v/>
      </c>
      <c r="D49" s="26">
        <f>IF(計算用!$Z$49="","",IF(計算用!$U$24,IF(計算用!$Z$49="A",INDEX(手直し!$B$6:$E$42,計算用!$AC$49,MOD(2-計算用!$AA$49+1,4)+1),INDEX(手直し!$G$6:$J$42,計算用!$AC$49,MOD(2-計算用!$AA$49+1,4)+1)),IF(計算用!$Z$49="A",INDEX(組分け!$B$5:$I$41,計算用!$AC$49,(MOD(2-計算用!$AA$49+1,4)+1)*2-1),INDEX(組分け!$L$5:$S$41,計算用!$AC$49,(MOD(2-計算用!$AA$49+1,4)+1)*2-1)))&amp;"")</f>
        <v/>
      </c>
      <c r="E49" s="26">
        <f>IF(計算用!$Z$49="","",IF(計算用!$U$24,IF(計算用!$Z$49="A",INDEX(手直し!$B$6:$E$42,計算用!$AC$49,MOD(3-計算用!$AA$49+1,4)+1),INDEX(手直し!$G$6:$J$42,計算用!$AC$49,MOD(3-計算用!$AA$49+1,4)+1)),IF(計算用!$Z$49="A",INDEX(組分け!$B$5:$I$41,計算用!$AC$49,(MOD(3-計算用!$AA$49+1,4)+1)*2-1),INDEX(組分け!$L$5:$S$41,計算用!$AC$49,(MOD(3-計算用!$AA$49+1,4)+1)*2-1)))&amp;"")</f>
        <v/>
      </c>
    </row>
    <row r="50" ht="27.75" customHeight="1">
      <c r="A50" s="25">
        <f>計算用!$AD$50</f>
        <v/>
      </c>
      <c r="B50" s="26">
        <f>IF(計算用!$Z$50="","",IF(計算用!$U$24,IF(計算用!$Z$50="A",INDEX(手直し!$B$6:$E$42,計算用!$AC$50,MOD(0-計算用!$AA$50+1,4)+1),INDEX(手直し!$G$6:$J$42,計算用!$AC$50,MOD(0-計算用!$AA$50+1,4)+1)),IF(計算用!$Z$50="A",INDEX(組分け!$B$5:$I$41,計算用!$AC$50,(MOD(0-計算用!$AA$50+1,4)+1)*2-1),INDEX(組分け!$L$5:$S$41,計算用!$AC$50,(MOD(0-計算用!$AA$50+1,4)+1)*2-1)))&amp;"")</f>
        <v/>
      </c>
      <c r="C50" s="26">
        <f>IF(計算用!$Z$50="","",IF(計算用!$U$24,IF(計算用!$Z$50="A",INDEX(手直し!$B$6:$E$42,計算用!$AC$50,MOD(1-計算用!$AA$50+1,4)+1),INDEX(手直し!$G$6:$J$42,計算用!$AC$50,MOD(1-計算用!$AA$50+1,4)+1)),IF(計算用!$Z$50="A",INDEX(組分け!$B$5:$I$41,計算用!$AC$50,(MOD(1-計算用!$AA$50+1,4)+1)*2-1),INDEX(組分け!$L$5:$S$41,計算用!$AC$50,(MOD(1-計算用!$AA$50+1,4)+1)*2-1)))&amp;"")</f>
        <v/>
      </c>
      <c r="D50" s="26">
        <f>IF(計算用!$Z$50="","",IF(計算用!$U$24,IF(計算用!$Z$50="A",INDEX(手直し!$B$6:$E$42,計算用!$AC$50,MOD(2-計算用!$AA$50+1,4)+1),INDEX(手直し!$G$6:$J$42,計算用!$AC$50,MOD(2-計算用!$AA$50+1,4)+1)),IF(計算用!$Z$50="A",INDEX(組分け!$B$5:$I$41,計算用!$AC$50,(MOD(2-計算用!$AA$50+1,4)+1)*2-1),INDEX(組分け!$L$5:$S$41,計算用!$AC$50,(MOD(2-計算用!$AA$50+1,4)+1)*2-1)))&amp;"")</f>
        <v/>
      </c>
      <c r="E50" s="26">
        <f>IF(計算用!$Z$50="","",IF(計算用!$U$24,IF(計算用!$Z$50="A",INDEX(手直し!$B$6:$E$42,計算用!$AC$50,MOD(3-計算用!$AA$50+1,4)+1),INDEX(手直し!$G$6:$J$42,計算用!$AC$50,MOD(3-計算用!$AA$50+1,4)+1)),IF(計算用!$Z$50="A",INDEX(組分け!$B$5:$I$41,計算用!$AC$50,(MOD(3-計算用!$AA$50+1,4)+1)*2-1),INDEX(組分け!$L$5:$S$41,計算用!$AC$50,(MOD(3-計算用!$AA$50+1,4)+1)*2-1)))&amp;"")</f>
        <v/>
      </c>
    </row>
    <row r="51" ht="27.75" customHeight="1">
      <c r="A51" s="25">
        <f>計算用!$AD$51</f>
        <v/>
      </c>
      <c r="B51" s="26">
        <f>IF(計算用!$Z$51="","",IF(計算用!$U$24,IF(計算用!$Z$51="A",INDEX(手直し!$B$6:$E$42,計算用!$AC$51,MOD(0-計算用!$AA$51+1,4)+1),INDEX(手直し!$G$6:$J$42,計算用!$AC$51,MOD(0-計算用!$AA$51+1,4)+1)),IF(計算用!$Z$51="A",INDEX(組分け!$B$5:$I$41,計算用!$AC$51,(MOD(0-計算用!$AA$51+1,4)+1)*2-1),INDEX(組分け!$L$5:$S$41,計算用!$AC$51,(MOD(0-計算用!$AA$51+1,4)+1)*2-1)))&amp;"")</f>
        <v/>
      </c>
      <c r="C51" s="26">
        <f>IF(計算用!$Z$51="","",IF(計算用!$U$24,IF(計算用!$Z$51="A",INDEX(手直し!$B$6:$E$42,計算用!$AC$51,MOD(1-計算用!$AA$51+1,4)+1),INDEX(手直し!$G$6:$J$42,計算用!$AC$51,MOD(1-計算用!$AA$51+1,4)+1)),IF(計算用!$Z$51="A",INDEX(組分け!$B$5:$I$41,計算用!$AC$51,(MOD(1-計算用!$AA$51+1,4)+1)*2-1),INDEX(組分け!$L$5:$S$41,計算用!$AC$51,(MOD(1-計算用!$AA$51+1,4)+1)*2-1)))&amp;"")</f>
        <v/>
      </c>
      <c r="D51" s="26">
        <f>IF(計算用!$Z$51="","",IF(計算用!$U$24,IF(計算用!$Z$51="A",INDEX(手直し!$B$6:$E$42,計算用!$AC$51,MOD(2-計算用!$AA$51+1,4)+1),INDEX(手直し!$G$6:$J$42,計算用!$AC$51,MOD(2-計算用!$AA$51+1,4)+1)),IF(計算用!$Z$51="A",INDEX(組分け!$B$5:$I$41,計算用!$AC$51,(MOD(2-計算用!$AA$51+1,4)+1)*2-1),INDEX(組分け!$L$5:$S$41,計算用!$AC$51,(MOD(2-計算用!$AA$51+1,4)+1)*2-1)))&amp;"")</f>
        <v/>
      </c>
      <c r="E51" s="26">
        <f>IF(計算用!$Z$51="","",IF(計算用!$U$24,IF(計算用!$Z$51="A",INDEX(手直し!$B$6:$E$42,計算用!$AC$51,MOD(3-計算用!$AA$51+1,4)+1),INDEX(手直し!$G$6:$J$42,計算用!$AC$51,MOD(3-計算用!$AA$51+1,4)+1)),IF(計算用!$Z$51="A",INDEX(組分け!$B$5:$I$41,計算用!$AC$51,(MOD(3-計算用!$AA$51+1,4)+1)*2-1),INDEX(組分け!$L$5:$S$41,計算用!$AC$51,(MOD(3-計算用!$AA$51+1,4)+1)*2-1)))&amp;"")</f>
        <v/>
      </c>
    </row>
    <row r="52" ht="27.75" customHeight="1">
      <c r="A52" s="25">
        <f>計算用!$AD$52</f>
        <v/>
      </c>
      <c r="B52" s="26">
        <f>IF(計算用!$Z$52="","",IF(計算用!$U$24,IF(計算用!$Z$52="A",INDEX(手直し!$B$6:$E$42,計算用!$AC$52,MOD(0-計算用!$AA$52+1,4)+1),INDEX(手直し!$G$6:$J$42,計算用!$AC$52,MOD(0-計算用!$AA$52+1,4)+1)),IF(計算用!$Z$52="A",INDEX(組分け!$B$5:$I$41,計算用!$AC$52,(MOD(0-計算用!$AA$52+1,4)+1)*2-1),INDEX(組分け!$L$5:$S$41,計算用!$AC$52,(MOD(0-計算用!$AA$52+1,4)+1)*2-1)))&amp;"")</f>
        <v/>
      </c>
      <c r="C52" s="26">
        <f>IF(計算用!$Z$52="","",IF(計算用!$U$24,IF(計算用!$Z$52="A",INDEX(手直し!$B$6:$E$42,計算用!$AC$52,MOD(1-計算用!$AA$52+1,4)+1),INDEX(手直し!$G$6:$J$42,計算用!$AC$52,MOD(1-計算用!$AA$52+1,4)+1)),IF(計算用!$Z$52="A",INDEX(組分け!$B$5:$I$41,計算用!$AC$52,(MOD(1-計算用!$AA$52+1,4)+1)*2-1),INDEX(組分け!$L$5:$S$41,計算用!$AC$52,(MOD(1-計算用!$AA$52+1,4)+1)*2-1)))&amp;"")</f>
        <v/>
      </c>
      <c r="D52" s="26">
        <f>IF(計算用!$Z$52="","",IF(計算用!$U$24,IF(計算用!$Z$52="A",INDEX(手直し!$B$6:$E$42,計算用!$AC$52,MOD(2-計算用!$AA$52+1,4)+1),INDEX(手直し!$G$6:$J$42,計算用!$AC$52,MOD(2-計算用!$AA$52+1,4)+1)),IF(計算用!$Z$52="A",INDEX(組分け!$B$5:$I$41,計算用!$AC$52,(MOD(2-計算用!$AA$52+1,4)+1)*2-1),INDEX(組分け!$L$5:$S$41,計算用!$AC$52,(MOD(2-計算用!$AA$52+1,4)+1)*2-1)))&amp;"")</f>
        <v/>
      </c>
      <c r="E52" s="26">
        <f>IF(計算用!$Z$52="","",IF(計算用!$U$24,IF(計算用!$Z$52="A",INDEX(手直し!$B$6:$E$42,計算用!$AC$52,MOD(3-計算用!$AA$52+1,4)+1),INDEX(手直し!$G$6:$J$42,計算用!$AC$52,MOD(3-計算用!$AA$52+1,4)+1)),IF(計算用!$Z$52="A",INDEX(組分け!$B$5:$I$41,計算用!$AC$52,(MOD(3-計算用!$AA$52+1,4)+1)*2-1),INDEX(組分け!$L$5:$S$41,計算用!$AC$52,(MOD(3-計算用!$AA$52+1,4)+1)*2-1)))&amp;"")</f>
        <v/>
      </c>
    </row>
    <row r="53" ht="27.75" customHeight="1">
      <c r="A53" s="25">
        <f>計算用!$AD$53</f>
        <v/>
      </c>
      <c r="B53" s="26">
        <f>IF(計算用!$Z$53="","",IF(計算用!$U$24,IF(計算用!$Z$53="A",INDEX(手直し!$B$6:$E$42,計算用!$AC$53,MOD(0-計算用!$AA$53+1,4)+1),INDEX(手直し!$G$6:$J$42,計算用!$AC$53,MOD(0-計算用!$AA$53+1,4)+1)),IF(計算用!$Z$53="A",INDEX(組分け!$B$5:$I$41,計算用!$AC$53,(MOD(0-計算用!$AA$53+1,4)+1)*2-1),INDEX(組分け!$L$5:$S$41,計算用!$AC$53,(MOD(0-計算用!$AA$53+1,4)+1)*2-1)))&amp;"")</f>
        <v/>
      </c>
      <c r="C53" s="26">
        <f>IF(計算用!$Z$53="","",IF(計算用!$U$24,IF(計算用!$Z$53="A",INDEX(手直し!$B$6:$E$42,計算用!$AC$53,MOD(1-計算用!$AA$53+1,4)+1),INDEX(手直し!$G$6:$J$42,計算用!$AC$53,MOD(1-計算用!$AA$53+1,4)+1)),IF(計算用!$Z$53="A",INDEX(組分け!$B$5:$I$41,計算用!$AC$53,(MOD(1-計算用!$AA$53+1,4)+1)*2-1),INDEX(組分け!$L$5:$S$41,計算用!$AC$53,(MOD(1-計算用!$AA$53+1,4)+1)*2-1)))&amp;"")</f>
        <v/>
      </c>
      <c r="D53" s="26">
        <f>IF(計算用!$Z$53="","",IF(計算用!$U$24,IF(計算用!$Z$53="A",INDEX(手直し!$B$6:$E$42,計算用!$AC$53,MOD(2-計算用!$AA$53+1,4)+1),INDEX(手直し!$G$6:$J$42,計算用!$AC$53,MOD(2-計算用!$AA$53+1,4)+1)),IF(計算用!$Z$53="A",INDEX(組分け!$B$5:$I$41,計算用!$AC$53,(MOD(2-計算用!$AA$53+1,4)+1)*2-1),INDEX(組分け!$L$5:$S$41,計算用!$AC$53,(MOD(2-計算用!$AA$53+1,4)+1)*2-1)))&amp;"")</f>
        <v/>
      </c>
      <c r="E53" s="26">
        <f>IF(計算用!$Z$53="","",IF(計算用!$U$24,IF(計算用!$Z$53="A",INDEX(手直し!$B$6:$E$42,計算用!$AC$53,MOD(3-計算用!$AA$53+1,4)+1),INDEX(手直し!$G$6:$J$42,計算用!$AC$53,MOD(3-計算用!$AA$53+1,4)+1)),IF(計算用!$Z$53="A",INDEX(組分け!$B$5:$I$41,計算用!$AC$53,(MOD(3-計算用!$AA$53+1,4)+1)*2-1),INDEX(組分け!$L$5:$S$41,計算用!$AC$53,(MOD(3-計算用!$AA$53+1,4)+1)*2-1)))&amp;"")</f>
        <v/>
      </c>
    </row>
    <row r="54" ht="27.75" customHeight="1">
      <c r="A54" s="25">
        <f>計算用!$AD$54</f>
        <v/>
      </c>
      <c r="B54" s="26">
        <f>IF(計算用!$Z$54="","",IF(計算用!$U$24,IF(計算用!$Z$54="A",INDEX(手直し!$B$6:$E$42,計算用!$AC$54,MOD(0-計算用!$AA$54+1,4)+1),INDEX(手直し!$G$6:$J$42,計算用!$AC$54,MOD(0-計算用!$AA$54+1,4)+1)),IF(計算用!$Z$54="A",INDEX(組分け!$B$5:$I$41,計算用!$AC$54,(MOD(0-計算用!$AA$54+1,4)+1)*2-1),INDEX(組分け!$L$5:$S$41,計算用!$AC$54,(MOD(0-計算用!$AA$54+1,4)+1)*2-1)))&amp;"")</f>
        <v/>
      </c>
      <c r="C54" s="26">
        <f>IF(計算用!$Z$54="","",IF(計算用!$U$24,IF(計算用!$Z$54="A",INDEX(手直し!$B$6:$E$42,計算用!$AC$54,MOD(1-計算用!$AA$54+1,4)+1),INDEX(手直し!$G$6:$J$42,計算用!$AC$54,MOD(1-計算用!$AA$54+1,4)+1)),IF(計算用!$Z$54="A",INDEX(組分け!$B$5:$I$41,計算用!$AC$54,(MOD(1-計算用!$AA$54+1,4)+1)*2-1),INDEX(組分け!$L$5:$S$41,計算用!$AC$54,(MOD(1-計算用!$AA$54+1,4)+1)*2-1)))&amp;"")</f>
        <v/>
      </c>
      <c r="D54" s="26">
        <f>IF(計算用!$Z$54="","",IF(計算用!$U$24,IF(計算用!$Z$54="A",INDEX(手直し!$B$6:$E$42,計算用!$AC$54,MOD(2-計算用!$AA$54+1,4)+1),INDEX(手直し!$G$6:$J$42,計算用!$AC$54,MOD(2-計算用!$AA$54+1,4)+1)),IF(計算用!$Z$54="A",INDEX(組分け!$B$5:$I$41,計算用!$AC$54,(MOD(2-計算用!$AA$54+1,4)+1)*2-1),INDEX(組分け!$L$5:$S$41,計算用!$AC$54,(MOD(2-計算用!$AA$54+1,4)+1)*2-1)))&amp;"")</f>
        <v/>
      </c>
      <c r="E54" s="26">
        <f>IF(計算用!$Z$54="","",IF(計算用!$U$24,IF(計算用!$Z$54="A",INDEX(手直し!$B$6:$E$42,計算用!$AC$54,MOD(3-計算用!$AA$54+1,4)+1),INDEX(手直し!$G$6:$J$42,計算用!$AC$54,MOD(3-計算用!$AA$54+1,4)+1)),IF(計算用!$Z$54="A",INDEX(組分け!$B$5:$I$41,計算用!$AC$54,(MOD(3-計算用!$AA$54+1,4)+1)*2-1),INDEX(組分け!$L$5:$S$41,計算用!$AC$54,(MOD(3-計算用!$AA$54+1,4)+1)*2-1)))&amp;"")</f>
        <v/>
      </c>
    </row>
    <row r="55" ht="27.75" customHeight="1">
      <c r="A55" s="25">
        <f>計算用!$AD$55</f>
        <v/>
      </c>
      <c r="B55" s="26">
        <f>IF(計算用!$Z$55="","",IF(計算用!$U$24,IF(計算用!$Z$55="A",INDEX(手直し!$B$6:$E$42,計算用!$AC$55,MOD(0-計算用!$AA$55+1,4)+1),INDEX(手直し!$G$6:$J$42,計算用!$AC$55,MOD(0-計算用!$AA$55+1,4)+1)),IF(計算用!$Z$55="A",INDEX(組分け!$B$5:$I$41,計算用!$AC$55,(MOD(0-計算用!$AA$55+1,4)+1)*2-1),INDEX(組分け!$L$5:$S$41,計算用!$AC$55,(MOD(0-計算用!$AA$55+1,4)+1)*2-1)))&amp;"")</f>
        <v/>
      </c>
      <c r="C55" s="26">
        <f>IF(計算用!$Z$55="","",IF(計算用!$U$24,IF(計算用!$Z$55="A",INDEX(手直し!$B$6:$E$42,計算用!$AC$55,MOD(1-計算用!$AA$55+1,4)+1),INDEX(手直し!$G$6:$J$42,計算用!$AC$55,MOD(1-計算用!$AA$55+1,4)+1)),IF(計算用!$Z$55="A",INDEX(組分け!$B$5:$I$41,計算用!$AC$55,(MOD(1-計算用!$AA$55+1,4)+1)*2-1),INDEX(組分け!$L$5:$S$41,計算用!$AC$55,(MOD(1-計算用!$AA$55+1,4)+1)*2-1)))&amp;"")</f>
        <v/>
      </c>
      <c r="D55" s="26">
        <f>IF(計算用!$Z$55="","",IF(計算用!$U$24,IF(計算用!$Z$55="A",INDEX(手直し!$B$6:$E$42,計算用!$AC$55,MOD(2-計算用!$AA$55+1,4)+1),INDEX(手直し!$G$6:$J$42,計算用!$AC$55,MOD(2-計算用!$AA$55+1,4)+1)),IF(計算用!$Z$55="A",INDEX(組分け!$B$5:$I$41,計算用!$AC$55,(MOD(2-計算用!$AA$55+1,4)+1)*2-1),INDEX(組分け!$L$5:$S$41,計算用!$AC$55,(MOD(2-計算用!$AA$55+1,4)+1)*2-1)))&amp;"")</f>
        <v/>
      </c>
      <c r="E55" s="26">
        <f>IF(計算用!$Z$55="","",IF(計算用!$U$24,IF(計算用!$Z$55="A",INDEX(手直し!$B$6:$E$42,計算用!$AC$55,MOD(3-計算用!$AA$55+1,4)+1),INDEX(手直し!$G$6:$J$42,計算用!$AC$55,MOD(3-計算用!$AA$55+1,4)+1)),IF(計算用!$Z$55="A",INDEX(組分け!$B$5:$I$41,計算用!$AC$55,(MOD(3-計算用!$AA$55+1,4)+1)*2-1),INDEX(組分け!$L$5:$S$41,計算用!$AC$55,(MOD(3-計算用!$AA$55+1,4)+1)*2-1)))&amp;"")</f>
        <v/>
      </c>
    </row>
    <row r="56" ht="27.75" customHeight="1">
      <c r="A56" s="25">
        <f>計算用!$AD$56</f>
        <v/>
      </c>
      <c r="B56" s="26">
        <f>IF(計算用!$Z$56="","",IF(計算用!$U$24,IF(計算用!$Z$56="A",INDEX(手直し!$B$6:$E$42,計算用!$AC$56,MOD(0-計算用!$AA$56+1,4)+1),INDEX(手直し!$G$6:$J$42,計算用!$AC$56,MOD(0-計算用!$AA$56+1,4)+1)),IF(計算用!$Z$56="A",INDEX(組分け!$B$5:$I$41,計算用!$AC$56,(MOD(0-計算用!$AA$56+1,4)+1)*2-1),INDEX(組分け!$L$5:$S$41,計算用!$AC$56,(MOD(0-計算用!$AA$56+1,4)+1)*2-1)))&amp;"")</f>
        <v/>
      </c>
      <c r="C56" s="26">
        <f>IF(計算用!$Z$56="","",IF(計算用!$U$24,IF(計算用!$Z$56="A",INDEX(手直し!$B$6:$E$42,計算用!$AC$56,MOD(1-計算用!$AA$56+1,4)+1),INDEX(手直し!$G$6:$J$42,計算用!$AC$56,MOD(1-計算用!$AA$56+1,4)+1)),IF(計算用!$Z$56="A",INDEX(組分け!$B$5:$I$41,計算用!$AC$56,(MOD(1-計算用!$AA$56+1,4)+1)*2-1),INDEX(組分け!$L$5:$S$41,計算用!$AC$56,(MOD(1-計算用!$AA$56+1,4)+1)*2-1)))&amp;"")</f>
        <v/>
      </c>
      <c r="D56" s="26">
        <f>IF(計算用!$Z$56="","",IF(計算用!$U$24,IF(計算用!$Z$56="A",INDEX(手直し!$B$6:$E$42,計算用!$AC$56,MOD(2-計算用!$AA$56+1,4)+1),INDEX(手直し!$G$6:$J$42,計算用!$AC$56,MOD(2-計算用!$AA$56+1,4)+1)),IF(計算用!$Z$56="A",INDEX(組分け!$B$5:$I$41,計算用!$AC$56,(MOD(2-計算用!$AA$56+1,4)+1)*2-1),INDEX(組分け!$L$5:$S$41,計算用!$AC$56,(MOD(2-計算用!$AA$56+1,4)+1)*2-1)))&amp;"")</f>
        <v/>
      </c>
      <c r="E56" s="26">
        <f>IF(計算用!$Z$56="","",IF(計算用!$U$24,IF(計算用!$Z$56="A",INDEX(手直し!$B$6:$E$42,計算用!$AC$56,MOD(3-計算用!$AA$56+1,4)+1),INDEX(手直し!$G$6:$J$42,計算用!$AC$56,MOD(3-計算用!$AA$56+1,4)+1)),IF(計算用!$Z$56="A",INDEX(組分け!$B$5:$I$41,計算用!$AC$56,(MOD(3-計算用!$AA$56+1,4)+1)*2-1),INDEX(組分け!$L$5:$S$41,計算用!$AC$56,(MOD(3-計算用!$AA$56+1,4)+1)*2-1)))&amp;"")</f>
        <v/>
      </c>
    </row>
    <row r="57" ht="27.75" customHeight="1">
      <c r="A57" s="25">
        <f>計算用!$AD$57</f>
        <v/>
      </c>
      <c r="B57" s="26">
        <f>IF(計算用!$Z$57="","",IF(計算用!$U$24,IF(計算用!$Z$57="A",INDEX(手直し!$B$6:$E$42,計算用!$AC$57,MOD(0-計算用!$AA$57+1,4)+1),INDEX(手直し!$G$6:$J$42,計算用!$AC$57,MOD(0-計算用!$AA$57+1,4)+1)),IF(計算用!$Z$57="A",INDEX(組分け!$B$5:$I$41,計算用!$AC$57,(MOD(0-計算用!$AA$57+1,4)+1)*2-1),INDEX(組分け!$L$5:$S$41,計算用!$AC$57,(MOD(0-計算用!$AA$57+1,4)+1)*2-1)))&amp;"")</f>
        <v/>
      </c>
      <c r="C57" s="26">
        <f>IF(計算用!$Z$57="","",IF(計算用!$U$24,IF(計算用!$Z$57="A",INDEX(手直し!$B$6:$E$42,計算用!$AC$57,MOD(1-計算用!$AA$57+1,4)+1),INDEX(手直し!$G$6:$J$42,計算用!$AC$57,MOD(1-計算用!$AA$57+1,4)+1)),IF(計算用!$Z$57="A",INDEX(組分け!$B$5:$I$41,計算用!$AC$57,(MOD(1-計算用!$AA$57+1,4)+1)*2-1),INDEX(組分け!$L$5:$S$41,計算用!$AC$57,(MOD(1-計算用!$AA$57+1,4)+1)*2-1)))&amp;"")</f>
        <v/>
      </c>
      <c r="D57" s="26">
        <f>IF(計算用!$Z$57="","",IF(計算用!$U$24,IF(計算用!$Z$57="A",INDEX(手直し!$B$6:$E$42,計算用!$AC$57,MOD(2-計算用!$AA$57+1,4)+1),INDEX(手直し!$G$6:$J$42,計算用!$AC$57,MOD(2-計算用!$AA$57+1,4)+1)),IF(計算用!$Z$57="A",INDEX(組分け!$B$5:$I$41,計算用!$AC$57,(MOD(2-計算用!$AA$57+1,4)+1)*2-1),INDEX(組分け!$L$5:$S$41,計算用!$AC$57,(MOD(2-計算用!$AA$57+1,4)+1)*2-1)))&amp;"")</f>
        <v/>
      </c>
      <c r="E57" s="26">
        <f>IF(計算用!$Z$57="","",IF(計算用!$U$24,IF(計算用!$Z$57="A",INDEX(手直し!$B$6:$E$42,計算用!$AC$57,MOD(3-計算用!$AA$57+1,4)+1),INDEX(手直し!$G$6:$J$42,計算用!$AC$57,MOD(3-計算用!$AA$57+1,4)+1)),IF(計算用!$Z$57="A",INDEX(組分け!$B$5:$I$41,計算用!$AC$57,(MOD(3-計算用!$AA$57+1,4)+1)*2-1),INDEX(組分け!$L$5:$S$41,計算用!$AC$57,(MOD(3-計算用!$AA$57+1,4)+1)*2-1)))&amp;"")</f>
        <v/>
      </c>
    </row>
    <row r="58" ht="27.75" customHeight="1">
      <c r="A58" s="25">
        <f>計算用!$AD$58</f>
        <v/>
      </c>
      <c r="B58" s="26">
        <f>IF(計算用!$Z$58="","",IF(計算用!$U$24,IF(計算用!$Z$58="A",INDEX(手直し!$B$6:$E$42,計算用!$AC$58,MOD(0-計算用!$AA$58+1,4)+1),INDEX(手直し!$G$6:$J$42,計算用!$AC$58,MOD(0-計算用!$AA$58+1,4)+1)),IF(計算用!$Z$58="A",INDEX(組分け!$B$5:$I$41,計算用!$AC$58,(MOD(0-計算用!$AA$58+1,4)+1)*2-1),INDEX(組分け!$L$5:$S$41,計算用!$AC$58,(MOD(0-計算用!$AA$58+1,4)+1)*2-1)))&amp;"")</f>
        <v/>
      </c>
      <c r="C58" s="26">
        <f>IF(計算用!$Z$58="","",IF(計算用!$U$24,IF(計算用!$Z$58="A",INDEX(手直し!$B$6:$E$42,計算用!$AC$58,MOD(1-計算用!$AA$58+1,4)+1),INDEX(手直し!$G$6:$J$42,計算用!$AC$58,MOD(1-計算用!$AA$58+1,4)+1)),IF(計算用!$Z$58="A",INDEX(組分け!$B$5:$I$41,計算用!$AC$58,(MOD(1-計算用!$AA$58+1,4)+1)*2-1),INDEX(組分け!$L$5:$S$41,計算用!$AC$58,(MOD(1-計算用!$AA$58+1,4)+1)*2-1)))&amp;"")</f>
        <v/>
      </c>
      <c r="D58" s="26">
        <f>IF(計算用!$Z$58="","",IF(計算用!$U$24,IF(計算用!$Z$58="A",INDEX(手直し!$B$6:$E$42,計算用!$AC$58,MOD(2-計算用!$AA$58+1,4)+1),INDEX(手直し!$G$6:$J$42,計算用!$AC$58,MOD(2-計算用!$AA$58+1,4)+1)),IF(計算用!$Z$58="A",INDEX(組分け!$B$5:$I$41,計算用!$AC$58,(MOD(2-計算用!$AA$58+1,4)+1)*2-1),INDEX(組分け!$L$5:$S$41,計算用!$AC$58,(MOD(2-計算用!$AA$58+1,4)+1)*2-1)))&amp;"")</f>
        <v/>
      </c>
      <c r="E58" s="26">
        <f>IF(計算用!$Z$58="","",IF(計算用!$U$24,IF(計算用!$Z$58="A",INDEX(手直し!$B$6:$E$42,計算用!$AC$58,MOD(3-計算用!$AA$58+1,4)+1),INDEX(手直し!$G$6:$J$42,計算用!$AC$58,MOD(3-計算用!$AA$58+1,4)+1)),IF(計算用!$Z$58="A",INDEX(組分け!$B$5:$I$41,計算用!$AC$58,(MOD(3-計算用!$AA$58+1,4)+1)*2-1),INDEX(組分け!$L$5:$S$41,計算用!$AC$58,(MOD(3-計算用!$AA$58+1,4)+1)*2-1)))&amp;"")</f>
        <v/>
      </c>
    </row>
    <row r="59" ht="27.75" customHeight="1">
      <c r="A59" s="25">
        <f>計算用!$AD$59</f>
        <v/>
      </c>
      <c r="B59" s="26">
        <f>IF(計算用!$Z$59="","",IF(計算用!$U$24,IF(計算用!$Z$59="A",INDEX(手直し!$B$6:$E$42,計算用!$AC$59,MOD(0-計算用!$AA$59+1,4)+1),INDEX(手直し!$G$6:$J$42,計算用!$AC$59,MOD(0-計算用!$AA$59+1,4)+1)),IF(計算用!$Z$59="A",INDEX(組分け!$B$5:$I$41,計算用!$AC$59,(MOD(0-計算用!$AA$59+1,4)+1)*2-1),INDEX(組分け!$L$5:$S$41,計算用!$AC$59,(MOD(0-計算用!$AA$59+1,4)+1)*2-1)))&amp;"")</f>
        <v/>
      </c>
      <c r="C59" s="26">
        <f>IF(計算用!$Z$59="","",IF(計算用!$U$24,IF(計算用!$Z$59="A",INDEX(手直し!$B$6:$E$42,計算用!$AC$59,MOD(1-計算用!$AA$59+1,4)+1),INDEX(手直し!$G$6:$J$42,計算用!$AC$59,MOD(1-計算用!$AA$59+1,4)+1)),IF(計算用!$Z$59="A",INDEX(組分け!$B$5:$I$41,計算用!$AC$59,(MOD(1-計算用!$AA$59+1,4)+1)*2-1),INDEX(組分け!$L$5:$S$41,計算用!$AC$59,(MOD(1-計算用!$AA$59+1,4)+1)*2-1)))&amp;"")</f>
        <v/>
      </c>
      <c r="D59" s="26">
        <f>IF(計算用!$Z$59="","",IF(計算用!$U$24,IF(計算用!$Z$59="A",INDEX(手直し!$B$6:$E$42,計算用!$AC$59,MOD(2-計算用!$AA$59+1,4)+1),INDEX(手直し!$G$6:$J$42,計算用!$AC$59,MOD(2-計算用!$AA$59+1,4)+1)),IF(計算用!$Z$59="A",INDEX(組分け!$B$5:$I$41,計算用!$AC$59,(MOD(2-計算用!$AA$59+1,4)+1)*2-1),INDEX(組分け!$L$5:$S$41,計算用!$AC$59,(MOD(2-計算用!$AA$59+1,4)+1)*2-1)))&amp;"")</f>
        <v/>
      </c>
      <c r="E59" s="26">
        <f>IF(計算用!$Z$59="","",IF(計算用!$U$24,IF(計算用!$Z$59="A",INDEX(手直し!$B$6:$E$42,計算用!$AC$59,MOD(3-計算用!$AA$59+1,4)+1),INDEX(手直し!$G$6:$J$42,計算用!$AC$59,MOD(3-計算用!$AA$59+1,4)+1)),IF(計算用!$Z$59="A",INDEX(組分け!$B$5:$I$41,計算用!$AC$59,(MOD(3-計算用!$AA$59+1,4)+1)*2-1),INDEX(組分け!$L$5:$S$41,計算用!$AC$59,(MOD(3-計算用!$AA$59+1,4)+1)*2-1)))&amp;"")</f>
        <v/>
      </c>
    </row>
    <row r="60" ht="27.75" customHeight="1">
      <c r="A60" s="25">
        <f>計算用!$AD$60</f>
        <v/>
      </c>
      <c r="B60" s="26">
        <f>IF(計算用!$Z$60="","",IF(計算用!$U$24,IF(計算用!$Z$60="A",INDEX(手直し!$B$6:$E$42,計算用!$AC$60,MOD(0-計算用!$AA$60+1,4)+1),INDEX(手直し!$G$6:$J$42,計算用!$AC$60,MOD(0-計算用!$AA$60+1,4)+1)),IF(計算用!$Z$60="A",INDEX(組分け!$B$5:$I$41,計算用!$AC$60,(MOD(0-計算用!$AA$60+1,4)+1)*2-1),INDEX(組分け!$L$5:$S$41,計算用!$AC$60,(MOD(0-計算用!$AA$60+1,4)+1)*2-1)))&amp;"")</f>
        <v/>
      </c>
      <c r="C60" s="26">
        <f>IF(計算用!$Z$60="","",IF(計算用!$U$24,IF(計算用!$Z$60="A",INDEX(手直し!$B$6:$E$42,計算用!$AC$60,MOD(1-計算用!$AA$60+1,4)+1),INDEX(手直し!$G$6:$J$42,計算用!$AC$60,MOD(1-計算用!$AA$60+1,4)+1)),IF(計算用!$Z$60="A",INDEX(組分け!$B$5:$I$41,計算用!$AC$60,(MOD(1-計算用!$AA$60+1,4)+1)*2-1),INDEX(組分け!$L$5:$S$41,計算用!$AC$60,(MOD(1-計算用!$AA$60+1,4)+1)*2-1)))&amp;"")</f>
        <v/>
      </c>
      <c r="D60" s="26">
        <f>IF(計算用!$Z$60="","",IF(計算用!$U$24,IF(計算用!$Z$60="A",INDEX(手直し!$B$6:$E$42,計算用!$AC$60,MOD(2-計算用!$AA$60+1,4)+1),INDEX(手直し!$G$6:$J$42,計算用!$AC$60,MOD(2-計算用!$AA$60+1,4)+1)),IF(計算用!$Z$60="A",INDEX(組分け!$B$5:$I$41,計算用!$AC$60,(MOD(2-計算用!$AA$60+1,4)+1)*2-1),INDEX(組分け!$L$5:$S$41,計算用!$AC$60,(MOD(2-計算用!$AA$60+1,4)+1)*2-1)))&amp;"")</f>
        <v/>
      </c>
      <c r="E60" s="26">
        <f>IF(計算用!$Z$60="","",IF(計算用!$U$24,IF(計算用!$Z$60="A",INDEX(手直し!$B$6:$E$42,計算用!$AC$60,MOD(3-計算用!$AA$60+1,4)+1),INDEX(手直し!$G$6:$J$42,計算用!$AC$60,MOD(3-計算用!$AA$60+1,4)+1)),IF(計算用!$Z$60="A",INDEX(組分け!$B$5:$I$41,計算用!$AC$60,(MOD(3-計算用!$AA$60+1,4)+1)*2-1),INDEX(組分け!$L$5:$S$41,計算用!$AC$60,(MOD(3-計算用!$AA$60+1,4)+1)*2-1)))&amp;"")</f>
        <v/>
      </c>
    </row>
    <row r="61" ht="27.75" customHeight="1">
      <c r="A61" s="25">
        <f>計算用!$AD$61</f>
        <v/>
      </c>
      <c r="B61" s="26">
        <f>IF(計算用!$Z$61="","",IF(計算用!$U$24,IF(計算用!$Z$61="A",INDEX(手直し!$B$6:$E$42,計算用!$AC$61,MOD(0-計算用!$AA$61+1,4)+1),INDEX(手直し!$G$6:$J$42,計算用!$AC$61,MOD(0-計算用!$AA$61+1,4)+1)),IF(計算用!$Z$61="A",INDEX(組分け!$B$5:$I$41,計算用!$AC$61,(MOD(0-計算用!$AA$61+1,4)+1)*2-1),INDEX(組分け!$L$5:$S$41,計算用!$AC$61,(MOD(0-計算用!$AA$61+1,4)+1)*2-1)))&amp;"")</f>
        <v/>
      </c>
      <c r="C61" s="26">
        <f>IF(計算用!$Z$61="","",IF(計算用!$U$24,IF(計算用!$Z$61="A",INDEX(手直し!$B$6:$E$42,計算用!$AC$61,MOD(1-計算用!$AA$61+1,4)+1),INDEX(手直し!$G$6:$J$42,計算用!$AC$61,MOD(1-計算用!$AA$61+1,4)+1)),IF(計算用!$Z$61="A",INDEX(組分け!$B$5:$I$41,計算用!$AC$61,(MOD(1-計算用!$AA$61+1,4)+1)*2-1),INDEX(組分け!$L$5:$S$41,計算用!$AC$61,(MOD(1-計算用!$AA$61+1,4)+1)*2-1)))&amp;"")</f>
        <v/>
      </c>
      <c r="D61" s="26">
        <f>IF(計算用!$Z$61="","",IF(計算用!$U$24,IF(計算用!$Z$61="A",INDEX(手直し!$B$6:$E$42,計算用!$AC$61,MOD(2-計算用!$AA$61+1,4)+1),INDEX(手直し!$G$6:$J$42,計算用!$AC$61,MOD(2-計算用!$AA$61+1,4)+1)),IF(計算用!$Z$61="A",INDEX(組分け!$B$5:$I$41,計算用!$AC$61,(MOD(2-計算用!$AA$61+1,4)+1)*2-1),INDEX(組分け!$L$5:$S$41,計算用!$AC$61,(MOD(2-計算用!$AA$61+1,4)+1)*2-1)))&amp;"")</f>
        <v/>
      </c>
      <c r="E61" s="26">
        <f>IF(計算用!$Z$61="","",IF(計算用!$U$24,IF(計算用!$Z$61="A",INDEX(手直し!$B$6:$E$42,計算用!$AC$61,MOD(3-計算用!$AA$61+1,4)+1),INDEX(手直し!$G$6:$J$42,計算用!$AC$61,MOD(3-計算用!$AA$61+1,4)+1)),IF(計算用!$Z$61="A",INDEX(組分け!$B$5:$I$41,計算用!$AC$61,(MOD(3-計算用!$AA$61+1,4)+1)*2-1),INDEX(組分け!$L$5:$S$41,計算用!$AC$61,(MOD(3-計算用!$AA$61+1,4)+1)*2-1)))&amp;"")</f>
        <v/>
      </c>
    </row>
    <row r="62" ht="27.75" customHeight="1">
      <c r="A62" s="25">
        <f>計算用!$AD$62</f>
        <v/>
      </c>
      <c r="B62" s="26">
        <f>IF(計算用!$Z$62="","",IF(計算用!$U$24,IF(計算用!$Z$62="A",INDEX(手直し!$B$6:$E$42,計算用!$AC$62,MOD(0-計算用!$AA$62+1,4)+1),INDEX(手直し!$G$6:$J$42,計算用!$AC$62,MOD(0-計算用!$AA$62+1,4)+1)),IF(計算用!$Z$62="A",INDEX(組分け!$B$5:$I$41,計算用!$AC$62,(MOD(0-計算用!$AA$62+1,4)+1)*2-1),INDEX(組分け!$L$5:$S$41,計算用!$AC$62,(MOD(0-計算用!$AA$62+1,4)+1)*2-1)))&amp;"")</f>
        <v/>
      </c>
      <c r="C62" s="26">
        <f>IF(計算用!$Z$62="","",IF(計算用!$U$24,IF(計算用!$Z$62="A",INDEX(手直し!$B$6:$E$42,計算用!$AC$62,MOD(1-計算用!$AA$62+1,4)+1),INDEX(手直し!$G$6:$J$42,計算用!$AC$62,MOD(1-計算用!$AA$62+1,4)+1)),IF(計算用!$Z$62="A",INDEX(組分け!$B$5:$I$41,計算用!$AC$62,(MOD(1-計算用!$AA$62+1,4)+1)*2-1),INDEX(組分け!$L$5:$S$41,計算用!$AC$62,(MOD(1-計算用!$AA$62+1,4)+1)*2-1)))&amp;"")</f>
        <v/>
      </c>
      <c r="D62" s="26">
        <f>IF(計算用!$Z$62="","",IF(計算用!$U$24,IF(計算用!$Z$62="A",INDEX(手直し!$B$6:$E$42,計算用!$AC$62,MOD(2-計算用!$AA$62+1,4)+1),INDEX(手直し!$G$6:$J$42,計算用!$AC$62,MOD(2-計算用!$AA$62+1,4)+1)),IF(計算用!$Z$62="A",INDEX(組分け!$B$5:$I$41,計算用!$AC$62,(MOD(2-計算用!$AA$62+1,4)+1)*2-1),INDEX(組分け!$L$5:$S$41,計算用!$AC$62,(MOD(2-計算用!$AA$62+1,4)+1)*2-1)))&amp;"")</f>
        <v/>
      </c>
      <c r="E62" s="26">
        <f>IF(計算用!$Z$62="","",IF(計算用!$U$24,IF(計算用!$Z$62="A",INDEX(手直し!$B$6:$E$42,計算用!$AC$62,MOD(3-計算用!$AA$62+1,4)+1),INDEX(手直し!$G$6:$J$42,計算用!$AC$62,MOD(3-計算用!$AA$62+1,4)+1)),IF(計算用!$Z$62="A",INDEX(組分け!$B$5:$I$41,計算用!$AC$62,(MOD(3-計算用!$AA$62+1,4)+1)*2-1),INDEX(組分け!$L$5:$S$41,計算用!$AC$62,(MOD(3-計算用!$AA$62+1,4)+1)*2-1)))&amp;"")</f>
        <v/>
      </c>
    </row>
    <row r="63" ht="27.75" customHeight="1">
      <c r="A63" s="25">
        <f>計算用!$AD$63</f>
        <v/>
      </c>
      <c r="B63" s="26">
        <f>IF(計算用!$Z$63="","",IF(計算用!$U$24,IF(計算用!$Z$63="A",INDEX(手直し!$B$6:$E$42,計算用!$AC$63,MOD(0-計算用!$AA$63+1,4)+1),INDEX(手直し!$G$6:$J$42,計算用!$AC$63,MOD(0-計算用!$AA$63+1,4)+1)),IF(計算用!$Z$63="A",INDEX(組分け!$B$5:$I$41,計算用!$AC$63,(MOD(0-計算用!$AA$63+1,4)+1)*2-1),INDEX(組分け!$L$5:$S$41,計算用!$AC$63,(MOD(0-計算用!$AA$63+1,4)+1)*2-1)))&amp;"")</f>
        <v/>
      </c>
      <c r="C63" s="26">
        <f>IF(計算用!$Z$63="","",IF(計算用!$U$24,IF(計算用!$Z$63="A",INDEX(手直し!$B$6:$E$42,計算用!$AC$63,MOD(1-計算用!$AA$63+1,4)+1),INDEX(手直し!$G$6:$J$42,計算用!$AC$63,MOD(1-計算用!$AA$63+1,4)+1)),IF(計算用!$Z$63="A",INDEX(組分け!$B$5:$I$41,計算用!$AC$63,(MOD(1-計算用!$AA$63+1,4)+1)*2-1),INDEX(組分け!$L$5:$S$41,計算用!$AC$63,(MOD(1-計算用!$AA$63+1,4)+1)*2-1)))&amp;"")</f>
        <v/>
      </c>
      <c r="D63" s="26">
        <f>IF(計算用!$Z$63="","",IF(計算用!$U$24,IF(計算用!$Z$63="A",INDEX(手直し!$B$6:$E$42,計算用!$AC$63,MOD(2-計算用!$AA$63+1,4)+1),INDEX(手直し!$G$6:$J$42,計算用!$AC$63,MOD(2-計算用!$AA$63+1,4)+1)),IF(計算用!$Z$63="A",INDEX(組分け!$B$5:$I$41,計算用!$AC$63,(MOD(2-計算用!$AA$63+1,4)+1)*2-1),INDEX(組分け!$L$5:$S$41,計算用!$AC$63,(MOD(2-計算用!$AA$63+1,4)+1)*2-1)))&amp;"")</f>
        <v/>
      </c>
      <c r="E63" s="26">
        <f>IF(計算用!$Z$63="","",IF(計算用!$U$24,IF(計算用!$Z$63="A",INDEX(手直し!$B$6:$E$42,計算用!$AC$63,MOD(3-計算用!$AA$63+1,4)+1),INDEX(手直し!$G$6:$J$42,計算用!$AC$63,MOD(3-計算用!$AA$63+1,4)+1)),IF(計算用!$Z$63="A",INDEX(組分け!$B$5:$I$41,計算用!$AC$63,(MOD(3-計算用!$AA$63+1,4)+1)*2-1),INDEX(組分け!$L$5:$S$41,計算用!$AC$63,(MOD(3-計算用!$AA$63+1,4)+1)*2-1)))&amp;"")</f>
        <v/>
      </c>
    </row>
    <row r="64" ht="27.75" customHeight="1">
      <c r="A64" s="25">
        <f>計算用!$AD$64</f>
        <v/>
      </c>
      <c r="B64" s="26">
        <f>IF(計算用!$Z$64="","",IF(計算用!$U$24,IF(計算用!$Z$64="A",INDEX(手直し!$B$6:$E$42,計算用!$AC$64,MOD(0-計算用!$AA$64+1,4)+1),INDEX(手直し!$G$6:$J$42,計算用!$AC$64,MOD(0-計算用!$AA$64+1,4)+1)),IF(計算用!$Z$64="A",INDEX(組分け!$B$5:$I$41,計算用!$AC$64,(MOD(0-計算用!$AA$64+1,4)+1)*2-1),INDEX(組分け!$L$5:$S$41,計算用!$AC$64,(MOD(0-計算用!$AA$64+1,4)+1)*2-1)))&amp;"")</f>
        <v/>
      </c>
      <c r="C64" s="26">
        <f>IF(計算用!$Z$64="","",IF(計算用!$U$24,IF(計算用!$Z$64="A",INDEX(手直し!$B$6:$E$42,計算用!$AC$64,MOD(1-計算用!$AA$64+1,4)+1),INDEX(手直し!$G$6:$J$42,計算用!$AC$64,MOD(1-計算用!$AA$64+1,4)+1)),IF(計算用!$Z$64="A",INDEX(組分け!$B$5:$I$41,計算用!$AC$64,(MOD(1-計算用!$AA$64+1,4)+1)*2-1),INDEX(組分け!$L$5:$S$41,計算用!$AC$64,(MOD(1-計算用!$AA$64+1,4)+1)*2-1)))&amp;"")</f>
        <v/>
      </c>
      <c r="D64" s="26">
        <f>IF(計算用!$Z$64="","",IF(計算用!$U$24,IF(計算用!$Z$64="A",INDEX(手直し!$B$6:$E$42,計算用!$AC$64,MOD(2-計算用!$AA$64+1,4)+1),INDEX(手直し!$G$6:$J$42,計算用!$AC$64,MOD(2-計算用!$AA$64+1,4)+1)),IF(計算用!$Z$64="A",INDEX(組分け!$B$5:$I$41,計算用!$AC$64,(MOD(2-計算用!$AA$64+1,4)+1)*2-1),INDEX(組分け!$L$5:$S$41,計算用!$AC$64,(MOD(2-計算用!$AA$64+1,4)+1)*2-1)))&amp;"")</f>
        <v/>
      </c>
      <c r="E64" s="26">
        <f>IF(計算用!$Z$64="","",IF(計算用!$U$24,IF(計算用!$Z$64="A",INDEX(手直し!$B$6:$E$42,計算用!$AC$64,MOD(3-計算用!$AA$64+1,4)+1),INDEX(手直し!$G$6:$J$42,計算用!$AC$64,MOD(3-計算用!$AA$64+1,4)+1)),IF(計算用!$Z$64="A",INDEX(組分け!$B$5:$I$41,計算用!$AC$64,(MOD(3-計算用!$AA$64+1,4)+1)*2-1),INDEX(組分け!$L$5:$S$41,計算用!$AC$64,(MOD(3-計算用!$AA$64+1,4)+1)*2-1)))&amp;"")</f>
        <v/>
      </c>
    </row>
    <row r="65" ht="27.75" customHeight="1">
      <c r="A65" s="25">
        <f>計算用!$AD$65</f>
        <v/>
      </c>
      <c r="B65" s="26">
        <f>IF(計算用!$Z$65="","",IF(計算用!$U$24,IF(計算用!$Z$65="A",INDEX(手直し!$B$6:$E$42,計算用!$AC$65,MOD(0-計算用!$AA$65+1,4)+1),INDEX(手直し!$G$6:$J$42,計算用!$AC$65,MOD(0-計算用!$AA$65+1,4)+1)),IF(計算用!$Z$65="A",INDEX(組分け!$B$5:$I$41,計算用!$AC$65,(MOD(0-計算用!$AA$65+1,4)+1)*2-1),INDEX(組分け!$L$5:$S$41,計算用!$AC$65,(MOD(0-計算用!$AA$65+1,4)+1)*2-1)))&amp;"")</f>
        <v/>
      </c>
      <c r="C65" s="26">
        <f>IF(計算用!$Z$65="","",IF(計算用!$U$24,IF(計算用!$Z$65="A",INDEX(手直し!$B$6:$E$42,計算用!$AC$65,MOD(1-計算用!$AA$65+1,4)+1),INDEX(手直し!$G$6:$J$42,計算用!$AC$65,MOD(1-計算用!$AA$65+1,4)+1)),IF(計算用!$Z$65="A",INDEX(組分け!$B$5:$I$41,計算用!$AC$65,(MOD(1-計算用!$AA$65+1,4)+1)*2-1),INDEX(組分け!$L$5:$S$41,計算用!$AC$65,(MOD(1-計算用!$AA$65+1,4)+1)*2-1)))&amp;"")</f>
        <v/>
      </c>
      <c r="D65" s="26">
        <f>IF(計算用!$Z$65="","",IF(計算用!$U$24,IF(計算用!$Z$65="A",INDEX(手直し!$B$6:$E$42,計算用!$AC$65,MOD(2-計算用!$AA$65+1,4)+1),INDEX(手直し!$G$6:$J$42,計算用!$AC$65,MOD(2-計算用!$AA$65+1,4)+1)),IF(計算用!$Z$65="A",INDEX(組分け!$B$5:$I$41,計算用!$AC$65,(MOD(2-計算用!$AA$65+1,4)+1)*2-1),INDEX(組分け!$L$5:$S$41,計算用!$AC$65,(MOD(2-計算用!$AA$65+1,4)+1)*2-1)))&amp;"")</f>
        <v/>
      </c>
      <c r="E65" s="26">
        <f>IF(計算用!$Z$65="","",IF(計算用!$U$24,IF(計算用!$Z$65="A",INDEX(手直し!$B$6:$E$42,計算用!$AC$65,MOD(3-計算用!$AA$65+1,4)+1),INDEX(手直し!$G$6:$J$42,計算用!$AC$65,MOD(3-計算用!$AA$65+1,4)+1)),IF(計算用!$Z$65="A",INDEX(組分け!$B$5:$I$41,計算用!$AC$65,(MOD(3-計算用!$AA$65+1,4)+1)*2-1),INDEX(組分け!$L$5:$S$41,計算用!$AC$65,(MOD(3-計算用!$AA$65+1,4)+1)*2-1)))&amp;"")</f>
        <v/>
      </c>
    </row>
    <row r="66" ht="27.75" customHeight="1">
      <c r="A66" s="25">
        <f>計算用!$AD$66</f>
        <v/>
      </c>
      <c r="B66" s="26">
        <f>IF(計算用!$Z$66="","",IF(計算用!$U$24,IF(計算用!$Z$66="A",INDEX(手直し!$B$6:$E$42,計算用!$AC$66,MOD(0-計算用!$AA$66+1,4)+1),INDEX(手直し!$G$6:$J$42,計算用!$AC$66,MOD(0-計算用!$AA$66+1,4)+1)),IF(計算用!$Z$66="A",INDEX(組分け!$B$5:$I$41,計算用!$AC$66,(MOD(0-計算用!$AA$66+1,4)+1)*2-1),INDEX(組分け!$L$5:$S$41,計算用!$AC$66,(MOD(0-計算用!$AA$66+1,4)+1)*2-1)))&amp;"")</f>
        <v/>
      </c>
      <c r="C66" s="26">
        <f>IF(計算用!$Z$66="","",IF(計算用!$U$24,IF(計算用!$Z$66="A",INDEX(手直し!$B$6:$E$42,計算用!$AC$66,MOD(1-計算用!$AA$66+1,4)+1),INDEX(手直し!$G$6:$J$42,計算用!$AC$66,MOD(1-計算用!$AA$66+1,4)+1)),IF(計算用!$Z$66="A",INDEX(組分け!$B$5:$I$41,計算用!$AC$66,(MOD(1-計算用!$AA$66+1,4)+1)*2-1),INDEX(組分け!$L$5:$S$41,計算用!$AC$66,(MOD(1-計算用!$AA$66+1,4)+1)*2-1)))&amp;"")</f>
        <v/>
      </c>
      <c r="D66" s="26">
        <f>IF(計算用!$Z$66="","",IF(計算用!$U$24,IF(計算用!$Z$66="A",INDEX(手直し!$B$6:$E$42,計算用!$AC$66,MOD(2-計算用!$AA$66+1,4)+1),INDEX(手直し!$G$6:$J$42,計算用!$AC$66,MOD(2-計算用!$AA$66+1,4)+1)),IF(計算用!$Z$66="A",INDEX(組分け!$B$5:$I$41,計算用!$AC$66,(MOD(2-計算用!$AA$66+1,4)+1)*2-1),INDEX(組分け!$L$5:$S$41,計算用!$AC$66,(MOD(2-計算用!$AA$66+1,4)+1)*2-1)))&amp;"")</f>
        <v/>
      </c>
      <c r="E66" s="26">
        <f>IF(計算用!$Z$66="","",IF(計算用!$U$24,IF(計算用!$Z$66="A",INDEX(手直し!$B$6:$E$42,計算用!$AC$66,MOD(3-計算用!$AA$66+1,4)+1),INDEX(手直し!$G$6:$J$42,計算用!$AC$66,MOD(3-計算用!$AA$66+1,4)+1)),IF(計算用!$Z$66="A",INDEX(組分け!$B$5:$I$41,計算用!$AC$66,(MOD(3-計算用!$AA$66+1,4)+1)*2-1),INDEX(組分け!$L$5:$S$41,計算用!$AC$66,(MOD(3-計算用!$AA$66+1,4)+1)*2-1)))&amp;"")</f>
        <v/>
      </c>
    </row>
    <row r="67" ht="27.75" customHeight="1">
      <c r="A67" s="25">
        <f>計算用!$AD$67</f>
        <v/>
      </c>
      <c r="B67" s="26">
        <f>IF(計算用!$Z$67="","",IF(計算用!$U$24,IF(計算用!$Z$67="A",INDEX(手直し!$B$6:$E$42,計算用!$AC$67,MOD(0-計算用!$AA$67+1,4)+1),INDEX(手直し!$G$6:$J$42,計算用!$AC$67,MOD(0-計算用!$AA$67+1,4)+1)),IF(計算用!$Z$67="A",INDEX(組分け!$B$5:$I$41,計算用!$AC$67,(MOD(0-計算用!$AA$67+1,4)+1)*2-1),INDEX(組分け!$L$5:$S$41,計算用!$AC$67,(MOD(0-計算用!$AA$67+1,4)+1)*2-1)))&amp;"")</f>
        <v/>
      </c>
      <c r="C67" s="26">
        <f>IF(計算用!$Z$67="","",IF(計算用!$U$24,IF(計算用!$Z$67="A",INDEX(手直し!$B$6:$E$42,計算用!$AC$67,MOD(1-計算用!$AA$67+1,4)+1),INDEX(手直し!$G$6:$J$42,計算用!$AC$67,MOD(1-計算用!$AA$67+1,4)+1)),IF(計算用!$Z$67="A",INDEX(組分け!$B$5:$I$41,計算用!$AC$67,(MOD(1-計算用!$AA$67+1,4)+1)*2-1),INDEX(組分け!$L$5:$S$41,計算用!$AC$67,(MOD(1-計算用!$AA$67+1,4)+1)*2-1)))&amp;"")</f>
        <v/>
      </c>
      <c r="D67" s="26">
        <f>IF(計算用!$Z$67="","",IF(計算用!$U$24,IF(計算用!$Z$67="A",INDEX(手直し!$B$6:$E$42,計算用!$AC$67,MOD(2-計算用!$AA$67+1,4)+1),INDEX(手直し!$G$6:$J$42,計算用!$AC$67,MOD(2-計算用!$AA$67+1,4)+1)),IF(計算用!$Z$67="A",INDEX(組分け!$B$5:$I$41,計算用!$AC$67,(MOD(2-計算用!$AA$67+1,4)+1)*2-1),INDEX(組分け!$L$5:$S$41,計算用!$AC$67,(MOD(2-計算用!$AA$67+1,4)+1)*2-1)))&amp;"")</f>
        <v/>
      </c>
      <c r="E67" s="26">
        <f>IF(計算用!$Z$67="","",IF(計算用!$U$24,IF(計算用!$Z$67="A",INDEX(手直し!$B$6:$E$42,計算用!$AC$67,MOD(3-計算用!$AA$67+1,4)+1),INDEX(手直し!$G$6:$J$42,計算用!$AC$67,MOD(3-計算用!$AA$67+1,4)+1)),IF(計算用!$Z$67="A",INDEX(組分け!$B$5:$I$41,計算用!$AC$67,(MOD(3-計算用!$AA$67+1,4)+1)*2-1),INDEX(組分け!$L$5:$S$41,計算用!$AC$67,(MOD(3-計算用!$AA$67+1,4)+1)*2-1)))&amp;"")</f>
        <v/>
      </c>
    </row>
    <row r="68" ht="27.75" customHeight="1">
      <c r="A68" s="25">
        <f>計算用!$AD$68</f>
        <v/>
      </c>
      <c r="B68" s="26">
        <f>IF(計算用!$Z$68="","",IF(計算用!$U$24,IF(計算用!$Z$68="A",INDEX(手直し!$B$6:$E$42,計算用!$AC$68,MOD(0-計算用!$AA$68+1,4)+1),INDEX(手直し!$G$6:$J$42,計算用!$AC$68,MOD(0-計算用!$AA$68+1,4)+1)),IF(計算用!$Z$68="A",INDEX(組分け!$B$5:$I$41,計算用!$AC$68,(MOD(0-計算用!$AA$68+1,4)+1)*2-1),INDEX(組分け!$L$5:$S$41,計算用!$AC$68,(MOD(0-計算用!$AA$68+1,4)+1)*2-1)))&amp;"")</f>
        <v/>
      </c>
      <c r="C68" s="26">
        <f>IF(計算用!$Z$68="","",IF(計算用!$U$24,IF(計算用!$Z$68="A",INDEX(手直し!$B$6:$E$42,計算用!$AC$68,MOD(1-計算用!$AA$68+1,4)+1),INDEX(手直し!$G$6:$J$42,計算用!$AC$68,MOD(1-計算用!$AA$68+1,4)+1)),IF(計算用!$Z$68="A",INDEX(組分け!$B$5:$I$41,計算用!$AC$68,(MOD(1-計算用!$AA$68+1,4)+1)*2-1),INDEX(組分け!$L$5:$S$41,計算用!$AC$68,(MOD(1-計算用!$AA$68+1,4)+1)*2-1)))&amp;"")</f>
        <v/>
      </c>
      <c r="D68" s="26">
        <f>IF(計算用!$Z$68="","",IF(計算用!$U$24,IF(計算用!$Z$68="A",INDEX(手直し!$B$6:$E$42,計算用!$AC$68,MOD(2-計算用!$AA$68+1,4)+1),INDEX(手直し!$G$6:$J$42,計算用!$AC$68,MOD(2-計算用!$AA$68+1,4)+1)),IF(計算用!$Z$68="A",INDEX(組分け!$B$5:$I$41,計算用!$AC$68,(MOD(2-計算用!$AA$68+1,4)+1)*2-1),INDEX(組分け!$L$5:$S$41,計算用!$AC$68,(MOD(2-計算用!$AA$68+1,4)+1)*2-1)))&amp;"")</f>
        <v/>
      </c>
      <c r="E68" s="26">
        <f>IF(計算用!$Z$68="","",IF(計算用!$U$24,IF(計算用!$Z$68="A",INDEX(手直し!$B$6:$E$42,計算用!$AC$68,MOD(3-計算用!$AA$68+1,4)+1),INDEX(手直し!$G$6:$J$42,計算用!$AC$68,MOD(3-計算用!$AA$68+1,4)+1)),IF(計算用!$Z$68="A",INDEX(組分け!$B$5:$I$41,計算用!$AC$68,(MOD(3-計算用!$AA$68+1,4)+1)*2-1),INDEX(組分け!$L$5:$S$41,計算用!$AC$68,(MOD(3-計算用!$AA$68+1,4)+1)*2-1)))&amp;"")</f>
        <v/>
      </c>
    </row>
    <row r="69" ht="27.75" customHeight="1">
      <c r="A69" s="25">
        <f>計算用!$AD$69</f>
        <v/>
      </c>
      <c r="B69" s="26">
        <f>IF(計算用!$Z$69="","",IF(計算用!$U$24,IF(計算用!$Z$69="A",INDEX(手直し!$B$6:$E$42,計算用!$AC$69,MOD(0-計算用!$AA$69+1,4)+1),INDEX(手直し!$G$6:$J$42,計算用!$AC$69,MOD(0-計算用!$AA$69+1,4)+1)),IF(計算用!$Z$69="A",INDEX(組分け!$B$5:$I$41,計算用!$AC$69,(MOD(0-計算用!$AA$69+1,4)+1)*2-1),INDEX(組分け!$L$5:$S$41,計算用!$AC$69,(MOD(0-計算用!$AA$69+1,4)+1)*2-1)))&amp;"")</f>
        <v/>
      </c>
      <c r="C69" s="26">
        <f>IF(計算用!$Z$69="","",IF(計算用!$U$24,IF(計算用!$Z$69="A",INDEX(手直し!$B$6:$E$42,計算用!$AC$69,MOD(1-計算用!$AA$69+1,4)+1),INDEX(手直し!$G$6:$J$42,計算用!$AC$69,MOD(1-計算用!$AA$69+1,4)+1)),IF(計算用!$Z$69="A",INDEX(組分け!$B$5:$I$41,計算用!$AC$69,(MOD(1-計算用!$AA$69+1,4)+1)*2-1),INDEX(組分け!$L$5:$S$41,計算用!$AC$69,(MOD(1-計算用!$AA$69+1,4)+1)*2-1)))&amp;"")</f>
        <v/>
      </c>
      <c r="D69" s="26">
        <f>IF(計算用!$Z$69="","",IF(計算用!$U$24,IF(計算用!$Z$69="A",INDEX(手直し!$B$6:$E$42,計算用!$AC$69,MOD(2-計算用!$AA$69+1,4)+1),INDEX(手直し!$G$6:$J$42,計算用!$AC$69,MOD(2-計算用!$AA$69+1,4)+1)),IF(計算用!$Z$69="A",INDEX(組分け!$B$5:$I$41,計算用!$AC$69,(MOD(2-計算用!$AA$69+1,4)+1)*2-1),INDEX(組分け!$L$5:$S$41,計算用!$AC$69,(MOD(2-計算用!$AA$69+1,4)+1)*2-1)))&amp;"")</f>
        <v/>
      </c>
      <c r="E69" s="26">
        <f>IF(計算用!$Z$69="","",IF(計算用!$U$24,IF(計算用!$Z$69="A",INDEX(手直し!$B$6:$E$42,計算用!$AC$69,MOD(3-計算用!$AA$69+1,4)+1),INDEX(手直し!$G$6:$J$42,計算用!$AC$69,MOD(3-計算用!$AA$69+1,4)+1)),IF(計算用!$Z$69="A",INDEX(組分け!$B$5:$I$41,計算用!$AC$69,(MOD(3-計算用!$AA$69+1,4)+1)*2-1),INDEX(組分け!$L$5:$S$41,計算用!$AC$69,(MOD(3-計算用!$AA$69+1,4)+1)*2-1)))&amp;"")</f>
        <v/>
      </c>
    </row>
    <row r="70" ht="27.75" customHeight="1">
      <c r="A70" s="25">
        <f>計算用!$AD$70</f>
        <v/>
      </c>
      <c r="B70" s="26">
        <f>IF(計算用!$Z$70="","",IF(計算用!$U$24,IF(計算用!$Z$70="A",INDEX(手直し!$B$6:$E$42,計算用!$AC$70,MOD(0-計算用!$AA$70+1,4)+1),INDEX(手直し!$G$6:$J$42,計算用!$AC$70,MOD(0-計算用!$AA$70+1,4)+1)),IF(計算用!$Z$70="A",INDEX(組分け!$B$5:$I$41,計算用!$AC$70,(MOD(0-計算用!$AA$70+1,4)+1)*2-1),INDEX(組分け!$L$5:$S$41,計算用!$AC$70,(MOD(0-計算用!$AA$70+1,4)+1)*2-1)))&amp;"")</f>
        <v/>
      </c>
      <c r="C70" s="26">
        <f>IF(計算用!$Z$70="","",IF(計算用!$U$24,IF(計算用!$Z$70="A",INDEX(手直し!$B$6:$E$42,計算用!$AC$70,MOD(1-計算用!$AA$70+1,4)+1),INDEX(手直し!$G$6:$J$42,計算用!$AC$70,MOD(1-計算用!$AA$70+1,4)+1)),IF(計算用!$Z$70="A",INDEX(組分け!$B$5:$I$41,計算用!$AC$70,(MOD(1-計算用!$AA$70+1,4)+1)*2-1),INDEX(組分け!$L$5:$S$41,計算用!$AC$70,(MOD(1-計算用!$AA$70+1,4)+1)*2-1)))&amp;"")</f>
        <v/>
      </c>
      <c r="D70" s="26">
        <f>IF(計算用!$Z$70="","",IF(計算用!$U$24,IF(計算用!$Z$70="A",INDEX(手直し!$B$6:$E$42,計算用!$AC$70,MOD(2-計算用!$AA$70+1,4)+1),INDEX(手直し!$G$6:$J$42,計算用!$AC$70,MOD(2-計算用!$AA$70+1,4)+1)),IF(計算用!$Z$70="A",INDEX(組分け!$B$5:$I$41,計算用!$AC$70,(MOD(2-計算用!$AA$70+1,4)+1)*2-1),INDEX(組分け!$L$5:$S$41,計算用!$AC$70,(MOD(2-計算用!$AA$70+1,4)+1)*2-1)))&amp;"")</f>
        <v/>
      </c>
      <c r="E70" s="26">
        <f>IF(計算用!$Z$70="","",IF(計算用!$U$24,IF(計算用!$Z$70="A",INDEX(手直し!$B$6:$E$42,計算用!$AC$70,MOD(3-計算用!$AA$70+1,4)+1),INDEX(手直し!$G$6:$J$42,計算用!$AC$70,MOD(3-計算用!$AA$70+1,4)+1)),IF(計算用!$Z$70="A",INDEX(組分け!$B$5:$I$41,計算用!$AC$70,(MOD(3-計算用!$AA$70+1,4)+1)*2-1),INDEX(組分け!$L$5:$S$41,計算用!$AC$70,(MOD(3-計算用!$AA$70+1,4)+1)*2-1)))&amp;"")</f>
        <v/>
      </c>
    </row>
    <row r="71" ht="27.75" customHeight="1">
      <c r="A71" s="25">
        <f>計算用!$AD$71</f>
        <v/>
      </c>
      <c r="B71" s="26">
        <f>IF(計算用!$Z$71="","",IF(計算用!$U$24,IF(計算用!$Z$71="A",INDEX(手直し!$B$6:$E$42,計算用!$AC$71,MOD(0-計算用!$AA$71+1,4)+1),INDEX(手直し!$G$6:$J$42,計算用!$AC$71,MOD(0-計算用!$AA$71+1,4)+1)),IF(計算用!$Z$71="A",INDEX(組分け!$B$5:$I$41,計算用!$AC$71,(MOD(0-計算用!$AA$71+1,4)+1)*2-1),INDEX(組分け!$L$5:$S$41,計算用!$AC$71,(MOD(0-計算用!$AA$71+1,4)+1)*2-1)))&amp;"")</f>
        <v/>
      </c>
      <c r="C71" s="26">
        <f>IF(計算用!$Z$71="","",IF(計算用!$U$24,IF(計算用!$Z$71="A",INDEX(手直し!$B$6:$E$42,計算用!$AC$71,MOD(1-計算用!$AA$71+1,4)+1),INDEX(手直し!$G$6:$J$42,計算用!$AC$71,MOD(1-計算用!$AA$71+1,4)+1)),IF(計算用!$Z$71="A",INDEX(組分け!$B$5:$I$41,計算用!$AC$71,(MOD(1-計算用!$AA$71+1,4)+1)*2-1),INDEX(組分け!$L$5:$S$41,計算用!$AC$71,(MOD(1-計算用!$AA$71+1,4)+1)*2-1)))&amp;"")</f>
        <v/>
      </c>
      <c r="D71" s="26">
        <f>IF(計算用!$Z$71="","",IF(計算用!$U$24,IF(計算用!$Z$71="A",INDEX(手直し!$B$6:$E$42,計算用!$AC$71,MOD(2-計算用!$AA$71+1,4)+1),INDEX(手直し!$G$6:$J$42,計算用!$AC$71,MOD(2-計算用!$AA$71+1,4)+1)),IF(計算用!$Z$71="A",INDEX(組分け!$B$5:$I$41,計算用!$AC$71,(MOD(2-計算用!$AA$71+1,4)+1)*2-1),INDEX(組分け!$L$5:$S$41,計算用!$AC$71,(MOD(2-計算用!$AA$71+1,4)+1)*2-1)))&amp;"")</f>
        <v/>
      </c>
      <c r="E71" s="26">
        <f>IF(計算用!$Z$71="","",IF(計算用!$U$24,IF(計算用!$Z$71="A",INDEX(手直し!$B$6:$E$42,計算用!$AC$71,MOD(3-計算用!$AA$71+1,4)+1),INDEX(手直し!$G$6:$J$42,計算用!$AC$71,MOD(3-計算用!$AA$71+1,4)+1)),IF(計算用!$Z$71="A",INDEX(組分け!$B$5:$I$41,計算用!$AC$71,(MOD(3-計算用!$AA$71+1,4)+1)*2-1),INDEX(組分け!$L$5:$S$41,計算用!$AC$71,(MOD(3-計算用!$AA$71+1,4)+1)*2-1)))&amp;"")</f>
        <v/>
      </c>
    </row>
    <row r="72" ht="27.75" customHeight="1">
      <c r="A72" s="25">
        <f>計算用!$AD$72</f>
        <v/>
      </c>
      <c r="B72" s="26">
        <f>IF(計算用!$Z$72="","",IF(計算用!$U$24,IF(計算用!$Z$72="A",INDEX(手直し!$B$6:$E$42,計算用!$AC$72,MOD(0-計算用!$AA$72+1,4)+1),INDEX(手直し!$G$6:$J$42,計算用!$AC$72,MOD(0-計算用!$AA$72+1,4)+1)),IF(計算用!$Z$72="A",INDEX(組分け!$B$5:$I$41,計算用!$AC$72,(MOD(0-計算用!$AA$72+1,4)+1)*2-1),INDEX(組分け!$L$5:$S$41,計算用!$AC$72,(MOD(0-計算用!$AA$72+1,4)+1)*2-1)))&amp;"")</f>
        <v/>
      </c>
      <c r="C72" s="26">
        <f>IF(計算用!$Z$72="","",IF(計算用!$U$24,IF(計算用!$Z$72="A",INDEX(手直し!$B$6:$E$42,計算用!$AC$72,MOD(1-計算用!$AA$72+1,4)+1),INDEX(手直し!$G$6:$J$42,計算用!$AC$72,MOD(1-計算用!$AA$72+1,4)+1)),IF(計算用!$Z$72="A",INDEX(組分け!$B$5:$I$41,計算用!$AC$72,(MOD(1-計算用!$AA$72+1,4)+1)*2-1),INDEX(組分け!$L$5:$S$41,計算用!$AC$72,(MOD(1-計算用!$AA$72+1,4)+1)*2-1)))&amp;"")</f>
        <v/>
      </c>
      <c r="D72" s="26">
        <f>IF(計算用!$Z$72="","",IF(計算用!$U$24,IF(計算用!$Z$72="A",INDEX(手直し!$B$6:$E$42,計算用!$AC$72,MOD(2-計算用!$AA$72+1,4)+1),INDEX(手直し!$G$6:$J$42,計算用!$AC$72,MOD(2-計算用!$AA$72+1,4)+1)),IF(計算用!$Z$72="A",INDEX(組分け!$B$5:$I$41,計算用!$AC$72,(MOD(2-計算用!$AA$72+1,4)+1)*2-1),INDEX(組分け!$L$5:$S$41,計算用!$AC$72,(MOD(2-計算用!$AA$72+1,4)+1)*2-1)))&amp;"")</f>
        <v/>
      </c>
      <c r="E72" s="26">
        <f>IF(計算用!$Z$72="","",IF(計算用!$U$24,IF(計算用!$Z$72="A",INDEX(手直し!$B$6:$E$42,計算用!$AC$72,MOD(3-計算用!$AA$72+1,4)+1),INDEX(手直し!$G$6:$J$42,計算用!$AC$72,MOD(3-計算用!$AA$72+1,4)+1)),IF(計算用!$Z$72="A",INDEX(組分け!$B$5:$I$41,計算用!$AC$72,(MOD(3-計算用!$AA$72+1,4)+1)*2-1),INDEX(組分け!$L$5:$S$41,計算用!$AC$72,(MOD(3-計算用!$AA$72+1,4)+1)*2-1)))&amp;"")</f>
        <v/>
      </c>
    </row>
    <row r="73" ht="27.75" customHeight="1">
      <c r="A73" s="25">
        <f>計算用!$AD$73</f>
        <v/>
      </c>
      <c r="B73" s="26">
        <f>IF(計算用!$Z$73="","",IF(計算用!$U$24,IF(計算用!$Z$73="A",INDEX(手直し!$B$6:$E$42,計算用!$AC$73,MOD(0-計算用!$AA$73+1,4)+1),INDEX(手直し!$G$6:$J$42,計算用!$AC$73,MOD(0-計算用!$AA$73+1,4)+1)),IF(計算用!$Z$73="A",INDEX(組分け!$B$5:$I$41,計算用!$AC$73,(MOD(0-計算用!$AA$73+1,4)+1)*2-1),INDEX(組分け!$L$5:$S$41,計算用!$AC$73,(MOD(0-計算用!$AA$73+1,4)+1)*2-1)))&amp;"")</f>
        <v/>
      </c>
      <c r="C73" s="26">
        <f>IF(計算用!$Z$73="","",IF(計算用!$U$24,IF(計算用!$Z$73="A",INDEX(手直し!$B$6:$E$42,計算用!$AC$73,MOD(1-計算用!$AA$73+1,4)+1),INDEX(手直し!$G$6:$J$42,計算用!$AC$73,MOD(1-計算用!$AA$73+1,4)+1)),IF(計算用!$Z$73="A",INDEX(組分け!$B$5:$I$41,計算用!$AC$73,(MOD(1-計算用!$AA$73+1,4)+1)*2-1),INDEX(組分け!$L$5:$S$41,計算用!$AC$73,(MOD(1-計算用!$AA$73+1,4)+1)*2-1)))&amp;"")</f>
        <v/>
      </c>
      <c r="D73" s="26">
        <f>IF(計算用!$Z$73="","",IF(計算用!$U$24,IF(計算用!$Z$73="A",INDEX(手直し!$B$6:$E$42,計算用!$AC$73,MOD(2-計算用!$AA$73+1,4)+1),INDEX(手直し!$G$6:$J$42,計算用!$AC$73,MOD(2-計算用!$AA$73+1,4)+1)),IF(計算用!$Z$73="A",INDEX(組分け!$B$5:$I$41,計算用!$AC$73,(MOD(2-計算用!$AA$73+1,4)+1)*2-1),INDEX(組分け!$L$5:$S$41,計算用!$AC$73,(MOD(2-計算用!$AA$73+1,4)+1)*2-1)))&amp;"")</f>
        <v/>
      </c>
      <c r="E73" s="26">
        <f>IF(計算用!$Z$73="","",IF(計算用!$U$24,IF(計算用!$Z$73="A",INDEX(手直し!$B$6:$E$42,計算用!$AC$73,MOD(3-計算用!$AA$73+1,4)+1),INDEX(手直し!$G$6:$J$42,計算用!$AC$73,MOD(3-計算用!$AA$73+1,4)+1)),IF(計算用!$Z$73="A",INDEX(組分け!$B$5:$I$41,計算用!$AC$73,(MOD(3-計算用!$AA$73+1,4)+1)*2-1),INDEX(組分け!$L$5:$S$41,計算用!$AC$73,(MOD(3-計算用!$AA$73+1,4)+1)*2-1)))&amp;"")</f>
        <v/>
      </c>
    </row>
    <row r="74" ht="27.75" customHeight="1">
      <c r="A74" s="25">
        <f>計算用!$AD$74</f>
        <v/>
      </c>
      <c r="B74" s="26">
        <f>IF(計算用!$Z$74="","",IF(計算用!$U$24,IF(計算用!$Z$74="A",INDEX(手直し!$B$6:$E$42,計算用!$AC$74,MOD(0-計算用!$AA$74+1,4)+1),INDEX(手直し!$G$6:$J$42,計算用!$AC$74,MOD(0-計算用!$AA$74+1,4)+1)),IF(計算用!$Z$74="A",INDEX(組分け!$B$5:$I$41,計算用!$AC$74,(MOD(0-計算用!$AA$74+1,4)+1)*2-1),INDEX(組分け!$L$5:$S$41,計算用!$AC$74,(MOD(0-計算用!$AA$74+1,4)+1)*2-1)))&amp;"")</f>
        <v/>
      </c>
      <c r="C74" s="26">
        <f>IF(計算用!$Z$74="","",IF(計算用!$U$24,IF(計算用!$Z$74="A",INDEX(手直し!$B$6:$E$42,計算用!$AC$74,MOD(1-計算用!$AA$74+1,4)+1),INDEX(手直し!$G$6:$J$42,計算用!$AC$74,MOD(1-計算用!$AA$74+1,4)+1)),IF(計算用!$Z$74="A",INDEX(組分け!$B$5:$I$41,計算用!$AC$74,(MOD(1-計算用!$AA$74+1,4)+1)*2-1),INDEX(組分け!$L$5:$S$41,計算用!$AC$74,(MOD(1-計算用!$AA$74+1,4)+1)*2-1)))&amp;"")</f>
        <v/>
      </c>
      <c r="D74" s="26">
        <f>IF(計算用!$Z$74="","",IF(計算用!$U$24,IF(計算用!$Z$74="A",INDEX(手直し!$B$6:$E$42,計算用!$AC$74,MOD(2-計算用!$AA$74+1,4)+1),INDEX(手直し!$G$6:$J$42,計算用!$AC$74,MOD(2-計算用!$AA$74+1,4)+1)),IF(計算用!$Z$74="A",INDEX(組分け!$B$5:$I$41,計算用!$AC$74,(MOD(2-計算用!$AA$74+1,4)+1)*2-1),INDEX(組分け!$L$5:$S$41,計算用!$AC$74,(MOD(2-計算用!$AA$74+1,4)+1)*2-1)))&amp;"")</f>
        <v/>
      </c>
      <c r="E74" s="26">
        <f>IF(計算用!$Z$74="","",IF(計算用!$U$24,IF(計算用!$Z$74="A",INDEX(手直し!$B$6:$E$42,計算用!$AC$74,MOD(3-計算用!$AA$74+1,4)+1),INDEX(手直し!$G$6:$J$42,計算用!$AC$74,MOD(3-計算用!$AA$74+1,4)+1)),IF(計算用!$Z$74="A",INDEX(組分け!$B$5:$I$41,計算用!$AC$74,(MOD(3-計算用!$AA$74+1,4)+1)*2-1),INDEX(組分け!$L$5:$S$41,計算用!$AC$74,(MOD(3-計算用!$AA$74+1,4)+1)*2-1)))&amp;"")</f>
        <v/>
      </c>
    </row>
    <row r="75" ht="27.75" customHeight="1">
      <c r="A75" s="25">
        <f>計算用!$AD$75</f>
        <v/>
      </c>
      <c r="B75" s="26">
        <f>IF(計算用!$Z$75="","",IF(計算用!$U$24,IF(計算用!$Z$75="A",INDEX(手直し!$B$6:$E$42,計算用!$AC$75,MOD(0-計算用!$AA$75+1,4)+1),INDEX(手直し!$G$6:$J$42,計算用!$AC$75,MOD(0-計算用!$AA$75+1,4)+1)),IF(計算用!$Z$75="A",INDEX(組分け!$B$5:$I$41,計算用!$AC$75,(MOD(0-計算用!$AA$75+1,4)+1)*2-1),INDEX(組分け!$L$5:$S$41,計算用!$AC$75,(MOD(0-計算用!$AA$75+1,4)+1)*2-1)))&amp;"")</f>
        <v/>
      </c>
      <c r="C75" s="26">
        <f>IF(計算用!$Z$75="","",IF(計算用!$U$24,IF(計算用!$Z$75="A",INDEX(手直し!$B$6:$E$42,計算用!$AC$75,MOD(1-計算用!$AA$75+1,4)+1),INDEX(手直し!$G$6:$J$42,計算用!$AC$75,MOD(1-計算用!$AA$75+1,4)+1)),IF(計算用!$Z$75="A",INDEX(組分け!$B$5:$I$41,計算用!$AC$75,(MOD(1-計算用!$AA$75+1,4)+1)*2-1),INDEX(組分け!$L$5:$S$41,計算用!$AC$75,(MOD(1-計算用!$AA$75+1,4)+1)*2-1)))&amp;"")</f>
        <v/>
      </c>
      <c r="D75" s="26">
        <f>IF(計算用!$Z$75="","",IF(計算用!$U$24,IF(計算用!$Z$75="A",INDEX(手直し!$B$6:$E$42,計算用!$AC$75,MOD(2-計算用!$AA$75+1,4)+1),INDEX(手直し!$G$6:$J$42,計算用!$AC$75,MOD(2-計算用!$AA$75+1,4)+1)),IF(計算用!$Z$75="A",INDEX(組分け!$B$5:$I$41,計算用!$AC$75,(MOD(2-計算用!$AA$75+1,4)+1)*2-1),INDEX(組分け!$L$5:$S$41,計算用!$AC$75,(MOD(2-計算用!$AA$75+1,4)+1)*2-1)))&amp;"")</f>
        <v/>
      </c>
      <c r="E75" s="26">
        <f>IF(計算用!$Z$75="","",IF(計算用!$U$24,IF(計算用!$Z$75="A",INDEX(手直し!$B$6:$E$42,計算用!$AC$75,MOD(3-計算用!$AA$75+1,4)+1),INDEX(手直し!$G$6:$J$42,計算用!$AC$75,MOD(3-計算用!$AA$75+1,4)+1)),IF(計算用!$Z$75="A",INDEX(組分け!$B$5:$I$41,計算用!$AC$75,(MOD(3-計算用!$AA$75+1,4)+1)*2-1),INDEX(組分け!$L$5:$S$41,計算用!$AC$75,(MOD(3-計算用!$AA$75+1,4)+1)*2-1)))&amp;"")</f>
        <v/>
      </c>
    </row>
  </sheetData>
  <mergeCells count="1">
    <mergeCell ref="G1:I20"/>
  </mergeCells>
  <conditionalFormatting sqref="B2:B75">
    <cfRule type="expression" priority="1" dxfId="5">
      <formula>AND(B2&lt;&gt;"",$L$1="色あり",MOD(0-INDEX(計算用!$AA$2:$AA$75,ROW()-1)+1,4)=0)</formula>
    </cfRule>
    <cfRule type="expression" priority="2" dxfId="6">
      <formula>AND(B2&lt;&gt;"",$L$1="色あり",MOD(0-INDEX(計算用!$AA$2:$AA$75,ROW()-1)+1,4)=1)</formula>
    </cfRule>
    <cfRule type="expression" priority="3" dxfId="7">
      <formula>AND(B2&lt;&gt;"",$L$1="色あり",MOD(0-INDEX(計算用!$AA$2:$AA$75,ROW()-1)+1,4)=2)</formula>
    </cfRule>
    <cfRule type="expression" priority="4" dxfId="8">
      <formula>AND(B2&lt;&gt;"",$L$1="色あり",MOD(0-INDEX(計算用!$AA$2:$AA$75,ROW()-1)+1,4)=3)</formula>
    </cfRule>
  </conditionalFormatting>
  <conditionalFormatting sqref="C2:C75">
    <cfRule type="expression" priority="5" dxfId="5">
      <formula>AND(C2&lt;&gt;"",$L$1="色あり",MOD(1-INDEX(計算用!$AA$2:$AA$75,ROW()-1)+1,4)=0)</formula>
    </cfRule>
    <cfRule type="expression" priority="6" dxfId="6">
      <formula>AND(C2&lt;&gt;"",$L$1="色あり",MOD(1-INDEX(計算用!$AA$2:$AA$75,ROW()-1)+1,4)=1)</formula>
    </cfRule>
    <cfRule type="expression" priority="7" dxfId="7">
      <formula>AND(C2&lt;&gt;"",$L$1="色あり",MOD(1-INDEX(計算用!$AA$2:$AA$75,ROW()-1)+1,4)=2)</formula>
    </cfRule>
    <cfRule type="expression" priority="8" dxfId="8">
      <formula>AND(C2&lt;&gt;"",$L$1="色あり",MOD(1-INDEX(計算用!$AA$2:$AA$75,ROW()-1)+1,4)=3)</formula>
    </cfRule>
  </conditionalFormatting>
  <conditionalFormatting sqref="D2:D75">
    <cfRule type="expression" priority="9" dxfId="5">
      <formula>AND(D2&lt;&gt;"",$L$1="色あり",MOD(2-INDEX(計算用!$AA$2:$AA$75,ROW()-1)+1,4)=0)</formula>
    </cfRule>
    <cfRule type="expression" priority="10" dxfId="6">
      <formula>AND(D2&lt;&gt;"",$L$1="色あり",MOD(2-INDEX(計算用!$AA$2:$AA$75,ROW()-1)+1,4)=1)</formula>
    </cfRule>
    <cfRule type="expression" priority="11" dxfId="7">
      <formula>AND(D2&lt;&gt;"",$L$1="色あり",MOD(2-INDEX(計算用!$AA$2:$AA$75,ROW()-1)+1,4)=2)</formula>
    </cfRule>
    <cfRule type="expression" priority="12" dxfId="8">
      <formula>AND(D2&lt;&gt;"",$L$1="色あり",MOD(2-INDEX(計算用!$AA$2:$AA$75,ROW()-1)+1,4)=3)</formula>
    </cfRule>
  </conditionalFormatting>
  <conditionalFormatting sqref="E2:E75">
    <cfRule type="expression" priority="13" dxfId="5">
      <formula>AND(E2&lt;&gt;"",$L$1="色あり",MOD(3-INDEX(計算用!$AA$2:$AA$75,ROW()-1)+1,4)=0)</formula>
    </cfRule>
    <cfRule type="expression" priority="14" dxfId="6">
      <formula>AND(E2&lt;&gt;"",$L$1="色あり",MOD(3-INDEX(計算用!$AA$2:$AA$75,ROW()-1)+1,4)=1)</formula>
    </cfRule>
    <cfRule type="expression" priority="15" dxfId="7">
      <formula>AND(E2&lt;&gt;"",$L$1="色あり",MOD(3-INDEX(計算用!$AA$2:$AA$75,ROW()-1)+1,4)=2)</formula>
    </cfRule>
    <cfRule type="expression" priority="16" dxfId="8">
      <formula>AND(E2&lt;&gt;"",$L$1="色あり",MOD(3-INDEX(計算用!$AA$2:$AA$75,ROW()-1)+1,4)=3)</formula>
    </cfRule>
  </conditionalFormatting>
  <conditionalFormatting sqref="A2:E75">
    <cfRule type="expression" priority="17" dxfId="0">
      <formula>$A2&lt;&gt;""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7" t="n"/>
      <c r="B2" s="6" t="inlineStr">
        <is>
          <t>名前</t>
        </is>
      </c>
      <c r="C2" s="27" t="inlineStr">
        <is>
          <t>新しい
コース</t>
        </is>
      </c>
      <c r="D2" s="6" t="inlineStr">
        <is>
          <t>名前</t>
        </is>
      </c>
      <c r="E2" s="27" t="inlineStr">
        <is>
          <t>新しい
コース</t>
        </is>
      </c>
      <c r="F2" s="6" t="inlineStr">
        <is>
          <t>名前</t>
        </is>
      </c>
      <c r="G2" s="27" t="inlineStr">
        <is>
          <t>新しい
コース</t>
        </is>
      </c>
      <c r="H2" s="6" t="inlineStr">
        <is>
          <t>名前</t>
        </is>
      </c>
      <c r="I2" s="27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8" t="n"/>
      <c r="D3" s="11">
        <f>計算用!$AK$2</f>
        <v/>
      </c>
      <c r="E3" s="28" t="n"/>
      <c r="F3" s="11">
        <f>計算用!$AL$2</f>
        <v/>
      </c>
      <c r="G3" s="28" t="n"/>
      <c r="H3" s="11">
        <f>計算用!$AM$2</f>
        <v/>
      </c>
      <c r="I3" s="28" t="n"/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8" t="n"/>
      <c r="D4" s="11">
        <f>計算用!$AK$3</f>
        <v/>
      </c>
      <c r="E4" s="28" t="n"/>
      <c r="F4" s="11">
        <f>計算用!$AL$3</f>
        <v/>
      </c>
      <c r="G4" s="28" t="n"/>
      <c r="H4" s="11">
        <f>計算用!$AM$3</f>
        <v/>
      </c>
      <c r="I4" s="28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8" t="n"/>
      <c r="D5" s="11">
        <f>計算用!$AK$4</f>
        <v/>
      </c>
      <c r="E5" s="28" t="n"/>
      <c r="F5" s="11">
        <f>計算用!$AL$4</f>
        <v/>
      </c>
      <c r="G5" s="28" t="n"/>
      <c r="H5" s="11">
        <f>計算用!$AM$4</f>
        <v/>
      </c>
      <c r="I5" s="28" t="n"/>
    </row>
    <row r="6">
      <c r="A6" s="11">
        <f>計算用!$AD$5</f>
        <v/>
      </c>
      <c r="B6" s="11">
        <f>計算用!$AJ$5</f>
        <v/>
      </c>
      <c r="C6" s="28" t="n"/>
      <c r="D6" s="11">
        <f>計算用!$AK$5</f>
        <v/>
      </c>
      <c r="E6" s="28" t="n"/>
      <c r="F6" s="11">
        <f>計算用!$AL$5</f>
        <v/>
      </c>
      <c r="G6" s="28" t="n"/>
      <c r="H6" s="11">
        <f>計算用!$AM$5</f>
        <v/>
      </c>
      <c r="I6" s="28" t="n"/>
    </row>
    <row r="7">
      <c r="A7" s="11">
        <f>計算用!$AD$6</f>
        <v/>
      </c>
      <c r="B7" s="11">
        <f>計算用!$AJ$6</f>
        <v/>
      </c>
      <c r="C7" s="28" t="n"/>
      <c r="D7" s="11">
        <f>計算用!$AK$6</f>
        <v/>
      </c>
      <c r="E7" s="28" t="n"/>
      <c r="F7" s="11">
        <f>計算用!$AL$6</f>
        <v/>
      </c>
      <c r="G7" s="28" t="n"/>
      <c r="H7" s="11">
        <f>計算用!$AM$6</f>
        <v/>
      </c>
      <c r="I7" s="28" t="n"/>
    </row>
    <row r="8">
      <c r="A8" s="11">
        <f>計算用!$AD$7</f>
        <v/>
      </c>
      <c r="B8" s="11">
        <f>計算用!$AJ$7</f>
        <v/>
      </c>
      <c r="C8" s="28" t="n"/>
      <c r="D8" s="11">
        <f>計算用!$AK$7</f>
        <v/>
      </c>
      <c r="E8" s="28" t="n"/>
      <c r="F8" s="11">
        <f>計算用!$AL$7</f>
        <v/>
      </c>
      <c r="G8" s="28" t="n"/>
      <c r="H8" s="11">
        <f>計算用!$AM$7</f>
        <v/>
      </c>
      <c r="I8" s="28" t="n"/>
    </row>
    <row r="9">
      <c r="A9" s="11">
        <f>計算用!$AD$8</f>
        <v/>
      </c>
      <c r="B9" s="11">
        <f>計算用!$AJ$8</f>
        <v/>
      </c>
      <c r="C9" s="28" t="n"/>
      <c r="D9" s="11">
        <f>計算用!$AK$8</f>
        <v/>
      </c>
      <c r="E9" s="28" t="n"/>
      <c r="F9" s="11">
        <f>計算用!$AL$8</f>
        <v/>
      </c>
      <c r="G9" s="28" t="n"/>
      <c r="H9" s="11">
        <f>計算用!$AM$8</f>
        <v/>
      </c>
      <c r="I9" s="28" t="n"/>
    </row>
    <row r="10">
      <c r="A10" s="11">
        <f>計算用!$AD$9</f>
        <v/>
      </c>
      <c r="B10" s="11">
        <f>計算用!$AJ$9</f>
        <v/>
      </c>
      <c r="C10" s="28" t="n"/>
      <c r="D10" s="11">
        <f>計算用!$AK$9</f>
        <v/>
      </c>
      <c r="E10" s="28" t="n"/>
      <c r="F10" s="11">
        <f>計算用!$AL$9</f>
        <v/>
      </c>
      <c r="G10" s="28" t="n"/>
      <c r="H10" s="11">
        <f>計算用!$AM$9</f>
        <v/>
      </c>
      <c r="I10" s="28" t="n"/>
    </row>
    <row r="11">
      <c r="A11" s="11">
        <f>計算用!$AD$10</f>
        <v/>
      </c>
      <c r="B11" s="11">
        <f>計算用!$AJ$10</f>
        <v/>
      </c>
      <c r="C11" s="28" t="n"/>
      <c r="D11" s="11">
        <f>計算用!$AK$10</f>
        <v/>
      </c>
      <c r="E11" s="28" t="n"/>
      <c r="F11" s="11">
        <f>計算用!$AL$10</f>
        <v/>
      </c>
      <c r="G11" s="28" t="n"/>
      <c r="H11" s="11">
        <f>計算用!$AM$10</f>
        <v/>
      </c>
      <c r="I11" s="28" t="n"/>
    </row>
    <row r="12">
      <c r="A12" s="11">
        <f>計算用!$AD$11</f>
        <v/>
      </c>
      <c r="B12" s="11">
        <f>計算用!$AJ$11</f>
        <v/>
      </c>
      <c r="C12" s="28" t="n"/>
      <c r="D12" s="11">
        <f>計算用!$AK$11</f>
        <v/>
      </c>
      <c r="E12" s="28" t="n"/>
      <c r="F12" s="11">
        <f>計算用!$AL$11</f>
        <v/>
      </c>
      <c r="G12" s="28" t="n"/>
      <c r="H12" s="11">
        <f>計算用!$AM$11</f>
        <v/>
      </c>
      <c r="I12" s="28" t="n"/>
    </row>
    <row r="13">
      <c r="A13" s="11">
        <f>計算用!$AD$12</f>
        <v/>
      </c>
      <c r="B13" s="11">
        <f>計算用!$AJ$12</f>
        <v/>
      </c>
      <c r="C13" s="28" t="n"/>
      <c r="D13" s="11">
        <f>計算用!$AK$12</f>
        <v/>
      </c>
      <c r="E13" s="28" t="n"/>
      <c r="F13" s="11">
        <f>計算用!$AL$12</f>
        <v/>
      </c>
      <c r="G13" s="28" t="n"/>
      <c r="H13" s="11">
        <f>計算用!$AM$12</f>
        <v/>
      </c>
      <c r="I13" s="28" t="n"/>
    </row>
    <row r="14">
      <c r="A14" s="11">
        <f>計算用!$AD$13</f>
        <v/>
      </c>
      <c r="B14" s="11">
        <f>計算用!$AJ$13</f>
        <v/>
      </c>
      <c r="C14" s="28" t="n"/>
      <c r="D14" s="11">
        <f>計算用!$AK$13</f>
        <v/>
      </c>
      <c r="E14" s="28" t="n"/>
      <c r="F14" s="11">
        <f>計算用!$AL$13</f>
        <v/>
      </c>
      <c r="G14" s="28" t="n"/>
      <c r="H14" s="11">
        <f>計算用!$AM$13</f>
        <v/>
      </c>
      <c r="I14" s="28" t="n"/>
    </row>
    <row r="15">
      <c r="A15" s="11">
        <f>計算用!$AD$14</f>
        <v/>
      </c>
      <c r="B15" s="11">
        <f>計算用!$AJ$14</f>
        <v/>
      </c>
      <c r="C15" s="28" t="n"/>
      <c r="D15" s="11">
        <f>計算用!$AK$14</f>
        <v/>
      </c>
      <c r="E15" s="28" t="n"/>
      <c r="F15" s="11">
        <f>計算用!$AL$14</f>
        <v/>
      </c>
      <c r="G15" s="28" t="n"/>
      <c r="H15" s="11">
        <f>計算用!$AM$14</f>
        <v/>
      </c>
      <c r="I15" s="28" t="n"/>
    </row>
    <row r="16">
      <c r="A16" s="11">
        <f>計算用!$AD$15</f>
        <v/>
      </c>
      <c r="B16" s="11">
        <f>計算用!$AJ$15</f>
        <v/>
      </c>
      <c r="C16" s="28" t="n"/>
      <c r="D16" s="11">
        <f>計算用!$AK$15</f>
        <v/>
      </c>
      <c r="E16" s="28" t="n"/>
      <c r="F16" s="11">
        <f>計算用!$AL$15</f>
        <v/>
      </c>
      <c r="G16" s="28" t="n"/>
      <c r="H16" s="11">
        <f>計算用!$AM$15</f>
        <v/>
      </c>
      <c r="I16" s="28" t="n"/>
    </row>
    <row r="17">
      <c r="A17" s="11">
        <f>計算用!$AD$16</f>
        <v/>
      </c>
      <c r="B17" s="11">
        <f>計算用!$AJ$16</f>
        <v/>
      </c>
      <c r="C17" s="28" t="n"/>
      <c r="D17" s="11">
        <f>計算用!$AK$16</f>
        <v/>
      </c>
      <c r="E17" s="28" t="n"/>
      <c r="F17" s="11">
        <f>計算用!$AL$16</f>
        <v/>
      </c>
      <c r="G17" s="28" t="n"/>
      <c r="H17" s="11">
        <f>計算用!$AM$16</f>
        <v/>
      </c>
      <c r="I17" s="28" t="n"/>
    </row>
    <row r="18">
      <c r="A18" s="11">
        <f>計算用!$AD$17</f>
        <v/>
      </c>
      <c r="B18" s="11">
        <f>計算用!$AJ$17</f>
        <v/>
      </c>
      <c r="C18" s="28" t="n"/>
      <c r="D18" s="11">
        <f>計算用!$AK$17</f>
        <v/>
      </c>
      <c r="E18" s="28" t="n"/>
      <c r="F18" s="11">
        <f>計算用!$AL$17</f>
        <v/>
      </c>
      <c r="G18" s="28" t="n"/>
      <c r="H18" s="11">
        <f>計算用!$AM$17</f>
        <v/>
      </c>
      <c r="I18" s="28" t="n"/>
    </row>
    <row r="19">
      <c r="A19" s="11">
        <f>計算用!$AD$18</f>
        <v/>
      </c>
      <c r="B19" s="11">
        <f>計算用!$AJ$18</f>
        <v/>
      </c>
      <c r="C19" s="28" t="n"/>
      <c r="D19" s="11">
        <f>計算用!$AK$18</f>
        <v/>
      </c>
      <c r="E19" s="28" t="n"/>
      <c r="F19" s="11">
        <f>計算用!$AL$18</f>
        <v/>
      </c>
      <c r="G19" s="28" t="n"/>
      <c r="H19" s="11">
        <f>計算用!$AM$18</f>
        <v/>
      </c>
      <c r="I19" s="28" t="n"/>
    </row>
    <row r="20">
      <c r="A20" s="11">
        <f>計算用!$AD$19</f>
        <v/>
      </c>
      <c r="B20" s="11">
        <f>計算用!$AJ$19</f>
        <v/>
      </c>
      <c r="C20" s="28" t="n"/>
      <c r="D20" s="11">
        <f>計算用!$AK$19</f>
        <v/>
      </c>
      <c r="E20" s="28" t="n"/>
      <c r="F20" s="11">
        <f>計算用!$AL$19</f>
        <v/>
      </c>
      <c r="G20" s="28" t="n"/>
      <c r="H20" s="11">
        <f>計算用!$AM$19</f>
        <v/>
      </c>
      <c r="I20" s="28" t="n"/>
    </row>
    <row r="21">
      <c r="A21" s="11">
        <f>計算用!$AD$20</f>
        <v/>
      </c>
      <c r="B21" s="11">
        <f>計算用!$AJ$20</f>
        <v/>
      </c>
      <c r="C21" s="28" t="n"/>
      <c r="D21" s="11">
        <f>計算用!$AK$20</f>
        <v/>
      </c>
      <c r="E21" s="28" t="n"/>
      <c r="F21" s="11">
        <f>計算用!$AL$20</f>
        <v/>
      </c>
      <c r="G21" s="28" t="n"/>
      <c r="H21" s="11">
        <f>計算用!$AM$20</f>
        <v/>
      </c>
      <c r="I21" s="28" t="n"/>
    </row>
    <row r="22">
      <c r="A22" s="11">
        <f>計算用!$AD$21</f>
        <v/>
      </c>
      <c r="B22" s="11">
        <f>計算用!$AJ$21</f>
        <v/>
      </c>
      <c r="C22" s="28" t="n"/>
      <c r="D22" s="11">
        <f>計算用!$AK$21</f>
        <v/>
      </c>
      <c r="E22" s="28" t="n"/>
      <c r="F22" s="11">
        <f>計算用!$AL$21</f>
        <v/>
      </c>
      <c r="G22" s="28" t="n"/>
      <c r="H22" s="11">
        <f>計算用!$AM$21</f>
        <v/>
      </c>
      <c r="I22" s="28" t="n"/>
    </row>
    <row r="23">
      <c r="A23" s="11">
        <f>計算用!$AD$22</f>
        <v/>
      </c>
      <c r="B23" s="11">
        <f>計算用!$AJ$22</f>
        <v/>
      </c>
      <c r="C23" s="28" t="n"/>
      <c r="D23" s="11">
        <f>計算用!$AK$22</f>
        <v/>
      </c>
      <c r="E23" s="28" t="n"/>
      <c r="F23" s="11">
        <f>計算用!$AL$22</f>
        <v/>
      </c>
      <c r="G23" s="28" t="n"/>
      <c r="H23" s="11">
        <f>計算用!$AM$22</f>
        <v/>
      </c>
      <c r="I23" s="28" t="n"/>
    </row>
    <row r="24">
      <c r="A24" s="11">
        <f>計算用!$AD$23</f>
        <v/>
      </c>
      <c r="B24" s="11">
        <f>計算用!$AJ$23</f>
        <v/>
      </c>
      <c r="C24" s="28" t="n"/>
      <c r="D24" s="11">
        <f>計算用!$AK$23</f>
        <v/>
      </c>
      <c r="E24" s="28" t="n"/>
      <c r="F24" s="11">
        <f>計算用!$AL$23</f>
        <v/>
      </c>
      <c r="G24" s="28" t="n"/>
      <c r="H24" s="11">
        <f>計算用!$AM$23</f>
        <v/>
      </c>
      <c r="I24" s="28" t="n"/>
    </row>
    <row r="25">
      <c r="A25" s="11">
        <f>計算用!$AD$24</f>
        <v/>
      </c>
      <c r="B25" s="11">
        <f>計算用!$AJ$24</f>
        <v/>
      </c>
      <c r="C25" s="28" t="n"/>
      <c r="D25" s="11">
        <f>計算用!$AK$24</f>
        <v/>
      </c>
      <c r="E25" s="28" t="n"/>
      <c r="F25" s="11">
        <f>計算用!$AL$24</f>
        <v/>
      </c>
      <c r="G25" s="28" t="n"/>
      <c r="H25" s="11">
        <f>計算用!$AM$24</f>
        <v/>
      </c>
      <c r="I25" s="28" t="n"/>
    </row>
    <row r="26">
      <c r="A26" s="11">
        <f>計算用!$AD$25</f>
        <v/>
      </c>
      <c r="B26" s="11">
        <f>計算用!$AJ$25</f>
        <v/>
      </c>
      <c r="C26" s="28" t="n"/>
      <c r="D26" s="11">
        <f>計算用!$AK$25</f>
        <v/>
      </c>
      <c r="E26" s="28" t="n"/>
      <c r="F26" s="11">
        <f>計算用!$AL$25</f>
        <v/>
      </c>
      <c r="G26" s="28" t="n"/>
      <c r="H26" s="11">
        <f>計算用!$AM$25</f>
        <v/>
      </c>
      <c r="I26" s="28" t="n"/>
    </row>
    <row r="27">
      <c r="A27" s="11">
        <f>計算用!$AD$26</f>
        <v/>
      </c>
      <c r="B27" s="11">
        <f>計算用!$AJ$26</f>
        <v/>
      </c>
      <c r="C27" s="28" t="n"/>
      <c r="D27" s="11">
        <f>計算用!$AK$26</f>
        <v/>
      </c>
      <c r="E27" s="28" t="n"/>
      <c r="F27" s="11">
        <f>計算用!$AL$26</f>
        <v/>
      </c>
      <c r="G27" s="28" t="n"/>
      <c r="H27" s="11">
        <f>計算用!$AM$26</f>
        <v/>
      </c>
      <c r="I27" s="28" t="n"/>
    </row>
    <row r="28">
      <c r="A28" s="11">
        <f>計算用!$AD$27</f>
        <v/>
      </c>
      <c r="B28" s="11">
        <f>計算用!$AJ$27</f>
        <v/>
      </c>
      <c r="C28" s="28" t="n"/>
      <c r="D28" s="11">
        <f>計算用!$AK$27</f>
        <v/>
      </c>
      <c r="E28" s="28" t="n"/>
      <c r="F28" s="11">
        <f>計算用!$AL$27</f>
        <v/>
      </c>
      <c r="G28" s="28" t="n"/>
      <c r="H28" s="11">
        <f>計算用!$AM$27</f>
        <v/>
      </c>
      <c r="I28" s="28" t="n"/>
    </row>
    <row r="29">
      <c r="A29" s="11">
        <f>計算用!$AD$28</f>
        <v/>
      </c>
      <c r="B29" s="11">
        <f>計算用!$AJ$28</f>
        <v/>
      </c>
      <c r="C29" s="28" t="n"/>
      <c r="D29" s="11">
        <f>計算用!$AK$28</f>
        <v/>
      </c>
      <c r="E29" s="28" t="n"/>
      <c r="F29" s="11">
        <f>計算用!$AL$28</f>
        <v/>
      </c>
      <c r="G29" s="28" t="n"/>
      <c r="H29" s="11">
        <f>計算用!$AM$28</f>
        <v/>
      </c>
      <c r="I29" s="28" t="n"/>
    </row>
    <row r="30">
      <c r="A30" s="11">
        <f>計算用!$AD$29</f>
        <v/>
      </c>
      <c r="B30" s="11">
        <f>計算用!$AJ$29</f>
        <v/>
      </c>
      <c r="C30" s="28" t="n"/>
      <c r="D30" s="11">
        <f>計算用!$AK$29</f>
        <v/>
      </c>
      <c r="E30" s="28" t="n"/>
      <c r="F30" s="11">
        <f>計算用!$AL$29</f>
        <v/>
      </c>
      <c r="G30" s="28" t="n"/>
      <c r="H30" s="11">
        <f>計算用!$AM$29</f>
        <v/>
      </c>
      <c r="I30" s="28" t="n"/>
    </row>
    <row r="31">
      <c r="A31" s="11">
        <f>計算用!$AD$30</f>
        <v/>
      </c>
      <c r="B31" s="11">
        <f>計算用!$AJ$30</f>
        <v/>
      </c>
      <c r="C31" s="28" t="n"/>
      <c r="D31" s="11">
        <f>計算用!$AK$30</f>
        <v/>
      </c>
      <c r="E31" s="28" t="n"/>
      <c r="F31" s="11">
        <f>計算用!$AL$30</f>
        <v/>
      </c>
      <c r="G31" s="28" t="n"/>
      <c r="H31" s="11">
        <f>計算用!$AM$30</f>
        <v/>
      </c>
      <c r="I31" s="28" t="n"/>
    </row>
    <row r="32">
      <c r="A32" s="11">
        <f>計算用!$AD$31</f>
        <v/>
      </c>
      <c r="B32" s="11">
        <f>計算用!$AJ$31</f>
        <v/>
      </c>
      <c r="C32" s="28" t="n"/>
      <c r="D32" s="11">
        <f>計算用!$AK$31</f>
        <v/>
      </c>
      <c r="E32" s="28" t="n"/>
      <c r="F32" s="11">
        <f>計算用!$AL$31</f>
        <v/>
      </c>
      <c r="G32" s="28" t="n"/>
      <c r="H32" s="11">
        <f>計算用!$AM$31</f>
        <v/>
      </c>
      <c r="I32" s="28" t="n"/>
    </row>
    <row r="33">
      <c r="A33" s="11">
        <f>計算用!$AD$32</f>
        <v/>
      </c>
      <c r="B33" s="11">
        <f>計算用!$AJ$32</f>
        <v/>
      </c>
      <c r="C33" s="28" t="n"/>
      <c r="D33" s="11">
        <f>計算用!$AK$32</f>
        <v/>
      </c>
      <c r="E33" s="28" t="n"/>
      <c r="F33" s="11">
        <f>計算用!$AL$32</f>
        <v/>
      </c>
      <c r="G33" s="28" t="n"/>
      <c r="H33" s="11">
        <f>計算用!$AM$32</f>
        <v/>
      </c>
      <c r="I33" s="28" t="n"/>
    </row>
    <row r="34">
      <c r="A34" s="11">
        <f>計算用!$AD$33</f>
        <v/>
      </c>
      <c r="B34" s="11">
        <f>計算用!$AJ$33</f>
        <v/>
      </c>
      <c r="C34" s="28" t="n"/>
      <c r="D34" s="11">
        <f>計算用!$AK$33</f>
        <v/>
      </c>
      <c r="E34" s="28" t="n"/>
      <c r="F34" s="11">
        <f>計算用!$AL$33</f>
        <v/>
      </c>
      <c r="G34" s="28" t="n"/>
      <c r="H34" s="11">
        <f>計算用!$AM$33</f>
        <v/>
      </c>
      <c r="I34" s="28" t="n"/>
    </row>
    <row r="35">
      <c r="A35" s="11">
        <f>計算用!$AD$34</f>
        <v/>
      </c>
      <c r="B35" s="11">
        <f>計算用!$AJ$34</f>
        <v/>
      </c>
      <c r="C35" s="28" t="n"/>
      <c r="D35" s="11">
        <f>計算用!$AK$34</f>
        <v/>
      </c>
      <c r="E35" s="28" t="n"/>
      <c r="F35" s="11">
        <f>計算用!$AL$34</f>
        <v/>
      </c>
      <c r="G35" s="28" t="n"/>
      <c r="H35" s="11">
        <f>計算用!$AM$34</f>
        <v/>
      </c>
      <c r="I35" s="28" t="n"/>
    </row>
    <row r="36">
      <c r="A36" s="11">
        <f>計算用!$AD$35</f>
        <v/>
      </c>
      <c r="B36" s="11">
        <f>計算用!$AJ$35</f>
        <v/>
      </c>
      <c r="C36" s="28" t="n"/>
      <c r="D36" s="11">
        <f>計算用!$AK$35</f>
        <v/>
      </c>
      <c r="E36" s="28" t="n"/>
      <c r="F36" s="11">
        <f>計算用!$AL$35</f>
        <v/>
      </c>
      <c r="G36" s="28" t="n"/>
      <c r="H36" s="11">
        <f>計算用!$AM$35</f>
        <v/>
      </c>
      <c r="I36" s="28" t="n"/>
    </row>
    <row r="37">
      <c r="A37" s="11">
        <f>計算用!$AD$36</f>
        <v/>
      </c>
      <c r="B37" s="11">
        <f>計算用!$AJ$36</f>
        <v/>
      </c>
      <c r="C37" s="28" t="n"/>
      <c r="D37" s="11">
        <f>計算用!$AK$36</f>
        <v/>
      </c>
      <c r="E37" s="28" t="n"/>
      <c r="F37" s="11">
        <f>計算用!$AL$36</f>
        <v/>
      </c>
      <c r="G37" s="28" t="n"/>
      <c r="H37" s="11">
        <f>計算用!$AM$36</f>
        <v/>
      </c>
      <c r="I37" s="28" t="n"/>
    </row>
    <row r="38">
      <c r="A38" s="11">
        <f>計算用!$AD$37</f>
        <v/>
      </c>
      <c r="B38" s="11">
        <f>計算用!$AJ$37</f>
        <v/>
      </c>
      <c r="C38" s="28" t="n"/>
      <c r="D38" s="11">
        <f>計算用!$AK$37</f>
        <v/>
      </c>
      <c r="E38" s="28" t="n"/>
      <c r="F38" s="11">
        <f>計算用!$AL$37</f>
        <v/>
      </c>
      <c r="G38" s="28" t="n"/>
      <c r="H38" s="11">
        <f>計算用!$AM$37</f>
        <v/>
      </c>
      <c r="I38" s="28" t="n"/>
    </row>
    <row r="39">
      <c r="A39" s="11">
        <f>計算用!$AD$38</f>
        <v/>
      </c>
      <c r="B39" s="11">
        <f>計算用!$AJ$38</f>
        <v/>
      </c>
      <c r="C39" s="28" t="n"/>
      <c r="D39" s="11">
        <f>計算用!$AK$38</f>
        <v/>
      </c>
      <c r="E39" s="28" t="n"/>
      <c r="F39" s="11">
        <f>計算用!$AL$38</f>
        <v/>
      </c>
      <c r="G39" s="28" t="n"/>
      <c r="H39" s="11">
        <f>計算用!$AM$38</f>
        <v/>
      </c>
      <c r="I39" s="28" t="n"/>
    </row>
    <row r="40">
      <c r="A40" s="11">
        <f>計算用!$AD$39</f>
        <v/>
      </c>
      <c r="B40" s="11">
        <f>計算用!$AJ$39</f>
        <v/>
      </c>
      <c r="C40" s="28" t="n"/>
      <c r="D40" s="11">
        <f>計算用!$AK$39</f>
        <v/>
      </c>
      <c r="E40" s="28" t="n"/>
      <c r="F40" s="11">
        <f>計算用!$AL$39</f>
        <v/>
      </c>
      <c r="G40" s="28" t="n"/>
      <c r="H40" s="11">
        <f>計算用!$AM$39</f>
        <v/>
      </c>
      <c r="I40" s="28" t="n"/>
    </row>
    <row r="41">
      <c r="A41" s="11">
        <f>計算用!$AD$40</f>
        <v/>
      </c>
      <c r="B41" s="11">
        <f>計算用!$AJ$40</f>
        <v/>
      </c>
      <c r="C41" s="28" t="n"/>
      <c r="D41" s="11">
        <f>計算用!$AK$40</f>
        <v/>
      </c>
      <c r="E41" s="28" t="n"/>
      <c r="F41" s="11">
        <f>計算用!$AL$40</f>
        <v/>
      </c>
      <c r="G41" s="28" t="n"/>
      <c r="H41" s="11">
        <f>計算用!$AM$40</f>
        <v/>
      </c>
      <c r="I41" s="28" t="n"/>
    </row>
    <row r="42">
      <c r="A42" s="11">
        <f>計算用!$AD$41</f>
        <v/>
      </c>
      <c r="B42" s="11">
        <f>計算用!$AJ$41</f>
        <v/>
      </c>
      <c r="C42" s="28" t="n"/>
      <c r="D42" s="11">
        <f>計算用!$AK$41</f>
        <v/>
      </c>
      <c r="E42" s="28" t="n"/>
      <c r="F42" s="11">
        <f>計算用!$AL$41</f>
        <v/>
      </c>
      <c r="G42" s="28" t="n"/>
      <c r="H42" s="11">
        <f>計算用!$AM$41</f>
        <v/>
      </c>
      <c r="I42" s="28" t="n"/>
    </row>
    <row r="43">
      <c r="A43" s="11">
        <f>計算用!$AD$42</f>
        <v/>
      </c>
      <c r="B43" s="11">
        <f>計算用!$AJ$42</f>
        <v/>
      </c>
      <c r="C43" s="28" t="n"/>
      <c r="D43" s="11">
        <f>計算用!$AK$42</f>
        <v/>
      </c>
      <c r="E43" s="28" t="n"/>
      <c r="F43" s="11">
        <f>計算用!$AL$42</f>
        <v/>
      </c>
      <c r="G43" s="28" t="n"/>
      <c r="H43" s="11">
        <f>計算用!$AM$42</f>
        <v/>
      </c>
      <c r="I43" s="28" t="n"/>
    </row>
    <row r="44">
      <c r="A44" s="11">
        <f>計算用!$AD$43</f>
        <v/>
      </c>
      <c r="B44" s="11">
        <f>計算用!$AJ$43</f>
        <v/>
      </c>
      <c r="C44" s="28" t="n"/>
      <c r="D44" s="11">
        <f>計算用!$AK$43</f>
        <v/>
      </c>
      <c r="E44" s="28" t="n"/>
      <c r="F44" s="11">
        <f>計算用!$AL$43</f>
        <v/>
      </c>
      <c r="G44" s="28" t="n"/>
      <c r="H44" s="11">
        <f>計算用!$AM$43</f>
        <v/>
      </c>
      <c r="I44" s="28" t="n"/>
    </row>
    <row r="45">
      <c r="A45" s="11">
        <f>計算用!$AD$44</f>
        <v/>
      </c>
      <c r="B45" s="11">
        <f>計算用!$AJ$44</f>
        <v/>
      </c>
      <c r="C45" s="28" t="n"/>
      <c r="D45" s="11">
        <f>計算用!$AK$44</f>
        <v/>
      </c>
      <c r="E45" s="28" t="n"/>
      <c r="F45" s="11">
        <f>計算用!$AL$44</f>
        <v/>
      </c>
      <c r="G45" s="28" t="n"/>
      <c r="H45" s="11">
        <f>計算用!$AM$44</f>
        <v/>
      </c>
      <c r="I45" s="28" t="n"/>
    </row>
    <row r="46">
      <c r="A46" s="11">
        <f>計算用!$AD$45</f>
        <v/>
      </c>
      <c r="B46" s="11">
        <f>計算用!$AJ$45</f>
        <v/>
      </c>
      <c r="C46" s="28" t="n"/>
      <c r="D46" s="11">
        <f>計算用!$AK$45</f>
        <v/>
      </c>
      <c r="E46" s="28" t="n"/>
      <c r="F46" s="11">
        <f>計算用!$AL$45</f>
        <v/>
      </c>
      <c r="G46" s="28" t="n"/>
      <c r="H46" s="11">
        <f>計算用!$AM$45</f>
        <v/>
      </c>
      <c r="I46" s="28" t="n"/>
    </row>
    <row r="47">
      <c r="A47" s="11">
        <f>計算用!$AD$46</f>
        <v/>
      </c>
      <c r="B47" s="11">
        <f>計算用!$AJ$46</f>
        <v/>
      </c>
      <c r="C47" s="28" t="n"/>
      <c r="D47" s="11">
        <f>計算用!$AK$46</f>
        <v/>
      </c>
      <c r="E47" s="28" t="n"/>
      <c r="F47" s="11">
        <f>計算用!$AL$46</f>
        <v/>
      </c>
      <c r="G47" s="28" t="n"/>
      <c r="H47" s="11">
        <f>計算用!$AM$46</f>
        <v/>
      </c>
      <c r="I47" s="28" t="n"/>
    </row>
    <row r="48">
      <c r="A48" s="11">
        <f>計算用!$AD$47</f>
        <v/>
      </c>
      <c r="B48" s="11">
        <f>計算用!$AJ$47</f>
        <v/>
      </c>
      <c r="C48" s="28" t="n"/>
      <c r="D48" s="11">
        <f>計算用!$AK$47</f>
        <v/>
      </c>
      <c r="E48" s="28" t="n"/>
      <c r="F48" s="11">
        <f>計算用!$AL$47</f>
        <v/>
      </c>
      <c r="G48" s="28" t="n"/>
      <c r="H48" s="11">
        <f>計算用!$AM$47</f>
        <v/>
      </c>
      <c r="I48" s="28" t="n"/>
    </row>
    <row r="49">
      <c r="A49" s="11">
        <f>計算用!$AD$48</f>
        <v/>
      </c>
      <c r="B49" s="11">
        <f>計算用!$AJ$48</f>
        <v/>
      </c>
      <c r="C49" s="28" t="n"/>
      <c r="D49" s="11">
        <f>計算用!$AK$48</f>
        <v/>
      </c>
      <c r="E49" s="28" t="n"/>
      <c r="F49" s="11">
        <f>計算用!$AL$48</f>
        <v/>
      </c>
      <c r="G49" s="28" t="n"/>
      <c r="H49" s="11">
        <f>計算用!$AM$48</f>
        <v/>
      </c>
      <c r="I49" s="28" t="n"/>
    </row>
    <row r="50">
      <c r="A50" s="11">
        <f>計算用!$AD$49</f>
        <v/>
      </c>
      <c r="B50" s="11">
        <f>計算用!$AJ$49</f>
        <v/>
      </c>
      <c r="C50" s="28" t="n"/>
      <c r="D50" s="11">
        <f>計算用!$AK$49</f>
        <v/>
      </c>
      <c r="E50" s="28" t="n"/>
      <c r="F50" s="11">
        <f>計算用!$AL$49</f>
        <v/>
      </c>
      <c r="G50" s="28" t="n"/>
      <c r="H50" s="11">
        <f>計算用!$AM$49</f>
        <v/>
      </c>
      <c r="I50" s="28" t="n"/>
    </row>
    <row r="51">
      <c r="A51" s="11">
        <f>計算用!$AD$50</f>
        <v/>
      </c>
      <c r="B51" s="11">
        <f>計算用!$AJ$50</f>
        <v/>
      </c>
      <c r="C51" s="28" t="n"/>
      <c r="D51" s="11">
        <f>計算用!$AK$50</f>
        <v/>
      </c>
      <c r="E51" s="28" t="n"/>
      <c r="F51" s="11">
        <f>計算用!$AL$50</f>
        <v/>
      </c>
      <c r="G51" s="28" t="n"/>
      <c r="H51" s="11">
        <f>計算用!$AM$50</f>
        <v/>
      </c>
      <c r="I51" s="28" t="n"/>
    </row>
    <row r="52">
      <c r="A52" s="11">
        <f>計算用!$AD$51</f>
        <v/>
      </c>
      <c r="B52" s="11">
        <f>計算用!$AJ$51</f>
        <v/>
      </c>
      <c r="C52" s="28" t="n"/>
      <c r="D52" s="11">
        <f>計算用!$AK$51</f>
        <v/>
      </c>
      <c r="E52" s="28" t="n"/>
      <c r="F52" s="11">
        <f>計算用!$AL$51</f>
        <v/>
      </c>
      <c r="G52" s="28" t="n"/>
      <c r="H52" s="11">
        <f>計算用!$AM$51</f>
        <v/>
      </c>
      <c r="I52" s="28" t="n"/>
    </row>
    <row r="53">
      <c r="A53" s="11">
        <f>計算用!$AD$52</f>
        <v/>
      </c>
      <c r="B53" s="11">
        <f>計算用!$AJ$52</f>
        <v/>
      </c>
      <c r="C53" s="28" t="n"/>
      <c r="D53" s="11">
        <f>計算用!$AK$52</f>
        <v/>
      </c>
      <c r="E53" s="28" t="n"/>
      <c r="F53" s="11">
        <f>計算用!$AL$52</f>
        <v/>
      </c>
      <c r="G53" s="28" t="n"/>
      <c r="H53" s="11">
        <f>計算用!$AM$52</f>
        <v/>
      </c>
      <c r="I53" s="28" t="n"/>
    </row>
    <row r="54">
      <c r="A54" s="11">
        <f>計算用!$AD$53</f>
        <v/>
      </c>
      <c r="B54" s="11">
        <f>計算用!$AJ$53</f>
        <v/>
      </c>
      <c r="C54" s="28" t="n"/>
      <c r="D54" s="11">
        <f>計算用!$AK$53</f>
        <v/>
      </c>
      <c r="E54" s="28" t="n"/>
      <c r="F54" s="11">
        <f>計算用!$AL$53</f>
        <v/>
      </c>
      <c r="G54" s="28" t="n"/>
      <c r="H54" s="11">
        <f>計算用!$AM$53</f>
        <v/>
      </c>
      <c r="I54" s="28" t="n"/>
    </row>
    <row r="55">
      <c r="A55" s="11">
        <f>計算用!$AD$54</f>
        <v/>
      </c>
      <c r="B55" s="11">
        <f>計算用!$AJ$54</f>
        <v/>
      </c>
      <c r="C55" s="28" t="n"/>
      <c r="D55" s="11">
        <f>計算用!$AK$54</f>
        <v/>
      </c>
      <c r="E55" s="28" t="n"/>
      <c r="F55" s="11">
        <f>計算用!$AL$54</f>
        <v/>
      </c>
      <c r="G55" s="28" t="n"/>
      <c r="H55" s="11">
        <f>計算用!$AM$54</f>
        <v/>
      </c>
      <c r="I55" s="28" t="n"/>
    </row>
    <row r="56">
      <c r="A56" s="11">
        <f>計算用!$AD$55</f>
        <v/>
      </c>
      <c r="B56" s="11">
        <f>計算用!$AJ$55</f>
        <v/>
      </c>
      <c r="C56" s="28" t="n"/>
      <c r="D56" s="11">
        <f>計算用!$AK$55</f>
        <v/>
      </c>
      <c r="E56" s="28" t="n"/>
      <c r="F56" s="11">
        <f>計算用!$AL$55</f>
        <v/>
      </c>
      <c r="G56" s="28" t="n"/>
      <c r="H56" s="11">
        <f>計算用!$AM$55</f>
        <v/>
      </c>
      <c r="I56" s="28" t="n"/>
    </row>
    <row r="57">
      <c r="A57" s="11">
        <f>計算用!$AD$56</f>
        <v/>
      </c>
      <c r="B57" s="11">
        <f>計算用!$AJ$56</f>
        <v/>
      </c>
      <c r="C57" s="28" t="n"/>
      <c r="D57" s="11">
        <f>計算用!$AK$56</f>
        <v/>
      </c>
      <c r="E57" s="28" t="n"/>
      <c r="F57" s="11">
        <f>計算用!$AL$56</f>
        <v/>
      </c>
      <c r="G57" s="28" t="n"/>
      <c r="H57" s="11">
        <f>計算用!$AM$56</f>
        <v/>
      </c>
      <c r="I57" s="28" t="n"/>
    </row>
    <row r="58">
      <c r="A58" s="11">
        <f>計算用!$AD$57</f>
        <v/>
      </c>
      <c r="B58" s="11">
        <f>計算用!$AJ$57</f>
        <v/>
      </c>
      <c r="C58" s="28" t="n"/>
      <c r="D58" s="11">
        <f>計算用!$AK$57</f>
        <v/>
      </c>
      <c r="E58" s="28" t="n"/>
      <c r="F58" s="11">
        <f>計算用!$AL$57</f>
        <v/>
      </c>
      <c r="G58" s="28" t="n"/>
      <c r="H58" s="11">
        <f>計算用!$AM$57</f>
        <v/>
      </c>
      <c r="I58" s="28" t="n"/>
    </row>
    <row r="59">
      <c r="A59" s="11">
        <f>計算用!$AD$58</f>
        <v/>
      </c>
      <c r="B59" s="11">
        <f>計算用!$AJ$58</f>
        <v/>
      </c>
      <c r="C59" s="28" t="n"/>
      <c r="D59" s="11">
        <f>計算用!$AK$58</f>
        <v/>
      </c>
      <c r="E59" s="28" t="n"/>
      <c r="F59" s="11">
        <f>計算用!$AL$58</f>
        <v/>
      </c>
      <c r="G59" s="28" t="n"/>
      <c r="H59" s="11">
        <f>計算用!$AM$58</f>
        <v/>
      </c>
      <c r="I59" s="28" t="n"/>
    </row>
    <row r="60">
      <c r="A60" s="11">
        <f>計算用!$AD$59</f>
        <v/>
      </c>
      <c r="B60" s="11">
        <f>計算用!$AJ$59</f>
        <v/>
      </c>
      <c r="C60" s="28" t="n"/>
      <c r="D60" s="11">
        <f>計算用!$AK$59</f>
        <v/>
      </c>
      <c r="E60" s="28" t="n"/>
      <c r="F60" s="11">
        <f>計算用!$AL$59</f>
        <v/>
      </c>
      <c r="G60" s="28" t="n"/>
      <c r="H60" s="11">
        <f>計算用!$AM$59</f>
        <v/>
      </c>
      <c r="I60" s="28" t="n"/>
    </row>
    <row r="61">
      <c r="A61" s="11">
        <f>計算用!$AD$60</f>
        <v/>
      </c>
      <c r="B61" s="11">
        <f>計算用!$AJ$60</f>
        <v/>
      </c>
      <c r="C61" s="28" t="n"/>
      <c r="D61" s="11">
        <f>計算用!$AK$60</f>
        <v/>
      </c>
      <c r="E61" s="28" t="n"/>
      <c r="F61" s="11">
        <f>計算用!$AL$60</f>
        <v/>
      </c>
      <c r="G61" s="28" t="n"/>
      <c r="H61" s="11">
        <f>計算用!$AM$60</f>
        <v/>
      </c>
      <c r="I61" s="28" t="n"/>
    </row>
    <row r="62">
      <c r="A62" s="11">
        <f>計算用!$AD$61</f>
        <v/>
      </c>
      <c r="B62" s="11">
        <f>計算用!$AJ$61</f>
        <v/>
      </c>
      <c r="C62" s="28" t="n"/>
      <c r="D62" s="11">
        <f>計算用!$AK$61</f>
        <v/>
      </c>
      <c r="E62" s="28" t="n"/>
      <c r="F62" s="11">
        <f>計算用!$AL$61</f>
        <v/>
      </c>
      <c r="G62" s="28" t="n"/>
      <c r="H62" s="11">
        <f>計算用!$AM$61</f>
        <v/>
      </c>
      <c r="I62" s="28" t="n"/>
    </row>
    <row r="63">
      <c r="A63" s="11">
        <f>計算用!$AD$62</f>
        <v/>
      </c>
      <c r="B63" s="11">
        <f>計算用!$AJ$62</f>
        <v/>
      </c>
      <c r="C63" s="28" t="n"/>
      <c r="D63" s="11">
        <f>計算用!$AK$62</f>
        <v/>
      </c>
      <c r="E63" s="28" t="n"/>
      <c r="F63" s="11">
        <f>計算用!$AL$62</f>
        <v/>
      </c>
      <c r="G63" s="28" t="n"/>
      <c r="H63" s="11">
        <f>計算用!$AM$62</f>
        <v/>
      </c>
      <c r="I63" s="28" t="n"/>
    </row>
    <row r="64">
      <c r="A64" s="11">
        <f>計算用!$AD$63</f>
        <v/>
      </c>
      <c r="B64" s="11">
        <f>計算用!$AJ$63</f>
        <v/>
      </c>
      <c r="C64" s="28" t="n"/>
      <c r="D64" s="11">
        <f>計算用!$AK$63</f>
        <v/>
      </c>
      <c r="E64" s="28" t="n"/>
      <c r="F64" s="11">
        <f>計算用!$AL$63</f>
        <v/>
      </c>
      <c r="G64" s="28" t="n"/>
      <c r="H64" s="11">
        <f>計算用!$AM$63</f>
        <v/>
      </c>
      <c r="I64" s="28" t="n"/>
    </row>
    <row r="65">
      <c r="A65" s="11">
        <f>計算用!$AD$64</f>
        <v/>
      </c>
      <c r="B65" s="11">
        <f>計算用!$AJ$64</f>
        <v/>
      </c>
      <c r="C65" s="28" t="n"/>
      <c r="D65" s="11">
        <f>計算用!$AK$64</f>
        <v/>
      </c>
      <c r="E65" s="28" t="n"/>
      <c r="F65" s="11">
        <f>計算用!$AL$64</f>
        <v/>
      </c>
      <c r="G65" s="28" t="n"/>
      <c r="H65" s="11">
        <f>計算用!$AM$64</f>
        <v/>
      </c>
      <c r="I65" s="28" t="n"/>
    </row>
    <row r="66">
      <c r="A66" s="11">
        <f>計算用!$AD$65</f>
        <v/>
      </c>
      <c r="B66" s="11">
        <f>計算用!$AJ$65</f>
        <v/>
      </c>
      <c r="C66" s="28" t="n"/>
      <c r="D66" s="11">
        <f>計算用!$AK$65</f>
        <v/>
      </c>
      <c r="E66" s="28" t="n"/>
      <c r="F66" s="11">
        <f>計算用!$AL$65</f>
        <v/>
      </c>
      <c r="G66" s="28" t="n"/>
      <c r="H66" s="11">
        <f>計算用!$AM$65</f>
        <v/>
      </c>
      <c r="I66" s="28" t="n"/>
    </row>
    <row r="67">
      <c r="A67" s="11">
        <f>計算用!$AD$66</f>
        <v/>
      </c>
      <c r="B67" s="11">
        <f>計算用!$AJ$66</f>
        <v/>
      </c>
      <c r="C67" s="28" t="n"/>
      <c r="D67" s="11">
        <f>計算用!$AK$66</f>
        <v/>
      </c>
      <c r="E67" s="28" t="n"/>
      <c r="F67" s="11">
        <f>計算用!$AL$66</f>
        <v/>
      </c>
      <c r="G67" s="28" t="n"/>
      <c r="H67" s="11">
        <f>計算用!$AM$66</f>
        <v/>
      </c>
      <c r="I67" s="28" t="n"/>
    </row>
    <row r="68">
      <c r="A68" s="11">
        <f>計算用!$AD$67</f>
        <v/>
      </c>
      <c r="B68" s="11">
        <f>計算用!$AJ$67</f>
        <v/>
      </c>
      <c r="C68" s="28" t="n"/>
      <c r="D68" s="11">
        <f>計算用!$AK$67</f>
        <v/>
      </c>
      <c r="E68" s="28" t="n"/>
      <c r="F68" s="11">
        <f>計算用!$AL$67</f>
        <v/>
      </c>
      <c r="G68" s="28" t="n"/>
      <c r="H68" s="11">
        <f>計算用!$AM$67</f>
        <v/>
      </c>
      <c r="I68" s="28" t="n"/>
    </row>
    <row r="69">
      <c r="A69" s="11">
        <f>計算用!$AD$68</f>
        <v/>
      </c>
      <c r="B69" s="11">
        <f>計算用!$AJ$68</f>
        <v/>
      </c>
      <c r="C69" s="28" t="n"/>
      <c r="D69" s="11">
        <f>計算用!$AK$68</f>
        <v/>
      </c>
      <c r="E69" s="28" t="n"/>
      <c r="F69" s="11">
        <f>計算用!$AL$68</f>
        <v/>
      </c>
      <c r="G69" s="28" t="n"/>
      <c r="H69" s="11">
        <f>計算用!$AM$68</f>
        <v/>
      </c>
      <c r="I69" s="28" t="n"/>
    </row>
    <row r="70">
      <c r="A70" s="11">
        <f>計算用!$AD$69</f>
        <v/>
      </c>
      <c r="B70" s="11">
        <f>計算用!$AJ$69</f>
        <v/>
      </c>
      <c r="C70" s="28" t="n"/>
      <c r="D70" s="11">
        <f>計算用!$AK$69</f>
        <v/>
      </c>
      <c r="E70" s="28" t="n"/>
      <c r="F70" s="11">
        <f>計算用!$AL$69</f>
        <v/>
      </c>
      <c r="G70" s="28" t="n"/>
      <c r="H70" s="11">
        <f>計算用!$AM$69</f>
        <v/>
      </c>
      <c r="I70" s="28" t="n"/>
    </row>
    <row r="71">
      <c r="A71" s="11">
        <f>計算用!$AD$70</f>
        <v/>
      </c>
      <c r="B71" s="11">
        <f>計算用!$AJ$70</f>
        <v/>
      </c>
      <c r="C71" s="28" t="n"/>
      <c r="D71" s="11">
        <f>計算用!$AK$70</f>
        <v/>
      </c>
      <c r="E71" s="28" t="n"/>
      <c r="F71" s="11">
        <f>計算用!$AL$70</f>
        <v/>
      </c>
      <c r="G71" s="28" t="n"/>
      <c r="H71" s="11">
        <f>計算用!$AM$70</f>
        <v/>
      </c>
      <c r="I71" s="28" t="n"/>
    </row>
    <row r="72">
      <c r="A72" s="11">
        <f>計算用!$AD$71</f>
        <v/>
      </c>
      <c r="B72" s="11">
        <f>計算用!$AJ$71</f>
        <v/>
      </c>
      <c r="C72" s="28" t="n"/>
      <c r="D72" s="11">
        <f>計算用!$AK$71</f>
        <v/>
      </c>
      <c r="E72" s="28" t="n"/>
      <c r="F72" s="11">
        <f>計算用!$AL$71</f>
        <v/>
      </c>
      <c r="G72" s="28" t="n"/>
      <c r="H72" s="11">
        <f>計算用!$AM$71</f>
        <v/>
      </c>
      <c r="I72" s="28" t="n"/>
    </row>
    <row r="73">
      <c r="A73" s="11">
        <f>計算用!$AD$72</f>
        <v/>
      </c>
      <c r="B73" s="11">
        <f>計算用!$AJ$72</f>
        <v/>
      </c>
      <c r="C73" s="28" t="n"/>
      <c r="D73" s="11">
        <f>計算用!$AK$72</f>
        <v/>
      </c>
      <c r="E73" s="28" t="n"/>
      <c r="F73" s="11">
        <f>計算用!$AL$72</f>
        <v/>
      </c>
      <c r="G73" s="28" t="n"/>
      <c r="H73" s="11">
        <f>計算用!$AM$72</f>
        <v/>
      </c>
      <c r="I73" s="28" t="n"/>
    </row>
    <row r="74">
      <c r="A74" s="11">
        <f>計算用!$AD$73</f>
        <v/>
      </c>
      <c r="B74" s="11">
        <f>計算用!$AJ$73</f>
        <v/>
      </c>
      <c r="C74" s="28" t="n"/>
      <c r="D74" s="11">
        <f>計算用!$AK$73</f>
        <v/>
      </c>
      <c r="E74" s="28" t="n"/>
      <c r="F74" s="11">
        <f>計算用!$AL$73</f>
        <v/>
      </c>
      <c r="G74" s="28" t="n"/>
      <c r="H74" s="11">
        <f>計算用!$AM$73</f>
        <v/>
      </c>
      <c r="I74" s="28" t="n"/>
    </row>
    <row r="75">
      <c r="A75" s="11">
        <f>計算用!$AD$74</f>
        <v/>
      </c>
      <c r="B75" s="11">
        <f>計算用!$AJ$74</f>
        <v/>
      </c>
      <c r="C75" s="28" t="n"/>
      <c r="D75" s="11">
        <f>計算用!$AK$74</f>
        <v/>
      </c>
      <c r="E75" s="28" t="n"/>
      <c r="F75" s="11">
        <f>計算用!$AL$74</f>
        <v/>
      </c>
      <c r="G75" s="28" t="n"/>
      <c r="H75" s="11">
        <f>計算用!$AM$74</f>
        <v/>
      </c>
      <c r="I75" s="28" t="n"/>
    </row>
    <row r="76">
      <c r="A76" s="11">
        <f>計算用!$AD$75</f>
        <v/>
      </c>
      <c r="B76" s="11">
        <f>計算用!$AJ$75</f>
        <v/>
      </c>
      <c r="C76" s="28" t="n"/>
      <c r="D76" s="11">
        <f>計算用!$AK$75</f>
        <v/>
      </c>
      <c r="E76" s="28" t="n"/>
      <c r="F76" s="11">
        <f>計算用!$AL$75</f>
        <v/>
      </c>
      <c r="G76" s="28" t="n"/>
      <c r="H76" s="11">
        <f>計算用!$AM$75</f>
        <v/>
      </c>
      <c r="I76" s="28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AND(B3&lt;&gt;"",TRUE,MOD(0-INDEX(計算用!$AA$2:$AA$75,ROW()-2)+1,4)=0)</formula>
    </cfRule>
    <cfRule type="expression" priority="3" dxfId="6">
      <formula>AND(B3&lt;&gt;"",TRUE,MOD(0-INDEX(計算用!$AA$2:$AA$75,ROW()-2)+1,4)=1)</formula>
    </cfRule>
    <cfRule type="expression" priority="4" dxfId="7">
      <formula>AND(B3&lt;&gt;"",TRUE,MOD(0-INDEX(計算用!$AA$2:$AA$75,ROW()-2)+1,4)=2)</formula>
    </cfRule>
    <cfRule type="expression" priority="5" dxfId="8">
      <formula>AND(B3&lt;&gt;"",TRUE,MOD(0-INDEX(計算用!$AA$2:$AA$75,ROW()-2)+1,4)=3)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AND(D3&lt;&gt;"",TRUE,MOD(1-INDEX(計算用!$AA$2:$AA$75,ROW()-2)+1,4)=0)</formula>
    </cfRule>
    <cfRule type="expression" priority="8" dxfId="6">
      <formula>AND(D3&lt;&gt;"",TRUE,MOD(1-INDEX(計算用!$AA$2:$AA$75,ROW()-2)+1,4)=1)</formula>
    </cfRule>
    <cfRule type="expression" priority="9" dxfId="7">
      <formula>AND(D3&lt;&gt;"",TRUE,MOD(1-INDEX(計算用!$AA$2:$AA$75,ROW()-2)+1,4)=2)</formula>
    </cfRule>
    <cfRule type="expression" priority="10" dxfId="8">
      <formula>AND(D3&lt;&gt;"",TRUE,MOD(1-INDEX(計算用!$AA$2:$AA$75,ROW()-2)+1,4)=3)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AND(F3&lt;&gt;"",TRUE,MOD(2-INDEX(計算用!$AA$2:$AA$75,ROW()-2)+1,4)=0)</formula>
    </cfRule>
    <cfRule type="expression" priority="13" dxfId="6">
      <formula>AND(F3&lt;&gt;"",TRUE,MOD(2-INDEX(計算用!$AA$2:$AA$75,ROW()-2)+1,4)=1)</formula>
    </cfRule>
    <cfRule type="expression" priority="14" dxfId="7">
      <formula>AND(F3&lt;&gt;"",TRUE,MOD(2-INDEX(計算用!$AA$2:$AA$75,ROW()-2)+1,4)=2)</formula>
    </cfRule>
    <cfRule type="expression" priority="15" dxfId="8">
      <formula>AND(F3&lt;&gt;"",TRUE,MOD(2-INDEX(計算用!$AA$2:$AA$75,ROW()-2)+1,4)=3)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AND(H3&lt;&gt;"",TRUE,MOD(3-INDEX(計算用!$AA$2:$AA$75,ROW()-2)+1,4)=0)</formula>
    </cfRule>
    <cfRule type="expression" priority="18" dxfId="6">
      <formula>AND(H3&lt;&gt;"",TRUE,MOD(3-INDEX(計算用!$AA$2:$AA$75,ROW()-2)+1,4)=1)</formula>
    </cfRule>
    <cfRule type="expression" priority="19" dxfId="7">
      <formula>AND(H3&lt;&gt;"",TRUE,MOD(3-INDEX(計算用!$AA$2:$AA$75,ROW()-2)+1,4)=2)</formula>
    </cfRule>
    <cfRule type="expression" priority="20" dxfId="8">
      <formula>AND(H3&lt;&gt;"",TRUE,MOD(3-INDEX(計算用!$AA$2:$AA$75,ROW()-2)+1,4)=3)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8" customHeight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H1" s="24" t="inlineStr">
        <is>
          <t>色</t>
        </is>
      </c>
      <c r="I1" s="2" t="inlineStr">
        <is>
          <t>色あり</t>
        </is>
      </c>
    </row>
    <row r="2" ht="28" customHeight="1">
      <c r="A2" s="29">
        <f>IF(計算用!$Z$2="","",計算用!$Y$2&amp;"レース")</f>
        <v/>
      </c>
      <c r="B2" s="26">
        <f>IFERROR(INDEX(計算用!$AJ2:$AM2,MATCH(0,計算用!$AF2:$AI2,0)),"")</f>
        <v/>
      </c>
      <c r="C2" s="26">
        <f>IFERROR(INDEX(計算用!$AJ2:$AM2,MATCH(1,計算用!$AF2:$AI2,0)),"")</f>
        <v/>
      </c>
      <c r="D2" s="26">
        <f>IFERROR(INDEX(計算用!$AJ2:$AM2,MATCH(2,計算用!$AF2:$AI2,0)),"")</f>
        <v/>
      </c>
      <c r="E2" s="26">
        <f>IFERROR(INDEX(計算用!$AJ2:$AM2,MATCH(3,計算用!$AF2:$AI2,0)),"")</f>
        <v/>
      </c>
      <c r="H2" t="inlineStr">
        <is>
          <t>← 印刷の前に選んでください（この欄は印刷されません）</t>
        </is>
      </c>
    </row>
    <row r="3" ht="28" customHeight="1">
      <c r="A3" s="29">
        <f>IF(計算用!$Z$3="","",計算用!$Y$3&amp;"レース")</f>
        <v/>
      </c>
      <c r="B3" s="26">
        <f>IFERROR(INDEX(計算用!$AJ3:$AM3,MATCH(0,計算用!$AF3:$AI3,0)),"")</f>
        <v/>
      </c>
      <c r="C3" s="26">
        <f>IFERROR(INDEX(計算用!$AJ3:$AM3,MATCH(1,計算用!$AF3:$AI3,0)),"")</f>
        <v/>
      </c>
      <c r="D3" s="26">
        <f>IFERROR(INDEX(計算用!$AJ3:$AM3,MATCH(2,計算用!$AF3:$AI3,0)),"")</f>
        <v/>
      </c>
      <c r="E3" s="26">
        <f>IFERROR(INDEX(計算用!$AJ3:$AM3,MATCH(3,計算用!$AF3:$AI3,0)),"")</f>
        <v/>
      </c>
      <c r="H3" s="4">
        <f>計算用!$U$28</f>
        <v/>
      </c>
    </row>
    <row r="4" ht="28" customHeight="1">
      <c r="A4" s="29">
        <f>IF(計算用!$Z$4="","",計算用!$Y$4&amp;"レース")</f>
        <v/>
      </c>
      <c r="B4" s="26">
        <f>IFERROR(INDEX(計算用!$AJ4:$AM4,MATCH(0,計算用!$AF4:$AI4,0)),"")</f>
        <v/>
      </c>
      <c r="C4" s="26">
        <f>IFERROR(INDEX(計算用!$AJ4:$AM4,MATCH(1,計算用!$AF4:$AI4,0)),"")</f>
        <v/>
      </c>
      <c r="D4" s="26">
        <f>IFERROR(INDEX(計算用!$AJ4:$AM4,MATCH(2,計算用!$AF4:$AI4,0)),"")</f>
        <v/>
      </c>
      <c r="E4" s="26">
        <f>IFERROR(INDEX(計算用!$AJ4:$AM4,MATCH(3,計算用!$AF4:$AI4,0)),"")</f>
        <v/>
      </c>
      <c r="H4" s="4">
        <f>計算用!$U$27</f>
        <v/>
      </c>
    </row>
    <row r="5" ht="28" customHeight="1">
      <c r="A5" s="29">
        <f>IF(計算用!$Z$5="","",計算用!$Y$5&amp;"レース")</f>
        <v/>
      </c>
      <c r="B5" s="26">
        <f>IFERROR(INDEX(計算用!$AJ5:$AM5,MATCH(0,計算用!$AF5:$AI5,0)),"")</f>
        <v/>
      </c>
      <c r="C5" s="26">
        <f>IFERROR(INDEX(計算用!$AJ5:$AM5,MATCH(1,計算用!$AF5:$AI5,0)),"")</f>
        <v/>
      </c>
      <c r="D5" s="26">
        <f>IFERROR(INDEX(計算用!$AJ5:$AM5,MATCH(2,計算用!$AF5:$AI5,0)),"")</f>
        <v/>
      </c>
      <c r="E5" s="26">
        <f>IFERROR(INDEX(計算用!$AJ5:$AM5,MATCH(3,計算用!$AF5:$AI5,0)),"")</f>
        <v/>
      </c>
    </row>
    <row r="6" ht="28" customHeight="1">
      <c r="A6" s="29">
        <f>IF(計算用!$Z$6="","",計算用!$Y$6&amp;"レース")</f>
        <v/>
      </c>
      <c r="B6" s="26">
        <f>IFERROR(INDEX(計算用!$AJ6:$AM6,MATCH(0,計算用!$AF6:$AI6,0)),"")</f>
        <v/>
      </c>
      <c r="C6" s="26">
        <f>IFERROR(INDEX(計算用!$AJ6:$AM6,MATCH(1,計算用!$AF6:$AI6,0)),"")</f>
        <v/>
      </c>
      <c r="D6" s="26">
        <f>IFERROR(INDEX(計算用!$AJ6:$AM6,MATCH(2,計算用!$AF6:$AI6,0)),"")</f>
        <v/>
      </c>
      <c r="E6" s="26">
        <f>IFERROR(INDEX(計算用!$AJ6:$AM6,MATCH(3,計算用!$AF6:$AI6,0)),"")</f>
        <v/>
      </c>
    </row>
    <row r="7" ht="28" customHeight="1">
      <c r="A7" s="29">
        <f>IF(計算用!$Z$7="","",計算用!$Y$7&amp;"レース")</f>
        <v/>
      </c>
      <c r="B7" s="26">
        <f>IFERROR(INDEX(計算用!$AJ7:$AM7,MATCH(0,計算用!$AF7:$AI7,0)),"")</f>
        <v/>
      </c>
      <c r="C7" s="26">
        <f>IFERROR(INDEX(計算用!$AJ7:$AM7,MATCH(1,計算用!$AF7:$AI7,0)),"")</f>
        <v/>
      </c>
      <c r="D7" s="26">
        <f>IFERROR(INDEX(計算用!$AJ7:$AM7,MATCH(2,計算用!$AF7:$AI7,0)),"")</f>
        <v/>
      </c>
      <c r="E7" s="26">
        <f>IFERROR(INDEX(計算用!$AJ7:$AM7,MATCH(3,計算用!$AF7:$AI7,0)),"")</f>
        <v/>
      </c>
    </row>
    <row r="8" ht="28" customHeight="1">
      <c r="A8" s="29">
        <f>IF(計算用!$Z$8="","",計算用!$Y$8&amp;"レース")</f>
        <v/>
      </c>
      <c r="B8" s="26">
        <f>IFERROR(INDEX(計算用!$AJ8:$AM8,MATCH(0,計算用!$AF8:$AI8,0)),"")</f>
        <v/>
      </c>
      <c r="C8" s="26">
        <f>IFERROR(INDEX(計算用!$AJ8:$AM8,MATCH(1,計算用!$AF8:$AI8,0)),"")</f>
        <v/>
      </c>
      <c r="D8" s="26">
        <f>IFERROR(INDEX(計算用!$AJ8:$AM8,MATCH(2,計算用!$AF8:$AI8,0)),"")</f>
        <v/>
      </c>
      <c r="E8" s="26">
        <f>IFERROR(INDEX(計算用!$AJ8:$AM8,MATCH(3,計算用!$AF8:$AI8,0)),"")</f>
        <v/>
      </c>
    </row>
    <row r="9" ht="28" customHeight="1">
      <c r="A9" s="29">
        <f>IF(計算用!$Z$9="","",計算用!$Y$9&amp;"レース")</f>
        <v/>
      </c>
      <c r="B9" s="26">
        <f>IFERROR(INDEX(計算用!$AJ9:$AM9,MATCH(0,計算用!$AF9:$AI9,0)),"")</f>
        <v/>
      </c>
      <c r="C9" s="26">
        <f>IFERROR(INDEX(計算用!$AJ9:$AM9,MATCH(1,計算用!$AF9:$AI9,0)),"")</f>
        <v/>
      </c>
      <c r="D9" s="26">
        <f>IFERROR(INDEX(計算用!$AJ9:$AM9,MATCH(2,計算用!$AF9:$AI9,0)),"")</f>
        <v/>
      </c>
      <c r="E9" s="26">
        <f>IFERROR(INDEX(計算用!$AJ9:$AM9,MATCH(3,計算用!$AF9:$AI9,0)),"")</f>
        <v/>
      </c>
    </row>
    <row r="10" ht="28" customHeight="1">
      <c r="A10" s="29">
        <f>IF(計算用!$Z$10="","",計算用!$Y$10&amp;"レース")</f>
        <v/>
      </c>
      <c r="B10" s="26">
        <f>IFERROR(INDEX(計算用!$AJ10:$AM10,MATCH(0,計算用!$AF10:$AI10,0)),"")</f>
        <v/>
      </c>
      <c r="C10" s="26">
        <f>IFERROR(INDEX(計算用!$AJ10:$AM10,MATCH(1,計算用!$AF10:$AI10,0)),"")</f>
        <v/>
      </c>
      <c r="D10" s="26">
        <f>IFERROR(INDEX(計算用!$AJ10:$AM10,MATCH(2,計算用!$AF10:$AI10,0)),"")</f>
        <v/>
      </c>
      <c r="E10" s="26">
        <f>IFERROR(INDEX(計算用!$AJ10:$AM10,MATCH(3,計算用!$AF10:$AI10,0)),"")</f>
        <v/>
      </c>
    </row>
    <row r="11" ht="28" customHeight="1">
      <c r="A11" s="29">
        <f>IF(計算用!$Z$11="","",計算用!$Y$11&amp;"レース")</f>
        <v/>
      </c>
      <c r="B11" s="26">
        <f>IFERROR(INDEX(計算用!$AJ11:$AM11,MATCH(0,計算用!$AF11:$AI11,0)),"")</f>
        <v/>
      </c>
      <c r="C11" s="26">
        <f>IFERROR(INDEX(計算用!$AJ11:$AM11,MATCH(1,計算用!$AF11:$AI11,0)),"")</f>
        <v/>
      </c>
      <c r="D11" s="26">
        <f>IFERROR(INDEX(計算用!$AJ11:$AM11,MATCH(2,計算用!$AF11:$AI11,0)),"")</f>
        <v/>
      </c>
      <c r="E11" s="26">
        <f>IFERROR(INDEX(計算用!$AJ11:$AM11,MATCH(3,計算用!$AF11:$AI11,0)),"")</f>
        <v/>
      </c>
    </row>
    <row r="12" ht="28" customHeight="1">
      <c r="A12" s="29">
        <f>IF(計算用!$Z$12="","",計算用!$Y$12&amp;"レース")</f>
        <v/>
      </c>
      <c r="B12" s="26">
        <f>IFERROR(INDEX(計算用!$AJ12:$AM12,MATCH(0,計算用!$AF12:$AI12,0)),"")</f>
        <v/>
      </c>
      <c r="C12" s="26">
        <f>IFERROR(INDEX(計算用!$AJ12:$AM12,MATCH(1,計算用!$AF12:$AI12,0)),"")</f>
        <v/>
      </c>
      <c r="D12" s="26">
        <f>IFERROR(INDEX(計算用!$AJ12:$AM12,MATCH(2,計算用!$AF12:$AI12,0)),"")</f>
        <v/>
      </c>
      <c r="E12" s="26">
        <f>IFERROR(INDEX(計算用!$AJ12:$AM12,MATCH(3,計算用!$AF12:$AI12,0)),"")</f>
        <v/>
      </c>
    </row>
    <row r="13" ht="28" customHeight="1">
      <c r="A13" s="29">
        <f>IF(計算用!$Z$13="","",計算用!$Y$13&amp;"レース")</f>
        <v/>
      </c>
      <c r="B13" s="26">
        <f>IFERROR(INDEX(計算用!$AJ13:$AM13,MATCH(0,計算用!$AF13:$AI13,0)),"")</f>
        <v/>
      </c>
      <c r="C13" s="26">
        <f>IFERROR(INDEX(計算用!$AJ13:$AM13,MATCH(1,計算用!$AF13:$AI13,0)),"")</f>
        <v/>
      </c>
      <c r="D13" s="26">
        <f>IFERROR(INDEX(計算用!$AJ13:$AM13,MATCH(2,計算用!$AF13:$AI13,0)),"")</f>
        <v/>
      </c>
      <c r="E13" s="26">
        <f>IFERROR(INDEX(計算用!$AJ13:$AM13,MATCH(3,計算用!$AF13:$AI13,0)),"")</f>
        <v/>
      </c>
    </row>
    <row r="14" ht="28" customHeight="1">
      <c r="A14" s="29">
        <f>IF(計算用!$Z$14="","",計算用!$Y$14&amp;"レース")</f>
        <v/>
      </c>
      <c r="B14" s="26">
        <f>IFERROR(INDEX(計算用!$AJ14:$AM14,MATCH(0,計算用!$AF14:$AI14,0)),"")</f>
        <v/>
      </c>
      <c r="C14" s="26">
        <f>IFERROR(INDEX(計算用!$AJ14:$AM14,MATCH(1,計算用!$AF14:$AI14,0)),"")</f>
        <v/>
      </c>
      <c r="D14" s="26">
        <f>IFERROR(INDEX(計算用!$AJ14:$AM14,MATCH(2,計算用!$AF14:$AI14,0)),"")</f>
        <v/>
      </c>
      <c r="E14" s="26">
        <f>IFERROR(INDEX(計算用!$AJ14:$AM14,MATCH(3,計算用!$AF14:$AI14,0)),"")</f>
        <v/>
      </c>
    </row>
    <row r="15" ht="28" customHeight="1">
      <c r="A15" s="29">
        <f>IF(計算用!$Z$15="","",計算用!$Y$15&amp;"レース")</f>
        <v/>
      </c>
      <c r="B15" s="26">
        <f>IFERROR(INDEX(計算用!$AJ15:$AM15,MATCH(0,計算用!$AF15:$AI15,0)),"")</f>
        <v/>
      </c>
      <c r="C15" s="26">
        <f>IFERROR(INDEX(計算用!$AJ15:$AM15,MATCH(1,計算用!$AF15:$AI15,0)),"")</f>
        <v/>
      </c>
      <c r="D15" s="26">
        <f>IFERROR(INDEX(計算用!$AJ15:$AM15,MATCH(2,計算用!$AF15:$AI15,0)),"")</f>
        <v/>
      </c>
      <c r="E15" s="26">
        <f>IFERROR(INDEX(計算用!$AJ15:$AM15,MATCH(3,計算用!$AF15:$AI15,0)),"")</f>
        <v/>
      </c>
    </row>
    <row r="16" ht="28" customHeight="1">
      <c r="A16" s="29">
        <f>IF(計算用!$Z$16="","",計算用!$Y$16&amp;"レース")</f>
        <v/>
      </c>
      <c r="B16" s="26">
        <f>IFERROR(INDEX(計算用!$AJ16:$AM16,MATCH(0,計算用!$AF16:$AI16,0)),"")</f>
        <v/>
      </c>
      <c r="C16" s="26">
        <f>IFERROR(INDEX(計算用!$AJ16:$AM16,MATCH(1,計算用!$AF16:$AI16,0)),"")</f>
        <v/>
      </c>
      <c r="D16" s="26">
        <f>IFERROR(INDEX(計算用!$AJ16:$AM16,MATCH(2,計算用!$AF16:$AI16,0)),"")</f>
        <v/>
      </c>
      <c r="E16" s="26">
        <f>IFERROR(INDEX(計算用!$AJ16:$AM16,MATCH(3,計算用!$AF16:$AI16,0)),"")</f>
        <v/>
      </c>
    </row>
    <row r="17" ht="28" customHeight="1">
      <c r="A17" s="29">
        <f>IF(計算用!$Z$17="","",計算用!$Y$17&amp;"レース")</f>
        <v/>
      </c>
      <c r="B17" s="26">
        <f>IFERROR(INDEX(計算用!$AJ17:$AM17,MATCH(0,計算用!$AF17:$AI17,0)),"")</f>
        <v/>
      </c>
      <c r="C17" s="26">
        <f>IFERROR(INDEX(計算用!$AJ17:$AM17,MATCH(1,計算用!$AF17:$AI17,0)),"")</f>
        <v/>
      </c>
      <c r="D17" s="26">
        <f>IFERROR(INDEX(計算用!$AJ17:$AM17,MATCH(2,計算用!$AF17:$AI17,0)),"")</f>
        <v/>
      </c>
      <c r="E17" s="26">
        <f>IFERROR(INDEX(計算用!$AJ17:$AM17,MATCH(3,計算用!$AF17:$AI17,0)),"")</f>
        <v/>
      </c>
    </row>
    <row r="18" ht="28" customHeight="1">
      <c r="A18" s="29">
        <f>IF(計算用!$Z$18="","",計算用!$Y$18&amp;"レース")</f>
        <v/>
      </c>
      <c r="B18" s="26">
        <f>IFERROR(INDEX(計算用!$AJ18:$AM18,MATCH(0,計算用!$AF18:$AI18,0)),"")</f>
        <v/>
      </c>
      <c r="C18" s="26">
        <f>IFERROR(INDEX(計算用!$AJ18:$AM18,MATCH(1,計算用!$AF18:$AI18,0)),"")</f>
        <v/>
      </c>
      <c r="D18" s="26">
        <f>IFERROR(INDEX(計算用!$AJ18:$AM18,MATCH(2,計算用!$AF18:$AI18,0)),"")</f>
        <v/>
      </c>
      <c r="E18" s="26">
        <f>IFERROR(INDEX(計算用!$AJ18:$AM18,MATCH(3,計算用!$AF18:$AI18,0)),"")</f>
        <v/>
      </c>
    </row>
    <row r="19" ht="28" customHeight="1">
      <c r="A19" s="29">
        <f>IF(計算用!$Z$19="","",計算用!$Y$19&amp;"レース")</f>
        <v/>
      </c>
      <c r="B19" s="26">
        <f>IFERROR(INDEX(計算用!$AJ19:$AM19,MATCH(0,計算用!$AF19:$AI19,0)),"")</f>
        <v/>
      </c>
      <c r="C19" s="26">
        <f>IFERROR(INDEX(計算用!$AJ19:$AM19,MATCH(1,計算用!$AF19:$AI19,0)),"")</f>
        <v/>
      </c>
      <c r="D19" s="26">
        <f>IFERROR(INDEX(計算用!$AJ19:$AM19,MATCH(2,計算用!$AF19:$AI19,0)),"")</f>
        <v/>
      </c>
      <c r="E19" s="26">
        <f>IFERROR(INDEX(計算用!$AJ19:$AM19,MATCH(3,計算用!$AF19:$AI19,0)),"")</f>
        <v/>
      </c>
    </row>
    <row r="20" ht="28" customHeight="1">
      <c r="A20" s="29">
        <f>IF(計算用!$Z$20="","",計算用!$Y$20&amp;"レース")</f>
        <v/>
      </c>
      <c r="B20" s="26">
        <f>IFERROR(INDEX(計算用!$AJ20:$AM20,MATCH(0,計算用!$AF20:$AI20,0)),"")</f>
        <v/>
      </c>
      <c r="C20" s="26">
        <f>IFERROR(INDEX(計算用!$AJ20:$AM20,MATCH(1,計算用!$AF20:$AI20,0)),"")</f>
        <v/>
      </c>
      <c r="D20" s="26">
        <f>IFERROR(INDEX(計算用!$AJ20:$AM20,MATCH(2,計算用!$AF20:$AI20,0)),"")</f>
        <v/>
      </c>
      <c r="E20" s="26">
        <f>IFERROR(INDEX(計算用!$AJ20:$AM20,MATCH(3,計算用!$AF20:$AI20,0)),"")</f>
        <v/>
      </c>
    </row>
    <row r="21" ht="28" customHeight="1">
      <c r="A21" s="29">
        <f>IF(計算用!$Z$21="","",計算用!$Y$21&amp;"レース")</f>
        <v/>
      </c>
      <c r="B21" s="26">
        <f>IFERROR(INDEX(計算用!$AJ21:$AM21,MATCH(0,計算用!$AF21:$AI21,0)),"")</f>
        <v/>
      </c>
      <c r="C21" s="26">
        <f>IFERROR(INDEX(計算用!$AJ21:$AM21,MATCH(1,計算用!$AF21:$AI21,0)),"")</f>
        <v/>
      </c>
      <c r="D21" s="26">
        <f>IFERROR(INDEX(計算用!$AJ21:$AM21,MATCH(2,計算用!$AF21:$AI21,0)),"")</f>
        <v/>
      </c>
      <c r="E21" s="26">
        <f>IFERROR(INDEX(計算用!$AJ21:$AM21,MATCH(3,計算用!$AF21:$AI21,0)),"")</f>
        <v/>
      </c>
    </row>
    <row r="22" ht="28" customHeight="1">
      <c r="A22" s="29">
        <f>IF(計算用!$Z$22="","",計算用!$Y$22&amp;"レース")</f>
        <v/>
      </c>
      <c r="B22" s="26">
        <f>IFERROR(INDEX(計算用!$AJ22:$AM22,MATCH(0,計算用!$AF22:$AI22,0)),"")</f>
        <v/>
      </c>
      <c r="C22" s="26">
        <f>IFERROR(INDEX(計算用!$AJ22:$AM22,MATCH(1,計算用!$AF22:$AI22,0)),"")</f>
        <v/>
      </c>
      <c r="D22" s="26">
        <f>IFERROR(INDEX(計算用!$AJ22:$AM22,MATCH(2,計算用!$AF22:$AI22,0)),"")</f>
        <v/>
      </c>
      <c r="E22" s="26">
        <f>IFERROR(INDEX(計算用!$AJ22:$AM22,MATCH(3,計算用!$AF22:$AI22,0)),"")</f>
        <v/>
      </c>
    </row>
    <row r="23" ht="28" customHeight="1">
      <c r="A23" s="29">
        <f>IF(計算用!$Z$23="","",計算用!$Y$23&amp;"レース")</f>
        <v/>
      </c>
      <c r="B23" s="26">
        <f>IFERROR(INDEX(計算用!$AJ23:$AM23,MATCH(0,計算用!$AF23:$AI23,0)),"")</f>
        <v/>
      </c>
      <c r="C23" s="26">
        <f>IFERROR(INDEX(計算用!$AJ23:$AM23,MATCH(1,計算用!$AF23:$AI23,0)),"")</f>
        <v/>
      </c>
      <c r="D23" s="26">
        <f>IFERROR(INDEX(計算用!$AJ23:$AM23,MATCH(2,計算用!$AF23:$AI23,0)),"")</f>
        <v/>
      </c>
      <c r="E23" s="26">
        <f>IFERROR(INDEX(計算用!$AJ23:$AM23,MATCH(3,計算用!$AF23:$AI23,0)),"")</f>
        <v/>
      </c>
    </row>
    <row r="24" ht="28" customHeight="1">
      <c r="A24" s="29">
        <f>IF(計算用!$Z$24="","",計算用!$Y$24&amp;"レース")</f>
        <v/>
      </c>
      <c r="B24" s="26">
        <f>IFERROR(INDEX(計算用!$AJ24:$AM24,MATCH(0,計算用!$AF24:$AI24,0)),"")</f>
        <v/>
      </c>
      <c r="C24" s="26">
        <f>IFERROR(INDEX(計算用!$AJ24:$AM24,MATCH(1,計算用!$AF24:$AI24,0)),"")</f>
        <v/>
      </c>
      <c r="D24" s="26">
        <f>IFERROR(INDEX(計算用!$AJ24:$AM24,MATCH(2,計算用!$AF24:$AI24,0)),"")</f>
        <v/>
      </c>
      <c r="E24" s="26">
        <f>IFERROR(INDEX(計算用!$AJ24:$AM24,MATCH(3,計算用!$AF24:$AI24,0)),"")</f>
        <v/>
      </c>
    </row>
    <row r="25" ht="28" customHeight="1">
      <c r="A25" s="29">
        <f>IF(計算用!$Z$25="","",計算用!$Y$25&amp;"レース")</f>
        <v/>
      </c>
      <c r="B25" s="26">
        <f>IFERROR(INDEX(計算用!$AJ25:$AM25,MATCH(0,計算用!$AF25:$AI25,0)),"")</f>
        <v/>
      </c>
      <c r="C25" s="26">
        <f>IFERROR(INDEX(計算用!$AJ25:$AM25,MATCH(1,計算用!$AF25:$AI25,0)),"")</f>
        <v/>
      </c>
      <c r="D25" s="26">
        <f>IFERROR(INDEX(計算用!$AJ25:$AM25,MATCH(2,計算用!$AF25:$AI25,0)),"")</f>
        <v/>
      </c>
      <c r="E25" s="26">
        <f>IFERROR(INDEX(計算用!$AJ25:$AM25,MATCH(3,計算用!$AF25:$AI25,0)),"")</f>
        <v/>
      </c>
    </row>
    <row r="26" ht="28" customHeight="1">
      <c r="A26" s="29">
        <f>IF(計算用!$Z$26="","",計算用!$Y$26&amp;"レース")</f>
        <v/>
      </c>
      <c r="B26" s="26">
        <f>IFERROR(INDEX(計算用!$AJ26:$AM26,MATCH(0,計算用!$AF26:$AI26,0)),"")</f>
        <v/>
      </c>
      <c r="C26" s="26">
        <f>IFERROR(INDEX(計算用!$AJ26:$AM26,MATCH(1,計算用!$AF26:$AI26,0)),"")</f>
        <v/>
      </c>
      <c r="D26" s="26">
        <f>IFERROR(INDEX(計算用!$AJ26:$AM26,MATCH(2,計算用!$AF26:$AI26,0)),"")</f>
        <v/>
      </c>
      <c r="E26" s="26">
        <f>IFERROR(INDEX(計算用!$AJ26:$AM26,MATCH(3,計算用!$AF26:$AI26,0)),"")</f>
        <v/>
      </c>
    </row>
    <row r="27" ht="28" customHeight="1">
      <c r="A27" s="29">
        <f>IF(計算用!$Z$27="","",計算用!$Y$27&amp;"レース")</f>
        <v/>
      </c>
      <c r="B27" s="26">
        <f>IFERROR(INDEX(計算用!$AJ27:$AM27,MATCH(0,計算用!$AF27:$AI27,0)),"")</f>
        <v/>
      </c>
      <c r="C27" s="26">
        <f>IFERROR(INDEX(計算用!$AJ27:$AM27,MATCH(1,計算用!$AF27:$AI27,0)),"")</f>
        <v/>
      </c>
      <c r="D27" s="26">
        <f>IFERROR(INDEX(計算用!$AJ27:$AM27,MATCH(2,計算用!$AF27:$AI27,0)),"")</f>
        <v/>
      </c>
      <c r="E27" s="26">
        <f>IFERROR(INDEX(計算用!$AJ27:$AM27,MATCH(3,計算用!$AF27:$AI27,0)),"")</f>
        <v/>
      </c>
    </row>
    <row r="28" ht="28" customHeight="1">
      <c r="A28" s="29">
        <f>IF(計算用!$Z$28="","",計算用!$Y$28&amp;"レース")</f>
        <v/>
      </c>
      <c r="B28" s="26">
        <f>IFERROR(INDEX(計算用!$AJ28:$AM28,MATCH(0,計算用!$AF28:$AI28,0)),"")</f>
        <v/>
      </c>
      <c r="C28" s="26">
        <f>IFERROR(INDEX(計算用!$AJ28:$AM28,MATCH(1,計算用!$AF28:$AI28,0)),"")</f>
        <v/>
      </c>
      <c r="D28" s="26">
        <f>IFERROR(INDEX(計算用!$AJ28:$AM28,MATCH(2,計算用!$AF28:$AI28,0)),"")</f>
        <v/>
      </c>
      <c r="E28" s="26">
        <f>IFERROR(INDEX(計算用!$AJ28:$AM28,MATCH(3,計算用!$AF28:$AI28,0)),"")</f>
        <v/>
      </c>
    </row>
    <row r="29" ht="28" customHeight="1">
      <c r="A29" s="29">
        <f>IF(計算用!$Z$29="","",計算用!$Y$29&amp;"レース")</f>
        <v/>
      </c>
      <c r="B29" s="26">
        <f>IFERROR(INDEX(計算用!$AJ29:$AM29,MATCH(0,計算用!$AF29:$AI29,0)),"")</f>
        <v/>
      </c>
      <c r="C29" s="26">
        <f>IFERROR(INDEX(計算用!$AJ29:$AM29,MATCH(1,計算用!$AF29:$AI29,0)),"")</f>
        <v/>
      </c>
      <c r="D29" s="26">
        <f>IFERROR(INDEX(計算用!$AJ29:$AM29,MATCH(2,計算用!$AF29:$AI29,0)),"")</f>
        <v/>
      </c>
      <c r="E29" s="26">
        <f>IFERROR(INDEX(計算用!$AJ29:$AM29,MATCH(3,計算用!$AF29:$AI29,0)),"")</f>
        <v/>
      </c>
    </row>
    <row r="30" ht="28" customHeight="1">
      <c r="A30" s="29">
        <f>IF(計算用!$Z$30="","",計算用!$Y$30&amp;"レース")</f>
        <v/>
      </c>
      <c r="B30" s="26">
        <f>IFERROR(INDEX(計算用!$AJ30:$AM30,MATCH(0,計算用!$AF30:$AI30,0)),"")</f>
        <v/>
      </c>
      <c r="C30" s="26">
        <f>IFERROR(INDEX(計算用!$AJ30:$AM30,MATCH(1,計算用!$AF30:$AI30,0)),"")</f>
        <v/>
      </c>
      <c r="D30" s="26">
        <f>IFERROR(INDEX(計算用!$AJ30:$AM30,MATCH(2,計算用!$AF30:$AI30,0)),"")</f>
        <v/>
      </c>
      <c r="E30" s="26">
        <f>IFERROR(INDEX(計算用!$AJ30:$AM30,MATCH(3,計算用!$AF30:$AI30,0)),"")</f>
        <v/>
      </c>
    </row>
    <row r="31" ht="28" customHeight="1">
      <c r="A31" s="29">
        <f>IF(計算用!$Z$31="","",計算用!$Y$31&amp;"レース")</f>
        <v/>
      </c>
      <c r="B31" s="26">
        <f>IFERROR(INDEX(計算用!$AJ31:$AM31,MATCH(0,計算用!$AF31:$AI31,0)),"")</f>
        <v/>
      </c>
      <c r="C31" s="26">
        <f>IFERROR(INDEX(計算用!$AJ31:$AM31,MATCH(1,計算用!$AF31:$AI31,0)),"")</f>
        <v/>
      </c>
      <c r="D31" s="26">
        <f>IFERROR(INDEX(計算用!$AJ31:$AM31,MATCH(2,計算用!$AF31:$AI31,0)),"")</f>
        <v/>
      </c>
      <c r="E31" s="26">
        <f>IFERROR(INDEX(計算用!$AJ31:$AM31,MATCH(3,計算用!$AF31:$AI31,0)),"")</f>
        <v/>
      </c>
    </row>
    <row r="32" ht="28" customHeight="1">
      <c r="A32" s="29">
        <f>IF(計算用!$Z$32="","",計算用!$Y$32&amp;"レース")</f>
        <v/>
      </c>
      <c r="B32" s="26">
        <f>IFERROR(INDEX(計算用!$AJ32:$AM32,MATCH(0,計算用!$AF32:$AI32,0)),"")</f>
        <v/>
      </c>
      <c r="C32" s="26">
        <f>IFERROR(INDEX(計算用!$AJ32:$AM32,MATCH(1,計算用!$AF32:$AI32,0)),"")</f>
        <v/>
      </c>
      <c r="D32" s="26">
        <f>IFERROR(INDEX(計算用!$AJ32:$AM32,MATCH(2,計算用!$AF32:$AI32,0)),"")</f>
        <v/>
      </c>
      <c r="E32" s="26">
        <f>IFERROR(INDEX(計算用!$AJ32:$AM32,MATCH(3,計算用!$AF32:$AI32,0)),"")</f>
        <v/>
      </c>
    </row>
    <row r="33" ht="28" customHeight="1">
      <c r="A33" s="29">
        <f>IF(計算用!$Z$33="","",計算用!$Y$33&amp;"レース")</f>
        <v/>
      </c>
      <c r="B33" s="26">
        <f>IFERROR(INDEX(計算用!$AJ33:$AM33,MATCH(0,計算用!$AF33:$AI33,0)),"")</f>
        <v/>
      </c>
      <c r="C33" s="26">
        <f>IFERROR(INDEX(計算用!$AJ33:$AM33,MATCH(1,計算用!$AF33:$AI33,0)),"")</f>
        <v/>
      </c>
      <c r="D33" s="26">
        <f>IFERROR(INDEX(計算用!$AJ33:$AM33,MATCH(2,計算用!$AF33:$AI33,0)),"")</f>
        <v/>
      </c>
      <c r="E33" s="26">
        <f>IFERROR(INDEX(計算用!$AJ33:$AM33,MATCH(3,計算用!$AF33:$AI33,0)),"")</f>
        <v/>
      </c>
    </row>
    <row r="34" ht="28" customHeight="1">
      <c r="A34" s="29">
        <f>IF(計算用!$Z$34="","",計算用!$Y$34&amp;"レース")</f>
        <v/>
      </c>
      <c r="B34" s="26">
        <f>IFERROR(INDEX(計算用!$AJ34:$AM34,MATCH(0,計算用!$AF34:$AI34,0)),"")</f>
        <v/>
      </c>
      <c r="C34" s="26">
        <f>IFERROR(INDEX(計算用!$AJ34:$AM34,MATCH(1,計算用!$AF34:$AI34,0)),"")</f>
        <v/>
      </c>
      <c r="D34" s="26">
        <f>IFERROR(INDEX(計算用!$AJ34:$AM34,MATCH(2,計算用!$AF34:$AI34,0)),"")</f>
        <v/>
      </c>
      <c r="E34" s="26">
        <f>IFERROR(INDEX(計算用!$AJ34:$AM34,MATCH(3,計算用!$AF34:$AI34,0)),"")</f>
        <v/>
      </c>
    </row>
    <row r="35" ht="28" customHeight="1">
      <c r="A35" s="29">
        <f>IF(計算用!$Z$35="","",計算用!$Y$35&amp;"レース")</f>
        <v/>
      </c>
      <c r="B35" s="26">
        <f>IFERROR(INDEX(計算用!$AJ35:$AM35,MATCH(0,計算用!$AF35:$AI35,0)),"")</f>
        <v/>
      </c>
      <c r="C35" s="26">
        <f>IFERROR(INDEX(計算用!$AJ35:$AM35,MATCH(1,計算用!$AF35:$AI35,0)),"")</f>
        <v/>
      </c>
      <c r="D35" s="26">
        <f>IFERROR(INDEX(計算用!$AJ35:$AM35,MATCH(2,計算用!$AF35:$AI35,0)),"")</f>
        <v/>
      </c>
      <c r="E35" s="26">
        <f>IFERROR(INDEX(計算用!$AJ35:$AM35,MATCH(3,計算用!$AF35:$AI35,0)),"")</f>
        <v/>
      </c>
    </row>
    <row r="36" ht="28" customHeight="1">
      <c r="A36" s="29">
        <f>IF(計算用!$Z$36="","",計算用!$Y$36&amp;"レース")</f>
        <v/>
      </c>
      <c r="B36" s="26">
        <f>IFERROR(INDEX(計算用!$AJ36:$AM36,MATCH(0,計算用!$AF36:$AI36,0)),"")</f>
        <v/>
      </c>
      <c r="C36" s="26">
        <f>IFERROR(INDEX(計算用!$AJ36:$AM36,MATCH(1,計算用!$AF36:$AI36,0)),"")</f>
        <v/>
      </c>
      <c r="D36" s="26">
        <f>IFERROR(INDEX(計算用!$AJ36:$AM36,MATCH(2,計算用!$AF36:$AI36,0)),"")</f>
        <v/>
      </c>
      <c r="E36" s="26">
        <f>IFERROR(INDEX(計算用!$AJ36:$AM36,MATCH(3,計算用!$AF36:$AI36,0)),"")</f>
        <v/>
      </c>
    </row>
    <row r="37" ht="28" customHeight="1">
      <c r="A37" s="29">
        <f>IF(計算用!$Z$37="","",計算用!$Y$37&amp;"レース")</f>
        <v/>
      </c>
      <c r="B37" s="26">
        <f>IFERROR(INDEX(計算用!$AJ37:$AM37,MATCH(0,計算用!$AF37:$AI37,0)),"")</f>
        <v/>
      </c>
      <c r="C37" s="26">
        <f>IFERROR(INDEX(計算用!$AJ37:$AM37,MATCH(1,計算用!$AF37:$AI37,0)),"")</f>
        <v/>
      </c>
      <c r="D37" s="26">
        <f>IFERROR(INDEX(計算用!$AJ37:$AM37,MATCH(2,計算用!$AF37:$AI37,0)),"")</f>
        <v/>
      </c>
      <c r="E37" s="26">
        <f>IFERROR(INDEX(計算用!$AJ37:$AM37,MATCH(3,計算用!$AF37:$AI37,0)),"")</f>
        <v/>
      </c>
    </row>
    <row r="38" ht="28" customHeight="1">
      <c r="A38" s="29">
        <f>IF(計算用!$Z$38="","",計算用!$Y$38&amp;"レース")</f>
        <v/>
      </c>
      <c r="B38" s="26">
        <f>IFERROR(INDEX(計算用!$AJ38:$AM38,MATCH(0,計算用!$AF38:$AI38,0)),"")</f>
        <v/>
      </c>
      <c r="C38" s="26">
        <f>IFERROR(INDEX(計算用!$AJ38:$AM38,MATCH(1,計算用!$AF38:$AI38,0)),"")</f>
        <v/>
      </c>
      <c r="D38" s="26">
        <f>IFERROR(INDEX(計算用!$AJ38:$AM38,MATCH(2,計算用!$AF38:$AI38,0)),"")</f>
        <v/>
      </c>
      <c r="E38" s="26">
        <f>IFERROR(INDEX(計算用!$AJ38:$AM38,MATCH(3,計算用!$AF38:$AI38,0)),"")</f>
        <v/>
      </c>
    </row>
    <row r="39" ht="28" customHeight="1">
      <c r="A39" s="29">
        <f>IF(計算用!$Z$39="","",計算用!$Y$39&amp;"レース")</f>
        <v/>
      </c>
      <c r="B39" s="26">
        <f>IFERROR(INDEX(計算用!$AJ39:$AM39,MATCH(0,計算用!$AF39:$AI39,0)),"")</f>
        <v/>
      </c>
      <c r="C39" s="26">
        <f>IFERROR(INDEX(計算用!$AJ39:$AM39,MATCH(1,計算用!$AF39:$AI39,0)),"")</f>
        <v/>
      </c>
      <c r="D39" s="26">
        <f>IFERROR(INDEX(計算用!$AJ39:$AM39,MATCH(2,計算用!$AF39:$AI39,0)),"")</f>
        <v/>
      </c>
      <c r="E39" s="26">
        <f>IFERROR(INDEX(計算用!$AJ39:$AM39,MATCH(3,計算用!$AF39:$AI39,0)),"")</f>
        <v/>
      </c>
    </row>
    <row r="40" ht="28" customHeight="1">
      <c r="A40" s="29">
        <f>IF(計算用!$Z$40="","",計算用!$Y$40&amp;"レース")</f>
        <v/>
      </c>
      <c r="B40" s="26">
        <f>IFERROR(INDEX(計算用!$AJ40:$AM40,MATCH(0,計算用!$AF40:$AI40,0)),"")</f>
        <v/>
      </c>
      <c r="C40" s="26">
        <f>IFERROR(INDEX(計算用!$AJ40:$AM40,MATCH(1,計算用!$AF40:$AI40,0)),"")</f>
        <v/>
      </c>
      <c r="D40" s="26">
        <f>IFERROR(INDEX(計算用!$AJ40:$AM40,MATCH(2,計算用!$AF40:$AI40,0)),"")</f>
        <v/>
      </c>
      <c r="E40" s="26">
        <f>IFERROR(INDEX(計算用!$AJ40:$AM40,MATCH(3,計算用!$AF40:$AI40,0)),"")</f>
        <v/>
      </c>
    </row>
    <row r="41" ht="28" customHeight="1">
      <c r="A41" s="29">
        <f>IF(計算用!$Z$41="","",計算用!$Y$41&amp;"レース")</f>
        <v/>
      </c>
      <c r="B41" s="26">
        <f>IFERROR(INDEX(計算用!$AJ41:$AM41,MATCH(0,計算用!$AF41:$AI41,0)),"")</f>
        <v/>
      </c>
      <c r="C41" s="26">
        <f>IFERROR(INDEX(計算用!$AJ41:$AM41,MATCH(1,計算用!$AF41:$AI41,0)),"")</f>
        <v/>
      </c>
      <c r="D41" s="26">
        <f>IFERROR(INDEX(計算用!$AJ41:$AM41,MATCH(2,計算用!$AF41:$AI41,0)),"")</f>
        <v/>
      </c>
      <c r="E41" s="26">
        <f>IFERROR(INDEX(計算用!$AJ41:$AM41,MATCH(3,計算用!$AF41:$AI41,0)),"")</f>
        <v/>
      </c>
    </row>
    <row r="42" ht="28" customHeight="1">
      <c r="A42" s="29">
        <f>IF(計算用!$Z$42="","",計算用!$Y$42&amp;"レース")</f>
        <v/>
      </c>
      <c r="B42" s="26">
        <f>IFERROR(INDEX(計算用!$AJ42:$AM42,MATCH(0,計算用!$AF42:$AI42,0)),"")</f>
        <v/>
      </c>
      <c r="C42" s="26">
        <f>IFERROR(INDEX(計算用!$AJ42:$AM42,MATCH(1,計算用!$AF42:$AI42,0)),"")</f>
        <v/>
      </c>
      <c r="D42" s="26">
        <f>IFERROR(INDEX(計算用!$AJ42:$AM42,MATCH(2,計算用!$AF42:$AI42,0)),"")</f>
        <v/>
      </c>
      <c r="E42" s="26">
        <f>IFERROR(INDEX(計算用!$AJ42:$AM42,MATCH(3,計算用!$AF42:$AI42,0)),"")</f>
        <v/>
      </c>
    </row>
    <row r="43" ht="28" customHeight="1">
      <c r="A43" s="29">
        <f>IF(計算用!$Z$43="","",計算用!$Y$43&amp;"レース")</f>
        <v/>
      </c>
      <c r="B43" s="26">
        <f>IFERROR(INDEX(計算用!$AJ43:$AM43,MATCH(0,計算用!$AF43:$AI43,0)),"")</f>
        <v/>
      </c>
      <c r="C43" s="26">
        <f>IFERROR(INDEX(計算用!$AJ43:$AM43,MATCH(1,計算用!$AF43:$AI43,0)),"")</f>
        <v/>
      </c>
      <c r="D43" s="26">
        <f>IFERROR(INDEX(計算用!$AJ43:$AM43,MATCH(2,計算用!$AF43:$AI43,0)),"")</f>
        <v/>
      </c>
      <c r="E43" s="26">
        <f>IFERROR(INDEX(計算用!$AJ43:$AM43,MATCH(3,計算用!$AF43:$AI43,0)),"")</f>
        <v/>
      </c>
    </row>
    <row r="44" ht="28" customHeight="1">
      <c r="A44" s="29">
        <f>IF(計算用!$Z$44="","",計算用!$Y$44&amp;"レース")</f>
        <v/>
      </c>
      <c r="B44" s="26">
        <f>IFERROR(INDEX(計算用!$AJ44:$AM44,MATCH(0,計算用!$AF44:$AI44,0)),"")</f>
        <v/>
      </c>
      <c r="C44" s="26">
        <f>IFERROR(INDEX(計算用!$AJ44:$AM44,MATCH(1,計算用!$AF44:$AI44,0)),"")</f>
        <v/>
      </c>
      <c r="D44" s="26">
        <f>IFERROR(INDEX(計算用!$AJ44:$AM44,MATCH(2,計算用!$AF44:$AI44,0)),"")</f>
        <v/>
      </c>
      <c r="E44" s="26">
        <f>IFERROR(INDEX(計算用!$AJ44:$AM44,MATCH(3,計算用!$AF44:$AI44,0)),"")</f>
        <v/>
      </c>
    </row>
    <row r="45" ht="28" customHeight="1">
      <c r="A45" s="29">
        <f>IF(計算用!$Z$45="","",計算用!$Y$45&amp;"レース")</f>
        <v/>
      </c>
      <c r="B45" s="26">
        <f>IFERROR(INDEX(計算用!$AJ45:$AM45,MATCH(0,計算用!$AF45:$AI45,0)),"")</f>
        <v/>
      </c>
      <c r="C45" s="26">
        <f>IFERROR(INDEX(計算用!$AJ45:$AM45,MATCH(1,計算用!$AF45:$AI45,0)),"")</f>
        <v/>
      </c>
      <c r="D45" s="26">
        <f>IFERROR(INDEX(計算用!$AJ45:$AM45,MATCH(2,計算用!$AF45:$AI45,0)),"")</f>
        <v/>
      </c>
      <c r="E45" s="26">
        <f>IFERROR(INDEX(計算用!$AJ45:$AM45,MATCH(3,計算用!$AF45:$AI45,0)),"")</f>
        <v/>
      </c>
    </row>
    <row r="46" ht="28" customHeight="1">
      <c r="A46" s="29">
        <f>IF(計算用!$Z$46="","",計算用!$Y$46&amp;"レース")</f>
        <v/>
      </c>
      <c r="B46" s="26">
        <f>IFERROR(INDEX(計算用!$AJ46:$AM46,MATCH(0,計算用!$AF46:$AI46,0)),"")</f>
        <v/>
      </c>
      <c r="C46" s="26">
        <f>IFERROR(INDEX(計算用!$AJ46:$AM46,MATCH(1,計算用!$AF46:$AI46,0)),"")</f>
        <v/>
      </c>
      <c r="D46" s="26">
        <f>IFERROR(INDEX(計算用!$AJ46:$AM46,MATCH(2,計算用!$AF46:$AI46,0)),"")</f>
        <v/>
      </c>
      <c r="E46" s="26">
        <f>IFERROR(INDEX(計算用!$AJ46:$AM46,MATCH(3,計算用!$AF46:$AI46,0)),"")</f>
        <v/>
      </c>
    </row>
    <row r="47" ht="28" customHeight="1">
      <c r="A47" s="29">
        <f>IF(計算用!$Z$47="","",計算用!$Y$47&amp;"レース")</f>
        <v/>
      </c>
      <c r="B47" s="26">
        <f>IFERROR(INDEX(計算用!$AJ47:$AM47,MATCH(0,計算用!$AF47:$AI47,0)),"")</f>
        <v/>
      </c>
      <c r="C47" s="26">
        <f>IFERROR(INDEX(計算用!$AJ47:$AM47,MATCH(1,計算用!$AF47:$AI47,0)),"")</f>
        <v/>
      </c>
      <c r="D47" s="26">
        <f>IFERROR(INDEX(計算用!$AJ47:$AM47,MATCH(2,計算用!$AF47:$AI47,0)),"")</f>
        <v/>
      </c>
      <c r="E47" s="26">
        <f>IFERROR(INDEX(計算用!$AJ47:$AM47,MATCH(3,計算用!$AF47:$AI47,0)),"")</f>
        <v/>
      </c>
    </row>
    <row r="48" ht="28" customHeight="1">
      <c r="A48" s="29">
        <f>IF(計算用!$Z$48="","",計算用!$Y$48&amp;"レース")</f>
        <v/>
      </c>
      <c r="B48" s="26">
        <f>IFERROR(INDEX(計算用!$AJ48:$AM48,MATCH(0,計算用!$AF48:$AI48,0)),"")</f>
        <v/>
      </c>
      <c r="C48" s="26">
        <f>IFERROR(INDEX(計算用!$AJ48:$AM48,MATCH(1,計算用!$AF48:$AI48,0)),"")</f>
        <v/>
      </c>
      <c r="D48" s="26">
        <f>IFERROR(INDEX(計算用!$AJ48:$AM48,MATCH(2,計算用!$AF48:$AI48,0)),"")</f>
        <v/>
      </c>
      <c r="E48" s="26">
        <f>IFERROR(INDEX(計算用!$AJ48:$AM48,MATCH(3,計算用!$AF48:$AI48,0)),"")</f>
        <v/>
      </c>
    </row>
    <row r="49" ht="28" customHeight="1">
      <c r="A49" s="29">
        <f>IF(計算用!$Z$49="","",計算用!$Y$49&amp;"レース")</f>
        <v/>
      </c>
      <c r="B49" s="26">
        <f>IFERROR(INDEX(計算用!$AJ49:$AM49,MATCH(0,計算用!$AF49:$AI49,0)),"")</f>
        <v/>
      </c>
      <c r="C49" s="26">
        <f>IFERROR(INDEX(計算用!$AJ49:$AM49,MATCH(1,計算用!$AF49:$AI49,0)),"")</f>
        <v/>
      </c>
      <c r="D49" s="26">
        <f>IFERROR(INDEX(計算用!$AJ49:$AM49,MATCH(2,計算用!$AF49:$AI49,0)),"")</f>
        <v/>
      </c>
      <c r="E49" s="26">
        <f>IFERROR(INDEX(計算用!$AJ49:$AM49,MATCH(3,計算用!$AF49:$AI49,0)),"")</f>
        <v/>
      </c>
    </row>
    <row r="50" ht="28" customHeight="1">
      <c r="A50" s="29">
        <f>IF(計算用!$Z$50="","",計算用!$Y$50&amp;"レース")</f>
        <v/>
      </c>
      <c r="B50" s="26">
        <f>IFERROR(INDEX(計算用!$AJ50:$AM50,MATCH(0,計算用!$AF50:$AI50,0)),"")</f>
        <v/>
      </c>
      <c r="C50" s="26">
        <f>IFERROR(INDEX(計算用!$AJ50:$AM50,MATCH(1,計算用!$AF50:$AI50,0)),"")</f>
        <v/>
      </c>
      <c r="D50" s="26">
        <f>IFERROR(INDEX(計算用!$AJ50:$AM50,MATCH(2,計算用!$AF50:$AI50,0)),"")</f>
        <v/>
      </c>
      <c r="E50" s="26">
        <f>IFERROR(INDEX(計算用!$AJ50:$AM50,MATCH(3,計算用!$AF50:$AI50,0)),"")</f>
        <v/>
      </c>
    </row>
    <row r="51" ht="28" customHeight="1">
      <c r="A51" s="29">
        <f>IF(計算用!$Z$51="","",計算用!$Y$51&amp;"レース")</f>
        <v/>
      </c>
      <c r="B51" s="26">
        <f>IFERROR(INDEX(計算用!$AJ51:$AM51,MATCH(0,計算用!$AF51:$AI51,0)),"")</f>
        <v/>
      </c>
      <c r="C51" s="26">
        <f>IFERROR(INDEX(計算用!$AJ51:$AM51,MATCH(1,計算用!$AF51:$AI51,0)),"")</f>
        <v/>
      </c>
      <c r="D51" s="26">
        <f>IFERROR(INDEX(計算用!$AJ51:$AM51,MATCH(2,計算用!$AF51:$AI51,0)),"")</f>
        <v/>
      </c>
      <c r="E51" s="26">
        <f>IFERROR(INDEX(計算用!$AJ51:$AM51,MATCH(3,計算用!$AF51:$AI51,0)),"")</f>
        <v/>
      </c>
    </row>
    <row r="52" ht="28" customHeight="1">
      <c r="A52" s="29">
        <f>IF(計算用!$Z$52="","",計算用!$Y$52&amp;"レース")</f>
        <v/>
      </c>
      <c r="B52" s="26">
        <f>IFERROR(INDEX(計算用!$AJ52:$AM52,MATCH(0,計算用!$AF52:$AI52,0)),"")</f>
        <v/>
      </c>
      <c r="C52" s="26">
        <f>IFERROR(INDEX(計算用!$AJ52:$AM52,MATCH(1,計算用!$AF52:$AI52,0)),"")</f>
        <v/>
      </c>
      <c r="D52" s="26">
        <f>IFERROR(INDEX(計算用!$AJ52:$AM52,MATCH(2,計算用!$AF52:$AI52,0)),"")</f>
        <v/>
      </c>
      <c r="E52" s="26">
        <f>IFERROR(INDEX(計算用!$AJ52:$AM52,MATCH(3,計算用!$AF52:$AI52,0)),"")</f>
        <v/>
      </c>
    </row>
    <row r="53" ht="28" customHeight="1">
      <c r="A53" s="29">
        <f>IF(計算用!$Z$53="","",計算用!$Y$53&amp;"レース")</f>
        <v/>
      </c>
      <c r="B53" s="26">
        <f>IFERROR(INDEX(計算用!$AJ53:$AM53,MATCH(0,計算用!$AF53:$AI53,0)),"")</f>
        <v/>
      </c>
      <c r="C53" s="26">
        <f>IFERROR(INDEX(計算用!$AJ53:$AM53,MATCH(1,計算用!$AF53:$AI53,0)),"")</f>
        <v/>
      </c>
      <c r="D53" s="26">
        <f>IFERROR(INDEX(計算用!$AJ53:$AM53,MATCH(2,計算用!$AF53:$AI53,0)),"")</f>
        <v/>
      </c>
      <c r="E53" s="26">
        <f>IFERROR(INDEX(計算用!$AJ53:$AM53,MATCH(3,計算用!$AF53:$AI53,0)),"")</f>
        <v/>
      </c>
    </row>
    <row r="54" ht="28" customHeight="1">
      <c r="A54" s="29">
        <f>IF(計算用!$Z$54="","",計算用!$Y$54&amp;"レース")</f>
        <v/>
      </c>
      <c r="B54" s="26">
        <f>IFERROR(INDEX(計算用!$AJ54:$AM54,MATCH(0,計算用!$AF54:$AI54,0)),"")</f>
        <v/>
      </c>
      <c r="C54" s="26">
        <f>IFERROR(INDEX(計算用!$AJ54:$AM54,MATCH(1,計算用!$AF54:$AI54,0)),"")</f>
        <v/>
      </c>
      <c r="D54" s="26">
        <f>IFERROR(INDEX(計算用!$AJ54:$AM54,MATCH(2,計算用!$AF54:$AI54,0)),"")</f>
        <v/>
      </c>
      <c r="E54" s="26">
        <f>IFERROR(INDEX(計算用!$AJ54:$AM54,MATCH(3,計算用!$AF54:$AI54,0)),"")</f>
        <v/>
      </c>
    </row>
    <row r="55" ht="28" customHeight="1">
      <c r="A55" s="29">
        <f>IF(計算用!$Z$55="","",計算用!$Y$55&amp;"レース")</f>
        <v/>
      </c>
      <c r="B55" s="26">
        <f>IFERROR(INDEX(計算用!$AJ55:$AM55,MATCH(0,計算用!$AF55:$AI55,0)),"")</f>
        <v/>
      </c>
      <c r="C55" s="26">
        <f>IFERROR(INDEX(計算用!$AJ55:$AM55,MATCH(1,計算用!$AF55:$AI55,0)),"")</f>
        <v/>
      </c>
      <c r="D55" s="26">
        <f>IFERROR(INDEX(計算用!$AJ55:$AM55,MATCH(2,計算用!$AF55:$AI55,0)),"")</f>
        <v/>
      </c>
      <c r="E55" s="26">
        <f>IFERROR(INDEX(計算用!$AJ55:$AM55,MATCH(3,計算用!$AF55:$AI55,0)),"")</f>
        <v/>
      </c>
    </row>
    <row r="56" ht="28" customHeight="1">
      <c r="A56" s="29">
        <f>IF(計算用!$Z$56="","",計算用!$Y$56&amp;"レース")</f>
        <v/>
      </c>
      <c r="B56" s="26">
        <f>IFERROR(INDEX(計算用!$AJ56:$AM56,MATCH(0,計算用!$AF56:$AI56,0)),"")</f>
        <v/>
      </c>
      <c r="C56" s="26">
        <f>IFERROR(INDEX(計算用!$AJ56:$AM56,MATCH(1,計算用!$AF56:$AI56,0)),"")</f>
        <v/>
      </c>
      <c r="D56" s="26">
        <f>IFERROR(INDEX(計算用!$AJ56:$AM56,MATCH(2,計算用!$AF56:$AI56,0)),"")</f>
        <v/>
      </c>
      <c r="E56" s="26">
        <f>IFERROR(INDEX(計算用!$AJ56:$AM56,MATCH(3,計算用!$AF56:$AI56,0)),"")</f>
        <v/>
      </c>
    </row>
    <row r="57" ht="28" customHeight="1">
      <c r="A57" s="29">
        <f>IF(計算用!$Z$57="","",計算用!$Y$57&amp;"レース")</f>
        <v/>
      </c>
      <c r="B57" s="26">
        <f>IFERROR(INDEX(計算用!$AJ57:$AM57,MATCH(0,計算用!$AF57:$AI57,0)),"")</f>
        <v/>
      </c>
      <c r="C57" s="26">
        <f>IFERROR(INDEX(計算用!$AJ57:$AM57,MATCH(1,計算用!$AF57:$AI57,0)),"")</f>
        <v/>
      </c>
      <c r="D57" s="26">
        <f>IFERROR(INDEX(計算用!$AJ57:$AM57,MATCH(2,計算用!$AF57:$AI57,0)),"")</f>
        <v/>
      </c>
      <c r="E57" s="26">
        <f>IFERROR(INDEX(計算用!$AJ57:$AM57,MATCH(3,計算用!$AF57:$AI57,0)),"")</f>
        <v/>
      </c>
    </row>
    <row r="58" ht="28" customHeight="1">
      <c r="A58" s="29">
        <f>IF(計算用!$Z$58="","",計算用!$Y$58&amp;"レース")</f>
        <v/>
      </c>
      <c r="B58" s="26">
        <f>IFERROR(INDEX(計算用!$AJ58:$AM58,MATCH(0,計算用!$AF58:$AI58,0)),"")</f>
        <v/>
      </c>
      <c r="C58" s="26">
        <f>IFERROR(INDEX(計算用!$AJ58:$AM58,MATCH(1,計算用!$AF58:$AI58,0)),"")</f>
        <v/>
      </c>
      <c r="D58" s="26">
        <f>IFERROR(INDEX(計算用!$AJ58:$AM58,MATCH(2,計算用!$AF58:$AI58,0)),"")</f>
        <v/>
      </c>
      <c r="E58" s="26">
        <f>IFERROR(INDEX(計算用!$AJ58:$AM58,MATCH(3,計算用!$AF58:$AI58,0)),"")</f>
        <v/>
      </c>
    </row>
    <row r="59" ht="28" customHeight="1">
      <c r="A59" s="29">
        <f>IF(計算用!$Z$59="","",計算用!$Y$59&amp;"レース")</f>
        <v/>
      </c>
      <c r="B59" s="26">
        <f>IFERROR(INDEX(計算用!$AJ59:$AM59,MATCH(0,計算用!$AF59:$AI59,0)),"")</f>
        <v/>
      </c>
      <c r="C59" s="26">
        <f>IFERROR(INDEX(計算用!$AJ59:$AM59,MATCH(1,計算用!$AF59:$AI59,0)),"")</f>
        <v/>
      </c>
      <c r="D59" s="26">
        <f>IFERROR(INDEX(計算用!$AJ59:$AM59,MATCH(2,計算用!$AF59:$AI59,0)),"")</f>
        <v/>
      </c>
      <c r="E59" s="26">
        <f>IFERROR(INDEX(計算用!$AJ59:$AM59,MATCH(3,計算用!$AF59:$AI59,0)),"")</f>
        <v/>
      </c>
    </row>
    <row r="60" ht="28" customHeight="1">
      <c r="A60" s="29">
        <f>IF(計算用!$Z$60="","",計算用!$Y$60&amp;"レース")</f>
        <v/>
      </c>
      <c r="B60" s="26">
        <f>IFERROR(INDEX(計算用!$AJ60:$AM60,MATCH(0,計算用!$AF60:$AI60,0)),"")</f>
        <v/>
      </c>
      <c r="C60" s="26">
        <f>IFERROR(INDEX(計算用!$AJ60:$AM60,MATCH(1,計算用!$AF60:$AI60,0)),"")</f>
        <v/>
      </c>
      <c r="D60" s="26">
        <f>IFERROR(INDEX(計算用!$AJ60:$AM60,MATCH(2,計算用!$AF60:$AI60,0)),"")</f>
        <v/>
      </c>
      <c r="E60" s="26">
        <f>IFERROR(INDEX(計算用!$AJ60:$AM60,MATCH(3,計算用!$AF60:$AI60,0)),"")</f>
        <v/>
      </c>
    </row>
    <row r="61" ht="28" customHeight="1">
      <c r="A61" s="29">
        <f>IF(計算用!$Z$61="","",計算用!$Y$61&amp;"レース")</f>
        <v/>
      </c>
      <c r="B61" s="26">
        <f>IFERROR(INDEX(計算用!$AJ61:$AM61,MATCH(0,計算用!$AF61:$AI61,0)),"")</f>
        <v/>
      </c>
      <c r="C61" s="26">
        <f>IFERROR(INDEX(計算用!$AJ61:$AM61,MATCH(1,計算用!$AF61:$AI61,0)),"")</f>
        <v/>
      </c>
      <c r="D61" s="26">
        <f>IFERROR(INDEX(計算用!$AJ61:$AM61,MATCH(2,計算用!$AF61:$AI61,0)),"")</f>
        <v/>
      </c>
      <c r="E61" s="26">
        <f>IFERROR(INDEX(計算用!$AJ61:$AM61,MATCH(3,計算用!$AF61:$AI61,0)),"")</f>
        <v/>
      </c>
    </row>
    <row r="62" ht="28" customHeight="1">
      <c r="A62" s="29">
        <f>IF(計算用!$Z$62="","",計算用!$Y$62&amp;"レース")</f>
        <v/>
      </c>
      <c r="B62" s="26">
        <f>IFERROR(INDEX(計算用!$AJ62:$AM62,MATCH(0,計算用!$AF62:$AI62,0)),"")</f>
        <v/>
      </c>
      <c r="C62" s="26">
        <f>IFERROR(INDEX(計算用!$AJ62:$AM62,MATCH(1,計算用!$AF62:$AI62,0)),"")</f>
        <v/>
      </c>
      <c r="D62" s="26">
        <f>IFERROR(INDEX(計算用!$AJ62:$AM62,MATCH(2,計算用!$AF62:$AI62,0)),"")</f>
        <v/>
      </c>
      <c r="E62" s="26">
        <f>IFERROR(INDEX(計算用!$AJ62:$AM62,MATCH(3,計算用!$AF62:$AI62,0)),"")</f>
        <v/>
      </c>
    </row>
    <row r="63" ht="28" customHeight="1">
      <c r="A63" s="29">
        <f>IF(計算用!$Z$63="","",計算用!$Y$63&amp;"レース")</f>
        <v/>
      </c>
      <c r="B63" s="26">
        <f>IFERROR(INDEX(計算用!$AJ63:$AM63,MATCH(0,計算用!$AF63:$AI63,0)),"")</f>
        <v/>
      </c>
      <c r="C63" s="26">
        <f>IFERROR(INDEX(計算用!$AJ63:$AM63,MATCH(1,計算用!$AF63:$AI63,0)),"")</f>
        <v/>
      </c>
      <c r="D63" s="26">
        <f>IFERROR(INDEX(計算用!$AJ63:$AM63,MATCH(2,計算用!$AF63:$AI63,0)),"")</f>
        <v/>
      </c>
      <c r="E63" s="26">
        <f>IFERROR(INDEX(計算用!$AJ63:$AM63,MATCH(3,計算用!$AF63:$AI63,0)),"")</f>
        <v/>
      </c>
    </row>
    <row r="64" ht="28" customHeight="1">
      <c r="A64" s="29">
        <f>IF(計算用!$Z$64="","",計算用!$Y$64&amp;"レース")</f>
        <v/>
      </c>
      <c r="B64" s="26">
        <f>IFERROR(INDEX(計算用!$AJ64:$AM64,MATCH(0,計算用!$AF64:$AI64,0)),"")</f>
        <v/>
      </c>
      <c r="C64" s="26">
        <f>IFERROR(INDEX(計算用!$AJ64:$AM64,MATCH(1,計算用!$AF64:$AI64,0)),"")</f>
        <v/>
      </c>
      <c r="D64" s="26">
        <f>IFERROR(INDEX(計算用!$AJ64:$AM64,MATCH(2,計算用!$AF64:$AI64,0)),"")</f>
        <v/>
      </c>
      <c r="E64" s="26">
        <f>IFERROR(INDEX(計算用!$AJ64:$AM64,MATCH(3,計算用!$AF64:$AI64,0)),"")</f>
        <v/>
      </c>
    </row>
    <row r="65" ht="28" customHeight="1">
      <c r="A65" s="29">
        <f>IF(計算用!$Z$65="","",計算用!$Y$65&amp;"レース")</f>
        <v/>
      </c>
      <c r="B65" s="26">
        <f>IFERROR(INDEX(計算用!$AJ65:$AM65,MATCH(0,計算用!$AF65:$AI65,0)),"")</f>
        <v/>
      </c>
      <c r="C65" s="26">
        <f>IFERROR(INDEX(計算用!$AJ65:$AM65,MATCH(1,計算用!$AF65:$AI65,0)),"")</f>
        <v/>
      </c>
      <c r="D65" s="26">
        <f>IFERROR(INDEX(計算用!$AJ65:$AM65,MATCH(2,計算用!$AF65:$AI65,0)),"")</f>
        <v/>
      </c>
      <c r="E65" s="26">
        <f>IFERROR(INDEX(計算用!$AJ65:$AM65,MATCH(3,計算用!$AF65:$AI65,0)),"")</f>
        <v/>
      </c>
    </row>
    <row r="66" ht="28" customHeight="1">
      <c r="A66" s="29">
        <f>IF(計算用!$Z$66="","",計算用!$Y$66&amp;"レース")</f>
        <v/>
      </c>
      <c r="B66" s="26">
        <f>IFERROR(INDEX(計算用!$AJ66:$AM66,MATCH(0,計算用!$AF66:$AI66,0)),"")</f>
        <v/>
      </c>
      <c r="C66" s="26">
        <f>IFERROR(INDEX(計算用!$AJ66:$AM66,MATCH(1,計算用!$AF66:$AI66,0)),"")</f>
        <v/>
      </c>
      <c r="D66" s="26">
        <f>IFERROR(INDEX(計算用!$AJ66:$AM66,MATCH(2,計算用!$AF66:$AI66,0)),"")</f>
        <v/>
      </c>
      <c r="E66" s="26">
        <f>IFERROR(INDEX(計算用!$AJ66:$AM66,MATCH(3,計算用!$AF66:$AI66,0)),"")</f>
        <v/>
      </c>
    </row>
    <row r="67" ht="28" customHeight="1">
      <c r="A67" s="29">
        <f>IF(計算用!$Z$67="","",計算用!$Y$67&amp;"レース")</f>
        <v/>
      </c>
      <c r="B67" s="26">
        <f>IFERROR(INDEX(計算用!$AJ67:$AM67,MATCH(0,計算用!$AF67:$AI67,0)),"")</f>
        <v/>
      </c>
      <c r="C67" s="26">
        <f>IFERROR(INDEX(計算用!$AJ67:$AM67,MATCH(1,計算用!$AF67:$AI67,0)),"")</f>
        <v/>
      </c>
      <c r="D67" s="26">
        <f>IFERROR(INDEX(計算用!$AJ67:$AM67,MATCH(2,計算用!$AF67:$AI67,0)),"")</f>
        <v/>
      </c>
      <c r="E67" s="26">
        <f>IFERROR(INDEX(計算用!$AJ67:$AM67,MATCH(3,計算用!$AF67:$AI67,0)),"")</f>
        <v/>
      </c>
    </row>
    <row r="68" ht="28" customHeight="1">
      <c r="A68" s="29">
        <f>IF(計算用!$Z$68="","",計算用!$Y$68&amp;"レース")</f>
        <v/>
      </c>
      <c r="B68" s="26">
        <f>IFERROR(INDEX(計算用!$AJ68:$AM68,MATCH(0,計算用!$AF68:$AI68,0)),"")</f>
        <v/>
      </c>
      <c r="C68" s="26">
        <f>IFERROR(INDEX(計算用!$AJ68:$AM68,MATCH(1,計算用!$AF68:$AI68,0)),"")</f>
        <v/>
      </c>
      <c r="D68" s="26">
        <f>IFERROR(INDEX(計算用!$AJ68:$AM68,MATCH(2,計算用!$AF68:$AI68,0)),"")</f>
        <v/>
      </c>
      <c r="E68" s="26">
        <f>IFERROR(INDEX(計算用!$AJ68:$AM68,MATCH(3,計算用!$AF68:$AI68,0)),"")</f>
        <v/>
      </c>
    </row>
    <row r="69" ht="28" customHeight="1">
      <c r="A69" s="29">
        <f>IF(計算用!$Z$69="","",計算用!$Y$69&amp;"レース")</f>
        <v/>
      </c>
      <c r="B69" s="26">
        <f>IFERROR(INDEX(計算用!$AJ69:$AM69,MATCH(0,計算用!$AF69:$AI69,0)),"")</f>
        <v/>
      </c>
      <c r="C69" s="26">
        <f>IFERROR(INDEX(計算用!$AJ69:$AM69,MATCH(1,計算用!$AF69:$AI69,0)),"")</f>
        <v/>
      </c>
      <c r="D69" s="26">
        <f>IFERROR(INDEX(計算用!$AJ69:$AM69,MATCH(2,計算用!$AF69:$AI69,0)),"")</f>
        <v/>
      </c>
      <c r="E69" s="26">
        <f>IFERROR(INDEX(計算用!$AJ69:$AM69,MATCH(3,計算用!$AF69:$AI69,0)),"")</f>
        <v/>
      </c>
    </row>
    <row r="70" ht="28" customHeight="1">
      <c r="A70" s="29">
        <f>IF(計算用!$Z$70="","",計算用!$Y$70&amp;"レース")</f>
        <v/>
      </c>
      <c r="B70" s="26">
        <f>IFERROR(INDEX(計算用!$AJ70:$AM70,MATCH(0,計算用!$AF70:$AI70,0)),"")</f>
        <v/>
      </c>
      <c r="C70" s="26">
        <f>IFERROR(INDEX(計算用!$AJ70:$AM70,MATCH(1,計算用!$AF70:$AI70,0)),"")</f>
        <v/>
      </c>
      <c r="D70" s="26">
        <f>IFERROR(INDEX(計算用!$AJ70:$AM70,MATCH(2,計算用!$AF70:$AI70,0)),"")</f>
        <v/>
      </c>
      <c r="E70" s="26">
        <f>IFERROR(INDEX(計算用!$AJ70:$AM70,MATCH(3,計算用!$AF70:$AI70,0)),"")</f>
        <v/>
      </c>
    </row>
    <row r="71" ht="28" customHeight="1">
      <c r="A71" s="29">
        <f>IF(計算用!$Z$71="","",計算用!$Y$71&amp;"レース")</f>
        <v/>
      </c>
      <c r="B71" s="26">
        <f>IFERROR(INDEX(計算用!$AJ71:$AM71,MATCH(0,計算用!$AF71:$AI71,0)),"")</f>
        <v/>
      </c>
      <c r="C71" s="26">
        <f>IFERROR(INDEX(計算用!$AJ71:$AM71,MATCH(1,計算用!$AF71:$AI71,0)),"")</f>
        <v/>
      </c>
      <c r="D71" s="26">
        <f>IFERROR(INDEX(計算用!$AJ71:$AM71,MATCH(2,計算用!$AF71:$AI71,0)),"")</f>
        <v/>
      </c>
      <c r="E71" s="26">
        <f>IFERROR(INDEX(計算用!$AJ71:$AM71,MATCH(3,計算用!$AF71:$AI71,0)),"")</f>
        <v/>
      </c>
    </row>
    <row r="72" ht="28" customHeight="1">
      <c r="A72" s="29">
        <f>IF(計算用!$Z$72="","",計算用!$Y$72&amp;"レース")</f>
        <v/>
      </c>
      <c r="B72" s="26">
        <f>IFERROR(INDEX(計算用!$AJ72:$AM72,MATCH(0,計算用!$AF72:$AI72,0)),"")</f>
        <v/>
      </c>
      <c r="C72" s="26">
        <f>IFERROR(INDEX(計算用!$AJ72:$AM72,MATCH(1,計算用!$AF72:$AI72,0)),"")</f>
        <v/>
      </c>
      <c r="D72" s="26">
        <f>IFERROR(INDEX(計算用!$AJ72:$AM72,MATCH(2,計算用!$AF72:$AI72,0)),"")</f>
        <v/>
      </c>
      <c r="E72" s="26">
        <f>IFERROR(INDEX(計算用!$AJ72:$AM72,MATCH(3,計算用!$AF72:$AI72,0)),"")</f>
        <v/>
      </c>
    </row>
    <row r="73" ht="28" customHeight="1">
      <c r="A73" s="29">
        <f>IF(計算用!$Z$73="","",計算用!$Y$73&amp;"レース")</f>
        <v/>
      </c>
      <c r="B73" s="26">
        <f>IFERROR(INDEX(計算用!$AJ73:$AM73,MATCH(0,計算用!$AF73:$AI73,0)),"")</f>
        <v/>
      </c>
      <c r="C73" s="26">
        <f>IFERROR(INDEX(計算用!$AJ73:$AM73,MATCH(1,計算用!$AF73:$AI73,0)),"")</f>
        <v/>
      </c>
      <c r="D73" s="26">
        <f>IFERROR(INDEX(計算用!$AJ73:$AM73,MATCH(2,計算用!$AF73:$AI73,0)),"")</f>
        <v/>
      </c>
      <c r="E73" s="26">
        <f>IFERROR(INDEX(計算用!$AJ73:$AM73,MATCH(3,計算用!$AF73:$AI73,0)),"")</f>
        <v/>
      </c>
    </row>
    <row r="74" ht="28" customHeight="1">
      <c r="A74" s="29">
        <f>IF(計算用!$Z$74="","",計算用!$Y$74&amp;"レース")</f>
        <v/>
      </c>
      <c r="B74" s="26">
        <f>IFERROR(INDEX(計算用!$AJ74:$AM74,MATCH(0,計算用!$AF74:$AI74,0)),"")</f>
        <v/>
      </c>
      <c r="C74" s="26">
        <f>IFERROR(INDEX(計算用!$AJ74:$AM74,MATCH(1,計算用!$AF74:$AI74,0)),"")</f>
        <v/>
      </c>
      <c r="D74" s="26">
        <f>IFERROR(INDEX(計算用!$AJ74:$AM74,MATCH(2,計算用!$AF74:$AI74,0)),"")</f>
        <v/>
      </c>
      <c r="E74" s="26">
        <f>IFERROR(INDEX(計算用!$AJ74:$AM74,MATCH(3,計算用!$AF74:$AI74,0)),"")</f>
        <v/>
      </c>
    </row>
    <row r="75" ht="28" customHeight="1">
      <c r="A75" s="29">
        <f>IF(計算用!$Z$75="","",計算用!$Y$75&amp;"レース")</f>
        <v/>
      </c>
      <c r="B75" s="26">
        <f>IFERROR(INDEX(計算用!$AJ75:$AM75,MATCH(0,計算用!$AF75:$AI75,0)),"")</f>
        <v/>
      </c>
      <c r="C75" s="26">
        <f>IFERROR(INDEX(計算用!$AJ75:$AM75,MATCH(1,計算用!$AF75:$AI75,0)),"")</f>
        <v/>
      </c>
      <c r="D75" s="26">
        <f>IFERROR(INDEX(計算用!$AJ75:$AM75,MATCH(2,計算用!$AF75:$AI75,0)),"")</f>
        <v/>
      </c>
      <c r="E75" s="26">
        <f>IFERROR(INDEX(計算用!$AJ75:$AM75,MATCH(3,計算用!$AF75:$AI75,0)),"")</f>
        <v/>
      </c>
    </row>
  </sheetData>
  <conditionalFormatting sqref="A2:A75">
    <cfRule type="expression" priority="1" dxfId="11">
      <formula>AND($A2&lt;&gt;"",AND(NOT(計算用!$U$2),INDEX(計算用!$Z$2:$Z$75,ROW()-1)="B"))</formula>
    </cfRule>
  </conditionalFormatting>
  <conditionalFormatting sqref="B2:B75">
    <cfRule type="expression" priority="2" dxfId="5">
      <formula>AND(B2&lt;&gt;"",$I$1="色あり",INDEX(計算用!$AP$2:$AP$75,ROW()-1)=0)</formula>
    </cfRule>
    <cfRule type="expression" priority="3" dxfId="6">
      <formula>AND(B2&lt;&gt;"",$I$1="色あり",INDEX(計算用!$AP$2:$AP$75,ROW()-1)=1)</formula>
    </cfRule>
    <cfRule type="expression" priority="4" dxfId="7">
      <formula>AND(B2&lt;&gt;"",$I$1="色あり",INDEX(計算用!$AP$2:$AP$75,ROW()-1)=2)</formula>
    </cfRule>
    <cfRule type="expression" priority="5" dxfId="8">
      <formula>AND(B2&lt;&gt;"",$I$1="色あり",INDEX(計算用!$AP$2:$AP$75,ROW()-1)=3)</formula>
    </cfRule>
  </conditionalFormatting>
  <conditionalFormatting sqref="C2:C75">
    <cfRule type="expression" priority="6" dxfId="5">
      <formula>AND(C2&lt;&gt;"",$I$1="色あり",INDEX(計算用!$AQ$2:$AQ$75,ROW()-1)=0)</formula>
    </cfRule>
    <cfRule type="expression" priority="7" dxfId="6">
      <formula>AND(C2&lt;&gt;"",$I$1="色あり",INDEX(計算用!$AQ$2:$AQ$75,ROW()-1)=1)</formula>
    </cfRule>
    <cfRule type="expression" priority="8" dxfId="7">
      <formula>AND(C2&lt;&gt;"",$I$1="色あり",INDEX(計算用!$AQ$2:$AQ$75,ROW()-1)=2)</formula>
    </cfRule>
    <cfRule type="expression" priority="9" dxfId="8">
      <formula>AND(C2&lt;&gt;"",$I$1="色あり",INDEX(計算用!$AQ$2:$AQ$75,ROW()-1)=3)</formula>
    </cfRule>
  </conditionalFormatting>
  <conditionalFormatting sqref="D2:D75">
    <cfRule type="expression" priority="10" dxfId="5">
      <formula>AND(D2&lt;&gt;"",$I$1="色あり",INDEX(計算用!$AR$2:$AR$75,ROW()-1)=0)</formula>
    </cfRule>
    <cfRule type="expression" priority="11" dxfId="6">
      <formula>AND(D2&lt;&gt;"",$I$1="色あり",INDEX(計算用!$AR$2:$AR$75,ROW()-1)=1)</formula>
    </cfRule>
    <cfRule type="expression" priority="12" dxfId="7">
      <formula>AND(D2&lt;&gt;"",$I$1="色あり",INDEX(計算用!$AR$2:$AR$75,ROW()-1)=2)</formula>
    </cfRule>
    <cfRule type="expression" priority="13" dxfId="8">
      <formula>AND(D2&lt;&gt;"",$I$1="色あり",INDEX(計算用!$AR$2:$AR$75,ROW()-1)=3)</formula>
    </cfRule>
  </conditionalFormatting>
  <conditionalFormatting sqref="E2:E75">
    <cfRule type="expression" priority="14" dxfId="5">
      <formula>AND(E2&lt;&gt;"",$I$1="色あり",INDEX(計算用!$AS$2:$AS$75,ROW()-1)=0)</formula>
    </cfRule>
    <cfRule type="expression" priority="15" dxfId="6">
      <formula>AND(E2&lt;&gt;"",$I$1="色あり",INDEX(計算用!$AS$2:$AS$75,ROW()-1)=1)</formula>
    </cfRule>
    <cfRule type="expression" priority="16" dxfId="7">
      <formula>AND(E2&lt;&gt;"",$I$1="色あり",INDEX(計算用!$AS$2:$AS$75,ROW()-1)=2)</formula>
    </cfRule>
    <cfRule type="expression" priority="17" dxfId="8">
      <formula>AND(E2&lt;&gt;"",$I$1="色あり",INDEX(計算用!$AS$2:$AS$75,ROW()-1)=3)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A$2+1,4)+1),INDEX(手直し!$G$6:$J$42,計算用!$AC$2,MOD(0-計算用!$AA$2+1,4)+1)),IF(計算用!$Z$2="A",INDEX(組分け!$B$5:$I$41,計算用!$AC$2,(MOD(0-計算用!$AA$2+1,4)+1)*2-1),INDEX(組分け!$L$5:$S$41,計算用!$AC$2,(MOD(0-計算用!$AA$2+1,4)+1)*2-1)))&amp;"")</f>
        <v/>
      </c>
      <c r="AK2">
        <f>IF(計算用!$Z$2="","",IF(計算用!$U$24,IF(計算用!$Z$2="A",INDEX(手直し!$B$6:$E$42,計算用!$AC$2,MOD(1-計算用!$AA$2+1,4)+1),INDEX(手直し!$G$6:$J$42,計算用!$AC$2,MOD(1-計算用!$AA$2+1,4)+1)),IF(計算用!$Z$2="A",INDEX(組分け!$B$5:$I$41,計算用!$AC$2,(MOD(1-計算用!$AA$2+1,4)+1)*2-1),INDEX(組分け!$L$5:$S$41,計算用!$AC$2,(MOD(1-計算用!$AA$2+1,4)+1)*2-1)))&amp;"")</f>
        <v/>
      </c>
      <c r="AL2">
        <f>IF(計算用!$Z$2="","",IF(計算用!$U$24,IF(計算用!$Z$2="A",INDEX(手直し!$B$6:$E$42,計算用!$AC$2,MOD(2-計算用!$AA$2+1,4)+1),INDEX(手直し!$G$6:$J$42,計算用!$AC$2,MOD(2-計算用!$AA$2+1,4)+1)),IF(計算用!$Z$2="A",INDEX(組分け!$B$5:$I$41,計算用!$AC$2,(MOD(2-計算用!$AA$2+1,4)+1)*2-1),INDEX(組分け!$L$5:$S$41,計算用!$AC$2,(MOD(2-計算用!$AA$2+1,4)+1)*2-1)))&amp;"")</f>
        <v/>
      </c>
      <c r="AM2">
        <f>IF(計算用!$Z$2="","",IF(計算用!$U$24,IF(計算用!$Z$2="A",INDEX(手直し!$B$6:$E$42,計算用!$AC$2,MOD(3-計算用!$AA$2+1,4)+1),INDEX(手直し!$G$6:$J$42,計算用!$AC$2,MOD(3-計算用!$AA$2+1,4)+1)),IF(計算用!$Z$2="A",INDEX(組分け!$B$5:$I$41,計算用!$AC$2,(MOD(3-計算用!$AA$2+1,4)+1)*2-1),INDEX(組分け!$L$5:$S$41,計算用!$AC$2,(MOD(3-計算用!$AA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IF(Z2="","",IFERROR(MOD(MATCH(0,$AF2:$AI2,0)-1-AA2+1,4),""))</f>
        <v/>
      </c>
      <c r="AQ2">
        <f>IF(Z2="","",IFERROR(MOD(MATCH(1,$AF2:$AI2,0)-1-AA2+1,4),""))</f>
        <v/>
      </c>
      <c r="AR2">
        <f>IF(Z2="","",IFERROR(MOD(MATCH(2,$AF2:$AI2,0)-1-AA2+1,4),""))</f>
        <v/>
      </c>
      <c r="AS2">
        <f>IF(Z2="","",IFERROR(MOD(MATCH(3,$AF2:$AI2,0)-1-AA2+1,4),""))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A$3+1,4)+1),INDEX(手直し!$G$6:$J$42,計算用!$AC$3,MOD(0-計算用!$AA$3+1,4)+1)),IF(計算用!$Z$3="A",INDEX(組分け!$B$5:$I$41,計算用!$AC$3,(MOD(0-計算用!$AA$3+1,4)+1)*2-1),INDEX(組分け!$L$5:$S$41,計算用!$AC$3,(MOD(0-計算用!$AA$3+1,4)+1)*2-1)))&amp;"")</f>
        <v/>
      </c>
      <c r="AK3">
        <f>IF(計算用!$Z$3="","",IF(計算用!$U$24,IF(計算用!$Z$3="A",INDEX(手直し!$B$6:$E$42,計算用!$AC$3,MOD(1-計算用!$AA$3+1,4)+1),INDEX(手直し!$G$6:$J$42,計算用!$AC$3,MOD(1-計算用!$AA$3+1,4)+1)),IF(計算用!$Z$3="A",INDEX(組分け!$B$5:$I$41,計算用!$AC$3,(MOD(1-計算用!$AA$3+1,4)+1)*2-1),INDEX(組分け!$L$5:$S$41,計算用!$AC$3,(MOD(1-計算用!$AA$3+1,4)+1)*2-1)))&amp;"")</f>
        <v/>
      </c>
      <c r="AL3">
        <f>IF(計算用!$Z$3="","",IF(計算用!$U$24,IF(計算用!$Z$3="A",INDEX(手直し!$B$6:$E$42,計算用!$AC$3,MOD(2-計算用!$AA$3+1,4)+1),INDEX(手直し!$G$6:$J$42,計算用!$AC$3,MOD(2-計算用!$AA$3+1,4)+1)),IF(計算用!$Z$3="A",INDEX(組分け!$B$5:$I$41,計算用!$AC$3,(MOD(2-計算用!$AA$3+1,4)+1)*2-1),INDEX(組分け!$L$5:$S$41,計算用!$AC$3,(MOD(2-計算用!$AA$3+1,4)+1)*2-1)))&amp;"")</f>
        <v/>
      </c>
      <c r="AM3">
        <f>IF(計算用!$Z$3="","",IF(計算用!$U$24,IF(計算用!$Z$3="A",INDEX(手直し!$B$6:$E$42,計算用!$AC$3,MOD(3-計算用!$AA$3+1,4)+1),INDEX(手直し!$G$6:$J$42,計算用!$AC$3,MOD(3-計算用!$AA$3+1,4)+1)),IF(計算用!$Z$3="A",INDEX(組分け!$B$5:$I$41,計算用!$AC$3,(MOD(3-計算用!$AA$3+1,4)+1)*2-1),INDEX(組分け!$L$5:$S$41,計算用!$AC$3,(MOD(3-計算用!$AA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IF(Z3="","",IFERROR(MOD(MATCH(0,$AF3:$AI3,0)-1-AA3+1,4),""))</f>
        <v/>
      </c>
      <c r="AQ3">
        <f>IF(Z3="","",IFERROR(MOD(MATCH(1,$AF3:$AI3,0)-1-AA3+1,4),""))</f>
        <v/>
      </c>
      <c r="AR3">
        <f>IF(Z3="","",IFERROR(MOD(MATCH(2,$AF3:$AI3,0)-1-AA3+1,4),""))</f>
        <v/>
      </c>
      <c r="AS3">
        <f>IF(Z3="","",IFERROR(MOD(MATCH(3,$AF3:$AI3,0)-1-AA3+1,4),""))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A$4+1,4)+1),INDEX(手直し!$G$6:$J$42,計算用!$AC$4,MOD(0-計算用!$AA$4+1,4)+1)),IF(計算用!$Z$4="A",INDEX(組分け!$B$5:$I$41,計算用!$AC$4,(MOD(0-計算用!$AA$4+1,4)+1)*2-1),INDEX(組分け!$L$5:$S$41,計算用!$AC$4,(MOD(0-計算用!$AA$4+1,4)+1)*2-1)))&amp;"")</f>
        <v/>
      </c>
      <c r="AK4">
        <f>IF(計算用!$Z$4="","",IF(計算用!$U$24,IF(計算用!$Z$4="A",INDEX(手直し!$B$6:$E$42,計算用!$AC$4,MOD(1-計算用!$AA$4+1,4)+1),INDEX(手直し!$G$6:$J$42,計算用!$AC$4,MOD(1-計算用!$AA$4+1,4)+1)),IF(計算用!$Z$4="A",INDEX(組分け!$B$5:$I$41,計算用!$AC$4,(MOD(1-計算用!$AA$4+1,4)+1)*2-1),INDEX(組分け!$L$5:$S$41,計算用!$AC$4,(MOD(1-計算用!$AA$4+1,4)+1)*2-1)))&amp;"")</f>
        <v/>
      </c>
      <c r="AL4">
        <f>IF(計算用!$Z$4="","",IF(計算用!$U$24,IF(計算用!$Z$4="A",INDEX(手直し!$B$6:$E$42,計算用!$AC$4,MOD(2-計算用!$AA$4+1,4)+1),INDEX(手直し!$G$6:$J$42,計算用!$AC$4,MOD(2-計算用!$AA$4+1,4)+1)),IF(計算用!$Z$4="A",INDEX(組分け!$B$5:$I$41,計算用!$AC$4,(MOD(2-計算用!$AA$4+1,4)+1)*2-1),INDEX(組分け!$L$5:$S$41,計算用!$AC$4,(MOD(2-計算用!$AA$4+1,4)+1)*2-1)))&amp;"")</f>
        <v/>
      </c>
      <c r="AM4">
        <f>IF(計算用!$Z$4="","",IF(計算用!$U$24,IF(計算用!$Z$4="A",INDEX(手直し!$B$6:$E$42,計算用!$AC$4,MOD(3-計算用!$AA$4+1,4)+1),INDEX(手直し!$G$6:$J$42,計算用!$AC$4,MOD(3-計算用!$AA$4+1,4)+1)),IF(計算用!$Z$4="A",INDEX(組分け!$B$5:$I$41,計算用!$AC$4,(MOD(3-計算用!$AA$4+1,4)+1)*2-1),INDEX(組分け!$L$5:$S$41,計算用!$AC$4,(MOD(3-計算用!$AA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IF(Z4="","",IFERROR(MOD(MATCH(0,$AF4:$AI4,0)-1-AA4+1,4),""))</f>
        <v/>
      </c>
      <c r="AQ4">
        <f>IF(Z4="","",IFERROR(MOD(MATCH(1,$AF4:$AI4,0)-1-AA4+1,4),""))</f>
        <v/>
      </c>
      <c r="AR4">
        <f>IF(Z4="","",IFERROR(MOD(MATCH(2,$AF4:$AI4,0)-1-AA4+1,4),""))</f>
        <v/>
      </c>
      <c r="AS4">
        <f>IF(Z4="","",IFERROR(MOD(MATCH(3,$AF4:$AI4,0)-1-AA4+1,4),""))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A$5+1,4)+1),INDEX(手直し!$G$6:$J$42,計算用!$AC$5,MOD(0-計算用!$AA$5+1,4)+1)),IF(計算用!$Z$5="A",INDEX(組分け!$B$5:$I$41,計算用!$AC$5,(MOD(0-計算用!$AA$5+1,4)+1)*2-1),INDEX(組分け!$L$5:$S$41,計算用!$AC$5,(MOD(0-計算用!$AA$5+1,4)+1)*2-1)))&amp;"")</f>
        <v/>
      </c>
      <c r="AK5">
        <f>IF(計算用!$Z$5="","",IF(計算用!$U$24,IF(計算用!$Z$5="A",INDEX(手直し!$B$6:$E$42,計算用!$AC$5,MOD(1-計算用!$AA$5+1,4)+1),INDEX(手直し!$G$6:$J$42,計算用!$AC$5,MOD(1-計算用!$AA$5+1,4)+1)),IF(計算用!$Z$5="A",INDEX(組分け!$B$5:$I$41,計算用!$AC$5,(MOD(1-計算用!$AA$5+1,4)+1)*2-1),INDEX(組分け!$L$5:$S$41,計算用!$AC$5,(MOD(1-計算用!$AA$5+1,4)+1)*2-1)))&amp;"")</f>
        <v/>
      </c>
      <c r="AL5">
        <f>IF(計算用!$Z$5="","",IF(計算用!$U$24,IF(計算用!$Z$5="A",INDEX(手直し!$B$6:$E$42,計算用!$AC$5,MOD(2-計算用!$AA$5+1,4)+1),INDEX(手直し!$G$6:$J$42,計算用!$AC$5,MOD(2-計算用!$AA$5+1,4)+1)),IF(計算用!$Z$5="A",INDEX(組分け!$B$5:$I$41,計算用!$AC$5,(MOD(2-計算用!$AA$5+1,4)+1)*2-1),INDEX(組分け!$L$5:$S$41,計算用!$AC$5,(MOD(2-計算用!$AA$5+1,4)+1)*2-1)))&amp;"")</f>
        <v/>
      </c>
      <c r="AM5">
        <f>IF(計算用!$Z$5="","",IF(計算用!$U$24,IF(計算用!$Z$5="A",INDEX(手直し!$B$6:$E$42,計算用!$AC$5,MOD(3-計算用!$AA$5+1,4)+1),INDEX(手直し!$G$6:$J$42,計算用!$AC$5,MOD(3-計算用!$AA$5+1,4)+1)),IF(計算用!$Z$5="A",INDEX(組分け!$B$5:$I$41,計算用!$AC$5,(MOD(3-計算用!$AA$5+1,4)+1)*2-1),INDEX(組分け!$L$5:$S$41,計算用!$AC$5,(MOD(3-計算用!$AA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IF(Z5="","",IFERROR(MOD(MATCH(0,$AF5:$AI5,0)-1-AA5+1,4),""))</f>
        <v/>
      </c>
      <c r="AQ5">
        <f>IF(Z5="","",IFERROR(MOD(MATCH(1,$AF5:$AI5,0)-1-AA5+1,4),""))</f>
        <v/>
      </c>
      <c r="AR5">
        <f>IF(Z5="","",IFERROR(MOD(MATCH(2,$AF5:$AI5,0)-1-AA5+1,4),""))</f>
        <v/>
      </c>
      <c r="AS5">
        <f>IF(Z5="","",IFERROR(MOD(MATCH(3,$AF5:$AI5,0)-1-AA5+1,4),""))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A$6+1,4)+1),INDEX(手直し!$G$6:$J$42,計算用!$AC$6,MOD(0-計算用!$AA$6+1,4)+1)),IF(計算用!$Z$6="A",INDEX(組分け!$B$5:$I$41,計算用!$AC$6,(MOD(0-計算用!$AA$6+1,4)+1)*2-1),INDEX(組分け!$L$5:$S$41,計算用!$AC$6,(MOD(0-計算用!$AA$6+1,4)+1)*2-1)))&amp;"")</f>
        <v/>
      </c>
      <c r="AK6">
        <f>IF(計算用!$Z$6="","",IF(計算用!$U$24,IF(計算用!$Z$6="A",INDEX(手直し!$B$6:$E$42,計算用!$AC$6,MOD(1-計算用!$AA$6+1,4)+1),INDEX(手直し!$G$6:$J$42,計算用!$AC$6,MOD(1-計算用!$AA$6+1,4)+1)),IF(計算用!$Z$6="A",INDEX(組分け!$B$5:$I$41,計算用!$AC$6,(MOD(1-計算用!$AA$6+1,4)+1)*2-1),INDEX(組分け!$L$5:$S$41,計算用!$AC$6,(MOD(1-計算用!$AA$6+1,4)+1)*2-1)))&amp;"")</f>
        <v/>
      </c>
      <c r="AL6">
        <f>IF(計算用!$Z$6="","",IF(計算用!$U$24,IF(計算用!$Z$6="A",INDEX(手直し!$B$6:$E$42,計算用!$AC$6,MOD(2-計算用!$AA$6+1,4)+1),INDEX(手直し!$G$6:$J$42,計算用!$AC$6,MOD(2-計算用!$AA$6+1,4)+1)),IF(計算用!$Z$6="A",INDEX(組分け!$B$5:$I$41,計算用!$AC$6,(MOD(2-計算用!$AA$6+1,4)+1)*2-1),INDEX(組分け!$L$5:$S$41,計算用!$AC$6,(MOD(2-計算用!$AA$6+1,4)+1)*2-1)))&amp;"")</f>
        <v/>
      </c>
      <c r="AM6">
        <f>IF(計算用!$Z$6="","",IF(計算用!$U$24,IF(計算用!$Z$6="A",INDEX(手直し!$B$6:$E$42,計算用!$AC$6,MOD(3-計算用!$AA$6+1,4)+1),INDEX(手直し!$G$6:$J$42,計算用!$AC$6,MOD(3-計算用!$AA$6+1,4)+1)),IF(計算用!$Z$6="A",INDEX(組分け!$B$5:$I$41,計算用!$AC$6,(MOD(3-計算用!$AA$6+1,4)+1)*2-1),INDEX(組分け!$L$5:$S$41,計算用!$AC$6,(MOD(3-計算用!$AA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IF(Z6="","",IFERROR(MOD(MATCH(0,$AF6:$AI6,0)-1-AA6+1,4),""))</f>
        <v/>
      </c>
      <c r="AQ6">
        <f>IF(Z6="","",IFERROR(MOD(MATCH(1,$AF6:$AI6,0)-1-AA6+1,4),""))</f>
        <v/>
      </c>
      <c r="AR6">
        <f>IF(Z6="","",IFERROR(MOD(MATCH(2,$AF6:$AI6,0)-1-AA6+1,4),""))</f>
        <v/>
      </c>
      <c r="AS6">
        <f>IF(Z6="","",IFERROR(MOD(MATCH(3,$AF6:$AI6,0)-1-AA6+1,4),""))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A$7+1,4)+1),INDEX(手直し!$G$6:$J$42,計算用!$AC$7,MOD(0-計算用!$AA$7+1,4)+1)),IF(計算用!$Z$7="A",INDEX(組分け!$B$5:$I$41,計算用!$AC$7,(MOD(0-計算用!$AA$7+1,4)+1)*2-1),INDEX(組分け!$L$5:$S$41,計算用!$AC$7,(MOD(0-計算用!$AA$7+1,4)+1)*2-1)))&amp;"")</f>
        <v/>
      </c>
      <c r="AK7">
        <f>IF(計算用!$Z$7="","",IF(計算用!$U$24,IF(計算用!$Z$7="A",INDEX(手直し!$B$6:$E$42,計算用!$AC$7,MOD(1-計算用!$AA$7+1,4)+1),INDEX(手直し!$G$6:$J$42,計算用!$AC$7,MOD(1-計算用!$AA$7+1,4)+1)),IF(計算用!$Z$7="A",INDEX(組分け!$B$5:$I$41,計算用!$AC$7,(MOD(1-計算用!$AA$7+1,4)+1)*2-1),INDEX(組分け!$L$5:$S$41,計算用!$AC$7,(MOD(1-計算用!$AA$7+1,4)+1)*2-1)))&amp;"")</f>
        <v/>
      </c>
      <c r="AL7">
        <f>IF(計算用!$Z$7="","",IF(計算用!$U$24,IF(計算用!$Z$7="A",INDEX(手直し!$B$6:$E$42,計算用!$AC$7,MOD(2-計算用!$AA$7+1,4)+1),INDEX(手直し!$G$6:$J$42,計算用!$AC$7,MOD(2-計算用!$AA$7+1,4)+1)),IF(計算用!$Z$7="A",INDEX(組分け!$B$5:$I$41,計算用!$AC$7,(MOD(2-計算用!$AA$7+1,4)+1)*2-1),INDEX(組分け!$L$5:$S$41,計算用!$AC$7,(MOD(2-計算用!$AA$7+1,4)+1)*2-1)))&amp;"")</f>
        <v/>
      </c>
      <c r="AM7">
        <f>IF(計算用!$Z$7="","",IF(計算用!$U$24,IF(計算用!$Z$7="A",INDEX(手直し!$B$6:$E$42,計算用!$AC$7,MOD(3-計算用!$AA$7+1,4)+1),INDEX(手直し!$G$6:$J$42,計算用!$AC$7,MOD(3-計算用!$AA$7+1,4)+1)),IF(計算用!$Z$7="A",INDEX(組分け!$B$5:$I$41,計算用!$AC$7,(MOD(3-計算用!$AA$7+1,4)+1)*2-1),INDEX(組分け!$L$5:$S$41,計算用!$AC$7,(MOD(3-計算用!$AA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IF(Z7="","",IFERROR(MOD(MATCH(0,$AF7:$AI7,0)-1-AA7+1,4),""))</f>
        <v/>
      </c>
      <c r="AQ7">
        <f>IF(Z7="","",IFERROR(MOD(MATCH(1,$AF7:$AI7,0)-1-AA7+1,4),""))</f>
        <v/>
      </c>
      <c r="AR7">
        <f>IF(Z7="","",IFERROR(MOD(MATCH(2,$AF7:$AI7,0)-1-AA7+1,4),""))</f>
        <v/>
      </c>
      <c r="AS7">
        <f>IF(Z7="","",IFERROR(MOD(MATCH(3,$AF7:$AI7,0)-1-AA7+1,4),""))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A$8+1,4)+1),INDEX(手直し!$G$6:$J$42,計算用!$AC$8,MOD(0-計算用!$AA$8+1,4)+1)),IF(計算用!$Z$8="A",INDEX(組分け!$B$5:$I$41,計算用!$AC$8,(MOD(0-計算用!$AA$8+1,4)+1)*2-1),INDEX(組分け!$L$5:$S$41,計算用!$AC$8,(MOD(0-計算用!$AA$8+1,4)+1)*2-1)))&amp;"")</f>
        <v/>
      </c>
      <c r="AK8">
        <f>IF(計算用!$Z$8="","",IF(計算用!$U$24,IF(計算用!$Z$8="A",INDEX(手直し!$B$6:$E$42,計算用!$AC$8,MOD(1-計算用!$AA$8+1,4)+1),INDEX(手直し!$G$6:$J$42,計算用!$AC$8,MOD(1-計算用!$AA$8+1,4)+1)),IF(計算用!$Z$8="A",INDEX(組分け!$B$5:$I$41,計算用!$AC$8,(MOD(1-計算用!$AA$8+1,4)+1)*2-1),INDEX(組分け!$L$5:$S$41,計算用!$AC$8,(MOD(1-計算用!$AA$8+1,4)+1)*2-1)))&amp;"")</f>
        <v/>
      </c>
      <c r="AL8">
        <f>IF(計算用!$Z$8="","",IF(計算用!$U$24,IF(計算用!$Z$8="A",INDEX(手直し!$B$6:$E$42,計算用!$AC$8,MOD(2-計算用!$AA$8+1,4)+1),INDEX(手直し!$G$6:$J$42,計算用!$AC$8,MOD(2-計算用!$AA$8+1,4)+1)),IF(計算用!$Z$8="A",INDEX(組分け!$B$5:$I$41,計算用!$AC$8,(MOD(2-計算用!$AA$8+1,4)+1)*2-1),INDEX(組分け!$L$5:$S$41,計算用!$AC$8,(MOD(2-計算用!$AA$8+1,4)+1)*2-1)))&amp;"")</f>
        <v/>
      </c>
      <c r="AM8">
        <f>IF(計算用!$Z$8="","",IF(計算用!$U$24,IF(計算用!$Z$8="A",INDEX(手直し!$B$6:$E$42,計算用!$AC$8,MOD(3-計算用!$AA$8+1,4)+1),INDEX(手直し!$G$6:$J$42,計算用!$AC$8,MOD(3-計算用!$AA$8+1,4)+1)),IF(計算用!$Z$8="A",INDEX(組分け!$B$5:$I$41,計算用!$AC$8,(MOD(3-計算用!$AA$8+1,4)+1)*2-1),INDEX(組分け!$L$5:$S$41,計算用!$AC$8,(MOD(3-計算用!$AA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IF(Z8="","",IFERROR(MOD(MATCH(0,$AF8:$AI8,0)-1-AA8+1,4),""))</f>
        <v/>
      </c>
      <c r="AQ8">
        <f>IF(Z8="","",IFERROR(MOD(MATCH(1,$AF8:$AI8,0)-1-AA8+1,4),""))</f>
        <v/>
      </c>
      <c r="AR8">
        <f>IF(Z8="","",IFERROR(MOD(MATCH(2,$AF8:$AI8,0)-1-AA8+1,4),""))</f>
        <v/>
      </c>
      <c r="AS8">
        <f>IF(Z8="","",IFERROR(MOD(MATCH(3,$AF8:$AI8,0)-1-AA8+1,4),""))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A$9+1,4)+1),INDEX(手直し!$G$6:$J$42,計算用!$AC$9,MOD(0-計算用!$AA$9+1,4)+1)),IF(計算用!$Z$9="A",INDEX(組分け!$B$5:$I$41,計算用!$AC$9,(MOD(0-計算用!$AA$9+1,4)+1)*2-1),INDEX(組分け!$L$5:$S$41,計算用!$AC$9,(MOD(0-計算用!$AA$9+1,4)+1)*2-1)))&amp;"")</f>
        <v/>
      </c>
      <c r="AK9">
        <f>IF(計算用!$Z$9="","",IF(計算用!$U$24,IF(計算用!$Z$9="A",INDEX(手直し!$B$6:$E$42,計算用!$AC$9,MOD(1-計算用!$AA$9+1,4)+1),INDEX(手直し!$G$6:$J$42,計算用!$AC$9,MOD(1-計算用!$AA$9+1,4)+1)),IF(計算用!$Z$9="A",INDEX(組分け!$B$5:$I$41,計算用!$AC$9,(MOD(1-計算用!$AA$9+1,4)+1)*2-1),INDEX(組分け!$L$5:$S$41,計算用!$AC$9,(MOD(1-計算用!$AA$9+1,4)+1)*2-1)))&amp;"")</f>
        <v/>
      </c>
      <c r="AL9">
        <f>IF(計算用!$Z$9="","",IF(計算用!$U$24,IF(計算用!$Z$9="A",INDEX(手直し!$B$6:$E$42,計算用!$AC$9,MOD(2-計算用!$AA$9+1,4)+1),INDEX(手直し!$G$6:$J$42,計算用!$AC$9,MOD(2-計算用!$AA$9+1,4)+1)),IF(計算用!$Z$9="A",INDEX(組分け!$B$5:$I$41,計算用!$AC$9,(MOD(2-計算用!$AA$9+1,4)+1)*2-1),INDEX(組分け!$L$5:$S$41,計算用!$AC$9,(MOD(2-計算用!$AA$9+1,4)+1)*2-1)))&amp;"")</f>
        <v/>
      </c>
      <c r="AM9">
        <f>IF(計算用!$Z$9="","",IF(計算用!$U$24,IF(計算用!$Z$9="A",INDEX(手直し!$B$6:$E$42,計算用!$AC$9,MOD(3-計算用!$AA$9+1,4)+1),INDEX(手直し!$G$6:$J$42,計算用!$AC$9,MOD(3-計算用!$AA$9+1,4)+1)),IF(計算用!$Z$9="A",INDEX(組分け!$B$5:$I$41,計算用!$AC$9,(MOD(3-計算用!$AA$9+1,4)+1)*2-1),INDEX(組分け!$L$5:$S$41,計算用!$AC$9,(MOD(3-計算用!$AA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IF(Z9="","",IFERROR(MOD(MATCH(0,$AF9:$AI9,0)-1-AA9+1,4),""))</f>
        <v/>
      </c>
      <c r="AQ9">
        <f>IF(Z9="","",IFERROR(MOD(MATCH(1,$AF9:$AI9,0)-1-AA9+1,4),""))</f>
        <v/>
      </c>
      <c r="AR9">
        <f>IF(Z9="","",IFERROR(MOD(MATCH(2,$AF9:$AI9,0)-1-AA9+1,4),""))</f>
        <v/>
      </c>
      <c r="AS9">
        <f>IF(Z9="","",IFERROR(MOD(MATCH(3,$AF9:$AI9,0)-1-AA9+1,4),""))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A$10+1,4)+1),INDEX(手直し!$G$6:$J$42,計算用!$AC$10,MOD(0-計算用!$AA$10+1,4)+1)),IF(計算用!$Z$10="A",INDEX(組分け!$B$5:$I$41,計算用!$AC$10,(MOD(0-計算用!$AA$10+1,4)+1)*2-1),INDEX(組分け!$L$5:$S$41,計算用!$AC$10,(MOD(0-計算用!$AA$10+1,4)+1)*2-1)))&amp;"")</f>
        <v/>
      </c>
      <c r="AK10">
        <f>IF(計算用!$Z$10="","",IF(計算用!$U$24,IF(計算用!$Z$10="A",INDEX(手直し!$B$6:$E$42,計算用!$AC$10,MOD(1-計算用!$AA$10+1,4)+1),INDEX(手直し!$G$6:$J$42,計算用!$AC$10,MOD(1-計算用!$AA$10+1,4)+1)),IF(計算用!$Z$10="A",INDEX(組分け!$B$5:$I$41,計算用!$AC$10,(MOD(1-計算用!$AA$10+1,4)+1)*2-1),INDEX(組分け!$L$5:$S$41,計算用!$AC$10,(MOD(1-計算用!$AA$10+1,4)+1)*2-1)))&amp;"")</f>
        <v/>
      </c>
      <c r="AL10">
        <f>IF(計算用!$Z$10="","",IF(計算用!$U$24,IF(計算用!$Z$10="A",INDEX(手直し!$B$6:$E$42,計算用!$AC$10,MOD(2-計算用!$AA$10+1,4)+1),INDEX(手直し!$G$6:$J$42,計算用!$AC$10,MOD(2-計算用!$AA$10+1,4)+1)),IF(計算用!$Z$10="A",INDEX(組分け!$B$5:$I$41,計算用!$AC$10,(MOD(2-計算用!$AA$10+1,4)+1)*2-1),INDEX(組分け!$L$5:$S$41,計算用!$AC$10,(MOD(2-計算用!$AA$10+1,4)+1)*2-1)))&amp;"")</f>
        <v/>
      </c>
      <c r="AM10">
        <f>IF(計算用!$Z$10="","",IF(計算用!$U$24,IF(計算用!$Z$10="A",INDEX(手直し!$B$6:$E$42,計算用!$AC$10,MOD(3-計算用!$AA$10+1,4)+1),INDEX(手直し!$G$6:$J$42,計算用!$AC$10,MOD(3-計算用!$AA$10+1,4)+1)),IF(計算用!$Z$10="A",INDEX(組分け!$B$5:$I$41,計算用!$AC$10,(MOD(3-計算用!$AA$10+1,4)+1)*2-1),INDEX(組分け!$L$5:$S$41,計算用!$AC$10,(MOD(3-計算用!$AA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IF(Z10="","",IFERROR(MOD(MATCH(0,$AF10:$AI10,0)-1-AA10+1,4),""))</f>
        <v/>
      </c>
      <c r="AQ10">
        <f>IF(Z10="","",IFERROR(MOD(MATCH(1,$AF10:$AI10,0)-1-AA10+1,4),""))</f>
        <v/>
      </c>
      <c r="AR10">
        <f>IF(Z10="","",IFERROR(MOD(MATCH(2,$AF10:$AI10,0)-1-AA10+1,4),""))</f>
        <v/>
      </c>
      <c r="AS10">
        <f>IF(Z10="","",IFERROR(MOD(MATCH(3,$AF10:$AI10,0)-1-AA10+1,4),""))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A$11+1,4)+1),INDEX(手直し!$G$6:$J$42,計算用!$AC$11,MOD(0-計算用!$AA$11+1,4)+1)),IF(計算用!$Z$11="A",INDEX(組分け!$B$5:$I$41,計算用!$AC$11,(MOD(0-計算用!$AA$11+1,4)+1)*2-1),INDEX(組分け!$L$5:$S$41,計算用!$AC$11,(MOD(0-計算用!$AA$11+1,4)+1)*2-1)))&amp;"")</f>
        <v/>
      </c>
      <c r="AK11">
        <f>IF(計算用!$Z$11="","",IF(計算用!$U$24,IF(計算用!$Z$11="A",INDEX(手直し!$B$6:$E$42,計算用!$AC$11,MOD(1-計算用!$AA$11+1,4)+1),INDEX(手直し!$G$6:$J$42,計算用!$AC$11,MOD(1-計算用!$AA$11+1,4)+1)),IF(計算用!$Z$11="A",INDEX(組分け!$B$5:$I$41,計算用!$AC$11,(MOD(1-計算用!$AA$11+1,4)+1)*2-1),INDEX(組分け!$L$5:$S$41,計算用!$AC$11,(MOD(1-計算用!$AA$11+1,4)+1)*2-1)))&amp;"")</f>
        <v/>
      </c>
      <c r="AL11">
        <f>IF(計算用!$Z$11="","",IF(計算用!$U$24,IF(計算用!$Z$11="A",INDEX(手直し!$B$6:$E$42,計算用!$AC$11,MOD(2-計算用!$AA$11+1,4)+1),INDEX(手直し!$G$6:$J$42,計算用!$AC$11,MOD(2-計算用!$AA$11+1,4)+1)),IF(計算用!$Z$11="A",INDEX(組分け!$B$5:$I$41,計算用!$AC$11,(MOD(2-計算用!$AA$11+1,4)+1)*2-1),INDEX(組分け!$L$5:$S$41,計算用!$AC$11,(MOD(2-計算用!$AA$11+1,4)+1)*2-1)))&amp;"")</f>
        <v/>
      </c>
      <c r="AM11">
        <f>IF(計算用!$Z$11="","",IF(計算用!$U$24,IF(計算用!$Z$11="A",INDEX(手直し!$B$6:$E$42,計算用!$AC$11,MOD(3-計算用!$AA$11+1,4)+1),INDEX(手直し!$G$6:$J$42,計算用!$AC$11,MOD(3-計算用!$AA$11+1,4)+1)),IF(計算用!$Z$11="A",INDEX(組分け!$B$5:$I$41,計算用!$AC$11,(MOD(3-計算用!$AA$11+1,4)+1)*2-1),INDEX(組分け!$L$5:$S$41,計算用!$AC$11,(MOD(3-計算用!$AA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IF(Z11="","",IFERROR(MOD(MATCH(0,$AF11:$AI11,0)-1-AA11+1,4),""))</f>
        <v/>
      </c>
      <c r="AQ11">
        <f>IF(Z11="","",IFERROR(MOD(MATCH(1,$AF11:$AI11,0)-1-AA11+1,4),""))</f>
        <v/>
      </c>
      <c r="AR11">
        <f>IF(Z11="","",IFERROR(MOD(MATCH(2,$AF11:$AI11,0)-1-AA11+1,4),""))</f>
        <v/>
      </c>
      <c r="AS11">
        <f>IF(Z11="","",IFERROR(MOD(MATCH(3,$AF11:$AI11,0)-1-AA11+1,4),""))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A$12+1,4)+1),INDEX(手直し!$G$6:$J$42,計算用!$AC$12,MOD(0-計算用!$AA$12+1,4)+1)),IF(計算用!$Z$12="A",INDEX(組分け!$B$5:$I$41,計算用!$AC$12,(MOD(0-計算用!$AA$12+1,4)+1)*2-1),INDEX(組分け!$L$5:$S$41,計算用!$AC$12,(MOD(0-計算用!$AA$12+1,4)+1)*2-1)))&amp;"")</f>
        <v/>
      </c>
      <c r="AK12">
        <f>IF(計算用!$Z$12="","",IF(計算用!$U$24,IF(計算用!$Z$12="A",INDEX(手直し!$B$6:$E$42,計算用!$AC$12,MOD(1-計算用!$AA$12+1,4)+1),INDEX(手直し!$G$6:$J$42,計算用!$AC$12,MOD(1-計算用!$AA$12+1,4)+1)),IF(計算用!$Z$12="A",INDEX(組分け!$B$5:$I$41,計算用!$AC$12,(MOD(1-計算用!$AA$12+1,4)+1)*2-1),INDEX(組分け!$L$5:$S$41,計算用!$AC$12,(MOD(1-計算用!$AA$12+1,4)+1)*2-1)))&amp;"")</f>
        <v/>
      </c>
      <c r="AL12">
        <f>IF(計算用!$Z$12="","",IF(計算用!$U$24,IF(計算用!$Z$12="A",INDEX(手直し!$B$6:$E$42,計算用!$AC$12,MOD(2-計算用!$AA$12+1,4)+1),INDEX(手直し!$G$6:$J$42,計算用!$AC$12,MOD(2-計算用!$AA$12+1,4)+1)),IF(計算用!$Z$12="A",INDEX(組分け!$B$5:$I$41,計算用!$AC$12,(MOD(2-計算用!$AA$12+1,4)+1)*2-1),INDEX(組分け!$L$5:$S$41,計算用!$AC$12,(MOD(2-計算用!$AA$12+1,4)+1)*2-1)))&amp;"")</f>
        <v/>
      </c>
      <c r="AM12">
        <f>IF(計算用!$Z$12="","",IF(計算用!$U$24,IF(計算用!$Z$12="A",INDEX(手直し!$B$6:$E$42,計算用!$AC$12,MOD(3-計算用!$AA$12+1,4)+1),INDEX(手直し!$G$6:$J$42,計算用!$AC$12,MOD(3-計算用!$AA$12+1,4)+1)),IF(計算用!$Z$12="A",INDEX(組分け!$B$5:$I$41,計算用!$AC$12,(MOD(3-計算用!$AA$12+1,4)+1)*2-1),INDEX(組分け!$L$5:$S$41,計算用!$AC$12,(MOD(3-計算用!$AA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IF(Z12="","",IFERROR(MOD(MATCH(0,$AF12:$AI12,0)-1-AA12+1,4),""))</f>
        <v/>
      </c>
      <c r="AQ12">
        <f>IF(Z12="","",IFERROR(MOD(MATCH(1,$AF12:$AI12,0)-1-AA12+1,4),""))</f>
        <v/>
      </c>
      <c r="AR12">
        <f>IF(Z12="","",IFERROR(MOD(MATCH(2,$AF12:$AI12,0)-1-AA12+1,4),""))</f>
        <v/>
      </c>
      <c r="AS12">
        <f>IF(Z12="","",IFERROR(MOD(MATCH(3,$AF12:$AI12,0)-1-AA12+1,4),""))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A$13+1,4)+1),INDEX(手直し!$G$6:$J$42,計算用!$AC$13,MOD(0-計算用!$AA$13+1,4)+1)),IF(計算用!$Z$13="A",INDEX(組分け!$B$5:$I$41,計算用!$AC$13,(MOD(0-計算用!$AA$13+1,4)+1)*2-1),INDEX(組分け!$L$5:$S$41,計算用!$AC$13,(MOD(0-計算用!$AA$13+1,4)+1)*2-1)))&amp;"")</f>
        <v/>
      </c>
      <c r="AK13">
        <f>IF(計算用!$Z$13="","",IF(計算用!$U$24,IF(計算用!$Z$13="A",INDEX(手直し!$B$6:$E$42,計算用!$AC$13,MOD(1-計算用!$AA$13+1,4)+1),INDEX(手直し!$G$6:$J$42,計算用!$AC$13,MOD(1-計算用!$AA$13+1,4)+1)),IF(計算用!$Z$13="A",INDEX(組分け!$B$5:$I$41,計算用!$AC$13,(MOD(1-計算用!$AA$13+1,4)+1)*2-1),INDEX(組分け!$L$5:$S$41,計算用!$AC$13,(MOD(1-計算用!$AA$13+1,4)+1)*2-1)))&amp;"")</f>
        <v/>
      </c>
      <c r="AL13">
        <f>IF(計算用!$Z$13="","",IF(計算用!$U$24,IF(計算用!$Z$13="A",INDEX(手直し!$B$6:$E$42,計算用!$AC$13,MOD(2-計算用!$AA$13+1,4)+1),INDEX(手直し!$G$6:$J$42,計算用!$AC$13,MOD(2-計算用!$AA$13+1,4)+1)),IF(計算用!$Z$13="A",INDEX(組分け!$B$5:$I$41,計算用!$AC$13,(MOD(2-計算用!$AA$13+1,4)+1)*2-1),INDEX(組分け!$L$5:$S$41,計算用!$AC$13,(MOD(2-計算用!$AA$13+1,4)+1)*2-1)))&amp;"")</f>
        <v/>
      </c>
      <c r="AM13">
        <f>IF(計算用!$Z$13="","",IF(計算用!$U$24,IF(計算用!$Z$13="A",INDEX(手直し!$B$6:$E$42,計算用!$AC$13,MOD(3-計算用!$AA$13+1,4)+1),INDEX(手直し!$G$6:$J$42,計算用!$AC$13,MOD(3-計算用!$AA$13+1,4)+1)),IF(計算用!$Z$13="A",INDEX(組分け!$B$5:$I$41,計算用!$AC$13,(MOD(3-計算用!$AA$13+1,4)+1)*2-1),INDEX(組分け!$L$5:$S$41,計算用!$AC$13,(MOD(3-計算用!$AA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IF(Z13="","",IFERROR(MOD(MATCH(0,$AF13:$AI13,0)-1-AA13+1,4),""))</f>
        <v/>
      </c>
      <c r="AQ13">
        <f>IF(Z13="","",IFERROR(MOD(MATCH(1,$AF13:$AI13,0)-1-AA13+1,4),""))</f>
        <v/>
      </c>
      <c r="AR13">
        <f>IF(Z13="","",IFERROR(MOD(MATCH(2,$AF13:$AI13,0)-1-AA13+1,4),""))</f>
        <v/>
      </c>
      <c r="AS13">
        <f>IF(Z13="","",IFERROR(MOD(MATCH(3,$AF13:$AI13,0)-1-AA13+1,4),""))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A$14+1,4)+1),INDEX(手直し!$G$6:$J$42,計算用!$AC$14,MOD(0-計算用!$AA$14+1,4)+1)),IF(計算用!$Z$14="A",INDEX(組分け!$B$5:$I$41,計算用!$AC$14,(MOD(0-計算用!$AA$14+1,4)+1)*2-1),INDEX(組分け!$L$5:$S$41,計算用!$AC$14,(MOD(0-計算用!$AA$14+1,4)+1)*2-1)))&amp;"")</f>
        <v/>
      </c>
      <c r="AK14">
        <f>IF(計算用!$Z$14="","",IF(計算用!$U$24,IF(計算用!$Z$14="A",INDEX(手直し!$B$6:$E$42,計算用!$AC$14,MOD(1-計算用!$AA$14+1,4)+1),INDEX(手直し!$G$6:$J$42,計算用!$AC$14,MOD(1-計算用!$AA$14+1,4)+1)),IF(計算用!$Z$14="A",INDEX(組分け!$B$5:$I$41,計算用!$AC$14,(MOD(1-計算用!$AA$14+1,4)+1)*2-1),INDEX(組分け!$L$5:$S$41,計算用!$AC$14,(MOD(1-計算用!$AA$14+1,4)+1)*2-1)))&amp;"")</f>
        <v/>
      </c>
      <c r="AL14">
        <f>IF(計算用!$Z$14="","",IF(計算用!$U$24,IF(計算用!$Z$14="A",INDEX(手直し!$B$6:$E$42,計算用!$AC$14,MOD(2-計算用!$AA$14+1,4)+1),INDEX(手直し!$G$6:$J$42,計算用!$AC$14,MOD(2-計算用!$AA$14+1,4)+1)),IF(計算用!$Z$14="A",INDEX(組分け!$B$5:$I$41,計算用!$AC$14,(MOD(2-計算用!$AA$14+1,4)+1)*2-1),INDEX(組分け!$L$5:$S$41,計算用!$AC$14,(MOD(2-計算用!$AA$14+1,4)+1)*2-1)))&amp;"")</f>
        <v/>
      </c>
      <c r="AM14">
        <f>IF(計算用!$Z$14="","",IF(計算用!$U$24,IF(計算用!$Z$14="A",INDEX(手直し!$B$6:$E$42,計算用!$AC$14,MOD(3-計算用!$AA$14+1,4)+1),INDEX(手直し!$G$6:$J$42,計算用!$AC$14,MOD(3-計算用!$AA$14+1,4)+1)),IF(計算用!$Z$14="A",INDEX(組分け!$B$5:$I$41,計算用!$AC$14,(MOD(3-計算用!$AA$14+1,4)+1)*2-1),INDEX(組分け!$L$5:$S$41,計算用!$AC$14,(MOD(3-計算用!$AA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IF(Z14="","",IFERROR(MOD(MATCH(0,$AF14:$AI14,0)-1-AA14+1,4),""))</f>
        <v/>
      </c>
      <c r="AQ14">
        <f>IF(Z14="","",IFERROR(MOD(MATCH(1,$AF14:$AI14,0)-1-AA14+1,4),""))</f>
        <v/>
      </c>
      <c r="AR14">
        <f>IF(Z14="","",IFERROR(MOD(MATCH(2,$AF14:$AI14,0)-1-AA14+1,4),""))</f>
        <v/>
      </c>
      <c r="AS14">
        <f>IF(Z14="","",IFERROR(MOD(MATCH(3,$AF14:$AI14,0)-1-AA14+1,4),""))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A$15+1,4)+1),INDEX(手直し!$G$6:$J$42,計算用!$AC$15,MOD(0-計算用!$AA$15+1,4)+1)),IF(計算用!$Z$15="A",INDEX(組分け!$B$5:$I$41,計算用!$AC$15,(MOD(0-計算用!$AA$15+1,4)+1)*2-1),INDEX(組分け!$L$5:$S$41,計算用!$AC$15,(MOD(0-計算用!$AA$15+1,4)+1)*2-1)))&amp;"")</f>
        <v/>
      </c>
      <c r="AK15">
        <f>IF(計算用!$Z$15="","",IF(計算用!$U$24,IF(計算用!$Z$15="A",INDEX(手直し!$B$6:$E$42,計算用!$AC$15,MOD(1-計算用!$AA$15+1,4)+1),INDEX(手直し!$G$6:$J$42,計算用!$AC$15,MOD(1-計算用!$AA$15+1,4)+1)),IF(計算用!$Z$15="A",INDEX(組分け!$B$5:$I$41,計算用!$AC$15,(MOD(1-計算用!$AA$15+1,4)+1)*2-1),INDEX(組分け!$L$5:$S$41,計算用!$AC$15,(MOD(1-計算用!$AA$15+1,4)+1)*2-1)))&amp;"")</f>
        <v/>
      </c>
      <c r="AL15">
        <f>IF(計算用!$Z$15="","",IF(計算用!$U$24,IF(計算用!$Z$15="A",INDEX(手直し!$B$6:$E$42,計算用!$AC$15,MOD(2-計算用!$AA$15+1,4)+1),INDEX(手直し!$G$6:$J$42,計算用!$AC$15,MOD(2-計算用!$AA$15+1,4)+1)),IF(計算用!$Z$15="A",INDEX(組分け!$B$5:$I$41,計算用!$AC$15,(MOD(2-計算用!$AA$15+1,4)+1)*2-1),INDEX(組分け!$L$5:$S$41,計算用!$AC$15,(MOD(2-計算用!$AA$15+1,4)+1)*2-1)))&amp;"")</f>
        <v/>
      </c>
      <c r="AM15">
        <f>IF(計算用!$Z$15="","",IF(計算用!$U$24,IF(計算用!$Z$15="A",INDEX(手直し!$B$6:$E$42,計算用!$AC$15,MOD(3-計算用!$AA$15+1,4)+1),INDEX(手直し!$G$6:$J$42,計算用!$AC$15,MOD(3-計算用!$AA$15+1,4)+1)),IF(計算用!$Z$15="A",INDEX(組分け!$B$5:$I$41,計算用!$AC$15,(MOD(3-計算用!$AA$15+1,4)+1)*2-1),INDEX(組分け!$L$5:$S$41,計算用!$AC$15,(MOD(3-計算用!$AA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IF(Z15="","",IFERROR(MOD(MATCH(0,$AF15:$AI15,0)-1-AA15+1,4),""))</f>
        <v/>
      </c>
      <c r="AQ15">
        <f>IF(Z15="","",IFERROR(MOD(MATCH(1,$AF15:$AI15,0)-1-AA15+1,4),""))</f>
        <v/>
      </c>
      <c r="AR15">
        <f>IF(Z15="","",IFERROR(MOD(MATCH(2,$AF15:$AI15,0)-1-AA15+1,4),""))</f>
        <v/>
      </c>
      <c r="AS15">
        <f>IF(Z15="","",IFERROR(MOD(MATCH(3,$AF15:$AI15,0)-1-AA15+1,4),""))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A$16+1,4)+1),INDEX(手直し!$G$6:$J$42,計算用!$AC$16,MOD(0-計算用!$AA$16+1,4)+1)),IF(計算用!$Z$16="A",INDEX(組分け!$B$5:$I$41,計算用!$AC$16,(MOD(0-計算用!$AA$16+1,4)+1)*2-1),INDEX(組分け!$L$5:$S$41,計算用!$AC$16,(MOD(0-計算用!$AA$16+1,4)+1)*2-1)))&amp;"")</f>
        <v/>
      </c>
      <c r="AK16">
        <f>IF(計算用!$Z$16="","",IF(計算用!$U$24,IF(計算用!$Z$16="A",INDEX(手直し!$B$6:$E$42,計算用!$AC$16,MOD(1-計算用!$AA$16+1,4)+1),INDEX(手直し!$G$6:$J$42,計算用!$AC$16,MOD(1-計算用!$AA$16+1,4)+1)),IF(計算用!$Z$16="A",INDEX(組分け!$B$5:$I$41,計算用!$AC$16,(MOD(1-計算用!$AA$16+1,4)+1)*2-1),INDEX(組分け!$L$5:$S$41,計算用!$AC$16,(MOD(1-計算用!$AA$16+1,4)+1)*2-1)))&amp;"")</f>
        <v/>
      </c>
      <c r="AL16">
        <f>IF(計算用!$Z$16="","",IF(計算用!$U$24,IF(計算用!$Z$16="A",INDEX(手直し!$B$6:$E$42,計算用!$AC$16,MOD(2-計算用!$AA$16+1,4)+1),INDEX(手直し!$G$6:$J$42,計算用!$AC$16,MOD(2-計算用!$AA$16+1,4)+1)),IF(計算用!$Z$16="A",INDEX(組分け!$B$5:$I$41,計算用!$AC$16,(MOD(2-計算用!$AA$16+1,4)+1)*2-1),INDEX(組分け!$L$5:$S$41,計算用!$AC$16,(MOD(2-計算用!$AA$16+1,4)+1)*2-1)))&amp;"")</f>
        <v/>
      </c>
      <c r="AM16">
        <f>IF(計算用!$Z$16="","",IF(計算用!$U$24,IF(計算用!$Z$16="A",INDEX(手直し!$B$6:$E$42,計算用!$AC$16,MOD(3-計算用!$AA$16+1,4)+1),INDEX(手直し!$G$6:$J$42,計算用!$AC$16,MOD(3-計算用!$AA$16+1,4)+1)),IF(計算用!$Z$16="A",INDEX(組分け!$B$5:$I$41,計算用!$AC$16,(MOD(3-計算用!$AA$16+1,4)+1)*2-1),INDEX(組分け!$L$5:$S$41,計算用!$AC$16,(MOD(3-計算用!$AA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IF(Z16="","",IFERROR(MOD(MATCH(0,$AF16:$AI16,0)-1-AA16+1,4),""))</f>
        <v/>
      </c>
      <c r="AQ16">
        <f>IF(Z16="","",IFERROR(MOD(MATCH(1,$AF16:$AI16,0)-1-AA16+1,4),""))</f>
        <v/>
      </c>
      <c r="AR16">
        <f>IF(Z16="","",IFERROR(MOD(MATCH(2,$AF16:$AI16,0)-1-AA16+1,4),""))</f>
        <v/>
      </c>
      <c r="AS16">
        <f>IF(Z16="","",IFERROR(MOD(MATCH(3,$AF16:$AI16,0)-1-AA16+1,4),""))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A$17+1,4)+1),INDEX(手直し!$G$6:$J$42,計算用!$AC$17,MOD(0-計算用!$AA$17+1,4)+1)),IF(計算用!$Z$17="A",INDEX(組分け!$B$5:$I$41,計算用!$AC$17,(MOD(0-計算用!$AA$17+1,4)+1)*2-1),INDEX(組分け!$L$5:$S$41,計算用!$AC$17,(MOD(0-計算用!$AA$17+1,4)+1)*2-1)))&amp;"")</f>
        <v/>
      </c>
      <c r="AK17">
        <f>IF(計算用!$Z$17="","",IF(計算用!$U$24,IF(計算用!$Z$17="A",INDEX(手直し!$B$6:$E$42,計算用!$AC$17,MOD(1-計算用!$AA$17+1,4)+1),INDEX(手直し!$G$6:$J$42,計算用!$AC$17,MOD(1-計算用!$AA$17+1,4)+1)),IF(計算用!$Z$17="A",INDEX(組分け!$B$5:$I$41,計算用!$AC$17,(MOD(1-計算用!$AA$17+1,4)+1)*2-1),INDEX(組分け!$L$5:$S$41,計算用!$AC$17,(MOD(1-計算用!$AA$17+1,4)+1)*2-1)))&amp;"")</f>
        <v/>
      </c>
      <c r="AL17">
        <f>IF(計算用!$Z$17="","",IF(計算用!$U$24,IF(計算用!$Z$17="A",INDEX(手直し!$B$6:$E$42,計算用!$AC$17,MOD(2-計算用!$AA$17+1,4)+1),INDEX(手直し!$G$6:$J$42,計算用!$AC$17,MOD(2-計算用!$AA$17+1,4)+1)),IF(計算用!$Z$17="A",INDEX(組分け!$B$5:$I$41,計算用!$AC$17,(MOD(2-計算用!$AA$17+1,4)+1)*2-1),INDEX(組分け!$L$5:$S$41,計算用!$AC$17,(MOD(2-計算用!$AA$17+1,4)+1)*2-1)))&amp;"")</f>
        <v/>
      </c>
      <c r="AM17">
        <f>IF(計算用!$Z$17="","",IF(計算用!$U$24,IF(計算用!$Z$17="A",INDEX(手直し!$B$6:$E$42,計算用!$AC$17,MOD(3-計算用!$AA$17+1,4)+1),INDEX(手直し!$G$6:$J$42,計算用!$AC$17,MOD(3-計算用!$AA$17+1,4)+1)),IF(計算用!$Z$17="A",INDEX(組分け!$B$5:$I$41,計算用!$AC$17,(MOD(3-計算用!$AA$17+1,4)+1)*2-1),INDEX(組分け!$L$5:$S$41,計算用!$AC$17,(MOD(3-計算用!$AA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IF(Z17="","",IFERROR(MOD(MATCH(0,$AF17:$AI17,0)-1-AA17+1,4),""))</f>
        <v/>
      </c>
      <c r="AQ17">
        <f>IF(Z17="","",IFERROR(MOD(MATCH(1,$AF17:$AI17,0)-1-AA17+1,4),""))</f>
        <v/>
      </c>
      <c r="AR17">
        <f>IF(Z17="","",IFERROR(MOD(MATCH(2,$AF17:$AI17,0)-1-AA17+1,4),""))</f>
        <v/>
      </c>
      <c r="AS17">
        <f>IF(Z17="","",IFERROR(MOD(MATCH(3,$AF17:$AI17,0)-1-AA17+1,4),""))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A$18+1,4)+1),INDEX(手直し!$G$6:$J$42,計算用!$AC$18,MOD(0-計算用!$AA$18+1,4)+1)),IF(計算用!$Z$18="A",INDEX(組分け!$B$5:$I$41,計算用!$AC$18,(MOD(0-計算用!$AA$18+1,4)+1)*2-1),INDEX(組分け!$L$5:$S$41,計算用!$AC$18,(MOD(0-計算用!$AA$18+1,4)+1)*2-1)))&amp;"")</f>
        <v/>
      </c>
      <c r="AK18">
        <f>IF(計算用!$Z$18="","",IF(計算用!$U$24,IF(計算用!$Z$18="A",INDEX(手直し!$B$6:$E$42,計算用!$AC$18,MOD(1-計算用!$AA$18+1,4)+1),INDEX(手直し!$G$6:$J$42,計算用!$AC$18,MOD(1-計算用!$AA$18+1,4)+1)),IF(計算用!$Z$18="A",INDEX(組分け!$B$5:$I$41,計算用!$AC$18,(MOD(1-計算用!$AA$18+1,4)+1)*2-1),INDEX(組分け!$L$5:$S$41,計算用!$AC$18,(MOD(1-計算用!$AA$18+1,4)+1)*2-1)))&amp;"")</f>
        <v/>
      </c>
      <c r="AL18">
        <f>IF(計算用!$Z$18="","",IF(計算用!$U$24,IF(計算用!$Z$18="A",INDEX(手直し!$B$6:$E$42,計算用!$AC$18,MOD(2-計算用!$AA$18+1,4)+1),INDEX(手直し!$G$6:$J$42,計算用!$AC$18,MOD(2-計算用!$AA$18+1,4)+1)),IF(計算用!$Z$18="A",INDEX(組分け!$B$5:$I$41,計算用!$AC$18,(MOD(2-計算用!$AA$18+1,4)+1)*2-1),INDEX(組分け!$L$5:$S$41,計算用!$AC$18,(MOD(2-計算用!$AA$18+1,4)+1)*2-1)))&amp;"")</f>
        <v/>
      </c>
      <c r="AM18">
        <f>IF(計算用!$Z$18="","",IF(計算用!$U$24,IF(計算用!$Z$18="A",INDEX(手直し!$B$6:$E$42,計算用!$AC$18,MOD(3-計算用!$AA$18+1,4)+1),INDEX(手直し!$G$6:$J$42,計算用!$AC$18,MOD(3-計算用!$AA$18+1,4)+1)),IF(計算用!$Z$18="A",INDEX(組分け!$B$5:$I$41,計算用!$AC$18,(MOD(3-計算用!$AA$18+1,4)+1)*2-1),INDEX(組分け!$L$5:$S$41,計算用!$AC$18,(MOD(3-計算用!$AA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IF(Z18="","",IFERROR(MOD(MATCH(0,$AF18:$AI18,0)-1-AA18+1,4),""))</f>
        <v/>
      </c>
      <c r="AQ18">
        <f>IF(Z18="","",IFERROR(MOD(MATCH(1,$AF18:$AI18,0)-1-AA18+1,4),""))</f>
        <v/>
      </c>
      <c r="AR18">
        <f>IF(Z18="","",IFERROR(MOD(MATCH(2,$AF18:$AI18,0)-1-AA18+1,4),""))</f>
        <v/>
      </c>
      <c r="AS18">
        <f>IF(Z18="","",IFERROR(MOD(MATCH(3,$AF18:$AI18,0)-1-AA18+1,4),""))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A$19+1,4)+1),INDEX(手直し!$G$6:$J$42,計算用!$AC$19,MOD(0-計算用!$AA$19+1,4)+1)),IF(計算用!$Z$19="A",INDEX(組分け!$B$5:$I$41,計算用!$AC$19,(MOD(0-計算用!$AA$19+1,4)+1)*2-1),INDEX(組分け!$L$5:$S$41,計算用!$AC$19,(MOD(0-計算用!$AA$19+1,4)+1)*2-1)))&amp;"")</f>
        <v/>
      </c>
      <c r="AK19">
        <f>IF(計算用!$Z$19="","",IF(計算用!$U$24,IF(計算用!$Z$19="A",INDEX(手直し!$B$6:$E$42,計算用!$AC$19,MOD(1-計算用!$AA$19+1,4)+1),INDEX(手直し!$G$6:$J$42,計算用!$AC$19,MOD(1-計算用!$AA$19+1,4)+1)),IF(計算用!$Z$19="A",INDEX(組分け!$B$5:$I$41,計算用!$AC$19,(MOD(1-計算用!$AA$19+1,4)+1)*2-1),INDEX(組分け!$L$5:$S$41,計算用!$AC$19,(MOD(1-計算用!$AA$19+1,4)+1)*2-1)))&amp;"")</f>
        <v/>
      </c>
      <c r="AL19">
        <f>IF(計算用!$Z$19="","",IF(計算用!$U$24,IF(計算用!$Z$19="A",INDEX(手直し!$B$6:$E$42,計算用!$AC$19,MOD(2-計算用!$AA$19+1,4)+1),INDEX(手直し!$G$6:$J$42,計算用!$AC$19,MOD(2-計算用!$AA$19+1,4)+1)),IF(計算用!$Z$19="A",INDEX(組分け!$B$5:$I$41,計算用!$AC$19,(MOD(2-計算用!$AA$19+1,4)+1)*2-1),INDEX(組分け!$L$5:$S$41,計算用!$AC$19,(MOD(2-計算用!$AA$19+1,4)+1)*2-1)))&amp;"")</f>
        <v/>
      </c>
      <c r="AM19">
        <f>IF(計算用!$Z$19="","",IF(計算用!$U$24,IF(計算用!$Z$19="A",INDEX(手直し!$B$6:$E$42,計算用!$AC$19,MOD(3-計算用!$AA$19+1,4)+1),INDEX(手直し!$G$6:$J$42,計算用!$AC$19,MOD(3-計算用!$AA$19+1,4)+1)),IF(計算用!$Z$19="A",INDEX(組分け!$B$5:$I$41,計算用!$AC$19,(MOD(3-計算用!$AA$19+1,4)+1)*2-1),INDEX(組分け!$L$5:$S$41,計算用!$AC$19,(MOD(3-計算用!$AA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IF(Z19="","",IFERROR(MOD(MATCH(0,$AF19:$AI19,0)-1-AA19+1,4),""))</f>
        <v/>
      </c>
      <c r="AQ19">
        <f>IF(Z19="","",IFERROR(MOD(MATCH(1,$AF19:$AI19,0)-1-AA19+1,4),""))</f>
        <v/>
      </c>
      <c r="AR19">
        <f>IF(Z19="","",IFERROR(MOD(MATCH(2,$AF19:$AI19,0)-1-AA19+1,4),""))</f>
        <v/>
      </c>
      <c r="AS19">
        <f>IF(Z19="","",IFERROR(MOD(MATCH(3,$AF19:$AI19,0)-1-AA19+1,4),""))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A$20+1,4)+1),INDEX(手直し!$G$6:$J$42,計算用!$AC$20,MOD(0-計算用!$AA$20+1,4)+1)),IF(計算用!$Z$20="A",INDEX(組分け!$B$5:$I$41,計算用!$AC$20,(MOD(0-計算用!$AA$20+1,4)+1)*2-1),INDEX(組分け!$L$5:$S$41,計算用!$AC$20,(MOD(0-計算用!$AA$20+1,4)+1)*2-1)))&amp;"")</f>
        <v/>
      </c>
      <c r="AK20">
        <f>IF(計算用!$Z$20="","",IF(計算用!$U$24,IF(計算用!$Z$20="A",INDEX(手直し!$B$6:$E$42,計算用!$AC$20,MOD(1-計算用!$AA$20+1,4)+1),INDEX(手直し!$G$6:$J$42,計算用!$AC$20,MOD(1-計算用!$AA$20+1,4)+1)),IF(計算用!$Z$20="A",INDEX(組分け!$B$5:$I$41,計算用!$AC$20,(MOD(1-計算用!$AA$20+1,4)+1)*2-1),INDEX(組分け!$L$5:$S$41,計算用!$AC$20,(MOD(1-計算用!$AA$20+1,4)+1)*2-1)))&amp;"")</f>
        <v/>
      </c>
      <c r="AL20">
        <f>IF(計算用!$Z$20="","",IF(計算用!$U$24,IF(計算用!$Z$20="A",INDEX(手直し!$B$6:$E$42,計算用!$AC$20,MOD(2-計算用!$AA$20+1,4)+1),INDEX(手直し!$G$6:$J$42,計算用!$AC$20,MOD(2-計算用!$AA$20+1,4)+1)),IF(計算用!$Z$20="A",INDEX(組分け!$B$5:$I$41,計算用!$AC$20,(MOD(2-計算用!$AA$20+1,4)+1)*2-1),INDEX(組分け!$L$5:$S$41,計算用!$AC$20,(MOD(2-計算用!$AA$20+1,4)+1)*2-1)))&amp;"")</f>
        <v/>
      </c>
      <c r="AM20">
        <f>IF(計算用!$Z$20="","",IF(計算用!$U$24,IF(計算用!$Z$20="A",INDEX(手直し!$B$6:$E$42,計算用!$AC$20,MOD(3-計算用!$AA$20+1,4)+1),INDEX(手直し!$G$6:$J$42,計算用!$AC$20,MOD(3-計算用!$AA$20+1,4)+1)),IF(計算用!$Z$20="A",INDEX(組分け!$B$5:$I$41,計算用!$AC$20,(MOD(3-計算用!$AA$20+1,4)+1)*2-1),INDEX(組分け!$L$5:$S$41,計算用!$AC$20,(MOD(3-計算用!$AA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IF(Z20="","",IFERROR(MOD(MATCH(0,$AF20:$AI20,0)-1-AA20+1,4),""))</f>
        <v/>
      </c>
      <c r="AQ20">
        <f>IF(Z20="","",IFERROR(MOD(MATCH(1,$AF20:$AI20,0)-1-AA20+1,4),""))</f>
        <v/>
      </c>
      <c r="AR20">
        <f>IF(Z20="","",IFERROR(MOD(MATCH(2,$AF20:$AI20,0)-1-AA20+1,4),""))</f>
        <v/>
      </c>
      <c r="AS20">
        <f>IF(Z20="","",IFERROR(MOD(MATCH(3,$AF20:$AI20,0)-1-AA20+1,4),""))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A$21+1,4)+1),INDEX(手直し!$G$6:$J$42,計算用!$AC$21,MOD(0-計算用!$AA$21+1,4)+1)),IF(計算用!$Z$21="A",INDEX(組分け!$B$5:$I$41,計算用!$AC$21,(MOD(0-計算用!$AA$21+1,4)+1)*2-1),INDEX(組分け!$L$5:$S$41,計算用!$AC$21,(MOD(0-計算用!$AA$21+1,4)+1)*2-1)))&amp;"")</f>
        <v/>
      </c>
      <c r="AK21">
        <f>IF(計算用!$Z$21="","",IF(計算用!$U$24,IF(計算用!$Z$21="A",INDEX(手直し!$B$6:$E$42,計算用!$AC$21,MOD(1-計算用!$AA$21+1,4)+1),INDEX(手直し!$G$6:$J$42,計算用!$AC$21,MOD(1-計算用!$AA$21+1,4)+1)),IF(計算用!$Z$21="A",INDEX(組分け!$B$5:$I$41,計算用!$AC$21,(MOD(1-計算用!$AA$21+1,4)+1)*2-1),INDEX(組分け!$L$5:$S$41,計算用!$AC$21,(MOD(1-計算用!$AA$21+1,4)+1)*2-1)))&amp;"")</f>
        <v/>
      </c>
      <c r="AL21">
        <f>IF(計算用!$Z$21="","",IF(計算用!$U$24,IF(計算用!$Z$21="A",INDEX(手直し!$B$6:$E$42,計算用!$AC$21,MOD(2-計算用!$AA$21+1,4)+1),INDEX(手直し!$G$6:$J$42,計算用!$AC$21,MOD(2-計算用!$AA$21+1,4)+1)),IF(計算用!$Z$21="A",INDEX(組分け!$B$5:$I$41,計算用!$AC$21,(MOD(2-計算用!$AA$21+1,4)+1)*2-1),INDEX(組分け!$L$5:$S$41,計算用!$AC$21,(MOD(2-計算用!$AA$21+1,4)+1)*2-1)))&amp;"")</f>
        <v/>
      </c>
      <c r="AM21">
        <f>IF(計算用!$Z$21="","",IF(計算用!$U$24,IF(計算用!$Z$21="A",INDEX(手直し!$B$6:$E$42,計算用!$AC$21,MOD(3-計算用!$AA$21+1,4)+1),INDEX(手直し!$G$6:$J$42,計算用!$AC$21,MOD(3-計算用!$AA$21+1,4)+1)),IF(計算用!$Z$21="A",INDEX(組分け!$B$5:$I$41,計算用!$AC$21,(MOD(3-計算用!$AA$21+1,4)+1)*2-1),INDEX(組分け!$L$5:$S$41,計算用!$AC$21,(MOD(3-計算用!$AA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IF(Z21="","",IFERROR(MOD(MATCH(0,$AF21:$AI21,0)-1-AA21+1,4),""))</f>
        <v/>
      </c>
      <c r="AQ21">
        <f>IF(Z21="","",IFERROR(MOD(MATCH(1,$AF21:$AI21,0)-1-AA21+1,4),""))</f>
        <v/>
      </c>
      <c r="AR21">
        <f>IF(Z21="","",IFERROR(MOD(MATCH(2,$AF21:$AI21,0)-1-AA21+1,4),""))</f>
        <v/>
      </c>
      <c r="AS21">
        <f>IF(Z21="","",IFERROR(MOD(MATCH(3,$AF21:$AI21,0)-1-AA21+1,4),""))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A$22+1,4)+1),INDEX(手直し!$G$6:$J$42,計算用!$AC$22,MOD(0-計算用!$AA$22+1,4)+1)),IF(計算用!$Z$22="A",INDEX(組分け!$B$5:$I$41,計算用!$AC$22,(MOD(0-計算用!$AA$22+1,4)+1)*2-1),INDEX(組分け!$L$5:$S$41,計算用!$AC$22,(MOD(0-計算用!$AA$22+1,4)+1)*2-1)))&amp;"")</f>
        <v/>
      </c>
      <c r="AK22">
        <f>IF(計算用!$Z$22="","",IF(計算用!$U$24,IF(計算用!$Z$22="A",INDEX(手直し!$B$6:$E$42,計算用!$AC$22,MOD(1-計算用!$AA$22+1,4)+1),INDEX(手直し!$G$6:$J$42,計算用!$AC$22,MOD(1-計算用!$AA$22+1,4)+1)),IF(計算用!$Z$22="A",INDEX(組分け!$B$5:$I$41,計算用!$AC$22,(MOD(1-計算用!$AA$22+1,4)+1)*2-1),INDEX(組分け!$L$5:$S$41,計算用!$AC$22,(MOD(1-計算用!$AA$22+1,4)+1)*2-1)))&amp;"")</f>
        <v/>
      </c>
      <c r="AL22">
        <f>IF(計算用!$Z$22="","",IF(計算用!$U$24,IF(計算用!$Z$22="A",INDEX(手直し!$B$6:$E$42,計算用!$AC$22,MOD(2-計算用!$AA$22+1,4)+1),INDEX(手直し!$G$6:$J$42,計算用!$AC$22,MOD(2-計算用!$AA$22+1,4)+1)),IF(計算用!$Z$22="A",INDEX(組分け!$B$5:$I$41,計算用!$AC$22,(MOD(2-計算用!$AA$22+1,4)+1)*2-1),INDEX(組分け!$L$5:$S$41,計算用!$AC$22,(MOD(2-計算用!$AA$22+1,4)+1)*2-1)))&amp;"")</f>
        <v/>
      </c>
      <c r="AM22">
        <f>IF(計算用!$Z$22="","",IF(計算用!$U$24,IF(計算用!$Z$22="A",INDEX(手直し!$B$6:$E$42,計算用!$AC$22,MOD(3-計算用!$AA$22+1,4)+1),INDEX(手直し!$G$6:$J$42,計算用!$AC$22,MOD(3-計算用!$AA$22+1,4)+1)),IF(計算用!$Z$22="A",INDEX(組分け!$B$5:$I$41,計算用!$AC$22,(MOD(3-計算用!$AA$22+1,4)+1)*2-1),INDEX(組分け!$L$5:$S$41,計算用!$AC$22,(MOD(3-計算用!$AA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IF(Z22="","",IFERROR(MOD(MATCH(0,$AF22:$AI22,0)-1-AA22+1,4),""))</f>
        <v/>
      </c>
      <c r="AQ22">
        <f>IF(Z22="","",IFERROR(MOD(MATCH(1,$AF22:$AI22,0)-1-AA22+1,4),""))</f>
        <v/>
      </c>
      <c r="AR22">
        <f>IF(Z22="","",IFERROR(MOD(MATCH(2,$AF22:$AI22,0)-1-AA22+1,4),""))</f>
        <v/>
      </c>
      <c r="AS22">
        <f>IF(Z22="","",IFERROR(MOD(MATCH(3,$AF22:$AI22,0)-1-AA22+1,4),""))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A$23+1,4)+1),INDEX(手直し!$G$6:$J$42,計算用!$AC$23,MOD(0-計算用!$AA$23+1,4)+1)),IF(計算用!$Z$23="A",INDEX(組分け!$B$5:$I$41,計算用!$AC$23,(MOD(0-計算用!$AA$23+1,4)+1)*2-1),INDEX(組分け!$L$5:$S$41,計算用!$AC$23,(MOD(0-計算用!$AA$23+1,4)+1)*2-1)))&amp;"")</f>
        <v/>
      </c>
      <c r="AK23">
        <f>IF(計算用!$Z$23="","",IF(計算用!$U$24,IF(計算用!$Z$23="A",INDEX(手直し!$B$6:$E$42,計算用!$AC$23,MOD(1-計算用!$AA$23+1,4)+1),INDEX(手直し!$G$6:$J$42,計算用!$AC$23,MOD(1-計算用!$AA$23+1,4)+1)),IF(計算用!$Z$23="A",INDEX(組分け!$B$5:$I$41,計算用!$AC$23,(MOD(1-計算用!$AA$23+1,4)+1)*2-1),INDEX(組分け!$L$5:$S$41,計算用!$AC$23,(MOD(1-計算用!$AA$23+1,4)+1)*2-1)))&amp;"")</f>
        <v/>
      </c>
      <c r="AL23">
        <f>IF(計算用!$Z$23="","",IF(計算用!$U$24,IF(計算用!$Z$23="A",INDEX(手直し!$B$6:$E$42,計算用!$AC$23,MOD(2-計算用!$AA$23+1,4)+1),INDEX(手直し!$G$6:$J$42,計算用!$AC$23,MOD(2-計算用!$AA$23+1,4)+1)),IF(計算用!$Z$23="A",INDEX(組分け!$B$5:$I$41,計算用!$AC$23,(MOD(2-計算用!$AA$23+1,4)+1)*2-1),INDEX(組分け!$L$5:$S$41,計算用!$AC$23,(MOD(2-計算用!$AA$23+1,4)+1)*2-1)))&amp;"")</f>
        <v/>
      </c>
      <c r="AM23">
        <f>IF(計算用!$Z$23="","",IF(計算用!$U$24,IF(計算用!$Z$23="A",INDEX(手直し!$B$6:$E$42,計算用!$AC$23,MOD(3-計算用!$AA$23+1,4)+1),INDEX(手直し!$G$6:$J$42,計算用!$AC$23,MOD(3-計算用!$AA$23+1,4)+1)),IF(計算用!$Z$23="A",INDEX(組分け!$B$5:$I$41,計算用!$AC$23,(MOD(3-計算用!$AA$23+1,4)+1)*2-1),INDEX(組分け!$L$5:$S$41,計算用!$AC$23,(MOD(3-計算用!$AA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IF(Z23="","",IFERROR(MOD(MATCH(0,$AF23:$AI23,0)-1-AA23+1,4),""))</f>
        <v/>
      </c>
      <c r="AQ23">
        <f>IF(Z23="","",IFERROR(MOD(MATCH(1,$AF23:$AI23,0)-1-AA23+1,4),""))</f>
        <v/>
      </c>
      <c r="AR23">
        <f>IF(Z23="","",IFERROR(MOD(MATCH(2,$AF23:$AI23,0)-1-AA23+1,4),""))</f>
        <v/>
      </c>
      <c r="AS23">
        <f>IF(Z23="","",IFERROR(MOD(MATCH(3,$AF23:$AI23,0)-1-AA23+1,4),""))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A$24+1,4)+1),INDEX(手直し!$G$6:$J$42,計算用!$AC$24,MOD(0-計算用!$AA$24+1,4)+1)),IF(計算用!$Z$24="A",INDEX(組分け!$B$5:$I$41,計算用!$AC$24,(MOD(0-計算用!$AA$24+1,4)+1)*2-1),INDEX(組分け!$L$5:$S$41,計算用!$AC$24,(MOD(0-計算用!$AA$24+1,4)+1)*2-1)))&amp;"")</f>
        <v/>
      </c>
      <c r="AK24">
        <f>IF(計算用!$Z$24="","",IF(計算用!$U$24,IF(計算用!$Z$24="A",INDEX(手直し!$B$6:$E$42,計算用!$AC$24,MOD(1-計算用!$AA$24+1,4)+1),INDEX(手直し!$G$6:$J$42,計算用!$AC$24,MOD(1-計算用!$AA$24+1,4)+1)),IF(計算用!$Z$24="A",INDEX(組分け!$B$5:$I$41,計算用!$AC$24,(MOD(1-計算用!$AA$24+1,4)+1)*2-1),INDEX(組分け!$L$5:$S$41,計算用!$AC$24,(MOD(1-計算用!$AA$24+1,4)+1)*2-1)))&amp;"")</f>
        <v/>
      </c>
      <c r="AL24">
        <f>IF(計算用!$Z$24="","",IF(計算用!$U$24,IF(計算用!$Z$24="A",INDEX(手直し!$B$6:$E$42,計算用!$AC$24,MOD(2-計算用!$AA$24+1,4)+1),INDEX(手直し!$G$6:$J$42,計算用!$AC$24,MOD(2-計算用!$AA$24+1,4)+1)),IF(計算用!$Z$24="A",INDEX(組分け!$B$5:$I$41,計算用!$AC$24,(MOD(2-計算用!$AA$24+1,4)+1)*2-1),INDEX(組分け!$L$5:$S$41,計算用!$AC$24,(MOD(2-計算用!$AA$24+1,4)+1)*2-1)))&amp;"")</f>
        <v/>
      </c>
      <c r="AM24">
        <f>IF(計算用!$Z$24="","",IF(計算用!$U$24,IF(計算用!$Z$24="A",INDEX(手直し!$B$6:$E$42,計算用!$AC$24,MOD(3-計算用!$AA$24+1,4)+1),INDEX(手直し!$G$6:$J$42,計算用!$AC$24,MOD(3-計算用!$AA$24+1,4)+1)),IF(計算用!$Z$24="A",INDEX(組分け!$B$5:$I$41,計算用!$AC$24,(MOD(3-計算用!$AA$24+1,4)+1)*2-1),INDEX(組分け!$L$5:$S$41,計算用!$AC$24,(MOD(3-計算用!$AA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IF(Z24="","",IFERROR(MOD(MATCH(0,$AF24:$AI24,0)-1-AA24+1,4),""))</f>
        <v/>
      </c>
      <c r="AQ24">
        <f>IF(Z24="","",IFERROR(MOD(MATCH(1,$AF24:$AI24,0)-1-AA24+1,4),""))</f>
        <v/>
      </c>
      <c r="AR24">
        <f>IF(Z24="","",IFERROR(MOD(MATCH(2,$AF24:$AI24,0)-1-AA24+1,4),""))</f>
        <v/>
      </c>
      <c r="AS24">
        <f>IF(Z24="","",IFERROR(MOD(MATCH(3,$AF24:$AI24,0)-1-AA24+1,4),""))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A$25+1,4)+1),INDEX(手直し!$G$6:$J$42,計算用!$AC$25,MOD(0-計算用!$AA$25+1,4)+1)),IF(計算用!$Z$25="A",INDEX(組分け!$B$5:$I$41,計算用!$AC$25,(MOD(0-計算用!$AA$25+1,4)+1)*2-1),INDEX(組分け!$L$5:$S$41,計算用!$AC$25,(MOD(0-計算用!$AA$25+1,4)+1)*2-1)))&amp;"")</f>
        <v/>
      </c>
      <c r="AK25">
        <f>IF(計算用!$Z$25="","",IF(計算用!$U$24,IF(計算用!$Z$25="A",INDEX(手直し!$B$6:$E$42,計算用!$AC$25,MOD(1-計算用!$AA$25+1,4)+1),INDEX(手直し!$G$6:$J$42,計算用!$AC$25,MOD(1-計算用!$AA$25+1,4)+1)),IF(計算用!$Z$25="A",INDEX(組分け!$B$5:$I$41,計算用!$AC$25,(MOD(1-計算用!$AA$25+1,4)+1)*2-1),INDEX(組分け!$L$5:$S$41,計算用!$AC$25,(MOD(1-計算用!$AA$25+1,4)+1)*2-1)))&amp;"")</f>
        <v/>
      </c>
      <c r="AL25">
        <f>IF(計算用!$Z$25="","",IF(計算用!$U$24,IF(計算用!$Z$25="A",INDEX(手直し!$B$6:$E$42,計算用!$AC$25,MOD(2-計算用!$AA$25+1,4)+1),INDEX(手直し!$G$6:$J$42,計算用!$AC$25,MOD(2-計算用!$AA$25+1,4)+1)),IF(計算用!$Z$25="A",INDEX(組分け!$B$5:$I$41,計算用!$AC$25,(MOD(2-計算用!$AA$25+1,4)+1)*2-1),INDEX(組分け!$L$5:$S$41,計算用!$AC$25,(MOD(2-計算用!$AA$25+1,4)+1)*2-1)))&amp;"")</f>
        <v/>
      </c>
      <c r="AM25">
        <f>IF(計算用!$Z$25="","",IF(計算用!$U$24,IF(計算用!$Z$25="A",INDEX(手直し!$B$6:$E$42,計算用!$AC$25,MOD(3-計算用!$AA$25+1,4)+1),INDEX(手直し!$G$6:$J$42,計算用!$AC$25,MOD(3-計算用!$AA$25+1,4)+1)),IF(計算用!$Z$25="A",INDEX(組分け!$B$5:$I$41,計算用!$AC$25,(MOD(3-計算用!$AA$25+1,4)+1)*2-1),INDEX(組分け!$L$5:$S$41,計算用!$AC$25,(MOD(3-計算用!$AA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IF(Z25="","",IFERROR(MOD(MATCH(0,$AF25:$AI25,0)-1-AA25+1,4),""))</f>
        <v/>
      </c>
      <c r="AQ25">
        <f>IF(Z25="","",IFERROR(MOD(MATCH(1,$AF25:$AI25,0)-1-AA25+1,4),""))</f>
        <v/>
      </c>
      <c r="AR25">
        <f>IF(Z25="","",IFERROR(MOD(MATCH(2,$AF25:$AI25,0)-1-AA25+1,4),""))</f>
        <v/>
      </c>
      <c r="AS25">
        <f>IF(Z25="","",IFERROR(MOD(MATCH(3,$AF25:$AI25,0)-1-AA25+1,4),""))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A$26+1,4)+1),INDEX(手直し!$G$6:$J$42,計算用!$AC$26,MOD(0-計算用!$AA$26+1,4)+1)),IF(計算用!$Z$26="A",INDEX(組分け!$B$5:$I$41,計算用!$AC$26,(MOD(0-計算用!$AA$26+1,4)+1)*2-1),INDEX(組分け!$L$5:$S$41,計算用!$AC$26,(MOD(0-計算用!$AA$26+1,4)+1)*2-1)))&amp;"")</f>
        <v/>
      </c>
      <c r="AK26">
        <f>IF(計算用!$Z$26="","",IF(計算用!$U$24,IF(計算用!$Z$26="A",INDEX(手直し!$B$6:$E$42,計算用!$AC$26,MOD(1-計算用!$AA$26+1,4)+1),INDEX(手直し!$G$6:$J$42,計算用!$AC$26,MOD(1-計算用!$AA$26+1,4)+1)),IF(計算用!$Z$26="A",INDEX(組分け!$B$5:$I$41,計算用!$AC$26,(MOD(1-計算用!$AA$26+1,4)+1)*2-1),INDEX(組分け!$L$5:$S$41,計算用!$AC$26,(MOD(1-計算用!$AA$26+1,4)+1)*2-1)))&amp;"")</f>
        <v/>
      </c>
      <c r="AL26">
        <f>IF(計算用!$Z$26="","",IF(計算用!$U$24,IF(計算用!$Z$26="A",INDEX(手直し!$B$6:$E$42,計算用!$AC$26,MOD(2-計算用!$AA$26+1,4)+1),INDEX(手直し!$G$6:$J$42,計算用!$AC$26,MOD(2-計算用!$AA$26+1,4)+1)),IF(計算用!$Z$26="A",INDEX(組分け!$B$5:$I$41,計算用!$AC$26,(MOD(2-計算用!$AA$26+1,4)+1)*2-1),INDEX(組分け!$L$5:$S$41,計算用!$AC$26,(MOD(2-計算用!$AA$26+1,4)+1)*2-1)))&amp;"")</f>
        <v/>
      </c>
      <c r="AM26">
        <f>IF(計算用!$Z$26="","",IF(計算用!$U$24,IF(計算用!$Z$26="A",INDEX(手直し!$B$6:$E$42,計算用!$AC$26,MOD(3-計算用!$AA$26+1,4)+1),INDEX(手直し!$G$6:$J$42,計算用!$AC$26,MOD(3-計算用!$AA$26+1,4)+1)),IF(計算用!$Z$26="A",INDEX(組分け!$B$5:$I$41,計算用!$AC$26,(MOD(3-計算用!$AA$26+1,4)+1)*2-1),INDEX(組分け!$L$5:$S$41,計算用!$AC$26,(MOD(3-計算用!$AA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IF(Z26="","",IFERROR(MOD(MATCH(0,$AF26:$AI26,0)-1-AA26+1,4),""))</f>
        <v/>
      </c>
      <c r="AQ26">
        <f>IF(Z26="","",IFERROR(MOD(MATCH(1,$AF26:$AI26,0)-1-AA26+1,4),""))</f>
        <v/>
      </c>
      <c r="AR26">
        <f>IF(Z26="","",IFERROR(MOD(MATCH(2,$AF26:$AI26,0)-1-AA26+1,4),""))</f>
        <v/>
      </c>
      <c r="AS26">
        <f>IF(Z26="","",IFERROR(MOD(MATCH(3,$AF26:$AI26,0)-1-AA26+1,4),""))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A$27+1,4)+1),INDEX(手直し!$G$6:$J$42,計算用!$AC$27,MOD(0-計算用!$AA$27+1,4)+1)),IF(計算用!$Z$27="A",INDEX(組分け!$B$5:$I$41,計算用!$AC$27,(MOD(0-計算用!$AA$27+1,4)+1)*2-1),INDEX(組分け!$L$5:$S$41,計算用!$AC$27,(MOD(0-計算用!$AA$27+1,4)+1)*2-1)))&amp;"")</f>
        <v/>
      </c>
      <c r="AK27">
        <f>IF(計算用!$Z$27="","",IF(計算用!$U$24,IF(計算用!$Z$27="A",INDEX(手直し!$B$6:$E$42,計算用!$AC$27,MOD(1-計算用!$AA$27+1,4)+1),INDEX(手直し!$G$6:$J$42,計算用!$AC$27,MOD(1-計算用!$AA$27+1,4)+1)),IF(計算用!$Z$27="A",INDEX(組分け!$B$5:$I$41,計算用!$AC$27,(MOD(1-計算用!$AA$27+1,4)+1)*2-1),INDEX(組分け!$L$5:$S$41,計算用!$AC$27,(MOD(1-計算用!$AA$27+1,4)+1)*2-1)))&amp;"")</f>
        <v/>
      </c>
      <c r="AL27">
        <f>IF(計算用!$Z$27="","",IF(計算用!$U$24,IF(計算用!$Z$27="A",INDEX(手直し!$B$6:$E$42,計算用!$AC$27,MOD(2-計算用!$AA$27+1,4)+1),INDEX(手直し!$G$6:$J$42,計算用!$AC$27,MOD(2-計算用!$AA$27+1,4)+1)),IF(計算用!$Z$27="A",INDEX(組分け!$B$5:$I$41,計算用!$AC$27,(MOD(2-計算用!$AA$27+1,4)+1)*2-1),INDEX(組分け!$L$5:$S$41,計算用!$AC$27,(MOD(2-計算用!$AA$27+1,4)+1)*2-1)))&amp;"")</f>
        <v/>
      </c>
      <c r="AM27">
        <f>IF(計算用!$Z$27="","",IF(計算用!$U$24,IF(計算用!$Z$27="A",INDEX(手直し!$B$6:$E$42,計算用!$AC$27,MOD(3-計算用!$AA$27+1,4)+1),INDEX(手直し!$G$6:$J$42,計算用!$AC$27,MOD(3-計算用!$AA$27+1,4)+1)),IF(計算用!$Z$27="A",INDEX(組分け!$B$5:$I$41,計算用!$AC$27,(MOD(3-計算用!$AA$27+1,4)+1)*2-1),INDEX(組分け!$L$5:$S$41,計算用!$AC$27,(MOD(3-計算用!$AA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IF(Z27="","",IFERROR(MOD(MATCH(0,$AF27:$AI27,0)-1-AA27+1,4),""))</f>
        <v/>
      </c>
      <c r="AQ27">
        <f>IF(Z27="","",IFERROR(MOD(MATCH(1,$AF27:$AI27,0)-1-AA27+1,4),""))</f>
        <v/>
      </c>
      <c r="AR27">
        <f>IF(Z27="","",IFERROR(MOD(MATCH(2,$AF27:$AI27,0)-1-AA27+1,4),""))</f>
        <v/>
      </c>
      <c r="AS27">
        <f>IF(Z27="","",IFERROR(MOD(MATCH(3,$AF27:$AI27,0)-1-AA27+1,4),""))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A$28+1,4)+1),INDEX(手直し!$G$6:$J$42,計算用!$AC$28,MOD(0-計算用!$AA$28+1,4)+1)),IF(計算用!$Z$28="A",INDEX(組分け!$B$5:$I$41,計算用!$AC$28,(MOD(0-計算用!$AA$28+1,4)+1)*2-1),INDEX(組分け!$L$5:$S$41,計算用!$AC$28,(MOD(0-計算用!$AA$28+1,4)+1)*2-1)))&amp;"")</f>
        <v/>
      </c>
      <c r="AK28">
        <f>IF(計算用!$Z$28="","",IF(計算用!$U$24,IF(計算用!$Z$28="A",INDEX(手直し!$B$6:$E$42,計算用!$AC$28,MOD(1-計算用!$AA$28+1,4)+1),INDEX(手直し!$G$6:$J$42,計算用!$AC$28,MOD(1-計算用!$AA$28+1,4)+1)),IF(計算用!$Z$28="A",INDEX(組分け!$B$5:$I$41,計算用!$AC$28,(MOD(1-計算用!$AA$28+1,4)+1)*2-1),INDEX(組分け!$L$5:$S$41,計算用!$AC$28,(MOD(1-計算用!$AA$28+1,4)+1)*2-1)))&amp;"")</f>
        <v/>
      </c>
      <c r="AL28">
        <f>IF(計算用!$Z$28="","",IF(計算用!$U$24,IF(計算用!$Z$28="A",INDEX(手直し!$B$6:$E$42,計算用!$AC$28,MOD(2-計算用!$AA$28+1,4)+1),INDEX(手直し!$G$6:$J$42,計算用!$AC$28,MOD(2-計算用!$AA$28+1,4)+1)),IF(計算用!$Z$28="A",INDEX(組分け!$B$5:$I$41,計算用!$AC$28,(MOD(2-計算用!$AA$28+1,4)+1)*2-1),INDEX(組分け!$L$5:$S$41,計算用!$AC$28,(MOD(2-計算用!$AA$28+1,4)+1)*2-1)))&amp;"")</f>
        <v/>
      </c>
      <c r="AM28">
        <f>IF(計算用!$Z$28="","",IF(計算用!$U$24,IF(計算用!$Z$28="A",INDEX(手直し!$B$6:$E$42,計算用!$AC$28,MOD(3-計算用!$AA$28+1,4)+1),INDEX(手直し!$G$6:$J$42,計算用!$AC$28,MOD(3-計算用!$AA$28+1,4)+1)),IF(計算用!$Z$28="A",INDEX(組分け!$B$5:$I$41,計算用!$AC$28,(MOD(3-計算用!$AA$28+1,4)+1)*2-1),INDEX(組分け!$L$5:$S$41,計算用!$AC$28,(MOD(3-計算用!$AA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IF(Z28="","",IFERROR(MOD(MATCH(0,$AF28:$AI28,0)-1-AA28+1,4),""))</f>
        <v/>
      </c>
      <c r="AQ28">
        <f>IF(Z28="","",IFERROR(MOD(MATCH(1,$AF28:$AI28,0)-1-AA28+1,4),""))</f>
        <v/>
      </c>
      <c r="AR28">
        <f>IF(Z28="","",IFERROR(MOD(MATCH(2,$AF28:$AI28,0)-1-AA28+1,4),""))</f>
        <v/>
      </c>
      <c r="AS28">
        <f>IF(Z28="","",IFERROR(MOD(MATCH(3,$AF28:$AI28,0)-1-AA28+1,4),""))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A$29+1,4)+1),INDEX(手直し!$G$6:$J$42,計算用!$AC$29,MOD(0-計算用!$AA$29+1,4)+1)),IF(計算用!$Z$29="A",INDEX(組分け!$B$5:$I$41,計算用!$AC$29,(MOD(0-計算用!$AA$29+1,4)+1)*2-1),INDEX(組分け!$L$5:$S$41,計算用!$AC$29,(MOD(0-計算用!$AA$29+1,4)+1)*2-1)))&amp;"")</f>
        <v/>
      </c>
      <c r="AK29">
        <f>IF(計算用!$Z$29="","",IF(計算用!$U$24,IF(計算用!$Z$29="A",INDEX(手直し!$B$6:$E$42,計算用!$AC$29,MOD(1-計算用!$AA$29+1,4)+1),INDEX(手直し!$G$6:$J$42,計算用!$AC$29,MOD(1-計算用!$AA$29+1,4)+1)),IF(計算用!$Z$29="A",INDEX(組分け!$B$5:$I$41,計算用!$AC$29,(MOD(1-計算用!$AA$29+1,4)+1)*2-1),INDEX(組分け!$L$5:$S$41,計算用!$AC$29,(MOD(1-計算用!$AA$29+1,4)+1)*2-1)))&amp;"")</f>
        <v/>
      </c>
      <c r="AL29">
        <f>IF(計算用!$Z$29="","",IF(計算用!$U$24,IF(計算用!$Z$29="A",INDEX(手直し!$B$6:$E$42,計算用!$AC$29,MOD(2-計算用!$AA$29+1,4)+1),INDEX(手直し!$G$6:$J$42,計算用!$AC$29,MOD(2-計算用!$AA$29+1,4)+1)),IF(計算用!$Z$29="A",INDEX(組分け!$B$5:$I$41,計算用!$AC$29,(MOD(2-計算用!$AA$29+1,4)+1)*2-1),INDEX(組分け!$L$5:$S$41,計算用!$AC$29,(MOD(2-計算用!$AA$29+1,4)+1)*2-1)))&amp;"")</f>
        <v/>
      </c>
      <c r="AM29">
        <f>IF(計算用!$Z$29="","",IF(計算用!$U$24,IF(計算用!$Z$29="A",INDEX(手直し!$B$6:$E$42,計算用!$AC$29,MOD(3-計算用!$AA$29+1,4)+1),INDEX(手直し!$G$6:$J$42,計算用!$AC$29,MOD(3-計算用!$AA$29+1,4)+1)),IF(計算用!$Z$29="A",INDEX(組分け!$B$5:$I$41,計算用!$AC$29,(MOD(3-計算用!$AA$29+1,4)+1)*2-1),INDEX(組分け!$L$5:$S$41,計算用!$AC$29,(MOD(3-計算用!$AA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IF(Z29="","",IFERROR(MOD(MATCH(0,$AF29:$AI29,0)-1-AA29+1,4),""))</f>
        <v/>
      </c>
      <c r="AQ29">
        <f>IF(Z29="","",IFERROR(MOD(MATCH(1,$AF29:$AI29,0)-1-AA29+1,4),""))</f>
        <v/>
      </c>
      <c r="AR29">
        <f>IF(Z29="","",IFERROR(MOD(MATCH(2,$AF29:$AI29,0)-1-AA29+1,4),""))</f>
        <v/>
      </c>
      <c r="AS29">
        <f>IF(Z29="","",IFERROR(MOD(MATCH(3,$AF29:$AI29,0)-1-AA29+1,4),""))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A$30+1,4)+1),INDEX(手直し!$G$6:$J$42,計算用!$AC$30,MOD(0-計算用!$AA$30+1,4)+1)),IF(計算用!$Z$30="A",INDEX(組分け!$B$5:$I$41,計算用!$AC$30,(MOD(0-計算用!$AA$30+1,4)+1)*2-1),INDEX(組分け!$L$5:$S$41,計算用!$AC$30,(MOD(0-計算用!$AA$30+1,4)+1)*2-1)))&amp;"")</f>
        <v/>
      </c>
      <c r="AK30">
        <f>IF(計算用!$Z$30="","",IF(計算用!$U$24,IF(計算用!$Z$30="A",INDEX(手直し!$B$6:$E$42,計算用!$AC$30,MOD(1-計算用!$AA$30+1,4)+1),INDEX(手直し!$G$6:$J$42,計算用!$AC$30,MOD(1-計算用!$AA$30+1,4)+1)),IF(計算用!$Z$30="A",INDEX(組分け!$B$5:$I$41,計算用!$AC$30,(MOD(1-計算用!$AA$30+1,4)+1)*2-1),INDEX(組分け!$L$5:$S$41,計算用!$AC$30,(MOD(1-計算用!$AA$30+1,4)+1)*2-1)))&amp;"")</f>
        <v/>
      </c>
      <c r="AL30">
        <f>IF(計算用!$Z$30="","",IF(計算用!$U$24,IF(計算用!$Z$30="A",INDEX(手直し!$B$6:$E$42,計算用!$AC$30,MOD(2-計算用!$AA$30+1,4)+1),INDEX(手直し!$G$6:$J$42,計算用!$AC$30,MOD(2-計算用!$AA$30+1,4)+1)),IF(計算用!$Z$30="A",INDEX(組分け!$B$5:$I$41,計算用!$AC$30,(MOD(2-計算用!$AA$30+1,4)+1)*2-1),INDEX(組分け!$L$5:$S$41,計算用!$AC$30,(MOD(2-計算用!$AA$30+1,4)+1)*2-1)))&amp;"")</f>
        <v/>
      </c>
      <c r="AM30">
        <f>IF(計算用!$Z$30="","",IF(計算用!$U$24,IF(計算用!$Z$30="A",INDEX(手直し!$B$6:$E$42,計算用!$AC$30,MOD(3-計算用!$AA$30+1,4)+1),INDEX(手直し!$G$6:$J$42,計算用!$AC$30,MOD(3-計算用!$AA$30+1,4)+1)),IF(計算用!$Z$30="A",INDEX(組分け!$B$5:$I$41,計算用!$AC$30,(MOD(3-計算用!$AA$30+1,4)+1)*2-1),INDEX(組分け!$L$5:$S$41,計算用!$AC$30,(MOD(3-計算用!$AA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IF(Z30="","",IFERROR(MOD(MATCH(0,$AF30:$AI30,0)-1-AA30+1,4),""))</f>
        <v/>
      </c>
      <c r="AQ30">
        <f>IF(Z30="","",IFERROR(MOD(MATCH(1,$AF30:$AI30,0)-1-AA30+1,4),""))</f>
        <v/>
      </c>
      <c r="AR30">
        <f>IF(Z30="","",IFERROR(MOD(MATCH(2,$AF30:$AI30,0)-1-AA30+1,4),""))</f>
        <v/>
      </c>
      <c r="AS30">
        <f>IF(Z30="","",IFERROR(MOD(MATCH(3,$AF30:$AI30,0)-1-AA30+1,4),""))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A$31+1,4)+1),INDEX(手直し!$G$6:$J$42,計算用!$AC$31,MOD(0-計算用!$AA$31+1,4)+1)),IF(計算用!$Z$31="A",INDEX(組分け!$B$5:$I$41,計算用!$AC$31,(MOD(0-計算用!$AA$31+1,4)+1)*2-1),INDEX(組分け!$L$5:$S$41,計算用!$AC$31,(MOD(0-計算用!$AA$31+1,4)+1)*2-1)))&amp;"")</f>
        <v/>
      </c>
      <c r="AK31">
        <f>IF(計算用!$Z$31="","",IF(計算用!$U$24,IF(計算用!$Z$31="A",INDEX(手直し!$B$6:$E$42,計算用!$AC$31,MOD(1-計算用!$AA$31+1,4)+1),INDEX(手直し!$G$6:$J$42,計算用!$AC$31,MOD(1-計算用!$AA$31+1,4)+1)),IF(計算用!$Z$31="A",INDEX(組分け!$B$5:$I$41,計算用!$AC$31,(MOD(1-計算用!$AA$31+1,4)+1)*2-1),INDEX(組分け!$L$5:$S$41,計算用!$AC$31,(MOD(1-計算用!$AA$31+1,4)+1)*2-1)))&amp;"")</f>
        <v/>
      </c>
      <c r="AL31">
        <f>IF(計算用!$Z$31="","",IF(計算用!$U$24,IF(計算用!$Z$31="A",INDEX(手直し!$B$6:$E$42,計算用!$AC$31,MOD(2-計算用!$AA$31+1,4)+1),INDEX(手直し!$G$6:$J$42,計算用!$AC$31,MOD(2-計算用!$AA$31+1,4)+1)),IF(計算用!$Z$31="A",INDEX(組分け!$B$5:$I$41,計算用!$AC$31,(MOD(2-計算用!$AA$31+1,4)+1)*2-1),INDEX(組分け!$L$5:$S$41,計算用!$AC$31,(MOD(2-計算用!$AA$31+1,4)+1)*2-1)))&amp;"")</f>
        <v/>
      </c>
      <c r="AM31">
        <f>IF(計算用!$Z$31="","",IF(計算用!$U$24,IF(計算用!$Z$31="A",INDEX(手直し!$B$6:$E$42,計算用!$AC$31,MOD(3-計算用!$AA$31+1,4)+1),INDEX(手直し!$G$6:$J$42,計算用!$AC$31,MOD(3-計算用!$AA$31+1,4)+1)),IF(計算用!$Z$31="A",INDEX(組分け!$B$5:$I$41,計算用!$AC$31,(MOD(3-計算用!$AA$31+1,4)+1)*2-1),INDEX(組分け!$L$5:$S$41,計算用!$AC$31,(MOD(3-計算用!$AA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IF(Z31="","",IFERROR(MOD(MATCH(0,$AF31:$AI31,0)-1-AA31+1,4),""))</f>
        <v/>
      </c>
      <c r="AQ31">
        <f>IF(Z31="","",IFERROR(MOD(MATCH(1,$AF31:$AI31,0)-1-AA31+1,4),""))</f>
        <v/>
      </c>
      <c r="AR31">
        <f>IF(Z31="","",IFERROR(MOD(MATCH(2,$AF31:$AI31,0)-1-AA31+1,4),""))</f>
        <v/>
      </c>
      <c r="AS31">
        <f>IF(Z31="","",IFERROR(MOD(MATCH(3,$AF31:$AI31,0)-1-AA31+1,4),""))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A$32+1,4)+1),INDEX(手直し!$G$6:$J$42,計算用!$AC$32,MOD(0-計算用!$AA$32+1,4)+1)),IF(計算用!$Z$32="A",INDEX(組分け!$B$5:$I$41,計算用!$AC$32,(MOD(0-計算用!$AA$32+1,4)+1)*2-1),INDEX(組分け!$L$5:$S$41,計算用!$AC$32,(MOD(0-計算用!$AA$32+1,4)+1)*2-1)))&amp;"")</f>
        <v/>
      </c>
      <c r="AK32">
        <f>IF(計算用!$Z$32="","",IF(計算用!$U$24,IF(計算用!$Z$32="A",INDEX(手直し!$B$6:$E$42,計算用!$AC$32,MOD(1-計算用!$AA$32+1,4)+1),INDEX(手直し!$G$6:$J$42,計算用!$AC$32,MOD(1-計算用!$AA$32+1,4)+1)),IF(計算用!$Z$32="A",INDEX(組分け!$B$5:$I$41,計算用!$AC$32,(MOD(1-計算用!$AA$32+1,4)+1)*2-1),INDEX(組分け!$L$5:$S$41,計算用!$AC$32,(MOD(1-計算用!$AA$32+1,4)+1)*2-1)))&amp;"")</f>
        <v/>
      </c>
      <c r="AL32">
        <f>IF(計算用!$Z$32="","",IF(計算用!$U$24,IF(計算用!$Z$32="A",INDEX(手直し!$B$6:$E$42,計算用!$AC$32,MOD(2-計算用!$AA$32+1,4)+1),INDEX(手直し!$G$6:$J$42,計算用!$AC$32,MOD(2-計算用!$AA$32+1,4)+1)),IF(計算用!$Z$32="A",INDEX(組分け!$B$5:$I$41,計算用!$AC$32,(MOD(2-計算用!$AA$32+1,4)+1)*2-1),INDEX(組分け!$L$5:$S$41,計算用!$AC$32,(MOD(2-計算用!$AA$32+1,4)+1)*2-1)))&amp;"")</f>
        <v/>
      </c>
      <c r="AM32">
        <f>IF(計算用!$Z$32="","",IF(計算用!$U$24,IF(計算用!$Z$32="A",INDEX(手直し!$B$6:$E$42,計算用!$AC$32,MOD(3-計算用!$AA$32+1,4)+1),INDEX(手直し!$G$6:$J$42,計算用!$AC$32,MOD(3-計算用!$AA$32+1,4)+1)),IF(計算用!$Z$32="A",INDEX(組分け!$B$5:$I$41,計算用!$AC$32,(MOD(3-計算用!$AA$32+1,4)+1)*2-1),INDEX(組分け!$L$5:$S$41,計算用!$AC$32,(MOD(3-計算用!$AA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IF(Z32="","",IFERROR(MOD(MATCH(0,$AF32:$AI32,0)-1-AA32+1,4),""))</f>
        <v/>
      </c>
      <c r="AQ32">
        <f>IF(Z32="","",IFERROR(MOD(MATCH(1,$AF32:$AI32,0)-1-AA32+1,4),""))</f>
        <v/>
      </c>
      <c r="AR32">
        <f>IF(Z32="","",IFERROR(MOD(MATCH(2,$AF32:$AI32,0)-1-AA32+1,4),""))</f>
        <v/>
      </c>
      <c r="AS32">
        <f>IF(Z32="","",IFERROR(MOD(MATCH(3,$AF32:$AI32,0)-1-AA32+1,4),""))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A$33+1,4)+1),INDEX(手直し!$G$6:$J$42,計算用!$AC$33,MOD(0-計算用!$AA$33+1,4)+1)),IF(計算用!$Z$33="A",INDEX(組分け!$B$5:$I$41,計算用!$AC$33,(MOD(0-計算用!$AA$33+1,4)+1)*2-1),INDEX(組分け!$L$5:$S$41,計算用!$AC$33,(MOD(0-計算用!$AA$33+1,4)+1)*2-1)))&amp;"")</f>
        <v/>
      </c>
      <c r="AK33">
        <f>IF(計算用!$Z$33="","",IF(計算用!$U$24,IF(計算用!$Z$33="A",INDEX(手直し!$B$6:$E$42,計算用!$AC$33,MOD(1-計算用!$AA$33+1,4)+1),INDEX(手直し!$G$6:$J$42,計算用!$AC$33,MOD(1-計算用!$AA$33+1,4)+1)),IF(計算用!$Z$33="A",INDEX(組分け!$B$5:$I$41,計算用!$AC$33,(MOD(1-計算用!$AA$33+1,4)+1)*2-1),INDEX(組分け!$L$5:$S$41,計算用!$AC$33,(MOD(1-計算用!$AA$33+1,4)+1)*2-1)))&amp;"")</f>
        <v/>
      </c>
      <c r="AL33">
        <f>IF(計算用!$Z$33="","",IF(計算用!$U$24,IF(計算用!$Z$33="A",INDEX(手直し!$B$6:$E$42,計算用!$AC$33,MOD(2-計算用!$AA$33+1,4)+1),INDEX(手直し!$G$6:$J$42,計算用!$AC$33,MOD(2-計算用!$AA$33+1,4)+1)),IF(計算用!$Z$33="A",INDEX(組分け!$B$5:$I$41,計算用!$AC$33,(MOD(2-計算用!$AA$33+1,4)+1)*2-1),INDEX(組分け!$L$5:$S$41,計算用!$AC$33,(MOD(2-計算用!$AA$33+1,4)+1)*2-1)))&amp;"")</f>
        <v/>
      </c>
      <c r="AM33">
        <f>IF(計算用!$Z$33="","",IF(計算用!$U$24,IF(計算用!$Z$33="A",INDEX(手直し!$B$6:$E$42,計算用!$AC$33,MOD(3-計算用!$AA$33+1,4)+1),INDEX(手直し!$G$6:$J$42,計算用!$AC$33,MOD(3-計算用!$AA$33+1,4)+1)),IF(計算用!$Z$33="A",INDEX(組分け!$B$5:$I$41,計算用!$AC$33,(MOD(3-計算用!$AA$33+1,4)+1)*2-1),INDEX(組分け!$L$5:$S$41,計算用!$AC$33,(MOD(3-計算用!$AA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IF(Z33="","",IFERROR(MOD(MATCH(0,$AF33:$AI33,0)-1-AA33+1,4),""))</f>
        <v/>
      </c>
      <c r="AQ33">
        <f>IF(Z33="","",IFERROR(MOD(MATCH(1,$AF33:$AI33,0)-1-AA33+1,4),""))</f>
        <v/>
      </c>
      <c r="AR33">
        <f>IF(Z33="","",IFERROR(MOD(MATCH(2,$AF33:$AI33,0)-1-AA33+1,4),""))</f>
        <v/>
      </c>
      <c r="AS33">
        <f>IF(Z33="","",IFERROR(MOD(MATCH(3,$AF33:$AI33,0)-1-AA33+1,4),""))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A$34+1,4)+1),INDEX(手直し!$G$6:$J$42,計算用!$AC$34,MOD(0-計算用!$AA$34+1,4)+1)),IF(計算用!$Z$34="A",INDEX(組分け!$B$5:$I$41,計算用!$AC$34,(MOD(0-計算用!$AA$34+1,4)+1)*2-1),INDEX(組分け!$L$5:$S$41,計算用!$AC$34,(MOD(0-計算用!$AA$34+1,4)+1)*2-1)))&amp;"")</f>
        <v/>
      </c>
      <c r="AK34">
        <f>IF(計算用!$Z$34="","",IF(計算用!$U$24,IF(計算用!$Z$34="A",INDEX(手直し!$B$6:$E$42,計算用!$AC$34,MOD(1-計算用!$AA$34+1,4)+1),INDEX(手直し!$G$6:$J$42,計算用!$AC$34,MOD(1-計算用!$AA$34+1,4)+1)),IF(計算用!$Z$34="A",INDEX(組分け!$B$5:$I$41,計算用!$AC$34,(MOD(1-計算用!$AA$34+1,4)+1)*2-1),INDEX(組分け!$L$5:$S$41,計算用!$AC$34,(MOD(1-計算用!$AA$34+1,4)+1)*2-1)))&amp;"")</f>
        <v/>
      </c>
      <c r="AL34">
        <f>IF(計算用!$Z$34="","",IF(計算用!$U$24,IF(計算用!$Z$34="A",INDEX(手直し!$B$6:$E$42,計算用!$AC$34,MOD(2-計算用!$AA$34+1,4)+1),INDEX(手直し!$G$6:$J$42,計算用!$AC$34,MOD(2-計算用!$AA$34+1,4)+1)),IF(計算用!$Z$34="A",INDEX(組分け!$B$5:$I$41,計算用!$AC$34,(MOD(2-計算用!$AA$34+1,4)+1)*2-1),INDEX(組分け!$L$5:$S$41,計算用!$AC$34,(MOD(2-計算用!$AA$34+1,4)+1)*2-1)))&amp;"")</f>
        <v/>
      </c>
      <c r="AM34">
        <f>IF(計算用!$Z$34="","",IF(計算用!$U$24,IF(計算用!$Z$34="A",INDEX(手直し!$B$6:$E$42,計算用!$AC$34,MOD(3-計算用!$AA$34+1,4)+1),INDEX(手直し!$G$6:$J$42,計算用!$AC$34,MOD(3-計算用!$AA$34+1,4)+1)),IF(計算用!$Z$34="A",INDEX(組分け!$B$5:$I$41,計算用!$AC$34,(MOD(3-計算用!$AA$34+1,4)+1)*2-1),INDEX(組分け!$L$5:$S$41,計算用!$AC$34,(MOD(3-計算用!$AA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IF(Z34="","",IFERROR(MOD(MATCH(0,$AF34:$AI34,0)-1-AA34+1,4),""))</f>
        <v/>
      </c>
      <c r="AQ34">
        <f>IF(Z34="","",IFERROR(MOD(MATCH(1,$AF34:$AI34,0)-1-AA34+1,4),""))</f>
        <v/>
      </c>
      <c r="AR34">
        <f>IF(Z34="","",IFERROR(MOD(MATCH(2,$AF34:$AI34,0)-1-AA34+1,4),""))</f>
        <v/>
      </c>
      <c r="AS34">
        <f>IF(Z34="","",IFERROR(MOD(MATCH(3,$AF34:$AI34,0)-1-AA34+1,4),""))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A$35+1,4)+1),INDEX(手直し!$G$6:$J$42,計算用!$AC$35,MOD(0-計算用!$AA$35+1,4)+1)),IF(計算用!$Z$35="A",INDEX(組分け!$B$5:$I$41,計算用!$AC$35,(MOD(0-計算用!$AA$35+1,4)+1)*2-1),INDEX(組分け!$L$5:$S$41,計算用!$AC$35,(MOD(0-計算用!$AA$35+1,4)+1)*2-1)))&amp;"")</f>
        <v/>
      </c>
      <c r="AK35">
        <f>IF(計算用!$Z$35="","",IF(計算用!$U$24,IF(計算用!$Z$35="A",INDEX(手直し!$B$6:$E$42,計算用!$AC$35,MOD(1-計算用!$AA$35+1,4)+1),INDEX(手直し!$G$6:$J$42,計算用!$AC$35,MOD(1-計算用!$AA$35+1,4)+1)),IF(計算用!$Z$35="A",INDEX(組分け!$B$5:$I$41,計算用!$AC$35,(MOD(1-計算用!$AA$35+1,4)+1)*2-1),INDEX(組分け!$L$5:$S$41,計算用!$AC$35,(MOD(1-計算用!$AA$35+1,4)+1)*2-1)))&amp;"")</f>
        <v/>
      </c>
      <c r="AL35">
        <f>IF(計算用!$Z$35="","",IF(計算用!$U$24,IF(計算用!$Z$35="A",INDEX(手直し!$B$6:$E$42,計算用!$AC$35,MOD(2-計算用!$AA$35+1,4)+1),INDEX(手直し!$G$6:$J$42,計算用!$AC$35,MOD(2-計算用!$AA$35+1,4)+1)),IF(計算用!$Z$35="A",INDEX(組分け!$B$5:$I$41,計算用!$AC$35,(MOD(2-計算用!$AA$35+1,4)+1)*2-1),INDEX(組分け!$L$5:$S$41,計算用!$AC$35,(MOD(2-計算用!$AA$35+1,4)+1)*2-1)))&amp;"")</f>
        <v/>
      </c>
      <c r="AM35">
        <f>IF(計算用!$Z$35="","",IF(計算用!$U$24,IF(計算用!$Z$35="A",INDEX(手直し!$B$6:$E$42,計算用!$AC$35,MOD(3-計算用!$AA$35+1,4)+1),INDEX(手直し!$G$6:$J$42,計算用!$AC$35,MOD(3-計算用!$AA$35+1,4)+1)),IF(計算用!$Z$35="A",INDEX(組分け!$B$5:$I$41,計算用!$AC$35,(MOD(3-計算用!$AA$35+1,4)+1)*2-1),INDEX(組分け!$L$5:$S$41,計算用!$AC$35,(MOD(3-計算用!$AA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IF(Z35="","",IFERROR(MOD(MATCH(0,$AF35:$AI35,0)-1-AA35+1,4),""))</f>
        <v/>
      </c>
      <c r="AQ35">
        <f>IF(Z35="","",IFERROR(MOD(MATCH(1,$AF35:$AI35,0)-1-AA35+1,4),""))</f>
        <v/>
      </c>
      <c r="AR35">
        <f>IF(Z35="","",IFERROR(MOD(MATCH(2,$AF35:$AI35,0)-1-AA35+1,4),""))</f>
        <v/>
      </c>
      <c r="AS35">
        <f>IF(Z35="","",IFERROR(MOD(MATCH(3,$AF35:$AI35,0)-1-AA35+1,4),""))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A$36+1,4)+1),INDEX(手直し!$G$6:$J$42,計算用!$AC$36,MOD(0-計算用!$AA$36+1,4)+1)),IF(計算用!$Z$36="A",INDEX(組分け!$B$5:$I$41,計算用!$AC$36,(MOD(0-計算用!$AA$36+1,4)+1)*2-1),INDEX(組分け!$L$5:$S$41,計算用!$AC$36,(MOD(0-計算用!$AA$36+1,4)+1)*2-1)))&amp;"")</f>
        <v/>
      </c>
      <c r="AK36">
        <f>IF(計算用!$Z$36="","",IF(計算用!$U$24,IF(計算用!$Z$36="A",INDEX(手直し!$B$6:$E$42,計算用!$AC$36,MOD(1-計算用!$AA$36+1,4)+1),INDEX(手直し!$G$6:$J$42,計算用!$AC$36,MOD(1-計算用!$AA$36+1,4)+1)),IF(計算用!$Z$36="A",INDEX(組分け!$B$5:$I$41,計算用!$AC$36,(MOD(1-計算用!$AA$36+1,4)+1)*2-1),INDEX(組分け!$L$5:$S$41,計算用!$AC$36,(MOD(1-計算用!$AA$36+1,4)+1)*2-1)))&amp;"")</f>
        <v/>
      </c>
      <c r="AL36">
        <f>IF(計算用!$Z$36="","",IF(計算用!$U$24,IF(計算用!$Z$36="A",INDEX(手直し!$B$6:$E$42,計算用!$AC$36,MOD(2-計算用!$AA$36+1,4)+1),INDEX(手直し!$G$6:$J$42,計算用!$AC$36,MOD(2-計算用!$AA$36+1,4)+1)),IF(計算用!$Z$36="A",INDEX(組分け!$B$5:$I$41,計算用!$AC$36,(MOD(2-計算用!$AA$36+1,4)+1)*2-1),INDEX(組分け!$L$5:$S$41,計算用!$AC$36,(MOD(2-計算用!$AA$36+1,4)+1)*2-1)))&amp;"")</f>
        <v/>
      </c>
      <c r="AM36">
        <f>IF(計算用!$Z$36="","",IF(計算用!$U$24,IF(計算用!$Z$36="A",INDEX(手直し!$B$6:$E$42,計算用!$AC$36,MOD(3-計算用!$AA$36+1,4)+1),INDEX(手直し!$G$6:$J$42,計算用!$AC$36,MOD(3-計算用!$AA$36+1,4)+1)),IF(計算用!$Z$36="A",INDEX(組分け!$B$5:$I$41,計算用!$AC$36,(MOD(3-計算用!$AA$36+1,4)+1)*2-1),INDEX(組分け!$L$5:$S$41,計算用!$AC$36,(MOD(3-計算用!$AA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IF(Z36="","",IFERROR(MOD(MATCH(0,$AF36:$AI36,0)-1-AA36+1,4),""))</f>
        <v/>
      </c>
      <c r="AQ36">
        <f>IF(Z36="","",IFERROR(MOD(MATCH(1,$AF36:$AI36,0)-1-AA36+1,4),""))</f>
        <v/>
      </c>
      <c r="AR36">
        <f>IF(Z36="","",IFERROR(MOD(MATCH(2,$AF36:$AI36,0)-1-AA36+1,4),""))</f>
        <v/>
      </c>
      <c r="AS36">
        <f>IF(Z36="","",IFERROR(MOD(MATCH(3,$AF36:$AI36,0)-1-AA36+1,4),""))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A$37+1,4)+1),INDEX(手直し!$G$6:$J$42,計算用!$AC$37,MOD(0-計算用!$AA$37+1,4)+1)),IF(計算用!$Z$37="A",INDEX(組分け!$B$5:$I$41,計算用!$AC$37,(MOD(0-計算用!$AA$37+1,4)+1)*2-1),INDEX(組分け!$L$5:$S$41,計算用!$AC$37,(MOD(0-計算用!$AA$37+1,4)+1)*2-1)))&amp;"")</f>
        <v/>
      </c>
      <c r="AK37">
        <f>IF(計算用!$Z$37="","",IF(計算用!$U$24,IF(計算用!$Z$37="A",INDEX(手直し!$B$6:$E$42,計算用!$AC$37,MOD(1-計算用!$AA$37+1,4)+1),INDEX(手直し!$G$6:$J$42,計算用!$AC$37,MOD(1-計算用!$AA$37+1,4)+1)),IF(計算用!$Z$37="A",INDEX(組分け!$B$5:$I$41,計算用!$AC$37,(MOD(1-計算用!$AA$37+1,4)+1)*2-1),INDEX(組分け!$L$5:$S$41,計算用!$AC$37,(MOD(1-計算用!$AA$37+1,4)+1)*2-1)))&amp;"")</f>
        <v/>
      </c>
      <c r="AL37">
        <f>IF(計算用!$Z$37="","",IF(計算用!$U$24,IF(計算用!$Z$37="A",INDEX(手直し!$B$6:$E$42,計算用!$AC$37,MOD(2-計算用!$AA$37+1,4)+1),INDEX(手直し!$G$6:$J$42,計算用!$AC$37,MOD(2-計算用!$AA$37+1,4)+1)),IF(計算用!$Z$37="A",INDEX(組分け!$B$5:$I$41,計算用!$AC$37,(MOD(2-計算用!$AA$37+1,4)+1)*2-1),INDEX(組分け!$L$5:$S$41,計算用!$AC$37,(MOD(2-計算用!$AA$37+1,4)+1)*2-1)))&amp;"")</f>
        <v/>
      </c>
      <c r="AM37">
        <f>IF(計算用!$Z$37="","",IF(計算用!$U$24,IF(計算用!$Z$37="A",INDEX(手直し!$B$6:$E$42,計算用!$AC$37,MOD(3-計算用!$AA$37+1,4)+1),INDEX(手直し!$G$6:$J$42,計算用!$AC$37,MOD(3-計算用!$AA$37+1,4)+1)),IF(計算用!$Z$37="A",INDEX(組分け!$B$5:$I$41,計算用!$AC$37,(MOD(3-計算用!$AA$37+1,4)+1)*2-1),INDEX(組分け!$L$5:$S$41,計算用!$AC$37,(MOD(3-計算用!$AA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IF(Z37="","",IFERROR(MOD(MATCH(0,$AF37:$AI37,0)-1-AA37+1,4),""))</f>
        <v/>
      </c>
      <c r="AQ37">
        <f>IF(Z37="","",IFERROR(MOD(MATCH(1,$AF37:$AI37,0)-1-AA37+1,4),""))</f>
        <v/>
      </c>
      <c r="AR37">
        <f>IF(Z37="","",IFERROR(MOD(MATCH(2,$AF37:$AI37,0)-1-AA37+1,4),""))</f>
        <v/>
      </c>
      <c r="AS37">
        <f>IF(Z37="","",IFERROR(MOD(MATCH(3,$AF37:$AI37,0)-1-AA37+1,4),""))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A$38+1,4)+1),INDEX(手直し!$G$6:$J$42,計算用!$AC$38,MOD(0-計算用!$AA$38+1,4)+1)),IF(計算用!$Z$38="A",INDEX(組分け!$B$5:$I$41,計算用!$AC$38,(MOD(0-計算用!$AA$38+1,4)+1)*2-1),INDEX(組分け!$L$5:$S$41,計算用!$AC$38,(MOD(0-計算用!$AA$38+1,4)+1)*2-1)))&amp;"")</f>
        <v/>
      </c>
      <c r="AK38">
        <f>IF(計算用!$Z$38="","",IF(計算用!$U$24,IF(計算用!$Z$38="A",INDEX(手直し!$B$6:$E$42,計算用!$AC$38,MOD(1-計算用!$AA$38+1,4)+1),INDEX(手直し!$G$6:$J$42,計算用!$AC$38,MOD(1-計算用!$AA$38+1,4)+1)),IF(計算用!$Z$38="A",INDEX(組分け!$B$5:$I$41,計算用!$AC$38,(MOD(1-計算用!$AA$38+1,4)+1)*2-1),INDEX(組分け!$L$5:$S$41,計算用!$AC$38,(MOD(1-計算用!$AA$38+1,4)+1)*2-1)))&amp;"")</f>
        <v/>
      </c>
      <c r="AL38">
        <f>IF(計算用!$Z$38="","",IF(計算用!$U$24,IF(計算用!$Z$38="A",INDEX(手直し!$B$6:$E$42,計算用!$AC$38,MOD(2-計算用!$AA$38+1,4)+1),INDEX(手直し!$G$6:$J$42,計算用!$AC$38,MOD(2-計算用!$AA$38+1,4)+1)),IF(計算用!$Z$38="A",INDEX(組分け!$B$5:$I$41,計算用!$AC$38,(MOD(2-計算用!$AA$38+1,4)+1)*2-1),INDEX(組分け!$L$5:$S$41,計算用!$AC$38,(MOD(2-計算用!$AA$38+1,4)+1)*2-1)))&amp;"")</f>
        <v/>
      </c>
      <c r="AM38">
        <f>IF(計算用!$Z$38="","",IF(計算用!$U$24,IF(計算用!$Z$38="A",INDEX(手直し!$B$6:$E$42,計算用!$AC$38,MOD(3-計算用!$AA$38+1,4)+1),INDEX(手直し!$G$6:$J$42,計算用!$AC$38,MOD(3-計算用!$AA$38+1,4)+1)),IF(計算用!$Z$38="A",INDEX(組分け!$B$5:$I$41,計算用!$AC$38,(MOD(3-計算用!$AA$38+1,4)+1)*2-1),INDEX(組分け!$L$5:$S$41,計算用!$AC$38,(MOD(3-計算用!$AA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IF(Z38="","",IFERROR(MOD(MATCH(0,$AF38:$AI38,0)-1-AA38+1,4),""))</f>
        <v/>
      </c>
      <c r="AQ38">
        <f>IF(Z38="","",IFERROR(MOD(MATCH(1,$AF38:$AI38,0)-1-AA38+1,4),""))</f>
        <v/>
      </c>
      <c r="AR38">
        <f>IF(Z38="","",IFERROR(MOD(MATCH(2,$AF38:$AI38,0)-1-AA38+1,4),""))</f>
        <v/>
      </c>
      <c r="AS38">
        <f>IF(Z38="","",IFERROR(MOD(MATCH(3,$AF38:$AI38,0)-1-AA38+1,4),""))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A$39+1,4)+1),INDEX(手直し!$G$6:$J$42,計算用!$AC$39,MOD(0-計算用!$AA$39+1,4)+1)),IF(計算用!$Z$39="A",INDEX(組分け!$B$5:$I$41,計算用!$AC$39,(MOD(0-計算用!$AA$39+1,4)+1)*2-1),INDEX(組分け!$L$5:$S$41,計算用!$AC$39,(MOD(0-計算用!$AA$39+1,4)+1)*2-1)))&amp;"")</f>
        <v/>
      </c>
      <c r="AK39">
        <f>IF(計算用!$Z$39="","",IF(計算用!$U$24,IF(計算用!$Z$39="A",INDEX(手直し!$B$6:$E$42,計算用!$AC$39,MOD(1-計算用!$AA$39+1,4)+1),INDEX(手直し!$G$6:$J$42,計算用!$AC$39,MOD(1-計算用!$AA$39+1,4)+1)),IF(計算用!$Z$39="A",INDEX(組分け!$B$5:$I$41,計算用!$AC$39,(MOD(1-計算用!$AA$39+1,4)+1)*2-1),INDEX(組分け!$L$5:$S$41,計算用!$AC$39,(MOD(1-計算用!$AA$39+1,4)+1)*2-1)))&amp;"")</f>
        <v/>
      </c>
      <c r="AL39">
        <f>IF(計算用!$Z$39="","",IF(計算用!$U$24,IF(計算用!$Z$39="A",INDEX(手直し!$B$6:$E$42,計算用!$AC$39,MOD(2-計算用!$AA$39+1,4)+1),INDEX(手直し!$G$6:$J$42,計算用!$AC$39,MOD(2-計算用!$AA$39+1,4)+1)),IF(計算用!$Z$39="A",INDEX(組分け!$B$5:$I$41,計算用!$AC$39,(MOD(2-計算用!$AA$39+1,4)+1)*2-1),INDEX(組分け!$L$5:$S$41,計算用!$AC$39,(MOD(2-計算用!$AA$39+1,4)+1)*2-1)))&amp;"")</f>
        <v/>
      </c>
      <c r="AM39">
        <f>IF(計算用!$Z$39="","",IF(計算用!$U$24,IF(計算用!$Z$39="A",INDEX(手直し!$B$6:$E$42,計算用!$AC$39,MOD(3-計算用!$AA$39+1,4)+1),INDEX(手直し!$G$6:$J$42,計算用!$AC$39,MOD(3-計算用!$AA$39+1,4)+1)),IF(計算用!$Z$39="A",INDEX(組分け!$B$5:$I$41,計算用!$AC$39,(MOD(3-計算用!$AA$39+1,4)+1)*2-1),INDEX(組分け!$L$5:$S$41,計算用!$AC$39,(MOD(3-計算用!$AA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IF(Z39="","",IFERROR(MOD(MATCH(0,$AF39:$AI39,0)-1-AA39+1,4),""))</f>
        <v/>
      </c>
      <c r="AQ39">
        <f>IF(Z39="","",IFERROR(MOD(MATCH(1,$AF39:$AI39,0)-1-AA39+1,4),""))</f>
        <v/>
      </c>
      <c r="AR39">
        <f>IF(Z39="","",IFERROR(MOD(MATCH(2,$AF39:$AI39,0)-1-AA39+1,4),""))</f>
        <v/>
      </c>
      <c r="AS39">
        <f>IF(Z39="","",IFERROR(MOD(MATCH(3,$AF39:$AI39,0)-1-AA39+1,4),""))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A$40+1,4)+1),INDEX(手直し!$G$6:$J$42,計算用!$AC$40,MOD(0-計算用!$AA$40+1,4)+1)),IF(計算用!$Z$40="A",INDEX(組分け!$B$5:$I$41,計算用!$AC$40,(MOD(0-計算用!$AA$40+1,4)+1)*2-1),INDEX(組分け!$L$5:$S$41,計算用!$AC$40,(MOD(0-計算用!$AA$40+1,4)+1)*2-1)))&amp;"")</f>
        <v/>
      </c>
      <c r="AK40">
        <f>IF(計算用!$Z$40="","",IF(計算用!$U$24,IF(計算用!$Z$40="A",INDEX(手直し!$B$6:$E$42,計算用!$AC$40,MOD(1-計算用!$AA$40+1,4)+1),INDEX(手直し!$G$6:$J$42,計算用!$AC$40,MOD(1-計算用!$AA$40+1,4)+1)),IF(計算用!$Z$40="A",INDEX(組分け!$B$5:$I$41,計算用!$AC$40,(MOD(1-計算用!$AA$40+1,4)+1)*2-1),INDEX(組分け!$L$5:$S$41,計算用!$AC$40,(MOD(1-計算用!$AA$40+1,4)+1)*2-1)))&amp;"")</f>
        <v/>
      </c>
      <c r="AL40">
        <f>IF(計算用!$Z$40="","",IF(計算用!$U$24,IF(計算用!$Z$40="A",INDEX(手直し!$B$6:$E$42,計算用!$AC$40,MOD(2-計算用!$AA$40+1,4)+1),INDEX(手直し!$G$6:$J$42,計算用!$AC$40,MOD(2-計算用!$AA$40+1,4)+1)),IF(計算用!$Z$40="A",INDEX(組分け!$B$5:$I$41,計算用!$AC$40,(MOD(2-計算用!$AA$40+1,4)+1)*2-1),INDEX(組分け!$L$5:$S$41,計算用!$AC$40,(MOD(2-計算用!$AA$40+1,4)+1)*2-1)))&amp;"")</f>
        <v/>
      </c>
      <c r="AM40">
        <f>IF(計算用!$Z$40="","",IF(計算用!$U$24,IF(計算用!$Z$40="A",INDEX(手直し!$B$6:$E$42,計算用!$AC$40,MOD(3-計算用!$AA$40+1,4)+1),INDEX(手直し!$G$6:$J$42,計算用!$AC$40,MOD(3-計算用!$AA$40+1,4)+1)),IF(計算用!$Z$40="A",INDEX(組分け!$B$5:$I$41,計算用!$AC$40,(MOD(3-計算用!$AA$40+1,4)+1)*2-1),INDEX(組分け!$L$5:$S$41,計算用!$AC$40,(MOD(3-計算用!$AA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IF(Z40="","",IFERROR(MOD(MATCH(0,$AF40:$AI40,0)-1-AA40+1,4),""))</f>
        <v/>
      </c>
      <c r="AQ40">
        <f>IF(Z40="","",IFERROR(MOD(MATCH(1,$AF40:$AI40,0)-1-AA40+1,4),""))</f>
        <v/>
      </c>
      <c r="AR40">
        <f>IF(Z40="","",IFERROR(MOD(MATCH(2,$AF40:$AI40,0)-1-AA40+1,4),""))</f>
        <v/>
      </c>
      <c r="AS40">
        <f>IF(Z40="","",IFERROR(MOD(MATCH(3,$AF40:$AI40,0)-1-AA40+1,4),""))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A$41+1,4)+1),INDEX(手直し!$G$6:$J$42,計算用!$AC$41,MOD(0-計算用!$AA$41+1,4)+1)),IF(計算用!$Z$41="A",INDEX(組分け!$B$5:$I$41,計算用!$AC$41,(MOD(0-計算用!$AA$41+1,4)+1)*2-1),INDEX(組分け!$L$5:$S$41,計算用!$AC$41,(MOD(0-計算用!$AA$41+1,4)+1)*2-1)))&amp;"")</f>
        <v/>
      </c>
      <c r="AK41">
        <f>IF(計算用!$Z$41="","",IF(計算用!$U$24,IF(計算用!$Z$41="A",INDEX(手直し!$B$6:$E$42,計算用!$AC$41,MOD(1-計算用!$AA$41+1,4)+1),INDEX(手直し!$G$6:$J$42,計算用!$AC$41,MOD(1-計算用!$AA$41+1,4)+1)),IF(計算用!$Z$41="A",INDEX(組分け!$B$5:$I$41,計算用!$AC$41,(MOD(1-計算用!$AA$41+1,4)+1)*2-1),INDEX(組分け!$L$5:$S$41,計算用!$AC$41,(MOD(1-計算用!$AA$41+1,4)+1)*2-1)))&amp;"")</f>
        <v/>
      </c>
      <c r="AL41">
        <f>IF(計算用!$Z$41="","",IF(計算用!$U$24,IF(計算用!$Z$41="A",INDEX(手直し!$B$6:$E$42,計算用!$AC$41,MOD(2-計算用!$AA$41+1,4)+1),INDEX(手直し!$G$6:$J$42,計算用!$AC$41,MOD(2-計算用!$AA$41+1,4)+1)),IF(計算用!$Z$41="A",INDEX(組分け!$B$5:$I$41,計算用!$AC$41,(MOD(2-計算用!$AA$41+1,4)+1)*2-1),INDEX(組分け!$L$5:$S$41,計算用!$AC$41,(MOD(2-計算用!$AA$41+1,4)+1)*2-1)))&amp;"")</f>
        <v/>
      </c>
      <c r="AM41">
        <f>IF(計算用!$Z$41="","",IF(計算用!$U$24,IF(計算用!$Z$41="A",INDEX(手直し!$B$6:$E$42,計算用!$AC$41,MOD(3-計算用!$AA$41+1,4)+1),INDEX(手直し!$G$6:$J$42,計算用!$AC$41,MOD(3-計算用!$AA$41+1,4)+1)),IF(計算用!$Z$41="A",INDEX(組分け!$B$5:$I$41,計算用!$AC$41,(MOD(3-計算用!$AA$41+1,4)+1)*2-1),INDEX(組分け!$L$5:$S$41,計算用!$AC$41,(MOD(3-計算用!$AA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IF(Z41="","",IFERROR(MOD(MATCH(0,$AF41:$AI41,0)-1-AA41+1,4),""))</f>
        <v/>
      </c>
      <c r="AQ41">
        <f>IF(Z41="","",IFERROR(MOD(MATCH(1,$AF41:$AI41,0)-1-AA41+1,4),""))</f>
        <v/>
      </c>
      <c r="AR41">
        <f>IF(Z41="","",IFERROR(MOD(MATCH(2,$AF41:$AI41,0)-1-AA41+1,4),""))</f>
        <v/>
      </c>
      <c r="AS41">
        <f>IF(Z41="","",IFERROR(MOD(MATCH(3,$AF41:$AI41,0)-1-AA41+1,4),""))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A$42+1,4)+1),INDEX(手直し!$G$6:$J$42,計算用!$AC$42,MOD(0-計算用!$AA$42+1,4)+1)),IF(計算用!$Z$42="A",INDEX(組分け!$B$5:$I$41,計算用!$AC$42,(MOD(0-計算用!$AA$42+1,4)+1)*2-1),INDEX(組分け!$L$5:$S$41,計算用!$AC$42,(MOD(0-計算用!$AA$42+1,4)+1)*2-1)))&amp;"")</f>
        <v/>
      </c>
      <c r="AK42">
        <f>IF(計算用!$Z$42="","",IF(計算用!$U$24,IF(計算用!$Z$42="A",INDEX(手直し!$B$6:$E$42,計算用!$AC$42,MOD(1-計算用!$AA$42+1,4)+1),INDEX(手直し!$G$6:$J$42,計算用!$AC$42,MOD(1-計算用!$AA$42+1,4)+1)),IF(計算用!$Z$42="A",INDEX(組分け!$B$5:$I$41,計算用!$AC$42,(MOD(1-計算用!$AA$42+1,4)+1)*2-1),INDEX(組分け!$L$5:$S$41,計算用!$AC$42,(MOD(1-計算用!$AA$42+1,4)+1)*2-1)))&amp;"")</f>
        <v/>
      </c>
      <c r="AL42">
        <f>IF(計算用!$Z$42="","",IF(計算用!$U$24,IF(計算用!$Z$42="A",INDEX(手直し!$B$6:$E$42,計算用!$AC$42,MOD(2-計算用!$AA$42+1,4)+1),INDEX(手直し!$G$6:$J$42,計算用!$AC$42,MOD(2-計算用!$AA$42+1,4)+1)),IF(計算用!$Z$42="A",INDEX(組分け!$B$5:$I$41,計算用!$AC$42,(MOD(2-計算用!$AA$42+1,4)+1)*2-1),INDEX(組分け!$L$5:$S$41,計算用!$AC$42,(MOD(2-計算用!$AA$42+1,4)+1)*2-1)))&amp;"")</f>
        <v/>
      </c>
      <c r="AM42">
        <f>IF(計算用!$Z$42="","",IF(計算用!$U$24,IF(計算用!$Z$42="A",INDEX(手直し!$B$6:$E$42,計算用!$AC$42,MOD(3-計算用!$AA$42+1,4)+1),INDEX(手直し!$G$6:$J$42,計算用!$AC$42,MOD(3-計算用!$AA$42+1,4)+1)),IF(計算用!$Z$42="A",INDEX(組分け!$B$5:$I$41,計算用!$AC$42,(MOD(3-計算用!$AA$42+1,4)+1)*2-1),INDEX(組分け!$L$5:$S$41,計算用!$AC$42,(MOD(3-計算用!$AA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IF(Z42="","",IFERROR(MOD(MATCH(0,$AF42:$AI42,0)-1-AA42+1,4),""))</f>
        <v/>
      </c>
      <c r="AQ42">
        <f>IF(Z42="","",IFERROR(MOD(MATCH(1,$AF42:$AI42,0)-1-AA42+1,4),""))</f>
        <v/>
      </c>
      <c r="AR42">
        <f>IF(Z42="","",IFERROR(MOD(MATCH(2,$AF42:$AI42,0)-1-AA42+1,4),""))</f>
        <v/>
      </c>
      <c r="AS42">
        <f>IF(Z42="","",IFERROR(MOD(MATCH(3,$AF42:$AI42,0)-1-AA42+1,4),""))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A$43+1,4)+1),INDEX(手直し!$G$6:$J$42,計算用!$AC$43,MOD(0-計算用!$AA$43+1,4)+1)),IF(計算用!$Z$43="A",INDEX(組分け!$B$5:$I$41,計算用!$AC$43,(MOD(0-計算用!$AA$43+1,4)+1)*2-1),INDEX(組分け!$L$5:$S$41,計算用!$AC$43,(MOD(0-計算用!$AA$43+1,4)+1)*2-1)))&amp;"")</f>
        <v/>
      </c>
      <c r="AK43">
        <f>IF(計算用!$Z$43="","",IF(計算用!$U$24,IF(計算用!$Z$43="A",INDEX(手直し!$B$6:$E$42,計算用!$AC$43,MOD(1-計算用!$AA$43+1,4)+1),INDEX(手直し!$G$6:$J$42,計算用!$AC$43,MOD(1-計算用!$AA$43+1,4)+1)),IF(計算用!$Z$43="A",INDEX(組分け!$B$5:$I$41,計算用!$AC$43,(MOD(1-計算用!$AA$43+1,4)+1)*2-1),INDEX(組分け!$L$5:$S$41,計算用!$AC$43,(MOD(1-計算用!$AA$43+1,4)+1)*2-1)))&amp;"")</f>
        <v/>
      </c>
      <c r="AL43">
        <f>IF(計算用!$Z$43="","",IF(計算用!$U$24,IF(計算用!$Z$43="A",INDEX(手直し!$B$6:$E$42,計算用!$AC$43,MOD(2-計算用!$AA$43+1,4)+1),INDEX(手直し!$G$6:$J$42,計算用!$AC$43,MOD(2-計算用!$AA$43+1,4)+1)),IF(計算用!$Z$43="A",INDEX(組分け!$B$5:$I$41,計算用!$AC$43,(MOD(2-計算用!$AA$43+1,4)+1)*2-1),INDEX(組分け!$L$5:$S$41,計算用!$AC$43,(MOD(2-計算用!$AA$43+1,4)+1)*2-1)))&amp;"")</f>
        <v/>
      </c>
      <c r="AM43">
        <f>IF(計算用!$Z$43="","",IF(計算用!$U$24,IF(計算用!$Z$43="A",INDEX(手直し!$B$6:$E$42,計算用!$AC$43,MOD(3-計算用!$AA$43+1,4)+1),INDEX(手直し!$G$6:$J$42,計算用!$AC$43,MOD(3-計算用!$AA$43+1,4)+1)),IF(計算用!$Z$43="A",INDEX(組分け!$B$5:$I$41,計算用!$AC$43,(MOD(3-計算用!$AA$43+1,4)+1)*2-1),INDEX(組分け!$L$5:$S$41,計算用!$AC$43,(MOD(3-計算用!$AA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IF(Z43="","",IFERROR(MOD(MATCH(0,$AF43:$AI43,0)-1-AA43+1,4),""))</f>
        <v/>
      </c>
      <c r="AQ43">
        <f>IF(Z43="","",IFERROR(MOD(MATCH(1,$AF43:$AI43,0)-1-AA43+1,4),""))</f>
        <v/>
      </c>
      <c r="AR43">
        <f>IF(Z43="","",IFERROR(MOD(MATCH(2,$AF43:$AI43,0)-1-AA43+1,4),""))</f>
        <v/>
      </c>
      <c r="AS43">
        <f>IF(Z43="","",IFERROR(MOD(MATCH(3,$AF43:$AI43,0)-1-AA43+1,4),""))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A$44+1,4)+1),INDEX(手直し!$G$6:$J$42,計算用!$AC$44,MOD(0-計算用!$AA$44+1,4)+1)),IF(計算用!$Z$44="A",INDEX(組分け!$B$5:$I$41,計算用!$AC$44,(MOD(0-計算用!$AA$44+1,4)+1)*2-1),INDEX(組分け!$L$5:$S$41,計算用!$AC$44,(MOD(0-計算用!$AA$44+1,4)+1)*2-1)))&amp;"")</f>
        <v/>
      </c>
      <c r="AK44">
        <f>IF(計算用!$Z$44="","",IF(計算用!$U$24,IF(計算用!$Z$44="A",INDEX(手直し!$B$6:$E$42,計算用!$AC$44,MOD(1-計算用!$AA$44+1,4)+1),INDEX(手直し!$G$6:$J$42,計算用!$AC$44,MOD(1-計算用!$AA$44+1,4)+1)),IF(計算用!$Z$44="A",INDEX(組分け!$B$5:$I$41,計算用!$AC$44,(MOD(1-計算用!$AA$44+1,4)+1)*2-1),INDEX(組分け!$L$5:$S$41,計算用!$AC$44,(MOD(1-計算用!$AA$44+1,4)+1)*2-1)))&amp;"")</f>
        <v/>
      </c>
      <c r="AL44">
        <f>IF(計算用!$Z$44="","",IF(計算用!$U$24,IF(計算用!$Z$44="A",INDEX(手直し!$B$6:$E$42,計算用!$AC$44,MOD(2-計算用!$AA$44+1,4)+1),INDEX(手直し!$G$6:$J$42,計算用!$AC$44,MOD(2-計算用!$AA$44+1,4)+1)),IF(計算用!$Z$44="A",INDEX(組分け!$B$5:$I$41,計算用!$AC$44,(MOD(2-計算用!$AA$44+1,4)+1)*2-1),INDEX(組分け!$L$5:$S$41,計算用!$AC$44,(MOD(2-計算用!$AA$44+1,4)+1)*2-1)))&amp;"")</f>
        <v/>
      </c>
      <c r="AM44">
        <f>IF(計算用!$Z$44="","",IF(計算用!$U$24,IF(計算用!$Z$44="A",INDEX(手直し!$B$6:$E$42,計算用!$AC$44,MOD(3-計算用!$AA$44+1,4)+1),INDEX(手直し!$G$6:$J$42,計算用!$AC$44,MOD(3-計算用!$AA$44+1,4)+1)),IF(計算用!$Z$44="A",INDEX(組分け!$B$5:$I$41,計算用!$AC$44,(MOD(3-計算用!$AA$44+1,4)+1)*2-1),INDEX(組分け!$L$5:$S$41,計算用!$AC$44,(MOD(3-計算用!$AA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IF(Z44="","",IFERROR(MOD(MATCH(0,$AF44:$AI44,0)-1-AA44+1,4),""))</f>
        <v/>
      </c>
      <c r="AQ44">
        <f>IF(Z44="","",IFERROR(MOD(MATCH(1,$AF44:$AI44,0)-1-AA44+1,4),""))</f>
        <v/>
      </c>
      <c r="AR44">
        <f>IF(Z44="","",IFERROR(MOD(MATCH(2,$AF44:$AI44,0)-1-AA44+1,4),""))</f>
        <v/>
      </c>
      <c r="AS44">
        <f>IF(Z44="","",IFERROR(MOD(MATCH(3,$AF44:$AI44,0)-1-AA44+1,4),""))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A$45+1,4)+1),INDEX(手直し!$G$6:$J$42,計算用!$AC$45,MOD(0-計算用!$AA$45+1,4)+1)),IF(計算用!$Z$45="A",INDEX(組分け!$B$5:$I$41,計算用!$AC$45,(MOD(0-計算用!$AA$45+1,4)+1)*2-1),INDEX(組分け!$L$5:$S$41,計算用!$AC$45,(MOD(0-計算用!$AA$45+1,4)+1)*2-1)))&amp;"")</f>
        <v/>
      </c>
      <c r="AK45">
        <f>IF(計算用!$Z$45="","",IF(計算用!$U$24,IF(計算用!$Z$45="A",INDEX(手直し!$B$6:$E$42,計算用!$AC$45,MOD(1-計算用!$AA$45+1,4)+1),INDEX(手直し!$G$6:$J$42,計算用!$AC$45,MOD(1-計算用!$AA$45+1,4)+1)),IF(計算用!$Z$45="A",INDEX(組分け!$B$5:$I$41,計算用!$AC$45,(MOD(1-計算用!$AA$45+1,4)+1)*2-1),INDEX(組分け!$L$5:$S$41,計算用!$AC$45,(MOD(1-計算用!$AA$45+1,4)+1)*2-1)))&amp;"")</f>
        <v/>
      </c>
      <c r="AL45">
        <f>IF(計算用!$Z$45="","",IF(計算用!$U$24,IF(計算用!$Z$45="A",INDEX(手直し!$B$6:$E$42,計算用!$AC$45,MOD(2-計算用!$AA$45+1,4)+1),INDEX(手直し!$G$6:$J$42,計算用!$AC$45,MOD(2-計算用!$AA$45+1,4)+1)),IF(計算用!$Z$45="A",INDEX(組分け!$B$5:$I$41,計算用!$AC$45,(MOD(2-計算用!$AA$45+1,4)+1)*2-1),INDEX(組分け!$L$5:$S$41,計算用!$AC$45,(MOD(2-計算用!$AA$45+1,4)+1)*2-1)))&amp;"")</f>
        <v/>
      </c>
      <c r="AM45">
        <f>IF(計算用!$Z$45="","",IF(計算用!$U$24,IF(計算用!$Z$45="A",INDEX(手直し!$B$6:$E$42,計算用!$AC$45,MOD(3-計算用!$AA$45+1,4)+1),INDEX(手直し!$G$6:$J$42,計算用!$AC$45,MOD(3-計算用!$AA$45+1,4)+1)),IF(計算用!$Z$45="A",INDEX(組分け!$B$5:$I$41,計算用!$AC$45,(MOD(3-計算用!$AA$45+1,4)+1)*2-1),INDEX(組分け!$L$5:$S$41,計算用!$AC$45,(MOD(3-計算用!$AA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IF(Z45="","",IFERROR(MOD(MATCH(0,$AF45:$AI45,0)-1-AA45+1,4),""))</f>
        <v/>
      </c>
      <c r="AQ45">
        <f>IF(Z45="","",IFERROR(MOD(MATCH(1,$AF45:$AI45,0)-1-AA45+1,4),""))</f>
        <v/>
      </c>
      <c r="AR45">
        <f>IF(Z45="","",IFERROR(MOD(MATCH(2,$AF45:$AI45,0)-1-AA45+1,4),""))</f>
        <v/>
      </c>
      <c r="AS45">
        <f>IF(Z45="","",IFERROR(MOD(MATCH(3,$AF45:$AI45,0)-1-AA45+1,4),""))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A$46+1,4)+1),INDEX(手直し!$G$6:$J$42,計算用!$AC$46,MOD(0-計算用!$AA$46+1,4)+1)),IF(計算用!$Z$46="A",INDEX(組分け!$B$5:$I$41,計算用!$AC$46,(MOD(0-計算用!$AA$46+1,4)+1)*2-1),INDEX(組分け!$L$5:$S$41,計算用!$AC$46,(MOD(0-計算用!$AA$46+1,4)+1)*2-1)))&amp;"")</f>
        <v/>
      </c>
      <c r="AK46">
        <f>IF(計算用!$Z$46="","",IF(計算用!$U$24,IF(計算用!$Z$46="A",INDEX(手直し!$B$6:$E$42,計算用!$AC$46,MOD(1-計算用!$AA$46+1,4)+1),INDEX(手直し!$G$6:$J$42,計算用!$AC$46,MOD(1-計算用!$AA$46+1,4)+1)),IF(計算用!$Z$46="A",INDEX(組分け!$B$5:$I$41,計算用!$AC$46,(MOD(1-計算用!$AA$46+1,4)+1)*2-1),INDEX(組分け!$L$5:$S$41,計算用!$AC$46,(MOD(1-計算用!$AA$46+1,4)+1)*2-1)))&amp;"")</f>
        <v/>
      </c>
      <c r="AL46">
        <f>IF(計算用!$Z$46="","",IF(計算用!$U$24,IF(計算用!$Z$46="A",INDEX(手直し!$B$6:$E$42,計算用!$AC$46,MOD(2-計算用!$AA$46+1,4)+1),INDEX(手直し!$G$6:$J$42,計算用!$AC$46,MOD(2-計算用!$AA$46+1,4)+1)),IF(計算用!$Z$46="A",INDEX(組分け!$B$5:$I$41,計算用!$AC$46,(MOD(2-計算用!$AA$46+1,4)+1)*2-1),INDEX(組分け!$L$5:$S$41,計算用!$AC$46,(MOD(2-計算用!$AA$46+1,4)+1)*2-1)))&amp;"")</f>
        <v/>
      </c>
      <c r="AM46">
        <f>IF(計算用!$Z$46="","",IF(計算用!$U$24,IF(計算用!$Z$46="A",INDEX(手直し!$B$6:$E$42,計算用!$AC$46,MOD(3-計算用!$AA$46+1,4)+1),INDEX(手直し!$G$6:$J$42,計算用!$AC$46,MOD(3-計算用!$AA$46+1,4)+1)),IF(計算用!$Z$46="A",INDEX(組分け!$B$5:$I$41,計算用!$AC$46,(MOD(3-計算用!$AA$46+1,4)+1)*2-1),INDEX(組分け!$L$5:$S$41,計算用!$AC$46,(MOD(3-計算用!$AA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IF(Z46="","",IFERROR(MOD(MATCH(0,$AF46:$AI46,0)-1-AA46+1,4),""))</f>
        <v/>
      </c>
      <c r="AQ46">
        <f>IF(Z46="","",IFERROR(MOD(MATCH(1,$AF46:$AI46,0)-1-AA46+1,4),""))</f>
        <v/>
      </c>
      <c r="AR46">
        <f>IF(Z46="","",IFERROR(MOD(MATCH(2,$AF46:$AI46,0)-1-AA46+1,4),""))</f>
        <v/>
      </c>
      <c r="AS46">
        <f>IF(Z46="","",IFERROR(MOD(MATCH(3,$AF46:$AI46,0)-1-AA46+1,4),""))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A$47+1,4)+1),INDEX(手直し!$G$6:$J$42,計算用!$AC$47,MOD(0-計算用!$AA$47+1,4)+1)),IF(計算用!$Z$47="A",INDEX(組分け!$B$5:$I$41,計算用!$AC$47,(MOD(0-計算用!$AA$47+1,4)+1)*2-1),INDEX(組分け!$L$5:$S$41,計算用!$AC$47,(MOD(0-計算用!$AA$47+1,4)+1)*2-1)))&amp;"")</f>
        <v/>
      </c>
      <c r="AK47">
        <f>IF(計算用!$Z$47="","",IF(計算用!$U$24,IF(計算用!$Z$47="A",INDEX(手直し!$B$6:$E$42,計算用!$AC$47,MOD(1-計算用!$AA$47+1,4)+1),INDEX(手直し!$G$6:$J$42,計算用!$AC$47,MOD(1-計算用!$AA$47+1,4)+1)),IF(計算用!$Z$47="A",INDEX(組分け!$B$5:$I$41,計算用!$AC$47,(MOD(1-計算用!$AA$47+1,4)+1)*2-1),INDEX(組分け!$L$5:$S$41,計算用!$AC$47,(MOD(1-計算用!$AA$47+1,4)+1)*2-1)))&amp;"")</f>
        <v/>
      </c>
      <c r="AL47">
        <f>IF(計算用!$Z$47="","",IF(計算用!$U$24,IF(計算用!$Z$47="A",INDEX(手直し!$B$6:$E$42,計算用!$AC$47,MOD(2-計算用!$AA$47+1,4)+1),INDEX(手直し!$G$6:$J$42,計算用!$AC$47,MOD(2-計算用!$AA$47+1,4)+1)),IF(計算用!$Z$47="A",INDEX(組分け!$B$5:$I$41,計算用!$AC$47,(MOD(2-計算用!$AA$47+1,4)+1)*2-1),INDEX(組分け!$L$5:$S$41,計算用!$AC$47,(MOD(2-計算用!$AA$47+1,4)+1)*2-1)))&amp;"")</f>
        <v/>
      </c>
      <c r="AM47">
        <f>IF(計算用!$Z$47="","",IF(計算用!$U$24,IF(計算用!$Z$47="A",INDEX(手直し!$B$6:$E$42,計算用!$AC$47,MOD(3-計算用!$AA$47+1,4)+1),INDEX(手直し!$G$6:$J$42,計算用!$AC$47,MOD(3-計算用!$AA$47+1,4)+1)),IF(計算用!$Z$47="A",INDEX(組分け!$B$5:$I$41,計算用!$AC$47,(MOD(3-計算用!$AA$47+1,4)+1)*2-1),INDEX(組分け!$L$5:$S$41,計算用!$AC$47,(MOD(3-計算用!$AA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IF(Z47="","",IFERROR(MOD(MATCH(0,$AF47:$AI47,0)-1-AA47+1,4),""))</f>
        <v/>
      </c>
      <c r="AQ47">
        <f>IF(Z47="","",IFERROR(MOD(MATCH(1,$AF47:$AI47,0)-1-AA47+1,4),""))</f>
        <v/>
      </c>
      <c r="AR47">
        <f>IF(Z47="","",IFERROR(MOD(MATCH(2,$AF47:$AI47,0)-1-AA47+1,4),""))</f>
        <v/>
      </c>
      <c r="AS47">
        <f>IF(Z47="","",IFERROR(MOD(MATCH(3,$AF47:$AI47,0)-1-AA47+1,4),""))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A$48+1,4)+1),INDEX(手直し!$G$6:$J$42,計算用!$AC$48,MOD(0-計算用!$AA$48+1,4)+1)),IF(計算用!$Z$48="A",INDEX(組分け!$B$5:$I$41,計算用!$AC$48,(MOD(0-計算用!$AA$48+1,4)+1)*2-1),INDEX(組分け!$L$5:$S$41,計算用!$AC$48,(MOD(0-計算用!$AA$48+1,4)+1)*2-1)))&amp;"")</f>
        <v/>
      </c>
      <c r="AK48">
        <f>IF(計算用!$Z$48="","",IF(計算用!$U$24,IF(計算用!$Z$48="A",INDEX(手直し!$B$6:$E$42,計算用!$AC$48,MOD(1-計算用!$AA$48+1,4)+1),INDEX(手直し!$G$6:$J$42,計算用!$AC$48,MOD(1-計算用!$AA$48+1,4)+1)),IF(計算用!$Z$48="A",INDEX(組分け!$B$5:$I$41,計算用!$AC$48,(MOD(1-計算用!$AA$48+1,4)+1)*2-1),INDEX(組分け!$L$5:$S$41,計算用!$AC$48,(MOD(1-計算用!$AA$48+1,4)+1)*2-1)))&amp;"")</f>
        <v/>
      </c>
      <c r="AL48">
        <f>IF(計算用!$Z$48="","",IF(計算用!$U$24,IF(計算用!$Z$48="A",INDEX(手直し!$B$6:$E$42,計算用!$AC$48,MOD(2-計算用!$AA$48+1,4)+1),INDEX(手直し!$G$6:$J$42,計算用!$AC$48,MOD(2-計算用!$AA$48+1,4)+1)),IF(計算用!$Z$48="A",INDEX(組分け!$B$5:$I$41,計算用!$AC$48,(MOD(2-計算用!$AA$48+1,4)+1)*2-1),INDEX(組分け!$L$5:$S$41,計算用!$AC$48,(MOD(2-計算用!$AA$48+1,4)+1)*2-1)))&amp;"")</f>
        <v/>
      </c>
      <c r="AM48">
        <f>IF(計算用!$Z$48="","",IF(計算用!$U$24,IF(計算用!$Z$48="A",INDEX(手直し!$B$6:$E$42,計算用!$AC$48,MOD(3-計算用!$AA$48+1,4)+1),INDEX(手直し!$G$6:$J$42,計算用!$AC$48,MOD(3-計算用!$AA$48+1,4)+1)),IF(計算用!$Z$48="A",INDEX(組分け!$B$5:$I$41,計算用!$AC$48,(MOD(3-計算用!$AA$48+1,4)+1)*2-1),INDEX(組分け!$L$5:$S$41,計算用!$AC$48,(MOD(3-計算用!$AA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IF(Z48="","",IFERROR(MOD(MATCH(0,$AF48:$AI48,0)-1-AA48+1,4),""))</f>
        <v/>
      </c>
      <c r="AQ48">
        <f>IF(Z48="","",IFERROR(MOD(MATCH(1,$AF48:$AI48,0)-1-AA48+1,4),""))</f>
        <v/>
      </c>
      <c r="AR48">
        <f>IF(Z48="","",IFERROR(MOD(MATCH(2,$AF48:$AI48,0)-1-AA48+1,4),""))</f>
        <v/>
      </c>
      <c r="AS48">
        <f>IF(Z48="","",IFERROR(MOD(MATCH(3,$AF48:$AI48,0)-1-AA48+1,4),""))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A$49+1,4)+1),INDEX(手直し!$G$6:$J$42,計算用!$AC$49,MOD(0-計算用!$AA$49+1,4)+1)),IF(計算用!$Z$49="A",INDEX(組分け!$B$5:$I$41,計算用!$AC$49,(MOD(0-計算用!$AA$49+1,4)+1)*2-1),INDEX(組分け!$L$5:$S$41,計算用!$AC$49,(MOD(0-計算用!$AA$49+1,4)+1)*2-1)))&amp;"")</f>
        <v/>
      </c>
      <c r="AK49">
        <f>IF(計算用!$Z$49="","",IF(計算用!$U$24,IF(計算用!$Z$49="A",INDEX(手直し!$B$6:$E$42,計算用!$AC$49,MOD(1-計算用!$AA$49+1,4)+1),INDEX(手直し!$G$6:$J$42,計算用!$AC$49,MOD(1-計算用!$AA$49+1,4)+1)),IF(計算用!$Z$49="A",INDEX(組分け!$B$5:$I$41,計算用!$AC$49,(MOD(1-計算用!$AA$49+1,4)+1)*2-1),INDEX(組分け!$L$5:$S$41,計算用!$AC$49,(MOD(1-計算用!$AA$49+1,4)+1)*2-1)))&amp;"")</f>
        <v/>
      </c>
      <c r="AL49">
        <f>IF(計算用!$Z$49="","",IF(計算用!$U$24,IF(計算用!$Z$49="A",INDEX(手直し!$B$6:$E$42,計算用!$AC$49,MOD(2-計算用!$AA$49+1,4)+1),INDEX(手直し!$G$6:$J$42,計算用!$AC$49,MOD(2-計算用!$AA$49+1,4)+1)),IF(計算用!$Z$49="A",INDEX(組分け!$B$5:$I$41,計算用!$AC$49,(MOD(2-計算用!$AA$49+1,4)+1)*2-1),INDEX(組分け!$L$5:$S$41,計算用!$AC$49,(MOD(2-計算用!$AA$49+1,4)+1)*2-1)))&amp;"")</f>
        <v/>
      </c>
      <c r="AM49">
        <f>IF(計算用!$Z$49="","",IF(計算用!$U$24,IF(計算用!$Z$49="A",INDEX(手直し!$B$6:$E$42,計算用!$AC$49,MOD(3-計算用!$AA$49+1,4)+1),INDEX(手直し!$G$6:$J$42,計算用!$AC$49,MOD(3-計算用!$AA$49+1,4)+1)),IF(計算用!$Z$49="A",INDEX(組分け!$B$5:$I$41,計算用!$AC$49,(MOD(3-計算用!$AA$49+1,4)+1)*2-1),INDEX(組分け!$L$5:$S$41,計算用!$AC$49,(MOD(3-計算用!$AA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IF(Z49="","",IFERROR(MOD(MATCH(0,$AF49:$AI49,0)-1-AA49+1,4),""))</f>
        <v/>
      </c>
      <c r="AQ49">
        <f>IF(Z49="","",IFERROR(MOD(MATCH(1,$AF49:$AI49,0)-1-AA49+1,4),""))</f>
        <v/>
      </c>
      <c r="AR49">
        <f>IF(Z49="","",IFERROR(MOD(MATCH(2,$AF49:$AI49,0)-1-AA49+1,4),""))</f>
        <v/>
      </c>
      <c r="AS49">
        <f>IF(Z49="","",IFERROR(MOD(MATCH(3,$AF49:$AI49,0)-1-AA49+1,4),""))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A$50+1,4)+1),INDEX(手直し!$G$6:$J$42,計算用!$AC$50,MOD(0-計算用!$AA$50+1,4)+1)),IF(計算用!$Z$50="A",INDEX(組分け!$B$5:$I$41,計算用!$AC$50,(MOD(0-計算用!$AA$50+1,4)+1)*2-1),INDEX(組分け!$L$5:$S$41,計算用!$AC$50,(MOD(0-計算用!$AA$50+1,4)+1)*2-1)))&amp;"")</f>
        <v/>
      </c>
      <c r="AK50">
        <f>IF(計算用!$Z$50="","",IF(計算用!$U$24,IF(計算用!$Z$50="A",INDEX(手直し!$B$6:$E$42,計算用!$AC$50,MOD(1-計算用!$AA$50+1,4)+1),INDEX(手直し!$G$6:$J$42,計算用!$AC$50,MOD(1-計算用!$AA$50+1,4)+1)),IF(計算用!$Z$50="A",INDEX(組分け!$B$5:$I$41,計算用!$AC$50,(MOD(1-計算用!$AA$50+1,4)+1)*2-1),INDEX(組分け!$L$5:$S$41,計算用!$AC$50,(MOD(1-計算用!$AA$50+1,4)+1)*2-1)))&amp;"")</f>
        <v/>
      </c>
      <c r="AL50">
        <f>IF(計算用!$Z$50="","",IF(計算用!$U$24,IF(計算用!$Z$50="A",INDEX(手直し!$B$6:$E$42,計算用!$AC$50,MOD(2-計算用!$AA$50+1,4)+1),INDEX(手直し!$G$6:$J$42,計算用!$AC$50,MOD(2-計算用!$AA$50+1,4)+1)),IF(計算用!$Z$50="A",INDEX(組分け!$B$5:$I$41,計算用!$AC$50,(MOD(2-計算用!$AA$50+1,4)+1)*2-1),INDEX(組分け!$L$5:$S$41,計算用!$AC$50,(MOD(2-計算用!$AA$50+1,4)+1)*2-1)))&amp;"")</f>
        <v/>
      </c>
      <c r="AM50">
        <f>IF(計算用!$Z$50="","",IF(計算用!$U$24,IF(計算用!$Z$50="A",INDEX(手直し!$B$6:$E$42,計算用!$AC$50,MOD(3-計算用!$AA$50+1,4)+1),INDEX(手直し!$G$6:$J$42,計算用!$AC$50,MOD(3-計算用!$AA$50+1,4)+1)),IF(計算用!$Z$50="A",INDEX(組分け!$B$5:$I$41,計算用!$AC$50,(MOD(3-計算用!$AA$50+1,4)+1)*2-1),INDEX(組分け!$L$5:$S$41,計算用!$AC$50,(MOD(3-計算用!$AA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IF(Z50="","",IFERROR(MOD(MATCH(0,$AF50:$AI50,0)-1-AA50+1,4),""))</f>
        <v/>
      </c>
      <c r="AQ50">
        <f>IF(Z50="","",IFERROR(MOD(MATCH(1,$AF50:$AI50,0)-1-AA50+1,4),""))</f>
        <v/>
      </c>
      <c r="AR50">
        <f>IF(Z50="","",IFERROR(MOD(MATCH(2,$AF50:$AI50,0)-1-AA50+1,4),""))</f>
        <v/>
      </c>
      <c r="AS50">
        <f>IF(Z50="","",IFERROR(MOD(MATCH(3,$AF50:$AI50,0)-1-AA50+1,4),""))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A$51+1,4)+1),INDEX(手直し!$G$6:$J$42,計算用!$AC$51,MOD(0-計算用!$AA$51+1,4)+1)),IF(計算用!$Z$51="A",INDEX(組分け!$B$5:$I$41,計算用!$AC$51,(MOD(0-計算用!$AA$51+1,4)+1)*2-1),INDEX(組分け!$L$5:$S$41,計算用!$AC$51,(MOD(0-計算用!$AA$51+1,4)+1)*2-1)))&amp;"")</f>
        <v/>
      </c>
      <c r="AK51">
        <f>IF(計算用!$Z$51="","",IF(計算用!$U$24,IF(計算用!$Z$51="A",INDEX(手直し!$B$6:$E$42,計算用!$AC$51,MOD(1-計算用!$AA$51+1,4)+1),INDEX(手直し!$G$6:$J$42,計算用!$AC$51,MOD(1-計算用!$AA$51+1,4)+1)),IF(計算用!$Z$51="A",INDEX(組分け!$B$5:$I$41,計算用!$AC$51,(MOD(1-計算用!$AA$51+1,4)+1)*2-1),INDEX(組分け!$L$5:$S$41,計算用!$AC$51,(MOD(1-計算用!$AA$51+1,4)+1)*2-1)))&amp;"")</f>
        <v/>
      </c>
      <c r="AL51">
        <f>IF(計算用!$Z$51="","",IF(計算用!$U$24,IF(計算用!$Z$51="A",INDEX(手直し!$B$6:$E$42,計算用!$AC$51,MOD(2-計算用!$AA$51+1,4)+1),INDEX(手直し!$G$6:$J$42,計算用!$AC$51,MOD(2-計算用!$AA$51+1,4)+1)),IF(計算用!$Z$51="A",INDEX(組分け!$B$5:$I$41,計算用!$AC$51,(MOD(2-計算用!$AA$51+1,4)+1)*2-1),INDEX(組分け!$L$5:$S$41,計算用!$AC$51,(MOD(2-計算用!$AA$51+1,4)+1)*2-1)))&amp;"")</f>
        <v/>
      </c>
      <c r="AM51">
        <f>IF(計算用!$Z$51="","",IF(計算用!$U$24,IF(計算用!$Z$51="A",INDEX(手直し!$B$6:$E$42,計算用!$AC$51,MOD(3-計算用!$AA$51+1,4)+1),INDEX(手直し!$G$6:$J$42,計算用!$AC$51,MOD(3-計算用!$AA$51+1,4)+1)),IF(計算用!$Z$51="A",INDEX(組分け!$B$5:$I$41,計算用!$AC$51,(MOD(3-計算用!$AA$51+1,4)+1)*2-1),INDEX(組分け!$L$5:$S$41,計算用!$AC$51,(MOD(3-計算用!$AA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IF(Z51="","",IFERROR(MOD(MATCH(0,$AF51:$AI51,0)-1-AA51+1,4),""))</f>
        <v/>
      </c>
      <c r="AQ51">
        <f>IF(Z51="","",IFERROR(MOD(MATCH(1,$AF51:$AI51,0)-1-AA51+1,4),""))</f>
        <v/>
      </c>
      <c r="AR51">
        <f>IF(Z51="","",IFERROR(MOD(MATCH(2,$AF51:$AI51,0)-1-AA51+1,4),""))</f>
        <v/>
      </c>
      <c r="AS51">
        <f>IF(Z51="","",IFERROR(MOD(MATCH(3,$AF51:$AI51,0)-1-AA51+1,4),""))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A$52+1,4)+1),INDEX(手直し!$G$6:$J$42,計算用!$AC$52,MOD(0-計算用!$AA$52+1,4)+1)),IF(計算用!$Z$52="A",INDEX(組分け!$B$5:$I$41,計算用!$AC$52,(MOD(0-計算用!$AA$52+1,4)+1)*2-1),INDEX(組分け!$L$5:$S$41,計算用!$AC$52,(MOD(0-計算用!$AA$52+1,4)+1)*2-1)))&amp;"")</f>
        <v/>
      </c>
      <c r="AK52">
        <f>IF(計算用!$Z$52="","",IF(計算用!$U$24,IF(計算用!$Z$52="A",INDEX(手直し!$B$6:$E$42,計算用!$AC$52,MOD(1-計算用!$AA$52+1,4)+1),INDEX(手直し!$G$6:$J$42,計算用!$AC$52,MOD(1-計算用!$AA$52+1,4)+1)),IF(計算用!$Z$52="A",INDEX(組分け!$B$5:$I$41,計算用!$AC$52,(MOD(1-計算用!$AA$52+1,4)+1)*2-1),INDEX(組分け!$L$5:$S$41,計算用!$AC$52,(MOD(1-計算用!$AA$52+1,4)+1)*2-1)))&amp;"")</f>
        <v/>
      </c>
      <c r="AL52">
        <f>IF(計算用!$Z$52="","",IF(計算用!$U$24,IF(計算用!$Z$52="A",INDEX(手直し!$B$6:$E$42,計算用!$AC$52,MOD(2-計算用!$AA$52+1,4)+1),INDEX(手直し!$G$6:$J$42,計算用!$AC$52,MOD(2-計算用!$AA$52+1,4)+1)),IF(計算用!$Z$52="A",INDEX(組分け!$B$5:$I$41,計算用!$AC$52,(MOD(2-計算用!$AA$52+1,4)+1)*2-1),INDEX(組分け!$L$5:$S$41,計算用!$AC$52,(MOD(2-計算用!$AA$52+1,4)+1)*2-1)))&amp;"")</f>
        <v/>
      </c>
      <c r="AM52">
        <f>IF(計算用!$Z$52="","",IF(計算用!$U$24,IF(計算用!$Z$52="A",INDEX(手直し!$B$6:$E$42,計算用!$AC$52,MOD(3-計算用!$AA$52+1,4)+1),INDEX(手直し!$G$6:$J$42,計算用!$AC$52,MOD(3-計算用!$AA$52+1,4)+1)),IF(計算用!$Z$52="A",INDEX(組分け!$B$5:$I$41,計算用!$AC$52,(MOD(3-計算用!$AA$52+1,4)+1)*2-1),INDEX(組分け!$L$5:$S$41,計算用!$AC$52,(MOD(3-計算用!$AA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IF(Z52="","",IFERROR(MOD(MATCH(0,$AF52:$AI52,0)-1-AA52+1,4),""))</f>
        <v/>
      </c>
      <c r="AQ52">
        <f>IF(Z52="","",IFERROR(MOD(MATCH(1,$AF52:$AI52,0)-1-AA52+1,4),""))</f>
        <v/>
      </c>
      <c r="AR52">
        <f>IF(Z52="","",IFERROR(MOD(MATCH(2,$AF52:$AI52,0)-1-AA52+1,4),""))</f>
        <v/>
      </c>
      <c r="AS52">
        <f>IF(Z52="","",IFERROR(MOD(MATCH(3,$AF52:$AI52,0)-1-AA52+1,4),""))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A$53+1,4)+1),INDEX(手直し!$G$6:$J$42,計算用!$AC$53,MOD(0-計算用!$AA$53+1,4)+1)),IF(計算用!$Z$53="A",INDEX(組分け!$B$5:$I$41,計算用!$AC$53,(MOD(0-計算用!$AA$53+1,4)+1)*2-1),INDEX(組分け!$L$5:$S$41,計算用!$AC$53,(MOD(0-計算用!$AA$53+1,4)+1)*2-1)))&amp;"")</f>
        <v/>
      </c>
      <c r="AK53">
        <f>IF(計算用!$Z$53="","",IF(計算用!$U$24,IF(計算用!$Z$53="A",INDEX(手直し!$B$6:$E$42,計算用!$AC$53,MOD(1-計算用!$AA$53+1,4)+1),INDEX(手直し!$G$6:$J$42,計算用!$AC$53,MOD(1-計算用!$AA$53+1,4)+1)),IF(計算用!$Z$53="A",INDEX(組分け!$B$5:$I$41,計算用!$AC$53,(MOD(1-計算用!$AA$53+1,4)+1)*2-1),INDEX(組分け!$L$5:$S$41,計算用!$AC$53,(MOD(1-計算用!$AA$53+1,4)+1)*2-1)))&amp;"")</f>
        <v/>
      </c>
      <c r="AL53">
        <f>IF(計算用!$Z$53="","",IF(計算用!$U$24,IF(計算用!$Z$53="A",INDEX(手直し!$B$6:$E$42,計算用!$AC$53,MOD(2-計算用!$AA$53+1,4)+1),INDEX(手直し!$G$6:$J$42,計算用!$AC$53,MOD(2-計算用!$AA$53+1,4)+1)),IF(計算用!$Z$53="A",INDEX(組分け!$B$5:$I$41,計算用!$AC$53,(MOD(2-計算用!$AA$53+1,4)+1)*2-1),INDEX(組分け!$L$5:$S$41,計算用!$AC$53,(MOD(2-計算用!$AA$53+1,4)+1)*2-1)))&amp;"")</f>
        <v/>
      </c>
      <c r="AM53">
        <f>IF(計算用!$Z$53="","",IF(計算用!$U$24,IF(計算用!$Z$53="A",INDEX(手直し!$B$6:$E$42,計算用!$AC$53,MOD(3-計算用!$AA$53+1,4)+1),INDEX(手直し!$G$6:$J$42,計算用!$AC$53,MOD(3-計算用!$AA$53+1,4)+1)),IF(計算用!$Z$53="A",INDEX(組分け!$B$5:$I$41,計算用!$AC$53,(MOD(3-計算用!$AA$53+1,4)+1)*2-1),INDEX(組分け!$L$5:$S$41,計算用!$AC$53,(MOD(3-計算用!$AA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IF(Z53="","",IFERROR(MOD(MATCH(0,$AF53:$AI53,0)-1-AA53+1,4),""))</f>
        <v/>
      </c>
      <c r="AQ53">
        <f>IF(Z53="","",IFERROR(MOD(MATCH(1,$AF53:$AI53,0)-1-AA53+1,4),""))</f>
        <v/>
      </c>
      <c r="AR53">
        <f>IF(Z53="","",IFERROR(MOD(MATCH(2,$AF53:$AI53,0)-1-AA53+1,4),""))</f>
        <v/>
      </c>
      <c r="AS53">
        <f>IF(Z53="","",IFERROR(MOD(MATCH(3,$AF53:$AI53,0)-1-AA53+1,4),""))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A$54+1,4)+1),INDEX(手直し!$G$6:$J$42,計算用!$AC$54,MOD(0-計算用!$AA$54+1,4)+1)),IF(計算用!$Z$54="A",INDEX(組分け!$B$5:$I$41,計算用!$AC$54,(MOD(0-計算用!$AA$54+1,4)+1)*2-1),INDEX(組分け!$L$5:$S$41,計算用!$AC$54,(MOD(0-計算用!$AA$54+1,4)+1)*2-1)))&amp;"")</f>
        <v/>
      </c>
      <c r="AK54">
        <f>IF(計算用!$Z$54="","",IF(計算用!$U$24,IF(計算用!$Z$54="A",INDEX(手直し!$B$6:$E$42,計算用!$AC$54,MOD(1-計算用!$AA$54+1,4)+1),INDEX(手直し!$G$6:$J$42,計算用!$AC$54,MOD(1-計算用!$AA$54+1,4)+1)),IF(計算用!$Z$54="A",INDEX(組分け!$B$5:$I$41,計算用!$AC$54,(MOD(1-計算用!$AA$54+1,4)+1)*2-1),INDEX(組分け!$L$5:$S$41,計算用!$AC$54,(MOD(1-計算用!$AA$54+1,4)+1)*2-1)))&amp;"")</f>
        <v/>
      </c>
      <c r="AL54">
        <f>IF(計算用!$Z$54="","",IF(計算用!$U$24,IF(計算用!$Z$54="A",INDEX(手直し!$B$6:$E$42,計算用!$AC$54,MOD(2-計算用!$AA$54+1,4)+1),INDEX(手直し!$G$6:$J$42,計算用!$AC$54,MOD(2-計算用!$AA$54+1,4)+1)),IF(計算用!$Z$54="A",INDEX(組分け!$B$5:$I$41,計算用!$AC$54,(MOD(2-計算用!$AA$54+1,4)+1)*2-1),INDEX(組分け!$L$5:$S$41,計算用!$AC$54,(MOD(2-計算用!$AA$54+1,4)+1)*2-1)))&amp;"")</f>
        <v/>
      </c>
      <c r="AM54">
        <f>IF(計算用!$Z$54="","",IF(計算用!$U$24,IF(計算用!$Z$54="A",INDEX(手直し!$B$6:$E$42,計算用!$AC$54,MOD(3-計算用!$AA$54+1,4)+1),INDEX(手直し!$G$6:$J$42,計算用!$AC$54,MOD(3-計算用!$AA$54+1,4)+1)),IF(計算用!$Z$54="A",INDEX(組分け!$B$5:$I$41,計算用!$AC$54,(MOD(3-計算用!$AA$54+1,4)+1)*2-1),INDEX(組分け!$L$5:$S$41,計算用!$AC$54,(MOD(3-計算用!$AA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IF(Z54="","",IFERROR(MOD(MATCH(0,$AF54:$AI54,0)-1-AA54+1,4),""))</f>
        <v/>
      </c>
      <c r="AQ54">
        <f>IF(Z54="","",IFERROR(MOD(MATCH(1,$AF54:$AI54,0)-1-AA54+1,4),""))</f>
        <v/>
      </c>
      <c r="AR54">
        <f>IF(Z54="","",IFERROR(MOD(MATCH(2,$AF54:$AI54,0)-1-AA54+1,4),""))</f>
        <v/>
      </c>
      <c r="AS54">
        <f>IF(Z54="","",IFERROR(MOD(MATCH(3,$AF54:$AI54,0)-1-AA54+1,4),""))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A$55+1,4)+1),INDEX(手直し!$G$6:$J$42,計算用!$AC$55,MOD(0-計算用!$AA$55+1,4)+1)),IF(計算用!$Z$55="A",INDEX(組分け!$B$5:$I$41,計算用!$AC$55,(MOD(0-計算用!$AA$55+1,4)+1)*2-1),INDEX(組分け!$L$5:$S$41,計算用!$AC$55,(MOD(0-計算用!$AA$55+1,4)+1)*2-1)))&amp;"")</f>
        <v/>
      </c>
      <c r="AK55">
        <f>IF(計算用!$Z$55="","",IF(計算用!$U$24,IF(計算用!$Z$55="A",INDEX(手直し!$B$6:$E$42,計算用!$AC$55,MOD(1-計算用!$AA$55+1,4)+1),INDEX(手直し!$G$6:$J$42,計算用!$AC$55,MOD(1-計算用!$AA$55+1,4)+1)),IF(計算用!$Z$55="A",INDEX(組分け!$B$5:$I$41,計算用!$AC$55,(MOD(1-計算用!$AA$55+1,4)+1)*2-1),INDEX(組分け!$L$5:$S$41,計算用!$AC$55,(MOD(1-計算用!$AA$55+1,4)+1)*2-1)))&amp;"")</f>
        <v/>
      </c>
      <c r="AL55">
        <f>IF(計算用!$Z$55="","",IF(計算用!$U$24,IF(計算用!$Z$55="A",INDEX(手直し!$B$6:$E$42,計算用!$AC$55,MOD(2-計算用!$AA$55+1,4)+1),INDEX(手直し!$G$6:$J$42,計算用!$AC$55,MOD(2-計算用!$AA$55+1,4)+1)),IF(計算用!$Z$55="A",INDEX(組分け!$B$5:$I$41,計算用!$AC$55,(MOD(2-計算用!$AA$55+1,4)+1)*2-1),INDEX(組分け!$L$5:$S$41,計算用!$AC$55,(MOD(2-計算用!$AA$55+1,4)+1)*2-1)))&amp;"")</f>
        <v/>
      </c>
      <c r="AM55">
        <f>IF(計算用!$Z$55="","",IF(計算用!$U$24,IF(計算用!$Z$55="A",INDEX(手直し!$B$6:$E$42,計算用!$AC$55,MOD(3-計算用!$AA$55+1,4)+1),INDEX(手直し!$G$6:$J$42,計算用!$AC$55,MOD(3-計算用!$AA$55+1,4)+1)),IF(計算用!$Z$55="A",INDEX(組分け!$B$5:$I$41,計算用!$AC$55,(MOD(3-計算用!$AA$55+1,4)+1)*2-1),INDEX(組分け!$L$5:$S$41,計算用!$AC$55,(MOD(3-計算用!$AA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IF(Z55="","",IFERROR(MOD(MATCH(0,$AF55:$AI55,0)-1-AA55+1,4),""))</f>
        <v/>
      </c>
      <c r="AQ55">
        <f>IF(Z55="","",IFERROR(MOD(MATCH(1,$AF55:$AI55,0)-1-AA55+1,4),""))</f>
        <v/>
      </c>
      <c r="AR55">
        <f>IF(Z55="","",IFERROR(MOD(MATCH(2,$AF55:$AI55,0)-1-AA55+1,4),""))</f>
        <v/>
      </c>
      <c r="AS55">
        <f>IF(Z55="","",IFERROR(MOD(MATCH(3,$AF55:$AI55,0)-1-AA55+1,4),""))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A$56+1,4)+1),INDEX(手直し!$G$6:$J$42,計算用!$AC$56,MOD(0-計算用!$AA$56+1,4)+1)),IF(計算用!$Z$56="A",INDEX(組分け!$B$5:$I$41,計算用!$AC$56,(MOD(0-計算用!$AA$56+1,4)+1)*2-1),INDEX(組分け!$L$5:$S$41,計算用!$AC$56,(MOD(0-計算用!$AA$56+1,4)+1)*2-1)))&amp;"")</f>
        <v/>
      </c>
      <c r="AK56">
        <f>IF(計算用!$Z$56="","",IF(計算用!$U$24,IF(計算用!$Z$56="A",INDEX(手直し!$B$6:$E$42,計算用!$AC$56,MOD(1-計算用!$AA$56+1,4)+1),INDEX(手直し!$G$6:$J$42,計算用!$AC$56,MOD(1-計算用!$AA$56+1,4)+1)),IF(計算用!$Z$56="A",INDEX(組分け!$B$5:$I$41,計算用!$AC$56,(MOD(1-計算用!$AA$56+1,4)+1)*2-1),INDEX(組分け!$L$5:$S$41,計算用!$AC$56,(MOD(1-計算用!$AA$56+1,4)+1)*2-1)))&amp;"")</f>
        <v/>
      </c>
      <c r="AL56">
        <f>IF(計算用!$Z$56="","",IF(計算用!$U$24,IF(計算用!$Z$56="A",INDEX(手直し!$B$6:$E$42,計算用!$AC$56,MOD(2-計算用!$AA$56+1,4)+1),INDEX(手直し!$G$6:$J$42,計算用!$AC$56,MOD(2-計算用!$AA$56+1,4)+1)),IF(計算用!$Z$56="A",INDEX(組分け!$B$5:$I$41,計算用!$AC$56,(MOD(2-計算用!$AA$56+1,4)+1)*2-1),INDEX(組分け!$L$5:$S$41,計算用!$AC$56,(MOD(2-計算用!$AA$56+1,4)+1)*2-1)))&amp;"")</f>
        <v/>
      </c>
      <c r="AM56">
        <f>IF(計算用!$Z$56="","",IF(計算用!$U$24,IF(計算用!$Z$56="A",INDEX(手直し!$B$6:$E$42,計算用!$AC$56,MOD(3-計算用!$AA$56+1,4)+1),INDEX(手直し!$G$6:$J$42,計算用!$AC$56,MOD(3-計算用!$AA$56+1,4)+1)),IF(計算用!$Z$56="A",INDEX(組分け!$B$5:$I$41,計算用!$AC$56,(MOD(3-計算用!$AA$56+1,4)+1)*2-1),INDEX(組分け!$L$5:$S$41,計算用!$AC$56,(MOD(3-計算用!$AA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IF(Z56="","",IFERROR(MOD(MATCH(0,$AF56:$AI56,0)-1-AA56+1,4),""))</f>
        <v/>
      </c>
      <c r="AQ56">
        <f>IF(Z56="","",IFERROR(MOD(MATCH(1,$AF56:$AI56,0)-1-AA56+1,4),""))</f>
        <v/>
      </c>
      <c r="AR56">
        <f>IF(Z56="","",IFERROR(MOD(MATCH(2,$AF56:$AI56,0)-1-AA56+1,4),""))</f>
        <v/>
      </c>
      <c r="AS56">
        <f>IF(Z56="","",IFERROR(MOD(MATCH(3,$AF56:$AI56,0)-1-AA56+1,4),""))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A$57+1,4)+1),INDEX(手直し!$G$6:$J$42,計算用!$AC$57,MOD(0-計算用!$AA$57+1,4)+1)),IF(計算用!$Z$57="A",INDEX(組分け!$B$5:$I$41,計算用!$AC$57,(MOD(0-計算用!$AA$57+1,4)+1)*2-1),INDEX(組分け!$L$5:$S$41,計算用!$AC$57,(MOD(0-計算用!$AA$57+1,4)+1)*2-1)))&amp;"")</f>
        <v/>
      </c>
      <c r="AK57">
        <f>IF(計算用!$Z$57="","",IF(計算用!$U$24,IF(計算用!$Z$57="A",INDEX(手直し!$B$6:$E$42,計算用!$AC$57,MOD(1-計算用!$AA$57+1,4)+1),INDEX(手直し!$G$6:$J$42,計算用!$AC$57,MOD(1-計算用!$AA$57+1,4)+1)),IF(計算用!$Z$57="A",INDEX(組分け!$B$5:$I$41,計算用!$AC$57,(MOD(1-計算用!$AA$57+1,4)+1)*2-1),INDEX(組分け!$L$5:$S$41,計算用!$AC$57,(MOD(1-計算用!$AA$57+1,4)+1)*2-1)))&amp;"")</f>
        <v/>
      </c>
      <c r="AL57">
        <f>IF(計算用!$Z$57="","",IF(計算用!$U$24,IF(計算用!$Z$57="A",INDEX(手直し!$B$6:$E$42,計算用!$AC$57,MOD(2-計算用!$AA$57+1,4)+1),INDEX(手直し!$G$6:$J$42,計算用!$AC$57,MOD(2-計算用!$AA$57+1,4)+1)),IF(計算用!$Z$57="A",INDEX(組分け!$B$5:$I$41,計算用!$AC$57,(MOD(2-計算用!$AA$57+1,4)+1)*2-1),INDEX(組分け!$L$5:$S$41,計算用!$AC$57,(MOD(2-計算用!$AA$57+1,4)+1)*2-1)))&amp;"")</f>
        <v/>
      </c>
      <c r="AM57">
        <f>IF(計算用!$Z$57="","",IF(計算用!$U$24,IF(計算用!$Z$57="A",INDEX(手直し!$B$6:$E$42,計算用!$AC$57,MOD(3-計算用!$AA$57+1,4)+1),INDEX(手直し!$G$6:$J$42,計算用!$AC$57,MOD(3-計算用!$AA$57+1,4)+1)),IF(計算用!$Z$57="A",INDEX(組分け!$B$5:$I$41,計算用!$AC$57,(MOD(3-計算用!$AA$57+1,4)+1)*2-1),INDEX(組分け!$L$5:$S$41,計算用!$AC$57,(MOD(3-計算用!$AA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IF(Z57="","",IFERROR(MOD(MATCH(0,$AF57:$AI57,0)-1-AA57+1,4),""))</f>
        <v/>
      </c>
      <c r="AQ57">
        <f>IF(Z57="","",IFERROR(MOD(MATCH(1,$AF57:$AI57,0)-1-AA57+1,4),""))</f>
        <v/>
      </c>
      <c r="AR57">
        <f>IF(Z57="","",IFERROR(MOD(MATCH(2,$AF57:$AI57,0)-1-AA57+1,4),""))</f>
        <v/>
      </c>
      <c r="AS57">
        <f>IF(Z57="","",IFERROR(MOD(MATCH(3,$AF57:$AI57,0)-1-AA57+1,4),""))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A$58+1,4)+1),INDEX(手直し!$G$6:$J$42,計算用!$AC$58,MOD(0-計算用!$AA$58+1,4)+1)),IF(計算用!$Z$58="A",INDEX(組分け!$B$5:$I$41,計算用!$AC$58,(MOD(0-計算用!$AA$58+1,4)+1)*2-1),INDEX(組分け!$L$5:$S$41,計算用!$AC$58,(MOD(0-計算用!$AA$58+1,4)+1)*2-1)))&amp;"")</f>
        <v/>
      </c>
      <c r="AK58">
        <f>IF(計算用!$Z$58="","",IF(計算用!$U$24,IF(計算用!$Z$58="A",INDEX(手直し!$B$6:$E$42,計算用!$AC$58,MOD(1-計算用!$AA$58+1,4)+1),INDEX(手直し!$G$6:$J$42,計算用!$AC$58,MOD(1-計算用!$AA$58+1,4)+1)),IF(計算用!$Z$58="A",INDEX(組分け!$B$5:$I$41,計算用!$AC$58,(MOD(1-計算用!$AA$58+1,4)+1)*2-1),INDEX(組分け!$L$5:$S$41,計算用!$AC$58,(MOD(1-計算用!$AA$58+1,4)+1)*2-1)))&amp;"")</f>
        <v/>
      </c>
      <c r="AL58">
        <f>IF(計算用!$Z$58="","",IF(計算用!$U$24,IF(計算用!$Z$58="A",INDEX(手直し!$B$6:$E$42,計算用!$AC$58,MOD(2-計算用!$AA$58+1,4)+1),INDEX(手直し!$G$6:$J$42,計算用!$AC$58,MOD(2-計算用!$AA$58+1,4)+1)),IF(計算用!$Z$58="A",INDEX(組分け!$B$5:$I$41,計算用!$AC$58,(MOD(2-計算用!$AA$58+1,4)+1)*2-1),INDEX(組分け!$L$5:$S$41,計算用!$AC$58,(MOD(2-計算用!$AA$58+1,4)+1)*2-1)))&amp;"")</f>
        <v/>
      </c>
      <c r="AM58">
        <f>IF(計算用!$Z$58="","",IF(計算用!$U$24,IF(計算用!$Z$58="A",INDEX(手直し!$B$6:$E$42,計算用!$AC$58,MOD(3-計算用!$AA$58+1,4)+1),INDEX(手直し!$G$6:$J$42,計算用!$AC$58,MOD(3-計算用!$AA$58+1,4)+1)),IF(計算用!$Z$58="A",INDEX(組分け!$B$5:$I$41,計算用!$AC$58,(MOD(3-計算用!$AA$58+1,4)+1)*2-1),INDEX(組分け!$L$5:$S$41,計算用!$AC$58,(MOD(3-計算用!$AA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IF(Z58="","",IFERROR(MOD(MATCH(0,$AF58:$AI58,0)-1-AA58+1,4),""))</f>
        <v/>
      </c>
      <c r="AQ58">
        <f>IF(Z58="","",IFERROR(MOD(MATCH(1,$AF58:$AI58,0)-1-AA58+1,4),""))</f>
        <v/>
      </c>
      <c r="AR58">
        <f>IF(Z58="","",IFERROR(MOD(MATCH(2,$AF58:$AI58,0)-1-AA58+1,4),""))</f>
        <v/>
      </c>
      <c r="AS58">
        <f>IF(Z58="","",IFERROR(MOD(MATCH(3,$AF58:$AI58,0)-1-AA58+1,4),""))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A$59+1,4)+1),INDEX(手直し!$G$6:$J$42,計算用!$AC$59,MOD(0-計算用!$AA$59+1,4)+1)),IF(計算用!$Z$59="A",INDEX(組分け!$B$5:$I$41,計算用!$AC$59,(MOD(0-計算用!$AA$59+1,4)+1)*2-1),INDEX(組分け!$L$5:$S$41,計算用!$AC$59,(MOD(0-計算用!$AA$59+1,4)+1)*2-1)))&amp;"")</f>
        <v/>
      </c>
      <c r="AK59">
        <f>IF(計算用!$Z$59="","",IF(計算用!$U$24,IF(計算用!$Z$59="A",INDEX(手直し!$B$6:$E$42,計算用!$AC$59,MOD(1-計算用!$AA$59+1,4)+1),INDEX(手直し!$G$6:$J$42,計算用!$AC$59,MOD(1-計算用!$AA$59+1,4)+1)),IF(計算用!$Z$59="A",INDEX(組分け!$B$5:$I$41,計算用!$AC$59,(MOD(1-計算用!$AA$59+1,4)+1)*2-1),INDEX(組分け!$L$5:$S$41,計算用!$AC$59,(MOD(1-計算用!$AA$59+1,4)+1)*2-1)))&amp;"")</f>
        <v/>
      </c>
      <c r="AL59">
        <f>IF(計算用!$Z$59="","",IF(計算用!$U$24,IF(計算用!$Z$59="A",INDEX(手直し!$B$6:$E$42,計算用!$AC$59,MOD(2-計算用!$AA$59+1,4)+1),INDEX(手直し!$G$6:$J$42,計算用!$AC$59,MOD(2-計算用!$AA$59+1,4)+1)),IF(計算用!$Z$59="A",INDEX(組分け!$B$5:$I$41,計算用!$AC$59,(MOD(2-計算用!$AA$59+1,4)+1)*2-1),INDEX(組分け!$L$5:$S$41,計算用!$AC$59,(MOD(2-計算用!$AA$59+1,4)+1)*2-1)))&amp;"")</f>
        <v/>
      </c>
      <c r="AM59">
        <f>IF(計算用!$Z$59="","",IF(計算用!$U$24,IF(計算用!$Z$59="A",INDEX(手直し!$B$6:$E$42,計算用!$AC$59,MOD(3-計算用!$AA$59+1,4)+1),INDEX(手直し!$G$6:$J$42,計算用!$AC$59,MOD(3-計算用!$AA$59+1,4)+1)),IF(計算用!$Z$59="A",INDEX(組分け!$B$5:$I$41,計算用!$AC$59,(MOD(3-計算用!$AA$59+1,4)+1)*2-1),INDEX(組分け!$L$5:$S$41,計算用!$AC$59,(MOD(3-計算用!$AA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IF(Z59="","",IFERROR(MOD(MATCH(0,$AF59:$AI59,0)-1-AA59+1,4),""))</f>
        <v/>
      </c>
      <c r="AQ59">
        <f>IF(Z59="","",IFERROR(MOD(MATCH(1,$AF59:$AI59,0)-1-AA59+1,4),""))</f>
        <v/>
      </c>
      <c r="AR59">
        <f>IF(Z59="","",IFERROR(MOD(MATCH(2,$AF59:$AI59,0)-1-AA59+1,4),""))</f>
        <v/>
      </c>
      <c r="AS59">
        <f>IF(Z59="","",IFERROR(MOD(MATCH(3,$AF59:$AI59,0)-1-AA59+1,4),""))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A$60+1,4)+1),INDEX(手直し!$G$6:$J$42,計算用!$AC$60,MOD(0-計算用!$AA$60+1,4)+1)),IF(計算用!$Z$60="A",INDEX(組分け!$B$5:$I$41,計算用!$AC$60,(MOD(0-計算用!$AA$60+1,4)+1)*2-1),INDEX(組分け!$L$5:$S$41,計算用!$AC$60,(MOD(0-計算用!$AA$60+1,4)+1)*2-1)))&amp;"")</f>
        <v/>
      </c>
      <c r="AK60">
        <f>IF(計算用!$Z$60="","",IF(計算用!$U$24,IF(計算用!$Z$60="A",INDEX(手直し!$B$6:$E$42,計算用!$AC$60,MOD(1-計算用!$AA$60+1,4)+1),INDEX(手直し!$G$6:$J$42,計算用!$AC$60,MOD(1-計算用!$AA$60+1,4)+1)),IF(計算用!$Z$60="A",INDEX(組分け!$B$5:$I$41,計算用!$AC$60,(MOD(1-計算用!$AA$60+1,4)+1)*2-1),INDEX(組分け!$L$5:$S$41,計算用!$AC$60,(MOD(1-計算用!$AA$60+1,4)+1)*2-1)))&amp;"")</f>
        <v/>
      </c>
      <c r="AL60">
        <f>IF(計算用!$Z$60="","",IF(計算用!$U$24,IF(計算用!$Z$60="A",INDEX(手直し!$B$6:$E$42,計算用!$AC$60,MOD(2-計算用!$AA$60+1,4)+1),INDEX(手直し!$G$6:$J$42,計算用!$AC$60,MOD(2-計算用!$AA$60+1,4)+1)),IF(計算用!$Z$60="A",INDEX(組分け!$B$5:$I$41,計算用!$AC$60,(MOD(2-計算用!$AA$60+1,4)+1)*2-1),INDEX(組分け!$L$5:$S$41,計算用!$AC$60,(MOD(2-計算用!$AA$60+1,4)+1)*2-1)))&amp;"")</f>
        <v/>
      </c>
      <c r="AM60">
        <f>IF(計算用!$Z$60="","",IF(計算用!$U$24,IF(計算用!$Z$60="A",INDEX(手直し!$B$6:$E$42,計算用!$AC$60,MOD(3-計算用!$AA$60+1,4)+1),INDEX(手直し!$G$6:$J$42,計算用!$AC$60,MOD(3-計算用!$AA$60+1,4)+1)),IF(計算用!$Z$60="A",INDEX(組分け!$B$5:$I$41,計算用!$AC$60,(MOD(3-計算用!$AA$60+1,4)+1)*2-1),INDEX(組分け!$L$5:$S$41,計算用!$AC$60,(MOD(3-計算用!$AA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IF(Z60="","",IFERROR(MOD(MATCH(0,$AF60:$AI60,0)-1-AA60+1,4),""))</f>
        <v/>
      </c>
      <c r="AQ60">
        <f>IF(Z60="","",IFERROR(MOD(MATCH(1,$AF60:$AI60,0)-1-AA60+1,4),""))</f>
        <v/>
      </c>
      <c r="AR60">
        <f>IF(Z60="","",IFERROR(MOD(MATCH(2,$AF60:$AI60,0)-1-AA60+1,4),""))</f>
        <v/>
      </c>
      <c r="AS60">
        <f>IF(Z60="","",IFERROR(MOD(MATCH(3,$AF60:$AI60,0)-1-AA60+1,4),""))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A$61+1,4)+1),INDEX(手直し!$G$6:$J$42,計算用!$AC$61,MOD(0-計算用!$AA$61+1,4)+1)),IF(計算用!$Z$61="A",INDEX(組分け!$B$5:$I$41,計算用!$AC$61,(MOD(0-計算用!$AA$61+1,4)+1)*2-1),INDEX(組分け!$L$5:$S$41,計算用!$AC$61,(MOD(0-計算用!$AA$61+1,4)+1)*2-1)))&amp;"")</f>
        <v/>
      </c>
      <c r="AK61">
        <f>IF(計算用!$Z$61="","",IF(計算用!$U$24,IF(計算用!$Z$61="A",INDEX(手直し!$B$6:$E$42,計算用!$AC$61,MOD(1-計算用!$AA$61+1,4)+1),INDEX(手直し!$G$6:$J$42,計算用!$AC$61,MOD(1-計算用!$AA$61+1,4)+1)),IF(計算用!$Z$61="A",INDEX(組分け!$B$5:$I$41,計算用!$AC$61,(MOD(1-計算用!$AA$61+1,4)+1)*2-1),INDEX(組分け!$L$5:$S$41,計算用!$AC$61,(MOD(1-計算用!$AA$61+1,4)+1)*2-1)))&amp;"")</f>
        <v/>
      </c>
      <c r="AL61">
        <f>IF(計算用!$Z$61="","",IF(計算用!$U$24,IF(計算用!$Z$61="A",INDEX(手直し!$B$6:$E$42,計算用!$AC$61,MOD(2-計算用!$AA$61+1,4)+1),INDEX(手直し!$G$6:$J$42,計算用!$AC$61,MOD(2-計算用!$AA$61+1,4)+1)),IF(計算用!$Z$61="A",INDEX(組分け!$B$5:$I$41,計算用!$AC$61,(MOD(2-計算用!$AA$61+1,4)+1)*2-1),INDEX(組分け!$L$5:$S$41,計算用!$AC$61,(MOD(2-計算用!$AA$61+1,4)+1)*2-1)))&amp;"")</f>
        <v/>
      </c>
      <c r="AM61">
        <f>IF(計算用!$Z$61="","",IF(計算用!$U$24,IF(計算用!$Z$61="A",INDEX(手直し!$B$6:$E$42,計算用!$AC$61,MOD(3-計算用!$AA$61+1,4)+1),INDEX(手直し!$G$6:$J$42,計算用!$AC$61,MOD(3-計算用!$AA$61+1,4)+1)),IF(計算用!$Z$61="A",INDEX(組分け!$B$5:$I$41,計算用!$AC$61,(MOD(3-計算用!$AA$61+1,4)+1)*2-1),INDEX(組分け!$L$5:$S$41,計算用!$AC$61,(MOD(3-計算用!$AA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IF(Z61="","",IFERROR(MOD(MATCH(0,$AF61:$AI61,0)-1-AA61+1,4),""))</f>
        <v/>
      </c>
      <c r="AQ61">
        <f>IF(Z61="","",IFERROR(MOD(MATCH(1,$AF61:$AI61,0)-1-AA61+1,4),""))</f>
        <v/>
      </c>
      <c r="AR61">
        <f>IF(Z61="","",IFERROR(MOD(MATCH(2,$AF61:$AI61,0)-1-AA61+1,4),""))</f>
        <v/>
      </c>
      <c r="AS61">
        <f>IF(Z61="","",IFERROR(MOD(MATCH(3,$AF61:$AI61,0)-1-AA61+1,4),""))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A$62+1,4)+1),INDEX(手直し!$G$6:$J$42,計算用!$AC$62,MOD(0-計算用!$AA$62+1,4)+1)),IF(計算用!$Z$62="A",INDEX(組分け!$B$5:$I$41,計算用!$AC$62,(MOD(0-計算用!$AA$62+1,4)+1)*2-1),INDEX(組分け!$L$5:$S$41,計算用!$AC$62,(MOD(0-計算用!$AA$62+1,4)+1)*2-1)))&amp;"")</f>
        <v/>
      </c>
      <c r="AK62">
        <f>IF(計算用!$Z$62="","",IF(計算用!$U$24,IF(計算用!$Z$62="A",INDEX(手直し!$B$6:$E$42,計算用!$AC$62,MOD(1-計算用!$AA$62+1,4)+1),INDEX(手直し!$G$6:$J$42,計算用!$AC$62,MOD(1-計算用!$AA$62+1,4)+1)),IF(計算用!$Z$62="A",INDEX(組分け!$B$5:$I$41,計算用!$AC$62,(MOD(1-計算用!$AA$62+1,4)+1)*2-1),INDEX(組分け!$L$5:$S$41,計算用!$AC$62,(MOD(1-計算用!$AA$62+1,4)+1)*2-1)))&amp;"")</f>
        <v/>
      </c>
      <c r="AL62">
        <f>IF(計算用!$Z$62="","",IF(計算用!$U$24,IF(計算用!$Z$62="A",INDEX(手直し!$B$6:$E$42,計算用!$AC$62,MOD(2-計算用!$AA$62+1,4)+1),INDEX(手直し!$G$6:$J$42,計算用!$AC$62,MOD(2-計算用!$AA$62+1,4)+1)),IF(計算用!$Z$62="A",INDEX(組分け!$B$5:$I$41,計算用!$AC$62,(MOD(2-計算用!$AA$62+1,4)+1)*2-1),INDEX(組分け!$L$5:$S$41,計算用!$AC$62,(MOD(2-計算用!$AA$62+1,4)+1)*2-1)))&amp;"")</f>
        <v/>
      </c>
      <c r="AM62">
        <f>IF(計算用!$Z$62="","",IF(計算用!$U$24,IF(計算用!$Z$62="A",INDEX(手直し!$B$6:$E$42,計算用!$AC$62,MOD(3-計算用!$AA$62+1,4)+1),INDEX(手直し!$G$6:$J$42,計算用!$AC$62,MOD(3-計算用!$AA$62+1,4)+1)),IF(計算用!$Z$62="A",INDEX(組分け!$B$5:$I$41,計算用!$AC$62,(MOD(3-計算用!$AA$62+1,4)+1)*2-1),INDEX(組分け!$L$5:$S$41,計算用!$AC$62,(MOD(3-計算用!$AA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IF(Z62="","",IFERROR(MOD(MATCH(0,$AF62:$AI62,0)-1-AA62+1,4),""))</f>
        <v/>
      </c>
      <c r="AQ62">
        <f>IF(Z62="","",IFERROR(MOD(MATCH(1,$AF62:$AI62,0)-1-AA62+1,4),""))</f>
        <v/>
      </c>
      <c r="AR62">
        <f>IF(Z62="","",IFERROR(MOD(MATCH(2,$AF62:$AI62,0)-1-AA62+1,4),""))</f>
        <v/>
      </c>
      <c r="AS62">
        <f>IF(Z62="","",IFERROR(MOD(MATCH(3,$AF62:$AI62,0)-1-AA62+1,4),""))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A$63+1,4)+1),INDEX(手直し!$G$6:$J$42,計算用!$AC$63,MOD(0-計算用!$AA$63+1,4)+1)),IF(計算用!$Z$63="A",INDEX(組分け!$B$5:$I$41,計算用!$AC$63,(MOD(0-計算用!$AA$63+1,4)+1)*2-1),INDEX(組分け!$L$5:$S$41,計算用!$AC$63,(MOD(0-計算用!$AA$63+1,4)+1)*2-1)))&amp;"")</f>
        <v/>
      </c>
      <c r="AK63">
        <f>IF(計算用!$Z$63="","",IF(計算用!$U$24,IF(計算用!$Z$63="A",INDEX(手直し!$B$6:$E$42,計算用!$AC$63,MOD(1-計算用!$AA$63+1,4)+1),INDEX(手直し!$G$6:$J$42,計算用!$AC$63,MOD(1-計算用!$AA$63+1,4)+1)),IF(計算用!$Z$63="A",INDEX(組分け!$B$5:$I$41,計算用!$AC$63,(MOD(1-計算用!$AA$63+1,4)+1)*2-1),INDEX(組分け!$L$5:$S$41,計算用!$AC$63,(MOD(1-計算用!$AA$63+1,4)+1)*2-1)))&amp;"")</f>
        <v/>
      </c>
      <c r="AL63">
        <f>IF(計算用!$Z$63="","",IF(計算用!$U$24,IF(計算用!$Z$63="A",INDEX(手直し!$B$6:$E$42,計算用!$AC$63,MOD(2-計算用!$AA$63+1,4)+1),INDEX(手直し!$G$6:$J$42,計算用!$AC$63,MOD(2-計算用!$AA$63+1,4)+1)),IF(計算用!$Z$63="A",INDEX(組分け!$B$5:$I$41,計算用!$AC$63,(MOD(2-計算用!$AA$63+1,4)+1)*2-1),INDEX(組分け!$L$5:$S$41,計算用!$AC$63,(MOD(2-計算用!$AA$63+1,4)+1)*2-1)))&amp;"")</f>
        <v/>
      </c>
      <c r="AM63">
        <f>IF(計算用!$Z$63="","",IF(計算用!$U$24,IF(計算用!$Z$63="A",INDEX(手直し!$B$6:$E$42,計算用!$AC$63,MOD(3-計算用!$AA$63+1,4)+1),INDEX(手直し!$G$6:$J$42,計算用!$AC$63,MOD(3-計算用!$AA$63+1,4)+1)),IF(計算用!$Z$63="A",INDEX(組分け!$B$5:$I$41,計算用!$AC$63,(MOD(3-計算用!$AA$63+1,4)+1)*2-1),INDEX(組分け!$L$5:$S$41,計算用!$AC$63,(MOD(3-計算用!$AA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IF(Z63="","",IFERROR(MOD(MATCH(0,$AF63:$AI63,0)-1-AA63+1,4),""))</f>
        <v/>
      </c>
      <c r="AQ63">
        <f>IF(Z63="","",IFERROR(MOD(MATCH(1,$AF63:$AI63,0)-1-AA63+1,4),""))</f>
        <v/>
      </c>
      <c r="AR63">
        <f>IF(Z63="","",IFERROR(MOD(MATCH(2,$AF63:$AI63,0)-1-AA63+1,4),""))</f>
        <v/>
      </c>
      <c r="AS63">
        <f>IF(Z63="","",IFERROR(MOD(MATCH(3,$AF63:$AI63,0)-1-AA63+1,4),""))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A$64+1,4)+1),INDEX(手直し!$G$6:$J$42,計算用!$AC$64,MOD(0-計算用!$AA$64+1,4)+1)),IF(計算用!$Z$64="A",INDEX(組分け!$B$5:$I$41,計算用!$AC$64,(MOD(0-計算用!$AA$64+1,4)+1)*2-1),INDEX(組分け!$L$5:$S$41,計算用!$AC$64,(MOD(0-計算用!$AA$64+1,4)+1)*2-1)))&amp;"")</f>
        <v/>
      </c>
      <c r="AK64">
        <f>IF(計算用!$Z$64="","",IF(計算用!$U$24,IF(計算用!$Z$64="A",INDEX(手直し!$B$6:$E$42,計算用!$AC$64,MOD(1-計算用!$AA$64+1,4)+1),INDEX(手直し!$G$6:$J$42,計算用!$AC$64,MOD(1-計算用!$AA$64+1,4)+1)),IF(計算用!$Z$64="A",INDEX(組分け!$B$5:$I$41,計算用!$AC$64,(MOD(1-計算用!$AA$64+1,4)+1)*2-1),INDEX(組分け!$L$5:$S$41,計算用!$AC$64,(MOD(1-計算用!$AA$64+1,4)+1)*2-1)))&amp;"")</f>
        <v/>
      </c>
      <c r="AL64">
        <f>IF(計算用!$Z$64="","",IF(計算用!$U$24,IF(計算用!$Z$64="A",INDEX(手直し!$B$6:$E$42,計算用!$AC$64,MOD(2-計算用!$AA$64+1,4)+1),INDEX(手直し!$G$6:$J$42,計算用!$AC$64,MOD(2-計算用!$AA$64+1,4)+1)),IF(計算用!$Z$64="A",INDEX(組分け!$B$5:$I$41,計算用!$AC$64,(MOD(2-計算用!$AA$64+1,4)+1)*2-1),INDEX(組分け!$L$5:$S$41,計算用!$AC$64,(MOD(2-計算用!$AA$64+1,4)+1)*2-1)))&amp;"")</f>
        <v/>
      </c>
      <c r="AM64">
        <f>IF(計算用!$Z$64="","",IF(計算用!$U$24,IF(計算用!$Z$64="A",INDEX(手直し!$B$6:$E$42,計算用!$AC$64,MOD(3-計算用!$AA$64+1,4)+1),INDEX(手直し!$G$6:$J$42,計算用!$AC$64,MOD(3-計算用!$AA$64+1,4)+1)),IF(計算用!$Z$64="A",INDEX(組分け!$B$5:$I$41,計算用!$AC$64,(MOD(3-計算用!$AA$64+1,4)+1)*2-1),INDEX(組分け!$L$5:$S$41,計算用!$AC$64,(MOD(3-計算用!$AA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IF(Z64="","",IFERROR(MOD(MATCH(0,$AF64:$AI64,0)-1-AA64+1,4),""))</f>
        <v/>
      </c>
      <c r="AQ64">
        <f>IF(Z64="","",IFERROR(MOD(MATCH(1,$AF64:$AI64,0)-1-AA64+1,4),""))</f>
        <v/>
      </c>
      <c r="AR64">
        <f>IF(Z64="","",IFERROR(MOD(MATCH(2,$AF64:$AI64,0)-1-AA64+1,4),""))</f>
        <v/>
      </c>
      <c r="AS64">
        <f>IF(Z64="","",IFERROR(MOD(MATCH(3,$AF64:$AI64,0)-1-AA64+1,4),""))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A$65+1,4)+1),INDEX(手直し!$G$6:$J$42,計算用!$AC$65,MOD(0-計算用!$AA$65+1,4)+1)),IF(計算用!$Z$65="A",INDEX(組分け!$B$5:$I$41,計算用!$AC$65,(MOD(0-計算用!$AA$65+1,4)+1)*2-1),INDEX(組分け!$L$5:$S$41,計算用!$AC$65,(MOD(0-計算用!$AA$65+1,4)+1)*2-1)))&amp;"")</f>
        <v/>
      </c>
      <c r="AK65">
        <f>IF(計算用!$Z$65="","",IF(計算用!$U$24,IF(計算用!$Z$65="A",INDEX(手直し!$B$6:$E$42,計算用!$AC$65,MOD(1-計算用!$AA$65+1,4)+1),INDEX(手直し!$G$6:$J$42,計算用!$AC$65,MOD(1-計算用!$AA$65+1,4)+1)),IF(計算用!$Z$65="A",INDEX(組分け!$B$5:$I$41,計算用!$AC$65,(MOD(1-計算用!$AA$65+1,4)+1)*2-1),INDEX(組分け!$L$5:$S$41,計算用!$AC$65,(MOD(1-計算用!$AA$65+1,4)+1)*2-1)))&amp;"")</f>
        <v/>
      </c>
      <c r="AL65">
        <f>IF(計算用!$Z$65="","",IF(計算用!$U$24,IF(計算用!$Z$65="A",INDEX(手直し!$B$6:$E$42,計算用!$AC$65,MOD(2-計算用!$AA$65+1,4)+1),INDEX(手直し!$G$6:$J$42,計算用!$AC$65,MOD(2-計算用!$AA$65+1,4)+1)),IF(計算用!$Z$65="A",INDEX(組分け!$B$5:$I$41,計算用!$AC$65,(MOD(2-計算用!$AA$65+1,4)+1)*2-1),INDEX(組分け!$L$5:$S$41,計算用!$AC$65,(MOD(2-計算用!$AA$65+1,4)+1)*2-1)))&amp;"")</f>
        <v/>
      </c>
      <c r="AM65">
        <f>IF(計算用!$Z$65="","",IF(計算用!$U$24,IF(計算用!$Z$65="A",INDEX(手直し!$B$6:$E$42,計算用!$AC$65,MOD(3-計算用!$AA$65+1,4)+1),INDEX(手直し!$G$6:$J$42,計算用!$AC$65,MOD(3-計算用!$AA$65+1,4)+1)),IF(計算用!$Z$65="A",INDEX(組分け!$B$5:$I$41,計算用!$AC$65,(MOD(3-計算用!$AA$65+1,4)+1)*2-1),INDEX(組分け!$L$5:$S$41,計算用!$AC$65,(MOD(3-計算用!$AA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IF(Z65="","",IFERROR(MOD(MATCH(0,$AF65:$AI65,0)-1-AA65+1,4),""))</f>
        <v/>
      </c>
      <c r="AQ65">
        <f>IF(Z65="","",IFERROR(MOD(MATCH(1,$AF65:$AI65,0)-1-AA65+1,4),""))</f>
        <v/>
      </c>
      <c r="AR65">
        <f>IF(Z65="","",IFERROR(MOD(MATCH(2,$AF65:$AI65,0)-1-AA65+1,4),""))</f>
        <v/>
      </c>
      <c r="AS65">
        <f>IF(Z65="","",IFERROR(MOD(MATCH(3,$AF65:$AI65,0)-1-AA65+1,4),""))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A$66+1,4)+1),INDEX(手直し!$G$6:$J$42,計算用!$AC$66,MOD(0-計算用!$AA$66+1,4)+1)),IF(計算用!$Z$66="A",INDEX(組分け!$B$5:$I$41,計算用!$AC$66,(MOD(0-計算用!$AA$66+1,4)+1)*2-1),INDEX(組分け!$L$5:$S$41,計算用!$AC$66,(MOD(0-計算用!$AA$66+1,4)+1)*2-1)))&amp;"")</f>
        <v/>
      </c>
      <c r="AK66">
        <f>IF(計算用!$Z$66="","",IF(計算用!$U$24,IF(計算用!$Z$66="A",INDEX(手直し!$B$6:$E$42,計算用!$AC$66,MOD(1-計算用!$AA$66+1,4)+1),INDEX(手直し!$G$6:$J$42,計算用!$AC$66,MOD(1-計算用!$AA$66+1,4)+1)),IF(計算用!$Z$66="A",INDEX(組分け!$B$5:$I$41,計算用!$AC$66,(MOD(1-計算用!$AA$66+1,4)+1)*2-1),INDEX(組分け!$L$5:$S$41,計算用!$AC$66,(MOD(1-計算用!$AA$66+1,4)+1)*2-1)))&amp;"")</f>
        <v/>
      </c>
      <c r="AL66">
        <f>IF(計算用!$Z$66="","",IF(計算用!$U$24,IF(計算用!$Z$66="A",INDEX(手直し!$B$6:$E$42,計算用!$AC$66,MOD(2-計算用!$AA$66+1,4)+1),INDEX(手直し!$G$6:$J$42,計算用!$AC$66,MOD(2-計算用!$AA$66+1,4)+1)),IF(計算用!$Z$66="A",INDEX(組分け!$B$5:$I$41,計算用!$AC$66,(MOD(2-計算用!$AA$66+1,4)+1)*2-1),INDEX(組分け!$L$5:$S$41,計算用!$AC$66,(MOD(2-計算用!$AA$66+1,4)+1)*2-1)))&amp;"")</f>
        <v/>
      </c>
      <c r="AM66">
        <f>IF(計算用!$Z$66="","",IF(計算用!$U$24,IF(計算用!$Z$66="A",INDEX(手直し!$B$6:$E$42,計算用!$AC$66,MOD(3-計算用!$AA$66+1,4)+1),INDEX(手直し!$G$6:$J$42,計算用!$AC$66,MOD(3-計算用!$AA$66+1,4)+1)),IF(計算用!$Z$66="A",INDEX(組分け!$B$5:$I$41,計算用!$AC$66,(MOD(3-計算用!$AA$66+1,4)+1)*2-1),INDEX(組分け!$L$5:$S$41,計算用!$AC$66,(MOD(3-計算用!$AA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IF(Z66="","",IFERROR(MOD(MATCH(0,$AF66:$AI66,0)-1-AA66+1,4),""))</f>
        <v/>
      </c>
      <c r="AQ66">
        <f>IF(Z66="","",IFERROR(MOD(MATCH(1,$AF66:$AI66,0)-1-AA66+1,4),""))</f>
        <v/>
      </c>
      <c r="AR66">
        <f>IF(Z66="","",IFERROR(MOD(MATCH(2,$AF66:$AI66,0)-1-AA66+1,4),""))</f>
        <v/>
      </c>
      <c r="AS66">
        <f>IF(Z66="","",IFERROR(MOD(MATCH(3,$AF66:$AI66,0)-1-AA66+1,4),""))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A$67+1,4)+1),INDEX(手直し!$G$6:$J$42,計算用!$AC$67,MOD(0-計算用!$AA$67+1,4)+1)),IF(計算用!$Z$67="A",INDEX(組分け!$B$5:$I$41,計算用!$AC$67,(MOD(0-計算用!$AA$67+1,4)+1)*2-1),INDEX(組分け!$L$5:$S$41,計算用!$AC$67,(MOD(0-計算用!$AA$67+1,4)+1)*2-1)))&amp;"")</f>
        <v/>
      </c>
      <c r="AK67">
        <f>IF(計算用!$Z$67="","",IF(計算用!$U$24,IF(計算用!$Z$67="A",INDEX(手直し!$B$6:$E$42,計算用!$AC$67,MOD(1-計算用!$AA$67+1,4)+1),INDEX(手直し!$G$6:$J$42,計算用!$AC$67,MOD(1-計算用!$AA$67+1,4)+1)),IF(計算用!$Z$67="A",INDEX(組分け!$B$5:$I$41,計算用!$AC$67,(MOD(1-計算用!$AA$67+1,4)+1)*2-1),INDEX(組分け!$L$5:$S$41,計算用!$AC$67,(MOD(1-計算用!$AA$67+1,4)+1)*2-1)))&amp;"")</f>
        <v/>
      </c>
      <c r="AL67">
        <f>IF(計算用!$Z$67="","",IF(計算用!$U$24,IF(計算用!$Z$67="A",INDEX(手直し!$B$6:$E$42,計算用!$AC$67,MOD(2-計算用!$AA$67+1,4)+1),INDEX(手直し!$G$6:$J$42,計算用!$AC$67,MOD(2-計算用!$AA$67+1,4)+1)),IF(計算用!$Z$67="A",INDEX(組分け!$B$5:$I$41,計算用!$AC$67,(MOD(2-計算用!$AA$67+1,4)+1)*2-1),INDEX(組分け!$L$5:$S$41,計算用!$AC$67,(MOD(2-計算用!$AA$67+1,4)+1)*2-1)))&amp;"")</f>
        <v/>
      </c>
      <c r="AM67">
        <f>IF(計算用!$Z$67="","",IF(計算用!$U$24,IF(計算用!$Z$67="A",INDEX(手直し!$B$6:$E$42,計算用!$AC$67,MOD(3-計算用!$AA$67+1,4)+1),INDEX(手直し!$G$6:$J$42,計算用!$AC$67,MOD(3-計算用!$AA$67+1,4)+1)),IF(計算用!$Z$67="A",INDEX(組分け!$B$5:$I$41,計算用!$AC$67,(MOD(3-計算用!$AA$67+1,4)+1)*2-1),INDEX(組分け!$L$5:$S$41,計算用!$AC$67,(MOD(3-計算用!$AA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IF(Z67="","",IFERROR(MOD(MATCH(0,$AF67:$AI67,0)-1-AA67+1,4),""))</f>
        <v/>
      </c>
      <c r="AQ67">
        <f>IF(Z67="","",IFERROR(MOD(MATCH(1,$AF67:$AI67,0)-1-AA67+1,4),""))</f>
        <v/>
      </c>
      <c r="AR67">
        <f>IF(Z67="","",IFERROR(MOD(MATCH(2,$AF67:$AI67,0)-1-AA67+1,4),""))</f>
        <v/>
      </c>
      <c r="AS67">
        <f>IF(Z67="","",IFERROR(MOD(MATCH(3,$AF67:$AI67,0)-1-AA67+1,4),""))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A$68+1,4)+1),INDEX(手直し!$G$6:$J$42,計算用!$AC$68,MOD(0-計算用!$AA$68+1,4)+1)),IF(計算用!$Z$68="A",INDEX(組分け!$B$5:$I$41,計算用!$AC$68,(MOD(0-計算用!$AA$68+1,4)+1)*2-1),INDEX(組分け!$L$5:$S$41,計算用!$AC$68,(MOD(0-計算用!$AA$68+1,4)+1)*2-1)))&amp;"")</f>
        <v/>
      </c>
      <c r="AK68">
        <f>IF(計算用!$Z$68="","",IF(計算用!$U$24,IF(計算用!$Z$68="A",INDEX(手直し!$B$6:$E$42,計算用!$AC$68,MOD(1-計算用!$AA$68+1,4)+1),INDEX(手直し!$G$6:$J$42,計算用!$AC$68,MOD(1-計算用!$AA$68+1,4)+1)),IF(計算用!$Z$68="A",INDEX(組分け!$B$5:$I$41,計算用!$AC$68,(MOD(1-計算用!$AA$68+1,4)+1)*2-1),INDEX(組分け!$L$5:$S$41,計算用!$AC$68,(MOD(1-計算用!$AA$68+1,4)+1)*2-1)))&amp;"")</f>
        <v/>
      </c>
      <c r="AL68">
        <f>IF(計算用!$Z$68="","",IF(計算用!$U$24,IF(計算用!$Z$68="A",INDEX(手直し!$B$6:$E$42,計算用!$AC$68,MOD(2-計算用!$AA$68+1,4)+1),INDEX(手直し!$G$6:$J$42,計算用!$AC$68,MOD(2-計算用!$AA$68+1,4)+1)),IF(計算用!$Z$68="A",INDEX(組分け!$B$5:$I$41,計算用!$AC$68,(MOD(2-計算用!$AA$68+1,4)+1)*2-1),INDEX(組分け!$L$5:$S$41,計算用!$AC$68,(MOD(2-計算用!$AA$68+1,4)+1)*2-1)))&amp;"")</f>
        <v/>
      </c>
      <c r="AM68">
        <f>IF(計算用!$Z$68="","",IF(計算用!$U$24,IF(計算用!$Z$68="A",INDEX(手直し!$B$6:$E$42,計算用!$AC$68,MOD(3-計算用!$AA$68+1,4)+1),INDEX(手直し!$G$6:$J$42,計算用!$AC$68,MOD(3-計算用!$AA$68+1,4)+1)),IF(計算用!$Z$68="A",INDEX(組分け!$B$5:$I$41,計算用!$AC$68,(MOD(3-計算用!$AA$68+1,4)+1)*2-1),INDEX(組分け!$L$5:$S$41,計算用!$AC$68,(MOD(3-計算用!$AA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IF(Z68="","",IFERROR(MOD(MATCH(0,$AF68:$AI68,0)-1-AA68+1,4),""))</f>
        <v/>
      </c>
      <c r="AQ68">
        <f>IF(Z68="","",IFERROR(MOD(MATCH(1,$AF68:$AI68,0)-1-AA68+1,4),""))</f>
        <v/>
      </c>
      <c r="AR68">
        <f>IF(Z68="","",IFERROR(MOD(MATCH(2,$AF68:$AI68,0)-1-AA68+1,4),""))</f>
        <v/>
      </c>
      <c r="AS68">
        <f>IF(Z68="","",IFERROR(MOD(MATCH(3,$AF68:$AI68,0)-1-AA68+1,4),""))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A$69+1,4)+1),INDEX(手直し!$G$6:$J$42,計算用!$AC$69,MOD(0-計算用!$AA$69+1,4)+1)),IF(計算用!$Z$69="A",INDEX(組分け!$B$5:$I$41,計算用!$AC$69,(MOD(0-計算用!$AA$69+1,4)+1)*2-1),INDEX(組分け!$L$5:$S$41,計算用!$AC$69,(MOD(0-計算用!$AA$69+1,4)+1)*2-1)))&amp;"")</f>
        <v/>
      </c>
      <c r="AK69">
        <f>IF(計算用!$Z$69="","",IF(計算用!$U$24,IF(計算用!$Z$69="A",INDEX(手直し!$B$6:$E$42,計算用!$AC$69,MOD(1-計算用!$AA$69+1,4)+1),INDEX(手直し!$G$6:$J$42,計算用!$AC$69,MOD(1-計算用!$AA$69+1,4)+1)),IF(計算用!$Z$69="A",INDEX(組分け!$B$5:$I$41,計算用!$AC$69,(MOD(1-計算用!$AA$69+1,4)+1)*2-1),INDEX(組分け!$L$5:$S$41,計算用!$AC$69,(MOD(1-計算用!$AA$69+1,4)+1)*2-1)))&amp;"")</f>
        <v/>
      </c>
      <c r="AL69">
        <f>IF(計算用!$Z$69="","",IF(計算用!$U$24,IF(計算用!$Z$69="A",INDEX(手直し!$B$6:$E$42,計算用!$AC$69,MOD(2-計算用!$AA$69+1,4)+1),INDEX(手直し!$G$6:$J$42,計算用!$AC$69,MOD(2-計算用!$AA$69+1,4)+1)),IF(計算用!$Z$69="A",INDEX(組分け!$B$5:$I$41,計算用!$AC$69,(MOD(2-計算用!$AA$69+1,4)+1)*2-1),INDEX(組分け!$L$5:$S$41,計算用!$AC$69,(MOD(2-計算用!$AA$69+1,4)+1)*2-1)))&amp;"")</f>
        <v/>
      </c>
      <c r="AM69">
        <f>IF(計算用!$Z$69="","",IF(計算用!$U$24,IF(計算用!$Z$69="A",INDEX(手直し!$B$6:$E$42,計算用!$AC$69,MOD(3-計算用!$AA$69+1,4)+1),INDEX(手直し!$G$6:$J$42,計算用!$AC$69,MOD(3-計算用!$AA$69+1,4)+1)),IF(計算用!$Z$69="A",INDEX(組分け!$B$5:$I$41,計算用!$AC$69,(MOD(3-計算用!$AA$69+1,4)+1)*2-1),INDEX(組分け!$L$5:$S$41,計算用!$AC$69,(MOD(3-計算用!$AA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IF(Z69="","",IFERROR(MOD(MATCH(0,$AF69:$AI69,0)-1-AA69+1,4),""))</f>
        <v/>
      </c>
      <c r="AQ69">
        <f>IF(Z69="","",IFERROR(MOD(MATCH(1,$AF69:$AI69,0)-1-AA69+1,4),""))</f>
        <v/>
      </c>
      <c r="AR69">
        <f>IF(Z69="","",IFERROR(MOD(MATCH(2,$AF69:$AI69,0)-1-AA69+1,4),""))</f>
        <v/>
      </c>
      <c r="AS69">
        <f>IF(Z69="","",IFERROR(MOD(MATCH(3,$AF69:$AI69,0)-1-AA69+1,4),""))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A$70+1,4)+1),INDEX(手直し!$G$6:$J$42,計算用!$AC$70,MOD(0-計算用!$AA$70+1,4)+1)),IF(計算用!$Z$70="A",INDEX(組分け!$B$5:$I$41,計算用!$AC$70,(MOD(0-計算用!$AA$70+1,4)+1)*2-1),INDEX(組分け!$L$5:$S$41,計算用!$AC$70,(MOD(0-計算用!$AA$70+1,4)+1)*2-1)))&amp;"")</f>
        <v/>
      </c>
      <c r="AK70">
        <f>IF(計算用!$Z$70="","",IF(計算用!$U$24,IF(計算用!$Z$70="A",INDEX(手直し!$B$6:$E$42,計算用!$AC$70,MOD(1-計算用!$AA$70+1,4)+1),INDEX(手直し!$G$6:$J$42,計算用!$AC$70,MOD(1-計算用!$AA$70+1,4)+1)),IF(計算用!$Z$70="A",INDEX(組分け!$B$5:$I$41,計算用!$AC$70,(MOD(1-計算用!$AA$70+1,4)+1)*2-1),INDEX(組分け!$L$5:$S$41,計算用!$AC$70,(MOD(1-計算用!$AA$70+1,4)+1)*2-1)))&amp;"")</f>
        <v/>
      </c>
      <c r="AL70">
        <f>IF(計算用!$Z$70="","",IF(計算用!$U$24,IF(計算用!$Z$70="A",INDEX(手直し!$B$6:$E$42,計算用!$AC$70,MOD(2-計算用!$AA$70+1,4)+1),INDEX(手直し!$G$6:$J$42,計算用!$AC$70,MOD(2-計算用!$AA$70+1,4)+1)),IF(計算用!$Z$70="A",INDEX(組分け!$B$5:$I$41,計算用!$AC$70,(MOD(2-計算用!$AA$70+1,4)+1)*2-1),INDEX(組分け!$L$5:$S$41,計算用!$AC$70,(MOD(2-計算用!$AA$70+1,4)+1)*2-1)))&amp;"")</f>
        <v/>
      </c>
      <c r="AM70">
        <f>IF(計算用!$Z$70="","",IF(計算用!$U$24,IF(計算用!$Z$70="A",INDEX(手直し!$B$6:$E$42,計算用!$AC$70,MOD(3-計算用!$AA$70+1,4)+1),INDEX(手直し!$G$6:$J$42,計算用!$AC$70,MOD(3-計算用!$AA$70+1,4)+1)),IF(計算用!$Z$70="A",INDEX(組分け!$B$5:$I$41,計算用!$AC$70,(MOD(3-計算用!$AA$70+1,4)+1)*2-1),INDEX(組分け!$L$5:$S$41,計算用!$AC$70,(MOD(3-計算用!$AA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IF(Z70="","",IFERROR(MOD(MATCH(0,$AF70:$AI70,0)-1-AA70+1,4),""))</f>
        <v/>
      </c>
      <c r="AQ70">
        <f>IF(Z70="","",IFERROR(MOD(MATCH(1,$AF70:$AI70,0)-1-AA70+1,4),""))</f>
        <v/>
      </c>
      <c r="AR70">
        <f>IF(Z70="","",IFERROR(MOD(MATCH(2,$AF70:$AI70,0)-1-AA70+1,4),""))</f>
        <v/>
      </c>
      <c r="AS70">
        <f>IF(Z70="","",IFERROR(MOD(MATCH(3,$AF70:$AI70,0)-1-AA70+1,4),""))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A$71+1,4)+1),INDEX(手直し!$G$6:$J$42,計算用!$AC$71,MOD(0-計算用!$AA$71+1,4)+1)),IF(計算用!$Z$71="A",INDEX(組分け!$B$5:$I$41,計算用!$AC$71,(MOD(0-計算用!$AA$71+1,4)+1)*2-1),INDEX(組分け!$L$5:$S$41,計算用!$AC$71,(MOD(0-計算用!$AA$71+1,4)+1)*2-1)))&amp;"")</f>
        <v/>
      </c>
      <c r="AK71">
        <f>IF(計算用!$Z$71="","",IF(計算用!$U$24,IF(計算用!$Z$71="A",INDEX(手直し!$B$6:$E$42,計算用!$AC$71,MOD(1-計算用!$AA$71+1,4)+1),INDEX(手直し!$G$6:$J$42,計算用!$AC$71,MOD(1-計算用!$AA$71+1,4)+1)),IF(計算用!$Z$71="A",INDEX(組分け!$B$5:$I$41,計算用!$AC$71,(MOD(1-計算用!$AA$71+1,4)+1)*2-1),INDEX(組分け!$L$5:$S$41,計算用!$AC$71,(MOD(1-計算用!$AA$71+1,4)+1)*2-1)))&amp;"")</f>
        <v/>
      </c>
      <c r="AL71">
        <f>IF(計算用!$Z$71="","",IF(計算用!$U$24,IF(計算用!$Z$71="A",INDEX(手直し!$B$6:$E$42,計算用!$AC$71,MOD(2-計算用!$AA$71+1,4)+1),INDEX(手直し!$G$6:$J$42,計算用!$AC$71,MOD(2-計算用!$AA$71+1,4)+1)),IF(計算用!$Z$71="A",INDEX(組分け!$B$5:$I$41,計算用!$AC$71,(MOD(2-計算用!$AA$71+1,4)+1)*2-1),INDEX(組分け!$L$5:$S$41,計算用!$AC$71,(MOD(2-計算用!$AA$71+1,4)+1)*2-1)))&amp;"")</f>
        <v/>
      </c>
      <c r="AM71">
        <f>IF(計算用!$Z$71="","",IF(計算用!$U$24,IF(計算用!$Z$71="A",INDEX(手直し!$B$6:$E$42,計算用!$AC$71,MOD(3-計算用!$AA$71+1,4)+1),INDEX(手直し!$G$6:$J$42,計算用!$AC$71,MOD(3-計算用!$AA$71+1,4)+1)),IF(計算用!$Z$71="A",INDEX(組分け!$B$5:$I$41,計算用!$AC$71,(MOD(3-計算用!$AA$71+1,4)+1)*2-1),INDEX(組分け!$L$5:$S$41,計算用!$AC$71,(MOD(3-計算用!$AA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IF(Z71="","",IFERROR(MOD(MATCH(0,$AF71:$AI71,0)-1-AA71+1,4),""))</f>
        <v/>
      </c>
      <c r="AQ71">
        <f>IF(Z71="","",IFERROR(MOD(MATCH(1,$AF71:$AI71,0)-1-AA71+1,4),""))</f>
        <v/>
      </c>
      <c r="AR71">
        <f>IF(Z71="","",IFERROR(MOD(MATCH(2,$AF71:$AI71,0)-1-AA71+1,4),""))</f>
        <v/>
      </c>
      <c r="AS71">
        <f>IF(Z71="","",IFERROR(MOD(MATCH(3,$AF71:$AI71,0)-1-AA71+1,4),""))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A$72+1,4)+1),INDEX(手直し!$G$6:$J$42,計算用!$AC$72,MOD(0-計算用!$AA$72+1,4)+1)),IF(計算用!$Z$72="A",INDEX(組分け!$B$5:$I$41,計算用!$AC$72,(MOD(0-計算用!$AA$72+1,4)+1)*2-1),INDEX(組分け!$L$5:$S$41,計算用!$AC$72,(MOD(0-計算用!$AA$72+1,4)+1)*2-1)))&amp;"")</f>
        <v/>
      </c>
      <c r="AK72">
        <f>IF(計算用!$Z$72="","",IF(計算用!$U$24,IF(計算用!$Z$72="A",INDEX(手直し!$B$6:$E$42,計算用!$AC$72,MOD(1-計算用!$AA$72+1,4)+1),INDEX(手直し!$G$6:$J$42,計算用!$AC$72,MOD(1-計算用!$AA$72+1,4)+1)),IF(計算用!$Z$72="A",INDEX(組分け!$B$5:$I$41,計算用!$AC$72,(MOD(1-計算用!$AA$72+1,4)+1)*2-1),INDEX(組分け!$L$5:$S$41,計算用!$AC$72,(MOD(1-計算用!$AA$72+1,4)+1)*2-1)))&amp;"")</f>
        <v/>
      </c>
      <c r="AL72">
        <f>IF(計算用!$Z$72="","",IF(計算用!$U$24,IF(計算用!$Z$72="A",INDEX(手直し!$B$6:$E$42,計算用!$AC$72,MOD(2-計算用!$AA$72+1,4)+1),INDEX(手直し!$G$6:$J$42,計算用!$AC$72,MOD(2-計算用!$AA$72+1,4)+1)),IF(計算用!$Z$72="A",INDEX(組分け!$B$5:$I$41,計算用!$AC$72,(MOD(2-計算用!$AA$72+1,4)+1)*2-1),INDEX(組分け!$L$5:$S$41,計算用!$AC$72,(MOD(2-計算用!$AA$72+1,4)+1)*2-1)))&amp;"")</f>
        <v/>
      </c>
      <c r="AM72">
        <f>IF(計算用!$Z$72="","",IF(計算用!$U$24,IF(計算用!$Z$72="A",INDEX(手直し!$B$6:$E$42,計算用!$AC$72,MOD(3-計算用!$AA$72+1,4)+1),INDEX(手直し!$G$6:$J$42,計算用!$AC$72,MOD(3-計算用!$AA$72+1,4)+1)),IF(計算用!$Z$72="A",INDEX(組分け!$B$5:$I$41,計算用!$AC$72,(MOD(3-計算用!$AA$72+1,4)+1)*2-1),INDEX(組分け!$L$5:$S$41,計算用!$AC$72,(MOD(3-計算用!$AA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IF(Z72="","",IFERROR(MOD(MATCH(0,$AF72:$AI72,0)-1-AA72+1,4),""))</f>
        <v/>
      </c>
      <c r="AQ72">
        <f>IF(Z72="","",IFERROR(MOD(MATCH(1,$AF72:$AI72,0)-1-AA72+1,4),""))</f>
        <v/>
      </c>
      <c r="AR72">
        <f>IF(Z72="","",IFERROR(MOD(MATCH(2,$AF72:$AI72,0)-1-AA72+1,4),""))</f>
        <v/>
      </c>
      <c r="AS72">
        <f>IF(Z72="","",IFERROR(MOD(MATCH(3,$AF72:$AI72,0)-1-AA72+1,4),""))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A$73+1,4)+1),INDEX(手直し!$G$6:$J$42,計算用!$AC$73,MOD(0-計算用!$AA$73+1,4)+1)),IF(計算用!$Z$73="A",INDEX(組分け!$B$5:$I$41,計算用!$AC$73,(MOD(0-計算用!$AA$73+1,4)+1)*2-1),INDEX(組分け!$L$5:$S$41,計算用!$AC$73,(MOD(0-計算用!$AA$73+1,4)+1)*2-1)))&amp;"")</f>
        <v/>
      </c>
      <c r="AK73">
        <f>IF(計算用!$Z$73="","",IF(計算用!$U$24,IF(計算用!$Z$73="A",INDEX(手直し!$B$6:$E$42,計算用!$AC$73,MOD(1-計算用!$AA$73+1,4)+1),INDEX(手直し!$G$6:$J$42,計算用!$AC$73,MOD(1-計算用!$AA$73+1,4)+1)),IF(計算用!$Z$73="A",INDEX(組分け!$B$5:$I$41,計算用!$AC$73,(MOD(1-計算用!$AA$73+1,4)+1)*2-1),INDEX(組分け!$L$5:$S$41,計算用!$AC$73,(MOD(1-計算用!$AA$73+1,4)+1)*2-1)))&amp;"")</f>
        <v/>
      </c>
      <c r="AL73">
        <f>IF(計算用!$Z$73="","",IF(計算用!$U$24,IF(計算用!$Z$73="A",INDEX(手直し!$B$6:$E$42,計算用!$AC$73,MOD(2-計算用!$AA$73+1,4)+1),INDEX(手直し!$G$6:$J$42,計算用!$AC$73,MOD(2-計算用!$AA$73+1,4)+1)),IF(計算用!$Z$73="A",INDEX(組分け!$B$5:$I$41,計算用!$AC$73,(MOD(2-計算用!$AA$73+1,4)+1)*2-1),INDEX(組分け!$L$5:$S$41,計算用!$AC$73,(MOD(2-計算用!$AA$73+1,4)+1)*2-1)))&amp;"")</f>
        <v/>
      </c>
      <c r="AM73">
        <f>IF(計算用!$Z$73="","",IF(計算用!$U$24,IF(計算用!$Z$73="A",INDEX(手直し!$B$6:$E$42,計算用!$AC$73,MOD(3-計算用!$AA$73+1,4)+1),INDEX(手直し!$G$6:$J$42,計算用!$AC$73,MOD(3-計算用!$AA$73+1,4)+1)),IF(計算用!$Z$73="A",INDEX(組分け!$B$5:$I$41,計算用!$AC$73,(MOD(3-計算用!$AA$73+1,4)+1)*2-1),INDEX(組分け!$L$5:$S$41,計算用!$AC$73,(MOD(3-計算用!$AA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IF(Z73="","",IFERROR(MOD(MATCH(0,$AF73:$AI73,0)-1-AA73+1,4),""))</f>
        <v/>
      </c>
      <c r="AQ73">
        <f>IF(Z73="","",IFERROR(MOD(MATCH(1,$AF73:$AI73,0)-1-AA73+1,4),""))</f>
        <v/>
      </c>
      <c r="AR73">
        <f>IF(Z73="","",IFERROR(MOD(MATCH(2,$AF73:$AI73,0)-1-AA73+1,4),""))</f>
        <v/>
      </c>
      <c r="AS73">
        <f>IF(Z73="","",IFERROR(MOD(MATCH(3,$AF73:$AI73,0)-1-AA73+1,4),""))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A$74+1,4)+1),INDEX(手直し!$G$6:$J$42,計算用!$AC$74,MOD(0-計算用!$AA$74+1,4)+1)),IF(計算用!$Z$74="A",INDEX(組分け!$B$5:$I$41,計算用!$AC$74,(MOD(0-計算用!$AA$74+1,4)+1)*2-1),INDEX(組分け!$L$5:$S$41,計算用!$AC$74,(MOD(0-計算用!$AA$74+1,4)+1)*2-1)))&amp;"")</f>
        <v/>
      </c>
      <c r="AK74">
        <f>IF(計算用!$Z$74="","",IF(計算用!$U$24,IF(計算用!$Z$74="A",INDEX(手直し!$B$6:$E$42,計算用!$AC$74,MOD(1-計算用!$AA$74+1,4)+1),INDEX(手直し!$G$6:$J$42,計算用!$AC$74,MOD(1-計算用!$AA$74+1,4)+1)),IF(計算用!$Z$74="A",INDEX(組分け!$B$5:$I$41,計算用!$AC$74,(MOD(1-計算用!$AA$74+1,4)+1)*2-1),INDEX(組分け!$L$5:$S$41,計算用!$AC$74,(MOD(1-計算用!$AA$74+1,4)+1)*2-1)))&amp;"")</f>
        <v/>
      </c>
      <c r="AL74">
        <f>IF(計算用!$Z$74="","",IF(計算用!$U$24,IF(計算用!$Z$74="A",INDEX(手直し!$B$6:$E$42,計算用!$AC$74,MOD(2-計算用!$AA$74+1,4)+1),INDEX(手直し!$G$6:$J$42,計算用!$AC$74,MOD(2-計算用!$AA$74+1,4)+1)),IF(計算用!$Z$74="A",INDEX(組分け!$B$5:$I$41,計算用!$AC$74,(MOD(2-計算用!$AA$74+1,4)+1)*2-1),INDEX(組分け!$L$5:$S$41,計算用!$AC$74,(MOD(2-計算用!$AA$74+1,4)+1)*2-1)))&amp;"")</f>
        <v/>
      </c>
      <c r="AM74">
        <f>IF(計算用!$Z$74="","",IF(計算用!$U$24,IF(計算用!$Z$74="A",INDEX(手直し!$B$6:$E$42,計算用!$AC$74,MOD(3-計算用!$AA$74+1,4)+1),INDEX(手直し!$G$6:$J$42,計算用!$AC$74,MOD(3-計算用!$AA$74+1,4)+1)),IF(計算用!$Z$74="A",INDEX(組分け!$B$5:$I$41,計算用!$AC$74,(MOD(3-計算用!$AA$74+1,4)+1)*2-1),INDEX(組分け!$L$5:$S$41,計算用!$AC$74,(MOD(3-計算用!$AA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IF(Z74="","",IFERROR(MOD(MATCH(0,$AF74:$AI74,0)-1-AA74+1,4),""))</f>
        <v/>
      </c>
      <c r="AQ74">
        <f>IF(Z74="","",IFERROR(MOD(MATCH(1,$AF74:$AI74,0)-1-AA74+1,4),""))</f>
        <v/>
      </c>
      <c r="AR74">
        <f>IF(Z74="","",IFERROR(MOD(MATCH(2,$AF74:$AI74,0)-1-AA74+1,4),""))</f>
        <v/>
      </c>
      <c r="AS74">
        <f>IF(Z74="","",IFERROR(MOD(MATCH(3,$AF74:$AI74,0)-1-AA74+1,4),""))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A$75+1,4)+1),INDEX(手直し!$G$6:$J$42,計算用!$AC$75,MOD(0-計算用!$AA$75+1,4)+1)),IF(計算用!$Z$75="A",INDEX(組分け!$B$5:$I$41,計算用!$AC$75,(MOD(0-計算用!$AA$75+1,4)+1)*2-1),INDEX(組分け!$L$5:$S$41,計算用!$AC$75,(MOD(0-計算用!$AA$75+1,4)+1)*2-1)))&amp;"")</f>
        <v/>
      </c>
      <c r="AK75">
        <f>IF(計算用!$Z$75="","",IF(計算用!$U$24,IF(計算用!$Z$75="A",INDEX(手直し!$B$6:$E$42,計算用!$AC$75,MOD(1-計算用!$AA$75+1,4)+1),INDEX(手直し!$G$6:$J$42,計算用!$AC$75,MOD(1-計算用!$AA$75+1,4)+1)),IF(計算用!$Z$75="A",INDEX(組分け!$B$5:$I$41,計算用!$AC$75,(MOD(1-計算用!$AA$75+1,4)+1)*2-1),INDEX(組分け!$L$5:$S$41,計算用!$AC$75,(MOD(1-計算用!$AA$75+1,4)+1)*2-1)))&amp;"")</f>
        <v/>
      </c>
      <c r="AL75">
        <f>IF(計算用!$Z$75="","",IF(計算用!$U$24,IF(計算用!$Z$75="A",INDEX(手直し!$B$6:$E$42,計算用!$AC$75,MOD(2-計算用!$AA$75+1,4)+1),INDEX(手直し!$G$6:$J$42,計算用!$AC$75,MOD(2-計算用!$AA$75+1,4)+1)),IF(計算用!$Z$75="A",INDEX(組分け!$B$5:$I$41,計算用!$AC$75,(MOD(2-計算用!$AA$75+1,4)+1)*2-1),INDEX(組分け!$L$5:$S$41,計算用!$AC$75,(MOD(2-計算用!$AA$75+1,4)+1)*2-1)))&amp;"")</f>
        <v/>
      </c>
      <c r="AM75">
        <f>IF(計算用!$Z$75="","",IF(計算用!$U$24,IF(計算用!$Z$75="A",INDEX(手直し!$B$6:$E$42,計算用!$AC$75,MOD(3-計算用!$AA$75+1,4)+1),INDEX(手直し!$G$6:$J$42,計算用!$AC$75,MOD(3-計算用!$AA$75+1,4)+1)),IF(計算用!$Z$75="A",INDEX(組分け!$B$5:$I$41,計算用!$AC$75,(MOD(3-計算用!$AA$75+1,4)+1)*2-1),INDEX(組分け!$L$5:$S$41,計算用!$AC$75,(MOD(3-計算用!$AA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IF(Z75="","",IFERROR(MOD(MATCH(0,$AF75:$AI75,0)-1-AA75+1,4),""))</f>
        <v/>
      </c>
      <c r="AQ75">
        <f>IF(Z75="","",IFERROR(MOD(MATCH(1,$AF75:$AI75,0)-1-AA75+1,4),""))</f>
        <v/>
      </c>
      <c r="AR75">
        <f>IF(Z75="","",IFERROR(MOD(MATCH(2,$AF75:$AI75,0)-1-AA75+1,4),""))</f>
        <v/>
      </c>
      <c r="AS75">
        <f>IF(Z75="","",IFERROR(MOD(MATCH(3,$AF75:$AI75,0)-1-AA75+1,4),""))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2026-10-05T22:24:57Z</dcterms:created>
  <dcterms:modified xsi:type="dcterms:W3CDTF">2026-10-05T22:24:57Z</dcterms:modified>
</cp:coreProperties>
</file>