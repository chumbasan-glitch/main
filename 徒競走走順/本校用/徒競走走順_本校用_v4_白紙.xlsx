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入力" sheetId="1" state="visible" r:id="rId1"/>
    <sheet name="組分け" sheetId="2" state="visible" r:id="rId2"/>
    <sheet name="手直し" sheetId="3" state="visible" r:id="rId3"/>
    <sheet name="掲示用" sheetId="4" state="visible" r:id="rId4"/>
    <sheet name="最終修正" sheetId="5" state="visible" r:id="rId5"/>
    <sheet name="最終決定" sheetId="6" state="visible" r:id="rId6"/>
    <sheet name="計算用" sheetId="7" state="hidden" r:id="rId7"/>
  </sheets>
  <definedNames>
    <definedName name="_xlnm.Print_Area" localSheetId="1">OFFSET(組分け!$A$1,0,0,4+MAX(計算用!$U$9,計算用!$U$10),19)</definedName>
    <definedName name="_xlnm.Print_Area" localSheetId="2">手直し!$A$1:$P$42</definedName>
    <definedName name="_xlnm.Print_Area" localSheetId="3">OFFSET(掲示用!$A$1,0,0,MAX(21,2+計算用!$U$22),9)</definedName>
    <definedName name="_xlnm.Print_Area" localSheetId="4">OFFSET(最終修正!$A$1,0,0,2+計算用!$U$22,9)</definedName>
    <definedName name="_xlnm.Print_Area" localSheetId="5">OFFSET(最終決定!$A$1,0,0,2+計算用!$U$22,5)</definedName>
    <definedName name="_xlnm.Print_Titles" localSheetId="1">'組分け'!$2:$4</definedName>
    <definedName name="_xlnm.Print_Titles" localSheetId="4">'最終修正'!$1:$2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2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FFFF0000"/>
    </font>
    <font>
      <color rgb="FF555555"/>
    </font>
    <font>
      <b val="1"/>
      <sz val="14"/>
    </font>
    <font>
      <b val="1"/>
      <sz val="18"/>
    </font>
    <font>
      <sz val="12"/>
    </font>
    <font>
      <sz val="14"/>
    </font>
    <font>
      <b val="1"/>
      <color rgb="FF0000CC"/>
      <sz val="12"/>
    </font>
    <font>
      <b val="1"/>
      <sz val="13"/>
    </font>
    <font>
      <sz val="13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4B6B6"/>
      </patternFill>
    </fill>
    <fill>
      <patternFill patternType="solid">
        <fgColor rgb="FFFFE699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7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7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C6E0B4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BDD7EE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4B6B6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E699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  <sz val="13"/>
      </font>
      <border>
        <left style="thin"/>
        <right style="thin"/>
        <top style="thin"/>
        <bottom style="thin"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8" customWidth="1" min="4" max="4"/>
    <col width="2" customWidth="1" min="5" max="5"/>
    <col width="14" customWidth="1" min="6" max="6"/>
    <col width="6" customWidth="1" min="7" max="7"/>
    <col width="8" customWidth="1" min="8" max="8"/>
    <col width="2" customWidth="1" min="9" max="9"/>
    <col width="14" customWidth="1" min="10" max="10"/>
    <col width="6" customWidth="1" min="11" max="11"/>
    <col width="8" customWidth="1" min="12" max="12"/>
    <col width="2" customWidth="1" min="13" max="13"/>
    <col width="14" customWidth="1" min="14" max="14"/>
    <col width="6" customWidth="1" min="15" max="15"/>
    <col width="8" customWidth="1" min="16" max="16"/>
    <col width="2" customWidth="1" min="17" max="17"/>
  </cols>
  <sheetData>
    <row r="1" ht="24" customHeight="1">
      <c r="A1" s="1" t="inlineStr">
        <is>
          <t>組み方</t>
        </is>
      </c>
      <c r="C1" s="2" t="inlineStr">
        <is>
          <t>男女別</t>
        </is>
      </c>
      <c r="D1" s="3" t="n"/>
      <c r="F1" s="1" t="inlineStr">
        <is>
          <t>先に走る</t>
        </is>
      </c>
      <c r="G1" s="2" t="inlineStr">
        <is>
          <t>女子</t>
        </is>
      </c>
      <c r="J1" s="1" t="inlineStr">
        <is>
          <t>始めのコース</t>
        </is>
      </c>
      <c r="K1" s="2" t="n">
        <v>2</v>
      </c>
      <c r="N1" s="4">
        <f>IF(計算用!$U$21&gt;0,"※名前はあるのに、性別かタイムが入っていない人が"&amp;計算用!$U$21&amp;"人います（組に入りません）","")</f>
        <v/>
      </c>
    </row>
    <row r="2">
      <c r="A2" s="5" t="inlineStr">
        <is>
          <t>名簿から名前・性別（1=男子 2=女子）・タイム（秒）を貼り付けてください。クラス名（3行目）は書きかえられます。男女混合（2年生）のときは性別は空欄でかまいません。</t>
        </is>
      </c>
    </row>
    <row r="3">
      <c r="A3" s="6" t="inlineStr">
        <is>
          <t>No.</t>
        </is>
      </c>
      <c r="B3" s="7" t="inlineStr">
        <is>
          <t>松組</t>
        </is>
      </c>
      <c r="C3" s="6" t="n"/>
      <c r="D3" s="6" t="n"/>
      <c r="F3" s="8" t="inlineStr">
        <is>
          <t>竹組</t>
        </is>
      </c>
      <c r="G3" s="6" t="n"/>
      <c r="H3" s="6" t="n"/>
      <c r="J3" s="9" t="inlineStr">
        <is>
          <t>梅組</t>
        </is>
      </c>
      <c r="K3" s="6" t="n"/>
      <c r="L3" s="6" t="n"/>
      <c r="N3" s="10" t="inlineStr">
        <is>
          <t>月組</t>
        </is>
      </c>
      <c r="O3" s="6" t="n"/>
      <c r="P3" s="6" t="n"/>
    </row>
    <row r="4">
      <c r="A4" s="6" t="n"/>
      <c r="B4" s="6" t="inlineStr">
        <is>
          <t>名前</t>
        </is>
      </c>
      <c r="C4" s="6" t="inlineStr">
        <is>
          <t>性別</t>
        </is>
      </c>
      <c r="D4" s="6" t="inlineStr">
        <is>
          <t>タイム</t>
        </is>
      </c>
      <c r="F4" s="6" t="inlineStr">
        <is>
          <t>名前</t>
        </is>
      </c>
      <c r="G4" s="6" t="inlineStr">
        <is>
          <t>性別</t>
        </is>
      </c>
      <c r="H4" s="6" t="inlineStr">
        <is>
          <t>タイム</t>
        </is>
      </c>
      <c r="J4" s="6" t="inlineStr">
        <is>
          <t>名前</t>
        </is>
      </c>
      <c r="K4" s="6" t="inlineStr">
        <is>
          <t>性別</t>
        </is>
      </c>
      <c r="L4" s="6" t="inlineStr">
        <is>
          <t>タイム</t>
        </is>
      </c>
      <c r="N4" s="6" t="inlineStr">
        <is>
          <t>名前</t>
        </is>
      </c>
      <c r="O4" s="6" t="inlineStr">
        <is>
          <t>性別</t>
        </is>
      </c>
      <c r="P4" s="6" t="inlineStr">
        <is>
          <t>タイム</t>
        </is>
      </c>
    </row>
    <row r="5">
      <c r="A5" s="11" t="n">
        <v>1</v>
      </c>
      <c r="B5" s="12" t="n"/>
      <c r="C5" s="13" t="n"/>
      <c r="D5" s="14" t="n"/>
      <c r="F5" s="12" t="n"/>
      <c r="G5" s="13" t="n"/>
      <c r="H5" s="14" t="n"/>
      <c r="J5" s="12" t="n"/>
      <c r="K5" s="13" t="n"/>
      <c r="L5" s="14" t="n"/>
      <c r="N5" s="12" t="n"/>
      <c r="O5" s="13" t="n"/>
      <c r="P5" s="14" t="n"/>
    </row>
    <row r="6">
      <c r="A6" s="11" t="n">
        <v>2</v>
      </c>
      <c r="B6" s="12" t="n"/>
      <c r="C6" s="13" t="n"/>
      <c r="D6" s="14" t="n"/>
      <c r="F6" s="12" t="n"/>
      <c r="G6" s="13" t="n"/>
      <c r="H6" s="14" t="n"/>
      <c r="J6" s="12" t="n"/>
      <c r="K6" s="13" t="n"/>
      <c r="L6" s="14" t="n"/>
      <c r="N6" s="12" t="n"/>
      <c r="O6" s="13" t="n"/>
      <c r="P6" s="14" t="n"/>
    </row>
    <row r="7">
      <c r="A7" s="11" t="n">
        <v>3</v>
      </c>
      <c r="B7" s="12" t="n"/>
      <c r="C7" s="13" t="n"/>
      <c r="D7" s="14" t="n"/>
      <c r="F7" s="12" t="n"/>
      <c r="G7" s="13" t="n"/>
      <c r="H7" s="14" t="n"/>
      <c r="J7" s="12" t="n"/>
      <c r="K7" s="13" t="n"/>
      <c r="L7" s="14" t="n"/>
      <c r="N7" s="12" t="n"/>
      <c r="O7" s="13" t="n"/>
      <c r="P7" s="14" t="n"/>
    </row>
    <row r="8">
      <c r="A8" s="11" t="n">
        <v>4</v>
      </c>
      <c r="B8" s="12" t="n"/>
      <c r="C8" s="13" t="n"/>
      <c r="D8" s="14" t="n"/>
      <c r="F8" s="12" t="n"/>
      <c r="G8" s="13" t="n"/>
      <c r="H8" s="14" t="n"/>
      <c r="J8" s="12" t="n"/>
      <c r="K8" s="13" t="n"/>
      <c r="L8" s="14" t="n"/>
      <c r="N8" s="12" t="n"/>
      <c r="O8" s="13" t="n"/>
      <c r="P8" s="14" t="n"/>
    </row>
    <row r="9">
      <c r="A9" s="11" t="n">
        <v>5</v>
      </c>
      <c r="B9" s="12" t="n"/>
      <c r="C9" s="13" t="n"/>
      <c r="D9" s="14" t="n"/>
      <c r="F9" s="12" t="n"/>
      <c r="G9" s="13" t="n"/>
      <c r="H9" s="14" t="n"/>
      <c r="J9" s="12" t="n"/>
      <c r="K9" s="13" t="n"/>
      <c r="L9" s="14" t="n"/>
      <c r="N9" s="12" t="n"/>
      <c r="O9" s="13" t="n"/>
      <c r="P9" s="14" t="n"/>
    </row>
    <row r="10">
      <c r="A10" s="11" t="n">
        <v>6</v>
      </c>
      <c r="B10" s="12" t="n"/>
      <c r="C10" s="13" t="n"/>
      <c r="D10" s="14" t="n"/>
      <c r="F10" s="12" t="n"/>
      <c r="G10" s="13" t="n"/>
      <c r="H10" s="14" t="n"/>
      <c r="J10" s="12" t="n"/>
      <c r="K10" s="13" t="n"/>
      <c r="L10" s="14" t="n"/>
      <c r="N10" s="12" t="n"/>
      <c r="O10" s="13" t="n"/>
      <c r="P10" s="14" t="n"/>
    </row>
    <row r="11">
      <c r="A11" s="11" t="n">
        <v>7</v>
      </c>
      <c r="B11" s="12" t="n"/>
      <c r="C11" s="13" t="n"/>
      <c r="D11" s="14" t="n"/>
      <c r="F11" s="12" t="n"/>
      <c r="G11" s="13" t="n"/>
      <c r="H11" s="14" t="n"/>
      <c r="J11" s="12" t="n"/>
      <c r="K11" s="13" t="n"/>
      <c r="L11" s="14" t="n"/>
      <c r="N11" s="12" t="n"/>
      <c r="O11" s="13" t="n"/>
      <c r="P11" s="14" t="n"/>
    </row>
    <row r="12">
      <c r="A12" s="11" t="n">
        <v>8</v>
      </c>
      <c r="B12" s="12" t="n"/>
      <c r="C12" s="13" t="n"/>
      <c r="D12" s="14" t="n"/>
      <c r="F12" s="12" t="n"/>
      <c r="G12" s="13" t="n"/>
      <c r="H12" s="14" t="n"/>
      <c r="J12" s="12" t="n"/>
      <c r="K12" s="13" t="n"/>
      <c r="L12" s="14" t="n"/>
      <c r="N12" s="12" t="n"/>
      <c r="O12" s="13" t="n"/>
      <c r="P12" s="14" t="n"/>
    </row>
    <row r="13">
      <c r="A13" s="11" t="n">
        <v>9</v>
      </c>
      <c r="B13" s="12" t="n"/>
      <c r="C13" s="13" t="n"/>
      <c r="D13" s="14" t="n"/>
      <c r="F13" s="12" t="n"/>
      <c r="G13" s="13" t="n"/>
      <c r="H13" s="14" t="n"/>
      <c r="J13" s="12" t="n"/>
      <c r="K13" s="13" t="n"/>
      <c r="L13" s="14" t="n"/>
      <c r="N13" s="12" t="n"/>
      <c r="O13" s="13" t="n"/>
      <c r="P13" s="14" t="n"/>
    </row>
    <row r="14">
      <c r="A14" s="11" t="n">
        <v>10</v>
      </c>
      <c r="B14" s="12" t="n"/>
      <c r="C14" s="13" t="n"/>
      <c r="D14" s="14" t="n"/>
      <c r="F14" s="12" t="n"/>
      <c r="G14" s="13" t="n"/>
      <c r="H14" s="14" t="n"/>
      <c r="J14" s="12" t="n"/>
      <c r="K14" s="13" t="n"/>
      <c r="L14" s="14" t="n"/>
      <c r="N14" s="12" t="n"/>
      <c r="O14" s="13" t="n"/>
      <c r="P14" s="14" t="n"/>
    </row>
    <row r="15">
      <c r="A15" s="11" t="n">
        <v>11</v>
      </c>
      <c r="B15" s="12" t="n"/>
      <c r="C15" s="13" t="n"/>
      <c r="D15" s="14" t="n"/>
      <c r="F15" s="12" t="n"/>
      <c r="G15" s="13" t="n"/>
      <c r="H15" s="14" t="n"/>
      <c r="J15" s="12" t="n"/>
      <c r="K15" s="13" t="n"/>
      <c r="L15" s="14" t="n"/>
      <c r="N15" s="12" t="n"/>
      <c r="O15" s="13" t="n"/>
      <c r="P15" s="14" t="n"/>
    </row>
    <row r="16">
      <c r="A16" s="11" t="n">
        <v>12</v>
      </c>
      <c r="B16" s="12" t="n"/>
      <c r="C16" s="13" t="n"/>
      <c r="D16" s="14" t="n"/>
      <c r="F16" s="12" t="n"/>
      <c r="G16" s="13" t="n"/>
      <c r="H16" s="14" t="n"/>
      <c r="J16" s="12" t="n"/>
      <c r="K16" s="13" t="n"/>
      <c r="L16" s="14" t="n"/>
      <c r="N16" s="12" t="n"/>
      <c r="O16" s="13" t="n"/>
      <c r="P16" s="14" t="n"/>
    </row>
    <row r="17">
      <c r="A17" s="11" t="n">
        <v>13</v>
      </c>
      <c r="B17" s="12" t="n"/>
      <c r="C17" s="13" t="n"/>
      <c r="D17" s="14" t="n"/>
      <c r="F17" s="12" t="n"/>
      <c r="G17" s="13" t="n"/>
      <c r="H17" s="14" t="n"/>
      <c r="J17" s="12" t="n"/>
      <c r="K17" s="13" t="n"/>
      <c r="L17" s="14" t="n"/>
      <c r="N17" s="12" t="n"/>
      <c r="O17" s="13" t="n"/>
      <c r="P17" s="14" t="n"/>
    </row>
    <row r="18">
      <c r="A18" s="11" t="n">
        <v>14</v>
      </c>
      <c r="B18" s="12" t="n"/>
      <c r="C18" s="13" t="n"/>
      <c r="D18" s="14" t="n"/>
      <c r="F18" s="12" t="n"/>
      <c r="G18" s="13" t="n"/>
      <c r="H18" s="14" t="n"/>
      <c r="J18" s="12" t="n"/>
      <c r="K18" s="13" t="n"/>
      <c r="L18" s="14" t="n"/>
      <c r="N18" s="12" t="n"/>
      <c r="O18" s="13" t="n"/>
      <c r="P18" s="14" t="n"/>
    </row>
    <row r="19">
      <c r="A19" s="11" t="n">
        <v>15</v>
      </c>
      <c r="B19" s="12" t="n"/>
      <c r="C19" s="13" t="n"/>
      <c r="D19" s="14" t="n"/>
      <c r="F19" s="12" t="n"/>
      <c r="G19" s="13" t="n"/>
      <c r="H19" s="14" t="n"/>
      <c r="J19" s="12" t="n"/>
      <c r="K19" s="13" t="n"/>
      <c r="L19" s="14" t="n"/>
      <c r="N19" s="12" t="n"/>
      <c r="O19" s="13" t="n"/>
      <c r="P19" s="14" t="n"/>
    </row>
    <row r="20">
      <c r="A20" s="11" t="n">
        <v>16</v>
      </c>
      <c r="B20" s="12" t="n"/>
      <c r="C20" s="13" t="n"/>
      <c r="D20" s="14" t="n"/>
      <c r="F20" s="12" t="n"/>
      <c r="G20" s="13" t="n"/>
      <c r="H20" s="14" t="n"/>
      <c r="J20" s="12" t="n"/>
      <c r="K20" s="13" t="n"/>
      <c r="L20" s="14" t="n"/>
      <c r="N20" s="12" t="n"/>
      <c r="O20" s="13" t="n"/>
      <c r="P20" s="14" t="n"/>
    </row>
    <row r="21">
      <c r="A21" s="11" t="n">
        <v>17</v>
      </c>
      <c r="B21" s="12" t="n"/>
      <c r="C21" s="13" t="n"/>
      <c r="D21" s="14" t="n"/>
      <c r="F21" s="12" t="n"/>
      <c r="G21" s="13" t="n"/>
      <c r="H21" s="14" t="n"/>
      <c r="J21" s="12" t="n"/>
      <c r="K21" s="13" t="n"/>
      <c r="L21" s="14" t="n"/>
      <c r="N21" s="12" t="n"/>
      <c r="O21" s="13" t="n"/>
      <c r="P21" s="14" t="n"/>
    </row>
    <row r="22">
      <c r="A22" s="11" t="n">
        <v>18</v>
      </c>
      <c r="B22" s="12" t="n"/>
      <c r="C22" s="13" t="n"/>
      <c r="D22" s="14" t="n"/>
      <c r="F22" s="12" t="n"/>
      <c r="G22" s="13" t="n"/>
      <c r="H22" s="14" t="n"/>
      <c r="J22" s="12" t="n"/>
      <c r="K22" s="13" t="n"/>
      <c r="L22" s="14" t="n"/>
      <c r="N22" s="12" t="n"/>
      <c r="O22" s="13" t="n"/>
      <c r="P22" s="14" t="n"/>
    </row>
    <row r="23">
      <c r="A23" s="11" t="n">
        <v>19</v>
      </c>
      <c r="B23" s="12" t="n"/>
      <c r="C23" s="13" t="n"/>
      <c r="D23" s="14" t="n"/>
      <c r="F23" s="12" t="n"/>
      <c r="G23" s="13" t="n"/>
      <c r="H23" s="14" t="n"/>
      <c r="J23" s="12" t="n"/>
      <c r="K23" s="13" t="n"/>
      <c r="L23" s="14" t="n"/>
      <c r="N23" s="12" t="n"/>
      <c r="O23" s="13" t="n"/>
      <c r="P23" s="14" t="n"/>
    </row>
    <row r="24">
      <c r="A24" s="11" t="n">
        <v>20</v>
      </c>
      <c r="B24" s="12" t="n"/>
      <c r="C24" s="13" t="n"/>
      <c r="D24" s="14" t="n"/>
      <c r="F24" s="12" t="n"/>
      <c r="G24" s="13" t="n"/>
      <c r="H24" s="14" t="n"/>
      <c r="J24" s="12" t="n"/>
      <c r="K24" s="13" t="n"/>
      <c r="L24" s="14" t="n"/>
      <c r="N24" s="12" t="n"/>
      <c r="O24" s="13" t="n"/>
      <c r="P24" s="14" t="n"/>
    </row>
    <row r="25">
      <c r="A25" s="11" t="n">
        <v>21</v>
      </c>
      <c r="B25" s="12" t="n"/>
      <c r="C25" s="13" t="n"/>
      <c r="D25" s="14" t="n"/>
      <c r="F25" s="12" t="n"/>
      <c r="G25" s="13" t="n"/>
      <c r="H25" s="14" t="n"/>
      <c r="J25" s="12" t="n"/>
      <c r="K25" s="13" t="n"/>
      <c r="L25" s="14" t="n"/>
      <c r="N25" s="12" t="n"/>
      <c r="O25" s="13" t="n"/>
      <c r="P25" s="14" t="n"/>
    </row>
    <row r="26">
      <c r="A26" s="11" t="n">
        <v>22</v>
      </c>
      <c r="B26" s="12" t="n"/>
      <c r="C26" s="13" t="n"/>
      <c r="D26" s="14" t="n"/>
      <c r="F26" s="12" t="n"/>
      <c r="G26" s="13" t="n"/>
      <c r="H26" s="14" t="n"/>
      <c r="J26" s="12" t="n"/>
      <c r="K26" s="13" t="n"/>
      <c r="L26" s="14" t="n"/>
      <c r="N26" s="12" t="n"/>
      <c r="O26" s="13" t="n"/>
      <c r="P26" s="14" t="n"/>
    </row>
    <row r="27">
      <c r="A27" s="11" t="n">
        <v>23</v>
      </c>
      <c r="B27" s="12" t="n"/>
      <c r="C27" s="13" t="n"/>
      <c r="D27" s="14" t="n"/>
      <c r="F27" s="12" t="n"/>
      <c r="G27" s="13" t="n"/>
      <c r="H27" s="14" t="n"/>
      <c r="J27" s="12" t="n"/>
      <c r="K27" s="13" t="n"/>
      <c r="L27" s="14" t="n"/>
      <c r="N27" s="12" t="n"/>
      <c r="O27" s="13" t="n"/>
      <c r="P27" s="14" t="n"/>
    </row>
    <row r="28">
      <c r="A28" s="11" t="n">
        <v>24</v>
      </c>
      <c r="B28" s="12" t="n"/>
      <c r="C28" s="13" t="n"/>
      <c r="D28" s="14" t="n"/>
      <c r="F28" s="12" t="n"/>
      <c r="G28" s="13" t="n"/>
      <c r="H28" s="14" t="n"/>
      <c r="J28" s="12" t="n"/>
      <c r="K28" s="13" t="n"/>
      <c r="L28" s="14" t="n"/>
      <c r="N28" s="12" t="n"/>
      <c r="O28" s="13" t="n"/>
      <c r="P28" s="14" t="n"/>
    </row>
    <row r="29">
      <c r="A29" s="11" t="n">
        <v>25</v>
      </c>
      <c r="B29" s="12" t="n"/>
      <c r="C29" s="13" t="n"/>
      <c r="D29" s="14" t="n"/>
      <c r="F29" s="12" t="n"/>
      <c r="G29" s="13" t="n"/>
      <c r="H29" s="14" t="n"/>
      <c r="J29" s="12" t="n"/>
      <c r="K29" s="13" t="n"/>
      <c r="L29" s="14" t="n"/>
      <c r="N29" s="12" t="n"/>
      <c r="O29" s="13" t="n"/>
      <c r="P29" s="14" t="n"/>
    </row>
    <row r="30">
      <c r="A30" s="11" t="n">
        <v>26</v>
      </c>
      <c r="B30" s="12" t="n"/>
      <c r="C30" s="13" t="n"/>
      <c r="D30" s="14" t="n"/>
      <c r="F30" s="12" t="n"/>
      <c r="G30" s="13" t="n"/>
      <c r="H30" s="14" t="n"/>
      <c r="J30" s="12" t="n"/>
      <c r="K30" s="13" t="n"/>
      <c r="L30" s="14" t="n"/>
      <c r="N30" s="12" t="n"/>
      <c r="O30" s="13" t="n"/>
      <c r="P30" s="14" t="n"/>
    </row>
    <row r="31">
      <c r="A31" s="11" t="n">
        <v>27</v>
      </c>
      <c r="B31" s="12" t="n"/>
      <c r="C31" s="13" t="n"/>
      <c r="D31" s="14" t="n"/>
      <c r="F31" s="12" t="n"/>
      <c r="G31" s="13" t="n"/>
      <c r="H31" s="14" t="n"/>
      <c r="J31" s="12" t="n"/>
      <c r="K31" s="13" t="n"/>
      <c r="L31" s="14" t="n"/>
      <c r="N31" s="12" t="n"/>
      <c r="O31" s="13" t="n"/>
      <c r="P31" s="14" t="n"/>
    </row>
    <row r="32">
      <c r="A32" s="11" t="n">
        <v>28</v>
      </c>
      <c r="B32" s="12" t="n"/>
      <c r="C32" s="13" t="n"/>
      <c r="D32" s="14" t="n"/>
      <c r="F32" s="12" t="n"/>
      <c r="G32" s="13" t="n"/>
      <c r="H32" s="14" t="n"/>
      <c r="J32" s="12" t="n"/>
      <c r="K32" s="13" t="n"/>
      <c r="L32" s="14" t="n"/>
      <c r="N32" s="12" t="n"/>
      <c r="O32" s="13" t="n"/>
      <c r="P32" s="14" t="n"/>
    </row>
    <row r="33">
      <c r="A33" s="11" t="n">
        <v>29</v>
      </c>
      <c r="B33" s="12" t="n"/>
      <c r="C33" s="13" t="n"/>
      <c r="D33" s="14" t="n"/>
      <c r="F33" s="12" t="n"/>
      <c r="G33" s="13" t="n"/>
      <c r="H33" s="14" t="n"/>
      <c r="J33" s="12" t="n"/>
      <c r="K33" s="13" t="n"/>
      <c r="L33" s="14" t="n"/>
      <c r="N33" s="12" t="n"/>
      <c r="O33" s="13" t="n"/>
      <c r="P33" s="14" t="n"/>
    </row>
    <row r="34">
      <c r="A34" s="11" t="n">
        <v>30</v>
      </c>
      <c r="B34" s="12" t="n"/>
      <c r="C34" s="13" t="n"/>
      <c r="D34" s="14" t="n"/>
      <c r="F34" s="12" t="n"/>
      <c r="G34" s="13" t="n"/>
      <c r="H34" s="14" t="n"/>
      <c r="J34" s="12" t="n"/>
      <c r="K34" s="13" t="n"/>
      <c r="L34" s="14" t="n"/>
      <c r="N34" s="12" t="n"/>
      <c r="O34" s="13" t="n"/>
      <c r="P34" s="14" t="n"/>
    </row>
    <row r="35">
      <c r="A35" s="11" t="n">
        <v>31</v>
      </c>
      <c r="B35" s="12" t="n"/>
      <c r="C35" s="13" t="n"/>
      <c r="D35" s="14" t="n"/>
      <c r="F35" s="12" t="n"/>
      <c r="G35" s="13" t="n"/>
      <c r="H35" s="14" t="n"/>
      <c r="J35" s="12" t="n"/>
      <c r="K35" s="13" t="n"/>
      <c r="L35" s="14" t="n"/>
      <c r="N35" s="12" t="n"/>
      <c r="O35" s="13" t="n"/>
      <c r="P35" s="14" t="n"/>
    </row>
    <row r="36">
      <c r="A36" s="11" t="n">
        <v>32</v>
      </c>
      <c r="B36" s="12" t="n"/>
      <c r="C36" s="13" t="n"/>
      <c r="D36" s="14" t="n"/>
      <c r="F36" s="12" t="n"/>
      <c r="G36" s="13" t="n"/>
      <c r="H36" s="14" t="n"/>
      <c r="J36" s="12" t="n"/>
      <c r="K36" s="13" t="n"/>
      <c r="L36" s="14" t="n"/>
      <c r="N36" s="12" t="n"/>
      <c r="O36" s="13" t="n"/>
      <c r="P36" s="14" t="n"/>
    </row>
    <row r="37">
      <c r="A37" s="11" t="n">
        <v>33</v>
      </c>
      <c r="B37" s="12" t="n"/>
      <c r="C37" s="13" t="n"/>
      <c r="D37" s="14" t="n"/>
      <c r="F37" s="12" t="n"/>
      <c r="G37" s="13" t="n"/>
      <c r="H37" s="14" t="n"/>
      <c r="J37" s="12" t="n"/>
      <c r="K37" s="13" t="n"/>
      <c r="L37" s="14" t="n"/>
      <c r="N37" s="12" t="n"/>
      <c r="O37" s="13" t="n"/>
      <c r="P37" s="14" t="n"/>
    </row>
    <row r="38">
      <c r="A38" s="11" t="n">
        <v>34</v>
      </c>
      <c r="B38" s="12" t="n"/>
      <c r="C38" s="13" t="n"/>
      <c r="D38" s="14" t="n"/>
      <c r="F38" s="12" t="n"/>
      <c r="G38" s="13" t="n"/>
      <c r="H38" s="14" t="n"/>
      <c r="J38" s="12" t="n"/>
      <c r="K38" s="13" t="n"/>
      <c r="L38" s="14" t="n"/>
      <c r="N38" s="12" t="n"/>
      <c r="O38" s="13" t="n"/>
      <c r="P38" s="14" t="n"/>
    </row>
    <row r="39">
      <c r="A39" s="11" t="n">
        <v>35</v>
      </c>
      <c r="B39" s="12" t="n"/>
      <c r="C39" s="13" t="n"/>
      <c r="D39" s="14" t="n"/>
      <c r="F39" s="12" t="n"/>
      <c r="G39" s="13" t="n"/>
      <c r="H39" s="14" t="n"/>
      <c r="J39" s="12" t="n"/>
      <c r="K39" s="13" t="n"/>
      <c r="L39" s="14" t="n"/>
      <c r="N39" s="12" t="n"/>
      <c r="O39" s="13" t="n"/>
      <c r="P39" s="14" t="n"/>
    </row>
    <row r="40">
      <c r="A40" s="11" t="n">
        <v>36</v>
      </c>
      <c r="B40" s="12" t="n"/>
      <c r="C40" s="13" t="n"/>
      <c r="D40" s="14" t="n"/>
      <c r="F40" s="12" t="n"/>
      <c r="G40" s="13" t="n"/>
      <c r="H40" s="14" t="n"/>
      <c r="J40" s="12" t="n"/>
      <c r="K40" s="13" t="n"/>
      <c r="L40" s="14" t="n"/>
      <c r="N40" s="12" t="n"/>
      <c r="O40" s="13" t="n"/>
      <c r="P40" s="14" t="n"/>
    </row>
    <row r="41">
      <c r="A41" s="11" t="n">
        <v>37</v>
      </c>
      <c r="B41" s="12" t="n"/>
      <c r="C41" s="13" t="n"/>
      <c r="D41" s="14" t="n"/>
      <c r="F41" s="12" t="n"/>
      <c r="G41" s="13" t="n"/>
      <c r="H41" s="14" t="n"/>
      <c r="J41" s="12" t="n"/>
      <c r="K41" s="13" t="n"/>
      <c r="L41" s="14" t="n"/>
      <c r="N41" s="12" t="n"/>
      <c r="O41" s="13" t="n"/>
      <c r="P41" s="14" t="n"/>
    </row>
  </sheetData>
  <mergeCells count="7">
    <mergeCell ref="B3:D3"/>
    <mergeCell ref="C1:D1"/>
    <mergeCell ref="A3:A4"/>
    <mergeCell ref="A1:B1"/>
    <mergeCell ref="F3:H3"/>
    <mergeCell ref="J3:L3"/>
    <mergeCell ref="N3:P3"/>
  </mergeCells>
  <dataValidations count="4">
    <dataValidation sqref="C1" showDropDown="0" showInputMessage="0" showErrorMessage="1" allowBlank="0" errorTitle="組み方" type="list">
      <formula1>"男女別,男女混合（2年生）"</formula1>
    </dataValidation>
    <dataValidation sqref="G1" showDropDown="0" showInputMessage="0" showErrorMessage="1" allowBlank="0" errorTitle="先に走る" type="list">
      <formula1>"女子,男子"</formula1>
    </dataValidation>
    <dataValidation sqref="K1" showDropDown="0" showInputMessage="0" showErrorMessage="1" allowBlank="0" errorTitle="始めのコース" type="list">
      <formula1>"1,2,3,4,5"</formula1>
    </dataValidation>
    <dataValidation sqref="C5:C41 G5:G41 K5:K41 O5:O41" showDropDown="0" showInputMessage="0" showErrorMessage="0" allowBlank="1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3" customWidth="1" min="4" max="4"/>
    <col width="6" customWidth="1" min="5" max="5"/>
    <col width="13" customWidth="1" min="6" max="6"/>
    <col width="6" customWidth="1" min="7" max="7"/>
    <col width="13" customWidth="1" min="8" max="8"/>
    <col width="6" customWidth="1" min="9" max="9"/>
    <col width="2" customWidth="1" min="10" max="10"/>
    <col width="5" customWidth="1" min="11" max="11"/>
    <col width="13" customWidth="1" min="12" max="12"/>
    <col width="6" customWidth="1" min="13" max="13"/>
    <col width="13" customWidth="1" min="14" max="14"/>
    <col width="6" customWidth="1" min="15" max="15"/>
    <col width="13" customWidth="1" min="16" max="16"/>
    <col width="6" customWidth="1" min="17" max="17"/>
    <col width="13" customWidth="1" min="18" max="18"/>
    <col width="6" customWidth="1" min="19" max="19"/>
  </cols>
  <sheetData>
    <row r="1">
      <c r="A1" s="15" t="inlineStr">
        <is>
          <t>組分け（自動）</t>
        </is>
      </c>
      <c r="E1" t="inlineStr">
        <is>
          <t>各クラスのタイム順位が同じ子どうしで1レースにします。直すときは「手直し」シートで。</t>
        </is>
      </c>
    </row>
    <row r="2">
      <c r="A2" s="6">
        <f>IF(計算用!$U$2,"男女混合","男子")</f>
        <v/>
      </c>
      <c r="B2" s="6" t="n"/>
      <c r="C2" s="6" t="n"/>
      <c r="D2" s="6" t="n"/>
      <c r="E2" s="6" t="n"/>
      <c r="F2" s="6" t="n"/>
      <c r="G2" s="6" t="n"/>
      <c r="H2" s="6" t="n"/>
      <c r="I2" s="6" t="n"/>
      <c r="K2" s="6">
        <f>IF(計算用!$U$2,"（使いません）","女子")</f>
        <v/>
      </c>
      <c r="L2" s="6" t="n"/>
      <c r="M2" s="6" t="n"/>
      <c r="N2" s="6" t="n"/>
      <c r="O2" s="6" t="n"/>
      <c r="P2" s="6" t="n"/>
      <c r="Q2" s="6" t="n"/>
      <c r="R2" s="6" t="n"/>
      <c r="S2" s="6" t="n"/>
    </row>
    <row r="3">
      <c r="A3" s="6" t="inlineStr">
        <is>
          <t>順位</t>
        </is>
      </c>
      <c r="B3" s="7">
        <f>データ入力!$B$3</f>
        <v/>
      </c>
      <c r="C3" s="6" t="n"/>
      <c r="D3" s="8">
        <f>データ入力!$F$3</f>
        <v/>
      </c>
      <c r="E3" s="6" t="n"/>
      <c r="F3" s="9">
        <f>データ入力!$J$3</f>
        <v/>
      </c>
      <c r="G3" s="6" t="n"/>
      <c r="H3" s="10">
        <f>データ入力!$N$3</f>
        <v/>
      </c>
      <c r="I3" s="6" t="n"/>
      <c r="K3" s="6" t="inlineStr">
        <is>
          <t>順位</t>
        </is>
      </c>
      <c r="L3" s="7">
        <f>データ入力!$B$3</f>
        <v/>
      </c>
      <c r="M3" s="6" t="n"/>
      <c r="N3" s="8">
        <f>データ入力!$F$3</f>
        <v/>
      </c>
      <c r="O3" s="6" t="n"/>
      <c r="P3" s="9">
        <f>データ入力!$J$3</f>
        <v/>
      </c>
      <c r="Q3" s="6" t="n"/>
      <c r="R3" s="10">
        <f>データ入力!$N$3</f>
        <v/>
      </c>
      <c r="S3" s="6" t="n"/>
    </row>
    <row r="4">
      <c r="A4" s="6" t="n"/>
      <c r="B4" s="6" t="inlineStr">
        <is>
          <t>名前</t>
        </is>
      </c>
      <c r="C4" s="6" t="inlineStr">
        <is>
          <t>タイム</t>
        </is>
      </c>
      <c r="D4" s="6" t="inlineStr">
        <is>
          <t>名前</t>
        </is>
      </c>
      <c r="E4" s="6" t="inlineStr">
        <is>
          <t>タイム</t>
        </is>
      </c>
      <c r="F4" s="6" t="inlineStr">
        <is>
          <t>名前</t>
        </is>
      </c>
      <c r="G4" s="6" t="inlineStr">
        <is>
          <t>タイム</t>
        </is>
      </c>
      <c r="H4" s="6" t="inlineStr">
        <is>
          <t>名前</t>
        </is>
      </c>
      <c r="I4" s="6" t="inlineStr">
        <is>
          <t>タイム</t>
        </is>
      </c>
      <c r="K4" s="6" t="n"/>
      <c r="L4" s="6" t="inlineStr">
        <is>
          <t>名前</t>
        </is>
      </c>
      <c r="M4" s="6" t="inlineStr">
        <is>
          <t>タイム</t>
        </is>
      </c>
      <c r="N4" s="6" t="inlineStr">
        <is>
          <t>名前</t>
        </is>
      </c>
      <c r="O4" s="6" t="inlineStr">
        <is>
          <t>タイム</t>
        </is>
      </c>
      <c r="P4" s="6" t="inlineStr">
        <is>
          <t>名前</t>
        </is>
      </c>
      <c r="Q4" s="6" t="inlineStr">
        <is>
          <t>タイム</t>
        </is>
      </c>
      <c r="R4" s="6" t="inlineStr">
        <is>
          <t>名前</t>
        </is>
      </c>
      <c r="S4" s="6" t="inlineStr">
        <is>
          <t>タイム</t>
        </is>
      </c>
    </row>
    <row r="5">
      <c r="A5" s="11">
        <f>IF(1&lt;=計算用!$U$9,1,"")</f>
        <v/>
      </c>
      <c r="B5">
        <f>IF($A5="","",IFERROR(INDEX(計算用!$D$2:$D$149,MATCH(計算用!$U$3&amp;1&amp;"-"&amp;$A5,計算用!$K$2:$K$149,0)),""))</f>
        <v/>
      </c>
      <c r="C5" s="16">
        <f>IF($A5="","",IFERROR(INDEX(計算用!$G$2:$G$149,MATCH(計算用!$U$3&amp;1&amp;"-"&amp;$A5,計算用!$K$2:$K$149,0)),""))</f>
        <v/>
      </c>
      <c r="D5">
        <f>IF($A5="","",IFERROR(INDEX(計算用!$D$2:$D$149,MATCH(計算用!$U$3&amp;2&amp;"-"&amp;$A5,計算用!$K$2:$K$149,0)),""))</f>
        <v/>
      </c>
      <c r="E5" s="16">
        <f>IF($A5="","",IFERROR(INDEX(計算用!$G$2:$G$149,MATCH(計算用!$U$3&amp;2&amp;"-"&amp;$A5,計算用!$K$2:$K$149,0)),""))</f>
        <v/>
      </c>
      <c r="F5">
        <f>IF($A5="","",IFERROR(INDEX(計算用!$D$2:$D$149,MATCH(計算用!$U$3&amp;3&amp;"-"&amp;$A5,計算用!$K$2:$K$149,0)),""))</f>
        <v/>
      </c>
      <c r="G5" s="16">
        <f>IF($A5="","",IFERROR(INDEX(計算用!$G$2:$G$149,MATCH(計算用!$U$3&amp;3&amp;"-"&amp;$A5,計算用!$K$2:$K$149,0)),""))</f>
        <v/>
      </c>
      <c r="H5">
        <f>IF($A5="","",IFERROR(INDEX(計算用!$D$2:$D$149,MATCH(計算用!$U$3&amp;4&amp;"-"&amp;$A5,計算用!$K$2:$K$149,0)),""))</f>
        <v/>
      </c>
      <c r="I5" s="16">
        <f>IF($A5="","",IFERROR(INDEX(計算用!$G$2:$G$149,MATCH(計算用!$U$3&amp;4&amp;"-"&amp;$A5,計算用!$K$2:$K$149,0)),""))</f>
        <v/>
      </c>
      <c r="K5" s="11">
        <f>IF(1&lt;=計算用!$U$10,1,"")</f>
        <v/>
      </c>
      <c r="L5">
        <f>IF($K5="","",IFERROR(INDEX(計算用!$D$2:$D$149,MATCH("女"&amp;1&amp;"-"&amp;$K5,計算用!$K$2:$K$149,0)),""))</f>
        <v/>
      </c>
      <c r="M5" s="16">
        <f>IF($K5="","",IFERROR(INDEX(計算用!$G$2:$G$149,MATCH("女"&amp;1&amp;"-"&amp;$K5,計算用!$K$2:$K$149,0)),""))</f>
        <v/>
      </c>
      <c r="N5">
        <f>IF($K5="","",IFERROR(INDEX(計算用!$D$2:$D$149,MATCH("女"&amp;2&amp;"-"&amp;$K5,計算用!$K$2:$K$149,0)),""))</f>
        <v/>
      </c>
      <c r="O5" s="16">
        <f>IF($K5="","",IFERROR(INDEX(計算用!$G$2:$G$149,MATCH("女"&amp;2&amp;"-"&amp;$K5,計算用!$K$2:$K$149,0)),""))</f>
        <v/>
      </c>
      <c r="P5">
        <f>IF($K5="","",IFERROR(INDEX(計算用!$D$2:$D$149,MATCH("女"&amp;3&amp;"-"&amp;$K5,計算用!$K$2:$K$149,0)),""))</f>
        <v/>
      </c>
      <c r="Q5" s="16">
        <f>IF($K5="","",IFERROR(INDEX(計算用!$G$2:$G$149,MATCH("女"&amp;3&amp;"-"&amp;$K5,計算用!$K$2:$K$149,0)),""))</f>
        <v/>
      </c>
      <c r="R5">
        <f>IF($K5="","",IFERROR(INDEX(計算用!$D$2:$D$149,MATCH("女"&amp;4&amp;"-"&amp;$K5,計算用!$K$2:$K$149,0)),""))</f>
        <v/>
      </c>
      <c r="S5" s="16">
        <f>IF($K5="","",IFERROR(INDEX(計算用!$G$2:$G$149,MATCH("女"&amp;4&amp;"-"&amp;$K5,計算用!$K$2:$K$149,0)),""))</f>
        <v/>
      </c>
    </row>
    <row r="6">
      <c r="A6" s="11">
        <f>IF(2&lt;=計算用!$U$9,2,"")</f>
        <v/>
      </c>
      <c r="B6">
        <f>IF($A6="","",IFERROR(INDEX(計算用!$D$2:$D$149,MATCH(計算用!$U$3&amp;1&amp;"-"&amp;$A6,計算用!$K$2:$K$149,0)),""))</f>
        <v/>
      </c>
      <c r="C6" s="16">
        <f>IF($A6="","",IFERROR(INDEX(計算用!$G$2:$G$149,MATCH(計算用!$U$3&amp;1&amp;"-"&amp;$A6,計算用!$K$2:$K$149,0)),""))</f>
        <v/>
      </c>
      <c r="D6">
        <f>IF($A6="","",IFERROR(INDEX(計算用!$D$2:$D$149,MATCH(計算用!$U$3&amp;2&amp;"-"&amp;$A6,計算用!$K$2:$K$149,0)),""))</f>
        <v/>
      </c>
      <c r="E6" s="16">
        <f>IF($A6="","",IFERROR(INDEX(計算用!$G$2:$G$149,MATCH(計算用!$U$3&amp;2&amp;"-"&amp;$A6,計算用!$K$2:$K$149,0)),""))</f>
        <v/>
      </c>
      <c r="F6">
        <f>IF($A6="","",IFERROR(INDEX(計算用!$D$2:$D$149,MATCH(計算用!$U$3&amp;3&amp;"-"&amp;$A6,計算用!$K$2:$K$149,0)),""))</f>
        <v/>
      </c>
      <c r="G6" s="16">
        <f>IF($A6="","",IFERROR(INDEX(計算用!$G$2:$G$149,MATCH(計算用!$U$3&amp;3&amp;"-"&amp;$A6,計算用!$K$2:$K$149,0)),""))</f>
        <v/>
      </c>
      <c r="H6">
        <f>IF($A6="","",IFERROR(INDEX(計算用!$D$2:$D$149,MATCH(計算用!$U$3&amp;4&amp;"-"&amp;$A6,計算用!$K$2:$K$149,0)),""))</f>
        <v/>
      </c>
      <c r="I6" s="16">
        <f>IF($A6="","",IFERROR(INDEX(計算用!$G$2:$G$149,MATCH(計算用!$U$3&amp;4&amp;"-"&amp;$A6,計算用!$K$2:$K$149,0)),""))</f>
        <v/>
      </c>
      <c r="K6" s="11">
        <f>IF(2&lt;=計算用!$U$10,2,"")</f>
        <v/>
      </c>
      <c r="L6">
        <f>IF($K6="","",IFERROR(INDEX(計算用!$D$2:$D$149,MATCH("女"&amp;1&amp;"-"&amp;$K6,計算用!$K$2:$K$149,0)),""))</f>
        <v/>
      </c>
      <c r="M6" s="16">
        <f>IF($K6="","",IFERROR(INDEX(計算用!$G$2:$G$149,MATCH("女"&amp;1&amp;"-"&amp;$K6,計算用!$K$2:$K$149,0)),""))</f>
        <v/>
      </c>
      <c r="N6">
        <f>IF($K6="","",IFERROR(INDEX(計算用!$D$2:$D$149,MATCH("女"&amp;2&amp;"-"&amp;$K6,計算用!$K$2:$K$149,0)),""))</f>
        <v/>
      </c>
      <c r="O6" s="16">
        <f>IF($K6="","",IFERROR(INDEX(計算用!$G$2:$G$149,MATCH("女"&amp;2&amp;"-"&amp;$K6,計算用!$K$2:$K$149,0)),""))</f>
        <v/>
      </c>
      <c r="P6">
        <f>IF($K6="","",IFERROR(INDEX(計算用!$D$2:$D$149,MATCH("女"&amp;3&amp;"-"&amp;$K6,計算用!$K$2:$K$149,0)),""))</f>
        <v/>
      </c>
      <c r="Q6" s="16">
        <f>IF($K6="","",IFERROR(INDEX(計算用!$G$2:$G$149,MATCH("女"&amp;3&amp;"-"&amp;$K6,計算用!$K$2:$K$149,0)),""))</f>
        <v/>
      </c>
      <c r="R6">
        <f>IF($K6="","",IFERROR(INDEX(計算用!$D$2:$D$149,MATCH("女"&amp;4&amp;"-"&amp;$K6,計算用!$K$2:$K$149,0)),""))</f>
        <v/>
      </c>
      <c r="S6" s="16">
        <f>IF($K6="","",IFERROR(INDEX(計算用!$G$2:$G$149,MATCH("女"&amp;4&amp;"-"&amp;$K6,計算用!$K$2:$K$149,0)),""))</f>
        <v/>
      </c>
    </row>
    <row r="7">
      <c r="A7" s="11">
        <f>IF(3&lt;=計算用!$U$9,3,"")</f>
        <v/>
      </c>
      <c r="B7">
        <f>IF($A7="","",IFERROR(INDEX(計算用!$D$2:$D$149,MATCH(計算用!$U$3&amp;1&amp;"-"&amp;$A7,計算用!$K$2:$K$149,0)),""))</f>
        <v/>
      </c>
      <c r="C7" s="16">
        <f>IF($A7="","",IFERROR(INDEX(計算用!$G$2:$G$149,MATCH(計算用!$U$3&amp;1&amp;"-"&amp;$A7,計算用!$K$2:$K$149,0)),""))</f>
        <v/>
      </c>
      <c r="D7">
        <f>IF($A7="","",IFERROR(INDEX(計算用!$D$2:$D$149,MATCH(計算用!$U$3&amp;2&amp;"-"&amp;$A7,計算用!$K$2:$K$149,0)),""))</f>
        <v/>
      </c>
      <c r="E7" s="16">
        <f>IF($A7="","",IFERROR(INDEX(計算用!$G$2:$G$149,MATCH(計算用!$U$3&amp;2&amp;"-"&amp;$A7,計算用!$K$2:$K$149,0)),""))</f>
        <v/>
      </c>
      <c r="F7">
        <f>IF($A7="","",IFERROR(INDEX(計算用!$D$2:$D$149,MATCH(計算用!$U$3&amp;3&amp;"-"&amp;$A7,計算用!$K$2:$K$149,0)),""))</f>
        <v/>
      </c>
      <c r="G7" s="16">
        <f>IF($A7="","",IFERROR(INDEX(計算用!$G$2:$G$149,MATCH(計算用!$U$3&amp;3&amp;"-"&amp;$A7,計算用!$K$2:$K$149,0)),""))</f>
        <v/>
      </c>
      <c r="H7">
        <f>IF($A7="","",IFERROR(INDEX(計算用!$D$2:$D$149,MATCH(計算用!$U$3&amp;4&amp;"-"&amp;$A7,計算用!$K$2:$K$149,0)),""))</f>
        <v/>
      </c>
      <c r="I7" s="16">
        <f>IF($A7="","",IFERROR(INDEX(計算用!$G$2:$G$149,MATCH(計算用!$U$3&amp;4&amp;"-"&amp;$A7,計算用!$K$2:$K$149,0)),""))</f>
        <v/>
      </c>
      <c r="K7" s="11">
        <f>IF(3&lt;=計算用!$U$10,3,"")</f>
        <v/>
      </c>
      <c r="L7">
        <f>IF($K7="","",IFERROR(INDEX(計算用!$D$2:$D$149,MATCH("女"&amp;1&amp;"-"&amp;$K7,計算用!$K$2:$K$149,0)),""))</f>
        <v/>
      </c>
      <c r="M7" s="16">
        <f>IF($K7="","",IFERROR(INDEX(計算用!$G$2:$G$149,MATCH("女"&amp;1&amp;"-"&amp;$K7,計算用!$K$2:$K$149,0)),""))</f>
        <v/>
      </c>
      <c r="N7">
        <f>IF($K7="","",IFERROR(INDEX(計算用!$D$2:$D$149,MATCH("女"&amp;2&amp;"-"&amp;$K7,計算用!$K$2:$K$149,0)),""))</f>
        <v/>
      </c>
      <c r="O7" s="16">
        <f>IF($K7="","",IFERROR(INDEX(計算用!$G$2:$G$149,MATCH("女"&amp;2&amp;"-"&amp;$K7,計算用!$K$2:$K$149,0)),""))</f>
        <v/>
      </c>
      <c r="P7">
        <f>IF($K7="","",IFERROR(INDEX(計算用!$D$2:$D$149,MATCH("女"&amp;3&amp;"-"&amp;$K7,計算用!$K$2:$K$149,0)),""))</f>
        <v/>
      </c>
      <c r="Q7" s="16">
        <f>IF($K7="","",IFERROR(INDEX(計算用!$G$2:$G$149,MATCH("女"&amp;3&amp;"-"&amp;$K7,計算用!$K$2:$K$149,0)),""))</f>
        <v/>
      </c>
      <c r="R7">
        <f>IF($K7="","",IFERROR(INDEX(計算用!$D$2:$D$149,MATCH("女"&amp;4&amp;"-"&amp;$K7,計算用!$K$2:$K$149,0)),""))</f>
        <v/>
      </c>
      <c r="S7" s="16">
        <f>IF($K7="","",IFERROR(INDEX(計算用!$G$2:$G$149,MATCH("女"&amp;4&amp;"-"&amp;$K7,計算用!$K$2:$K$149,0)),""))</f>
        <v/>
      </c>
    </row>
    <row r="8">
      <c r="A8" s="11">
        <f>IF(4&lt;=計算用!$U$9,4,"")</f>
        <v/>
      </c>
      <c r="B8">
        <f>IF($A8="","",IFERROR(INDEX(計算用!$D$2:$D$149,MATCH(計算用!$U$3&amp;1&amp;"-"&amp;$A8,計算用!$K$2:$K$149,0)),""))</f>
        <v/>
      </c>
      <c r="C8" s="16">
        <f>IF($A8="","",IFERROR(INDEX(計算用!$G$2:$G$149,MATCH(計算用!$U$3&amp;1&amp;"-"&amp;$A8,計算用!$K$2:$K$149,0)),""))</f>
        <v/>
      </c>
      <c r="D8">
        <f>IF($A8="","",IFERROR(INDEX(計算用!$D$2:$D$149,MATCH(計算用!$U$3&amp;2&amp;"-"&amp;$A8,計算用!$K$2:$K$149,0)),""))</f>
        <v/>
      </c>
      <c r="E8" s="16">
        <f>IF($A8="","",IFERROR(INDEX(計算用!$G$2:$G$149,MATCH(計算用!$U$3&amp;2&amp;"-"&amp;$A8,計算用!$K$2:$K$149,0)),""))</f>
        <v/>
      </c>
      <c r="F8">
        <f>IF($A8="","",IFERROR(INDEX(計算用!$D$2:$D$149,MATCH(計算用!$U$3&amp;3&amp;"-"&amp;$A8,計算用!$K$2:$K$149,0)),""))</f>
        <v/>
      </c>
      <c r="G8" s="16">
        <f>IF($A8="","",IFERROR(INDEX(計算用!$G$2:$G$149,MATCH(計算用!$U$3&amp;3&amp;"-"&amp;$A8,計算用!$K$2:$K$149,0)),""))</f>
        <v/>
      </c>
      <c r="H8">
        <f>IF($A8="","",IFERROR(INDEX(計算用!$D$2:$D$149,MATCH(計算用!$U$3&amp;4&amp;"-"&amp;$A8,計算用!$K$2:$K$149,0)),""))</f>
        <v/>
      </c>
      <c r="I8" s="16">
        <f>IF($A8="","",IFERROR(INDEX(計算用!$G$2:$G$149,MATCH(計算用!$U$3&amp;4&amp;"-"&amp;$A8,計算用!$K$2:$K$149,0)),""))</f>
        <v/>
      </c>
      <c r="K8" s="11">
        <f>IF(4&lt;=計算用!$U$10,4,"")</f>
        <v/>
      </c>
      <c r="L8">
        <f>IF($K8="","",IFERROR(INDEX(計算用!$D$2:$D$149,MATCH("女"&amp;1&amp;"-"&amp;$K8,計算用!$K$2:$K$149,0)),""))</f>
        <v/>
      </c>
      <c r="M8" s="16">
        <f>IF($K8="","",IFERROR(INDEX(計算用!$G$2:$G$149,MATCH("女"&amp;1&amp;"-"&amp;$K8,計算用!$K$2:$K$149,0)),""))</f>
        <v/>
      </c>
      <c r="N8">
        <f>IF($K8="","",IFERROR(INDEX(計算用!$D$2:$D$149,MATCH("女"&amp;2&amp;"-"&amp;$K8,計算用!$K$2:$K$149,0)),""))</f>
        <v/>
      </c>
      <c r="O8" s="16">
        <f>IF($K8="","",IFERROR(INDEX(計算用!$G$2:$G$149,MATCH("女"&amp;2&amp;"-"&amp;$K8,計算用!$K$2:$K$149,0)),""))</f>
        <v/>
      </c>
      <c r="P8">
        <f>IF($K8="","",IFERROR(INDEX(計算用!$D$2:$D$149,MATCH("女"&amp;3&amp;"-"&amp;$K8,計算用!$K$2:$K$149,0)),""))</f>
        <v/>
      </c>
      <c r="Q8" s="16">
        <f>IF($K8="","",IFERROR(INDEX(計算用!$G$2:$G$149,MATCH("女"&amp;3&amp;"-"&amp;$K8,計算用!$K$2:$K$149,0)),""))</f>
        <v/>
      </c>
      <c r="R8">
        <f>IF($K8="","",IFERROR(INDEX(計算用!$D$2:$D$149,MATCH("女"&amp;4&amp;"-"&amp;$K8,計算用!$K$2:$K$149,0)),""))</f>
        <v/>
      </c>
      <c r="S8" s="16">
        <f>IF($K8="","",IFERROR(INDEX(計算用!$G$2:$G$149,MATCH("女"&amp;4&amp;"-"&amp;$K8,計算用!$K$2:$K$149,0)),""))</f>
        <v/>
      </c>
    </row>
    <row r="9">
      <c r="A9" s="11">
        <f>IF(5&lt;=計算用!$U$9,5,"")</f>
        <v/>
      </c>
      <c r="B9">
        <f>IF($A9="","",IFERROR(INDEX(計算用!$D$2:$D$149,MATCH(計算用!$U$3&amp;1&amp;"-"&amp;$A9,計算用!$K$2:$K$149,0)),""))</f>
        <v/>
      </c>
      <c r="C9" s="16">
        <f>IF($A9="","",IFERROR(INDEX(計算用!$G$2:$G$149,MATCH(計算用!$U$3&amp;1&amp;"-"&amp;$A9,計算用!$K$2:$K$149,0)),""))</f>
        <v/>
      </c>
      <c r="D9">
        <f>IF($A9="","",IFERROR(INDEX(計算用!$D$2:$D$149,MATCH(計算用!$U$3&amp;2&amp;"-"&amp;$A9,計算用!$K$2:$K$149,0)),""))</f>
        <v/>
      </c>
      <c r="E9" s="16">
        <f>IF($A9="","",IFERROR(INDEX(計算用!$G$2:$G$149,MATCH(計算用!$U$3&amp;2&amp;"-"&amp;$A9,計算用!$K$2:$K$149,0)),""))</f>
        <v/>
      </c>
      <c r="F9">
        <f>IF($A9="","",IFERROR(INDEX(計算用!$D$2:$D$149,MATCH(計算用!$U$3&amp;3&amp;"-"&amp;$A9,計算用!$K$2:$K$149,0)),""))</f>
        <v/>
      </c>
      <c r="G9" s="16">
        <f>IF($A9="","",IFERROR(INDEX(計算用!$G$2:$G$149,MATCH(計算用!$U$3&amp;3&amp;"-"&amp;$A9,計算用!$K$2:$K$149,0)),""))</f>
        <v/>
      </c>
      <c r="H9">
        <f>IF($A9="","",IFERROR(INDEX(計算用!$D$2:$D$149,MATCH(計算用!$U$3&amp;4&amp;"-"&amp;$A9,計算用!$K$2:$K$149,0)),""))</f>
        <v/>
      </c>
      <c r="I9" s="16">
        <f>IF($A9="","",IFERROR(INDEX(計算用!$G$2:$G$149,MATCH(計算用!$U$3&amp;4&amp;"-"&amp;$A9,計算用!$K$2:$K$149,0)),""))</f>
        <v/>
      </c>
      <c r="K9" s="11">
        <f>IF(5&lt;=計算用!$U$10,5,"")</f>
        <v/>
      </c>
      <c r="L9">
        <f>IF($K9="","",IFERROR(INDEX(計算用!$D$2:$D$149,MATCH("女"&amp;1&amp;"-"&amp;$K9,計算用!$K$2:$K$149,0)),""))</f>
        <v/>
      </c>
      <c r="M9" s="16">
        <f>IF($K9="","",IFERROR(INDEX(計算用!$G$2:$G$149,MATCH("女"&amp;1&amp;"-"&amp;$K9,計算用!$K$2:$K$149,0)),""))</f>
        <v/>
      </c>
      <c r="N9">
        <f>IF($K9="","",IFERROR(INDEX(計算用!$D$2:$D$149,MATCH("女"&amp;2&amp;"-"&amp;$K9,計算用!$K$2:$K$149,0)),""))</f>
        <v/>
      </c>
      <c r="O9" s="16">
        <f>IF($K9="","",IFERROR(INDEX(計算用!$G$2:$G$149,MATCH("女"&amp;2&amp;"-"&amp;$K9,計算用!$K$2:$K$149,0)),""))</f>
        <v/>
      </c>
      <c r="P9">
        <f>IF($K9="","",IFERROR(INDEX(計算用!$D$2:$D$149,MATCH("女"&amp;3&amp;"-"&amp;$K9,計算用!$K$2:$K$149,0)),""))</f>
        <v/>
      </c>
      <c r="Q9" s="16">
        <f>IF($K9="","",IFERROR(INDEX(計算用!$G$2:$G$149,MATCH("女"&amp;3&amp;"-"&amp;$K9,計算用!$K$2:$K$149,0)),""))</f>
        <v/>
      </c>
      <c r="R9">
        <f>IF($K9="","",IFERROR(INDEX(計算用!$D$2:$D$149,MATCH("女"&amp;4&amp;"-"&amp;$K9,計算用!$K$2:$K$149,0)),""))</f>
        <v/>
      </c>
      <c r="S9" s="16">
        <f>IF($K9="","",IFERROR(INDEX(計算用!$G$2:$G$149,MATCH("女"&amp;4&amp;"-"&amp;$K9,計算用!$K$2:$K$149,0)),""))</f>
        <v/>
      </c>
    </row>
    <row r="10">
      <c r="A10" s="11">
        <f>IF(6&lt;=計算用!$U$9,6,"")</f>
        <v/>
      </c>
      <c r="B10">
        <f>IF($A10="","",IFERROR(INDEX(計算用!$D$2:$D$149,MATCH(計算用!$U$3&amp;1&amp;"-"&amp;$A10,計算用!$K$2:$K$149,0)),""))</f>
        <v/>
      </c>
      <c r="C10" s="16">
        <f>IF($A10="","",IFERROR(INDEX(計算用!$G$2:$G$149,MATCH(計算用!$U$3&amp;1&amp;"-"&amp;$A10,計算用!$K$2:$K$149,0)),""))</f>
        <v/>
      </c>
      <c r="D10">
        <f>IF($A10="","",IFERROR(INDEX(計算用!$D$2:$D$149,MATCH(計算用!$U$3&amp;2&amp;"-"&amp;$A10,計算用!$K$2:$K$149,0)),""))</f>
        <v/>
      </c>
      <c r="E10" s="16">
        <f>IF($A10="","",IFERROR(INDEX(計算用!$G$2:$G$149,MATCH(計算用!$U$3&amp;2&amp;"-"&amp;$A10,計算用!$K$2:$K$149,0)),""))</f>
        <v/>
      </c>
      <c r="F10">
        <f>IF($A10="","",IFERROR(INDEX(計算用!$D$2:$D$149,MATCH(計算用!$U$3&amp;3&amp;"-"&amp;$A10,計算用!$K$2:$K$149,0)),""))</f>
        <v/>
      </c>
      <c r="G10" s="16">
        <f>IF($A10="","",IFERROR(INDEX(計算用!$G$2:$G$149,MATCH(計算用!$U$3&amp;3&amp;"-"&amp;$A10,計算用!$K$2:$K$149,0)),""))</f>
        <v/>
      </c>
      <c r="H10">
        <f>IF($A10="","",IFERROR(INDEX(計算用!$D$2:$D$149,MATCH(計算用!$U$3&amp;4&amp;"-"&amp;$A10,計算用!$K$2:$K$149,0)),""))</f>
        <v/>
      </c>
      <c r="I10" s="16">
        <f>IF($A10="","",IFERROR(INDEX(計算用!$G$2:$G$149,MATCH(計算用!$U$3&amp;4&amp;"-"&amp;$A10,計算用!$K$2:$K$149,0)),""))</f>
        <v/>
      </c>
      <c r="K10" s="11">
        <f>IF(6&lt;=計算用!$U$10,6,"")</f>
        <v/>
      </c>
      <c r="L10">
        <f>IF($K10="","",IFERROR(INDEX(計算用!$D$2:$D$149,MATCH("女"&amp;1&amp;"-"&amp;$K10,計算用!$K$2:$K$149,0)),""))</f>
        <v/>
      </c>
      <c r="M10" s="16">
        <f>IF($K10="","",IFERROR(INDEX(計算用!$G$2:$G$149,MATCH("女"&amp;1&amp;"-"&amp;$K10,計算用!$K$2:$K$149,0)),""))</f>
        <v/>
      </c>
      <c r="N10">
        <f>IF($K10="","",IFERROR(INDEX(計算用!$D$2:$D$149,MATCH("女"&amp;2&amp;"-"&amp;$K10,計算用!$K$2:$K$149,0)),""))</f>
        <v/>
      </c>
      <c r="O10" s="16">
        <f>IF($K10="","",IFERROR(INDEX(計算用!$G$2:$G$149,MATCH("女"&amp;2&amp;"-"&amp;$K10,計算用!$K$2:$K$149,0)),""))</f>
        <v/>
      </c>
      <c r="P10">
        <f>IF($K10="","",IFERROR(INDEX(計算用!$D$2:$D$149,MATCH("女"&amp;3&amp;"-"&amp;$K10,計算用!$K$2:$K$149,0)),""))</f>
        <v/>
      </c>
      <c r="Q10" s="16">
        <f>IF($K10="","",IFERROR(INDEX(計算用!$G$2:$G$149,MATCH("女"&amp;3&amp;"-"&amp;$K10,計算用!$K$2:$K$149,0)),""))</f>
        <v/>
      </c>
      <c r="R10">
        <f>IF($K10="","",IFERROR(INDEX(計算用!$D$2:$D$149,MATCH("女"&amp;4&amp;"-"&amp;$K10,計算用!$K$2:$K$149,0)),""))</f>
        <v/>
      </c>
      <c r="S10" s="16">
        <f>IF($K10="","",IFERROR(INDEX(計算用!$G$2:$G$149,MATCH("女"&amp;4&amp;"-"&amp;$K10,計算用!$K$2:$K$149,0)),""))</f>
        <v/>
      </c>
    </row>
    <row r="11">
      <c r="A11" s="11">
        <f>IF(7&lt;=計算用!$U$9,7,"")</f>
        <v/>
      </c>
      <c r="B11">
        <f>IF($A11="","",IFERROR(INDEX(計算用!$D$2:$D$149,MATCH(計算用!$U$3&amp;1&amp;"-"&amp;$A11,計算用!$K$2:$K$149,0)),""))</f>
        <v/>
      </c>
      <c r="C11" s="16">
        <f>IF($A11="","",IFERROR(INDEX(計算用!$G$2:$G$149,MATCH(計算用!$U$3&amp;1&amp;"-"&amp;$A11,計算用!$K$2:$K$149,0)),""))</f>
        <v/>
      </c>
      <c r="D11">
        <f>IF($A11="","",IFERROR(INDEX(計算用!$D$2:$D$149,MATCH(計算用!$U$3&amp;2&amp;"-"&amp;$A11,計算用!$K$2:$K$149,0)),""))</f>
        <v/>
      </c>
      <c r="E11" s="16">
        <f>IF($A11="","",IFERROR(INDEX(計算用!$G$2:$G$149,MATCH(計算用!$U$3&amp;2&amp;"-"&amp;$A11,計算用!$K$2:$K$149,0)),""))</f>
        <v/>
      </c>
      <c r="F11">
        <f>IF($A11="","",IFERROR(INDEX(計算用!$D$2:$D$149,MATCH(計算用!$U$3&amp;3&amp;"-"&amp;$A11,計算用!$K$2:$K$149,0)),""))</f>
        <v/>
      </c>
      <c r="G11" s="16">
        <f>IF($A11="","",IFERROR(INDEX(計算用!$G$2:$G$149,MATCH(計算用!$U$3&amp;3&amp;"-"&amp;$A11,計算用!$K$2:$K$149,0)),""))</f>
        <v/>
      </c>
      <c r="H11">
        <f>IF($A11="","",IFERROR(INDEX(計算用!$D$2:$D$149,MATCH(計算用!$U$3&amp;4&amp;"-"&amp;$A11,計算用!$K$2:$K$149,0)),""))</f>
        <v/>
      </c>
      <c r="I11" s="16">
        <f>IF($A11="","",IFERROR(INDEX(計算用!$G$2:$G$149,MATCH(計算用!$U$3&amp;4&amp;"-"&amp;$A11,計算用!$K$2:$K$149,0)),""))</f>
        <v/>
      </c>
      <c r="K11" s="11">
        <f>IF(7&lt;=計算用!$U$10,7,"")</f>
        <v/>
      </c>
      <c r="L11">
        <f>IF($K11="","",IFERROR(INDEX(計算用!$D$2:$D$149,MATCH("女"&amp;1&amp;"-"&amp;$K11,計算用!$K$2:$K$149,0)),""))</f>
        <v/>
      </c>
      <c r="M11" s="16">
        <f>IF($K11="","",IFERROR(INDEX(計算用!$G$2:$G$149,MATCH("女"&amp;1&amp;"-"&amp;$K11,計算用!$K$2:$K$149,0)),""))</f>
        <v/>
      </c>
      <c r="N11">
        <f>IF($K11="","",IFERROR(INDEX(計算用!$D$2:$D$149,MATCH("女"&amp;2&amp;"-"&amp;$K11,計算用!$K$2:$K$149,0)),""))</f>
        <v/>
      </c>
      <c r="O11" s="16">
        <f>IF($K11="","",IFERROR(INDEX(計算用!$G$2:$G$149,MATCH("女"&amp;2&amp;"-"&amp;$K11,計算用!$K$2:$K$149,0)),""))</f>
        <v/>
      </c>
      <c r="P11">
        <f>IF($K11="","",IFERROR(INDEX(計算用!$D$2:$D$149,MATCH("女"&amp;3&amp;"-"&amp;$K11,計算用!$K$2:$K$149,0)),""))</f>
        <v/>
      </c>
      <c r="Q11" s="16">
        <f>IF($K11="","",IFERROR(INDEX(計算用!$G$2:$G$149,MATCH("女"&amp;3&amp;"-"&amp;$K11,計算用!$K$2:$K$149,0)),""))</f>
        <v/>
      </c>
      <c r="R11">
        <f>IF($K11="","",IFERROR(INDEX(計算用!$D$2:$D$149,MATCH("女"&amp;4&amp;"-"&amp;$K11,計算用!$K$2:$K$149,0)),""))</f>
        <v/>
      </c>
      <c r="S11" s="16">
        <f>IF($K11="","",IFERROR(INDEX(計算用!$G$2:$G$149,MATCH("女"&amp;4&amp;"-"&amp;$K11,計算用!$K$2:$K$149,0)),""))</f>
        <v/>
      </c>
    </row>
    <row r="12">
      <c r="A12" s="11">
        <f>IF(8&lt;=計算用!$U$9,8,"")</f>
        <v/>
      </c>
      <c r="B12">
        <f>IF($A12="","",IFERROR(INDEX(計算用!$D$2:$D$149,MATCH(計算用!$U$3&amp;1&amp;"-"&amp;$A12,計算用!$K$2:$K$149,0)),""))</f>
        <v/>
      </c>
      <c r="C12" s="16">
        <f>IF($A12="","",IFERROR(INDEX(計算用!$G$2:$G$149,MATCH(計算用!$U$3&amp;1&amp;"-"&amp;$A12,計算用!$K$2:$K$149,0)),""))</f>
        <v/>
      </c>
      <c r="D12">
        <f>IF($A12="","",IFERROR(INDEX(計算用!$D$2:$D$149,MATCH(計算用!$U$3&amp;2&amp;"-"&amp;$A12,計算用!$K$2:$K$149,0)),""))</f>
        <v/>
      </c>
      <c r="E12" s="16">
        <f>IF($A12="","",IFERROR(INDEX(計算用!$G$2:$G$149,MATCH(計算用!$U$3&amp;2&amp;"-"&amp;$A12,計算用!$K$2:$K$149,0)),""))</f>
        <v/>
      </c>
      <c r="F12">
        <f>IF($A12="","",IFERROR(INDEX(計算用!$D$2:$D$149,MATCH(計算用!$U$3&amp;3&amp;"-"&amp;$A12,計算用!$K$2:$K$149,0)),""))</f>
        <v/>
      </c>
      <c r="G12" s="16">
        <f>IF($A12="","",IFERROR(INDEX(計算用!$G$2:$G$149,MATCH(計算用!$U$3&amp;3&amp;"-"&amp;$A12,計算用!$K$2:$K$149,0)),""))</f>
        <v/>
      </c>
      <c r="H12">
        <f>IF($A12="","",IFERROR(INDEX(計算用!$D$2:$D$149,MATCH(計算用!$U$3&amp;4&amp;"-"&amp;$A12,計算用!$K$2:$K$149,0)),""))</f>
        <v/>
      </c>
      <c r="I12" s="16">
        <f>IF($A12="","",IFERROR(INDEX(計算用!$G$2:$G$149,MATCH(計算用!$U$3&amp;4&amp;"-"&amp;$A12,計算用!$K$2:$K$149,0)),""))</f>
        <v/>
      </c>
      <c r="K12" s="11">
        <f>IF(8&lt;=計算用!$U$10,8,"")</f>
        <v/>
      </c>
      <c r="L12">
        <f>IF($K12="","",IFERROR(INDEX(計算用!$D$2:$D$149,MATCH("女"&amp;1&amp;"-"&amp;$K12,計算用!$K$2:$K$149,0)),""))</f>
        <v/>
      </c>
      <c r="M12" s="16">
        <f>IF($K12="","",IFERROR(INDEX(計算用!$G$2:$G$149,MATCH("女"&amp;1&amp;"-"&amp;$K12,計算用!$K$2:$K$149,0)),""))</f>
        <v/>
      </c>
      <c r="N12">
        <f>IF($K12="","",IFERROR(INDEX(計算用!$D$2:$D$149,MATCH("女"&amp;2&amp;"-"&amp;$K12,計算用!$K$2:$K$149,0)),""))</f>
        <v/>
      </c>
      <c r="O12" s="16">
        <f>IF($K12="","",IFERROR(INDEX(計算用!$G$2:$G$149,MATCH("女"&amp;2&amp;"-"&amp;$K12,計算用!$K$2:$K$149,0)),""))</f>
        <v/>
      </c>
      <c r="P12">
        <f>IF($K12="","",IFERROR(INDEX(計算用!$D$2:$D$149,MATCH("女"&amp;3&amp;"-"&amp;$K12,計算用!$K$2:$K$149,0)),""))</f>
        <v/>
      </c>
      <c r="Q12" s="16">
        <f>IF($K12="","",IFERROR(INDEX(計算用!$G$2:$G$149,MATCH("女"&amp;3&amp;"-"&amp;$K12,計算用!$K$2:$K$149,0)),""))</f>
        <v/>
      </c>
      <c r="R12">
        <f>IF($K12="","",IFERROR(INDEX(計算用!$D$2:$D$149,MATCH("女"&amp;4&amp;"-"&amp;$K12,計算用!$K$2:$K$149,0)),""))</f>
        <v/>
      </c>
      <c r="S12" s="16">
        <f>IF($K12="","",IFERROR(INDEX(計算用!$G$2:$G$149,MATCH("女"&amp;4&amp;"-"&amp;$K12,計算用!$K$2:$K$149,0)),""))</f>
        <v/>
      </c>
    </row>
    <row r="13">
      <c r="A13" s="11">
        <f>IF(9&lt;=計算用!$U$9,9,"")</f>
        <v/>
      </c>
      <c r="B13">
        <f>IF($A13="","",IFERROR(INDEX(計算用!$D$2:$D$149,MATCH(計算用!$U$3&amp;1&amp;"-"&amp;$A13,計算用!$K$2:$K$149,0)),""))</f>
        <v/>
      </c>
      <c r="C13" s="16">
        <f>IF($A13="","",IFERROR(INDEX(計算用!$G$2:$G$149,MATCH(計算用!$U$3&amp;1&amp;"-"&amp;$A13,計算用!$K$2:$K$149,0)),""))</f>
        <v/>
      </c>
      <c r="D13">
        <f>IF($A13="","",IFERROR(INDEX(計算用!$D$2:$D$149,MATCH(計算用!$U$3&amp;2&amp;"-"&amp;$A13,計算用!$K$2:$K$149,0)),""))</f>
        <v/>
      </c>
      <c r="E13" s="16">
        <f>IF($A13="","",IFERROR(INDEX(計算用!$G$2:$G$149,MATCH(計算用!$U$3&amp;2&amp;"-"&amp;$A13,計算用!$K$2:$K$149,0)),""))</f>
        <v/>
      </c>
      <c r="F13">
        <f>IF($A13="","",IFERROR(INDEX(計算用!$D$2:$D$149,MATCH(計算用!$U$3&amp;3&amp;"-"&amp;$A13,計算用!$K$2:$K$149,0)),""))</f>
        <v/>
      </c>
      <c r="G13" s="16">
        <f>IF($A13="","",IFERROR(INDEX(計算用!$G$2:$G$149,MATCH(計算用!$U$3&amp;3&amp;"-"&amp;$A13,計算用!$K$2:$K$149,0)),""))</f>
        <v/>
      </c>
      <c r="H13">
        <f>IF($A13="","",IFERROR(INDEX(計算用!$D$2:$D$149,MATCH(計算用!$U$3&amp;4&amp;"-"&amp;$A13,計算用!$K$2:$K$149,0)),""))</f>
        <v/>
      </c>
      <c r="I13" s="16">
        <f>IF($A13="","",IFERROR(INDEX(計算用!$G$2:$G$149,MATCH(計算用!$U$3&amp;4&amp;"-"&amp;$A13,計算用!$K$2:$K$149,0)),""))</f>
        <v/>
      </c>
      <c r="K13" s="11">
        <f>IF(9&lt;=計算用!$U$10,9,"")</f>
        <v/>
      </c>
      <c r="L13">
        <f>IF($K13="","",IFERROR(INDEX(計算用!$D$2:$D$149,MATCH("女"&amp;1&amp;"-"&amp;$K13,計算用!$K$2:$K$149,0)),""))</f>
        <v/>
      </c>
      <c r="M13" s="16">
        <f>IF($K13="","",IFERROR(INDEX(計算用!$G$2:$G$149,MATCH("女"&amp;1&amp;"-"&amp;$K13,計算用!$K$2:$K$149,0)),""))</f>
        <v/>
      </c>
      <c r="N13">
        <f>IF($K13="","",IFERROR(INDEX(計算用!$D$2:$D$149,MATCH("女"&amp;2&amp;"-"&amp;$K13,計算用!$K$2:$K$149,0)),""))</f>
        <v/>
      </c>
      <c r="O13" s="16">
        <f>IF($K13="","",IFERROR(INDEX(計算用!$G$2:$G$149,MATCH("女"&amp;2&amp;"-"&amp;$K13,計算用!$K$2:$K$149,0)),""))</f>
        <v/>
      </c>
      <c r="P13">
        <f>IF($K13="","",IFERROR(INDEX(計算用!$D$2:$D$149,MATCH("女"&amp;3&amp;"-"&amp;$K13,計算用!$K$2:$K$149,0)),""))</f>
        <v/>
      </c>
      <c r="Q13" s="16">
        <f>IF($K13="","",IFERROR(INDEX(計算用!$G$2:$G$149,MATCH("女"&amp;3&amp;"-"&amp;$K13,計算用!$K$2:$K$149,0)),""))</f>
        <v/>
      </c>
      <c r="R13">
        <f>IF($K13="","",IFERROR(INDEX(計算用!$D$2:$D$149,MATCH("女"&amp;4&amp;"-"&amp;$K13,計算用!$K$2:$K$149,0)),""))</f>
        <v/>
      </c>
      <c r="S13" s="16">
        <f>IF($K13="","",IFERROR(INDEX(計算用!$G$2:$G$149,MATCH("女"&amp;4&amp;"-"&amp;$K13,計算用!$K$2:$K$149,0)),""))</f>
        <v/>
      </c>
    </row>
    <row r="14">
      <c r="A14" s="11">
        <f>IF(10&lt;=計算用!$U$9,10,"")</f>
        <v/>
      </c>
      <c r="B14">
        <f>IF($A14="","",IFERROR(INDEX(計算用!$D$2:$D$149,MATCH(計算用!$U$3&amp;1&amp;"-"&amp;$A14,計算用!$K$2:$K$149,0)),""))</f>
        <v/>
      </c>
      <c r="C14" s="16">
        <f>IF($A14="","",IFERROR(INDEX(計算用!$G$2:$G$149,MATCH(計算用!$U$3&amp;1&amp;"-"&amp;$A14,計算用!$K$2:$K$149,0)),""))</f>
        <v/>
      </c>
      <c r="D14">
        <f>IF($A14="","",IFERROR(INDEX(計算用!$D$2:$D$149,MATCH(計算用!$U$3&amp;2&amp;"-"&amp;$A14,計算用!$K$2:$K$149,0)),""))</f>
        <v/>
      </c>
      <c r="E14" s="16">
        <f>IF($A14="","",IFERROR(INDEX(計算用!$G$2:$G$149,MATCH(計算用!$U$3&amp;2&amp;"-"&amp;$A14,計算用!$K$2:$K$149,0)),""))</f>
        <v/>
      </c>
      <c r="F14">
        <f>IF($A14="","",IFERROR(INDEX(計算用!$D$2:$D$149,MATCH(計算用!$U$3&amp;3&amp;"-"&amp;$A14,計算用!$K$2:$K$149,0)),""))</f>
        <v/>
      </c>
      <c r="G14" s="16">
        <f>IF($A14="","",IFERROR(INDEX(計算用!$G$2:$G$149,MATCH(計算用!$U$3&amp;3&amp;"-"&amp;$A14,計算用!$K$2:$K$149,0)),""))</f>
        <v/>
      </c>
      <c r="H14">
        <f>IF($A14="","",IFERROR(INDEX(計算用!$D$2:$D$149,MATCH(計算用!$U$3&amp;4&amp;"-"&amp;$A14,計算用!$K$2:$K$149,0)),""))</f>
        <v/>
      </c>
      <c r="I14" s="16">
        <f>IF($A14="","",IFERROR(INDEX(計算用!$G$2:$G$149,MATCH(計算用!$U$3&amp;4&amp;"-"&amp;$A14,計算用!$K$2:$K$149,0)),""))</f>
        <v/>
      </c>
      <c r="K14" s="11">
        <f>IF(10&lt;=計算用!$U$10,10,"")</f>
        <v/>
      </c>
      <c r="L14">
        <f>IF($K14="","",IFERROR(INDEX(計算用!$D$2:$D$149,MATCH("女"&amp;1&amp;"-"&amp;$K14,計算用!$K$2:$K$149,0)),""))</f>
        <v/>
      </c>
      <c r="M14" s="16">
        <f>IF($K14="","",IFERROR(INDEX(計算用!$G$2:$G$149,MATCH("女"&amp;1&amp;"-"&amp;$K14,計算用!$K$2:$K$149,0)),""))</f>
        <v/>
      </c>
      <c r="N14">
        <f>IF($K14="","",IFERROR(INDEX(計算用!$D$2:$D$149,MATCH("女"&amp;2&amp;"-"&amp;$K14,計算用!$K$2:$K$149,0)),""))</f>
        <v/>
      </c>
      <c r="O14" s="16">
        <f>IF($K14="","",IFERROR(INDEX(計算用!$G$2:$G$149,MATCH("女"&amp;2&amp;"-"&amp;$K14,計算用!$K$2:$K$149,0)),""))</f>
        <v/>
      </c>
      <c r="P14">
        <f>IF($K14="","",IFERROR(INDEX(計算用!$D$2:$D$149,MATCH("女"&amp;3&amp;"-"&amp;$K14,計算用!$K$2:$K$149,0)),""))</f>
        <v/>
      </c>
      <c r="Q14" s="16">
        <f>IF($K14="","",IFERROR(INDEX(計算用!$G$2:$G$149,MATCH("女"&amp;3&amp;"-"&amp;$K14,計算用!$K$2:$K$149,0)),""))</f>
        <v/>
      </c>
      <c r="R14">
        <f>IF($K14="","",IFERROR(INDEX(計算用!$D$2:$D$149,MATCH("女"&amp;4&amp;"-"&amp;$K14,計算用!$K$2:$K$149,0)),""))</f>
        <v/>
      </c>
      <c r="S14" s="16">
        <f>IF($K14="","",IFERROR(INDEX(計算用!$G$2:$G$149,MATCH("女"&amp;4&amp;"-"&amp;$K14,計算用!$K$2:$K$149,0)),""))</f>
        <v/>
      </c>
    </row>
    <row r="15">
      <c r="A15" s="11">
        <f>IF(11&lt;=計算用!$U$9,11,"")</f>
        <v/>
      </c>
      <c r="B15">
        <f>IF($A15="","",IFERROR(INDEX(計算用!$D$2:$D$149,MATCH(計算用!$U$3&amp;1&amp;"-"&amp;$A15,計算用!$K$2:$K$149,0)),""))</f>
        <v/>
      </c>
      <c r="C15" s="16">
        <f>IF($A15="","",IFERROR(INDEX(計算用!$G$2:$G$149,MATCH(計算用!$U$3&amp;1&amp;"-"&amp;$A15,計算用!$K$2:$K$149,0)),""))</f>
        <v/>
      </c>
      <c r="D15">
        <f>IF($A15="","",IFERROR(INDEX(計算用!$D$2:$D$149,MATCH(計算用!$U$3&amp;2&amp;"-"&amp;$A15,計算用!$K$2:$K$149,0)),""))</f>
        <v/>
      </c>
      <c r="E15" s="16">
        <f>IF($A15="","",IFERROR(INDEX(計算用!$G$2:$G$149,MATCH(計算用!$U$3&amp;2&amp;"-"&amp;$A15,計算用!$K$2:$K$149,0)),""))</f>
        <v/>
      </c>
      <c r="F15">
        <f>IF($A15="","",IFERROR(INDEX(計算用!$D$2:$D$149,MATCH(計算用!$U$3&amp;3&amp;"-"&amp;$A15,計算用!$K$2:$K$149,0)),""))</f>
        <v/>
      </c>
      <c r="G15" s="16">
        <f>IF($A15="","",IFERROR(INDEX(計算用!$G$2:$G$149,MATCH(計算用!$U$3&amp;3&amp;"-"&amp;$A15,計算用!$K$2:$K$149,0)),""))</f>
        <v/>
      </c>
      <c r="H15">
        <f>IF($A15="","",IFERROR(INDEX(計算用!$D$2:$D$149,MATCH(計算用!$U$3&amp;4&amp;"-"&amp;$A15,計算用!$K$2:$K$149,0)),""))</f>
        <v/>
      </c>
      <c r="I15" s="16">
        <f>IF($A15="","",IFERROR(INDEX(計算用!$G$2:$G$149,MATCH(計算用!$U$3&amp;4&amp;"-"&amp;$A15,計算用!$K$2:$K$149,0)),""))</f>
        <v/>
      </c>
      <c r="K15" s="11">
        <f>IF(11&lt;=計算用!$U$10,11,"")</f>
        <v/>
      </c>
      <c r="L15">
        <f>IF($K15="","",IFERROR(INDEX(計算用!$D$2:$D$149,MATCH("女"&amp;1&amp;"-"&amp;$K15,計算用!$K$2:$K$149,0)),""))</f>
        <v/>
      </c>
      <c r="M15" s="16">
        <f>IF($K15="","",IFERROR(INDEX(計算用!$G$2:$G$149,MATCH("女"&amp;1&amp;"-"&amp;$K15,計算用!$K$2:$K$149,0)),""))</f>
        <v/>
      </c>
      <c r="N15">
        <f>IF($K15="","",IFERROR(INDEX(計算用!$D$2:$D$149,MATCH("女"&amp;2&amp;"-"&amp;$K15,計算用!$K$2:$K$149,0)),""))</f>
        <v/>
      </c>
      <c r="O15" s="16">
        <f>IF($K15="","",IFERROR(INDEX(計算用!$G$2:$G$149,MATCH("女"&amp;2&amp;"-"&amp;$K15,計算用!$K$2:$K$149,0)),""))</f>
        <v/>
      </c>
      <c r="P15">
        <f>IF($K15="","",IFERROR(INDEX(計算用!$D$2:$D$149,MATCH("女"&amp;3&amp;"-"&amp;$K15,計算用!$K$2:$K$149,0)),""))</f>
        <v/>
      </c>
      <c r="Q15" s="16">
        <f>IF($K15="","",IFERROR(INDEX(計算用!$G$2:$G$149,MATCH("女"&amp;3&amp;"-"&amp;$K15,計算用!$K$2:$K$149,0)),""))</f>
        <v/>
      </c>
      <c r="R15">
        <f>IF($K15="","",IFERROR(INDEX(計算用!$D$2:$D$149,MATCH("女"&amp;4&amp;"-"&amp;$K15,計算用!$K$2:$K$149,0)),""))</f>
        <v/>
      </c>
      <c r="S15" s="16">
        <f>IF($K15="","",IFERROR(INDEX(計算用!$G$2:$G$149,MATCH("女"&amp;4&amp;"-"&amp;$K15,計算用!$K$2:$K$149,0)),""))</f>
        <v/>
      </c>
    </row>
    <row r="16">
      <c r="A16" s="11">
        <f>IF(12&lt;=計算用!$U$9,12,"")</f>
        <v/>
      </c>
      <c r="B16">
        <f>IF($A16="","",IFERROR(INDEX(計算用!$D$2:$D$149,MATCH(計算用!$U$3&amp;1&amp;"-"&amp;$A16,計算用!$K$2:$K$149,0)),""))</f>
        <v/>
      </c>
      <c r="C16" s="16">
        <f>IF($A16="","",IFERROR(INDEX(計算用!$G$2:$G$149,MATCH(計算用!$U$3&amp;1&amp;"-"&amp;$A16,計算用!$K$2:$K$149,0)),""))</f>
        <v/>
      </c>
      <c r="D16">
        <f>IF($A16="","",IFERROR(INDEX(計算用!$D$2:$D$149,MATCH(計算用!$U$3&amp;2&amp;"-"&amp;$A16,計算用!$K$2:$K$149,0)),""))</f>
        <v/>
      </c>
      <c r="E16" s="16">
        <f>IF($A16="","",IFERROR(INDEX(計算用!$G$2:$G$149,MATCH(計算用!$U$3&amp;2&amp;"-"&amp;$A16,計算用!$K$2:$K$149,0)),""))</f>
        <v/>
      </c>
      <c r="F16">
        <f>IF($A16="","",IFERROR(INDEX(計算用!$D$2:$D$149,MATCH(計算用!$U$3&amp;3&amp;"-"&amp;$A16,計算用!$K$2:$K$149,0)),""))</f>
        <v/>
      </c>
      <c r="G16" s="16">
        <f>IF($A16="","",IFERROR(INDEX(計算用!$G$2:$G$149,MATCH(計算用!$U$3&amp;3&amp;"-"&amp;$A16,計算用!$K$2:$K$149,0)),""))</f>
        <v/>
      </c>
      <c r="H16">
        <f>IF($A16="","",IFERROR(INDEX(計算用!$D$2:$D$149,MATCH(計算用!$U$3&amp;4&amp;"-"&amp;$A16,計算用!$K$2:$K$149,0)),""))</f>
        <v/>
      </c>
      <c r="I16" s="16">
        <f>IF($A16="","",IFERROR(INDEX(計算用!$G$2:$G$149,MATCH(計算用!$U$3&amp;4&amp;"-"&amp;$A16,計算用!$K$2:$K$149,0)),""))</f>
        <v/>
      </c>
      <c r="K16" s="11">
        <f>IF(12&lt;=計算用!$U$10,12,"")</f>
        <v/>
      </c>
      <c r="L16">
        <f>IF($K16="","",IFERROR(INDEX(計算用!$D$2:$D$149,MATCH("女"&amp;1&amp;"-"&amp;$K16,計算用!$K$2:$K$149,0)),""))</f>
        <v/>
      </c>
      <c r="M16" s="16">
        <f>IF($K16="","",IFERROR(INDEX(計算用!$G$2:$G$149,MATCH("女"&amp;1&amp;"-"&amp;$K16,計算用!$K$2:$K$149,0)),""))</f>
        <v/>
      </c>
      <c r="N16">
        <f>IF($K16="","",IFERROR(INDEX(計算用!$D$2:$D$149,MATCH("女"&amp;2&amp;"-"&amp;$K16,計算用!$K$2:$K$149,0)),""))</f>
        <v/>
      </c>
      <c r="O16" s="16">
        <f>IF($K16="","",IFERROR(INDEX(計算用!$G$2:$G$149,MATCH("女"&amp;2&amp;"-"&amp;$K16,計算用!$K$2:$K$149,0)),""))</f>
        <v/>
      </c>
      <c r="P16">
        <f>IF($K16="","",IFERROR(INDEX(計算用!$D$2:$D$149,MATCH("女"&amp;3&amp;"-"&amp;$K16,計算用!$K$2:$K$149,0)),""))</f>
        <v/>
      </c>
      <c r="Q16" s="16">
        <f>IF($K16="","",IFERROR(INDEX(計算用!$G$2:$G$149,MATCH("女"&amp;3&amp;"-"&amp;$K16,計算用!$K$2:$K$149,0)),""))</f>
        <v/>
      </c>
      <c r="R16">
        <f>IF($K16="","",IFERROR(INDEX(計算用!$D$2:$D$149,MATCH("女"&amp;4&amp;"-"&amp;$K16,計算用!$K$2:$K$149,0)),""))</f>
        <v/>
      </c>
      <c r="S16" s="16">
        <f>IF($K16="","",IFERROR(INDEX(計算用!$G$2:$G$149,MATCH("女"&amp;4&amp;"-"&amp;$K16,計算用!$K$2:$K$149,0)),""))</f>
        <v/>
      </c>
    </row>
    <row r="17">
      <c r="A17" s="11">
        <f>IF(13&lt;=計算用!$U$9,13,"")</f>
        <v/>
      </c>
      <c r="B17">
        <f>IF($A17="","",IFERROR(INDEX(計算用!$D$2:$D$149,MATCH(計算用!$U$3&amp;1&amp;"-"&amp;$A17,計算用!$K$2:$K$149,0)),""))</f>
        <v/>
      </c>
      <c r="C17" s="16">
        <f>IF($A17="","",IFERROR(INDEX(計算用!$G$2:$G$149,MATCH(計算用!$U$3&amp;1&amp;"-"&amp;$A17,計算用!$K$2:$K$149,0)),""))</f>
        <v/>
      </c>
      <c r="D17">
        <f>IF($A17="","",IFERROR(INDEX(計算用!$D$2:$D$149,MATCH(計算用!$U$3&amp;2&amp;"-"&amp;$A17,計算用!$K$2:$K$149,0)),""))</f>
        <v/>
      </c>
      <c r="E17" s="16">
        <f>IF($A17="","",IFERROR(INDEX(計算用!$G$2:$G$149,MATCH(計算用!$U$3&amp;2&amp;"-"&amp;$A17,計算用!$K$2:$K$149,0)),""))</f>
        <v/>
      </c>
      <c r="F17">
        <f>IF($A17="","",IFERROR(INDEX(計算用!$D$2:$D$149,MATCH(計算用!$U$3&amp;3&amp;"-"&amp;$A17,計算用!$K$2:$K$149,0)),""))</f>
        <v/>
      </c>
      <c r="G17" s="16">
        <f>IF($A17="","",IFERROR(INDEX(計算用!$G$2:$G$149,MATCH(計算用!$U$3&amp;3&amp;"-"&amp;$A17,計算用!$K$2:$K$149,0)),""))</f>
        <v/>
      </c>
      <c r="H17">
        <f>IF($A17="","",IFERROR(INDEX(計算用!$D$2:$D$149,MATCH(計算用!$U$3&amp;4&amp;"-"&amp;$A17,計算用!$K$2:$K$149,0)),""))</f>
        <v/>
      </c>
      <c r="I17" s="16">
        <f>IF($A17="","",IFERROR(INDEX(計算用!$G$2:$G$149,MATCH(計算用!$U$3&amp;4&amp;"-"&amp;$A17,計算用!$K$2:$K$149,0)),""))</f>
        <v/>
      </c>
      <c r="K17" s="11">
        <f>IF(13&lt;=計算用!$U$10,13,"")</f>
        <v/>
      </c>
      <c r="L17">
        <f>IF($K17="","",IFERROR(INDEX(計算用!$D$2:$D$149,MATCH("女"&amp;1&amp;"-"&amp;$K17,計算用!$K$2:$K$149,0)),""))</f>
        <v/>
      </c>
      <c r="M17" s="16">
        <f>IF($K17="","",IFERROR(INDEX(計算用!$G$2:$G$149,MATCH("女"&amp;1&amp;"-"&amp;$K17,計算用!$K$2:$K$149,0)),""))</f>
        <v/>
      </c>
      <c r="N17">
        <f>IF($K17="","",IFERROR(INDEX(計算用!$D$2:$D$149,MATCH("女"&amp;2&amp;"-"&amp;$K17,計算用!$K$2:$K$149,0)),""))</f>
        <v/>
      </c>
      <c r="O17" s="16">
        <f>IF($K17="","",IFERROR(INDEX(計算用!$G$2:$G$149,MATCH("女"&amp;2&amp;"-"&amp;$K17,計算用!$K$2:$K$149,0)),""))</f>
        <v/>
      </c>
      <c r="P17">
        <f>IF($K17="","",IFERROR(INDEX(計算用!$D$2:$D$149,MATCH("女"&amp;3&amp;"-"&amp;$K17,計算用!$K$2:$K$149,0)),""))</f>
        <v/>
      </c>
      <c r="Q17" s="16">
        <f>IF($K17="","",IFERROR(INDEX(計算用!$G$2:$G$149,MATCH("女"&amp;3&amp;"-"&amp;$K17,計算用!$K$2:$K$149,0)),""))</f>
        <v/>
      </c>
      <c r="R17">
        <f>IF($K17="","",IFERROR(INDEX(計算用!$D$2:$D$149,MATCH("女"&amp;4&amp;"-"&amp;$K17,計算用!$K$2:$K$149,0)),""))</f>
        <v/>
      </c>
      <c r="S17" s="16">
        <f>IF($K17="","",IFERROR(INDEX(計算用!$G$2:$G$149,MATCH("女"&amp;4&amp;"-"&amp;$K17,計算用!$K$2:$K$149,0)),""))</f>
        <v/>
      </c>
    </row>
    <row r="18">
      <c r="A18" s="11">
        <f>IF(14&lt;=計算用!$U$9,14,"")</f>
        <v/>
      </c>
      <c r="B18">
        <f>IF($A18="","",IFERROR(INDEX(計算用!$D$2:$D$149,MATCH(計算用!$U$3&amp;1&amp;"-"&amp;$A18,計算用!$K$2:$K$149,0)),""))</f>
        <v/>
      </c>
      <c r="C18" s="16">
        <f>IF($A18="","",IFERROR(INDEX(計算用!$G$2:$G$149,MATCH(計算用!$U$3&amp;1&amp;"-"&amp;$A18,計算用!$K$2:$K$149,0)),""))</f>
        <v/>
      </c>
      <c r="D18">
        <f>IF($A18="","",IFERROR(INDEX(計算用!$D$2:$D$149,MATCH(計算用!$U$3&amp;2&amp;"-"&amp;$A18,計算用!$K$2:$K$149,0)),""))</f>
        <v/>
      </c>
      <c r="E18" s="16">
        <f>IF($A18="","",IFERROR(INDEX(計算用!$G$2:$G$149,MATCH(計算用!$U$3&amp;2&amp;"-"&amp;$A18,計算用!$K$2:$K$149,0)),""))</f>
        <v/>
      </c>
      <c r="F18">
        <f>IF($A18="","",IFERROR(INDEX(計算用!$D$2:$D$149,MATCH(計算用!$U$3&amp;3&amp;"-"&amp;$A18,計算用!$K$2:$K$149,0)),""))</f>
        <v/>
      </c>
      <c r="G18" s="16">
        <f>IF($A18="","",IFERROR(INDEX(計算用!$G$2:$G$149,MATCH(計算用!$U$3&amp;3&amp;"-"&amp;$A18,計算用!$K$2:$K$149,0)),""))</f>
        <v/>
      </c>
      <c r="H18">
        <f>IF($A18="","",IFERROR(INDEX(計算用!$D$2:$D$149,MATCH(計算用!$U$3&amp;4&amp;"-"&amp;$A18,計算用!$K$2:$K$149,0)),""))</f>
        <v/>
      </c>
      <c r="I18" s="16">
        <f>IF($A18="","",IFERROR(INDEX(計算用!$G$2:$G$149,MATCH(計算用!$U$3&amp;4&amp;"-"&amp;$A18,計算用!$K$2:$K$149,0)),""))</f>
        <v/>
      </c>
      <c r="K18" s="11">
        <f>IF(14&lt;=計算用!$U$10,14,"")</f>
        <v/>
      </c>
      <c r="L18">
        <f>IF($K18="","",IFERROR(INDEX(計算用!$D$2:$D$149,MATCH("女"&amp;1&amp;"-"&amp;$K18,計算用!$K$2:$K$149,0)),""))</f>
        <v/>
      </c>
      <c r="M18" s="16">
        <f>IF($K18="","",IFERROR(INDEX(計算用!$G$2:$G$149,MATCH("女"&amp;1&amp;"-"&amp;$K18,計算用!$K$2:$K$149,0)),""))</f>
        <v/>
      </c>
      <c r="N18">
        <f>IF($K18="","",IFERROR(INDEX(計算用!$D$2:$D$149,MATCH("女"&amp;2&amp;"-"&amp;$K18,計算用!$K$2:$K$149,0)),""))</f>
        <v/>
      </c>
      <c r="O18" s="16">
        <f>IF($K18="","",IFERROR(INDEX(計算用!$G$2:$G$149,MATCH("女"&amp;2&amp;"-"&amp;$K18,計算用!$K$2:$K$149,0)),""))</f>
        <v/>
      </c>
      <c r="P18">
        <f>IF($K18="","",IFERROR(INDEX(計算用!$D$2:$D$149,MATCH("女"&amp;3&amp;"-"&amp;$K18,計算用!$K$2:$K$149,0)),""))</f>
        <v/>
      </c>
      <c r="Q18" s="16">
        <f>IF($K18="","",IFERROR(INDEX(計算用!$G$2:$G$149,MATCH("女"&amp;3&amp;"-"&amp;$K18,計算用!$K$2:$K$149,0)),""))</f>
        <v/>
      </c>
      <c r="R18">
        <f>IF($K18="","",IFERROR(INDEX(計算用!$D$2:$D$149,MATCH("女"&amp;4&amp;"-"&amp;$K18,計算用!$K$2:$K$149,0)),""))</f>
        <v/>
      </c>
      <c r="S18" s="16">
        <f>IF($K18="","",IFERROR(INDEX(計算用!$G$2:$G$149,MATCH("女"&amp;4&amp;"-"&amp;$K18,計算用!$K$2:$K$149,0)),""))</f>
        <v/>
      </c>
    </row>
    <row r="19">
      <c r="A19" s="11">
        <f>IF(15&lt;=計算用!$U$9,15,"")</f>
        <v/>
      </c>
      <c r="B19">
        <f>IF($A19="","",IFERROR(INDEX(計算用!$D$2:$D$149,MATCH(計算用!$U$3&amp;1&amp;"-"&amp;$A19,計算用!$K$2:$K$149,0)),""))</f>
        <v/>
      </c>
      <c r="C19" s="16">
        <f>IF($A19="","",IFERROR(INDEX(計算用!$G$2:$G$149,MATCH(計算用!$U$3&amp;1&amp;"-"&amp;$A19,計算用!$K$2:$K$149,0)),""))</f>
        <v/>
      </c>
      <c r="D19">
        <f>IF($A19="","",IFERROR(INDEX(計算用!$D$2:$D$149,MATCH(計算用!$U$3&amp;2&amp;"-"&amp;$A19,計算用!$K$2:$K$149,0)),""))</f>
        <v/>
      </c>
      <c r="E19" s="16">
        <f>IF($A19="","",IFERROR(INDEX(計算用!$G$2:$G$149,MATCH(計算用!$U$3&amp;2&amp;"-"&amp;$A19,計算用!$K$2:$K$149,0)),""))</f>
        <v/>
      </c>
      <c r="F19">
        <f>IF($A19="","",IFERROR(INDEX(計算用!$D$2:$D$149,MATCH(計算用!$U$3&amp;3&amp;"-"&amp;$A19,計算用!$K$2:$K$149,0)),""))</f>
        <v/>
      </c>
      <c r="G19" s="16">
        <f>IF($A19="","",IFERROR(INDEX(計算用!$G$2:$G$149,MATCH(計算用!$U$3&amp;3&amp;"-"&amp;$A19,計算用!$K$2:$K$149,0)),""))</f>
        <v/>
      </c>
      <c r="H19">
        <f>IF($A19="","",IFERROR(INDEX(計算用!$D$2:$D$149,MATCH(計算用!$U$3&amp;4&amp;"-"&amp;$A19,計算用!$K$2:$K$149,0)),""))</f>
        <v/>
      </c>
      <c r="I19" s="16">
        <f>IF($A19="","",IFERROR(INDEX(計算用!$G$2:$G$149,MATCH(計算用!$U$3&amp;4&amp;"-"&amp;$A19,計算用!$K$2:$K$149,0)),""))</f>
        <v/>
      </c>
      <c r="K19" s="11">
        <f>IF(15&lt;=計算用!$U$10,15,"")</f>
        <v/>
      </c>
      <c r="L19">
        <f>IF($K19="","",IFERROR(INDEX(計算用!$D$2:$D$149,MATCH("女"&amp;1&amp;"-"&amp;$K19,計算用!$K$2:$K$149,0)),""))</f>
        <v/>
      </c>
      <c r="M19" s="16">
        <f>IF($K19="","",IFERROR(INDEX(計算用!$G$2:$G$149,MATCH("女"&amp;1&amp;"-"&amp;$K19,計算用!$K$2:$K$149,0)),""))</f>
        <v/>
      </c>
      <c r="N19">
        <f>IF($K19="","",IFERROR(INDEX(計算用!$D$2:$D$149,MATCH("女"&amp;2&amp;"-"&amp;$K19,計算用!$K$2:$K$149,0)),""))</f>
        <v/>
      </c>
      <c r="O19" s="16">
        <f>IF($K19="","",IFERROR(INDEX(計算用!$G$2:$G$149,MATCH("女"&amp;2&amp;"-"&amp;$K19,計算用!$K$2:$K$149,0)),""))</f>
        <v/>
      </c>
      <c r="P19">
        <f>IF($K19="","",IFERROR(INDEX(計算用!$D$2:$D$149,MATCH("女"&amp;3&amp;"-"&amp;$K19,計算用!$K$2:$K$149,0)),""))</f>
        <v/>
      </c>
      <c r="Q19" s="16">
        <f>IF($K19="","",IFERROR(INDEX(計算用!$G$2:$G$149,MATCH("女"&amp;3&amp;"-"&amp;$K19,計算用!$K$2:$K$149,0)),""))</f>
        <v/>
      </c>
      <c r="R19">
        <f>IF($K19="","",IFERROR(INDEX(計算用!$D$2:$D$149,MATCH("女"&amp;4&amp;"-"&amp;$K19,計算用!$K$2:$K$149,0)),""))</f>
        <v/>
      </c>
      <c r="S19" s="16">
        <f>IF($K19="","",IFERROR(INDEX(計算用!$G$2:$G$149,MATCH("女"&amp;4&amp;"-"&amp;$K19,計算用!$K$2:$K$149,0)),""))</f>
        <v/>
      </c>
    </row>
    <row r="20">
      <c r="A20" s="11">
        <f>IF(16&lt;=計算用!$U$9,16,"")</f>
        <v/>
      </c>
      <c r="B20">
        <f>IF($A20="","",IFERROR(INDEX(計算用!$D$2:$D$149,MATCH(計算用!$U$3&amp;1&amp;"-"&amp;$A20,計算用!$K$2:$K$149,0)),""))</f>
        <v/>
      </c>
      <c r="C20" s="16">
        <f>IF($A20="","",IFERROR(INDEX(計算用!$G$2:$G$149,MATCH(計算用!$U$3&amp;1&amp;"-"&amp;$A20,計算用!$K$2:$K$149,0)),""))</f>
        <v/>
      </c>
      <c r="D20">
        <f>IF($A20="","",IFERROR(INDEX(計算用!$D$2:$D$149,MATCH(計算用!$U$3&amp;2&amp;"-"&amp;$A20,計算用!$K$2:$K$149,0)),""))</f>
        <v/>
      </c>
      <c r="E20" s="16">
        <f>IF($A20="","",IFERROR(INDEX(計算用!$G$2:$G$149,MATCH(計算用!$U$3&amp;2&amp;"-"&amp;$A20,計算用!$K$2:$K$149,0)),""))</f>
        <v/>
      </c>
      <c r="F20">
        <f>IF($A20="","",IFERROR(INDEX(計算用!$D$2:$D$149,MATCH(計算用!$U$3&amp;3&amp;"-"&amp;$A20,計算用!$K$2:$K$149,0)),""))</f>
        <v/>
      </c>
      <c r="G20" s="16">
        <f>IF($A20="","",IFERROR(INDEX(計算用!$G$2:$G$149,MATCH(計算用!$U$3&amp;3&amp;"-"&amp;$A20,計算用!$K$2:$K$149,0)),""))</f>
        <v/>
      </c>
      <c r="H20">
        <f>IF($A20="","",IFERROR(INDEX(計算用!$D$2:$D$149,MATCH(計算用!$U$3&amp;4&amp;"-"&amp;$A20,計算用!$K$2:$K$149,0)),""))</f>
        <v/>
      </c>
      <c r="I20" s="16">
        <f>IF($A20="","",IFERROR(INDEX(計算用!$G$2:$G$149,MATCH(計算用!$U$3&amp;4&amp;"-"&amp;$A20,計算用!$K$2:$K$149,0)),""))</f>
        <v/>
      </c>
      <c r="K20" s="11">
        <f>IF(16&lt;=計算用!$U$10,16,"")</f>
        <v/>
      </c>
      <c r="L20">
        <f>IF($K20="","",IFERROR(INDEX(計算用!$D$2:$D$149,MATCH("女"&amp;1&amp;"-"&amp;$K20,計算用!$K$2:$K$149,0)),""))</f>
        <v/>
      </c>
      <c r="M20" s="16">
        <f>IF($K20="","",IFERROR(INDEX(計算用!$G$2:$G$149,MATCH("女"&amp;1&amp;"-"&amp;$K20,計算用!$K$2:$K$149,0)),""))</f>
        <v/>
      </c>
      <c r="N20">
        <f>IF($K20="","",IFERROR(INDEX(計算用!$D$2:$D$149,MATCH("女"&amp;2&amp;"-"&amp;$K20,計算用!$K$2:$K$149,0)),""))</f>
        <v/>
      </c>
      <c r="O20" s="16">
        <f>IF($K20="","",IFERROR(INDEX(計算用!$G$2:$G$149,MATCH("女"&amp;2&amp;"-"&amp;$K20,計算用!$K$2:$K$149,0)),""))</f>
        <v/>
      </c>
      <c r="P20">
        <f>IF($K20="","",IFERROR(INDEX(計算用!$D$2:$D$149,MATCH("女"&amp;3&amp;"-"&amp;$K20,計算用!$K$2:$K$149,0)),""))</f>
        <v/>
      </c>
      <c r="Q20" s="16">
        <f>IF($K20="","",IFERROR(INDEX(計算用!$G$2:$G$149,MATCH("女"&amp;3&amp;"-"&amp;$K20,計算用!$K$2:$K$149,0)),""))</f>
        <v/>
      </c>
      <c r="R20">
        <f>IF($K20="","",IFERROR(INDEX(計算用!$D$2:$D$149,MATCH("女"&amp;4&amp;"-"&amp;$K20,計算用!$K$2:$K$149,0)),""))</f>
        <v/>
      </c>
      <c r="S20" s="16">
        <f>IF($K20="","",IFERROR(INDEX(計算用!$G$2:$G$149,MATCH("女"&amp;4&amp;"-"&amp;$K20,計算用!$K$2:$K$149,0)),""))</f>
        <v/>
      </c>
    </row>
    <row r="21">
      <c r="A21" s="11">
        <f>IF(17&lt;=計算用!$U$9,17,"")</f>
        <v/>
      </c>
      <c r="B21">
        <f>IF($A21="","",IFERROR(INDEX(計算用!$D$2:$D$149,MATCH(計算用!$U$3&amp;1&amp;"-"&amp;$A21,計算用!$K$2:$K$149,0)),""))</f>
        <v/>
      </c>
      <c r="C21" s="16">
        <f>IF($A21="","",IFERROR(INDEX(計算用!$G$2:$G$149,MATCH(計算用!$U$3&amp;1&amp;"-"&amp;$A21,計算用!$K$2:$K$149,0)),""))</f>
        <v/>
      </c>
      <c r="D21">
        <f>IF($A21="","",IFERROR(INDEX(計算用!$D$2:$D$149,MATCH(計算用!$U$3&amp;2&amp;"-"&amp;$A21,計算用!$K$2:$K$149,0)),""))</f>
        <v/>
      </c>
      <c r="E21" s="16">
        <f>IF($A21="","",IFERROR(INDEX(計算用!$G$2:$G$149,MATCH(計算用!$U$3&amp;2&amp;"-"&amp;$A21,計算用!$K$2:$K$149,0)),""))</f>
        <v/>
      </c>
      <c r="F21">
        <f>IF($A21="","",IFERROR(INDEX(計算用!$D$2:$D$149,MATCH(計算用!$U$3&amp;3&amp;"-"&amp;$A21,計算用!$K$2:$K$149,0)),""))</f>
        <v/>
      </c>
      <c r="G21" s="16">
        <f>IF($A21="","",IFERROR(INDEX(計算用!$G$2:$G$149,MATCH(計算用!$U$3&amp;3&amp;"-"&amp;$A21,計算用!$K$2:$K$149,0)),""))</f>
        <v/>
      </c>
      <c r="H21">
        <f>IF($A21="","",IFERROR(INDEX(計算用!$D$2:$D$149,MATCH(計算用!$U$3&amp;4&amp;"-"&amp;$A21,計算用!$K$2:$K$149,0)),""))</f>
        <v/>
      </c>
      <c r="I21" s="16">
        <f>IF($A21="","",IFERROR(INDEX(計算用!$G$2:$G$149,MATCH(計算用!$U$3&amp;4&amp;"-"&amp;$A21,計算用!$K$2:$K$149,0)),""))</f>
        <v/>
      </c>
      <c r="K21" s="11">
        <f>IF(17&lt;=計算用!$U$10,17,"")</f>
        <v/>
      </c>
      <c r="L21">
        <f>IF($K21="","",IFERROR(INDEX(計算用!$D$2:$D$149,MATCH("女"&amp;1&amp;"-"&amp;$K21,計算用!$K$2:$K$149,0)),""))</f>
        <v/>
      </c>
      <c r="M21" s="16">
        <f>IF($K21="","",IFERROR(INDEX(計算用!$G$2:$G$149,MATCH("女"&amp;1&amp;"-"&amp;$K21,計算用!$K$2:$K$149,0)),""))</f>
        <v/>
      </c>
      <c r="N21">
        <f>IF($K21="","",IFERROR(INDEX(計算用!$D$2:$D$149,MATCH("女"&amp;2&amp;"-"&amp;$K21,計算用!$K$2:$K$149,0)),""))</f>
        <v/>
      </c>
      <c r="O21" s="16">
        <f>IF($K21="","",IFERROR(INDEX(計算用!$G$2:$G$149,MATCH("女"&amp;2&amp;"-"&amp;$K21,計算用!$K$2:$K$149,0)),""))</f>
        <v/>
      </c>
      <c r="P21">
        <f>IF($K21="","",IFERROR(INDEX(計算用!$D$2:$D$149,MATCH("女"&amp;3&amp;"-"&amp;$K21,計算用!$K$2:$K$149,0)),""))</f>
        <v/>
      </c>
      <c r="Q21" s="16">
        <f>IF($K21="","",IFERROR(INDEX(計算用!$G$2:$G$149,MATCH("女"&amp;3&amp;"-"&amp;$K21,計算用!$K$2:$K$149,0)),""))</f>
        <v/>
      </c>
      <c r="R21">
        <f>IF($K21="","",IFERROR(INDEX(計算用!$D$2:$D$149,MATCH("女"&amp;4&amp;"-"&amp;$K21,計算用!$K$2:$K$149,0)),""))</f>
        <v/>
      </c>
      <c r="S21" s="16">
        <f>IF($K21="","",IFERROR(INDEX(計算用!$G$2:$G$149,MATCH("女"&amp;4&amp;"-"&amp;$K21,計算用!$K$2:$K$149,0)),""))</f>
        <v/>
      </c>
    </row>
    <row r="22">
      <c r="A22" s="11">
        <f>IF(18&lt;=計算用!$U$9,18,"")</f>
        <v/>
      </c>
      <c r="B22">
        <f>IF($A22="","",IFERROR(INDEX(計算用!$D$2:$D$149,MATCH(計算用!$U$3&amp;1&amp;"-"&amp;$A22,計算用!$K$2:$K$149,0)),""))</f>
        <v/>
      </c>
      <c r="C22" s="16">
        <f>IF($A22="","",IFERROR(INDEX(計算用!$G$2:$G$149,MATCH(計算用!$U$3&amp;1&amp;"-"&amp;$A22,計算用!$K$2:$K$149,0)),""))</f>
        <v/>
      </c>
      <c r="D22">
        <f>IF($A22="","",IFERROR(INDEX(計算用!$D$2:$D$149,MATCH(計算用!$U$3&amp;2&amp;"-"&amp;$A22,計算用!$K$2:$K$149,0)),""))</f>
        <v/>
      </c>
      <c r="E22" s="16">
        <f>IF($A22="","",IFERROR(INDEX(計算用!$G$2:$G$149,MATCH(計算用!$U$3&amp;2&amp;"-"&amp;$A22,計算用!$K$2:$K$149,0)),""))</f>
        <v/>
      </c>
      <c r="F22">
        <f>IF($A22="","",IFERROR(INDEX(計算用!$D$2:$D$149,MATCH(計算用!$U$3&amp;3&amp;"-"&amp;$A22,計算用!$K$2:$K$149,0)),""))</f>
        <v/>
      </c>
      <c r="G22" s="16">
        <f>IF($A22="","",IFERROR(INDEX(計算用!$G$2:$G$149,MATCH(計算用!$U$3&amp;3&amp;"-"&amp;$A22,計算用!$K$2:$K$149,0)),""))</f>
        <v/>
      </c>
      <c r="H22">
        <f>IF($A22="","",IFERROR(INDEX(計算用!$D$2:$D$149,MATCH(計算用!$U$3&amp;4&amp;"-"&amp;$A22,計算用!$K$2:$K$149,0)),""))</f>
        <v/>
      </c>
      <c r="I22" s="16">
        <f>IF($A22="","",IFERROR(INDEX(計算用!$G$2:$G$149,MATCH(計算用!$U$3&amp;4&amp;"-"&amp;$A22,計算用!$K$2:$K$149,0)),""))</f>
        <v/>
      </c>
      <c r="K22" s="11">
        <f>IF(18&lt;=計算用!$U$10,18,"")</f>
        <v/>
      </c>
      <c r="L22">
        <f>IF($K22="","",IFERROR(INDEX(計算用!$D$2:$D$149,MATCH("女"&amp;1&amp;"-"&amp;$K22,計算用!$K$2:$K$149,0)),""))</f>
        <v/>
      </c>
      <c r="M22" s="16">
        <f>IF($K22="","",IFERROR(INDEX(計算用!$G$2:$G$149,MATCH("女"&amp;1&amp;"-"&amp;$K22,計算用!$K$2:$K$149,0)),""))</f>
        <v/>
      </c>
      <c r="N22">
        <f>IF($K22="","",IFERROR(INDEX(計算用!$D$2:$D$149,MATCH("女"&amp;2&amp;"-"&amp;$K22,計算用!$K$2:$K$149,0)),""))</f>
        <v/>
      </c>
      <c r="O22" s="16">
        <f>IF($K22="","",IFERROR(INDEX(計算用!$G$2:$G$149,MATCH("女"&amp;2&amp;"-"&amp;$K22,計算用!$K$2:$K$149,0)),""))</f>
        <v/>
      </c>
      <c r="P22">
        <f>IF($K22="","",IFERROR(INDEX(計算用!$D$2:$D$149,MATCH("女"&amp;3&amp;"-"&amp;$K22,計算用!$K$2:$K$149,0)),""))</f>
        <v/>
      </c>
      <c r="Q22" s="16">
        <f>IF($K22="","",IFERROR(INDEX(計算用!$G$2:$G$149,MATCH("女"&amp;3&amp;"-"&amp;$K22,計算用!$K$2:$K$149,0)),""))</f>
        <v/>
      </c>
      <c r="R22">
        <f>IF($K22="","",IFERROR(INDEX(計算用!$D$2:$D$149,MATCH("女"&amp;4&amp;"-"&amp;$K22,計算用!$K$2:$K$149,0)),""))</f>
        <v/>
      </c>
      <c r="S22" s="16">
        <f>IF($K22="","",IFERROR(INDEX(計算用!$G$2:$G$149,MATCH("女"&amp;4&amp;"-"&amp;$K22,計算用!$K$2:$K$149,0)),""))</f>
        <v/>
      </c>
    </row>
    <row r="23">
      <c r="A23" s="11">
        <f>IF(19&lt;=計算用!$U$9,19,"")</f>
        <v/>
      </c>
      <c r="B23">
        <f>IF($A23="","",IFERROR(INDEX(計算用!$D$2:$D$149,MATCH(計算用!$U$3&amp;1&amp;"-"&amp;$A23,計算用!$K$2:$K$149,0)),""))</f>
        <v/>
      </c>
      <c r="C23" s="16">
        <f>IF($A23="","",IFERROR(INDEX(計算用!$G$2:$G$149,MATCH(計算用!$U$3&amp;1&amp;"-"&amp;$A23,計算用!$K$2:$K$149,0)),""))</f>
        <v/>
      </c>
      <c r="D23">
        <f>IF($A23="","",IFERROR(INDEX(計算用!$D$2:$D$149,MATCH(計算用!$U$3&amp;2&amp;"-"&amp;$A23,計算用!$K$2:$K$149,0)),""))</f>
        <v/>
      </c>
      <c r="E23" s="16">
        <f>IF($A23="","",IFERROR(INDEX(計算用!$G$2:$G$149,MATCH(計算用!$U$3&amp;2&amp;"-"&amp;$A23,計算用!$K$2:$K$149,0)),""))</f>
        <v/>
      </c>
      <c r="F23">
        <f>IF($A23="","",IFERROR(INDEX(計算用!$D$2:$D$149,MATCH(計算用!$U$3&amp;3&amp;"-"&amp;$A23,計算用!$K$2:$K$149,0)),""))</f>
        <v/>
      </c>
      <c r="G23" s="16">
        <f>IF($A23="","",IFERROR(INDEX(計算用!$G$2:$G$149,MATCH(計算用!$U$3&amp;3&amp;"-"&amp;$A23,計算用!$K$2:$K$149,0)),""))</f>
        <v/>
      </c>
      <c r="H23">
        <f>IF($A23="","",IFERROR(INDEX(計算用!$D$2:$D$149,MATCH(計算用!$U$3&amp;4&amp;"-"&amp;$A23,計算用!$K$2:$K$149,0)),""))</f>
        <v/>
      </c>
      <c r="I23" s="16">
        <f>IF($A23="","",IFERROR(INDEX(計算用!$G$2:$G$149,MATCH(計算用!$U$3&amp;4&amp;"-"&amp;$A23,計算用!$K$2:$K$149,0)),""))</f>
        <v/>
      </c>
      <c r="K23" s="11">
        <f>IF(19&lt;=計算用!$U$10,19,"")</f>
        <v/>
      </c>
      <c r="L23">
        <f>IF($K23="","",IFERROR(INDEX(計算用!$D$2:$D$149,MATCH("女"&amp;1&amp;"-"&amp;$K23,計算用!$K$2:$K$149,0)),""))</f>
        <v/>
      </c>
      <c r="M23" s="16">
        <f>IF($K23="","",IFERROR(INDEX(計算用!$G$2:$G$149,MATCH("女"&amp;1&amp;"-"&amp;$K23,計算用!$K$2:$K$149,0)),""))</f>
        <v/>
      </c>
      <c r="N23">
        <f>IF($K23="","",IFERROR(INDEX(計算用!$D$2:$D$149,MATCH("女"&amp;2&amp;"-"&amp;$K23,計算用!$K$2:$K$149,0)),""))</f>
        <v/>
      </c>
      <c r="O23" s="16">
        <f>IF($K23="","",IFERROR(INDEX(計算用!$G$2:$G$149,MATCH("女"&amp;2&amp;"-"&amp;$K23,計算用!$K$2:$K$149,0)),""))</f>
        <v/>
      </c>
      <c r="P23">
        <f>IF($K23="","",IFERROR(INDEX(計算用!$D$2:$D$149,MATCH("女"&amp;3&amp;"-"&amp;$K23,計算用!$K$2:$K$149,0)),""))</f>
        <v/>
      </c>
      <c r="Q23" s="16">
        <f>IF($K23="","",IFERROR(INDEX(計算用!$G$2:$G$149,MATCH("女"&amp;3&amp;"-"&amp;$K23,計算用!$K$2:$K$149,0)),""))</f>
        <v/>
      </c>
      <c r="R23">
        <f>IF($K23="","",IFERROR(INDEX(計算用!$D$2:$D$149,MATCH("女"&amp;4&amp;"-"&amp;$K23,計算用!$K$2:$K$149,0)),""))</f>
        <v/>
      </c>
      <c r="S23" s="16">
        <f>IF($K23="","",IFERROR(INDEX(計算用!$G$2:$G$149,MATCH("女"&amp;4&amp;"-"&amp;$K23,計算用!$K$2:$K$149,0)),""))</f>
        <v/>
      </c>
    </row>
    <row r="24">
      <c r="A24" s="11">
        <f>IF(20&lt;=計算用!$U$9,20,"")</f>
        <v/>
      </c>
      <c r="B24">
        <f>IF($A24="","",IFERROR(INDEX(計算用!$D$2:$D$149,MATCH(計算用!$U$3&amp;1&amp;"-"&amp;$A24,計算用!$K$2:$K$149,0)),""))</f>
        <v/>
      </c>
      <c r="C24" s="16">
        <f>IF($A24="","",IFERROR(INDEX(計算用!$G$2:$G$149,MATCH(計算用!$U$3&amp;1&amp;"-"&amp;$A24,計算用!$K$2:$K$149,0)),""))</f>
        <v/>
      </c>
      <c r="D24">
        <f>IF($A24="","",IFERROR(INDEX(計算用!$D$2:$D$149,MATCH(計算用!$U$3&amp;2&amp;"-"&amp;$A24,計算用!$K$2:$K$149,0)),""))</f>
        <v/>
      </c>
      <c r="E24" s="16">
        <f>IF($A24="","",IFERROR(INDEX(計算用!$G$2:$G$149,MATCH(計算用!$U$3&amp;2&amp;"-"&amp;$A24,計算用!$K$2:$K$149,0)),""))</f>
        <v/>
      </c>
      <c r="F24">
        <f>IF($A24="","",IFERROR(INDEX(計算用!$D$2:$D$149,MATCH(計算用!$U$3&amp;3&amp;"-"&amp;$A24,計算用!$K$2:$K$149,0)),""))</f>
        <v/>
      </c>
      <c r="G24" s="16">
        <f>IF($A24="","",IFERROR(INDEX(計算用!$G$2:$G$149,MATCH(計算用!$U$3&amp;3&amp;"-"&amp;$A24,計算用!$K$2:$K$149,0)),""))</f>
        <v/>
      </c>
      <c r="H24">
        <f>IF($A24="","",IFERROR(INDEX(計算用!$D$2:$D$149,MATCH(計算用!$U$3&amp;4&amp;"-"&amp;$A24,計算用!$K$2:$K$149,0)),""))</f>
        <v/>
      </c>
      <c r="I24" s="16">
        <f>IF($A24="","",IFERROR(INDEX(計算用!$G$2:$G$149,MATCH(計算用!$U$3&amp;4&amp;"-"&amp;$A24,計算用!$K$2:$K$149,0)),""))</f>
        <v/>
      </c>
      <c r="K24" s="11">
        <f>IF(20&lt;=計算用!$U$10,20,"")</f>
        <v/>
      </c>
      <c r="L24">
        <f>IF($K24="","",IFERROR(INDEX(計算用!$D$2:$D$149,MATCH("女"&amp;1&amp;"-"&amp;$K24,計算用!$K$2:$K$149,0)),""))</f>
        <v/>
      </c>
      <c r="M24" s="16">
        <f>IF($K24="","",IFERROR(INDEX(計算用!$G$2:$G$149,MATCH("女"&amp;1&amp;"-"&amp;$K24,計算用!$K$2:$K$149,0)),""))</f>
        <v/>
      </c>
      <c r="N24">
        <f>IF($K24="","",IFERROR(INDEX(計算用!$D$2:$D$149,MATCH("女"&amp;2&amp;"-"&amp;$K24,計算用!$K$2:$K$149,0)),""))</f>
        <v/>
      </c>
      <c r="O24" s="16">
        <f>IF($K24="","",IFERROR(INDEX(計算用!$G$2:$G$149,MATCH("女"&amp;2&amp;"-"&amp;$K24,計算用!$K$2:$K$149,0)),""))</f>
        <v/>
      </c>
      <c r="P24">
        <f>IF($K24="","",IFERROR(INDEX(計算用!$D$2:$D$149,MATCH("女"&amp;3&amp;"-"&amp;$K24,計算用!$K$2:$K$149,0)),""))</f>
        <v/>
      </c>
      <c r="Q24" s="16">
        <f>IF($K24="","",IFERROR(INDEX(計算用!$G$2:$G$149,MATCH("女"&amp;3&amp;"-"&amp;$K24,計算用!$K$2:$K$149,0)),""))</f>
        <v/>
      </c>
      <c r="R24">
        <f>IF($K24="","",IFERROR(INDEX(計算用!$D$2:$D$149,MATCH("女"&amp;4&amp;"-"&amp;$K24,計算用!$K$2:$K$149,0)),""))</f>
        <v/>
      </c>
      <c r="S24" s="16">
        <f>IF($K24="","",IFERROR(INDEX(計算用!$G$2:$G$149,MATCH("女"&amp;4&amp;"-"&amp;$K24,計算用!$K$2:$K$149,0)),""))</f>
        <v/>
      </c>
    </row>
    <row r="25">
      <c r="A25" s="11">
        <f>IF(21&lt;=計算用!$U$9,21,"")</f>
        <v/>
      </c>
      <c r="B25">
        <f>IF($A25="","",IFERROR(INDEX(計算用!$D$2:$D$149,MATCH(計算用!$U$3&amp;1&amp;"-"&amp;$A25,計算用!$K$2:$K$149,0)),""))</f>
        <v/>
      </c>
      <c r="C25" s="16">
        <f>IF($A25="","",IFERROR(INDEX(計算用!$G$2:$G$149,MATCH(計算用!$U$3&amp;1&amp;"-"&amp;$A25,計算用!$K$2:$K$149,0)),""))</f>
        <v/>
      </c>
      <c r="D25">
        <f>IF($A25="","",IFERROR(INDEX(計算用!$D$2:$D$149,MATCH(計算用!$U$3&amp;2&amp;"-"&amp;$A25,計算用!$K$2:$K$149,0)),""))</f>
        <v/>
      </c>
      <c r="E25" s="16">
        <f>IF($A25="","",IFERROR(INDEX(計算用!$G$2:$G$149,MATCH(計算用!$U$3&amp;2&amp;"-"&amp;$A25,計算用!$K$2:$K$149,0)),""))</f>
        <v/>
      </c>
      <c r="F25">
        <f>IF($A25="","",IFERROR(INDEX(計算用!$D$2:$D$149,MATCH(計算用!$U$3&amp;3&amp;"-"&amp;$A25,計算用!$K$2:$K$149,0)),""))</f>
        <v/>
      </c>
      <c r="G25" s="16">
        <f>IF($A25="","",IFERROR(INDEX(計算用!$G$2:$G$149,MATCH(計算用!$U$3&amp;3&amp;"-"&amp;$A25,計算用!$K$2:$K$149,0)),""))</f>
        <v/>
      </c>
      <c r="H25">
        <f>IF($A25="","",IFERROR(INDEX(計算用!$D$2:$D$149,MATCH(計算用!$U$3&amp;4&amp;"-"&amp;$A25,計算用!$K$2:$K$149,0)),""))</f>
        <v/>
      </c>
      <c r="I25" s="16">
        <f>IF($A25="","",IFERROR(INDEX(計算用!$G$2:$G$149,MATCH(計算用!$U$3&amp;4&amp;"-"&amp;$A25,計算用!$K$2:$K$149,0)),""))</f>
        <v/>
      </c>
      <c r="K25" s="11">
        <f>IF(21&lt;=計算用!$U$10,21,"")</f>
        <v/>
      </c>
      <c r="L25">
        <f>IF($K25="","",IFERROR(INDEX(計算用!$D$2:$D$149,MATCH("女"&amp;1&amp;"-"&amp;$K25,計算用!$K$2:$K$149,0)),""))</f>
        <v/>
      </c>
      <c r="M25" s="16">
        <f>IF($K25="","",IFERROR(INDEX(計算用!$G$2:$G$149,MATCH("女"&amp;1&amp;"-"&amp;$K25,計算用!$K$2:$K$149,0)),""))</f>
        <v/>
      </c>
      <c r="N25">
        <f>IF($K25="","",IFERROR(INDEX(計算用!$D$2:$D$149,MATCH("女"&amp;2&amp;"-"&amp;$K25,計算用!$K$2:$K$149,0)),""))</f>
        <v/>
      </c>
      <c r="O25" s="16">
        <f>IF($K25="","",IFERROR(INDEX(計算用!$G$2:$G$149,MATCH("女"&amp;2&amp;"-"&amp;$K25,計算用!$K$2:$K$149,0)),""))</f>
        <v/>
      </c>
      <c r="P25">
        <f>IF($K25="","",IFERROR(INDEX(計算用!$D$2:$D$149,MATCH("女"&amp;3&amp;"-"&amp;$K25,計算用!$K$2:$K$149,0)),""))</f>
        <v/>
      </c>
      <c r="Q25" s="16">
        <f>IF($K25="","",IFERROR(INDEX(計算用!$G$2:$G$149,MATCH("女"&amp;3&amp;"-"&amp;$K25,計算用!$K$2:$K$149,0)),""))</f>
        <v/>
      </c>
      <c r="R25">
        <f>IF($K25="","",IFERROR(INDEX(計算用!$D$2:$D$149,MATCH("女"&amp;4&amp;"-"&amp;$K25,計算用!$K$2:$K$149,0)),""))</f>
        <v/>
      </c>
      <c r="S25" s="16">
        <f>IF($K25="","",IFERROR(INDEX(計算用!$G$2:$G$149,MATCH("女"&amp;4&amp;"-"&amp;$K25,計算用!$K$2:$K$149,0)),""))</f>
        <v/>
      </c>
    </row>
    <row r="26">
      <c r="A26" s="11">
        <f>IF(22&lt;=計算用!$U$9,22,"")</f>
        <v/>
      </c>
      <c r="B26">
        <f>IF($A26="","",IFERROR(INDEX(計算用!$D$2:$D$149,MATCH(計算用!$U$3&amp;1&amp;"-"&amp;$A26,計算用!$K$2:$K$149,0)),""))</f>
        <v/>
      </c>
      <c r="C26" s="16">
        <f>IF($A26="","",IFERROR(INDEX(計算用!$G$2:$G$149,MATCH(計算用!$U$3&amp;1&amp;"-"&amp;$A26,計算用!$K$2:$K$149,0)),""))</f>
        <v/>
      </c>
      <c r="D26">
        <f>IF($A26="","",IFERROR(INDEX(計算用!$D$2:$D$149,MATCH(計算用!$U$3&amp;2&amp;"-"&amp;$A26,計算用!$K$2:$K$149,0)),""))</f>
        <v/>
      </c>
      <c r="E26" s="16">
        <f>IF($A26="","",IFERROR(INDEX(計算用!$G$2:$G$149,MATCH(計算用!$U$3&amp;2&amp;"-"&amp;$A26,計算用!$K$2:$K$149,0)),""))</f>
        <v/>
      </c>
      <c r="F26">
        <f>IF($A26="","",IFERROR(INDEX(計算用!$D$2:$D$149,MATCH(計算用!$U$3&amp;3&amp;"-"&amp;$A26,計算用!$K$2:$K$149,0)),""))</f>
        <v/>
      </c>
      <c r="G26" s="16">
        <f>IF($A26="","",IFERROR(INDEX(計算用!$G$2:$G$149,MATCH(計算用!$U$3&amp;3&amp;"-"&amp;$A26,計算用!$K$2:$K$149,0)),""))</f>
        <v/>
      </c>
      <c r="H26">
        <f>IF($A26="","",IFERROR(INDEX(計算用!$D$2:$D$149,MATCH(計算用!$U$3&amp;4&amp;"-"&amp;$A26,計算用!$K$2:$K$149,0)),""))</f>
        <v/>
      </c>
      <c r="I26" s="16">
        <f>IF($A26="","",IFERROR(INDEX(計算用!$G$2:$G$149,MATCH(計算用!$U$3&amp;4&amp;"-"&amp;$A26,計算用!$K$2:$K$149,0)),""))</f>
        <v/>
      </c>
      <c r="K26" s="11">
        <f>IF(22&lt;=計算用!$U$10,22,"")</f>
        <v/>
      </c>
      <c r="L26">
        <f>IF($K26="","",IFERROR(INDEX(計算用!$D$2:$D$149,MATCH("女"&amp;1&amp;"-"&amp;$K26,計算用!$K$2:$K$149,0)),""))</f>
        <v/>
      </c>
      <c r="M26" s="16">
        <f>IF($K26="","",IFERROR(INDEX(計算用!$G$2:$G$149,MATCH("女"&amp;1&amp;"-"&amp;$K26,計算用!$K$2:$K$149,0)),""))</f>
        <v/>
      </c>
      <c r="N26">
        <f>IF($K26="","",IFERROR(INDEX(計算用!$D$2:$D$149,MATCH("女"&amp;2&amp;"-"&amp;$K26,計算用!$K$2:$K$149,0)),""))</f>
        <v/>
      </c>
      <c r="O26" s="16">
        <f>IF($K26="","",IFERROR(INDEX(計算用!$G$2:$G$149,MATCH("女"&amp;2&amp;"-"&amp;$K26,計算用!$K$2:$K$149,0)),""))</f>
        <v/>
      </c>
      <c r="P26">
        <f>IF($K26="","",IFERROR(INDEX(計算用!$D$2:$D$149,MATCH("女"&amp;3&amp;"-"&amp;$K26,計算用!$K$2:$K$149,0)),""))</f>
        <v/>
      </c>
      <c r="Q26" s="16">
        <f>IF($K26="","",IFERROR(INDEX(計算用!$G$2:$G$149,MATCH("女"&amp;3&amp;"-"&amp;$K26,計算用!$K$2:$K$149,0)),""))</f>
        <v/>
      </c>
      <c r="R26">
        <f>IF($K26="","",IFERROR(INDEX(計算用!$D$2:$D$149,MATCH("女"&amp;4&amp;"-"&amp;$K26,計算用!$K$2:$K$149,0)),""))</f>
        <v/>
      </c>
      <c r="S26" s="16">
        <f>IF($K26="","",IFERROR(INDEX(計算用!$G$2:$G$149,MATCH("女"&amp;4&amp;"-"&amp;$K26,計算用!$K$2:$K$149,0)),""))</f>
        <v/>
      </c>
    </row>
    <row r="27">
      <c r="A27" s="11">
        <f>IF(23&lt;=計算用!$U$9,23,"")</f>
        <v/>
      </c>
      <c r="B27">
        <f>IF($A27="","",IFERROR(INDEX(計算用!$D$2:$D$149,MATCH(計算用!$U$3&amp;1&amp;"-"&amp;$A27,計算用!$K$2:$K$149,0)),""))</f>
        <v/>
      </c>
      <c r="C27" s="16">
        <f>IF($A27="","",IFERROR(INDEX(計算用!$G$2:$G$149,MATCH(計算用!$U$3&amp;1&amp;"-"&amp;$A27,計算用!$K$2:$K$149,0)),""))</f>
        <v/>
      </c>
      <c r="D27">
        <f>IF($A27="","",IFERROR(INDEX(計算用!$D$2:$D$149,MATCH(計算用!$U$3&amp;2&amp;"-"&amp;$A27,計算用!$K$2:$K$149,0)),""))</f>
        <v/>
      </c>
      <c r="E27" s="16">
        <f>IF($A27="","",IFERROR(INDEX(計算用!$G$2:$G$149,MATCH(計算用!$U$3&amp;2&amp;"-"&amp;$A27,計算用!$K$2:$K$149,0)),""))</f>
        <v/>
      </c>
      <c r="F27">
        <f>IF($A27="","",IFERROR(INDEX(計算用!$D$2:$D$149,MATCH(計算用!$U$3&amp;3&amp;"-"&amp;$A27,計算用!$K$2:$K$149,0)),""))</f>
        <v/>
      </c>
      <c r="G27" s="16">
        <f>IF($A27="","",IFERROR(INDEX(計算用!$G$2:$G$149,MATCH(計算用!$U$3&amp;3&amp;"-"&amp;$A27,計算用!$K$2:$K$149,0)),""))</f>
        <v/>
      </c>
      <c r="H27">
        <f>IF($A27="","",IFERROR(INDEX(計算用!$D$2:$D$149,MATCH(計算用!$U$3&amp;4&amp;"-"&amp;$A27,計算用!$K$2:$K$149,0)),""))</f>
        <v/>
      </c>
      <c r="I27" s="16">
        <f>IF($A27="","",IFERROR(INDEX(計算用!$G$2:$G$149,MATCH(計算用!$U$3&amp;4&amp;"-"&amp;$A27,計算用!$K$2:$K$149,0)),""))</f>
        <v/>
      </c>
      <c r="K27" s="11">
        <f>IF(23&lt;=計算用!$U$10,23,"")</f>
        <v/>
      </c>
      <c r="L27">
        <f>IF($K27="","",IFERROR(INDEX(計算用!$D$2:$D$149,MATCH("女"&amp;1&amp;"-"&amp;$K27,計算用!$K$2:$K$149,0)),""))</f>
        <v/>
      </c>
      <c r="M27" s="16">
        <f>IF($K27="","",IFERROR(INDEX(計算用!$G$2:$G$149,MATCH("女"&amp;1&amp;"-"&amp;$K27,計算用!$K$2:$K$149,0)),""))</f>
        <v/>
      </c>
      <c r="N27">
        <f>IF($K27="","",IFERROR(INDEX(計算用!$D$2:$D$149,MATCH("女"&amp;2&amp;"-"&amp;$K27,計算用!$K$2:$K$149,0)),""))</f>
        <v/>
      </c>
      <c r="O27" s="16">
        <f>IF($K27="","",IFERROR(INDEX(計算用!$G$2:$G$149,MATCH("女"&amp;2&amp;"-"&amp;$K27,計算用!$K$2:$K$149,0)),""))</f>
        <v/>
      </c>
      <c r="P27">
        <f>IF($K27="","",IFERROR(INDEX(計算用!$D$2:$D$149,MATCH("女"&amp;3&amp;"-"&amp;$K27,計算用!$K$2:$K$149,0)),""))</f>
        <v/>
      </c>
      <c r="Q27" s="16">
        <f>IF($K27="","",IFERROR(INDEX(計算用!$G$2:$G$149,MATCH("女"&amp;3&amp;"-"&amp;$K27,計算用!$K$2:$K$149,0)),""))</f>
        <v/>
      </c>
      <c r="R27">
        <f>IF($K27="","",IFERROR(INDEX(計算用!$D$2:$D$149,MATCH("女"&amp;4&amp;"-"&amp;$K27,計算用!$K$2:$K$149,0)),""))</f>
        <v/>
      </c>
      <c r="S27" s="16">
        <f>IF($K27="","",IFERROR(INDEX(計算用!$G$2:$G$149,MATCH("女"&amp;4&amp;"-"&amp;$K27,計算用!$K$2:$K$149,0)),""))</f>
        <v/>
      </c>
    </row>
    <row r="28">
      <c r="A28" s="11">
        <f>IF(24&lt;=計算用!$U$9,24,"")</f>
        <v/>
      </c>
      <c r="B28">
        <f>IF($A28="","",IFERROR(INDEX(計算用!$D$2:$D$149,MATCH(計算用!$U$3&amp;1&amp;"-"&amp;$A28,計算用!$K$2:$K$149,0)),""))</f>
        <v/>
      </c>
      <c r="C28" s="16">
        <f>IF($A28="","",IFERROR(INDEX(計算用!$G$2:$G$149,MATCH(計算用!$U$3&amp;1&amp;"-"&amp;$A28,計算用!$K$2:$K$149,0)),""))</f>
        <v/>
      </c>
      <c r="D28">
        <f>IF($A28="","",IFERROR(INDEX(計算用!$D$2:$D$149,MATCH(計算用!$U$3&amp;2&amp;"-"&amp;$A28,計算用!$K$2:$K$149,0)),""))</f>
        <v/>
      </c>
      <c r="E28" s="16">
        <f>IF($A28="","",IFERROR(INDEX(計算用!$G$2:$G$149,MATCH(計算用!$U$3&amp;2&amp;"-"&amp;$A28,計算用!$K$2:$K$149,0)),""))</f>
        <v/>
      </c>
      <c r="F28">
        <f>IF($A28="","",IFERROR(INDEX(計算用!$D$2:$D$149,MATCH(計算用!$U$3&amp;3&amp;"-"&amp;$A28,計算用!$K$2:$K$149,0)),""))</f>
        <v/>
      </c>
      <c r="G28" s="16">
        <f>IF($A28="","",IFERROR(INDEX(計算用!$G$2:$G$149,MATCH(計算用!$U$3&amp;3&amp;"-"&amp;$A28,計算用!$K$2:$K$149,0)),""))</f>
        <v/>
      </c>
      <c r="H28">
        <f>IF($A28="","",IFERROR(INDEX(計算用!$D$2:$D$149,MATCH(計算用!$U$3&amp;4&amp;"-"&amp;$A28,計算用!$K$2:$K$149,0)),""))</f>
        <v/>
      </c>
      <c r="I28" s="16">
        <f>IF($A28="","",IFERROR(INDEX(計算用!$G$2:$G$149,MATCH(計算用!$U$3&amp;4&amp;"-"&amp;$A28,計算用!$K$2:$K$149,0)),""))</f>
        <v/>
      </c>
      <c r="K28" s="11">
        <f>IF(24&lt;=計算用!$U$10,24,"")</f>
        <v/>
      </c>
      <c r="L28">
        <f>IF($K28="","",IFERROR(INDEX(計算用!$D$2:$D$149,MATCH("女"&amp;1&amp;"-"&amp;$K28,計算用!$K$2:$K$149,0)),""))</f>
        <v/>
      </c>
      <c r="M28" s="16">
        <f>IF($K28="","",IFERROR(INDEX(計算用!$G$2:$G$149,MATCH("女"&amp;1&amp;"-"&amp;$K28,計算用!$K$2:$K$149,0)),""))</f>
        <v/>
      </c>
      <c r="N28">
        <f>IF($K28="","",IFERROR(INDEX(計算用!$D$2:$D$149,MATCH("女"&amp;2&amp;"-"&amp;$K28,計算用!$K$2:$K$149,0)),""))</f>
        <v/>
      </c>
      <c r="O28" s="16">
        <f>IF($K28="","",IFERROR(INDEX(計算用!$G$2:$G$149,MATCH("女"&amp;2&amp;"-"&amp;$K28,計算用!$K$2:$K$149,0)),""))</f>
        <v/>
      </c>
      <c r="P28">
        <f>IF($K28="","",IFERROR(INDEX(計算用!$D$2:$D$149,MATCH("女"&amp;3&amp;"-"&amp;$K28,計算用!$K$2:$K$149,0)),""))</f>
        <v/>
      </c>
      <c r="Q28" s="16">
        <f>IF($K28="","",IFERROR(INDEX(計算用!$G$2:$G$149,MATCH("女"&amp;3&amp;"-"&amp;$K28,計算用!$K$2:$K$149,0)),""))</f>
        <v/>
      </c>
      <c r="R28">
        <f>IF($K28="","",IFERROR(INDEX(計算用!$D$2:$D$149,MATCH("女"&amp;4&amp;"-"&amp;$K28,計算用!$K$2:$K$149,0)),""))</f>
        <v/>
      </c>
      <c r="S28" s="16">
        <f>IF($K28="","",IFERROR(INDEX(計算用!$G$2:$G$149,MATCH("女"&amp;4&amp;"-"&amp;$K28,計算用!$K$2:$K$149,0)),""))</f>
        <v/>
      </c>
    </row>
    <row r="29">
      <c r="A29" s="11">
        <f>IF(25&lt;=計算用!$U$9,25,"")</f>
        <v/>
      </c>
      <c r="B29">
        <f>IF($A29="","",IFERROR(INDEX(計算用!$D$2:$D$149,MATCH(計算用!$U$3&amp;1&amp;"-"&amp;$A29,計算用!$K$2:$K$149,0)),""))</f>
        <v/>
      </c>
      <c r="C29" s="16">
        <f>IF($A29="","",IFERROR(INDEX(計算用!$G$2:$G$149,MATCH(計算用!$U$3&amp;1&amp;"-"&amp;$A29,計算用!$K$2:$K$149,0)),""))</f>
        <v/>
      </c>
      <c r="D29">
        <f>IF($A29="","",IFERROR(INDEX(計算用!$D$2:$D$149,MATCH(計算用!$U$3&amp;2&amp;"-"&amp;$A29,計算用!$K$2:$K$149,0)),""))</f>
        <v/>
      </c>
      <c r="E29" s="16">
        <f>IF($A29="","",IFERROR(INDEX(計算用!$G$2:$G$149,MATCH(計算用!$U$3&amp;2&amp;"-"&amp;$A29,計算用!$K$2:$K$149,0)),""))</f>
        <v/>
      </c>
      <c r="F29">
        <f>IF($A29="","",IFERROR(INDEX(計算用!$D$2:$D$149,MATCH(計算用!$U$3&amp;3&amp;"-"&amp;$A29,計算用!$K$2:$K$149,0)),""))</f>
        <v/>
      </c>
      <c r="G29" s="16">
        <f>IF($A29="","",IFERROR(INDEX(計算用!$G$2:$G$149,MATCH(計算用!$U$3&amp;3&amp;"-"&amp;$A29,計算用!$K$2:$K$149,0)),""))</f>
        <v/>
      </c>
      <c r="H29">
        <f>IF($A29="","",IFERROR(INDEX(計算用!$D$2:$D$149,MATCH(計算用!$U$3&amp;4&amp;"-"&amp;$A29,計算用!$K$2:$K$149,0)),""))</f>
        <v/>
      </c>
      <c r="I29" s="16">
        <f>IF($A29="","",IFERROR(INDEX(計算用!$G$2:$G$149,MATCH(計算用!$U$3&amp;4&amp;"-"&amp;$A29,計算用!$K$2:$K$149,0)),""))</f>
        <v/>
      </c>
      <c r="K29" s="11">
        <f>IF(25&lt;=計算用!$U$10,25,"")</f>
        <v/>
      </c>
      <c r="L29">
        <f>IF($K29="","",IFERROR(INDEX(計算用!$D$2:$D$149,MATCH("女"&amp;1&amp;"-"&amp;$K29,計算用!$K$2:$K$149,0)),""))</f>
        <v/>
      </c>
      <c r="M29" s="16">
        <f>IF($K29="","",IFERROR(INDEX(計算用!$G$2:$G$149,MATCH("女"&amp;1&amp;"-"&amp;$K29,計算用!$K$2:$K$149,0)),""))</f>
        <v/>
      </c>
      <c r="N29">
        <f>IF($K29="","",IFERROR(INDEX(計算用!$D$2:$D$149,MATCH("女"&amp;2&amp;"-"&amp;$K29,計算用!$K$2:$K$149,0)),""))</f>
        <v/>
      </c>
      <c r="O29" s="16">
        <f>IF($K29="","",IFERROR(INDEX(計算用!$G$2:$G$149,MATCH("女"&amp;2&amp;"-"&amp;$K29,計算用!$K$2:$K$149,0)),""))</f>
        <v/>
      </c>
      <c r="P29">
        <f>IF($K29="","",IFERROR(INDEX(計算用!$D$2:$D$149,MATCH("女"&amp;3&amp;"-"&amp;$K29,計算用!$K$2:$K$149,0)),""))</f>
        <v/>
      </c>
      <c r="Q29" s="16">
        <f>IF($K29="","",IFERROR(INDEX(計算用!$G$2:$G$149,MATCH("女"&amp;3&amp;"-"&amp;$K29,計算用!$K$2:$K$149,0)),""))</f>
        <v/>
      </c>
      <c r="R29">
        <f>IF($K29="","",IFERROR(INDEX(計算用!$D$2:$D$149,MATCH("女"&amp;4&amp;"-"&amp;$K29,計算用!$K$2:$K$149,0)),""))</f>
        <v/>
      </c>
      <c r="S29" s="16">
        <f>IF($K29="","",IFERROR(INDEX(計算用!$G$2:$G$149,MATCH("女"&amp;4&amp;"-"&amp;$K29,計算用!$K$2:$K$149,0)),""))</f>
        <v/>
      </c>
    </row>
    <row r="30">
      <c r="A30" s="11">
        <f>IF(26&lt;=計算用!$U$9,26,"")</f>
        <v/>
      </c>
      <c r="B30">
        <f>IF($A30="","",IFERROR(INDEX(計算用!$D$2:$D$149,MATCH(計算用!$U$3&amp;1&amp;"-"&amp;$A30,計算用!$K$2:$K$149,0)),""))</f>
        <v/>
      </c>
      <c r="C30" s="16">
        <f>IF($A30="","",IFERROR(INDEX(計算用!$G$2:$G$149,MATCH(計算用!$U$3&amp;1&amp;"-"&amp;$A30,計算用!$K$2:$K$149,0)),""))</f>
        <v/>
      </c>
      <c r="D30">
        <f>IF($A30="","",IFERROR(INDEX(計算用!$D$2:$D$149,MATCH(計算用!$U$3&amp;2&amp;"-"&amp;$A30,計算用!$K$2:$K$149,0)),""))</f>
        <v/>
      </c>
      <c r="E30" s="16">
        <f>IF($A30="","",IFERROR(INDEX(計算用!$G$2:$G$149,MATCH(計算用!$U$3&amp;2&amp;"-"&amp;$A30,計算用!$K$2:$K$149,0)),""))</f>
        <v/>
      </c>
      <c r="F30">
        <f>IF($A30="","",IFERROR(INDEX(計算用!$D$2:$D$149,MATCH(計算用!$U$3&amp;3&amp;"-"&amp;$A30,計算用!$K$2:$K$149,0)),""))</f>
        <v/>
      </c>
      <c r="G30" s="16">
        <f>IF($A30="","",IFERROR(INDEX(計算用!$G$2:$G$149,MATCH(計算用!$U$3&amp;3&amp;"-"&amp;$A30,計算用!$K$2:$K$149,0)),""))</f>
        <v/>
      </c>
      <c r="H30">
        <f>IF($A30="","",IFERROR(INDEX(計算用!$D$2:$D$149,MATCH(計算用!$U$3&amp;4&amp;"-"&amp;$A30,計算用!$K$2:$K$149,0)),""))</f>
        <v/>
      </c>
      <c r="I30" s="16">
        <f>IF($A30="","",IFERROR(INDEX(計算用!$G$2:$G$149,MATCH(計算用!$U$3&amp;4&amp;"-"&amp;$A30,計算用!$K$2:$K$149,0)),""))</f>
        <v/>
      </c>
      <c r="K30" s="11">
        <f>IF(26&lt;=計算用!$U$10,26,"")</f>
        <v/>
      </c>
      <c r="L30">
        <f>IF($K30="","",IFERROR(INDEX(計算用!$D$2:$D$149,MATCH("女"&amp;1&amp;"-"&amp;$K30,計算用!$K$2:$K$149,0)),""))</f>
        <v/>
      </c>
      <c r="M30" s="16">
        <f>IF($K30="","",IFERROR(INDEX(計算用!$G$2:$G$149,MATCH("女"&amp;1&amp;"-"&amp;$K30,計算用!$K$2:$K$149,0)),""))</f>
        <v/>
      </c>
      <c r="N30">
        <f>IF($K30="","",IFERROR(INDEX(計算用!$D$2:$D$149,MATCH("女"&amp;2&amp;"-"&amp;$K30,計算用!$K$2:$K$149,0)),""))</f>
        <v/>
      </c>
      <c r="O30" s="16">
        <f>IF($K30="","",IFERROR(INDEX(計算用!$G$2:$G$149,MATCH("女"&amp;2&amp;"-"&amp;$K30,計算用!$K$2:$K$149,0)),""))</f>
        <v/>
      </c>
      <c r="P30">
        <f>IF($K30="","",IFERROR(INDEX(計算用!$D$2:$D$149,MATCH("女"&amp;3&amp;"-"&amp;$K30,計算用!$K$2:$K$149,0)),""))</f>
        <v/>
      </c>
      <c r="Q30" s="16">
        <f>IF($K30="","",IFERROR(INDEX(計算用!$G$2:$G$149,MATCH("女"&amp;3&amp;"-"&amp;$K30,計算用!$K$2:$K$149,0)),""))</f>
        <v/>
      </c>
      <c r="R30">
        <f>IF($K30="","",IFERROR(INDEX(計算用!$D$2:$D$149,MATCH("女"&amp;4&amp;"-"&amp;$K30,計算用!$K$2:$K$149,0)),""))</f>
        <v/>
      </c>
      <c r="S30" s="16">
        <f>IF($K30="","",IFERROR(INDEX(計算用!$G$2:$G$149,MATCH("女"&amp;4&amp;"-"&amp;$K30,計算用!$K$2:$K$149,0)),""))</f>
        <v/>
      </c>
    </row>
    <row r="31">
      <c r="A31" s="11">
        <f>IF(27&lt;=計算用!$U$9,27,"")</f>
        <v/>
      </c>
      <c r="B31">
        <f>IF($A31="","",IFERROR(INDEX(計算用!$D$2:$D$149,MATCH(計算用!$U$3&amp;1&amp;"-"&amp;$A31,計算用!$K$2:$K$149,0)),""))</f>
        <v/>
      </c>
      <c r="C31" s="16">
        <f>IF($A31="","",IFERROR(INDEX(計算用!$G$2:$G$149,MATCH(計算用!$U$3&amp;1&amp;"-"&amp;$A31,計算用!$K$2:$K$149,0)),""))</f>
        <v/>
      </c>
      <c r="D31">
        <f>IF($A31="","",IFERROR(INDEX(計算用!$D$2:$D$149,MATCH(計算用!$U$3&amp;2&amp;"-"&amp;$A31,計算用!$K$2:$K$149,0)),""))</f>
        <v/>
      </c>
      <c r="E31" s="16">
        <f>IF($A31="","",IFERROR(INDEX(計算用!$G$2:$G$149,MATCH(計算用!$U$3&amp;2&amp;"-"&amp;$A31,計算用!$K$2:$K$149,0)),""))</f>
        <v/>
      </c>
      <c r="F31">
        <f>IF($A31="","",IFERROR(INDEX(計算用!$D$2:$D$149,MATCH(計算用!$U$3&amp;3&amp;"-"&amp;$A31,計算用!$K$2:$K$149,0)),""))</f>
        <v/>
      </c>
      <c r="G31" s="16">
        <f>IF($A31="","",IFERROR(INDEX(計算用!$G$2:$G$149,MATCH(計算用!$U$3&amp;3&amp;"-"&amp;$A31,計算用!$K$2:$K$149,0)),""))</f>
        <v/>
      </c>
      <c r="H31">
        <f>IF($A31="","",IFERROR(INDEX(計算用!$D$2:$D$149,MATCH(計算用!$U$3&amp;4&amp;"-"&amp;$A31,計算用!$K$2:$K$149,0)),""))</f>
        <v/>
      </c>
      <c r="I31" s="16">
        <f>IF($A31="","",IFERROR(INDEX(計算用!$G$2:$G$149,MATCH(計算用!$U$3&amp;4&amp;"-"&amp;$A31,計算用!$K$2:$K$149,0)),""))</f>
        <v/>
      </c>
      <c r="K31" s="11">
        <f>IF(27&lt;=計算用!$U$10,27,"")</f>
        <v/>
      </c>
      <c r="L31">
        <f>IF($K31="","",IFERROR(INDEX(計算用!$D$2:$D$149,MATCH("女"&amp;1&amp;"-"&amp;$K31,計算用!$K$2:$K$149,0)),""))</f>
        <v/>
      </c>
      <c r="M31" s="16">
        <f>IF($K31="","",IFERROR(INDEX(計算用!$G$2:$G$149,MATCH("女"&amp;1&amp;"-"&amp;$K31,計算用!$K$2:$K$149,0)),""))</f>
        <v/>
      </c>
      <c r="N31">
        <f>IF($K31="","",IFERROR(INDEX(計算用!$D$2:$D$149,MATCH("女"&amp;2&amp;"-"&amp;$K31,計算用!$K$2:$K$149,0)),""))</f>
        <v/>
      </c>
      <c r="O31" s="16">
        <f>IF($K31="","",IFERROR(INDEX(計算用!$G$2:$G$149,MATCH("女"&amp;2&amp;"-"&amp;$K31,計算用!$K$2:$K$149,0)),""))</f>
        <v/>
      </c>
      <c r="P31">
        <f>IF($K31="","",IFERROR(INDEX(計算用!$D$2:$D$149,MATCH("女"&amp;3&amp;"-"&amp;$K31,計算用!$K$2:$K$149,0)),""))</f>
        <v/>
      </c>
      <c r="Q31" s="16">
        <f>IF($K31="","",IFERROR(INDEX(計算用!$G$2:$G$149,MATCH("女"&amp;3&amp;"-"&amp;$K31,計算用!$K$2:$K$149,0)),""))</f>
        <v/>
      </c>
      <c r="R31">
        <f>IF($K31="","",IFERROR(INDEX(計算用!$D$2:$D$149,MATCH("女"&amp;4&amp;"-"&amp;$K31,計算用!$K$2:$K$149,0)),""))</f>
        <v/>
      </c>
      <c r="S31" s="16">
        <f>IF($K31="","",IFERROR(INDEX(計算用!$G$2:$G$149,MATCH("女"&amp;4&amp;"-"&amp;$K31,計算用!$K$2:$K$149,0)),""))</f>
        <v/>
      </c>
    </row>
    <row r="32">
      <c r="A32" s="11">
        <f>IF(28&lt;=計算用!$U$9,28,"")</f>
        <v/>
      </c>
      <c r="B32">
        <f>IF($A32="","",IFERROR(INDEX(計算用!$D$2:$D$149,MATCH(計算用!$U$3&amp;1&amp;"-"&amp;$A32,計算用!$K$2:$K$149,0)),""))</f>
        <v/>
      </c>
      <c r="C32" s="16">
        <f>IF($A32="","",IFERROR(INDEX(計算用!$G$2:$G$149,MATCH(計算用!$U$3&amp;1&amp;"-"&amp;$A32,計算用!$K$2:$K$149,0)),""))</f>
        <v/>
      </c>
      <c r="D32">
        <f>IF($A32="","",IFERROR(INDEX(計算用!$D$2:$D$149,MATCH(計算用!$U$3&amp;2&amp;"-"&amp;$A32,計算用!$K$2:$K$149,0)),""))</f>
        <v/>
      </c>
      <c r="E32" s="16">
        <f>IF($A32="","",IFERROR(INDEX(計算用!$G$2:$G$149,MATCH(計算用!$U$3&amp;2&amp;"-"&amp;$A32,計算用!$K$2:$K$149,0)),""))</f>
        <v/>
      </c>
      <c r="F32">
        <f>IF($A32="","",IFERROR(INDEX(計算用!$D$2:$D$149,MATCH(計算用!$U$3&amp;3&amp;"-"&amp;$A32,計算用!$K$2:$K$149,0)),""))</f>
        <v/>
      </c>
      <c r="G32" s="16">
        <f>IF($A32="","",IFERROR(INDEX(計算用!$G$2:$G$149,MATCH(計算用!$U$3&amp;3&amp;"-"&amp;$A32,計算用!$K$2:$K$149,0)),""))</f>
        <v/>
      </c>
      <c r="H32">
        <f>IF($A32="","",IFERROR(INDEX(計算用!$D$2:$D$149,MATCH(計算用!$U$3&amp;4&amp;"-"&amp;$A32,計算用!$K$2:$K$149,0)),""))</f>
        <v/>
      </c>
      <c r="I32" s="16">
        <f>IF($A32="","",IFERROR(INDEX(計算用!$G$2:$G$149,MATCH(計算用!$U$3&amp;4&amp;"-"&amp;$A32,計算用!$K$2:$K$149,0)),""))</f>
        <v/>
      </c>
      <c r="K32" s="11">
        <f>IF(28&lt;=計算用!$U$10,28,"")</f>
        <v/>
      </c>
      <c r="L32">
        <f>IF($K32="","",IFERROR(INDEX(計算用!$D$2:$D$149,MATCH("女"&amp;1&amp;"-"&amp;$K32,計算用!$K$2:$K$149,0)),""))</f>
        <v/>
      </c>
      <c r="M32" s="16">
        <f>IF($K32="","",IFERROR(INDEX(計算用!$G$2:$G$149,MATCH("女"&amp;1&amp;"-"&amp;$K32,計算用!$K$2:$K$149,0)),""))</f>
        <v/>
      </c>
      <c r="N32">
        <f>IF($K32="","",IFERROR(INDEX(計算用!$D$2:$D$149,MATCH("女"&amp;2&amp;"-"&amp;$K32,計算用!$K$2:$K$149,0)),""))</f>
        <v/>
      </c>
      <c r="O32" s="16">
        <f>IF($K32="","",IFERROR(INDEX(計算用!$G$2:$G$149,MATCH("女"&amp;2&amp;"-"&amp;$K32,計算用!$K$2:$K$149,0)),""))</f>
        <v/>
      </c>
      <c r="P32">
        <f>IF($K32="","",IFERROR(INDEX(計算用!$D$2:$D$149,MATCH("女"&amp;3&amp;"-"&amp;$K32,計算用!$K$2:$K$149,0)),""))</f>
        <v/>
      </c>
      <c r="Q32" s="16">
        <f>IF($K32="","",IFERROR(INDEX(計算用!$G$2:$G$149,MATCH("女"&amp;3&amp;"-"&amp;$K32,計算用!$K$2:$K$149,0)),""))</f>
        <v/>
      </c>
      <c r="R32">
        <f>IF($K32="","",IFERROR(INDEX(計算用!$D$2:$D$149,MATCH("女"&amp;4&amp;"-"&amp;$K32,計算用!$K$2:$K$149,0)),""))</f>
        <v/>
      </c>
      <c r="S32" s="16">
        <f>IF($K32="","",IFERROR(INDEX(計算用!$G$2:$G$149,MATCH("女"&amp;4&amp;"-"&amp;$K32,計算用!$K$2:$K$149,0)),""))</f>
        <v/>
      </c>
    </row>
    <row r="33">
      <c r="A33" s="11">
        <f>IF(29&lt;=計算用!$U$9,29,"")</f>
        <v/>
      </c>
      <c r="B33">
        <f>IF($A33="","",IFERROR(INDEX(計算用!$D$2:$D$149,MATCH(計算用!$U$3&amp;1&amp;"-"&amp;$A33,計算用!$K$2:$K$149,0)),""))</f>
        <v/>
      </c>
      <c r="C33" s="16">
        <f>IF($A33="","",IFERROR(INDEX(計算用!$G$2:$G$149,MATCH(計算用!$U$3&amp;1&amp;"-"&amp;$A33,計算用!$K$2:$K$149,0)),""))</f>
        <v/>
      </c>
      <c r="D33">
        <f>IF($A33="","",IFERROR(INDEX(計算用!$D$2:$D$149,MATCH(計算用!$U$3&amp;2&amp;"-"&amp;$A33,計算用!$K$2:$K$149,0)),""))</f>
        <v/>
      </c>
      <c r="E33" s="16">
        <f>IF($A33="","",IFERROR(INDEX(計算用!$G$2:$G$149,MATCH(計算用!$U$3&amp;2&amp;"-"&amp;$A33,計算用!$K$2:$K$149,0)),""))</f>
        <v/>
      </c>
      <c r="F33">
        <f>IF($A33="","",IFERROR(INDEX(計算用!$D$2:$D$149,MATCH(計算用!$U$3&amp;3&amp;"-"&amp;$A33,計算用!$K$2:$K$149,0)),""))</f>
        <v/>
      </c>
      <c r="G33" s="16">
        <f>IF($A33="","",IFERROR(INDEX(計算用!$G$2:$G$149,MATCH(計算用!$U$3&amp;3&amp;"-"&amp;$A33,計算用!$K$2:$K$149,0)),""))</f>
        <v/>
      </c>
      <c r="H33">
        <f>IF($A33="","",IFERROR(INDEX(計算用!$D$2:$D$149,MATCH(計算用!$U$3&amp;4&amp;"-"&amp;$A33,計算用!$K$2:$K$149,0)),""))</f>
        <v/>
      </c>
      <c r="I33" s="16">
        <f>IF($A33="","",IFERROR(INDEX(計算用!$G$2:$G$149,MATCH(計算用!$U$3&amp;4&amp;"-"&amp;$A33,計算用!$K$2:$K$149,0)),""))</f>
        <v/>
      </c>
      <c r="K33" s="11">
        <f>IF(29&lt;=計算用!$U$10,29,"")</f>
        <v/>
      </c>
      <c r="L33">
        <f>IF($K33="","",IFERROR(INDEX(計算用!$D$2:$D$149,MATCH("女"&amp;1&amp;"-"&amp;$K33,計算用!$K$2:$K$149,0)),""))</f>
        <v/>
      </c>
      <c r="M33" s="16">
        <f>IF($K33="","",IFERROR(INDEX(計算用!$G$2:$G$149,MATCH("女"&amp;1&amp;"-"&amp;$K33,計算用!$K$2:$K$149,0)),""))</f>
        <v/>
      </c>
      <c r="N33">
        <f>IF($K33="","",IFERROR(INDEX(計算用!$D$2:$D$149,MATCH("女"&amp;2&amp;"-"&amp;$K33,計算用!$K$2:$K$149,0)),""))</f>
        <v/>
      </c>
      <c r="O33" s="16">
        <f>IF($K33="","",IFERROR(INDEX(計算用!$G$2:$G$149,MATCH("女"&amp;2&amp;"-"&amp;$K33,計算用!$K$2:$K$149,0)),""))</f>
        <v/>
      </c>
      <c r="P33">
        <f>IF($K33="","",IFERROR(INDEX(計算用!$D$2:$D$149,MATCH("女"&amp;3&amp;"-"&amp;$K33,計算用!$K$2:$K$149,0)),""))</f>
        <v/>
      </c>
      <c r="Q33" s="16">
        <f>IF($K33="","",IFERROR(INDEX(計算用!$G$2:$G$149,MATCH("女"&amp;3&amp;"-"&amp;$K33,計算用!$K$2:$K$149,0)),""))</f>
        <v/>
      </c>
      <c r="R33">
        <f>IF($K33="","",IFERROR(INDEX(計算用!$D$2:$D$149,MATCH("女"&amp;4&amp;"-"&amp;$K33,計算用!$K$2:$K$149,0)),""))</f>
        <v/>
      </c>
      <c r="S33" s="16">
        <f>IF($K33="","",IFERROR(INDEX(計算用!$G$2:$G$149,MATCH("女"&amp;4&amp;"-"&amp;$K33,計算用!$K$2:$K$149,0)),""))</f>
        <v/>
      </c>
    </row>
    <row r="34">
      <c r="A34" s="11">
        <f>IF(30&lt;=計算用!$U$9,30,"")</f>
        <v/>
      </c>
      <c r="B34">
        <f>IF($A34="","",IFERROR(INDEX(計算用!$D$2:$D$149,MATCH(計算用!$U$3&amp;1&amp;"-"&amp;$A34,計算用!$K$2:$K$149,0)),""))</f>
        <v/>
      </c>
      <c r="C34" s="16">
        <f>IF($A34="","",IFERROR(INDEX(計算用!$G$2:$G$149,MATCH(計算用!$U$3&amp;1&amp;"-"&amp;$A34,計算用!$K$2:$K$149,0)),""))</f>
        <v/>
      </c>
      <c r="D34">
        <f>IF($A34="","",IFERROR(INDEX(計算用!$D$2:$D$149,MATCH(計算用!$U$3&amp;2&amp;"-"&amp;$A34,計算用!$K$2:$K$149,0)),""))</f>
        <v/>
      </c>
      <c r="E34" s="16">
        <f>IF($A34="","",IFERROR(INDEX(計算用!$G$2:$G$149,MATCH(計算用!$U$3&amp;2&amp;"-"&amp;$A34,計算用!$K$2:$K$149,0)),""))</f>
        <v/>
      </c>
      <c r="F34">
        <f>IF($A34="","",IFERROR(INDEX(計算用!$D$2:$D$149,MATCH(計算用!$U$3&amp;3&amp;"-"&amp;$A34,計算用!$K$2:$K$149,0)),""))</f>
        <v/>
      </c>
      <c r="G34" s="16">
        <f>IF($A34="","",IFERROR(INDEX(計算用!$G$2:$G$149,MATCH(計算用!$U$3&amp;3&amp;"-"&amp;$A34,計算用!$K$2:$K$149,0)),""))</f>
        <v/>
      </c>
      <c r="H34">
        <f>IF($A34="","",IFERROR(INDEX(計算用!$D$2:$D$149,MATCH(計算用!$U$3&amp;4&amp;"-"&amp;$A34,計算用!$K$2:$K$149,0)),""))</f>
        <v/>
      </c>
      <c r="I34" s="16">
        <f>IF($A34="","",IFERROR(INDEX(計算用!$G$2:$G$149,MATCH(計算用!$U$3&amp;4&amp;"-"&amp;$A34,計算用!$K$2:$K$149,0)),""))</f>
        <v/>
      </c>
      <c r="K34" s="11">
        <f>IF(30&lt;=計算用!$U$10,30,"")</f>
        <v/>
      </c>
      <c r="L34">
        <f>IF($K34="","",IFERROR(INDEX(計算用!$D$2:$D$149,MATCH("女"&amp;1&amp;"-"&amp;$K34,計算用!$K$2:$K$149,0)),""))</f>
        <v/>
      </c>
      <c r="M34" s="16">
        <f>IF($K34="","",IFERROR(INDEX(計算用!$G$2:$G$149,MATCH("女"&amp;1&amp;"-"&amp;$K34,計算用!$K$2:$K$149,0)),""))</f>
        <v/>
      </c>
      <c r="N34">
        <f>IF($K34="","",IFERROR(INDEX(計算用!$D$2:$D$149,MATCH("女"&amp;2&amp;"-"&amp;$K34,計算用!$K$2:$K$149,0)),""))</f>
        <v/>
      </c>
      <c r="O34" s="16">
        <f>IF($K34="","",IFERROR(INDEX(計算用!$G$2:$G$149,MATCH("女"&amp;2&amp;"-"&amp;$K34,計算用!$K$2:$K$149,0)),""))</f>
        <v/>
      </c>
      <c r="P34">
        <f>IF($K34="","",IFERROR(INDEX(計算用!$D$2:$D$149,MATCH("女"&amp;3&amp;"-"&amp;$K34,計算用!$K$2:$K$149,0)),""))</f>
        <v/>
      </c>
      <c r="Q34" s="16">
        <f>IF($K34="","",IFERROR(INDEX(計算用!$G$2:$G$149,MATCH("女"&amp;3&amp;"-"&amp;$K34,計算用!$K$2:$K$149,0)),""))</f>
        <v/>
      </c>
      <c r="R34">
        <f>IF($K34="","",IFERROR(INDEX(計算用!$D$2:$D$149,MATCH("女"&amp;4&amp;"-"&amp;$K34,計算用!$K$2:$K$149,0)),""))</f>
        <v/>
      </c>
      <c r="S34" s="16">
        <f>IF($K34="","",IFERROR(INDEX(計算用!$G$2:$G$149,MATCH("女"&amp;4&amp;"-"&amp;$K34,計算用!$K$2:$K$149,0)),""))</f>
        <v/>
      </c>
    </row>
    <row r="35">
      <c r="A35" s="11">
        <f>IF(31&lt;=計算用!$U$9,31,"")</f>
        <v/>
      </c>
      <c r="B35">
        <f>IF($A35="","",IFERROR(INDEX(計算用!$D$2:$D$149,MATCH(計算用!$U$3&amp;1&amp;"-"&amp;$A35,計算用!$K$2:$K$149,0)),""))</f>
        <v/>
      </c>
      <c r="C35" s="16">
        <f>IF($A35="","",IFERROR(INDEX(計算用!$G$2:$G$149,MATCH(計算用!$U$3&amp;1&amp;"-"&amp;$A35,計算用!$K$2:$K$149,0)),""))</f>
        <v/>
      </c>
      <c r="D35">
        <f>IF($A35="","",IFERROR(INDEX(計算用!$D$2:$D$149,MATCH(計算用!$U$3&amp;2&amp;"-"&amp;$A35,計算用!$K$2:$K$149,0)),""))</f>
        <v/>
      </c>
      <c r="E35" s="16">
        <f>IF($A35="","",IFERROR(INDEX(計算用!$G$2:$G$149,MATCH(計算用!$U$3&amp;2&amp;"-"&amp;$A35,計算用!$K$2:$K$149,0)),""))</f>
        <v/>
      </c>
      <c r="F35">
        <f>IF($A35="","",IFERROR(INDEX(計算用!$D$2:$D$149,MATCH(計算用!$U$3&amp;3&amp;"-"&amp;$A35,計算用!$K$2:$K$149,0)),""))</f>
        <v/>
      </c>
      <c r="G35" s="16">
        <f>IF($A35="","",IFERROR(INDEX(計算用!$G$2:$G$149,MATCH(計算用!$U$3&amp;3&amp;"-"&amp;$A35,計算用!$K$2:$K$149,0)),""))</f>
        <v/>
      </c>
      <c r="H35">
        <f>IF($A35="","",IFERROR(INDEX(計算用!$D$2:$D$149,MATCH(計算用!$U$3&amp;4&amp;"-"&amp;$A35,計算用!$K$2:$K$149,0)),""))</f>
        <v/>
      </c>
      <c r="I35" s="16">
        <f>IF($A35="","",IFERROR(INDEX(計算用!$G$2:$G$149,MATCH(計算用!$U$3&amp;4&amp;"-"&amp;$A35,計算用!$K$2:$K$149,0)),""))</f>
        <v/>
      </c>
      <c r="K35" s="11">
        <f>IF(31&lt;=計算用!$U$10,31,"")</f>
        <v/>
      </c>
      <c r="L35">
        <f>IF($K35="","",IFERROR(INDEX(計算用!$D$2:$D$149,MATCH("女"&amp;1&amp;"-"&amp;$K35,計算用!$K$2:$K$149,0)),""))</f>
        <v/>
      </c>
      <c r="M35" s="16">
        <f>IF($K35="","",IFERROR(INDEX(計算用!$G$2:$G$149,MATCH("女"&amp;1&amp;"-"&amp;$K35,計算用!$K$2:$K$149,0)),""))</f>
        <v/>
      </c>
      <c r="N35">
        <f>IF($K35="","",IFERROR(INDEX(計算用!$D$2:$D$149,MATCH("女"&amp;2&amp;"-"&amp;$K35,計算用!$K$2:$K$149,0)),""))</f>
        <v/>
      </c>
      <c r="O35" s="16">
        <f>IF($K35="","",IFERROR(INDEX(計算用!$G$2:$G$149,MATCH("女"&amp;2&amp;"-"&amp;$K35,計算用!$K$2:$K$149,0)),""))</f>
        <v/>
      </c>
      <c r="P35">
        <f>IF($K35="","",IFERROR(INDEX(計算用!$D$2:$D$149,MATCH("女"&amp;3&amp;"-"&amp;$K35,計算用!$K$2:$K$149,0)),""))</f>
        <v/>
      </c>
      <c r="Q35" s="16">
        <f>IF($K35="","",IFERROR(INDEX(計算用!$G$2:$G$149,MATCH("女"&amp;3&amp;"-"&amp;$K35,計算用!$K$2:$K$149,0)),""))</f>
        <v/>
      </c>
      <c r="R35">
        <f>IF($K35="","",IFERROR(INDEX(計算用!$D$2:$D$149,MATCH("女"&amp;4&amp;"-"&amp;$K35,計算用!$K$2:$K$149,0)),""))</f>
        <v/>
      </c>
      <c r="S35" s="16">
        <f>IF($K35="","",IFERROR(INDEX(計算用!$G$2:$G$149,MATCH("女"&amp;4&amp;"-"&amp;$K35,計算用!$K$2:$K$149,0)),""))</f>
        <v/>
      </c>
    </row>
    <row r="36">
      <c r="A36" s="11">
        <f>IF(32&lt;=計算用!$U$9,32,"")</f>
        <v/>
      </c>
      <c r="B36">
        <f>IF($A36="","",IFERROR(INDEX(計算用!$D$2:$D$149,MATCH(計算用!$U$3&amp;1&amp;"-"&amp;$A36,計算用!$K$2:$K$149,0)),""))</f>
        <v/>
      </c>
      <c r="C36" s="16">
        <f>IF($A36="","",IFERROR(INDEX(計算用!$G$2:$G$149,MATCH(計算用!$U$3&amp;1&amp;"-"&amp;$A36,計算用!$K$2:$K$149,0)),""))</f>
        <v/>
      </c>
      <c r="D36">
        <f>IF($A36="","",IFERROR(INDEX(計算用!$D$2:$D$149,MATCH(計算用!$U$3&amp;2&amp;"-"&amp;$A36,計算用!$K$2:$K$149,0)),""))</f>
        <v/>
      </c>
      <c r="E36" s="16">
        <f>IF($A36="","",IFERROR(INDEX(計算用!$G$2:$G$149,MATCH(計算用!$U$3&amp;2&amp;"-"&amp;$A36,計算用!$K$2:$K$149,0)),""))</f>
        <v/>
      </c>
      <c r="F36">
        <f>IF($A36="","",IFERROR(INDEX(計算用!$D$2:$D$149,MATCH(計算用!$U$3&amp;3&amp;"-"&amp;$A36,計算用!$K$2:$K$149,0)),""))</f>
        <v/>
      </c>
      <c r="G36" s="16">
        <f>IF($A36="","",IFERROR(INDEX(計算用!$G$2:$G$149,MATCH(計算用!$U$3&amp;3&amp;"-"&amp;$A36,計算用!$K$2:$K$149,0)),""))</f>
        <v/>
      </c>
      <c r="H36">
        <f>IF($A36="","",IFERROR(INDEX(計算用!$D$2:$D$149,MATCH(計算用!$U$3&amp;4&amp;"-"&amp;$A36,計算用!$K$2:$K$149,0)),""))</f>
        <v/>
      </c>
      <c r="I36" s="16">
        <f>IF($A36="","",IFERROR(INDEX(計算用!$G$2:$G$149,MATCH(計算用!$U$3&amp;4&amp;"-"&amp;$A36,計算用!$K$2:$K$149,0)),""))</f>
        <v/>
      </c>
      <c r="K36" s="11">
        <f>IF(32&lt;=計算用!$U$10,32,"")</f>
        <v/>
      </c>
      <c r="L36">
        <f>IF($K36="","",IFERROR(INDEX(計算用!$D$2:$D$149,MATCH("女"&amp;1&amp;"-"&amp;$K36,計算用!$K$2:$K$149,0)),""))</f>
        <v/>
      </c>
      <c r="M36" s="16">
        <f>IF($K36="","",IFERROR(INDEX(計算用!$G$2:$G$149,MATCH("女"&amp;1&amp;"-"&amp;$K36,計算用!$K$2:$K$149,0)),""))</f>
        <v/>
      </c>
      <c r="N36">
        <f>IF($K36="","",IFERROR(INDEX(計算用!$D$2:$D$149,MATCH("女"&amp;2&amp;"-"&amp;$K36,計算用!$K$2:$K$149,0)),""))</f>
        <v/>
      </c>
      <c r="O36" s="16">
        <f>IF($K36="","",IFERROR(INDEX(計算用!$G$2:$G$149,MATCH("女"&amp;2&amp;"-"&amp;$K36,計算用!$K$2:$K$149,0)),""))</f>
        <v/>
      </c>
      <c r="P36">
        <f>IF($K36="","",IFERROR(INDEX(計算用!$D$2:$D$149,MATCH("女"&amp;3&amp;"-"&amp;$K36,計算用!$K$2:$K$149,0)),""))</f>
        <v/>
      </c>
      <c r="Q36" s="16">
        <f>IF($K36="","",IFERROR(INDEX(計算用!$G$2:$G$149,MATCH("女"&amp;3&amp;"-"&amp;$K36,計算用!$K$2:$K$149,0)),""))</f>
        <v/>
      </c>
      <c r="R36">
        <f>IF($K36="","",IFERROR(INDEX(計算用!$D$2:$D$149,MATCH("女"&amp;4&amp;"-"&amp;$K36,計算用!$K$2:$K$149,0)),""))</f>
        <v/>
      </c>
      <c r="S36" s="16">
        <f>IF($K36="","",IFERROR(INDEX(計算用!$G$2:$G$149,MATCH("女"&amp;4&amp;"-"&amp;$K36,計算用!$K$2:$K$149,0)),""))</f>
        <v/>
      </c>
    </row>
    <row r="37">
      <c r="A37" s="11">
        <f>IF(33&lt;=計算用!$U$9,33,"")</f>
        <v/>
      </c>
      <c r="B37">
        <f>IF($A37="","",IFERROR(INDEX(計算用!$D$2:$D$149,MATCH(計算用!$U$3&amp;1&amp;"-"&amp;$A37,計算用!$K$2:$K$149,0)),""))</f>
        <v/>
      </c>
      <c r="C37" s="16">
        <f>IF($A37="","",IFERROR(INDEX(計算用!$G$2:$G$149,MATCH(計算用!$U$3&amp;1&amp;"-"&amp;$A37,計算用!$K$2:$K$149,0)),""))</f>
        <v/>
      </c>
      <c r="D37">
        <f>IF($A37="","",IFERROR(INDEX(計算用!$D$2:$D$149,MATCH(計算用!$U$3&amp;2&amp;"-"&amp;$A37,計算用!$K$2:$K$149,0)),""))</f>
        <v/>
      </c>
      <c r="E37" s="16">
        <f>IF($A37="","",IFERROR(INDEX(計算用!$G$2:$G$149,MATCH(計算用!$U$3&amp;2&amp;"-"&amp;$A37,計算用!$K$2:$K$149,0)),""))</f>
        <v/>
      </c>
      <c r="F37">
        <f>IF($A37="","",IFERROR(INDEX(計算用!$D$2:$D$149,MATCH(計算用!$U$3&amp;3&amp;"-"&amp;$A37,計算用!$K$2:$K$149,0)),""))</f>
        <v/>
      </c>
      <c r="G37" s="16">
        <f>IF($A37="","",IFERROR(INDEX(計算用!$G$2:$G$149,MATCH(計算用!$U$3&amp;3&amp;"-"&amp;$A37,計算用!$K$2:$K$149,0)),""))</f>
        <v/>
      </c>
      <c r="H37">
        <f>IF($A37="","",IFERROR(INDEX(計算用!$D$2:$D$149,MATCH(計算用!$U$3&amp;4&amp;"-"&amp;$A37,計算用!$K$2:$K$149,0)),""))</f>
        <v/>
      </c>
      <c r="I37" s="16">
        <f>IF($A37="","",IFERROR(INDEX(計算用!$G$2:$G$149,MATCH(計算用!$U$3&amp;4&amp;"-"&amp;$A37,計算用!$K$2:$K$149,0)),""))</f>
        <v/>
      </c>
      <c r="K37" s="11">
        <f>IF(33&lt;=計算用!$U$10,33,"")</f>
        <v/>
      </c>
      <c r="L37">
        <f>IF($K37="","",IFERROR(INDEX(計算用!$D$2:$D$149,MATCH("女"&amp;1&amp;"-"&amp;$K37,計算用!$K$2:$K$149,0)),""))</f>
        <v/>
      </c>
      <c r="M37" s="16">
        <f>IF($K37="","",IFERROR(INDEX(計算用!$G$2:$G$149,MATCH("女"&amp;1&amp;"-"&amp;$K37,計算用!$K$2:$K$149,0)),""))</f>
        <v/>
      </c>
      <c r="N37">
        <f>IF($K37="","",IFERROR(INDEX(計算用!$D$2:$D$149,MATCH("女"&amp;2&amp;"-"&amp;$K37,計算用!$K$2:$K$149,0)),""))</f>
        <v/>
      </c>
      <c r="O37" s="16">
        <f>IF($K37="","",IFERROR(INDEX(計算用!$G$2:$G$149,MATCH("女"&amp;2&amp;"-"&amp;$K37,計算用!$K$2:$K$149,0)),""))</f>
        <v/>
      </c>
      <c r="P37">
        <f>IF($K37="","",IFERROR(INDEX(計算用!$D$2:$D$149,MATCH("女"&amp;3&amp;"-"&amp;$K37,計算用!$K$2:$K$149,0)),""))</f>
        <v/>
      </c>
      <c r="Q37" s="16">
        <f>IF($K37="","",IFERROR(INDEX(計算用!$G$2:$G$149,MATCH("女"&amp;3&amp;"-"&amp;$K37,計算用!$K$2:$K$149,0)),""))</f>
        <v/>
      </c>
      <c r="R37">
        <f>IF($K37="","",IFERROR(INDEX(計算用!$D$2:$D$149,MATCH("女"&amp;4&amp;"-"&amp;$K37,計算用!$K$2:$K$149,0)),""))</f>
        <v/>
      </c>
      <c r="S37" s="16">
        <f>IF($K37="","",IFERROR(INDEX(計算用!$G$2:$G$149,MATCH("女"&amp;4&amp;"-"&amp;$K37,計算用!$K$2:$K$149,0)),""))</f>
        <v/>
      </c>
    </row>
    <row r="38">
      <c r="A38" s="11">
        <f>IF(34&lt;=計算用!$U$9,34,"")</f>
        <v/>
      </c>
      <c r="B38">
        <f>IF($A38="","",IFERROR(INDEX(計算用!$D$2:$D$149,MATCH(計算用!$U$3&amp;1&amp;"-"&amp;$A38,計算用!$K$2:$K$149,0)),""))</f>
        <v/>
      </c>
      <c r="C38" s="16">
        <f>IF($A38="","",IFERROR(INDEX(計算用!$G$2:$G$149,MATCH(計算用!$U$3&amp;1&amp;"-"&amp;$A38,計算用!$K$2:$K$149,0)),""))</f>
        <v/>
      </c>
      <c r="D38">
        <f>IF($A38="","",IFERROR(INDEX(計算用!$D$2:$D$149,MATCH(計算用!$U$3&amp;2&amp;"-"&amp;$A38,計算用!$K$2:$K$149,0)),""))</f>
        <v/>
      </c>
      <c r="E38" s="16">
        <f>IF($A38="","",IFERROR(INDEX(計算用!$G$2:$G$149,MATCH(計算用!$U$3&amp;2&amp;"-"&amp;$A38,計算用!$K$2:$K$149,0)),""))</f>
        <v/>
      </c>
      <c r="F38">
        <f>IF($A38="","",IFERROR(INDEX(計算用!$D$2:$D$149,MATCH(計算用!$U$3&amp;3&amp;"-"&amp;$A38,計算用!$K$2:$K$149,0)),""))</f>
        <v/>
      </c>
      <c r="G38" s="16">
        <f>IF($A38="","",IFERROR(INDEX(計算用!$G$2:$G$149,MATCH(計算用!$U$3&amp;3&amp;"-"&amp;$A38,計算用!$K$2:$K$149,0)),""))</f>
        <v/>
      </c>
      <c r="H38">
        <f>IF($A38="","",IFERROR(INDEX(計算用!$D$2:$D$149,MATCH(計算用!$U$3&amp;4&amp;"-"&amp;$A38,計算用!$K$2:$K$149,0)),""))</f>
        <v/>
      </c>
      <c r="I38" s="16">
        <f>IF($A38="","",IFERROR(INDEX(計算用!$G$2:$G$149,MATCH(計算用!$U$3&amp;4&amp;"-"&amp;$A38,計算用!$K$2:$K$149,0)),""))</f>
        <v/>
      </c>
      <c r="K38" s="11">
        <f>IF(34&lt;=計算用!$U$10,34,"")</f>
        <v/>
      </c>
      <c r="L38">
        <f>IF($K38="","",IFERROR(INDEX(計算用!$D$2:$D$149,MATCH("女"&amp;1&amp;"-"&amp;$K38,計算用!$K$2:$K$149,0)),""))</f>
        <v/>
      </c>
      <c r="M38" s="16">
        <f>IF($K38="","",IFERROR(INDEX(計算用!$G$2:$G$149,MATCH("女"&amp;1&amp;"-"&amp;$K38,計算用!$K$2:$K$149,0)),""))</f>
        <v/>
      </c>
      <c r="N38">
        <f>IF($K38="","",IFERROR(INDEX(計算用!$D$2:$D$149,MATCH("女"&amp;2&amp;"-"&amp;$K38,計算用!$K$2:$K$149,0)),""))</f>
        <v/>
      </c>
      <c r="O38" s="16">
        <f>IF($K38="","",IFERROR(INDEX(計算用!$G$2:$G$149,MATCH("女"&amp;2&amp;"-"&amp;$K38,計算用!$K$2:$K$149,0)),""))</f>
        <v/>
      </c>
      <c r="P38">
        <f>IF($K38="","",IFERROR(INDEX(計算用!$D$2:$D$149,MATCH("女"&amp;3&amp;"-"&amp;$K38,計算用!$K$2:$K$149,0)),""))</f>
        <v/>
      </c>
      <c r="Q38" s="16">
        <f>IF($K38="","",IFERROR(INDEX(計算用!$G$2:$G$149,MATCH("女"&amp;3&amp;"-"&amp;$K38,計算用!$K$2:$K$149,0)),""))</f>
        <v/>
      </c>
      <c r="R38">
        <f>IF($K38="","",IFERROR(INDEX(計算用!$D$2:$D$149,MATCH("女"&amp;4&amp;"-"&amp;$K38,計算用!$K$2:$K$149,0)),""))</f>
        <v/>
      </c>
      <c r="S38" s="16">
        <f>IF($K38="","",IFERROR(INDEX(計算用!$G$2:$G$149,MATCH("女"&amp;4&amp;"-"&amp;$K38,計算用!$K$2:$K$149,0)),""))</f>
        <v/>
      </c>
    </row>
    <row r="39">
      <c r="A39" s="11">
        <f>IF(35&lt;=計算用!$U$9,35,"")</f>
        <v/>
      </c>
      <c r="B39">
        <f>IF($A39="","",IFERROR(INDEX(計算用!$D$2:$D$149,MATCH(計算用!$U$3&amp;1&amp;"-"&amp;$A39,計算用!$K$2:$K$149,0)),""))</f>
        <v/>
      </c>
      <c r="C39" s="16">
        <f>IF($A39="","",IFERROR(INDEX(計算用!$G$2:$G$149,MATCH(計算用!$U$3&amp;1&amp;"-"&amp;$A39,計算用!$K$2:$K$149,0)),""))</f>
        <v/>
      </c>
      <c r="D39">
        <f>IF($A39="","",IFERROR(INDEX(計算用!$D$2:$D$149,MATCH(計算用!$U$3&amp;2&amp;"-"&amp;$A39,計算用!$K$2:$K$149,0)),""))</f>
        <v/>
      </c>
      <c r="E39" s="16">
        <f>IF($A39="","",IFERROR(INDEX(計算用!$G$2:$G$149,MATCH(計算用!$U$3&amp;2&amp;"-"&amp;$A39,計算用!$K$2:$K$149,0)),""))</f>
        <v/>
      </c>
      <c r="F39">
        <f>IF($A39="","",IFERROR(INDEX(計算用!$D$2:$D$149,MATCH(計算用!$U$3&amp;3&amp;"-"&amp;$A39,計算用!$K$2:$K$149,0)),""))</f>
        <v/>
      </c>
      <c r="G39" s="16">
        <f>IF($A39="","",IFERROR(INDEX(計算用!$G$2:$G$149,MATCH(計算用!$U$3&amp;3&amp;"-"&amp;$A39,計算用!$K$2:$K$149,0)),""))</f>
        <v/>
      </c>
      <c r="H39">
        <f>IF($A39="","",IFERROR(INDEX(計算用!$D$2:$D$149,MATCH(計算用!$U$3&amp;4&amp;"-"&amp;$A39,計算用!$K$2:$K$149,0)),""))</f>
        <v/>
      </c>
      <c r="I39" s="16">
        <f>IF($A39="","",IFERROR(INDEX(計算用!$G$2:$G$149,MATCH(計算用!$U$3&amp;4&amp;"-"&amp;$A39,計算用!$K$2:$K$149,0)),""))</f>
        <v/>
      </c>
      <c r="K39" s="11">
        <f>IF(35&lt;=計算用!$U$10,35,"")</f>
        <v/>
      </c>
      <c r="L39">
        <f>IF($K39="","",IFERROR(INDEX(計算用!$D$2:$D$149,MATCH("女"&amp;1&amp;"-"&amp;$K39,計算用!$K$2:$K$149,0)),""))</f>
        <v/>
      </c>
      <c r="M39" s="16">
        <f>IF($K39="","",IFERROR(INDEX(計算用!$G$2:$G$149,MATCH("女"&amp;1&amp;"-"&amp;$K39,計算用!$K$2:$K$149,0)),""))</f>
        <v/>
      </c>
      <c r="N39">
        <f>IF($K39="","",IFERROR(INDEX(計算用!$D$2:$D$149,MATCH("女"&amp;2&amp;"-"&amp;$K39,計算用!$K$2:$K$149,0)),""))</f>
        <v/>
      </c>
      <c r="O39" s="16">
        <f>IF($K39="","",IFERROR(INDEX(計算用!$G$2:$G$149,MATCH("女"&amp;2&amp;"-"&amp;$K39,計算用!$K$2:$K$149,0)),""))</f>
        <v/>
      </c>
      <c r="P39">
        <f>IF($K39="","",IFERROR(INDEX(計算用!$D$2:$D$149,MATCH("女"&amp;3&amp;"-"&amp;$K39,計算用!$K$2:$K$149,0)),""))</f>
        <v/>
      </c>
      <c r="Q39" s="16">
        <f>IF($K39="","",IFERROR(INDEX(計算用!$G$2:$G$149,MATCH("女"&amp;3&amp;"-"&amp;$K39,計算用!$K$2:$K$149,0)),""))</f>
        <v/>
      </c>
      <c r="R39">
        <f>IF($K39="","",IFERROR(INDEX(計算用!$D$2:$D$149,MATCH("女"&amp;4&amp;"-"&amp;$K39,計算用!$K$2:$K$149,0)),""))</f>
        <v/>
      </c>
      <c r="S39" s="16">
        <f>IF($K39="","",IFERROR(INDEX(計算用!$G$2:$G$149,MATCH("女"&amp;4&amp;"-"&amp;$K39,計算用!$K$2:$K$149,0)),""))</f>
        <v/>
      </c>
    </row>
    <row r="40">
      <c r="A40" s="11">
        <f>IF(36&lt;=計算用!$U$9,36,"")</f>
        <v/>
      </c>
      <c r="B40">
        <f>IF($A40="","",IFERROR(INDEX(計算用!$D$2:$D$149,MATCH(計算用!$U$3&amp;1&amp;"-"&amp;$A40,計算用!$K$2:$K$149,0)),""))</f>
        <v/>
      </c>
      <c r="C40" s="16">
        <f>IF($A40="","",IFERROR(INDEX(計算用!$G$2:$G$149,MATCH(計算用!$U$3&amp;1&amp;"-"&amp;$A40,計算用!$K$2:$K$149,0)),""))</f>
        <v/>
      </c>
      <c r="D40">
        <f>IF($A40="","",IFERROR(INDEX(計算用!$D$2:$D$149,MATCH(計算用!$U$3&amp;2&amp;"-"&amp;$A40,計算用!$K$2:$K$149,0)),""))</f>
        <v/>
      </c>
      <c r="E40" s="16">
        <f>IF($A40="","",IFERROR(INDEX(計算用!$G$2:$G$149,MATCH(計算用!$U$3&amp;2&amp;"-"&amp;$A40,計算用!$K$2:$K$149,0)),""))</f>
        <v/>
      </c>
      <c r="F40">
        <f>IF($A40="","",IFERROR(INDEX(計算用!$D$2:$D$149,MATCH(計算用!$U$3&amp;3&amp;"-"&amp;$A40,計算用!$K$2:$K$149,0)),""))</f>
        <v/>
      </c>
      <c r="G40" s="16">
        <f>IF($A40="","",IFERROR(INDEX(計算用!$G$2:$G$149,MATCH(計算用!$U$3&amp;3&amp;"-"&amp;$A40,計算用!$K$2:$K$149,0)),""))</f>
        <v/>
      </c>
      <c r="H40">
        <f>IF($A40="","",IFERROR(INDEX(計算用!$D$2:$D$149,MATCH(計算用!$U$3&amp;4&amp;"-"&amp;$A40,計算用!$K$2:$K$149,0)),""))</f>
        <v/>
      </c>
      <c r="I40" s="16">
        <f>IF($A40="","",IFERROR(INDEX(計算用!$G$2:$G$149,MATCH(計算用!$U$3&amp;4&amp;"-"&amp;$A40,計算用!$K$2:$K$149,0)),""))</f>
        <v/>
      </c>
      <c r="K40" s="11">
        <f>IF(36&lt;=計算用!$U$10,36,"")</f>
        <v/>
      </c>
      <c r="L40">
        <f>IF($K40="","",IFERROR(INDEX(計算用!$D$2:$D$149,MATCH("女"&amp;1&amp;"-"&amp;$K40,計算用!$K$2:$K$149,0)),""))</f>
        <v/>
      </c>
      <c r="M40" s="16">
        <f>IF($K40="","",IFERROR(INDEX(計算用!$G$2:$G$149,MATCH("女"&amp;1&amp;"-"&amp;$K40,計算用!$K$2:$K$149,0)),""))</f>
        <v/>
      </c>
      <c r="N40">
        <f>IF($K40="","",IFERROR(INDEX(計算用!$D$2:$D$149,MATCH("女"&amp;2&amp;"-"&amp;$K40,計算用!$K$2:$K$149,0)),""))</f>
        <v/>
      </c>
      <c r="O40" s="16">
        <f>IF($K40="","",IFERROR(INDEX(計算用!$G$2:$G$149,MATCH("女"&amp;2&amp;"-"&amp;$K40,計算用!$K$2:$K$149,0)),""))</f>
        <v/>
      </c>
      <c r="P40">
        <f>IF($K40="","",IFERROR(INDEX(計算用!$D$2:$D$149,MATCH("女"&amp;3&amp;"-"&amp;$K40,計算用!$K$2:$K$149,0)),""))</f>
        <v/>
      </c>
      <c r="Q40" s="16">
        <f>IF($K40="","",IFERROR(INDEX(計算用!$G$2:$G$149,MATCH("女"&amp;3&amp;"-"&amp;$K40,計算用!$K$2:$K$149,0)),""))</f>
        <v/>
      </c>
      <c r="R40">
        <f>IF($K40="","",IFERROR(INDEX(計算用!$D$2:$D$149,MATCH("女"&amp;4&amp;"-"&amp;$K40,計算用!$K$2:$K$149,0)),""))</f>
        <v/>
      </c>
      <c r="S40" s="16">
        <f>IF($K40="","",IFERROR(INDEX(計算用!$G$2:$G$149,MATCH("女"&amp;4&amp;"-"&amp;$K40,計算用!$K$2:$K$149,0)),""))</f>
        <v/>
      </c>
    </row>
    <row r="41">
      <c r="A41" s="11">
        <f>IF(37&lt;=計算用!$U$9,37,"")</f>
        <v/>
      </c>
      <c r="B41">
        <f>IF($A41="","",IFERROR(INDEX(計算用!$D$2:$D$149,MATCH(計算用!$U$3&amp;1&amp;"-"&amp;$A41,計算用!$K$2:$K$149,0)),""))</f>
        <v/>
      </c>
      <c r="C41" s="16">
        <f>IF($A41="","",IFERROR(INDEX(計算用!$G$2:$G$149,MATCH(計算用!$U$3&amp;1&amp;"-"&amp;$A41,計算用!$K$2:$K$149,0)),""))</f>
        <v/>
      </c>
      <c r="D41">
        <f>IF($A41="","",IFERROR(INDEX(計算用!$D$2:$D$149,MATCH(計算用!$U$3&amp;2&amp;"-"&amp;$A41,計算用!$K$2:$K$149,0)),""))</f>
        <v/>
      </c>
      <c r="E41" s="16">
        <f>IF($A41="","",IFERROR(INDEX(計算用!$G$2:$G$149,MATCH(計算用!$U$3&amp;2&amp;"-"&amp;$A41,計算用!$K$2:$K$149,0)),""))</f>
        <v/>
      </c>
      <c r="F41">
        <f>IF($A41="","",IFERROR(INDEX(計算用!$D$2:$D$149,MATCH(計算用!$U$3&amp;3&amp;"-"&amp;$A41,計算用!$K$2:$K$149,0)),""))</f>
        <v/>
      </c>
      <c r="G41" s="16">
        <f>IF($A41="","",IFERROR(INDEX(計算用!$G$2:$G$149,MATCH(計算用!$U$3&amp;3&amp;"-"&amp;$A41,計算用!$K$2:$K$149,0)),""))</f>
        <v/>
      </c>
      <c r="H41">
        <f>IF($A41="","",IFERROR(INDEX(計算用!$D$2:$D$149,MATCH(計算用!$U$3&amp;4&amp;"-"&amp;$A41,計算用!$K$2:$K$149,0)),""))</f>
        <v/>
      </c>
      <c r="I41" s="16">
        <f>IF($A41="","",IFERROR(INDEX(計算用!$G$2:$G$149,MATCH(計算用!$U$3&amp;4&amp;"-"&amp;$A41,計算用!$K$2:$K$149,0)),""))</f>
        <v/>
      </c>
      <c r="K41" s="11">
        <f>IF(37&lt;=計算用!$U$10,37,"")</f>
        <v/>
      </c>
      <c r="L41">
        <f>IF($K41="","",IFERROR(INDEX(計算用!$D$2:$D$149,MATCH("女"&amp;1&amp;"-"&amp;$K41,計算用!$K$2:$K$149,0)),""))</f>
        <v/>
      </c>
      <c r="M41" s="16">
        <f>IF($K41="","",IFERROR(INDEX(計算用!$G$2:$G$149,MATCH("女"&amp;1&amp;"-"&amp;$K41,計算用!$K$2:$K$149,0)),""))</f>
        <v/>
      </c>
      <c r="N41">
        <f>IF($K41="","",IFERROR(INDEX(計算用!$D$2:$D$149,MATCH("女"&amp;2&amp;"-"&amp;$K41,計算用!$K$2:$K$149,0)),""))</f>
        <v/>
      </c>
      <c r="O41" s="16">
        <f>IF($K41="","",IFERROR(INDEX(計算用!$G$2:$G$149,MATCH("女"&amp;2&amp;"-"&amp;$K41,計算用!$K$2:$K$149,0)),""))</f>
        <v/>
      </c>
      <c r="P41">
        <f>IF($K41="","",IFERROR(INDEX(計算用!$D$2:$D$149,MATCH("女"&amp;3&amp;"-"&amp;$K41,計算用!$K$2:$K$149,0)),""))</f>
        <v/>
      </c>
      <c r="Q41" s="16">
        <f>IF($K41="","",IFERROR(INDEX(計算用!$G$2:$G$149,MATCH("女"&amp;3&amp;"-"&amp;$K41,計算用!$K$2:$K$149,0)),""))</f>
        <v/>
      </c>
      <c r="R41">
        <f>IF($K41="","",IFERROR(INDEX(計算用!$D$2:$D$149,MATCH("女"&amp;4&amp;"-"&amp;$K41,計算用!$K$2:$K$149,0)),""))</f>
        <v/>
      </c>
      <c r="S41" s="16">
        <f>IF($K41="","",IFERROR(INDEX(計算用!$G$2:$G$149,MATCH("女"&amp;4&amp;"-"&amp;$K41,計算用!$K$2:$K$149,0)),""))</f>
        <v/>
      </c>
    </row>
  </sheetData>
  <mergeCells count="12">
    <mergeCell ref="F3:G3"/>
    <mergeCell ref="L3:M3"/>
    <mergeCell ref="P3:Q3"/>
    <mergeCell ref="N3:O3"/>
    <mergeCell ref="A2:I2"/>
    <mergeCell ref="K2:S2"/>
    <mergeCell ref="K3:K4"/>
    <mergeCell ref="B3:C3"/>
    <mergeCell ref="A3:A4"/>
    <mergeCell ref="R3:S3"/>
    <mergeCell ref="D3:E3"/>
    <mergeCell ref="H3:I3"/>
  </mergeCells>
  <conditionalFormatting sqref="A5:I41">
    <cfRule type="expression" priority="1" dxfId="0">
      <formula>$A5&lt;&gt;""</formula>
    </cfRule>
  </conditionalFormatting>
  <conditionalFormatting sqref="K5:S41">
    <cfRule type="expression" priority="2" dxfId="0">
      <formula>$K5&lt;&gt;""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  <col width="6" customWidth="1" min="12" max="12"/>
    <col width="6" customWidth="1" min="13" max="13"/>
    <col width="2" customWidth="1" min="14" max="14"/>
    <col width="17" customWidth="1" min="15" max="15"/>
    <col width="17" customWidth="1" min="16" max="16"/>
    <col width="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48" customHeight="1">
      <c r="A1" s="15" t="inlineStr">
        <is>
          <t>手直し</t>
        </is>
      </c>
      <c r="C1" s="17" t="inlineStr">
        <is>
          <t>① 右の「自動の組（コピー用）」R6:Y42 をコピーし、B6 に「値として貼り付け」します（右クリック →「貼り付けのオプション」の「値」）。
② 名前を切り取り・貼り付けして直します。同じ段（行）の4人が1レースになります。
※直さないときは空のままでかまいません（自動の組を使います）。名簿・タイム・組み方を変えたときは、空にするか①からやり直してください。</t>
        </is>
      </c>
    </row>
    <row r="2">
      <c r="B2" s="18">
        <f>IF(AND(計算用!$U$2,"A"="B"),"",IF(計算用!$U$2,"男女混合","男子")&amp;"：自動 "&amp;計算用!$U$9&amp;"組 → 手直し "&amp;計算用!$U$7&amp;"組")</f>
        <v/>
      </c>
      <c r="F2" s="4">
        <f>IF(AND(計算用!$U$2,"A"="B"),"",IF(NOT(計算用!$U$24),"手直しなし：自動の組をそのまま使っています",IF(計算用!$U$11+計算用!$U$13+計算用!$U$15+計算用!$U$17=0,IF(計算用!$U$7=0,"","確認：問題なし"),"確認："&amp;IF(計算用!$U$11&gt;0,"入っていない人 "&amp;計算用!$U$11&amp;"人　","")&amp;IF(計算用!$U$13&gt;0,"2回以上入っている人 "&amp;計算用!$U$13&amp;"人　","")&amp;IF(計算用!$U$15&gt;0,"ちがうクラスの列に入っている人 "&amp;計算用!$U$15&amp;"人　","")&amp;IF(計算用!$U$17&gt;0,"名簿にない名前 "&amp;計算用!$U$17&amp;"こ　",""))))</f>
        <v/>
      </c>
      <c r="O2" s="4">
        <f>IF(計算用!$U$25,計算用!$U$27,IF(計算用!$U$19&gt;0,"※同じ名前の人がいます（区別できません）",""))</f>
        <v/>
      </c>
    </row>
    <row r="3">
      <c r="B3" s="18">
        <f>IF(AND(計算用!$U$2,"B"="B"),"",IF(計算用!$U$2,"","女子")&amp;"：自動 "&amp;計算用!$U$10&amp;"組 → 手直し "&amp;計算用!$U$8&amp;"組")</f>
        <v/>
      </c>
      <c r="F3" s="4">
        <f>IF(AND(計算用!$U$2,"B"="B"),"",IF(NOT(計算用!$U$24),"手直しなし：自動の組をそのまま使っています",IF(計算用!$U$12+計算用!$U$14+計算用!$U$16+計算用!$U$18=0,IF(計算用!$U$8=0,"","確認：問題なし"),"確認："&amp;IF(計算用!$U$12&gt;0,"入っていない人 "&amp;計算用!$U$12&amp;"人　","")&amp;IF(計算用!$U$14&gt;0,"2回以上入っている人 "&amp;計算用!$U$14&amp;"人　","")&amp;IF(計算用!$U$16&gt;0,"ちがうクラスの列に入っている人 "&amp;計算用!$U$16&amp;"人　","")&amp;IF(計算用!$U$18&gt;0,"名簿にない名前 "&amp;計算用!$U$18&amp;"こ　",""))))</f>
        <v/>
      </c>
      <c r="R3" s="19" t="inlineStr">
        <is>
          <t>自動の組（コピー用）</t>
        </is>
      </c>
      <c r="S3" s="19" t="n"/>
      <c r="T3" s="19" t="n"/>
      <c r="U3" s="19" t="n"/>
      <c r="V3" s="19" t="n"/>
      <c r="W3" s="19" t="n"/>
      <c r="X3" s="19" t="n"/>
      <c r="Y3" s="19" t="n"/>
    </row>
    <row r="4">
      <c r="A4" s="6" t="inlineStr">
        <is>
          <t>組</t>
        </is>
      </c>
      <c r="B4" s="6">
        <f>IF(計算用!$U$2,"男女混合","男子")</f>
        <v/>
      </c>
      <c r="C4" s="6" t="n"/>
      <c r="D4" s="6" t="n"/>
      <c r="E4" s="6" t="n"/>
      <c r="G4" s="6">
        <f>IF(計算用!$U$2,"（使いません）","女子")</f>
        <v/>
      </c>
      <c r="H4" s="6" t="n"/>
      <c r="I4" s="6" t="n"/>
      <c r="J4" s="6" t="n"/>
      <c r="L4" s="6" t="inlineStr">
        <is>
          <t>人数</t>
        </is>
      </c>
      <c r="M4" s="6" t="n"/>
      <c r="O4" s="6" t="inlineStr">
        <is>
          <t>入っていない人</t>
        </is>
      </c>
      <c r="P4" s="6" t="n"/>
      <c r="R4" s="19">
        <f>IF(計算用!$U$2,"男女混合","男子")</f>
        <v/>
      </c>
      <c r="S4" s="19" t="n"/>
      <c r="T4" s="19" t="n"/>
      <c r="U4" s="19" t="n"/>
      <c r="V4" s="19">
        <f>IF(計算用!$U$2,"（使いません）","女子")</f>
        <v/>
      </c>
      <c r="W4" s="19" t="n"/>
      <c r="X4" s="19" t="n"/>
      <c r="Y4" s="19" t="n"/>
    </row>
    <row r="5">
      <c r="A5" s="6" t="n"/>
      <c r="B5" s="7">
        <f>データ入力!$B$3</f>
        <v/>
      </c>
      <c r="C5" s="8">
        <f>データ入力!$F$3</f>
        <v/>
      </c>
      <c r="D5" s="9">
        <f>データ入力!$J$3</f>
        <v/>
      </c>
      <c r="E5" s="10">
        <f>データ入力!$N$3</f>
        <v/>
      </c>
      <c r="G5" s="7">
        <f>データ入力!$B$3</f>
        <v/>
      </c>
      <c r="H5" s="8">
        <f>データ入力!$F$3</f>
        <v/>
      </c>
      <c r="I5" s="9">
        <f>データ入力!$J$3</f>
        <v/>
      </c>
      <c r="J5" s="10">
        <f>データ入力!$N$3</f>
        <v/>
      </c>
      <c r="L5" s="6">
        <f>IF(計算用!$U$2,"混合","男子")</f>
        <v/>
      </c>
      <c r="M5" s="6">
        <f>IF(計算用!$U$2,"","女子")</f>
        <v/>
      </c>
      <c r="O5" s="6">
        <f>IF(計算用!$U$2,"男女混合","男子")</f>
        <v/>
      </c>
      <c r="P5" s="6">
        <f>IF(計算用!$U$2,"（使いません）","女子")</f>
        <v/>
      </c>
      <c r="R5" s="7">
        <f>データ入力!$B$3</f>
        <v/>
      </c>
      <c r="S5" s="8">
        <f>データ入力!$F$3</f>
        <v/>
      </c>
      <c r="T5" s="9">
        <f>データ入力!$J$3</f>
        <v/>
      </c>
      <c r="U5" s="10">
        <f>データ入力!$N$3</f>
        <v/>
      </c>
      <c r="V5" s="7">
        <f>データ入力!$B$3</f>
        <v/>
      </c>
      <c r="W5" s="8">
        <f>データ入力!$F$3</f>
        <v/>
      </c>
      <c r="X5" s="9">
        <f>データ入力!$J$3</f>
        <v/>
      </c>
      <c r="Y5" s="10">
        <f>データ入力!$N$3</f>
        <v/>
      </c>
    </row>
    <row r="6">
      <c r="A6" s="11" t="n">
        <v>1</v>
      </c>
      <c r="B6" s="12" t="n"/>
      <c r="C6" s="12" t="n"/>
      <c r="D6" s="12" t="n"/>
      <c r="E6" s="12" t="n"/>
      <c r="G6" s="12" t="n"/>
      <c r="H6" s="12" t="n"/>
      <c r="I6" s="12" t="n"/>
      <c r="J6" s="12" t="n"/>
      <c r="L6" s="20">
        <f>COUNTIF(B6:E6,"?*")</f>
        <v/>
      </c>
      <c r="M6" s="20">
        <f>COUNTIF(G6:J6,"?*")</f>
        <v/>
      </c>
      <c r="O6">
        <f>IFERROR(INDEX(計算用!$D$2:$D$149,MATCH(1,計算用!$P$2:$P$149,0))&amp;"（"&amp;INDEX(データ入力!$B$3:$N$3,1,(INDEX(計算用!$B$2:$B$149,MATCH(1,計算用!$P$2:$P$149,0))-1)*4+1)&amp;"）","")</f>
        <v/>
      </c>
      <c r="P6">
        <f>IFERROR(INDEX(計算用!$D$2:$D$149,MATCH(1,計算用!$Q$2:$Q$149,0))&amp;"（"&amp;INDEX(データ入力!$B$3:$N$3,1,(INDEX(計算用!$B$2:$B$149,MATCH(1,計算用!$Q$2:$Q$149,0))-1)*4+1)&amp;"）","")</f>
        <v/>
      </c>
      <c r="R6" s="21">
        <f>組分け!B5&amp;""</f>
        <v/>
      </c>
      <c r="S6" s="21">
        <f>組分け!D5&amp;""</f>
        <v/>
      </c>
      <c r="T6" s="21">
        <f>組分け!F5&amp;""</f>
        <v/>
      </c>
      <c r="U6" s="21">
        <f>組分け!H5&amp;""</f>
        <v/>
      </c>
      <c r="V6" s="21">
        <f>組分け!L5&amp;""</f>
        <v/>
      </c>
      <c r="W6" s="21">
        <f>組分け!N5&amp;""</f>
        <v/>
      </c>
      <c r="X6" s="21">
        <f>組分け!P5&amp;""</f>
        <v/>
      </c>
      <c r="Y6" s="21">
        <f>組分け!R5&amp;""</f>
        <v/>
      </c>
    </row>
    <row r="7">
      <c r="A7" s="11" t="n">
        <v>2</v>
      </c>
      <c r="B7" s="12" t="n"/>
      <c r="C7" s="12" t="n"/>
      <c r="D7" s="12" t="n"/>
      <c r="E7" s="12" t="n"/>
      <c r="G7" s="12" t="n"/>
      <c r="H7" s="12" t="n"/>
      <c r="I7" s="12" t="n"/>
      <c r="J7" s="12" t="n"/>
      <c r="L7" s="20">
        <f>COUNTIF(B7:E7,"?*")</f>
        <v/>
      </c>
      <c r="M7" s="20">
        <f>COUNTIF(G7:J7,"?*")</f>
        <v/>
      </c>
      <c r="O7">
        <f>IFERROR(INDEX(計算用!$D$2:$D$149,MATCH(2,計算用!$P$2:$P$149,0))&amp;"（"&amp;INDEX(データ入力!$B$3:$N$3,1,(INDEX(計算用!$B$2:$B$149,MATCH(2,計算用!$P$2:$P$149,0))-1)*4+1)&amp;"）","")</f>
        <v/>
      </c>
      <c r="P7">
        <f>IFERROR(INDEX(計算用!$D$2:$D$149,MATCH(2,計算用!$Q$2:$Q$149,0))&amp;"（"&amp;INDEX(データ入力!$B$3:$N$3,1,(INDEX(計算用!$B$2:$B$149,MATCH(2,計算用!$Q$2:$Q$149,0))-1)*4+1)&amp;"）","")</f>
        <v/>
      </c>
      <c r="R7" s="21">
        <f>組分け!B6&amp;""</f>
        <v/>
      </c>
      <c r="S7" s="21">
        <f>組分け!D6&amp;""</f>
        <v/>
      </c>
      <c r="T7" s="21">
        <f>組分け!F6&amp;""</f>
        <v/>
      </c>
      <c r="U7" s="21">
        <f>組分け!H6&amp;""</f>
        <v/>
      </c>
      <c r="V7" s="21">
        <f>組分け!L6&amp;""</f>
        <v/>
      </c>
      <c r="W7" s="21">
        <f>組分け!N6&amp;""</f>
        <v/>
      </c>
      <c r="X7" s="21">
        <f>組分け!P6&amp;""</f>
        <v/>
      </c>
      <c r="Y7" s="21">
        <f>組分け!R6&amp;""</f>
        <v/>
      </c>
    </row>
    <row r="8">
      <c r="A8" s="11" t="n">
        <v>3</v>
      </c>
      <c r="B8" s="12" t="n"/>
      <c r="C8" s="12" t="n"/>
      <c r="D8" s="12" t="n"/>
      <c r="E8" s="12" t="n"/>
      <c r="G8" s="12" t="n"/>
      <c r="H8" s="12" t="n"/>
      <c r="I8" s="12" t="n"/>
      <c r="J8" s="12" t="n"/>
      <c r="L8" s="20">
        <f>COUNTIF(B8:E8,"?*")</f>
        <v/>
      </c>
      <c r="M8" s="20">
        <f>COUNTIF(G8:J8,"?*")</f>
        <v/>
      </c>
      <c r="O8">
        <f>IFERROR(INDEX(計算用!$D$2:$D$149,MATCH(3,計算用!$P$2:$P$149,0))&amp;"（"&amp;INDEX(データ入力!$B$3:$N$3,1,(INDEX(計算用!$B$2:$B$149,MATCH(3,計算用!$P$2:$P$149,0))-1)*4+1)&amp;"）","")</f>
        <v/>
      </c>
      <c r="P8">
        <f>IFERROR(INDEX(計算用!$D$2:$D$149,MATCH(3,計算用!$Q$2:$Q$149,0))&amp;"（"&amp;INDEX(データ入力!$B$3:$N$3,1,(INDEX(計算用!$B$2:$B$149,MATCH(3,計算用!$Q$2:$Q$149,0))-1)*4+1)&amp;"）","")</f>
        <v/>
      </c>
      <c r="R8" s="21">
        <f>組分け!B7&amp;""</f>
        <v/>
      </c>
      <c r="S8" s="21">
        <f>組分け!D7&amp;""</f>
        <v/>
      </c>
      <c r="T8" s="21">
        <f>組分け!F7&amp;""</f>
        <v/>
      </c>
      <c r="U8" s="21">
        <f>組分け!H7&amp;""</f>
        <v/>
      </c>
      <c r="V8" s="21">
        <f>組分け!L7&amp;""</f>
        <v/>
      </c>
      <c r="W8" s="21">
        <f>組分け!N7&amp;""</f>
        <v/>
      </c>
      <c r="X8" s="21">
        <f>組分け!P7&amp;""</f>
        <v/>
      </c>
      <c r="Y8" s="21">
        <f>組分け!R7&amp;""</f>
        <v/>
      </c>
    </row>
    <row r="9">
      <c r="A9" s="11" t="n">
        <v>4</v>
      </c>
      <c r="B9" s="12" t="n"/>
      <c r="C9" s="12" t="n"/>
      <c r="D9" s="12" t="n"/>
      <c r="E9" s="12" t="n"/>
      <c r="G9" s="12" t="n"/>
      <c r="H9" s="12" t="n"/>
      <c r="I9" s="12" t="n"/>
      <c r="J9" s="12" t="n"/>
      <c r="L9" s="20">
        <f>COUNTIF(B9:E9,"?*")</f>
        <v/>
      </c>
      <c r="M9" s="20">
        <f>COUNTIF(G9:J9,"?*")</f>
        <v/>
      </c>
      <c r="O9">
        <f>IFERROR(INDEX(計算用!$D$2:$D$149,MATCH(4,計算用!$P$2:$P$149,0))&amp;"（"&amp;INDEX(データ入力!$B$3:$N$3,1,(INDEX(計算用!$B$2:$B$149,MATCH(4,計算用!$P$2:$P$149,0))-1)*4+1)&amp;"）","")</f>
        <v/>
      </c>
      <c r="P9">
        <f>IFERROR(INDEX(計算用!$D$2:$D$149,MATCH(4,計算用!$Q$2:$Q$149,0))&amp;"（"&amp;INDEX(データ入力!$B$3:$N$3,1,(INDEX(計算用!$B$2:$B$149,MATCH(4,計算用!$Q$2:$Q$149,0))-1)*4+1)&amp;"）","")</f>
        <v/>
      </c>
      <c r="R9" s="21">
        <f>組分け!B8&amp;""</f>
        <v/>
      </c>
      <c r="S9" s="21">
        <f>組分け!D8&amp;""</f>
        <v/>
      </c>
      <c r="T9" s="21">
        <f>組分け!F8&amp;""</f>
        <v/>
      </c>
      <c r="U9" s="21">
        <f>組分け!H8&amp;""</f>
        <v/>
      </c>
      <c r="V9" s="21">
        <f>組分け!L8&amp;""</f>
        <v/>
      </c>
      <c r="W9" s="21">
        <f>組分け!N8&amp;""</f>
        <v/>
      </c>
      <c r="X9" s="21">
        <f>組分け!P8&amp;""</f>
        <v/>
      </c>
      <c r="Y9" s="21">
        <f>組分け!R8&amp;""</f>
        <v/>
      </c>
    </row>
    <row r="10">
      <c r="A10" s="11" t="n">
        <v>5</v>
      </c>
      <c r="B10" s="12" t="n"/>
      <c r="C10" s="12" t="n"/>
      <c r="D10" s="12" t="n"/>
      <c r="E10" s="12" t="n"/>
      <c r="G10" s="12" t="n"/>
      <c r="H10" s="12" t="n"/>
      <c r="I10" s="12" t="n"/>
      <c r="J10" s="12" t="n"/>
      <c r="L10" s="20">
        <f>COUNTIF(B10:E10,"?*")</f>
        <v/>
      </c>
      <c r="M10" s="20">
        <f>COUNTIF(G10:J10,"?*")</f>
        <v/>
      </c>
      <c r="O10">
        <f>IFERROR(INDEX(計算用!$D$2:$D$149,MATCH(5,計算用!$P$2:$P$149,0))&amp;"（"&amp;INDEX(データ入力!$B$3:$N$3,1,(INDEX(計算用!$B$2:$B$149,MATCH(5,計算用!$P$2:$P$149,0))-1)*4+1)&amp;"）","")</f>
        <v/>
      </c>
      <c r="P10">
        <f>IFERROR(INDEX(計算用!$D$2:$D$149,MATCH(5,計算用!$Q$2:$Q$149,0))&amp;"（"&amp;INDEX(データ入力!$B$3:$N$3,1,(INDEX(計算用!$B$2:$B$149,MATCH(5,計算用!$Q$2:$Q$149,0))-1)*4+1)&amp;"）","")</f>
        <v/>
      </c>
      <c r="R10" s="21">
        <f>組分け!B9&amp;""</f>
        <v/>
      </c>
      <c r="S10" s="21">
        <f>組分け!D9&amp;""</f>
        <v/>
      </c>
      <c r="T10" s="21">
        <f>組分け!F9&amp;""</f>
        <v/>
      </c>
      <c r="U10" s="21">
        <f>組分け!H9&amp;""</f>
        <v/>
      </c>
      <c r="V10" s="21">
        <f>組分け!L9&amp;""</f>
        <v/>
      </c>
      <c r="W10" s="21">
        <f>組分け!N9&amp;""</f>
        <v/>
      </c>
      <c r="X10" s="21">
        <f>組分け!P9&amp;""</f>
        <v/>
      </c>
      <c r="Y10" s="21">
        <f>組分け!R9&amp;""</f>
        <v/>
      </c>
    </row>
    <row r="11">
      <c r="A11" s="11" t="n">
        <v>6</v>
      </c>
      <c r="B11" s="12" t="n"/>
      <c r="C11" s="12" t="n"/>
      <c r="D11" s="12" t="n"/>
      <c r="E11" s="12" t="n"/>
      <c r="G11" s="12" t="n"/>
      <c r="H11" s="12" t="n"/>
      <c r="I11" s="12" t="n"/>
      <c r="J11" s="12" t="n"/>
      <c r="L11" s="20">
        <f>COUNTIF(B11:E11,"?*")</f>
        <v/>
      </c>
      <c r="M11" s="20">
        <f>COUNTIF(G11:J11,"?*")</f>
        <v/>
      </c>
      <c r="O11">
        <f>IFERROR(INDEX(計算用!$D$2:$D$149,MATCH(6,計算用!$P$2:$P$149,0))&amp;"（"&amp;INDEX(データ入力!$B$3:$N$3,1,(INDEX(計算用!$B$2:$B$149,MATCH(6,計算用!$P$2:$P$149,0))-1)*4+1)&amp;"）","")</f>
        <v/>
      </c>
      <c r="P11">
        <f>IFERROR(INDEX(計算用!$D$2:$D$149,MATCH(6,計算用!$Q$2:$Q$149,0))&amp;"（"&amp;INDEX(データ入力!$B$3:$N$3,1,(INDEX(計算用!$B$2:$B$149,MATCH(6,計算用!$Q$2:$Q$149,0))-1)*4+1)&amp;"）","")</f>
        <v/>
      </c>
      <c r="R11" s="21">
        <f>組分け!B10&amp;""</f>
        <v/>
      </c>
      <c r="S11" s="21">
        <f>組分け!D10&amp;""</f>
        <v/>
      </c>
      <c r="T11" s="21">
        <f>組分け!F10&amp;""</f>
        <v/>
      </c>
      <c r="U11" s="21">
        <f>組分け!H10&amp;""</f>
        <v/>
      </c>
      <c r="V11" s="21">
        <f>組分け!L10&amp;""</f>
        <v/>
      </c>
      <c r="W11" s="21">
        <f>組分け!N10&amp;""</f>
        <v/>
      </c>
      <c r="X11" s="21">
        <f>組分け!P10&amp;""</f>
        <v/>
      </c>
      <c r="Y11" s="21">
        <f>組分け!R10&amp;""</f>
        <v/>
      </c>
    </row>
    <row r="12">
      <c r="A12" s="11" t="n">
        <v>7</v>
      </c>
      <c r="B12" s="12" t="n"/>
      <c r="C12" s="12" t="n"/>
      <c r="D12" s="12" t="n"/>
      <c r="E12" s="12" t="n"/>
      <c r="G12" s="12" t="n"/>
      <c r="H12" s="12" t="n"/>
      <c r="I12" s="12" t="n"/>
      <c r="J12" s="12" t="n"/>
      <c r="L12" s="20">
        <f>COUNTIF(B12:E12,"?*")</f>
        <v/>
      </c>
      <c r="M12" s="20">
        <f>COUNTIF(G12:J12,"?*")</f>
        <v/>
      </c>
      <c r="O12">
        <f>IFERROR(INDEX(計算用!$D$2:$D$149,MATCH(7,計算用!$P$2:$P$149,0))&amp;"（"&amp;INDEX(データ入力!$B$3:$N$3,1,(INDEX(計算用!$B$2:$B$149,MATCH(7,計算用!$P$2:$P$149,0))-1)*4+1)&amp;"）","")</f>
        <v/>
      </c>
      <c r="P12">
        <f>IFERROR(INDEX(計算用!$D$2:$D$149,MATCH(7,計算用!$Q$2:$Q$149,0))&amp;"（"&amp;INDEX(データ入力!$B$3:$N$3,1,(INDEX(計算用!$B$2:$B$149,MATCH(7,計算用!$Q$2:$Q$149,0))-1)*4+1)&amp;"）","")</f>
        <v/>
      </c>
      <c r="R12" s="21">
        <f>組分け!B11&amp;""</f>
        <v/>
      </c>
      <c r="S12" s="21">
        <f>組分け!D11&amp;""</f>
        <v/>
      </c>
      <c r="T12" s="21">
        <f>組分け!F11&amp;""</f>
        <v/>
      </c>
      <c r="U12" s="21">
        <f>組分け!H11&amp;""</f>
        <v/>
      </c>
      <c r="V12" s="21">
        <f>組分け!L11&amp;""</f>
        <v/>
      </c>
      <c r="W12" s="21">
        <f>組分け!N11&amp;""</f>
        <v/>
      </c>
      <c r="X12" s="21">
        <f>組分け!P11&amp;""</f>
        <v/>
      </c>
      <c r="Y12" s="21">
        <f>組分け!R11&amp;""</f>
        <v/>
      </c>
    </row>
    <row r="13">
      <c r="A13" s="11" t="n">
        <v>8</v>
      </c>
      <c r="B13" s="12" t="n"/>
      <c r="C13" s="12" t="n"/>
      <c r="D13" s="12" t="n"/>
      <c r="E13" s="12" t="n"/>
      <c r="G13" s="12" t="n"/>
      <c r="H13" s="12" t="n"/>
      <c r="I13" s="12" t="n"/>
      <c r="J13" s="12" t="n"/>
      <c r="L13" s="20">
        <f>COUNTIF(B13:E13,"?*")</f>
        <v/>
      </c>
      <c r="M13" s="20">
        <f>COUNTIF(G13:J13,"?*")</f>
        <v/>
      </c>
      <c r="O13">
        <f>IFERROR(INDEX(計算用!$D$2:$D$149,MATCH(8,計算用!$P$2:$P$149,0))&amp;"（"&amp;INDEX(データ入力!$B$3:$N$3,1,(INDEX(計算用!$B$2:$B$149,MATCH(8,計算用!$P$2:$P$149,0))-1)*4+1)&amp;"）","")</f>
        <v/>
      </c>
      <c r="P13">
        <f>IFERROR(INDEX(計算用!$D$2:$D$149,MATCH(8,計算用!$Q$2:$Q$149,0))&amp;"（"&amp;INDEX(データ入力!$B$3:$N$3,1,(INDEX(計算用!$B$2:$B$149,MATCH(8,計算用!$Q$2:$Q$149,0))-1)*4+1)&amp;"）","")</f>
        <v/>
      </c>
      <c r="R13" s="21">
        <f>組分け!B12&amp;""</f>
        <v/>
      </c>
      <c r="S13" s="21">
        <f>組分け!D12&amp;""</f>
        <v/>
      </c>
      <c r="T13" s="21">
        <f>組分け!F12&amp;""</f>
        <v/>
      </c>
      <c r="U13" s="21">
        <f>組分け!H12&amp;""</f>
        <v/>
      </c>
      <c r="V13" s="21">
        <f>組分け!L12&amp;""</f>
        <v/>
      </c>
      <c r="W13" s="21">
        <f>組分け!N12&amp;""</f>
        <v/>
      </c>
      <c r="X13" s="21">
        <f>組分け!P12&amp;""</f>
        <v/>
      </c>
      <c r="Y13" s="21">
        <f>組分け!R12&amp;""</f>
        <v/>
      </c>
    </row>
    <row r="14">
      <c r="A14" s="11" t="n">
        <v>9</v>
      </c>
      <c r="B14" s="12" t="n"/>
      <c r="C14" s="12" t="n"/>
      <c r="D14" s="12" t="n"/>
      <c r="E14" s="12" t="n"/>
      <c r="G14" s="12" t="n"/>
      <c r="H14" s="12" t="n"/>
      <c r="I14" s="12" t="n"/>
      <c r="J14" s="12" t="n"/>
      <c r="L14" s="20">
        <f>COUNTIF(B14:E14,"?*")</f>
        <v/>
      </c>
      <c r="M14" s="20">
        <f>COUNTIF(G14:J14,"?*")</f>
        <v/>
      </c>
      <c r="O14">
        <f>IFERROR(INDEX(計算用!$D$2:$D$149,MATCH(9,計算用!$P$2:$P$149,0))&amp;"（"&amp;INDEX(データ入力!$B$3:$N$3,1,(INDEX(計算用!$B$2:$B$149,MATCH(9,計算用!$P$2:$P$149,0))-1)*4+1)&amp;"）","")</f>
        <v/>
      </c>
      <c r="P14">
        <f>IFERROR(INDEX(計算用!$D$2:$D$149,MATCH(9,計算用!$Q$2:$Q$149,0))&amp;"（"&amp;INDEX(データ入力!$B$3:$N$3,1,(INDEX(計算用!$B$2:$B$149,MATCH(9,計算用!$Q$2:$Q$149,0))-1)*4+1)&amp;"）","")</f>
        <v/>
      </c>
      <c r="R14" s="21">
        <f>組分け!B13&amp;""</f>
        <v/>
      </c>
      <c r="S14" s="21">
        <f>組分け!D13&amp;""</f>
        <v/>
      </c>
      <c r="T14" s="21">
        <f>組分け!F13&amp;""</f>
        <v/>
      </c>
      <c r="U14" s="21">
        <f>組分け!H13&amp;""</f>
        <v/>
      </c>
      <c r="V14" s="21">
        <f>組分け!L13&amp;""</f>
        <v/>
      </c>
      <c r="W14" s="21">
        <f>組分け!N13&amp;""</f>
        <v/>
      </c>
      <c r="X14" s="21">
        <f>組分け!P13&amp;""</f>
        <v/>
      </c>
      <c r="Y14" s="21">
        <f>組分け!R13&amp;""</f>
        <v/>
      </c>
    </row>
    <row r="15">
      <c r="A15" s="11" t="n">
        <v>10</v>
      </c>
      <c r="B15" s="12" t="n"/>
      <c r="C15" s="12" t="n"/>
      <c r="D15" s="12" t="n"/>
      <c r="E15" s="12" t="n"/>
      <c r="G15" s="12" t="n"/>
      <c r="H15" s="12" t="n"/>
      <c r="I15" s="12" t="n"/>
      <c r="J15" s="12" t="n"/>
      <c r="L15" s="20">
        <f>COUNTIF(B15:E15,"?*")</f>
        <v/>
      </c>
      <c r="M15" s="20">
        <f>COUNTIF(G15:J15,"?*")</f>
        <v/>
      </c>
      <c r="O15">
        <f>IFERROR(INDEX(計算用!$D$2:$D$149,MATCH(10,計算用!$P$2:$P$149,0))&amp;"（"&amp;INDEX(データ入力!$B$3:$N$3,1,(INDEX(計算用!$B$2:$B$149,MATCH(10,計算用!$P$2:$P$149,0))-1)*4+1)&amp;"）","")</f>
        <v/>
      </c>
      <c r="P15">
        <f>IFERROR(INDEX(計算用!$D$2:$D$149,MATCH(10,計算用!$Q$2:$Q$149,0))&amp;"（"&amp;INDEX(データ入力!$B$3:$N$3,1,(INDEX(計算用!$B$2:$B$149,MATCH(10,計算用!$Q$2:$Q$149,0))-1)*4+1)&amp;"）","")</f>
        <v/>
      </c>
      <c r="R15" s="21">
        <f>組分け!B14&amp;""</f>
        <v/>
      </c>
      <c r="S15" s="21">
        <f>組分け!D14&amp;""</f>
        <v/>
      </c>
      <c r="T15" s="21">
        <f>組分け!F14&amp;""</f>
        <v/>
      </c>
      <c r="U15" s="21">
        <f>組分け!H14&amp;""</f>
        <v/>
      </c>
      <c r="V15" s="21">
        <f>組分け!L14&amp;""</f>
        <v/>
      </c>
      <c r="W15" s="21">
        <f>組分け!N14&amp;""</f>
        <v/>
      </c>
      <c r="X15" s="21">
        <f>組分け!P14&amp;""</f>
        <v/>
      </c>
      <c r="Y15" s="21">
        <f>組分け!R14&amp;""</f>
        <v/>
      </c>
    </row>
    <row r="16">
      <c r="A16" s="11" t="n">
        <v>11</v>
      </c>
      <c r="B16" s="12" t="n"/>
      <c r="C16" s="12" t="n"/>
      <c r="D16" s="12" t="n"/>
      <c r="E16" s="12" t="n"/>
      <c r="G16" s="12" t="n"/>
      <c r="H16" s="12" t="n"/>
      <c r="I16" s="12" t="n"/>
      <c r="J16" s="12" t="n"/>
      <c r="L16" s="20">
        <f>COUNTIF(B16:E16,"?*")</f>
        <v/>
      </c>
      <c r="M16" s="20">
        <f>COUNTIF(G16:J16,"?*")</f>
        <v/>
      </c>
      <c r="O16">
        <f>IFERROR(INDEX(計算用!$D$2:$D$149,MATCH(11,計算用!$P$2:$P$149,0))&amp;"（"&amp;INDEX(データ入力!$B$3:$N$3,1,(INDEX(計算用!$B$2:$B$149,MATCH(11,計算用!$P$2:$P$149,0))-1)*4+1)&amp;"）","")</f>
        <v/>
      </c>
      <c r="P16">
        <f>IFERROR(INDEX(計算用!$D$2:$D$149,MATCH(11,計算用!$Q$2:$Q$149,0))&amp;"（"&amp;INDEX(データ入力!$B$3:$N$3,1,(INDEX(計算用!$B$2:$B$149,MATCH(11,計算用!$Q$2:$Q$149,0))-1)*4+1)&amp;"）","")</f>
        <v/>
      </c>
      <c r="R16" s="21">
        <f>組分け!B15&amp;""</f>
        <v/>
      </c>
      <c r="S16" s="21">
        <f>組分け!D15&amp;""</f>
        <v/>
      </c>
      <c r="T16" s="21">
        <f>組分け!F15&amp;""</f>
        <v/>
      </c>
      <c r="U16" s="21">
        <f>組分け!H15&amp;""</f>
        <v/>
      </c>
      <c r="V16" s="21">
        <f>組分け!L15&amp;""</f>
        <v/>
      </c>
      <c r="W16" s="21">
        <f>組分け!N15&amp;""</f>
        <v/>
      </c>
      <c r="X16" s="21">
        <f>組分け!P15&amp;""</f>
        <v/>
      </c>
      <c r="Y16" s="21">
        <f>組分け!R15&amp;""</f>
        <v/>
      </c>
    </row>
    <row r="17">
      <c r="A17" s="11" t="n">
        <v>12</v>
      </c>
      <c r="B17" s="12" t="n"/>
      <c r="C17" s="12" t="n"/>
      <c r="D17" s="12" t="n"/>
      <c r="E17" s="12" t="n"/>
      <c r="G17" s="12" t="n"/>
      <c r="H17" s="12" t="n"/>
      <c r="I17" s="12" t="n"/>
      <c r="J17" s="12" t="n"/>
      <c r="L17" s="20">
        <f>COUNTIF(B17:E17,"?*")</f>
        <v/>
      </c>
      <c r="M17" s="20">
        <f>COUNTIF(G17:J17,"?*")</f>
        <v/>
      </c>
      <c r="O17">
        <f>IFERROR(INDEX(計算用!$D$2:$D$149,MATCH(12,計算用!$P$2:$P$149,0))&amp;"（"&amp;INDEX(データ入力!$B$3:$N$3,1,(INDEX(計算用!$B$2:$B$149,MATCH(12,計算用!$P$2:$P$149,0))-1)*4+1)&amp;"）","")</f>
        <v/>
      </c>
      <c r="P17">
        <f>IFERROR(INDEX(計算用!$D$2:$D$149,MATCH(12,計算用!$Q$2:$Q$149,0))&amp;"（"&amp;INDEX(データ入力!$B$3:$N$3,1,(INDEX(計算用!$B$2:$B$149,MATCH(12,計算用!$Q$2:$Q$149,0))-1)*4+1)&amp;"）","")</f>
        <v/>
      </c>
      <c r="R17" s="21">
        <f>組分け!B16&amp;""</f>
        <v/>
      </c>
      <c r="S17" s="21">
        <f>組分け!D16&amp;""</f>
        <v/>
      </c>
      <c r="T17" s="21">
        <f>組分け!F16&amp;""</f>
        <v/>
      </c>
      <c r="U17" s="21">
        <f>組分け!H16&amp;""</f>
        <v/>
      </c>
      <c r="V17" s="21">
        <f>組分け!L16&amp;""</f>
        <v/>
      </c>
      <c r="W17" s="21">
        <f>組分け!N16&amp;""</f>
        <v/>
      </c>
      <c r="X17" s="21">
        <f>組分け!P16&amp;""</f>
        <v/>
      </c>
      <c r="Y17" s="21">
        <f>組分け!R16&amp;""</f>
        <v/>
      </c>
    </row>
    <row r="18">
      <c r="A18" s="11" t="n">
        <v>13</v>
      </c>
      <c r="B18" s="12" t="n"/>
      <c r="C18" s="12" t="n"/>
      <c r="D18" s="12" t="n"/>
      <c r="E18" s="12" t="n"/>
      <c r="G18" s="12" t="n"/>
      <c r="H18" s="12" t="n"/>
      <c r="I18" s="12" t="n"/>
      <c r="J18" s="12" t="n"/>
      <c r="L18" s="20">
        <f>COUNTIF(B18:E18,"?*")</f>
        <v/>
      </c>
      <c r="M18" s="20">
        <f>COUNTIF(G18:J18,"?*")</f>
        <v/>
      </c>
      <c r="O18">
        <f>IFERROR(INDEX(計算用!$D$2:$D$149,MATCH(13,計算用!$P$2:$P$149,0))&amp;"（"&amp;INDEX(データ入力!$B$3:$N$3,1,(INDEX(計算用!$B$2:$B$149,MATCH(13,計算用!$P$2:$P$149,0))-1)*4+1)&amp;"）","")</f>
        <v/>
      </c>
      <c r="P18">
        <f>IFERROR(INDEX(計算用!$D$2:$D$149,MATCH(13,計算用!$Q$2:$Q$149,0))&amp;"（"&amp;INDEX(データ入力!$B$3:$N$3,1,(INDEX(計算用!$B$2:$B$149,MATCH(13,計算用!$Q$2:$Q$149,0))-1)*4+1)&amp;"）","")</f>
        <v/>
      </c>
      <c r="R18" s="21">
        <f>組分け!B17&amp;""</f>
        <v/>
      </c>
      <c r="S18" s="21">
        <f>組分け!D17&amp;""</f>
        <v/>
      </c>
      <c r="T18" s="21">
        <f>組分け!F17&amp;""</f>
        <v/>
      </c>
      <c r="U18" s="21">
        <f>組分け!H17&amp;""</f>
        <v/>
      </c>
      <c r="V18" s="21">
        <f>組分け!L17&amp;""</f>
        <v/>
      </c>
      <c r="W18" s="21">
        <f>組分け!N17&amp;""</f>
        <v/>
      </c>
      <c r="X18" s="21">
        <f>組分け!P17&amp;""</f>
        <v/>
      </c>
      <c r="Y18" s="21">
        <f>組分け!R17&amp;""</f>
        <v/>
      </c>
    </row>
    <row r="19">
      <c r="A19" s="11" t="n">
        <v>14</v>
      </c>
      <c r="B19" s="12" t="n"/>
      <c r="C19" s="12" t="n"/>
      <c r="D19" s="12" t="n"/>
      <c r="E19" s="12" t="n"/>
      <c r="G19" s="12" t="n"/>
      <c r="H19" s="12" t="n"/>
      <c r="I19" s="12" t="n"/>
      <c r="J19" s="12" t="n"/>
      <c r="L19" s="20">
        <f>COUNTIF(B19:E19,"?*")</f>
        <v/>
      </c>
      <c r="M19" s="20">
        <f>COUNTIF(G19:J19,"?*")</f>
        <v/>
      </c>
      <c r="O19">
        <f>IFERROR(INDEX(計算用!$D$2:$D$149,MATCH(14,計算用!$P$2:$P$149,0))&amp;"（"&amp;INDEX(データ入力!$B$3:$N$3,1,(INDEX(計算用!$B$2:$B$149,MATCH(14,計算用!$P$2:$P$149,0))-1)*4+1)&amp;"）","")</f>
        <v/>
      </c>
      <c r="P19">
        <f>IFERROR(INDEX(計算用!$D$2:$D$149,MATCH(14,計算用!$Q$2:$Q$149,0))&amp;"（"&amp;INDEX(データ入力!$B$3:$N$3,1,(INDEX(計算用!$B$2:$B$149,MATCH(14,計算用!$Q$2:$Q$149,0))-1)*4+1)&amp;"）","")</f>
        <v/>
      </c>
      <c r="R19" s="21">
        <f>組分け!B18&amp;""</f>
        <v/>
      </c>
      <c r="S19" s="21">
        <f>組分け!D18&amp;""</f>
        <v/>
      </c>
      <c r="T19" s="21">
        <f>組分け!F18&amp;""</f>
        <v/>
      </c>
      <c r="U19" s="21">
        <f>組分け!H18&amp;""</f>
        <v/>
      </c>
      <c r="V19" s="21">
        <f>組分け!L18&amp;""</f>
        <v/>
      </c>
      <c r="W19" s="21">
        <f>組分け!N18&amp;""</f>
        <v/>
      </c>
      <c r="X19" s="21">
        <f>組分け!P18&amp;""</f>
        <v/>
      </c>
      <c r="Y19" s="21">
        <f>組分け!R18&amp;""</f>
        <v/>
      </c>
    </row>
    <row r="20">
      <c r="A20" s="11" t="n">
        <v>15</v>
      </c>
      <c r="B20" s="12" t="n"/>
      <c r="C20" s="12" t="n"/>
      <c r="D20" s="12" t="n"/>
      <c r="E20" s="12" t="n"/>
      <c r="G20" s="12" t="n"/>
      <c r="H20" s="12" t="n"/>
      <c r="I20" s="12" t="n"/>
      <c r="J20" s="12" t="n"/>
      <c r="L20" s="20">
        <f>COUNTIF(B20:E20,"?*")</f>
        <v/>
      </c>
      <c r="M20" s="20">
        <f>COUNTIF(G20:J20,"?*")</f>
        <v/>
      </c>
      <c r="O20">
        <f>IFERROR(INDEX(計算用!$D$2:$D$149,MATCH(15,計算用!$P$2:$P$149,0))&amp;"（"&amp;INDEX(データ入力!$B$3:$N$3,1,(INDEX(計算用!$B$2:$B$149,MATCH(15,計算用!$P$2:$P$149,0))-1)*4+1)&amp;"）","")</f>
        <v/>
      </c>
      <c r="P20">
        <f>IFERROR(INDEX(計算用!$D$2:$D$149,MATCH(15,計算用!$Q$2:$Q$149,0))&amp;"（"&amp;INDEX(データ入力!$B$3:$N$3,1,(INDEX(計算用!$B$2:$B$149,MATCH(15,計算用!$Q$2:$Q$149,0))-1)*4+1)&amp;"）","")</f>
        <v/>
      </c>
      <c r="R20" s="21">
        <f>組分け!B19&amp;""</f>
        <v/>
      </c>
      <c r="S20" s="21">
        <f>組分け!D19&amp;""</f>
        <v/>
      </c>
      <c r="T20" s="21">
        <f>組分け!F19&amp;""</f>
        <v/>
      </c>
      <c r="U20" s="21">
        <f>組分け!H19&amp;""</f>
        <v/>
      </c>
      <c r="V20" s="21">
        <f>組分け!L19&amp;""</f>
        <v/>
      </c>
      <c r="W20" s="21">
        <f>組分け!N19&amp;""</f>
        <v/>
      </c>
      <c r="X20" s="21">
        <f>組分け!P19&amp;""</f>
        <v/>
      </c>
      <c r="Y20" s="21">
        <f>組分け!R19&amp;""</f>
        <v/>
      </c>
    </row>
    <row r="21">
      <c r="A21" s="11" t="n">
        <v>16</v>
      </c>
      <c r="B21" s="12" t="n"/>
      <c r="C21" s="12" t="n"/>
      <c r="D21" s="12" t="n"/>
      <c r="E21" s="12" t="n"/>
      <c r="G21" s="12" t="n"/>
      <c r="H21" s="12" t="n"/>
      <c r="I21" s="12" t="n"/>
      <c r="J21" s="12" t="n"/>
      <c r="L21" s="20">
        <f>COUNTIF(B21:E21,"?*")</f>
        <v/>
      </c>
      <c r="M21" s="20">
        <f>COUNTIF(G21:J21,"?*")</f>
        <v/>
      </c>
      <c r="O21">
        <f>IFERROR(INDEX(計算用!$D$2:$D$149,MATCH(16,計算用!$P$2:$P$149,0))&amp;"（"&amp;INDEX(データ入力!$B$3:$N$3,1,(INDEX(計算用!$B$2:$B$149,MATCH(16,計算用!$P$2:$P$149,0))-1)*4+1)&amp;"）","")</f>
        <v/>
      </c>
      <c r="P21">
        <f>IFERROR(INDEX(計算用!$D$2:$D$149,MATCH(16,計算用!$Q$2:$Q$149,0))&amp;"（"&amp;INDEX(データ入力!$B$3:$N$3,1,(INDEX(計算用!$B$2:$B$149,MATCH(16,計算用!$Q$2:$Q$149,0))-1)*4+1)&amp;"）","")</f>
        <v/>
      </c>
      <c r="R21" s="21">
        <f>組分け!B20&amp;""</f>
        <v/>
      </c>
      <c r="S21" s="21">
        <f>組分け!D20&amp;""</f>
        <v/>
      </c>
      <c r="T21" s="21">
        <f>組分け!F20&amp;""</f>
        <v/>
      </c>
      <c r="U21" s="21">
        <f>組分け!H20&amp;""</f>
        <v/>
      </c>
      <c r="V21" s="21">
        <f>組分け!L20&amp;""</f>
        <v/>
      </c>
      <c r="W21" s="21">
        <f>組分け!N20&amp;""</f>
        <v/>
      </c>
      <c r="X21" s="21">
        <f>組分け!P20&amp;""</f>
        <v/>
      </c>
      <c r="Y21" s="21">
        <f>組分け!R20&amp;""</f>
        <v/>
      </c>
    </row>
    <row r="22">
      <c r="A22" s="11" t="n">
        <v>17</v>
      </c>
      <c r="B22" s="12" t="n"/>
      <c r="C22" s="12" t="n"/>
      <c r="D22" s="12" t="n"/>
      <c r="E22" s="12" t="n"/>
      <c r="G22" s="12" t="n"/>
      <c r="H22" s="12" t="n"/>
      <c r="I22" s="12" t="n"/>
      <c r="J22" s="12" t="n"/>
      <c r="L22" s="20">
        <f>COUNTIF(B22:E22,"?*")</f>
        <v/>
      </c>
      <c r="M22" s="20">
        <f>COUNTIF(G22:J22,"?*")</f>
        <v/>
      </c>
      <c r="O22">
        <f>IFERROR(INDEX(計算用!$D$2:$D$149,MATCH(17,計算用!$P$2:$P$149,0))&amp;"（"&amp;INDEX(データ入力!$B$3:$N$3,1,(INDEX(計算用!$B$2:$B$149,MATCH(17,計算用!$P$2:$P$149,0))-1)*4+1)&amp;"）","")</f>
        <v/>
      </c>
      <c r="P22">
        <f>IFERROR(INDEX(計算用!$D$2:$D$149,MATCH(17,計算用!$Q$2:$Q$149,0))&amp;"（"&amp;INDEX(データ入力!$B$3:$N$3,1,(INDEX(計算用!$B$2:$B$149,MATCH(17,計算用!$Q$2:$Q$149,0))-1)*4+1)&amp;"）","")</f>
        <v/>
      </c>
      <c r="R22" s="21">
        <f>組分け!B21&amp;""</f>
        <v/>
      </c>
      <c r="S22" s="21">
        <f>組分け!D21&amp;""</f>
        <v/>
      </c>
      <c r="T22" s="21">
        <f>組分け!F21&amp;""</f>
        <v/>
      </c>
      <c r="U22" s="21">
        <f>組分け!H21&amp;""</f>
        <v/>
      </c>
      <c r="V22" s="21">
        <f>組分け!L21&amp;""</f>
        <v/>
      </c>
      <c r="W22" s="21">
        <f>組分け!N21&amp;""</f>
        <v/>
      </c>
      <c r="X22" s="21">
        <f>組分け!P21&amp;""</f>
        <v/>
      </c>
      <c r="Y22" s="21">
        <f>組分け!R21&amp;""</f>
        <v/>
      </c>
    </row>
    <row r="23">
      <c r="A23" s="11" t="n">
        <v>18</v>
      </c>
      <c r="B23" s="12" t="n"/>
      <c r="C23" s="12" t="n"/>
      <c r="D23" s="12" t="n"/>
      <c r="E23" s="12" t="n"/>
      <c r="G23" s="12" t="n"/>
      <c r="H23" s="12" t="n"/>
      <c r="I23" s="12" t="n"/>
      <c r="J23" s="12" t="n"/>
      <c r="L23" s="20">
        <f>COUNTIF(B23:E23,"?*")</f>
        <v/>
      </c>
      <c r="M23" s="20">
        <f>COUNTIF(G23:J23,"?*")</f>
        <v/>
      </c>
      <c r="O23">
        <f>IFERROR(INDEX(計算用!$D$2:$D$149,MATCH(18,計算用!$P$2:$P$149,0))&amp;"（"&amp;INDEX(データ入力!$B$3:$N$3,1,(INDEX(計算用!$B$2:$B$149,MATCH(18,計算用!$P$2:$P$149,0))-1)*4+1)&amp;"）","")</f>
        <v/>
      </c>
      <c r="P23">
        <f>IFERROR(INDEX(計算用!$D$2:$D$149,MATCH(18,計算用!$Q$2:$Q$149,0))&amp;"（"&amp;INDEX(データ入力!$B$3:$N$3,1,(INDEX(計算用!$B$2:$B$149,MATCH(18,計算用!$Q$2:$Q$149,0))-1)*4+1)&amp;"）","")</f>
        <v/>
      </c>
      <c r="R23" s="21">
        <f>組分け!B22&amp;""</f>
        <v/>
      </c>
      <c r="S23" s="21">
        <f>組分け!D22&amp;""</f>
        <v/>
      </c>
      <c r="T23" s="21">
        <f>組分け!F22&amp;""</f>
        <v/>
      </c>
      <c r="U23" s="21">
        <f>組分け!H22&amp;""</f>
        <v/>
      </c>
      <c r="V23" s="21">
        <f>組分け!L22&amp;""</f>
        <v/>
      </c>
      <c r="W23" s="21">
        <f>組分け!N22&amp;""</f>
        <v/>
      </c>
      <c r="X23" s="21">
        <f>組分け!P22&amp;""</f>
        <v/>
      </c>
      <c r="Y23" s="21">
        <f>組分け!R22&amp;""</f>
        <v/>
      </c>
    </row>
    <row r="24">
      <c r="A24" s="11" t="n">
        <v>19</v>
      </c>
      <c r="B24" s="12" t="n"/>
      <c r="C24" s="12" t="n"/>
      <c r="D24" s="12" t="n"/>
      <c r="E24" s="12" t="n"/>
      <c r="G24" s="12" t="n"/>
      <c r="H24" s="12" t="n"/>
      <c r="I24" s="12" t="n"/>
      <c r="J24" s="12" t="n"/>
      <c r="L24" s="20">
        <f>COUNTIF(B24:E24,"?*")</f>
        <v/>
      </c>
      <c r="M24" s="20">
        <f>COUNTIF(G24:J24,"?*")</f>
        <v/>
      </c>
      <c r="O24">
        <f>IFERROR(INDEX(計算用!$D$2:$D$149,MATCH(19,計算用!$P$2:$P$149,0))&amp;"（"&amp;INDEX(データ入力!$B$3:$N$3,1,(INDEX(計算用!$B$2:$B$149,MATCH(19,計算用!$P$2:$P$149,0))-1)*4+1)&amp;"）","")</f>
        <v/>
      </c>
      <c r="P24">
        <f>IFERROR(INDEX(計算用!$D$2:$D$149,MATCH(19,計算用!$Q$2:$Q$149,0))&amp;"（"&amp;INDEX(データ入力!$B$3:$N$3,1,(INDEX(計算用!$B$2:$B$149,MATCH(19,計算用!$Q$2:$Q$149,0))-1)*4+1)&amp;"）","")</f>
        <v/>
      </c>
      <c r="R24" s="21">
        <f>組分け!B23&amp;""</f>
        <v/>
      </c>
      <c r="S24" s="21">
        <f>組分け!D23&amp;""</f>
        <v/>
      </c>
      <c r="T24" s="21">
        <f>組分け!F23&amp;""</f>
        <v/>
      </c>
      <c r="U24" s="21">
        <f>組分け!H23&amp;""</f>
        <v/>
      </c>
      <c r="V24" s="21">
        <f>組分け!L23&amp;""</f>
        <v/>
      </c>
      <c r="W24" s="21">
        <f>組分け!N23&amp;""</f>
        <v/>
      </c>
      <c r="X24" s="21">
        <f>組分け!P23&amp;""</f>
        <v/>
      </c>
      <c r="Y24" s="21">
        <f>組分け!R23&amp;""</f>
        <v/>
      </c>
    </row>
    <row r="25">
      <c r="A25" s="11" t="n">
        <v>20</v>
      </c>
      <c r="B25" s="12" t="n"/>
      <c r="C25" s="12" t="n"/>
      <c r="D25" s="12" t="n"/>
      <c r="E25" s="12" t="n"/>
      <c r="G25" s="12" t="n"/>
      <c r="H25" s="12" t="n"/>
      <c r="I25" s="12" t="n"/>
      <c r="J25" s="12" t="n"/>
      <c r="L25" s="20">
        <f>COUNTIF(B25:E25,"?*")</f>
        <v/>
      </c>
      <c r="M25" s="20">
        <f>COUNTIF(G25:J25,"?*")</f>
        <v/>
      </c>
      <c r="O25">
        <f>IFERROR(INDEX(計算用!$D$2:$D$149,MATCH(20,計算用!$P$2:$P$149,0))&amp;"（"&amp;INDEX(データ入力!$B$3:$N$3,1,(INDEX(計算用!$B$2:$B$149,MATCH(20,計算用!$P$2:$P$149,0))-1)*4+1)&amp;"）","")</f>
        <v/>
      </c>
      <c r="P25">
        <f>IFERROR(INDEX(計算用!$D$2:$D$149,MATCH(20,計算用!$Q$2:$Q$149,0))&amp;"（"&amp;INDEX(データ入力!$B$3:$N$3,1,(INDEX(計算用!$B$2:$B$149,MATCH(20,計算用!$Q$2:$Q$149,0))-1)*4+1)&amp;"）","")</f>
        <v/>
      </c>
      <c r="R25" s="21">
        <f>組分け!B24&amp;""</f>
        <v/>
      </c>
      <c r="S25" s="21">
        <f>組分け!D24&amp;""</f>
        <v/>
      </c>
      <c r="T25" s="21">
        <f>組分け!F24&amp;""</f>
        <v/>
      </c>
      <c r="U25" s="21">
        <f>組分け!H24&amp;""</f>
        <v/>
      </c>
      <c r="V25" s="21">
        <f>組分け!L24&amp;""</f>
        <v/>
      </c>
      <c r="W25" s="21">
        <f>組分け!N24&amp;""</f>
        <v/>
      </c>
      <c r="X25" s="21">
        <f>組分け!P24&amp;""</f>
        <v/>
      </c>
      <c r="Y25" s="21">
        <f>組分け!R24&amp;""</f>
        <v/>
      </c>
    </row>
    <row r="26">
      <c r="A26" s="11" t="n">
        <v>21</v>
      </c>
      <c r="B26" s="12" t="n"/>
      <c r="C26" s="12" t="n"/>
      <c r="D26" s="12" t="n"/>
      <c r="E26" s="12" t="n"/>
      <c r="G26" s="12" t="n"/>
      <c r="H26" s="12" t="n"/>
      <c r="I26" s="12" t="n"/>
      <c r="J26" s="12" t="n"/>
      <c r="L26" s="20">
        <f>COUNTIF(B26:E26,"?*")</f>
        <v/>
      </c>
      <c r="M26" s="20">
        <f>COUNTIF(G26:J26,"?*")</f>
        <v/>
      </c>
      <c r="O26">
        <f>IFERROR(INDEX(計算用!$D$2:$D$149,MATCH(21,計算用!$P$2:$P$149,0))&amp;"（"&amp;INDEX(データ入力!$B$3:$N$3,1,(INDEX(計算用!$B$2:$B$149,MATCH(21,計算用!$P$2:$P$149,0))-1)*4+1)&amp;"）","")</f>
        <v/>
      </c>
      <c r="P26">
        <f>IFERROR(INDEX(計算用!$D$2:$D$149,MATCH(21,計算用!$Q$2:$Q$149,0))&amp;"（"&amp;INDEX(データ入力!$B$3:$N$3,1,(INDEX(計算用!$B$2:$B$149,MATCH(21,計算用!$Q$2:$Q$149,0))-1)*4+1)&amp;"）","")</f>
        <v/>
      </c>
      <c r="R26" s="21">
        <f>組分け!B25&amp;""</f>
        <v/>
      </c>
      <c r="S26" s="21">
        <f>組分け!D25&amp;""</f>
        <v/>
      </c>
      <c r="T26" s="21">
        <f>組分け!F25&amp;""</f>
        <v/>
      </c>
      <c r="U26" s="21">
        <f>組分け!H25&amp;""</f>
        <v/>
      </c>
      <c r="V26" s="21">
        <f>組分け!L25&amp;""</f>
        <v/>
      </c>
      <c r="W26" s="21">
        <f>組分け!N25&amp;""</f>
        <v/>
      </c>
      <c r="X26" s="21">
        <f>組分け!P25&amp;""</f>
        <v/>
      </c>
      <c r="Y26" s="21">
        <f>組分け!R25&amp;""</f>
        <v/>
      </c>
    </row>
    <row r="27">
      <c r="A27" s="11" t="n">
        <v>22</v>
      </c>
      <c r="B27" s="12" t="n"/>
      <c r="C27" s="12" t="n"/>
      <c r="D27" s="12" t="n"/>
      <c r="E27" s="12" t="n"/>
      <c r="G27" s="12" t="n"/>
      <c r="H27" s="12" t="n"/>
      <c r="I27" s="12" t="n"/>
      <c r="J27" s="12" t="n"/>
      <c r="L27" s="20">
        <f>COUNTIF(B27:E27,"?*")</f>
        <v/>
      </c>
      <c r="M27" s="20">
        <f>COUNTIF(G27:J27,"?*")</f>
        <v/>
      </c>
      <c r="O27">
        <f>IFERROR(INDEX(計算用!$D$2:$D$149,MATCH(22,計算用!$P$2:$P$149,0))&amp;"（"&amp;INDEX(データ入力!$B$3:$N$3,1,(INDEX(計算用!$B$2:$B$149,MATCH(22,計算用!$P$2:$P$149,0))-1)*4+1)&amp;"）","")</f>
        <v/>
      </c>
      <c r="P27">
        <f>IFERROR(INDEX(計算用!$D$2:$D$149,MATCH(22,計算用!$Q$2:$Q$149,0))&amp;"（"&amp;INDEX(データ入力!$B$3:$N$3,1,(INDEX(計算用!$B$2:$B$149,MATCH(22,計算用!$Q$2:$Q$149,0))-1)*4+1)&amp;"）","")</f>
        <v/>
      </c>
      <c r="R27" s="21">
        <f>組分け!B26&amp;""</f>
        <v/>
      </c>
      <c r="S27" s="21">
        <f>組分け!D26&amp;""</f>
        <v/>
      </c>
      <c r="T27" s="21">
        <f>組分け!F26&amp;""</f>
        <v/>
      </c>
      <c r="U27" s="21">
        <f>組分け!H26&amp;""</f>
        <v/>
      </c>
      <c r="V27" s="21">
        <f>組分け!L26&amp;""</f>
        <v/>
      </c>
      <c r="W27" s="21">
        <f>組分け!N26&amp;""</f>
        <v/>
      </c>
      <c r="X27" s="21">
        <f>組分け!P26&amp;""</f>
        <v/>
      </c>
      <c r="Y27" s="21">
        <f>組分け!R26&amp;""</f>
        <v/>
      </c>
    </row>
    <row r="28">
      <c r="A28" s="11" t="n">
        <v>23</v>
      </c>
      <c r="B28" s="12" t="n"/>
      <c r="C28" s="12" t="n"/>
      <c r="D28" s="12" t="n"/>
      <c r="E28" s="12" t="n"/>
      <c r="G28" s="12" t="n"/>
      <c r="H28" s="12" t="n"/>
      <c r="I28" s="12" t="n"/>
      <c r="J28" s="12" t="n"/>
      <c r="L28" s="20">
        <f>COUNTIF(B28:E28,"?*")</f>
        <v/>
      </c>
      <c r="M28" s="20">
        <f>COUNTIF(G28:J28,"?*")</f>
        <v/>
      </c>
      <c r="O28">
        <f>IFERROR(INDEX(計算用!$D$2:$D$149,MATCH(23,計算用!$P$2:$P$149,0))&amp;"（"&amp;INDEX(データ入力!$B$3:$N$3,1,(INDEX(計算用!$B$2:$B$149,MATCH(23,計算用!$P$2:$P$149,0))-1)*4+1)&amp;"）","")</f>
        <v/>
      </c>
      <c r="P28">
        <f>IFERROR(INDEX(計算用!$D$2:$D$149,MATCH(23,計算用!$Q$2:$Q$149,0))&amp;"（"&amp;INDEX(データ入力!$B$3:$N$3,1,(INDEX(計算用!$B$2:$B$149,MATCH(23,計算用!$Q$2:$Q$149,0))-1)*4+1)&amp;"）","")</f>
        <v/>
      </c>
      <c r="R28" s="21">
        <f>組分け!B27&amp;""</f>
        <v/>
      </c>
      <c r="S28" s="21">
        <f>組分け!D27&amp;""</f>
        <v/>
      </c>
      <c r="T28" s="21">
        <f>組分け!F27&amp;""</f>
        <v/>
      </c>
      <c r="U28" s="21">
        <f>組分け!H27&amp;""</f>
        <v/>
      </c>
      <c r="V28" s="21">
        <f>組分け!L27&amp;""</f>
        <v/>
      </c>
      <c r="W28" s="21">
        <f>組分け!N27&amp;""</f>
        <v/>
      </c>
      <c r="X28" s="21">
        <f>組分け!P27&amp;""</f>
        <v/>
      </c>
      <c r="Y28" s="21">
        <f>組分け!R27&amp;""</f>
        <v/>
      </c>
    </row>
    <row r="29">
      <c r="A29" s="11" t="n">
        <v>24</v>
      </c>
      <c r="B29" s="12" t="n"/>
      <c r="C29" s="12" t="n"/>
      <c r="D29" s="12" t="n"/>
      <c r="E29" s="12" t="n"/>
      <c r="G29" s="12" t="n"/>
      <c r="H29" s="12" t="n"/>
      <c r="I29" s="12" t="n"/>
      <c r="J29" s="12" t="n"/>
      <c r="L29" s="20">
        <f>COUNTIF(B29:E29,"?*")</f>
        <v/>
      </c>
      <c r="M29" s="20">
        <f>COUNTIF(G29:J29,"?*")</f>
        <v/>
      </c>
      <c r="O29">
        <f>IFERROR(INDEX(計算用!$D$2:$D$149,MATCH(24,計算用!$P$2:$P$149,0))&amp;"（"&amp;INDEX(データ入力!$B$3:$N$3,1,(INDEX(計算用!$B$2:$B$149,MATCH(24,計算用!$P$2:$P$149,0))-1)*4+1)&amp;"）","")</f>
        <v/>
      </c>
      <c r="P29">
        <f>IFERROR(INDEX(計算用!$D$2:$D$149,MATCH(24,計算用!$Q$2:$Q$149,0))&amp;"（"&amp;INDEX(データ入力!$B$3:$N$3,1,(INDEX(計算用!$B$2:$B$149,MATCH(24,計算用!$Q$2:$Q$149,0))-1)*4+1)&amp;"）","")</f>
        <v/>
      </c>
      <c r="R29" s="21">
        <f>組分け!B28&amp;""</f>
        <v/>
      </c>
      <c r="S29" s="21">
        <f>組分け!D28&amp;""</f>
        <v/>
      </c>
      <c r="T29" s="21">
        <f>組分け!F28&amp;""</f>
        <v/>
      </c>
      <c r="U29" s="21">
        <f>組分け!H28&amp;""</f>
        <v/>
      </c>
      <c r="V29" s="21">
        <f>組分け!L28&amp;""</f>
        <v/>
      </c>
      <c r="W29" s="21">
        <f>組分け!N28&amp;""</f>
        <v/>
      </c>
      <c r="X29" s="21">
        <f>組分け!P28&amp;""</f>
        <v/>
      </c>
      <c r="Y29" s="21">
        <f>組分け!R28&amp;""</f>
        <v/>
      </c>
    </row>
    <row r="30">
      <c r="A30" s="11" t="n">
        <v>25</v>
      </c>
      <c r="B30" s="12" t="n"/>
      <c r="C30" s="12" t="n"/>
      <c r="D30" s="12" t="n"/>
      <c r="E30" s="12" t="n"/>
      <c r="G30" s="12" t="n"/>
      <c r="H30" s="12" t="n"/>
      <c r="I30" s="12" t="n"/>
      <c r="J30" s="12" t="n"/>
      <c r="L30" s="20">
        <f>COUNTIF(B30:E30,"?*")</f>
        <v/>
      </c>
      <c r="M30" s="20">
        <f>COUNTIF(G30:J30,"?*")</f>
        <v/>
      </c>
      <c r="O30">
        <f>IFERROR(INDEX(計算用!$D$2:$D$149,MATCH(25,計算用!$P$2:$P$149,0))&amp;"（"&amp;INDEX(データ入力!$B$3:$N$3,1,(INDEX(計算用!$B$2:$B$149,MATCH(25,計算用!$P$2:$P$149,0))-1)*4+1)&amp;"）","")</f>
        <v/>
      </c>
      <c r="P30">
        <f>IFERROR(INDEX(計算用!$D$2:$D$149,MATCH(25,計算用!$Q$2:$Q$149,0))&amp;"（"&amp;INDEX(データ入力!$B$3:$N$3,1,(INDEX(計算用!$B$2:$B$149,MATCH(25,計算用!$Q$2:$Q$149,0))-1)*4+1)&amp;"）","")</f>
        <v/>
      </c>
      <c r="R30" s="21">
        <f>組分け!B29&amp;""</f>
        <v/>
      </c>
      <c r="S30" s="21">
        <f>組分け!D29&amp;""</f>
        <v/>
      </c>
      <c r="T30" s="21">
        <f>組分け!F29&amp;""</f>
        <v/>
      </c>
      <c r="U30" s="21">
        <f>組分け!H29&amp;""</f>
        <v/>
      </c>
      <c r="V30" s="21">
        <f>組分け!L29&amp;""</f>
        <v/>
      </c>
      <c r="W30" s="21">
        <f>組分け!N29&amp;""</f>
        <v/>
      </c>
      <c r="X30" s="21">
        <f>組分け!P29&amp;""</f>
        <v/>
      </c>
      <c r="Y30" s="21">
        <f>組分け!R29&amp;""</f>
        <v/>
      </c>
    </row>
    <row r="31">
      <c r="A31" s="11" t="n">
        <v>26</v>
      </c>
      <c r="B31" s="12" t="n"/>
      <c r="C31" s="12" t="n"/>
      <c r="D31" s="12" t="n"/>
      <c r="E31" s="12" t="n"/>
      <c r="G31" s="12" t="n"/>
      <c r="H31" s="12" t="n"/>
      <c r="I31" s="12" t="n"/>
      <c r="J31" s="12" t="n"/>
      <c r="L31" s="20">
        <f>COUNTIF(B31:E31,"?*")</f>
        <v/>
      </c>
      <c r="M31" s="20">
        <f>COUNTIF(G31:J31,"?*")</f>
        <v/>
      </c>
      <c r="O31">
        <f>IFERROR(INDEX(計算用!$D$2:$D$149,MATCH(26,計算用!$P$2:$P$149,0))&amp;"（"&amp;INDEX(データ入力!$B$3:$N$3,1,(INDEX(計算用!$B$2:$B$149,MATCH(26,計算用!$P$2:$P$149,0))-1)*4+1)&amp;"）","")</f>
        <v/>
      </c>
      <c r="P31">
        <f>IFERROR(INDEX(計算用!$D$2:$D$149,MATCH(26,計算用!$Q$2:$Q$149,0))&amp;"（"&amp;INDEX(データ入力!$B$3:$N$3,1,(INDEX(計算用!$B$2:$B$149,MATCH(26,計算用!$Q$2:$Q$149,0))-1)*4+1)&amp;"）","")</f>
        <v/>
      </c>
      <c r="R31" s="21">
        <f>組分け!B30&amp;""</f>
        <v/>
      </c>
      <c r="S31" s="21">
        <f>組分け!D30&amp;""</f>
        <v/>
      </c>
      <c r="T31" s="21">
        <f>組分け!F30&amp;""</f>
        <v/>
      </c>
      <c r="U31" s="21">
        <f>組分け!H30&amp;""</f>
        <v/>
      </c>
      <c r="V31" s="21">
        <f>組分け!L30&amp;""</f>
        <v/>
      </c>
      <c r="W31" s="21">
        <f>組分け!N30&amp;""</f>
        <v/>
      </c>
      <c r="X31" s="21">
        <f>組分け!P30&amp;""</f>
        <v/>
      </c>
      <c r="Y31" s="21">
        <f>組分け!R30&amp;""</f>
        <v/>
      </c>
    </row>
    <row r="32">
      <c r="A32" s="11" t="n">
        <v>27</v>
      </c>
      <c r="B32" s="12" t="n"/>
      <c r="C32" s="12" t="n"/>
      <c r="D32" s="12" t="n"/>
      <c r="E32" s="12" t="n"/>
      <c r="G32" s="12" t="n"/>
      <c r="H32" s="12" t="n"/>
      <c r="I32" s="12" t="n"/>
      <c r="J32" s="12" t="n"/>
      <c r="L32" s="20">
        <f>COUNTIF(B32:E32,"?*")</f>
        <v/>
      </c>
      <c r="M32" s="20">
        <f>COUNTIF(G32:J32,"?*")</f>
        <v/>
      </c>
      <c r="O32">
        <f>IFERROR(INDEX(計算用!$D$2:$D$149,MATCH(27,計算用!$P$2:$P$149,0))&amp;"（"&amp;INDEX(データ入力!$B$3:$N$3,1,(INDEX(計算用!$B$2:$B$149,MATCH(27,計算用!$P$2:$P$149,0))-1)*4+1)&amp;"）","")</f>
        <v/>
      </c>
      <c r="P32">
        <f>IFERROR(INDEX(計算用!$D$2:$D$149,MATCH(27,計算用!$Q$2:$Q$149,0))&amp;"（"&amp;INDEX(データ入力!$B$3:$N$3,1,(INDEX(計算用!$B$2:$B$149,MATCH(27,計算用!$Q$2:$Q$149,0))-1)*4+1)&amp;"）","")</f>
        <v/>
      </c>
      <c r="R32" s="21">
        <f>組分け!B31&amp;""</f>
        <v/>
      </c>
      <c r="S32" s="21">
        <f>組分け!D31&amp;""</f>
        <v/>
      </c>
      <c r="T32" s="21">
        <f>組分け!F31&amp;""</f>
        <v/>
      </c>
      <c r="U32" s="21">
        <f>組分け!H31&amp;""</f>
        <v/>
      </c>
      <c r="V32" s="21">
        <f>組分け!L31&amp;""</f>
        <v/>
      </c>
      <c r="W32" s="21">
        <f>組分け!N31&amp;""</f>
        <v/>
      </c>
      <c r="X32" s="21">
        <f>組分け!P31&amp;""</f>
        <v/>
      </c>
      <c r="Y32" s="21">
        <f>組分け!R31&amp;""</f>
        <v/>
      </c>
    </row>
    <row r="33">
      <c r="A33" s="11" t="n">
        <v>28</v>
      </c>
      <c r="B33" s="12" t="n"/>
      <c r="C33" s="12" t="n"/>
      <c r="D33" s="12" t="n"/>
      <c r="E33" s="12" t="n"/>
      <c r="G33" s="12" t="n"/>
      <c r="H33" s="12" t="n"/>
      <c r="I33" s="12" t="n"/>
      <c r="J33" s="12" t="n"/>
      <c r="L33" s="20">
        <f>COUNTIF(B33:E33,"?*")</f>
        <v/>
      </c>
      <c r="M33" s="20">
        <f>COUNTIF(G33:J33,"?*")</f>
        <v/>
      </c>
      <c r="O33">
        <f>IFERROR(INDEX(計算用!$D$2:$D$149,MATCH(28,計算用!$P$2:$P$149,0))&amp;"（"&amp;INDEX(データ入力!$B$3:$N$3,1,(INDEX(計算用!$B$2:$B$149,MATCH(28,計算用!$P$2:$P$149,0))-1)*4+1)&amp;"）","")</f>
        <v/>
      </c>
      <c r="P33">
        <f>IFERROR(INDEX(計算用!$D$2:$D$149,MATCH(28,計算用!$Q$2:$Q$149,0))&amp;"（"&amp;INDEX(データ入力!$B$3:$N$3,1,(INDEX(計算用!$B$2:$B$149,MATCH(28,計算用!$Q$2:$Q$149,0))-1)*4+1)&amp;"）","")</f>
        <v/>
      </c>
      <c r="R33" s="21">
        <f>組分け!B32&amp;""</f>
        <v/>
      </c>
      <c r="S33" s="21">
        <f>組分け!D32&amp;""</f>
        <v/>
      </c>
      <c r="T33" s="21">
        <f>組分け!F32&amp;""</f>
        <v/>
      </c>
      <c r="U33" s="21">
        <f>組分け!H32&amp;""</f>
        <v/>
      </c>
      <c r="V33" s="21">
        <f>組分け!L32&amp;""</f>
        <v/>
      </c>
      <c r="W33" s="21">
        <f>組分け!N32&amp;""</f>
        <v/>
      </c>
      <c r="X33" s="21">
        <f>組分け!P32&amp;""</f>
        <v/>
      </c>
      <c r="Y33" s="21">
        <f>組分け!R32&amp;""</f>
        <v/>
      </c>
    </row>
    <row r="34">
      <c r="A34" s="11" t="n">
        <v>29</v>
      </c>
      <c r="B34" s="12" t="n"/>
      <c r="C34" s="12" t="n"/>
      <c r="D34" s="12" t="n"/>
      <c r="E34" s="12" t="n"/>
      <c r="G34" s="12" t="n"/>
      <c r="H34" s="12" t="n"/>
      <c r="I34" s="12" t="n"/>
      <c r="J34" s="12" t="n"/>
      <c r="L34" s="20">
        <f>COUNTIF(B34:E34,"?*")</f>
        <v/>
      </c>
      <c r="M34" s="20">
        <f>COUNTIF(G34:J34,"?*")</f>
        <v/>
      </c>
      <c r="O34">
        <f>IFERROR(INDEX(計算用!$D$2:$D$149,MATCH(29,計算用!$P$2:$P$149,0))&amp;"（"&amp;INDEX(データ入力!$B$3:$N$3,1,(INDEX(計算用!$B$2:$B$149,MATCH(29,計算用!$P$2:$P$149,0))-1)*4+1)&amp;"）","")</f>
        <v/>
      </c>
      <c r="P34">
        <f>IFERROR(INDEX(計算用!$D$2:$D$149,MATCH(29,計算用!$Q$2:$Q$149,0))&amp;"（"&amp;INDEX(データ入力!$B$3:$N$3,1,(INDEX(計算用!$B$2:$B$149,MATCH(29,計算用!$Q$2:$Q$149,0))-1)*4+1)&amp;"）","")</f>
        <v/>
      </c>
      <c r="R34" s="21">
        <f>組分け!B33&amp;""</f>
        <v/>
      </c>
      <c r="S34" s="21">
        <f>組分け!D33&amp;""</f>
        <v/>
      </c>
      <c r="T34" s="21">
        <f>組分け!F33&amp;""</f>
        <v/>
      </c>
      <c r="U34" s="21">
        <f>組分け!H33&amp;""</f>
        <v/>
      </c>
      <c r="V34" s="21">
        <f>組分け!L33&amp;""</f>
        <v/>
      </c>
      <c r="W34" s="21">
        <f>組分け!N33&amp;""</f>
        <v/>
      </c>
      <c r="X34" s="21">
        <f>組分け!P33&amp;""</f>
        <v/>
      </c>
      <c r="Y34" s="21">
        <f>組分け!R33&amp;""</f>
        <v/>
      </c>
    </row>
    <row r="35">
      <c r="A35" s="11" t="n">
        <v>30</v>
      </c>
      <c r="B35" s="12" t="n"/>
      <c r="C35" s="12" t="n"/>
      <c r="D35" s="12" t="n"/>
      <c r="E35" s="12" t="n"/>
      <c r="G35" s="12" t="n"/>
      <c r="H35" s="12" t="n"/>
      <c r="I35" s="12" t="n"/>
      <c r="J35" s="12" t="n"/>
      <c r="L35" s="20">
        <f>COUNTIF(B35:E35,"?*")</f>
        <v/>
      </c>
      <c r="M35" s="20">
        <f>COUNTIF(G35:J35,"?*")</f>
        <v/>
      </c>
      <c r="O35">
        <f>IFERROR(INDEX(計算用!$D$2:$D$149,MATCH(30,計算用!$P$2:$P$149,0))&amp;"（"&amp;INDEX(データ入力!$B$3:$N$3,1,(INDEX(計算用!$B$2:$B$149,MATCH(30,計算用!$P$2:$P$149,0))-1)*4+1)&amp;"）","")</f>
        <v/>
      </c>
      <c r="P35">
        <f>IFERROR(INDEX(計算用!$D$2:$D$149,MATCH(30,計算用!$Q$2:$Q$149,0))&amp;"（"&amp;INDEX(データ入力!$B$3:$N$3,1,(INDEX(計算用!$B$2:$B$149,MATCH(30,計算用!$Q$2:$Q$149,0))-1)*4+1)&amp;"）","")</f>
        <v/>
      </c>
      <c r="R35" s="21">
        <f>組分け!B34&amp;""</f>
        <v/>
      </c>
      <c r="S35" s="21">
        <f>組分け!D34&amp;""</f>
        <v/>
      </c>
      <c r="T35" s="21">
        <f>組分け!F34&amp;""</f>
        <v/>
      </c>
      <c r="U35" s="21">
        <f>組分け!H34&amp;""</f>
        <v/>
      </c>
      <c r="V35" s="21">
        <f>組分け!L34&amp;""</f>
        <v/>
      </c>
      <c r="W35" s="21">
        <f>組分け!N34&amp;""</f>
        <v/>
      </c>
      <c r="X35" s="21">
        <f>組分け!P34&amp;""</f>
        <v/>
      </c>
      <c r="Y35" s="21">
        <f>組分け!R34&amp;""</f>
        <v/>
      </c>
    </row>
    <row r="36">
      <c r="A36" s="11" t="n">
        <v>31</v>
      </c>
      <c r="B36" s="12" t="n"/>
      <c r="C36" s="12" t="n"/>
      <c r="D36" s="12" t="n"/>
      <c r="E36" s="12" t="n"/>
      <c r="G36" s="12" t="n"/>
      <c r="H36" s="12" t="n"/>
      <c r="I36" s="12" t="n"/>
      <c r="J36" s="12" t="n"/>
      <c r="L36" s="20">
        <f>COUNTIF(B36:E36,"?*")</f>
        <v/>
      </c>
      <c r="M36" s="20">
        <f>COUNTIF(G36:J36,"?*")</f>
        <v/>
      </c>
      <c r="O36">
        <f>IFERROR(INDEX(計算用!$D$2:$D$149,MATCH(31,計算用!$P$2:$P$149,0))&amp;"（"&amp;INDEX(データ入力!$B$3:$N$3,1,(INDEX(計算用!$B$2:$B$149,MATCH(31,計算用!$P$2:$P$149,0))-1)*4+1)&amp;"）","")</f>
        <v/>
      </c>
      <c r="P36">
        <f>IFERROR(INDEX(計算用!$D$2:$D$149,MATCH(31,計算用!$Q$2:$Q$149,0))&amp;"（"&amp;INDEX(データ入力!$B$3:$N$3,1,(INDEX(計算用!$B$2:$B$149,MATCH(31,計算用!$Q$2:$Q$149,0))-1)*4+1)&amp;"）","")</f>
        <v/>
      </c>
      <c r="R36" s="21">
        <f>組分け!B35&amp;""</f>
        <v/>
      </c>
      <c r="S36" s="21">
        <f>組分け!D35&amp;""</f>
        <v/>
      </c>
      <c r="T36" s="21">
        <f>組分け!F35&amp;""</f>
        <v/>
      </c>
      <c r="U36" s="21">
        <f>組分け!H35&amp;""</f>
        <v/>
      </c>
      <c r="V36" s="21">
        <f>組分け!L35&amp;""</f>
        <v/>
      </c>
      <c r="W36" s="21">
        <f>組分け!N35&amp;""</f>
        <v/>
      </c>
      <c r="X36" s="21">
        <f>組分け!P35&amp;""</f>
        <v/>
      </c>
      <c r="Y36" s="21">
        <f>組分け!R35&amp;""</f>
        <v/>
      </c>
    </row>
    <row r="37">
      <c r="A37" s="11" t="n">
        <v>32</v>
      </c>
      <c r="B37" s="12" t="n"/>
      <c r="C37" s="12" t="n"/>
      <c r="D37" s="12" t="n"/>
      <c r="E37" s="12" t="n"/>
      <c r="G37" s="12" t="n"/>
      <c r="H37" s="12" t="n"/>
      <c r="I37" s="12" t="n"/>
      <c r="J37" s="12" t="n"/>
      <c r="L37" s="20">
        <f>COUNTIF(B37:E37,"?*")</f>
        <v/>
      </c>
      <c r="M37" s="20">
        <f>COUNTIF(G37:J37,"?*")</f>
        <v/>
      </c>
      <c r="O37">
        <f>IFERROR(INDEX(計算用!$D$2:$D$149,MATCH(32,計算用!$P$2:$P$149,0))&amp;"（"&amp;INDEX(データ入力!$B$3:$N$3,1,(INDEX(計算用!$B$2:$B$149,MATCH(32,計算用!$P$2:$P$149,0))-1)*4+1)&amp;"）","")</f>
        <v/>
      </c>
      <c r="P37">
        <f>IFERROR(INDEX(計算用!$D$2:$D$149,MATCH(32,計算用!$Q$2:$Q$149,0))&amp;"（"&amp;INDEX(データ入力!$B$3:$N$3,1,(INDEX(計算用!$B$2:$B$149,MATCH(32,計算用!$Q$2:$Q$149,0))-1)*4+1)&amp;"）","")</f>
        <v/>
      </c>
      <c r="R37" s="21">
        <f>組分け!B36&amp;""</f>
        <v/>
      </c>
      <c r="S37" s="21">
        <f>組分け!D36&amp;""</f>
        <v/>
      </c>
      <c r="T37" s="21">
        <f>組分け!F36&amp;""</f>
        <v/>
      </c>
      <c r="U37" s="21">
        <f>組分け!H36&amp;""</f>
        <v/>
      </c>
      <c r="V37" s="21">
        <f>組分け!L36&amp;""</f>
        <v/>
      </c>
      <c r="W37" s="21">
        <f>組分け!N36&amp;""</f>
        <v/>
      </c>
      <c r="X37" s="21">
        <f>組分け!P36&amp;""</f>
        <v/>
      </c>
      <c r="Y37" s="21">
        <f>組分け!R36&amp;""</f>
        <v/>
      </c>
    </row>
    <row r="38">
      <c r="A38" s="11" t="n">
        <v>33</v>
      </c>
      <c r="B38" s="12" t="n"/>
      <c r="C38" s="12" t="n"/>
      <c r="D38" s="12" t="n"/>
      <c r="E38" s="12" t="n"/>
      <c r="G38" s="12" t="n"/>
      <c r="H38" s="12" t="n"/>
      <c r="I38" s="12" t="n"/>
      <c r="J38" s="12" t="n"/>
      <c r="L38" s="20">
        <f>COUNTIF(B38:E38,"?*")</f>
        <v/>
      </c>
      <c r="M38" s="20">
        <f>COUNTIF(G38:J38,"?*")</f>
        <v/>
      </c>
      <c r="O38">
        <f>IFERROR(INDEX(計算用!$D$2:$D$149,MATCH(33,計算用!$P$2:$P$149,0))&amp;"（"&amp;INDEX(データ入力!$B$3:$N$3,1,(INDEX(計算用!$B$2:$B$149,MATCH(33,計算用!$P$2:$P$149,0))-1)*4+1)&amp;"）","")</f>
        <v/>
      </c>
      <c r="P38">
        <f>IFERROR(INDEX(計算用!$D$2:$D$149,MATCH(33,計算用!$Q$2:$Q$149,0))&amp;"（"&amp;INDEX(データ入力!$B$3:$N$3,1,(INDEX(計算用!$B$2:$B$149,MATCH(33,計算用!$Q$2:$Q$149,0))-1)*4+1)&amp;"）","")</f>
        <v/>
      </c>
      <c r="R38" s="21">
        <f>組分け!B37&amp;""</f>
        <v/>
      </c>
      <c r="S38" s="21">
        <f>組分け!D37&amp;""</f>
        <v/>
      </c>
      <c r="T38" s="21">
        <f>組分け!F37&amp;""</f>
        <v/>
      </c>
      <c r="U38" s="21">
        <f>組分け!H37&amp;""</f>
        <v/>
      </c>
      <c r="V38" s="21">
        <f>組分け!L37&amp;""</f>
        <v/>
      </c>
      <c r="W38" s="21">
        <f>組分け!N37&amp;""</f>
        <v/>
      </c>
      <c r="X38" s="21">
        <f>組分け!P37&amp;""</f>
        <v/>
      </c>
      <c r="Y38" s="21">
        <f>組分け!R37&amp;""</f>
        <v/>
      </c>
    </row>
    <row r="39">
      <c r="A39" s="11" t="n">
        <v>34</v>
      </c>
      <c r="B39" s="12" t="n"/>
      <c r="C39" s="12" t="n"/>
      <c r="D39" s="12" t="n"/>
      <c r="E39" s="12" t="n"/>
      <c r="G39" s="12" t="n"/>
      <c r="H39" s="12" t="n"/>
      <c r="I39" s="12" t="n"/>
      <c r="J39" s="12" t="n"/>
      <c r="L39" s="20">
        <f>COUNTIF(B39:E39,"?*")</f>
        <v/>
      </c>
      <c r="M39" s="20">
        <f>COUNTIF(G39:J39,"?*")</f>
        <v/>
      </c>
      <c r="O39">
        <f>IFERROR(INDEX(計算用!$D$2:$D$149,MATCH(34,計算用!$P$2:$P$149,0))&amp;"（"&amp;INDEX(データ入力!$B$3:$N$3,1,(INDEX(計算用!$B$2:$B$149,MATCH(34,計算用!$P$2:$P$149,0))-1)*4+1)&amp;"）","")</f>
        <v/>
      </c>
      <c r="P39">
        <f>IFERROR(INDEX(計算用!$D$2:$D$149,MATCH(34,計算用!$Q$2:$Q$149,0))&amp;"（"&amp;INDEX(データ入力!$B$3:$N$3,1,(INDEX(計算用!$B$2:$B$149,MATCH(34,計算用!$Q$2:$Q$149,0))-1)*4+1)&amp;"）","")</f>
        <v/>
      </c>
      <c r="R39" s="21">
        <f>組分け!B38&amp;""</f>
        <v/>
      </c>
      <c r="S39" s="21">
        <f>組分け!D38&amp;""</f>
        <v/>
      </c>
      <c r="T39" s="21">
        <f>組分け!F38&amp;""</f>
        <v/>
      </c>
      <c r="U39" s="21">
        <f>組分け!H38&amp;""</f>
        <v/>
      </c>
      <c r="V39" s="21">
        <f>組分け!L38&amp;""</f>
        <v/>
      </c>
      <c r="W39" s="21">
        <f>組分け!N38&amp;""</f>
        <v/>
      </c>
      <c r="X39" s="21">
        <f>組分け!P38&amp;""</f>
        <v/>
      </c>
      <c r="Y39" s="21">
        <f>組分け!R38&amp;""</f>
        <v/>
      </c>
    </row>
    <row r="40">
      <c r="A40" s="11" t="n">
        <v>35</v>
      </c>
      <c r="B40" s="12" t="n"/>
      <c r="C40" s="12" t="n"/>
      <c r="D40" s="12" t="n"/>
      <c r="E40" s="12" t="n"/>
      <c r="G40" s="12" t="n"/>
      <c r="H40" s="12" t="n"/>
      <c r="I40" s="12" t="n"/>
      <c r="J40" s="12" t="n"/>
      <c r="L40" s="20">
        <f>COUNTIF(B40:E40,"?*")</f>
        <v/>
      </c>
      <c r="M40" s="20">
        <f>COUNTIF(G40:J40,"?*")</f>
        <v/>
      </c>
      <c r="O40">
        <f>IFERROR(INDEX(計算用!$D$2:$D$149,MATCH(35,計算用!$P$2:$P$149,0))&amp;"（"&amp;INDEX(データ入力!$B$3:$N$3,1,(INDEX(計算用!$B$2:$B$149,MATCH(35,計算用!$P$2:$P$149,0))-1)*4+1)&amp;"）","")</f>
        <v/>
      </c>
      <c r="P40">
        <f>IFERROR(INDEX(計算用!$D$2:$D$149,MATCH(35,計算用!$Q$2:$Q$149,0))&amp;"（"&amp;INDEX(データ入力!$B$3:$N$3,1,(INDEX(計算用!$B$2:$B$149,MATCH(35,計算用!$Q$2:$Q$149,0))-1)*4+1)&amp;"）","")</f>
        <v/>
      </c>
      <c r="R40" s="21">
        <f>組分け!B39&amp;""</f>
        <v/>
      </c>
      <c r="S40" s="21">
        <f>組分け!D39&amp;""</f>
        <v/>
      </c>
      <c r="T40" s="21">
        <f>組分け!F39&amp;""</f>
        <v/>
      </c>
      <c r="U40" s="21">
        <f>組分け!H39&amp;""</f>
        <v/>
      </c>
      <c r="V40" s="21">
        <f>組分け!L39&amp;""</f>
        <v/>
      </c>
      <c r="W40" s="21">
        <f>組分け!N39&amp;""</f>
        <v/>
      </c>
      <c r="X40" s="21">
        <f>組分け!P39&amp;""</f>
        <v/>
      </c>
      <c r="Y40" s="21">
        <f>組分け!R39&amp;""</f>
        <v/>
      </c>
    </row>
    <row r="41">
      <c r="A41" s="11" t="n">
        <v>36</v>
      </c>
      <c r="B41" s="12" t="n"/>
      <c r="C41" s="12" t="n"/>
      <c r="D41" s="12" t="n"/>
      <c r="E41" s="12" t="n"/>
      <c r="G41" s="12" t="n"/>
      <c r="H41" s="12" t="n"/>
      <c r="I41" s="12" t="n"/>
      <c r="J41" s="12" t="n"/>
      <c r="L41" s="20">
        <f>COUNTIF(B41:E41,"?*")</f>
        <v/>
      </c>
      <c r="M41" s="20">
        <f>COUNTIF(G41:J41,"?*")</f>
        <v/>
      </c>
      <c r="O41">
        <f>IFERROR(INDEX(計算用!$D$2:$D$149,MATCH(36,計算用!$P$2:$P$149,0))&amp;"（"&amp;INDEX(データ入力!$B$3:$N$3,1,(INDEX(計算用!$B$2:$B$149,MATCH(36,計算用!$P$2:$P$149,0))-1)*4+1)&amp;"）","")</f>
        <v/>
      </c>
      <c r="P41">
        <f>IFERROR(INDEX(計算用!$D$2:$D$149,MATCH(36,計算用!$Q$2:$Q$149,0))&amp;"（"&amp;INDEX(データ入力!$B$3:$N$3,1,(INDEX(計算用!$B$2:$B$149,MATCH(36,計算用!$Q$2:$Q$149,0))-1)*4+1)&amp;"）","")</f>
        <v/>
      </c>
      <c r="R41" s="21">
        <f>組分け!B40&amp;""</f>
        <v/>
      </c>
      <c r="S41" s="21">
        <f>組分け!D40&amp;""</f>
        <v/>
      </c>
      <c r="T41" s="21">
        <f>組分け!F40&amp;""</f>
        <v/>
      </c>
      <c r="U41" s="21">
        <f>組分け!H40&amp;""</f>
        <v/>
      </c>
      <c r="V41" s="21">
        <f>組分け!L40&amp;""</f>
        <v/>
      </c>
      <c r="W41" s="21">
        <f>組分け!N40&amp;""</f>
        <v/>
      </c>
      <c r="X41" s="21">
        <f>組分け!P40&amp;""</f>
        <v/>
      </c>
      <c r="Y41" s="21">
        <f>組分け!R40&amp;""</f>
        <v/>
      </c>
    </row>
    <row r="42">
      <c r="A42" s="11" t="n">
        <v>37</v>
      </c>
      <c r="B42" s="12" t="n"/>
      <c r="C42" s="12" t="n"/>
      <c r="D42" s="12" t="n"/>
      <c r="E42" s="12" t="n"/>
      <c r="G42" s="12" t="n"/>
      <c r="H42" s="12" t="n"/>
      <c r="I42" s="12" t="n"/>
      <c r="J42" s="12" t="n"/>
      <c r="L42" s="20">
        <f>COUNTIF(B42:E42,"?*")</f>
        <v/>
      </c>
      <c r="M42" s="20">
        <f>COUNTIF(G42:J42,"?*")</f>
        <v/>
      </c>
      <c r="O42">
        <f>IFERROR(INDEX(計算用!$D$2:$D$149,MATCH(37,計算用!$P$2:$P$149,0))&amp;"（"&amp;INDEX(データ入力!$B$3:$N$3,1,(INDEX(計算用!$B$2:$B$149,MATCH(37,計算用!$P$2:$P$149,0))-1)*4+1)&amp;"）","")</f>
        <v/>
      </c>
      <c r="P42">
        <f>IFERROR(INDEX(計算用!$D$2:$D$149,MATCH(37,計算用!$Q$2:$Q$149,0))&amp;"（"&amp;INDEX(データ入力!$B$3:$N$3,1,(INDEX(計算用!$B$2:$B$149,MATCH(37,計算用!$Q$2:$Q$149,0))-1)*4+1)&amp;"）","")</f>
        <v/>
      </c>
      <c r="R42" s="21">
        <f>組分け!B41&amp;""</f>
        <v/>
      </c>
      <c r="S42" s="21">
        <f>組分け!D41&amp;""</f>
        <v/>
      </c>
      <c r="T42" s="21">
        <f>組分け!F41&amp;""</f>
        <v/>
      </c>
      <c r="U42" s="21">
        <f>組分け!H41&amp;""</f>
        <v/>
      </c>
      <c r="V42" s="21">
        <f>組分け!L41&amp;""</f>
        <v/>
      </c>
      <c r="W42" s="21">
        <f>組分け!N41&amp;""</f>
        <v/>
      </c>
      <c r="X42" s="21">
        <f>組分け!P41&amp;""</f>
        <v/>
      </c>
      <c r="Y42" s="21">
        <f>組分け!R41&amp;""</f>
        <v/>
      </c>
    </row>
  </sheetData>
  <mergeCells count="9">
    <mergeCell ref="L4:M4"/>
    <mergeCell ref="B4:E4"/>
    <mergeCell ref="R4:U4"/>
    <mergeCell ref="A4:A5"/>
    <mergeCell ref="G4:J4"/>
    <mergeCell ref="V4:Y4"/>
    <mergeCell ref="R3:Y3"/>
    <mergeCell ref="C1:Y1"/>
    <mergeCell ref="O4:P4"/>
  </mergeCells>
  <conditionalFormatting sqref="B6:B42">
    <cfRule type="expression" priority="1" dxfId="1" stopIfTrue="1">
      <formula>AND(B6&lt;&gt;"",OR(COUNTIF(計算用!$L$2:$L$149,計算用!$U$3&amp;1&amp;"|"&amp;B6)=0,COUNTIF($B$6:$E$42,B6)&gt;1))</formula>
    </cfRule>
  </conditionalFormatting>
  <conditionalFormatting sqref="C6:C42">
    <cfRule type="expression" priority="2" dxfId="1" stopIfTrue="1">
      <formula>AND(C6&lt;&gt;"",OR(COUNTIF(計算用!$L$2:$L$149,計算用!$U$3&amp;2&amp;"|"&amp;C6)=0,COUNTIF($B$6:$E$42,C6)&gt;1))</formula>
    </cfRule>
  </conditionalFormatting>
  <conditionalFormatting sqref="D6:D42">
    <cfRule type="expression" priority="3" dxfId="1" stopIfTrue="1">
      <formula>AND(D6&lt;&gt;"",OR(COUNTIF(計算用!$L$2:$L$149,計算用!$U$3&amp;3&amp;"|"&amp;D6)=0,COUNTIF($B$6:$E$42,D6)&gt;1))</formula>
    </cfRule>
  </conditionalFormatting>
  <conditionalFormatting sqref="E6:E42">
    <cfRule type="expression" priority="4" dxfId="1" stopIfTrue="1">
      <formula>AND(E6&lt;&gt;"",OR(COUNTIF(計算用!$L$2:$L$149,計算用!$U$3&amp;4&amp;"|"&amp;E6)=0,COUNTIF($B$6:$E$42,E6)&gt;1))</formula>
    </cfRule>
  </conditionalFormatting>
  <conditionalFormatting sqref="L6:L42">
    <cfRule type="expression" priority="5" dxfId="2" stopIfTrue="1">
      <formula>AND($L6=0,ROW()-5&lt;計算用!$U$7)</formula>
    </cfRule>
    <cfRule type="expression" priority="6" dxfId="3">
      <formula>AND($L6&gt;0,$L6&lt;4)</formula>
    </cfRule>
  </conditionalFormatting>
  <conditionalFormatting sqref="G6:G42">
    <cfRule type="expression" priority="7" dxfId="1" stopIfTrue="1">
      <formula>AND(G6&lt;&gt;"",OR(COUNTIF(計算用!$L$2:$L$149,"女"&amp;1&amp;"|"&amp;G6)=0,COUNTIF($G$6:$J$42,G6)&gt;1))</formula>
    </cfRule>
  </conditionalFormatting>
  <conditionalFormatting sqref="H6:H42">
    <cfRule type="expression" priority="8" dxfId="1" stopIfTrue="1">
      <formula>AND(H6&lt;&gt;"",OR(COUNTIF(計算用!$L$2:$L$149,"女"&amp;2&amp;"|"&amp;H6)=0,COUNTIF($G$6:$J$42,H6)&gt;1))</formula>
    </cfRule>
  </conditionalFormatting>
  <conditionalFormatting sqref="I6:I42">
    <cfRule type="expression" priority="9" dxfId="1" stopIfTrue="1">
      <formula>AND(I6&lt;&gt;"",OR(COUNTIF(計算用!$L$2:$L$149,"女"&amp;3&amp;"|"&amp;I6)=0,COUNTIF($G$6:$J$42,I6)&gt;1))</formula>
    </cfRule>
  </conditionalFormatting>
  <conditionalFormatting sqref="J6:J42">
    <cfRule type="expression" priority="10" dxfId="1" stopIfTrue="1">
      <formula>AND(J6&lt;&gt;"",OR(COUNTIF(計算用!$L$2:$L$149,"女"&amp;4&amp;"|"&amp;J6)=0,COUNTIF($G$6:$J$42,J6)&gt;1))</formula>
    </cfRule>
  </conditionalFormatting>
  <conditionalFormatting sqref="M6:M42">
    <cfRule type="expression" priority="11" dxfId="2" stopIfTrue="1">
      <formula>AND($M6=0,ROW()-5&lt;計算用!$U$8)</formula>
    </cfRule>
    <cfRule type="expression" priority="12" dxfId="3">
      <formula>AND($M6&gt;0,$M6&lt;4)</formula>
    </cfRule>
  </conditionalFormatting>
  <conditionalFormatting sqref="G6:J42">
    <cfRule type="expression" priority="13" dxfId="4">
      <formula>計算用!$U$2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.86" customWidth="1" min="2" max="2"/>
    <col width="17.86" customWidth="1" min="3" max="3"/>
    <col width="17.86" customWidth="1" min="4" max="4"/>
    <col width="17.86" customWidth="1" min="5" max="5"/>
    <col width="2" customWidth="1" min="6" max="6"/>
    <col width="12" customWidth="1" min="7" max="7"/>
    <col width="12" customWidth="1" min="8" max="8"/>
    <col width="12" customWidth="1" min="9" max="9"/>
  </cols>
  <sheetData>
    <row r="1" ht="32" customHeight="1">
      <c r="A1" s="22" t="inlineStr">
        <is>
          <t>徒競走 走順一覧</t>
        </is>
      </c>
      <c r="K1" s="23" t="inlineStr">
        <is>
          <t>色</t>
        </is>
      </c>
      <c r="L1" s="2" t="inlineStr">
        <is>
          <t>色あり</t>
        </is>
      </c>
    </row>
    <row r="2">
      <c r="A2" s="12" t="n"/>
      <c r="B2" s="24">
        <f>(計算用!$U$5+0)&amp;"コース"</f>
        <v/>
      </c>
      <c r="C2" s="24">
        <f>(計算用!$U$5+1)&amp;"コース"</f>
        <v/>
      </c>
      <c r="D2" s="24">
        <f>(計算用!$U$5+2)&amp;"コース"</f>
        <v/>
      </c>
      <c r="E2" s="24">
        <f>(計算用!$U$5+3)&amp;"コース"</f>
        <v/>
      </c>
      <c r="G2" s="25" t="inlineStr">
        <is>
          <t>10月6日の週に
学年でこの並びを
やります。
自分が何レース何コースなのか、
必ず覚えましょう。
また、自分の前後・
左右の友達も必ず
覚えましょう。
１分で並びます。
授業後コース変更の
説明をします。
９月２９日（月）までに
必要なら修正をして
おきましょう。
修正の仕方
※同じレース内での交換を行う。
※新しいコースを名前の右側に②のように書き入れる
※空欄にも同じレース内ならば、入れてよい。</t>
        </is>
      </c>
      <c r="K2" t="inlineStr">
        <is>
          <t>← 印刷の前に選んでください（この欄は印刷されません）</t>
        </is>
      </c>
    </row>
    <row r="3" ht="27.75" customHeight="1">
      <c r="A3" s="26">
        <f>計算用!$AD$2</f>
        <v/>
      </c>
      <c r="B3" s="27">
        <f>IF(計算用!$Z$2="","",IF(計算用!$U$24,IF(計算用!$Z$2="A",INDEX(手直し!$B$6:$E$42,計算用!$AC$2,MOD(0-計算用!$AE$2+1,4)+1),INDEX(手直し!$G$6:$J$42,計算用!$AC$2,MOD(0-計算用!$AE$2+1,4)+1)),IF(計算用!$Z$2="A",INDEX(組分け!$B$5:$I$41,計算用!$AC$2,(MOD(0-計算用!$AE$2+1,4)+1)*2-1),INDEX(組分け!$L$5:$S$41,計算用!$AC$2,(MOD(0-計算用!$AE$2+1,4)+1)*2-1)))&amp;"")</f>
        <v/>
      </c>
      <c r="C3" s="27">
        <f>IF(計算用!$Z$2="","",IF(計算用!$U$24,IF(計算用!$Z$2="A",INDEX(手直し!$B$6:$E$42,計算用!$AC$2,MOD(1-計算用!$AE$2+1,4)+1),INDEX(手直し!$G$6:$J$42,計算用!$AC$2,MOD(1-計算用!$AE$2+1,4)+1)),IF(計算用!$Z$2="A",INDEX(組分け!$B$5:$I$41,計算用!$AC$2,(MOD(1-計算用!$AE$2+1,4)+1)*2-1),INDEX(組分け!$L$5:$S$41,計算用!$AC$2,(MOD(1-計算用!$AE$2+1,4)+1)*2-1)))&amp;"")</f>
        <v/>
      </c>
      <c r="D3" s="27">
        <f>IF(計算用!$Z$2="","",IF(計算用!$U$24,IF(計算用!$Z$2="A",INDEX(手直し!$B$6:$E$42,計算用!$AC$2,MOD(2-計算用!$AE$2+1,4)+1),INDEX(手直し!$G$6:$J$42,計算用!$AC$2,MOD(2-計算用!$AE$2+1,4)+1)),IF(計算用!$Z$2="A",INDEX(組分け!$B$5:$I$41,計算用!$AC$2,(MOD(2-計算用!$AE$2+1,4)+1)*2-1),INDEX(組分け!$L$5:$S$41,計算用!$AC$2,(MOD(2-計算用!$AE$2+1,4)+1)*2-1)))&amp;"")</f>
        <v/>
      </c>
      <c r="E3" s="27">
        <f>IF(計算用!$Z$2="","",IF(計算用!$U$24,IF(計算用!$Z$2="A",INDEX(手直し!$B$6:$E$42,計算用!$AC$2,MOD(3-計算用!$AE$2+1,4)+1),INDEX(手直し!$G$6:$J$42,計算用!$AC$2,MOD(3-計算用!$AE$2+1,4)+1)),IF(計算用!$Z$2="A",INDEX(組分け!$B$5:$I$41,計算用!$AC$2,(MOD(3-計算用!$AE$2+1,4)+1)*2-1),INDEX(組分け!$L$5:$S$41,計算用!$AC$2,(MOD(3-計算用!$AE$2+1,4)+1)*2-1)))&amp;"")</f>
        <v/>
      </c>
      <c r="K3" s="4">
        <f>計算用!$U$27</f>
        <v/>
      </c>
    </row>
    <row r="4" ht="27.75" customHeight="1">
      <c r="A4" s="26">
        <f>計算用!$AD$3</f>
        <v/>
      </c>
      <c r="B4" s="27">
        <f>IF(計算用!$Z$3="","",IF(計算用!$U$24,IF(計算用!$Z$3="A",INDEX(手直し!$B$6:$E$42,計算用!$AC$3,MOD(0-計算用!$AE$3+1,4)+1),INDEX(手直し!$G$6:$J$42,計算用!$AC$3,MOD(0-計算用!$AE$3+1,4)+1)),IF(計算用!$Z$3="A",INDEX(組分け!$B$5:$I$41,計算用!$AC$3,(MOD(0-計算用!$AE$3+1,4)+1)*2-1),INDEX(組分け!$L$5:$S$41,計算用!$AC$3,(MOD(0-計算用!$AE$3+1,4)+1)*2-1)))&amp;"")</f>
        <v/>
      </c>
      <c r="C4" s="27">
        <f>IF(計算用!$Z$3="","",IF(計算用!$U$24,IF(計算用!$Z$3="A",INDEX(手直し!$B$6:$E$42,計算用!$AC$3,MOD(1-計算用!$AE$3+1,4)+1),INDEX(手直し!$G$6:$J$42,計算用!$AC$3,MOD(1-計算用!$AE$3+1,4)+1)),IF(計算用!$Z$3="A",INDEX(組分け!$B$5:$I$41,計算用!$AC$3,(MOD(1-計算用!$AE$3+1,4)+1)*2-1),INDEX(組分け!$L$5:$S$41,計算用!$AC$3,(MOD(1-計算用!$AE$3+1,4)+1)*2-1)))&amp;"")</f>
        <v/>
      </c>
      <c r="D4" s="27">
        <f>IF(計算用!$Z$3="","",IF(計算用!$U$24,IF(計算用!$Z$3="A",INDEX(手直し!$B$6:$E$42,計算用!$AC$3,MOD(2-計算用!$AE$3+1,4)+1),INDEX(手直し!$G$6:$J$42,計算用!$AC$3,MOD(2-計算用!$AE$3+1,4)+1)),IF(計算用!$Z$3="A",INDEX(組分け!$B$5:$I$41,計算用!$AC$3,(MOD(2-計算用!$AE$3+1,4)+1)*2-1),INDEX(組分け!$L$5:$S$41,計算用!$AC$3,(MOD(2-計算用!$AE$3+1,4)+1)*2-1)))&amp;"")</f>
        <v/>
      </c>
      <c r="E4" s="27">
        <f>IF(計算用!$Z$3="","",IF(計算用!$U$24,IF(計算用!$Z$3="A",INDEX(手直し!$B$6:$E$42,計算用!$AC$3,MOD(3-計算用!$AE$3+1,4)+1),INDEX(手直し!$G$6:$J$42,計算用!$AC$3,MOD(3-計算用!$AE$3+1,4)+1)),IF(計算用!$Z$3="A",INDEX(組分け!$B$5:$I$41,計算用!$AC$3,(MOD(3-計算用!$AE$3+1,4)+1)*2-1),INDEX(組分け!$L$5:$S$41,計算用!$AC$3,(MOD(3-計算用!$AE$3+1,4)+1)*2-1)))&amp;"")</f>
        <v/>
      </c>
    </row>
    <row r="5" ht="27.75" customHeight="1">
      <c r="A5" s="26">
        <f>計算用!$AD$4</f>
        <v/>
      </c>
      <c r="B5" s="27">
        <f>IF(計算用!$Z$4="","",IF(計算用!$U$24,IF(計算用!$Z$4="A",INDEX(手直し!$B$6:$E$42,計算用!$AC$4,MOD(0-計算用!$AE$4+1,4)+1),INDEX(手直し!$G$6:$J$42,計算用!$AC$4,MOD(0-計算用!$AE$4+1,4)+1)),IF(計算用!$Z$4="A",INDEX(組分け!$B$5:$I$41,計算用!$AC$4,(MOD(0-計算用!$AE$4+1,4)+1)*2-1),INDEX(組分け!$L$5:$S$41,計算用!$AC$4,(MOD(0-計算用!$AE$4+1,4)+1)*2-1)))&amp;"")</f>
        <v/>
      </c>
      <c r="C5" s="27">
        <f>IF(計算用!$Z$4="","",IF(計算用!$U$24,IF(計算用!$Z$4="A",INDEX(手直し!$B$6:$E$42,計算用!$AC$4,MOD(1-計算用!$AE$4+1,4)+1),INDEX(手直し!$G$6:$J$42,計算用!$AC$4,MOD(1-計算用!$AE$4+1,4)+1)),IF(計算用!$Z$4="A",INDEX(組分け!$B$5:$I$41,計算用!$AC$4,(MOD(1-計算用!$AE$4+1,4)+1)*2-1),INDEX(組分け!$L$5:$S$41,計算用!$AC$4,(MOD(1-計算用!$AE$4+1,4)+1)*2-1)))&amp;"")</f>
        <v/>
      </c>
      <c r="D5" s="27">
        <f>IF(計算用!$Z$4="","",IF(計算用!$U$24,IF(計算用!$Z$4="A",INDEX(手直し!$B$6:$E$42,計算用!$AC$4,MOD(2-計算用!$AE$4+1,4)+1),INDEX(手直し!$G$6:$J$42,計算用!$AC$4,MOD(2-計算用!$AE$4+1,4)+1)),IF(計算用!$Z$4="A",INDEX(組分け!$B$5:$I$41,計算用!$AC$4,(MOD(2-計算用!$AE$4+1,4)+1)*2-1),INDEX(組分け!$L$5:$S$41,計算用!$AC$4,(MOD(2-計算用!$AE$4+1,4)+1)*2-1)))&amp;"")</f>
        <v/>
      </c>
      <c r="E5" s="27">
        <f>IF(計算用!$Z$4="","",IF(計算用!$U$24,IF(計算用!$Z$4="A",INDEX(手直し!$B$6:$E$42,計算用!$AC$4,MOD(3-計算用!$AE$4+1,4)+1),INDEX(手直し!$G$6:$J$42,計算用!$AC$4,MOD(3-計算用!$AE$4+1,4)+1)),IF(計算用!$Z$4="A",INDEX(組分け!$B$5:$I$41,計算用!$AC$4,(MOD(3-計算用!$AE$4+1,4)+1)*2-1),INDEX(組分け!$L$5:$S$41,計算用!$AC$4,(MOD(3-計算用!$AE$4+1,4)+1)*2-1)))&amp;"")</f>
        <v/>
      </c>
    </row>
    <row r="6" ht="27.75" customHeight="1">
      <c r="A6" s="26">
        <f>計算用!$AD$5</f>
        <v/>
      </c>
      <c r="B6" s="27">
        <f>IF(計算用!$Z$5="","",IF(計算用!$U$24,IF(計算用!$Z$5="A",INDEX(手直し!$B$6:$E$42,計算用!$AC$5,MOD(0-計算用!$AE$5+1,4)+1),INDEX(手直し!$G$6:$J$42,計算用!$AC$5,MOD(0-計算用!$AE$5+1,4)+1)),IF(計算用!$Z$5="A",INDEX(組分け!$B$5:$I$41,計算用!$AC$5,(MOD(0-計算用!$AE$5+1,4)+1)*2-1),INDEX(組分け!$L$5:$S$41,計算用!$AC$5,(MOD(0-計算用!$AE$5+1,4)+1)*2-1)))&amp;"")</f>
        <v/>
      </c>
      <c r="C6" s="27">
        <f>IF(計算用!$Z$5="","",IF(計算用!$U$24,IF(計算用!$Z$5="A",INDEX(手直し!$B$6:$E$42,計算用!$AC$5,MOD(1-計算用!$AE$5+1,4)+1),INDEX(手直し!$G$6:$J$42,計算用!$AC$5,MOD(1-計算用!$AE$5+1,4)+1)),IF(計算用!$Z$5="A",INDEX(組分け!$B$5:$I$41,計算用!$AC$5,(MOD(1-計算用!$AE$5+1,4)+1)*2-1),INDEX(組分け!$L$5:$S$41,計算用!$AC$5,(MOD(1-計算用!$AE$5+1,4)+1)*2-1)))&amp;"")</f>
        <v/>
      </c>
      <c r="D6" s="27">
        <f>IF(計算用!$Z$5="","",IF(計算用!$U$24,IF(計算用!$Z$5="A",INDEX(手直し!$B$6:$E$42,計算用!$AC$5,MOD(2-計算用!$AE$5+1,4)+1),INDEX(手直し!$G$6:$J$42,計算用!$AC$5,MOD(2-計算用!$AE$5+1,4)+1)),IF(計算用!$Z$5="A",INDEX(組分け!$B$5:$I$41,計算用!$AC$5,(MOD(2-計算用!$AE$5+1,4)+1)*2-1),INDEX(組分け!$L$5:$S$41,計算用!$AC$5,(MOD(2-計算用!$AE$5+1,4)+1)*2-1)))&amp;"")</f>
        <v/>
      </c>
      <c r="E6" s="27">
        <f>IF(計算用!$Z$5="","",IF(計算用!$U$24,IF(計算用!$Z$5="A",INDEX(手直し!$B$6:$E$42,計算用!$AC$5,MOD(3-計算用!$AE$5+1,4)+1),INDEX(手直し!$G$6:$J$42,計算用!$AC$5,MOD(3-計算用!$AE$5+1,4)+1)),IF(計算用!$Z$5="A",INDEX(組分け!$B$5:$I$41,計算用!$AC$5,(MOD(3-計算用!$AE$5+1,4)+1)*2-1),INDEX(組分け!$L$5:$S$41,計算用!$AC$5,(MOD(3-計算用!$AE$5+1,4)+1)*2-1)))&amp;"")</f>
        <v/>
      </c>
    </row>
    <row r="7" ht="27.75" customHeight="1">
      <c r="A7" s="26">
        <f>計算用!$AD$6</f>
        <v/>
      </c>
      <c r="B7" s="27">
        <f>IF(計算用!$Z$6="","",IF(計算用!$U$24,IF(計算用!$Z$6="A",INDEX(手直し!$B$6:$E$42,計算用!$AC$6,MOD(0-計算用!$AE$6+1,4)+1),INDEX(手直し!$G$6:$J$42,計算用!$AC$6,MOD(0-計算用!$AE$6+1,4)+1)),IF(計算用!$Z$6="A",INDEX(組分け!$B$5:$I$41,計算用!$AC$6,(MOD(0-計算用!$AE$6+1,4)+1)*2-1),INDEX(組分け!$L$5:$S$41,計算用!$AC$6,(MOD(0-計算用!$AE$6+1,4)+1)*2-1)))&amp;"")</f>
        <v/>
      </c>
      <c r="C7" s="27">
        <f>IF(計算用!$Z$6="","",IF(計算用!$U$24,IF(計算用!$Z$6="A",INDEX(手直し!$B$6:$E$42,計算用!$AC$6,MOD(1-計算用!$AE$6+1,4)+1),INDEX(手直し!$G$6:$J$42,計算用!$AC$6,MOD(1-計算用!$AE$6+1,4)+1)),IF(計算用!$Z$6="A",INDEX(組分け!$B$5:$I$41,計算用!$AC$6,(MOD(1-計算用!$AE$6+1,4)+1)*2-1),INDEX(組分け!$L$5:$S$41,計算用!$AC$6,(MOD(1-計算用!$AE$6+1,4)+1)*2-1)))&amp;"")</f>
        <v/>
      </c>
      <c r="D7" s="27">
        <f>IF(計算用!$Z$6="","",IF(計算用!$U$24,IF(計算用!$Z$6="A",INDEX(手直し!$B$6:$E$42,計算用!$AC$6,MOD(2-計算用!$AE$6+1,4)+1),INDEX(手直し!$G$6:$J$42,計算用!$AC$6,MOD(2-計算用!$AE$6+1,4)+1)),IF(計算用!$Z$6="A",INDEX(組分け!$B$5:$I$41,計算用!$AC$6,(MOD(2-計算用!$AE$6+1,4)+1)*2-1),INDEX(組分け!$L$5:$S$41,計算用!$AC$6,(MOD(2-計算用!$AE$6+1,4)+1)*2-1)))&amp;"")</f>
        <v/>
      </c>
      <c r="E7" s="27">
        <f>IF(計算用!$Z$6="","",IF(計算用!$U$24,IF(計算用!$Z$6="A",INDEX(手直し!$B$6:$E$42,計算用!$AC$6,MOD(3-計算用!$AE$6+1,4)+1),INDEX(手直し!$G$6:$J$42,計算用!$AC$6,MOD(3-計算用!$AE$6+1,4)+1)),IF(計算用!$Z$6="A",INDEX(組分け!$B$5:$I$41,計算用!$AC$6,(MOD(3-計算用!$AE$6+1,4)+1)*2-1),INDEX(組分け!$L$5:$S$41,計算用!$AC$6,(MOD(3-計算用!$AE$6+1,4)+1)*2-1)))&amp;"")</f>
        <v/>
      </c>
    </row>
    <row r="8" ht="27.75" customHeight="1">
      <c r="A8" s="26">
        <f>計算用!$AD$7</f>
        <v/>
      </c>
      <c r="B8" s="27">
        <f>IF(計算用!$Z$7="","",IF(計算用!$U$24,IF(計算用!$Z$7="A",INDEX(手直し!$B$6:$E$42,計算用!$AC$7,MOD(0-計算用!$AE$7+1,4)+1),INDEX(手直し!$G$6:$J$42,計算用!$AC$7,MOD(0-計算用!$AE$7+1,4)+1)),IF(計算用!$Z$7="A",INDEX(組分け!$B$5:$I$41,計算用!$AC$7,(MOD(0-計算用!$AE$7+1,4)+1)*2-1),INDEX(組分け!$L$5:$S$41,計算用!$AC$7,(MOD(0-計算用!$AE$7+1,4)+1)*2-1)))&amp;"")</f>
        <v/>
      </c>
      <c r="C8" s="27">
        <f>IF(計算用!$Z$7="","",IF(計算用!$U$24,IF(計算用!$Z$7="A",INDEX(手直し!$B$6:$E$42,計算用!$AC$7,MOD(1-計算用!$AE$7+1,4)+1),INDEX(手直し!$G$6:$J$42,計算用!$AC$7,MOD(1-計算用!$AE$7+1,4)+1)),IF(計算用!$Z$7="A",INDEX(組分け!$B$5:$I$41,計算用!$AC$7,(MOD(1-計算用!$AE$7+1,4)+1)*2-1),INDEX(組分け!$L$5:$S$41,計算用!$AC$7,(MOD(1-計算用!$AE$7+1,4)+1)*2-1)))&amp;"")</f>
        <v/>
      </c>
      <c r="D8" s="27">
        <f>IF(計算用!$Z$7="","",IF(計算用!$U$24,IF(計算用!$Z$7="A",INDEX(手直し!$B$6:$E$42,計算用!$AC$7,MOD(2-計算用!$AE$7+1,4)+1),INDEX(手直し!$G$6:$J$42,計算用!$AC$7,MOD(2-計算用!$AE$7+1,4)+1)),IF(計算用!$Z$7="A",INDEX(組分け!$B$5:$I$41,計算用!$AC$7,(MOD(2-計算用!$AE$7+1,4)+1)*2-1),INDEX(組分け!$L$5:$S$41,計算用!$AC$7,(MOD(2-計算用!$AE$7+1,4)+1)*2-1)))&amp;"")</f>
        <v/>
      </c>
      <c r="E8" s="27">
        <f>IF(計算用!$Z$7="","",IF(計算用!$U$24,IF(計算用!$Z$7="A",INDEX(手直し!$B$6:$E$42,計算用!$AC$7,MOD(3-計算用!$AE$7+1,4)+1),INDEX(手直し!$G$6:$J$42,計算用!$AC$7,MOD(3-計算用!$AE$7+1,4)+1)),IF(計算用!$Z$7="A",INDEX(組分け!$B$5:$I$41,計算用!$AC$7,(MOD(3-計算用!$AE$7+1,4)+1)*2-1),INDEX(組分け!$L$5:$S$41,計算用!$AC$7,(MOD(3-計算用!$AE$7+1,4)+1)*2-1)))&amp;"")</f>
        <v/>
      </c>
    </row>
    <row r="9" ht="27.75" customHeight="1">
      <c r="A9" s="26">
        <f>計算用!$AD$8</f>
        <v/>
      </c>
      <c r="B9" s="27">
        <f>IF(計算用!$Z$8="","",IF(計算用!$U$24,IF(計算用!$Z$8="A",INDEX(手直し!$B$6:$E$42,計算用!$AC$8,MOD(0-計算用!$AE$8+1,4)+1),INDEX(手直し!$G$6:$J$42,計算用!$AC$8,MOD(0-計算用!$AE$8+1,4)+1)),IF(計算用!$Z$8="A",INDEX(組分け!$B$5:$I$41,計算用!$AC$8,(MOD(0-計算用!$AE$8+1,4)+1)*2-1),INDEX(組分け!$L$5:$S$41,計算用!$AC$8,(MOD(0-計算用!$AE$8+1,4)+1)*2-1)))&amp;"")</f>
        <v/>
      </c>
      <c r="C9" s="27">
        <f>IF(計算用!$Z$8="","",IF(計算用!$U$24,IF(計算用!$Z$8="A",INDEX(手直し!$B$6:$E$42,計算用!$AC$8,MOD(1-計算用!$AE$8+1,4)+1),INDEX(手直し!$G$6:$J$42,計算用!$AC$8,MOD(1-計算用!$AE$8+1,4)+1)),IF(計算用!$Z$8="A",INDEX(組分け!$B$5:$I$41,計算用!$AC$8,(MOD(1-計算用!$AE$8+1,4)+1)*2-1),INDEX(組分け!$L$5:$S$41,計算用!$AC$8,(MOD(1-計算用!$AE$8+1,4)+1)*2-1)))&amp;"")</f>
        <v/>
      </c>
      <c r="D9" s="27">
        <f>IF(計算用!$Z$8="","",IF(計算用!$U$24,IF(計算用!$Z$8="A",INDEX(手直し!$B$6:$E$42,計算用!$AC$8,MOD(2-計算用!$AE$8+1,4)+1),INDEX(手直し!$G$6:$J$42,計算用!$AC$8,MOD(2-計算用!$AE$8+1,4)+1)),IF(計算用!$Z$8="A",INDEX(組分け!$B$5:$I$41,計算用!$AC$8,(MOD(2-計算用!$AE$8+1,4)+1)*2-1),INDEX(組分け!$L$5:$S$41,計算用!$AC$8,(MOD(2-計算用!$AE$8+1,4)+1)*2-1)))&amp;"")</f>
        <v/>
      </c>
      <c r="E9" s="27">
        <f>IF(計算用!$Z$8="","",IF(計算用!$U$24,IF(計算用!$Z$8="A",INDEX(手直し!$B$6:$E$42,計算用!$AC$8,MOD(3-計算用!$AE$8+1,4)+1),INDEX(手直し!$G$6:$J$42,計算用!$AC$8,MOD(3-計算用!$AE$8+1,4)+1)),IF(計算用!$Z$8="A",INDEX(組分け!$B$5:$I$41,計算用!$AC$8,(MOD(3-計算用!$AE$8+1,4)+1)*2-1),INDEX(組分け!$L$5:$S$41,計算用!$AC$8,(MOD(3-計算用!$AE$8+1,4)+1)*2-1)))&amp;"")</f>
        <v/>
      </c>
    </row>
    <row r="10" ht="27.75" customHeight="1">
      <c r="A10" s="26">
        <f>計算用!$AD$9</f>
        <v/>
      </c>
      <c r="B10" s="27">
        <f>IF(計算用!$Z$9="","",IF(計算用!$U$24,IF(計算用!$Z$9="A",INDEX(手直し!$B$6:$E$42,計算用!$AC$9,MOD(0-計算用!$AE$9+1,4)+1),INDEX(手直し!$G$6:$J$42,計算用!$AC$9,MOD(0-計算用!$AE$9+1,4)+1)),IF(計算用!$Z$9="A",INDEX(組分け!$B$5:$I$41,計算用!$AC$9,(MOD(0-計算用!$AE$9+1,4)+1)*2-1),INDEX(組分け!$L$5:$S$41,計算用!$AC$9,(MOD(0-計算用!$AE$9+1,4)+1)*2-1)))&amp;"")</f>
        <v/>
      </c>
      <c r="C10" s="27">
        <f>IF(計算用!$Z$9="","",IF(計算用!$U$24,IF(計算用!$Z$9="A",INDEX(手直し!$B$6:$E$42,計算用!$AC$9,MOD(1-計算用!$AE$9+1,4)+1),INDEX(手直し!$G$6:$J$42,計算用!$AC$9,MOD(1-計算用!$AE$9+1,4)+1)),IF(計算用!$Z$9="A",INDEX(組分け!$B$5:$I$41,計算用!$AC$9,(MOD(1-計算用!$AE$9+1,4)+1)*2-1),INDEX(組分け!$L$5:$S$41,計算用!$AC$9,(MOD(1-計算用!$AE$9+1,4)+1)*2-1)))&amp;"")</f>
        <v/>
      </c>
      <c r="D10" s="27">
        <f>IF(計算用!$Z$9="","",IF(計算用!$U$24,IF(計算用!$Z$9="A",INDEX(手直し!$B$6:$E$42,計算用!$AC$9,MOD(2-計算用!$AE$9+1,4)+1),INDEX(手直し!$G$6:$J$42,計算用!$AC$9,MOD(2-計算用!$AE$9+1,4)+1)),IF(計算用!$Z$9="A",INDEX(組分け!$B$5:$I$41,計算用!$AC$9,(MOD(2-計算用!$AE$9+1,4)+1)*2-1),INDEX(組分け!$L$5:$S$41,計算用!$AC$9,(MOD(2-計算用!$AE$9+1,4)+1)*2-1)))&amp;"")</f>
        <v/>
      </c>
      <c r="E10" s="27">
        <f>IF(計算用!$Z$9="","",IF(計算用!$U$24,IF(計算用!$Z$9="A",INDEX(手直し!$B$6:$E$42,計算用!$AC$9,MOD(3-計算用!$AE$9+1,4)+1),INDEX(手直し!$G$6:$J$42,計算用!$AC$9,MOD(3-計算用!$AE$9+1,4)+1)),IF(計算用!$Z$9="A",INDEX(組分け!$B$5:$I$41,計算用!$AC$9,(MOD(3-計算用!$AE$9+1,4)+1)*2-1),INDEX(組分け!$L$5:$S$41,計算用!$AC$9,(MOD(3-計算用!$AE$9+1,4)+1)*2-1)))&amp;"")</f>
        <v/>
      </c>
    </row>
    <row r="11" ht="27.75" customHeight="1">
      <c r="A11" s="26">
        <f>計算用!$AD$10</f>
        <v/>
      </c>
      <c r="B11" s="27">
        <f>IF(計算用!$Z$10="","",IF(計算用!$U$24,IF(計算用!$Z$10="A",INDEX(手直し!$B$6:$E$42,計算用!$AC$10,MOD(0-計算用!$AE$10+1,4)+1),INDEX(手直し!$G$6:$J$42,計算用!$AC$10,MOD(0-計算用!$AE$10+1,4)+1)),IF(計算用!$Z$10="A",INDEX(組分け!$B$5:$I$41,計算用!$AC$10,(MOD(0-計算用!$AE$10+1,4)+1)*2-1),INDEX(組分け!$L$5:$S$41,計算用!$AC$10,(MOD(0-計算用!$AE$10+1,4)+1)*2-1)))&amp;"")</f>
        <v/>
      </c>
      <c r="C11" s="27">
        <f>IF(計算用!$Z$10="","",IF(計算用!$U$24,IF(計算用!$Z$10="A",INDEX(手直し!$B$6:$E$42,計算用!$AC$10,MOD(1-計算用!$AE$10+1,4)+1),INDEX(手直し!$G$6:$J$42,計算用!$AC$10,MOD(1-計算用!$AE$10+1,4)+1)),IF(計算用!$Z$10="A",INDEX(組分け!$B$5:$I$41,計算用!$AC$10,(MOD(1-計算用!$AE$10+1,4)+1)*2-1),INDEX(組分け!$L$5:$S$41,計算用!$AC$10,(MOD(1-計算用!$AE$10+1,4)+1)*2-1)))&amp;"")</f>
        <v/>
      </c>
      <c r="D11" s="27">
        <f>IF(計算用!$Z$10="","",IF(計算用!$U$24,IF(計算用!$Z$10="A",INDEX(手直し!$B$6:$E$42,計算用!$AC$10,MOD(2-計算用!$AE$10+1,4)+1),INDEX(手直し!$G$6:$J$42,計算用!$AC$10,MOD(2-計算用!$AE$10+1,4)+1)),IF(計算用!$Z$10="A",INDEX(組分け!$B$5:$I$41,計算用!$AC$10,(MOD(2-計算用!$AE$10+1,4)+1)*2-1),INDEX(組分け!$L$5:$S$41,計算用!$AC$10,(MOD(2-計算用!$AE$10+1,4)+1)*2-1)))&amp;"")</f>
        <v/>
      </c>
      <c r="E11" s="27">
        <f>IF(計算用!$Z$10="","",IF(計算用!$U$24,IF(計算用!$Z$10="A",INDEX(手直し!$B$6:$E$42,計算用!$AC$10,MOD(3-計算用!$AE$10+1,4)+1),INDEX(手直し!$G$6:$J$42,計算用!$AC$10,MOD(3-計算用!$AE$10+1,4)+1)),IF(計算用!$Z$10="A",INDEX(組分け!$B$5:$I$41,計算用!$AC$10,(MOD(3-計算用!$AE$10+1,4)+1)*2-1),INDEX(組分け!$L$5:$S$41,計算用!$AC$10,(MOD(3-計算用!$AE$10+1,4)+1)*2-1)))&amp;"")</f>
        <v/>
      </c>
    </row>
    <row r="12" ht="27.75" customHeight="1">
      <c r="A12" s="26">
        <f>計算用!$AD$11</f>
        <v/>
      </c>
      <c r="B12" s="27">
        <f>IF(計算用!$Z$11="","",IF(計算用!$U$24,IF(計算用!$Z$11="A",INDEX(手直し!$B$6:$E$42,計算用!$AC$11,MOD(0-計算用!$AE$11+1,4)+1),INDEX(手直し!$G$6:$J$42,計算用!$AC$11,MOD(0-計算用!$AE$11+1,4)+1)),IF(計算用!$Z$11="A",INDEX(組分け!$B$5:$I$41,計算用!$AC$11,(MOD(0-計算用!$AE$11+1,4)+1)*2-1),INDEX(組分け!$L$5:$S$41,計算用!$AC$11,(MOD(0-計算用!$AE$11+1,4)+1)*2-1)))&amp;"")</f>
        <v/>
      </c>
      <c r="C12" s="27">
        <f>IF(計算用!$Z$11="","",IF(計算用!$U$24,IF(計算用!$Z$11="A",INDEX(手直し!$B$6:$E$42,計算用!$AC$11,MOD(1-計算用!$AE$11+1,4)+1),INDEX(手直し!$G$6:$J$42,計算用!$AC$11,MOD(1-計算用!$AE$11+1,4)+1)),IF(計算用!$Z$11="A",INDEX(組分け!$B$5:$I$41,計算用!$AC$11,(MOD(1-計算用!$AE$11+1,4)+1)*2-1),INDEX(組分け!$L$5:$S$41,計算用!$AC$11,(MOD(1-計算用!$AE$11+1,4)+1)*2-1)))&amp;"")</f>
        <v/>
      </c>
      <c r="D12" s="27">
        <f>IF(計算用!$Z$11="","",IF(計算用!$U$24,IF(計算用!$Z$11="A",INDEX(手直し!$B$6:$E$42,計算用!$AC$11,MOD(2-計算用!$AE$11+1,4)+1),INDEX(手直し!$G$6:$J$42,計算用!$AC$11,MOD(2-計算用!$AE$11+1,4)+1)),IF(計算用!$Z$11="A",INDEX(組分け!$B$5:$I$41,計算用!$AC$11,(MOD(2-計算用!$AE$11+1,4)+1)*2-1),INDEX(組分け!$L$5:$S$41,計算用!$AC$11,(MOD(2-計算用!$AE$11+1,4)+1)*2-1)))&amp;"")</f>
        <v/>
      </c>
      <c r="E12" s="27">
        <f>IF(計算用!$Z$11="","",IF(計算用!$U$24,IF(計算用!$Z$11="A",INDEX(手直し!$B$6:$E$42,計算用!$AC$11,MOD(3-計算用!$AE$11+1,4)+1),INDEX(手直し!$G$6:$J$42,計算用!$AC$11,MOD(3-計算用!$AE$11+1,4)+1)),IF(計算用!$Z$11="A",INDEX(組分け!$B$5:$I$41,計算用!$AC$11,(MOD(3-計算用!$AE$11+1,4)+1)*2-1),INDEX(組分け!$L$5:$S$41,計算用!$AC$11,(MOD(3-計算用!$AE$11+1,4)+1)*2-1)))&amp;"")</f>
        <v/>
      </c>
    </row>
    <row r="13" ht="27.75" customHeight="1">
      <c r="A13" s="26">
        <f>計算用!$AD$12</f>
        <v/>
      </c>
      <c r="B13" s="27">
        <f>IF(計算用!$Z$12="","",IF(計算用!$U$24,IF(計算用!$Z$12="A",INDEX(手直し!$B$6:$E$42,計算用!$AC$12,MOD(0-計算用!$AE$12+1,4)+1),INDEX(手直し!$G$6:$J$42,計算用!$AC$12,MOD(0-計算用!$AE$12+1,4)+1)),IF(計算用!$Z$12="A",INDEX(組分け!$B$5:$I$41,計算用!$AC$12,(MOD(0-計算用!$AE$12+1,4)+1)*2-1),INDEX(組分け!$L$5:$S$41,計算用!$AC$12,(MOD(0-計算用!$AE$12+1,4)+1)*2-1)))&amp;"")</f>
        <v/>
      </c>
      <c r="C13" s="27">
        <f>IF(計算用!$Z$12="","",IF(計算用!$U$24,IF(計算用!$Z$12="A",INDEX(手直し!$B$6:$E$42,計算用!$AC$12,MOD(1-計算用!$AE$12+1,4)+1),INDEX(手直し!$G$6:$J$42,計算用!$AC$12,MOD(1-計算用!$AE$12+1,4)+1)),IF(計算用!$Z$12="A",INDEX(組分け!$B$5:$I$41,計算用!$AC$12,(MOD(1-計算用!$AE$12+1,4)+1)*2-1),INDEX(組分け!$L$5:$S$41,計算用!$AC$12,(MOD(1-計算用!$AE$12+1,4)+1)*2-1)))&amp;"")</f>
        <v/>
      </c>
      <c r="D13" s="27">
        <f>IF(計算用!$Z$12="","",IF(計算用!$U$24,IF(計算用!$Z$12="A",INDEX(手直し!$B$6:$E$42,計算用!$AC$12,MOD(2-計算用!$AE$12+1,4)+1),INDEX(手直し!$G$6:$J$42,計算用!$AC$12,MOD(2-計算用!$AE$12+1,4)+1)),IF(計算用!$Z$12="A",INDEX(組分け!$B$5:$I$41,計算用!$AC$12,(MOD(2-計算用!$AE$12+1,4)+1)*2-1),INDEX(組分け!$L$5:$S$41,計算用!$AC$12,(MOD(2-計算用!$AE$12+1,4)+1)*2-1)))&amp;"")</f>
        <v/>
      </c>
      <c r="E13" s="27">
        <f>IF(計算用!$Z$12="","",IF(計算用!$U$24,IF(計算用!$Z$12="A",INDEX(手直し!$B$6:$E$42,計算用!$AC$12,MOD(3-計算用!$AE$12+1,4)+1),INDEX(手直し!$G$6:$J$42,計算用!$AC$12,MOD(3-計算用!$AE$12+1,4)+1)),IF(計算用!$Z$12="A",INDEX(組分け!$B$5:$I$41,計算用!$AC$12,(MOD(3-計算用!$AE$12+1,4)+1)*2-1),INDEX(組分け!$L$5:$S$41,計算用!$AC$12,(MOD(3-計算用!$AE$12+1,4)+1)*2-1)))&amp;"")</f>
        <v/>
      </c>
    </row>
    <row r="14" ht="27.75" customHeight="1">
      <c r="A14" s="26">
        <f>計算用!$AD$13</f>
        <v/>
      </c>
      <c r="B14" s="27">
        <f>IF(計算用!$Z$13="","",IF(計算用!$U$24,IF(計算用!$Z$13="A",INDEX(手直し!$B$6:$E$42,計算用!$AC$13,MOD(0-計算用!$AE$13+1,4)+1),INDEX(手直し!$G$6:$J$42,計算用!$AC$13,MOD(0-計算用!$AE$13+1,4)+1)),IF(計算用!$Z$13="A",INDEX(組分け!$B$5:$I$41,計算用!$AC$13,(MOD(0-計算用!$AE$13+1,4)+1)*2-1),INDEX(組分け!$L$5:$S$41,計算用!$AC$13,(MOD(0-計算用!$AE$13+1,4)+1)*2-1)))&amp;"")</f>
        <v/>
      </c>
      <c r="C14" s="27">
        <f>IF(計算用!$Z$13="","",IF(計算用!$U$24,IF(計算用!$Z$13="A",INDEX(手直し!$B$6:$E$42,計算用!$AC$13,MOD(1-計算用!$AE$13+1,4)+1),INDEX(手直し!$G$6:$J$42,計算用!$AC$13,MOD(1-計算用!$AE$13+1,4)+1)),IF(計算用!$Z$13="A",INDEX(組分け!$B$5:$I$41,計算用!$AC$13,(MOD(1-計算用!$AE$13+1,4)+1)*2-1),INDEX(組分け!$L$5:$S$41,計算用!$AC$13,(MOD(1-計算用!$AE$13+1,4)+1)*2-1)))&amp;"")</f>
        <v/>
      </c>
      <c r="D14" s="27">
        <f>IF(計算用!$Z$13="","",IF(計算用!$U$24,IF(計算用!$Z$13="A",INDEX(手直し!$B$6:$E$42,計算用!$AC$13,MOD(2-計算用!$AE$13+1,4)+1),INDEX(手直し!$G$6:$J$42,計算用!$AC$13,MOD(2-計算用!$AE$13+1,4)+1)),IF(計算用!$Z$13="A",INDEX(組分け!$B$5:$I$41,計算用!$AC$13,(MOD(2-計算用!$AE$13+1,4)+1)*2-1),INDEX(組分け!$L$5:$S$41,計算用!$AC$13,(MOD(2-計算用!$AE$13+1,4)+1)*2-1)))&amp;"")</f>
        <v/>
      </c>
      <c r="E14" s="27">
        <f>IF(計算用!$Z$13="","",IF(計算用!$U$24,IF(計算用!$Z$13="A",INDEX(手直し!$B$6:$E$42,計算用!$AC$13,MOD(3-計算用!$AE$13+1,4)+1),INDEX(手直し!$G$6:$J$42,計算用!$AC$13,MOD(3-計算用!$AE$13+1,4)+1)),IF(計算用!$Z$13="A",INDEX(組分け!$B$5:$I$41,計算用!$AC$13,(MOD(3-計算用!$AE$13+1,4)+1)*2-1),INDEX(組分け!$L$5:$S$41,計算用!$AC$13,(MOD(3-計算用!$AE$13+1,4)+1)*2-1)))&amp;"")</f>
        <v/>
      </c>
    </row>
    <row r="15" ht="27.75" customHeight="1">
      <c r="A15" s="26">
        <f>計算用!$AD$14</f>
        <v/>
      </c>
      <c r="B15" s="27">
        <f>IF(計算用!$Z$14="","",IF(計算用!$U$24,IF(計算用!$Z$14="A",INDEX(手直し!$B$6:$E$42,計算用!$AC$14,MOD(0-計算用!$AE$14+1,4)+1),INDEX(手直し!$G$6:$J$42,計算用!$AC$14,MOD(0-計算用!$AE$14+1,4)+1)),IF(計算用!$Z$14="A",INDEX(組分け!$B$5:$I$41,計算用!$AC$14,(MOD(0-計算用!$AE$14+1,4)+1)*2-1),INDEX(組分け!$L$5:$S$41,計算用!$AC$14,(MOD(0-計算用!$AE$14+1,4)+1)*2-1)))&amp;"")</f>
        <v/>
      </c>
      <c r="C15" s="27">
        <f>IF(計算用!$Z$14="","",IF(計算用!$U$24,IF(計算用!$Z$14="A",INDEX(手直し!$B$6:$E$42,計算用!$AC$14,MOD(1-計算用!$AE$14+1,4)+1),INDEX(手直し!$G$6:$J$42,計算用!$AC$14,MOD(1-計算用!$AE$14+1,4)+1)),IF(計算用!$Z$14="A",INDEX(組分け!$B$5:$I$41,計算用!$AC$14,(MOD(1-計算用!$AE$14+1,4)+1)*2-1),INDEX(組分け!$L$5:$S$41,計算用!$AC$14,(MOD(1-計算用!$AE$14+1,4)+1)*2-1)))&amp;"")</f>
        <v/>
      </c>
      <c r="D15" s="27">
        <f>IF(計算用!$Z$14="","",IF(計算用!$U$24,IF(計算用!$Z$14="A",INDEX(手直し!$B$6:$E$42,計算用!$AC$14,MOD(2-計算用!$AE$14+1,4)+1),INDEX(手直し!$G$6:$J$42,計算用!$AC$14,MOD(2-計算用!$AE$14+1,4)+1)),IF(計算用!$Z$14="A",INDEX(組分け!$B$5:$I$41,計算用!$AC$14,(MOD(2-計算用!$AE$14+1,4)+1)*2-1),INDEX(組分け!$L$5:$S$41,計算用!$AC$14,(MOD(2-計算用!$AE$14+1,4)+1)*2-1)))&amp;"")</f>
        <v/>
      </c>
      <c r="E15" s="27">
        <f>IF(計算用!$Z$14="","",IF(計算用!$U$24,IF(計算用!$Z$14="A",INDEX(手直し!$B$6:$E$42,計算用!$AC$14,MOD(3-計算用!$AE$14+1,4)+1),INDEX(手直し!$G$6:$J$42,計算用!$AC$14,MOD(3-計算用!$AE$14+1,4)+1)),IF(計算用!$Z$14="A",INDEX(組分け!$B$5:$I$41,計算用!$AC$14,(MOD(3-計算用!$AE$14+1,4)+1)*2-1),INDEX(組分け!$L$5:$S$41,計算用!$AC$14,(MOD(3-計算用!$AE$14+1,4)+1)*2-1)))&amp;"")</f>
        <v/>
      </c>
    </row>
    <row r="16" ht="27.75" customHeight="1">
      <c r="A16" s="26">
        <f>計算用!$AD$15</f>
        <v/>
      </c>
      <c r="B16" s="27">
        <f>IF(計算用!$Z$15="","",IF(計算用!$U$24,IF(計算用!$Z$15="A",INDEX(手直し!$B$6:$E$42,計算用!$AC$15,MOD(0-計算用!$AE$15+1,4)+1),INDEX(手直し!$G$6:$J$42,計算用!$AC$15,MOD(0-計算用!$AE$15+1,4)+1)),IF(計算用!$Z$15="A",INDEX(組分け!$B$5:$I$41,計算用!$AC$15,(MOD(0-計算用!$AE$15+1,4)+1)*2-1),INDEX(組分け!$L$5:$S$41,計算用!$AC$15,(MOD(0-計算用!$AE$15+1,4)+1)*2-1)))&amp;"")</f>
        <v/>
      </c>
      <c r="C16" s="27">
        <f>IF(計算用!$Z$15="","",IF(計算用!$U$24,IF(計算用!$Z$15="A",INDEX(手直し!$B$6:$E$42,計算用!$AC$15,MOD(1-計算用!$AE$15+1,4)+1),INDEX(手直し!$G$6:$J$42,計算用!$AC$15,MOD(1-計算用!$AE$15+1,4)+1)),IF(計算用!$Z$15="A",INDEX(組分け!$B$5:$I$41,計算用!$AC$15,(MOD(1-計算用!$AE$15+1,4)+1)*2-1),INDEX(組分け!$L$5:$S$41,計算用!$AC$15,(MOD(1-計算用!$AE$15+1,4)+1)*2-1)))&amp;"")</f>
        <v/>
      </c>
      <c r="D16" s="27">
        <f>IF(計算用!$Z$15="","",IF(計算用!$U$24,IF(計算用!$Z$15="A",INDEX(手直し!$B$6:$E$42,計算用!$AC$15,MOD(2-計算用!$AE$15+1,4)+1),INDEX(手直し!$G$6:$J$42,計算用!$AC$15,MOD(2-計算用!$AE$15+1,4)+1)),IF(計算用!$Z$15="A",INDEX(組分け!$B$5:$I$41,計算用!$AC$15,(MOD(2-計算用!$AE$15+1,4)+1)*2-1),INDEX(組分け!$L$5:$S$41,計算用!$AC$15,(MOD(2-計算用!$AE$15+1,4)+1)*2-1)))&amp;"")</f>
        <v/>
      </c>
      <c r="E16" s="27">
        <f>IF(計算用!$Z$15="","",IF(計算用!$U$24,IF(計算用!$Z$15="A",INDEX(手直し!$B$6:$E$42,計算用!$AC$15,MOD(3-計算用!$AE$15+1,4)+1),INDEX(手直し!$G$6:$J$42,計算用!$AC$15,MOD(3-計算用!$AE$15+1,4)+1)),IF(計算用!$Z$15="A",INDEX(組分け!$B$5:$I$41,計算用!$AC$15,(MOD(3-計算用!$AE$15+1,4)+1)*2-1),INDEX(組分け!$L$5:$S$41,計算用!$AC$15,(MOD(3-計算用!$AE$15+1,4)+1)*2-1)))&amp;"")</f>
        <v/>
      </c>
    </row>
    <row r="17" ht="27.75" customHeight="1">
      <c r="A17" s="26">
        <f>計算用!$AD$16</f>
        <v/>
      </c>
      <c r="B17" s="27">
        <f>IF(計算用!$Z$16="","",IF(計算用!$U$24,IF(計算用!$Z$16="A",INDEX(手直し!$B$6:$E$42,計算用!$AC$16,MOD(0-計算用!$AE$16+1,4)+1),INDEX(手直し!$G$6:$J$42,計算用!$AC$16,MOD(0-計算用!$AE$16+1,4)+1)),IF(計算用!$Z$16="A",INDEX(組分け!$B$5:$I$41,計算用!$AC$16,(MOD(0-計算用!$AE$16+1,4)+1)*2-1),INDEX(組分け!$L$5:$S$41,計算用!$AC$16,(MOD(0-計算用!$AE$16+1,4)+1)*2-1)))&amp;"")</f>
        <v/>
      </c>
      <c r="C17" s="27">
        <f>IF(計算用!$Z$16="","",IF(計算用!$U$24,IF(計算用!$Z$16="A",INDEX(手直し!$B$6:$E$42,計算用!$AC$16,MOD(1-計算用!$AE$16+1,4)+1),INDEX(手直し!$G$6:$J$42,計算用!$AC$16,MOD(1-計算用!$AE$16+1,4)+1)),IF(計算用!$Z$16="A",INDEX(組分け!$B$5:$I$41,計算用!$AC$16,(MOD(1-計算用!$AE$16+1,4)+1)*2-1),INDEX(組分け!$L$5:$S$41,計算用!$AC$16,(MOD(1-計算用!$AE$16+1,4)+1)*2-1)))&amp;"")</f>
        <v/>
      </c>
      <c r="D17" s="27">
        <f>IF(計算用!$Z$16="","",IF(計算用!$U$24,IF(計算用!$Z$16="A",INDEX(手直し!$B$6:$E$42,計算用!$AC$16,MOD(2-計算用!$AE$16+1,4)+1),INDEX(手直し!$G$6:$J$42,計算用!$AC$16,MOD(2-計算用!$AE$16+1,4)+1)),IF(計算用!$Z$16="A",INDEX(組分け!$B$5:$I$41,計算用!$AC$16,(MOD(2-計算用!$AE$16+1,4)+1)*2-1),INDEX(組分け!$L$5:$S$41,計算用!$AC$16,(MOD(2-計算用!$AE$16+1,4)+1)*2-1)))&amp;"")</f>
        <v/>
      </c>
      <c r="E17" s="27">
        <f>IF(計算用!$Z$16="","",IF(計算用!$U$24,IF(計算用!$Z$16="A",INDEX(手直し!$B$6:$E$42,計算用!$AC$16,MOD(3-計算用!$AE$16+1,4)+1),INDEX(手直し!$G$6:$J$42,計算用!$AC$16,MOD(3-計算用!$AE$16+1,4)+1)),IF(計算用!$Z$16="A",INDEX(組分け!$B$5:$I$41,計算用!$AC$16,(MOD(3-計算用!$AE$16+1,4)+1)*2-1),INDEX(組分け!$L$5:$S$41,計算用!$AC$16,(MOD(3-計算用!$AE$16+1,4)+1)*2-1)))&amp;"")</f>
        <v/>
      </c>
    </row>
    <row r="18" ht="27.75" customHeight="1">
      <c r="A18" s="26">
        <f>計算用!$AD$17</f>
        <v/>
      </c>
      <c r="B18" s="27">
        <f>IF(計算用!$Z$17="","",IF(計算用!$U$24,IF(計算用!$Z$17="A",INDEX(手直し!$B$6:$E$42,計算用!$AC$17,MOD(0-計算用!$AE$17+1,4)+1),INDEX(手直し!$G$6:$J$42,計算用!$AC$17,MOD(0-計算用!$AE$17+1,4)+1)),IF(計算用!$Z$17="A",INDEX(組分け!$B$5:$I$41,計算用!$AC$17,(MOD(0-計算用!$AE$17+1,4)+1)*2-1),INDEX(組分け!$L$5:$S$41,計算用!$AC$17,(MOD(0-計算用!$AE$17+1,4)+1)*2-1)))&amp;"")</f>
        <v/>
      </c>
      <c r="C18" s="27">
        <f>IF(計算用!$Z$17="","",IF(計算用!$U$24,IF(計算用!$Z$17="A",INDEX(手直し!$B$6:$E$42,計算用!$AC$17,MOD(1-計算用!$AE$17+1,4)+1),INDEX(手直し!$G$6:$J$42,計算用!$AC$17,MOD(1-計算用!$AE$17+1,4)+1)),IF(計算用!$Z$17="A",INDEX(組分け!$B$5:$I$41,計算用!$AC$17,(MOD(1-計算用!$AE$17+1,4)+1)*2-1),INDEX(組分け!$L$5:$S$41,計算用!$AC$17,(MOD(1-計算用!$AE$17+1,4)+1)*2-1)))&amp;"")</f>
        <v/>
      </c>
      <c r="D18" s="27">
        <f>IF(計算用!$Z$17="","",IF(計算用!$U$24,IF(計算用!$Z$17="A",INDEX(手直し!$B$6:$E$42,計算用!$AC$17,MOD(2-計算用!$AE$17+1,4)+1),INDEX(手直し!$G$6:$J$42,計算用!$AC$17,MOD(2-計算用!$AE$17+1,4)+1)),IF(計算用!$Z$17="A",INDEX(組分け!$B$5:$I$41,計算用!$AC$17,(MOD(2-計算用!$AE$17+1,4)+1)*2-1),INDEX(組分け!$L$5:$S$41,計算用!$AC$17,(MOD(2-計算用!$AE$17+1,4)+1)*2-1)))&amp;"")</f>
        <v/>
      </c>
      <c r="E18" s="27">
        <f>IF(計算用!$Z$17="","",IF(計算用!$U$24,IF(計算用!$Z$17="A",INDEX(手直し!$B$6:$E$42,計算用!$AC$17,MOD(3-計算用!$AE$17+1,4)+1),INDEX(手直し!$G$6:$J$42,計算用!$AC$17,MOD(3-計算用!$AE$17+1,4)+1)),IF(計算用!$Z$17="A",INDEX(組分け!$B$5:$I$41,計算用!$AC$17,(MOD(3-計算用!$AE$17+1,4)+1)*2-1),INDEX(組分け!$L$5:$S$41,計算用!$AC$17,(MOD(3-計算用!$AE$17+1,4)+1)*2-1)))&amp;"")</f>
        <v/>
      </c>
    </row>
    <row r="19" ht="27.75" customHeight="1">
      <c r="A19" s="26">
        <f>計算用!$AD$18</f>
        <v/>
      </c>
      <c r="B19" s="27">
        <f>IF(計算用!$Z$18="","",IF(計算用!$U$24,IF(計算用!$Z$18="A",INDEX(手直し!$B$6:$E$42,計算用!$AC$18,MOD(0-計算用!$AE$18+1,4)+1),INDEX(手直し!$G$6:$J$42,計算用!$AC$18,MOD(0-計算用!$AE$18+1,4)+1)),IF(計算用!$Z$18="A",INDEX(組分け!$B$5:$I$41,計算用!$AC$18,(MOD(0-計算用!$AE$18+1,4)+1)*2-1),INDEX(組分け!$L$5:$S$41,計算用!$AC$18,(MOD(0-計算用!$AE$18+1,4)+1)*2-1)))&amp;"")</f>
        <v/>
      </c>
      <c r="C19" s="27">
        <f>IF(計算用!$Z$18="","",IF(計算用!$U$24,IF(計算用!$Z$18="A",INDEX(手直し!$B$6:$E$42,計算用!$AC$18,MOD(1-計算用!$AE$18+1,4)+1),INDEX(手直し!$G$6:$J$42,計算用!$AC$18,MOD(1-計算用!$AE$18+1,4)+1)),IF(計算用!$Z$18="A",INDEX(組分け!$B$5:$I$41,計算用!$AC$18,(MOD(1-計算用!$AE$18+1,4)+1)*2-1),INDEX(組分け!$L$5:$S$41,計算用!$AC$18,(MOD(1-計算用!$AE$18+1,4)+1)*2-1)))&amp;"")</f>
        <v/>
      </c>
      <c r="D19" s="27">
        <f>IF(計算用!$Z$18="","",IF(計算用!$U$24,IF(計算用!$Z$18="A",INDEX(手直し!$B$6:$E$42,計算用!$AC$18,MOD(2-計算用!$AE$18+1,4)+1),INDEX(手直し!$G$6:$J$42,計算用!$AC$18,MOD(2-計算用!$AE$18+1,4)+1)),IF(計算用!$Z$18="A",INDEX(組分け!$B$5:$I$41,計算用!$AC$18,(MOD(2-計算用!$AE$18+1,4)+1)*2-1),INDEX(組分け!$L$5:$S$41,計算用!$AC$18,(MOD(2-計算用!$AE$18+1,4)+1)*2-1)))&amp;"")</f>
        <v/>
      </c>
      <c r="E19" s="27">
        <f>IF(計算用!$Z$18="","",IF(計算用!$U$24,IF(計算用!$Z$18="A",INDEX(手直し!$B$6:$E$42,計算用!$AC$18,MOD(3-計算用!$AE$18+1,4)+1),INDEX(手直し!$G$6:$J$42,計算用!$AC$18,MOD(3-計算用!$AE$18+1,4)+1)),IF(計算用!$Z$18="A",INDEX(組分け!$B$5:$I$41,計算用!$AC$18,(MOD(3-計算用!$AE$18+1,4)+1)*2-1),INDEX(組分け!$L$5:$S$41,計算用!$AC$18,(MOD(3-計算用!$AE$18+1,4)+1)*2-1)))&amp;"")</f>
        <v/>
      </c>
    </row>
    <row r="20" ht="27.75" customHeight="1">
      <c r="A20" s="26">
        <f>計算用!$AD$19</f>
        <v/>
      </c>
      <c r="B20" s="27">
        <f>IF(計算用!$Z$19="","",IF(計算用!$U$24,IF(計算用!$Z$19="A",INDEX(手直し!$B$6:$E$42,計算用!$AC$19,MOD(0-計算用!$AE$19+1,4)+1),INDEX(手直し!$G$6:$J$42,計算用!$AC$19,MOD(0-計算用!$AE$19+1,4)+1)),IF(計算用!$Z$19="A",INDEX(組分け!$B$5:$I$41,計算用!$AC$19,(MOD(0-計算用!$AE$19+1,4)+1)*2-1),INDEX(組分け!$L$5:$S$41,計算用!$AC$19,(MOD(0-計算用!$AE$19+1,4)+1)*2-1)))&amp;"")</f>
        <v/>
      </c>
      <c r="C20" s="27">
        <f>IF(計算用!$Z$19="","",IF(計算用!$U$24,IF(計算用!$Z$19="A",INDEX(手直し!$B$6:$E$42,計算用!$AC$19,MOD(1-計算用!$AE$19+1,4)+1),INDEX(手直し!$G$6:$J$42,計算用!$AC$19,MOD(1-計算用!$AE$19+1,4)+1)),IF(計算用!$Z$19="A",INDEX(組分け!$B$5:$I$41,計算用!$AC$19,(MOD(1-計算用!$AE$19+1,4)+1)*2-1),INDEX(組分け!$L$5:$S$41,計算用!$AC$19,(MOD(1-計算用!$AE$19+1,4)+1)*2-1)))&amp;"")</f>
        <v/>
      </c>
      <c r="D20" s="27">
        <f>IF(計算用!$Z$19="","",IF(計算用!$U$24,IF(計算用!$Z$19="A",INDEX(手直し!$B$6:$E$42,計算用!$AC$19,MOD(2-計算用!$AE$19+1,4)+1),INDEX(手直し!$G$6:$J$42,計算用!$AC$19,MOD(2-計算用!$AE$19+1,4)+1)),IF(計算用!$Z$19="A",INDEX(組分け!$B$5:$I$41,計算用!$AC$19,(MOD(2-計算用!$AE$19+1,4)+1)*2-1),INDEX(組分け!$L$5:$S$41,計算用!$AC$19,(MOD(2-計算用!$AE$19+1,4)+1)*2-1)))&amp;"")</f>
        <v/>
      </c>
      <c r="E20" s="27">
        <f>IF(計算用!$Z$19="","",IF(計算用!$U$24,IF(計算用!$Z$19="A",INDEX(手直し!$B$6:$E$42,計算用!$AC$19,MOD(3-計算用!$AE$19+1,4)+1),INDEX(手直し!$G$6:$J$42,計算用!$AC$19,MOD(3-計算用!$AE$19+1,4)+1)),IF(計算用!$Z$19="A",INDEX(組分け!$B$5:$I$41,計算用!$AC$19,(MOD(3-計算用!$AE$19+1,4)+1)*2-1),INDEX(組分け!$L$5:$S$41,計算用!$AC$19,(MOD(3-計算用!$AE$19+1,4)+1)*2-1)))&amp;"")</f>
        <v/>
      </c>
    </row>
    <row r="21" ht="27.75" customHeight="1">
      <c r="A21" s="26">
        <f>計算用!$AD$20</f>
        <v/>
      </c>
      <c r="B21" s="27">
        <f>IF(計算用!$Z$20="","",IF(計算用!$U$24,IF(計算用!$Z$20="A",INDEX(手直し!$B$6:$E$42,計算用!$AC$20,MOD(0-計算用!$AE$20+1,4)+1),INDEX(手直し!$G$6:$J$42,計算用!$AC$20,MOD(0-計算用!$AE$20+1,4)+1)),IF(計算用!$Z$20="A",INDEX(組分け!$B$5:$I$41,計算用!$AC$20,(MOD(0-計算用!$AE$20+1,4)+1)*2-1),INDEX(組分け!$L$5:$S$41,計算用!$AC$20,(MOD(0-計算用!$AE$20+1,4)+1)*2-1)))&amp;"")</f>
        <v/>
      </c>
      <c r="C21" s="27">
        <f>IF(計算用!$Z$20="","",IF(計算用!$U$24,IF(計算用!$Z$20="A",INDEX(手直し!$B$6:$E$42,計算用!$AC$20,MOD(1-計算用!$AE$20+1,4)+1),INDEX(手直し!$G$6:$J$42,計算用!$AC$20,MOD(1-計算用!$AE$20+1,4)+1)),IF(計算用!$Z$20="A",INDEX(組分け!$B$5:$I$41,計算用!$AC$20,(MOD(1-計算用!$AE$20+1,4)+1)*2-1),INDEX(組分け!$L$5:$S$41,計算用!$AC$20,(MOD(1-計算用!$AE$20+1,4)+1)*2-1)))&amp;"")</f>
        <v/>
      </c>
      <c r="D21" s="27">
        <f>IF(計算用!$Z$20="","",IF(計算用!$U$24,IF(計算用!$Z$20="A",INDEX(手直し!$B$6:$E$42,計算用!$AC$20,MOD(2-計算用!$AE$20+1,4)+1),INDEX(手直し!$G$6:$J$42,計算用!$AC$20,MOD(2-計算用!$AE$20+1,4)+1)),IF(計算用!$Z$20="A",INDEX(組分け!$B$5:$I$41,計算用!$AC$20,(MOD(2-計算用!$AE$20+1,4)+1)*2-1),INDEX(組分け!$L$5:$S$41,計算用!$AC$20,(MOD(2-計算用!$AE$20+1,4)+1)*2-1)))&amp;"")</f>
        <v/>
      </c>
      <c r="E21" s="27">
        <f>IF(計算用!$Z$20="","",IF(計算用!$U$24,IF(計算用!$Z$20="A",INDEX(手直し!$B$6:$E$42,計算用!$AC$20,MOD(3-計算用!$AE$20+1,4)+1),INDEX(手直し!$G$6:$J$42,計算用!$AC$20,MOD(3-計算用!$AE$20+1,4)+1)),IF(計算用!$Z$20="A",INDEX(組分け!$B$5:$I$41,計算用!$AC$20,(MOD(3-計算用!$AE$20+1,4)+1)*2-1),INDEX(組分け!$L$5:$S$41,計算用!$AC$20,(MOD(3-計算用!$AE$20+1,4)+1)*2-1)))&amp;"")</f>
        <v/>
      </c>
    </row>
    <row r="22" ht="27.75" customHeight="1">
      <c r="A22" s="26">
        <f>計算用!$AD$21</f>
        <v/>
      </c>
      <c r="B22" s="27">
        <f>IF(計算用!$Z$21="","",IF(計算用!$U$24,IF(計算用!$Z$21="A",INDEX(手直し!$B$6:$E$42,計算用!$AC$21,MOD(0-計算用!$AE$21+1,4)+1),INDEX(手直し!$G$6:$J$42,計算用!$AC$21,MOD(0-計算用!$AE$21+1,4)+1)),IF(計算用!$Z$21="A",INDEX(組分け!$B$5:$I$41,計算用!$AC$21,(MOD(0-計算用!$AE$21+1,4)+1)*2-1),INDEX(組分け!$L$5:$S$41,計算用!$AC$21,(MOD(0-計算用!$AE$21+1,4)+1)*2-1)))&amp;"")</f>
        <v/>
      </c>
      <c r="C22" s="27">
        <f>IF(計算用!$Z$21="","",IF(計算用!$U$24,IF(計算用!$Z$21="A",INDEX(手直し!$B$6:$E$42,計算用!$AC$21,MOD(1-計算用!$AE$21+1,4)+1),INDEX(手直し!$G$6:$J$42,計算用!$AC$21,MOD(1-計算用!$AE$21+1,4)+1)),IF(計算用!$Z$21="A",INDEX(組分け!$B$5:$I$41,計算用!$AC$21,(MOD(1-計算用!$AE$21+1,4)+1)*2-1),INDEX(組分け!$L$5:$S$41,計算用!$AC$21,(MOD(1-計算用!$AE$21+1,4)+1)*2-1)))&amp;"")</f>
        <v/>
      </c>
      <c r="D22" s="27">
        <f>IF(計算用!$Z$21="","",IF(計算用!$U$24,IF(計算用!$Z$21="A",INDEX(手直し!$B$6:$E$42,計算用!$AC$21,MOD(2-計算用!$AE$21+1,4)+1),INDEX(手直し!$G$6:$J$42,計算用!$AC$21,MOD(2-計算用!$AE$21+1,4)+1)),IF(計算用!$Z$21="A",INDEX(組分け!$B$5:$I$41,計算用!$AC$21,(MOD(2-計算用!$AE$21+1,4)+1)*2-1),INDEX(組分け!$L$5:$S$41,計算用!$AC$21,(MOD(2-計算用!$AE$21+1,4)+1)*2-1)))&amp;"")</f>
        <v/>
      </c>
      <c r="E22" s="27">
        <f>IF(計算用!$Z$21="","",IF(計算用!$U$24,IF(計算用!$Z$21="A",INDEX(手直し!$B$6:$E$42,計算用!$AC$21,MOD(3-計算用!$AE$21+1,4)+1),INDEX(手直し!$G$6:$J$42,計算用!$AC$21,MOD(3-計算用!$AE$21+1,4)+1)),IF(計算用!$Z$21="A",INDEX(組分け!$B$5:$I$41,計算用!$AC$21,(MOD(3-計算用!$AE$21+1,4)+1)*2-1),INDEX(組分け!$L$5:$S$41,計算用!$AC$21,(MOD(3-計算用!$AE$21+1,4)+1)*2-1)))&amp;"")</f>
        <v/>
      </c>
    </row>
    <row r="23" ht="27.75" customHeight="1">
      <c r="A23" s="26">
        <f>計算用!$AD$22</f>
        <v/>
      </c>
      <c r="B23" s="27">
        <f>IF(計算用!$Z$22="","",IF(計算用!$U$24,IF(計算用!$Z$22="A",INDEX(手直し!$B$6:$E$42,計算用!$AC$22,MOD(0-計算用!$AE$22+1,4)+1),INDEX(手直し!$G$6:$J$42,計算用!$AC$22,MOD(0-計算用!$AE$22+1,4)+1)),IF(計算用!$Z$22="A",INDEX(組分け!$B$5:$I$41,計算用!$AC$22,(MOD(0-計算用!$AE$22+1,4)+1)*2-1),INDEX(組分け!$L$5:$S$41,計算用!$AC$22,(MOD(0-計算用!$AE$22+1,4)+1)*2-1)))&amp;"")</f>
        <v/>
      </c>
      <c r="C23" s="27">
        <f>IF(計算用!$Z$22="","",IF(計算用!$U$24,IF(計算用!$Z$22="A",INDEX(手直し!$B$6:$E$42,計算用!$AC$22,MOD(1-計算用!$AE$22+1,4)+1),INDEX(手直し!$G$6:$J$42,計算用!$AC$22,MOD(1-計算用!$AE$22+1,4)+1)),IF(計算用!$Z$22="A",INDEX(組分け!$B$5:$I$41,計算用!$AC$22,(MOD(1-計算用!$AE$22+1,4)+1)*2-1),INDEX(組分け!$L$5:$S$41,計算用!$AC$22,(MOD(1-計算用!$AE$22+1,4)+1)*2-1)))&amp;"")</f>
        <v/>
      </c>
      <c r="D23" s="27">
        <f>IF(計算用!$Z$22="","",IF(計算用!$U$24,IF(計算用!$Z$22="A",INDEX(手直し!$B$6:$E$42,計算用!$AC$22,MOD(2-計算用!$AE$22+1,4)+1),INDEX(手直し!$G$6:$J$42,計算用!$AC$22,MOD(2-計算用!$AE$22+1,4)+1)),IF(計算用!$Z$22="A",INDEX(組分け!$B$5:$I$41,計算用!$AC$22,(MOD(2-計算用!$AE$22+1,4)+1)*2-1),INDEX(組分け!$L$5:$S$41,計算用!$AC$22,(MOD(2-計算用!$AE$22+1,4)+1)*2-1)))&amp;"")</f>
        <v/>
      </c>
      <c r="E23" s="27">
        <f>IF(計算用!$Z$22="","",IF(計算用!$U$24,IF(計算用!$Z$22="A",INDEX(手直し!$B$6:$E$42,計算用!$AC$22,MOD(3-計算用!$AE$22+1,4)+1),INDEX(手直し!$G$6:$J$42,計算用!$AC$22,MOD(3-計算用!$AE$22+1,4)+1)),IF(計算用!$Z$22="A",INDEX(組分け!$B$5:$I$41,計算用!$AC$22,(MOD(3-計算用!$AE$22+1,4)+1)*2-1),INDEX(組分け!$L$5:$S$41,計算用!$AC$22,(MOD(3-計算用!$AE$22+1,4)+1)*2-1)))&amp;"")</f>
        <v/>
      </c>
    </row>
    <row r="24" ht="27.75" customHeight="1">
      <c r="A24" s="26">
        <f>計算用!$AD$23</f>
        <v/>
      </c>
      <c r="B24" s="27">
        <f>IF(計算用!$Z$23="","",IF(計算用!$U$24,IF(計算用!$Z$23="A",INDEX(手直し!$B$6:$E$42,計算用!$AC$23,MOD(0-計算用!$AE$23+1,4)+1),INDEX(手直し!$G$6:$J$42,計算用!$AC$23,MOD(0-計算用!$AE$23+1,4)+1)),IF(計算用!$Z$23="A",INDEX(組分け!$B$5:$I$41,計算用!$AC$23,(MOD(0-計算用!$AE$23+1,4)+1)*2-1),INDEX(組分け!$L$5:$S$41,計算用!$AC$23,(MOD(0-計算用!$AE$23+1,4)+1)*2-1)))&amp;"")</f>
        <v/>
      </c>
      <c r="C24" s="27">
        <f>IF(計算用!$Z$23="","",IF(計算用!$U$24,IF(計算用!$Z$23="A",INDEX(手直し!$B$6:$E$42,計算用!$AC$23,MOD(1-計算用!$AE$23+1,4)+1),INDEX(手直し!$G$6:$J$42,計算用!$AC$23,MOD(1-計算用!$AE$23+1,4)+1)),IF(計算用!$Z$23="A",INDEX(組分け!$B$5:$I$41,計算用!$AC$23,(MOD(1-計算用!$AE$23+1,4)+1)*2-1),INDEX(組分け!$L$5:$S$41,計算用!$AC$23,(MOD(1-計算用!$AE$23+1,4)+1)*2-1)))&amp;"")</f>
        <v/>
      </c>
      <c r="D24" s="27">
        <f>IF(計算用!$Z$23="","",IF(計算用!$U$24,IF(計算用!$Z$23="A",INDEX(手直し!$B$6:$E$42,計算用!$AC$23,MOD(2-計算用!$AE$23+1,4)+1),INDEX(手直し!$G$6:$J$42,計算用!$AC$23,MOD(2-計算用!$AE$23+1,4)+1)),IF(計算用!$Z$23="A",INDEX(組分け!$B$5:$I$41,計算用!$AC$23,(MOD(2-計算用!$AE$23+1,4)+1)*2-1),INDEX(組分け!$L$5:$S$41,計算用!$AC$23,(MOD(2-計算用!$AE$23+1,4)+1)*2-1)))&amp;"")</f>
        <v/>
      </c>
      <c r="E24" s="27">
        <f>IF(計算用!$Z$23="","",IF(計算用!$U$24,IF(計算用!$Z$23="A",INDEX(手直し!$B$6:$E$42,計算用!$AC$23,MOD(3-計算用!$AE$23+1,4)+1),INDEX(手直し!$G$6:$J$42,計算用!$AC$23,MOD(3-計算用!$AE$23+1,4)+1)),IF(計算用!$Z$23="A",INDEX(組分け!$B$5:$I$41,計算用!$AC$23,(MOD(3-計算用!$AE$23+1,4)+1)*2-1),INDEX(組分け!$L$5:$S$41,計算用!$AC$23,(MOD(3-計算用!$AE$23+1,4)+1)*2-1)))&amp;"")</f>
        <v/>
      </c>
    </row>
    <row r="25" ht="27.75" customHeight="1">
      <c r="A25" s="26">
        <f>計算用!$AD$24</f>
        <v/>
      </c>
      <c r="B25" s="27">
        <f>IF(計算用!$Z$24="","",IF(計算用!$U$24,IF(計算用!$Z$24="A",INDEX(手直し!$B$6:$E$42,計算用!$AC$24,MOD(0-計算用!$AE$24+1,4)+1),INDEX(手直し!$G$6:$J$42,計算用!$AC$24,MOD(0-計算用!$AE$24+1,4)+1)),IF(計算用!$Z$24="A",INDEX(組分け!$B$5:$I$41,計算用!$AC$24,(MOD(0-計算用!$AE$24+1,4)+1)*2-1),INDEX(組分け!$L$5:$S$41,計算用!$AC$24,(MOD(0-計算用!$AE$24+1,4)+1)*2-1)))&amp;"")</f>
        <v/>
      </c>
      <c r="C25" s="27">
        <f>IF(計算用!$Z$24="","",IF(計算用!$U$24,IF(計算用!$Z$24="A",INDEX(手直し!$B$6:$E$42,計算用!$AC$24,MOD(1-計算用!$AE$24+1,4)+1),INDEX(手直し!$G$6:$J$42,計算用!$AC$24,MOD(1-計算用!$AE$24+1,4)+1)),IF(計算用!$Z$24="A",INDEX(組分け!$B$5:$I$41,計算用!$AC$24,(MOD(1-計算用!$AE$24+1,4)+1)*2-1),INDEX(組分け!$L$5:$S$41,計算用!$AC$24,(MOD(1-計算用!$AE$24+1,4)+1)*2-1)))&amp;"")</f>
        <v/>
      </c>
      <c r="D25" s="27">
        <f>IF(計算用!$Z$24="","",IF(計算用!$U$24,IF(計算用!$Z$24="A",INDEX(手直し!$B$6:$E$42,計算用!$AC$24,MOD(2-計算用!$AE$24+1,4)+1),INDEX(手直し!$G$6:$J$42,計算用!$AC$24,MOD(2-計算用!$AE$24+1,4)+1)),IF(計算用!$Z$24="A",INDEX(組分け!$B$5:$I$41,計算用!$AC$24,(MOD(2-計算用!$AE$24+1,4)+1)*2-1),INDEX(組分け!$L$5:$S$41,計算用!$AC$24,(MOD(2-計算用!$AE$24+1,4)+1)*2-1)))&amp;"")</f>
        <v/>
      </c>
      <c r="E25" s="27">
        <f>IF(計算用!$Z$24="","",IF(計算用!$U$24,IF(計算用!$Z$24="A",INDEX(手直し!$B$6:$E$42,計算用!$AC$24,MOD(3-計算用!$AE$24+1,4)+1),INDEX(手直し!$G$6:$J$42,計算用!$AC$24,MOD(3-計算用!$AE$24+1,4)+1)),IF(計算用!$Z$24="A",INDEX(組分け!$B$5:$I$41,計算用!$AC$24,(MOD(3-計算用!$AE$24+1,4)+1)*2-1),INDEX(組分け!$L$5:$S$41,計算用!$AC$24,(MOD(3-計算用!$AE$24+1,4)+1)*2-1)))&amp;"")</f>
        <v/>
      </c>
    </row>
    <row r="26" ht="27.75" customHeight="1">
      <c r="A26" s="26">
        <f>計算用!$AD$25</f>
        <v/>
      </c>
      <c r="B26" s="27">
        <f>IF(計算用!$Z$25="","",IF(計算用!$U$24,IF(計算用!$Z$25="A",INDEX(手直し!$B$6:$E$42,計算用!$AC$25,MOD(0-計算用!$AE$25+1,4)+1),INDEX(手直し!$G$6:$J$42,計算用!$AC$25,MOD(0-計算用!$AE$25+1,4)+1)),IF(計算用!$Z$25="A",INDEX(組分け!$B$5:$I$41,計算用!$AC$25,(MOD(0-計算用!$AE$25+1,4)+1)*2-1),INDEX(組分け!$L$5:$S$41,計算用!$AC$25,(MOD(0-計算用!$AE$25+1,4)+1)*2-1)))&amp;"")</f>
        <v/>
      </c>
      <c r="C26" s="27">
        <f>IF(計算用!$Z$25="","",IF(計算用!$U$24,IF(計算用!$Z$25="A",INDEX(手直し!$B$6:$E$42,計算用!$AC$25,MOD(1-計算用!$AE$25+1,4)+1),INDEX(手直し!$G$6:$J$42,計算用!$AC$25,MOD(1-計算用!$AE$25+1,4)+1)),IF(計算用!$Z$25="A",INDEX(組分け!$B$5:$I$41,計算用!$AC$25,(MOD(1-計算用!$AE$25+1,4)+1)*2-1),INDEX(組分け!$L$5:$S$41,計算用!$AC$25,(MOD(1-計算用!$AE$25+1,4)+1)*2-1)))&amp;"")</f>
        <v/>
      </c>
      <c r="D26" s="27">
        <f>IF(計算用!$Z$25="","",IF(計算用!$U$24,IF(計算用!$Z$25="A",INDEX(手直し!$B$6:$E$42,計算用!$AC$25,MOD(2-計算用!$AE$25+1,4)+1),INDEX(手直し!$G$6:$J$42,計算用!$AC$25,MOD(2-計算用!$AE$25+1,4)+1)),IF(計算用!$Z$25="A",INDEX(組分け!$B$5:$I$41,計算用!$AC$25,(MOD(2-計算用!$AE$25+1,4)+1)*2-1),INDEX(組分け!$L$5:$S$41,計算用!$AC$25,(MOD(2-計算用!$AE$25+1,4)+1)*2-1)))&amp;"")</f>
        <v/>
      </c>
      <c r="E26" s="27">
        <f>IF(計算用!$Z$25="","",IF(計算用!$U$24,IF(計算用!$Z$25="A",INDEX(手直し!$B$6:$E$42,計算用!$AC$25,MOD(3-計算用!$AE$25+1,4)+1),INDEX(手直し!$G$6:$J$42,計算用!$AC$25,MOD(3-計算用!$AE$25+1,4)+1)),IF(計算用!$Z$25="A",INDEX(組分け!$B$5:$I$41,計算用!$AC$25,(MOD(3-計算用!$AE$25+1,4)+1)*2-1),INDEX(組分け!$L$5:$S$41,計算用!$AC$25,(MOD(3-計算用!$AE$25+1,4)+1)*2-1)))&amp;"")</f>
        <v/>
      </c>
    </row>
    <row r="27" ht="27.75" customHeight="1">
      <c r="A27" s="26">
        <f>計算用!$AD$26</f>
        <v/>
      </c>
      <c r="B27" s="27">
        <f>IF(計算用!$Z$26="","",IF(計算用!$U$24,IF(計算用!$Z$26="A",INDEX(手直し!$B$6:$E$42,計算用!$AC$26,MOD(0-計算用!$AE$26+1,4)+1),INDEX(手直し!$G$6:$J$42,計算用!$AC$26,MOD(0-計算用!$AE$26+1,4)+1)),IF(計算用!$Z$26="A",INDEX(組分け!$B$5:$I$41,計算用!$AC$26,(MOD(0-計算用!$AE$26+1,4)+1)*2-1),INDEX(組分け!$L$5:$S$41,計算用!$AC$26,(MOD(0-計算用!$AE$26+1,4)+1)*2-1)))&amp;"")</f>
        <v/>
      </c>
      <c r="C27" s="27">
        <f>IF(計算用!$Z$26="","",IF(計算用!$U$24,IF(計算用!$Z$26="A",INDEX(手直し!$B$6:$E$42,計算用!$AC$26,MOD(1-計算用!$AE$26+1,4)+1),INDEX(手直し!$G$6:$J$42,計算用!$AC$26,MOD(1-計算用!$AE$26+1,4)+1)),IF(計算用!$Z$26="A",INDEX(組分け!$B$5:$I$41,計算用!$AC$26,(MOD(1-計算用!$AE$26+1,4)+1)*2-1),INDEX(組分け!$L$5:$S$41,計算用!$AC$26,(MOD(1-計算用!$AE$26+1,4)+1)*2-1)))&amp;"")</f>
        <v/>
      </c>
      <c r="D27" s="27">
        <f>IF(計算用!$Z$26="","",IF(計算用!$U$24,IF(計算用!$Z$26="A",INDEX(手直し!$B$6:$E$42,計算用!$AC$26,MOD(2-計算用!$AE$26+1,4)+1),INDEX(手直し!$G$6:$J$42,計算用!$AC$26,MOD(2-計算用!$AE$26+1,4)+1)),IF(計算用!$Z$26="A",INDEX(組分け!$B$5:$I$41,計算用!$AC$26,(MOD(2-計算用!$AE$26+1,4)+1)*2-1),INDEX(組分け!$L$5:$S$41,計算用!$AC$26,(MOD(2-計算用!$AE$26+1,4)+1)*2-1)))&amp;"")</f>
        <v/>
      </c>
      <c r="E27" s="27">
        <f>IF(計算用!$Z$26="","",IF(計算用!$U$24,IF(計算用!$Z$26="A",INDEX(手直し!$B$6:$E$42,計算用!$AC$26,MOD(3-計算用!$AE$26+1,4)+1),INDEX(手直し!$G$6:$J$42,計算用!$AC$26,MOD(3-計算用!$AE$26+1,4)+1)),IF(計算用!$Z$26="A",INDEX(組分け!$B$5:$I$41,計算用!$AC$26,(MOD(3-計算用!$AE$26+1,4)+1)*2-1),INDEX(組分け!$L$5:$S$41,計算用!$AC$26,(MOD(3-計算用!$AE$26+1,4)+1)*2-1)))&amp;"")</f>
        <v/>
      </c>
    </row>
    <row r="28" ht="27.75" customHeight="1">
      <c r="A28" s="26">
        <f>計算用!$AD$27</f>
        <v/>
      </c>
      <c r="B28" s="27">
        <f>IF(計算用!$Z$27="","",IF(計算用!$U$24,IF(計算用!$Z$27="A",INDEX(手直し!$B$6:$E$42,計算用!$AC$27,MOD(0-計算用!$AE$27+1,4)+1),INDEX(手直し!$G$6:$J$42,計算用!$AC$27,MOD(0-計算用!$AE$27+1,4)+1)),IF(計算用!$Z$27="A",INDEX(組分け!$B$5:$I$41,計算用!$AC$27,(MOD(0-計算用!$AE$27+1,4)+1)*2-1),INDEX(組分け!$L$5:$S$41,計算用!$AC$27,(MOD(0-計算用!$AE$27+1,4)+1)*2-1)))&amp;"")</f>
        <v/>
      </c>
      <c r="C28" s="27">
        <f>IF(計算用!$Z$27="","",IF(計算用!$U$24,IF(計算用!$Z$27="A",INDEX(手直し!$B$6:$E$42,計算用!$AC$27,MOD(1-計算用!$AE$27+1,4)+1),INDEX(手直し!$G$6:$J$42,計算用!$AC$27,MOD(1-計算用!$AE$27+1,4)+1)),IF(計算用!$Z$27="A",INDEX(組分け!$B$5:$I$41,計算用!$AC$27,(MOD(1-計算用!$AE$27+1,4)+1)*2-1),INDEX(組分け!$L$5:$S$41,計算用!$AC$27,(MOD(1-計算用!$AE$27+1,4)+1)*2-1)))&amp;"")</f>
        <v/>
      </c>
      <c r="D28" s="27">
        <f>IF(計算用!$Z$27="","",IF(計算用!$U$24,IF(計算用!$Z$27="A",INDEX(手直し!$B$6:$E$42,計算用!$AC$27,MOD(2-計算用!$AE$27+1,4)+1),INDEX(手直し!$G$6:$J$42,計算用!$AC$27,MOD(2-計算用!$AE$27+1,4)+1)),IF(計算用!$Z$27="A",INDEX(組分け!$B$5:$I$41,計算用!$AC$27,(MOD(2-計算用!$AE$27+1,4)+1)*2-1),INDEX(組分け!$L$5:$S$41,計算用!$AC$27,(MOD(2-計算用!$AE$27+1,4)+1)*2-1)))&amp;"")</f>
        <v/>
      </c>
      <c r="E28" s="27">
        <f>IF(計算用!$Z$27="","",IF(計算用!$U$24,IF(計算用!$Z$27="A",INDEX(手直し!$B$6:$E$42,計算用!$AC$27,MOD(3-計算用!$AE$27+1,4)+1),INDEX(手直し!$G$6:$J$42,計算用!$AC$27,MOD(3-計算用!$AE$27+1,4)+1)),IF(計算用!$Z$27="A",INDEX(組分け!$B$5:$I$41,計算用!$AC$27,(MOD(3-計算用!$AE$27+1,4)+1)*2-1),INDEX(組分け!$L$5:$S$41,計算用!$AC$27,(MOD(3-計算用!$AE$27+1,4)+1)*2-1)))&amp;"")</f>
        <v/>
      </c>
    </row>
    <row r="29" ht="27.75" customHeight="1">
      <c r="A29" s="26">
        <f>計算用!$AD$28</f>
        <v/>
      </c>
      <c r="B29" s="27">
        <f>IF(計算用!$Z$28="","",IF(計算用!$U$24,IF(計算用!$Z$28="A",INDEX(手直し!$B$6:$E$42,計算用!$AC$28,MOD(0-計算用!$AE$28+1,4)+1),INDEX(手直し!$G$6:$J$42,計算用!$AC$28,MOD(0-計算用!$AE$28+1,4)+1)),IF(計算用!$Z$28="A",INDEX(組分け!$B$5:$I$41,計算用!$AC$28,(MOD(0-計算用!$AE$28+1,4)+1)*2-1),INDEX(組分け!$L$5:$S$41,計算用!$AC$28,(MOD(0-計算用!$AE$28+1,4)+1)*2-1)))&amp;"")</f>
        <v/>
      </c>
      <c r="C29" s="27">
        <f>IF(計算用!$Z$28="","",IF(計算用!$U$24,IF(計算用!$Z$28="A",INDEX(手直し!$B$6:$E$42,計算用!$AC$28,MOD(1-計算用!$AE$28+1,4)+1),INDEX(手直し!$G$6:$J$42,計算用!$AC$28,MOD(1-計算用!$AE$28+1,4)+1)),IF(計算用!$Z$28="A",INDEX(組分け!$B$5:$I$41,計算用!$AC$28,(MOD(1-計算用!$AE$28+1,4)+1)*2-1),INDEX(組分け!$L$5:$S$41,計算用!$AC$28,(MOD(1-計算用!$AE$28+1,4)+1)*2-1)))&amp;"")</f>
        <v/>
      </c>
      <c r="D29" s="27">
        <f>IF(計算用!$Z$28="","",IF(計算用!$U$24,IF(計算用!$Z$28="A",INDEX(手直し!$B$6:$E$42,計算用!$AC$28,MOD(2-計算用!$AE$28+1,4)+1),INDEX(手直し!$G$6:$J$42,計算用!$AC$28,MOD(2-計算用!$AE$28+1,4)+1)),IF(計算用!$Z$28="A",INDEX(組分け!$B$5:$I$41,計算用!$AC$28,(MOD(2-計算用!$AE$28+1,4)+1)*2-1),INDEX(組分け!$L$5:$S$41,計算用!$AC$28,(MOD(2-計算用!$AE$28+1,4)+1)*2-1)))&amp;"")</f>
        <v/>
      </c>
      <c r="E29" s="27">
        <f>IF(計算用!$Z$28="","",IF(計算用!$U$24,IF(計算用!$Z$28="A",INDEX(手直し!$B$6:$E$42,計算用!$AC$28,MOD(3-計算用!$AE$28+1,4)+1),INDEX(手直し!$G$6:$J$42,計算用!$AC$28,MOD(3-計算用!$AE$28+1,4)+1)),IF(計算用!$Z$28="A",INDEX(組分け!$B$5:$I$41,計算用!$AC$28,(MOD(3-計算用!$AE$28+1,4)+1)*2-1),INDEX(組分け!$L$5:$S$41,計算用!$AC$28,(MOD(3-計算用!$AE$28+1,4)+1)*2-1)))&amp;"")</f>
        <v/>
      </c>
    </row>
    <row r="30" ht="27.75" customHeight="1">
      <c r="A30" s="26">
        <f>計算用!$AD$29</f>
        <v/>
      </c>
      <c r="B30" s="27">
        <f>IF(計算用!$Z$29="","",IF(計算用!$U$24,IF(計算用!$Z$29="A",INDEX(手直し!$B$6:$E$42,計算用!$AC$29,MOD(0-計算用!$AE$29+1,4)+1),INDEX(手直し!$G$6:$J$42,計算用!$AC$29,MOD(0-計算用!$AE$29+1,4)+1)),IF(計算用!$Z$29="A",INDEX(組分け!$B$5:$I$41,計算用!$AC$29,(MOD(0-計算用!$AE$29+1,4)+1)*2-1),INDEX(組分け!$L$5:$S$41,計算用!$AC$29,(MOD(0-計算用!$AE$29+1,4)+1)*2-1)))&amp;"")</f>
        <v/>
      </c>
      <c r="C30" s="27">
        <f>IF(計算用!$Z$29="","",IF(計算用!$U$24,IF(計算用!$Z$29="A",INDEX(手直し!$B$6:$E$42,計算用!$AC$29,MOD(1-計算用!$AE$29+1,4)+1),INDEX(手直し!$G$6:$J$42,計算用!$AC$29,MOD(1-計算用!$AE$29+1,4)+1)),IF(計算用!$Z$29="A",INDEX(組分け!$B$5:$I$41,計算用!$AC$29,(MOD(1-計算用!$AE$29+1,4)+1)*2-1),INDEX(組分け!$L$5:$S$41,計算用!$AC$29,(MOD(1-計算用!$AE$29+1,4)+1)*2-1)))&amp;"")</f>
        <v/>
      </c>
      <c r="D30" s="27">
        <f>IF(計算用!$Z$29="","",IF(計算用!$U$24,IF(計算用!$Z$29="A",INDEX(手直し!$B$6:$E$42,計算用!$AC$29,MOD(2-計算用!$AE$29+1,4)+1),INDEX(手直し!$G$6:$J$42,計算用!$AC$29,MOD(2-計算用!$AE$29+1,4)+1)),IF(計算用!$Z$29="A",INDEX(組分け!$B$5:$I$41,計算用!$AC$29,(MOD(2-計算用!$AE$29+1,4)+1)*2-1),INDEX(組分け!$L$5:$S$41,計算用!$AC$29,(MOD(2-計算用!$AE$29+1,4)+1)*2-1)))&amp;"")</f>
        <v/>
      </c>
      <c r="E30" s="27">
        <f>IF(計算用!$Z$29="","",IF(計算用!$U$24,IF(計算用!$Z$29="A",INDEX(手直し!$B$6:$E$42,計算用!$AC$29,MOD(3-計算用!$AE$29+1,4)+1),INDEX(手直し!$G$6:$J$42,計算用!$AC$29,MOD(3-計算用!$AE$29+1,4)+1)),IF(計算用!$Z$29="A",INDEX(組分け!$B$5:$I$41,計算用!$AC$29,(MOD(3-計算用!$AE$29+1,4)+1)*2-1),INDEX(組分け!$L$5:$S$41,計算用!$AC$29,(MOD(3-計算用!$AE$29+1,4)+1)*2-1)))&amp;"")</f>
        <v/>
      </c>
    </row>
    <row r="31" ht="27.75" customHeight="1">
      <c r="A31" s="26">
        <f>計算用!$AD$30</f>
        <v/>
      </c>
      <c r="B31" s="27">
        <f>IF(計算用!$Z$30="","",IF(計算用!$U$24,IF(計算用!$Z$30="A",INDEX(手直し!$B$6:$E$42,計算用!$AC$30,MOD(0-計算用!$AE$30+1,4)+1),INDEX(手直し!$G$6:$J$42,計算用!$AC$30,MOD(0-計算用!$AE$30+1,4)+1)),IF(計算用!$Z$30="A",INDEX(組分け!$B$5:$I$41,計算用!$AC$30,(MOD(0-計算用!$AE$30+1,4)+1)*2-1),INDEX(組分け!$L$5:$S$41,計算用!$AC$30,(MOD(0-計算用!$AE$30+1,4)+1)*2-1)))&amp;"")</f>
        <v/>
      </c>
      <c r="C31" s="27">
        <f>IF(計算用!$Z$30="","",IF(計算用!$U$24,IF(計算用!$Z$30="A",INDEX(手直し!$B$6:$E$42,計算用!$AC$30,MOD(1-計算用!$AE$30+1,4)+1),INDEX(手直し!$G$6:$J$42,計算用!$AC$30,MOD(1-計算用!$AE$30+1,4)+1)),IF(計算用!$Z$30="A",INDEX(組分け!$B$5:$I$41,計算用!$AC$30,(MOD(1-計算用!$AE$30+1,4)+1)*2-1),INDEX(組分け!$L$5:$S$41,計算用!$AC$30,(MOD(1-計算用!$AE$30+1,4)+1)*2-1)))&amp;"")</f>
        <v/>
      </c>
      <c r="D31" s="27">
        <f>IF(計算用!$Z$30="","",IF(計算用!$U$24,IF(計算用!$Z$30="A",INDEX(手直し!$B$6:$E$42,計算用!$AC$30,MOD(2-計算用!$AE$30+1,4)+1),INDEX(手直し!$G$6:$J$42,計算用!$AC$30,MOD(2-計算用!$AE$30+1,4)+1)),IF(計算用!$Z$30="A",INDEX(組分け!$B$5:$I$41,計算用!$AC$30,(MOD(2-計算用!$AE$30+1,4)+1)*2-1),INDEX(組分け!$L$5:$S$41,計算用!$AC$30,(MOD(2-計算用!$AE$30+1,4)+1)*2-1)))&amp;"")</f>
        <v/>
      </c>
      <c r="E31" s="27">
        <f>IF(計算用!$Z$30="","",IF(計算用!$U$24,IF(計算用!$Z$30="A",INDEX(手直し!$B$6:$E$42,計算用!$AC$30,MOD(3-計算用!$AE$30+1,4)+1),INDEX(手直し!$G$6:$J$42,計算用!$AC$30,MOD(3-計算用!$AE$30+1,4)+1)),IF(計算用!$Z$30="A",INDEX(組分け!$B$5:$I$41,計算用!$AC$30,(MOD(3-計算用!$AE$30+1,4)+1)*2-1),INDEX(組分け!$L$5:$S$41,計算用!$AC$30,(MOD(3-計算用!$AE$30+1,4)+1)*2-1)))&amp;"")</f>
        <v/>
      </c>
    </row>
    <row r="32" ht="27.75" customHeight="1">
      <c r="A32" s="26">
        <f>計算用!$AD$31</f>
        <v/>
      </c>
      <c r="B32" s="27">
        <f>IF(計算用!$Z$31="","",IF(計算用!$U$24,IF(計算用!$Z$31="A",INDEX(手直し!$B$6:$E$42,計算用!$AC$31,MOD(0-計算用!$AE$31+1,4)+1),INDEX(手直し!$G$6:$J$42,計算用!$AC$31,MOD(0-計算用!$AE$31+1,4)+1)),IF(計算用!$Z$31="A",INDEX(組分け!$B$5:$I$41,計算用!$AC$31,(MOD(0-計算用!$AE$31+1,4)+1)*2-1),INDEX(組分け!$L$5:$S$41,計算用!$AC$31,(MOD(0-計算用!$AE$31+1,4)+1)*2-1)))&amp;"")</f>
        <v/>
      </c>
      <c r="C32" s="27">
        <f>IF(計算用!$Z$31="","",IF(計算用!$U$24,IF(計算用!$Z$31="A",INDEX(手直し!$B$6:$E$42,計算用!$AC$31,MOD(1-計算用!$AE$31+1,4)+1),INDEX(手直し!$G$6:$J$42,計算用!$AC$31,MOD(1-計算用!$AE$31+1,4)+1)),IF(計算用!$Z$31="A",INDEX(組分け!$B$5:$I$41,計算用!$AC$31,(MOD(1-計算用!$AE$31+1,4)+1)*2-1),INDEX(組分け!$L$5:$S$41,計算用!$AC$31,(MOD(1-計算用!$AE$31+1,4)+1)*2-1)))&amp;"")</f>
        <v/>
      </c>
      <c r="D32" s="27">
        <f>IF(計算用!$Z$31="","",IF(計算用!$U$24,IF(計算用!$Z$31="A",INDEX(手直し!$B$6:$E$42,計算用!$AC$31,MOD(2-計算用!$AE$31+1,4)+1),INDEX(手直し!$G$6:$J$42,計算用!$AC$31,MOD(2-計算用!$AE$31+1,4)+1)),IF(計算用!$Z$31="A",INDEX(組分け!$B$5:$I$41,計算用!$AC$31,(MOD(2-計算用!$AE$31+1,4)+1)*2-1),INDEX(組分け!$L$5:$S$41,計算用!$AC$31,(MOD(2-計算用!$AE$31+1,4)+1)*2-1)))&amp;"")</f>
        <v/>
      </c>
      <c r="E32" s="27">
        <f>IF(計算用!$Z$31="","",IF(計算用!$U$24,IF(計算用!$Z$31="A",INDEX(手直し!$B$6:$E$42,計算用!$AC$31,MOD(3-計算用!$AE$31+1,4)+1),INDEX(手直し!$G$6:$J$42,計算用!$AC$31,MOD(3-計算用!$AE$31+1,4)+1)),IF(計算用!$Z$31="A",INDEX(組分け!$B$5:$I$41,計算用!$AC$31,(MOD(3-計算用!$AE$31+1,4)+1)*2-1),INDEX(組分け!$L$5:$S$41,計算用!$AC$31,(MOD(3-計算用!$AE$31+1,4)+1)*2-1)))&amp;"")</f>
        <v/>
      </c>
    </row>
    <row r="33" ht="27.75" customHeight="1">
      <c r="A33" s="26">
        <f>計算用!$AD$32</f>
        <v/>
      </c>
      <c r="B33" s="27">
        <f>IF(計算用!$Z$32="","",IF(計算用!$U$24,IF(計算用!$Z$32="A",INDEX(手直し!$B$6:$E$42,計算用!$AC$32,MOD(0-計算用!$AE$32+1,4)+1),INDEX(手直し!$G$6:$J$42,計算用!$AC$32,MOD(0-計算用!$AE$32+1,4)+1)),IF(計算用!$Z$32="A",INDEX(組分け!$B$5:$I$41,計算用!$AC$32,(MOD(0-計算用!$AE$32+1,4)+1)*2-1),INDEX(組分け!$L$5:$S$41,計算用!$AC$32,(MOD(0-計算用!$AE$32+1,4)+1)*2-1)))&amp;"")</f>
        <v/>
      </c>
      <c r="C33" s="27">
        <f>IF(計算用!$Z$32="","",IF(計算用!$U$24,IF(計算用!$Z$32="A",INDEX(手直し!$B$6:$E$42,計算用!$AC$32,MOD(1-計算用!$AE$32+1,4)+1),INDEX(手直し!$G$6:$J$42,計算用!$AC$32,MOD(1-計算用!$AE$32+1,4)+1)),IF(計算用!$Z$32="A",INDEX(組分け!$B$5:$I$41,計算用!$AC$32,(MOD(1-計算用!$AE$32+1,4)+1)*2-1),INDEX(組分け!$L$5:$S$41,計算用!$AC$32,(MOD(1-計算用!$AE$32+1,4)+1)*2-1)))&amp;"")</f>
        <v/>
      </c>
      <c r="D33" s="27">
        <f>IF(計算用!$Z$32="","",IF(計算用!$U$24,IF(計算用!$Z$32="A",INDEX(手直し!$B$6:$E$42,計算用!$AC$32,MOD(2-計算用!$AE$32+1,4)+1),INDEX(手直し!$G$6:$J$42,計算用!$AC$32,MOD(2-計算用!$AE$32+1,4)+1)),IF(計算用!$Z$32="A",INDEX(組分け!$B$5:$I$41,計算用!$AC$32,(MOD(2-計算用!$AE$32+1,4)+1)*2-1),INDEX(組分け!$L$5:$S$41,計算用!$AC$32,(MOD(2-計算用!$AE$32+1,4)+1)*2-1)))&amp;"")</f>
        <v/>
      </c>
      <c r="E33" s="27">
        <f>IF(計算用!$Z$32="","",IF(計算用!$U$24,IF(計算用!$Z$32="A",INDEX(手直し!$B$6:$E$42,計算用!$AC$32,MOD(3-計算用!$AE$32+1,4)+1),INDEX(手直し!$G$6:$J$42,計算用!$AC$32,MOD(3-計算用!$AE$32+1,4)+1)),IF(計算用!$Z$32="A",INDEX(組分け!$B$5:$I$41,計算用!$AC$32,(MOD(3-計算用!$AE$32+1,4)+1)*2-1),INDEX(組分け!$L$5:$S$41,計算用!$AC$32,(MOD(3-計算用!$AE$32+1,4)+1)*2-1)))&amp;"")</f>
        <v/>
      </c>
    </row>
    <row r="34" ht="27.75" customHeight="1">
      <c r="A34" s="26">
        <f>計算用!$AD$33</f>
        <v/>
      </c>
      <c r="B34" s="27">
        <f>IF(計算用!$Z$33="","",IF(計算用!$U$24,IF(計算用!$Z$33="A",INDEX(手直し!$B$6:$E$42,計算用!$AC$33,MOD(0-計算用!$AE$33+1,4)+1),INDEX(手直し!$G$6:$J$42,計算用!$AC$33,MOD(0-計算用!$AE$33+1,4)+1)),IF(計算用!$Z$33="A",INDEX(組分け!$B$5:$I$41,計算用!$AC$33,(MOD(0-計算用!$AE$33+1,4)+1)*2-1),INDEX(組分け!$L$5:$S$41,計算用!$AC$33,(MOD(0-計算用!$AE$33+1,4)+1)*2-1)))&amp;"")</f>
        <v/>
      </c>
      <c r="C34" s="27">
        <f>IF(計算用!$Z$33="","",IF(計算用!$U$24,IF(計算用!$Z$33="A",INDEX(手直し!$B$6:$E$42,計算用!$AC$33,MOD(1-計算用!$AE$33+1,4)+1),INDEX(手直し!$G$6:$J$42,計算用!$AC$33,MOD(1-計算用!$AE$33+1,4)+1)),IF(計算用!$Z$33="A",INDEX(組分け!$B$5:$I$41,計算用!$AC$33,(MOD(1-計算用!$AE$33+1,4)+1)*2-1),INDEX(組分け!$L$5:$S$41,計算用!$AC$33,(MOD(1-計算用!$AE$33+1,4)+1)*2-1)))&amp;"")</f>
        <v/>
      </c>
      <c r="D34" s="27">
        <f>IF(計算用!$Z$33="","",IF(計算用!$U$24,IF(計算用!$Z$33="A",INDEX(手直し!$B$6:$E$42,計算用!$AC$33,MOD(2-計算用!$AE$33+1,4)+1),INDEX(手直し!$G$6:$J$42,計算用!$AC$33,MOD(2-計算用!$AE$33+1,4)+1)),IF(計算用!$Z$33="A",INDEX(組分け!$B$5:$I$41,計算用!$AC$33,(MOD(2-計算用!$AE$33+1,4)+1)*2-1),INDEX(組分け!$L$5:$S$41,計算用!$AC$33,(MOD(2-計算用!$AE$33+1,4)+1)*2-1)))&amp;"")</f>
        <v/>
      </c>
      <c r="E34" s="27">
        <f>IF(計算用!$Z$33="","",IF(計算用!$U$24,IF(計算用!$Z$33="A",INDEX(手直し!$B$6:$E$42,計算用!$AC$33,MOD(3-計算用!$AE$33+1,4)+1),INDEX(手直し!$G$6:$J$42,計算用!$AC$33,MOD(3-計算用!$AE$33+1,4)+1)),IF(計算用!$Z$33="A",INDEX(組分け!$B$5:$I$41,計算用!$AC$33,(MOD(3-計算用!$AE$33+1,4)+1)*2-1),INDEX(組分け!$L$5:$S$41,計算用!$AC$33,(MOD(3-計算用!$AE$33+1,4)+1)*2-1)))&amp;"")</f>
        <v/>
      </c>
    </row>
    <row r="35" ht="27.75" customHeight="1">
      <c r="A35" s="26">
        <f>計算用!$AD$34</f>
        <v/>
      </c>
      <c r="B35" s="27">
        <f>IF(計算用!$Z$34="","",IF(計算用!$U$24,IF(計算用!$Z$34="A",INDEX(手直し!$B$6:$E$42,計算用!$AC$34,MOD(0-計算用!$AE$34+1,4)+1),INDEX(手直し!$G$6:$J$42,計算用!$AC$34,MOD(0-計算用!$AE$34+1,4)+1)),IF(計算用!$Z$34="A",INDEX(組分け!$B$5:$I$41,計算用!$AC$34,(MOD(0-計算用!$AE$34+1,4)+1)*2-1),INDEX(組分け!$L$5:$S$41,計算用!$AC$34,(MOD(0-計算用!$AE$34+1,4)+1)*2-1)))&amp;"")</f>
        <v/>
      </c>
      <c r="C35" s="27">
        <f>IF(計算用!$Z$34="","",IF(計算用!$U$24,IF(計算用!$Z$34="A",INDEX(手直し!$B$6:$E$42,計算用!$AC$34,MOD(1-計算用!$AE$34+1,4)+1),INDEX(手直し!$G$6:$J$42,計算用!$AC$34,MOD(1-計算用!$AE$34+1,4)+1)),IF(計算用!$Z$34="A",INDEX(組分け!$B$5:$I$41,計算用!$AC$34,(MOD(1-計算用!$AE$34+1,4)+1)*2-1),INDEX(組分け!$L$5:$S$41,計算用!$AC$34,(MOD(1-計算用!$AE$34+1,4)+1)*2-1)))&amp;"")</f>
        <v/>
      </c>
      <c r="D35" s="27">
        <f>IF(計算用!$Z$34="","",IF(計算用!$U$24,IF(計算用!$Z$34="A",INDEX(手直し!$B$6:$E$42,計算用!$AC$34,MOD(2-計算用!$AE$34+1,4)+1),INDEX(手直し!$G$6:$J$42,計算用!$AC$34,MOD(2-計算用!$AE$34+1,4)+1)),IF(計算用!$Z$34="A",INDEX(組分け!$B$5:$I$41,計算用!$AC$34,(MOD(2-計算用!$AE$34+1,4)+1)*2-1),INDEX(組分け!$L$5:$S$41,計算用!$AC$34,(MOD(2-計算用!$AE$34+1,4)+1)*2-1)))&amp;"")</f>
        <v/>
      </c>
      <c r="E35" s="27">
        <f>IF(計算用!$Z$34="","",IF(計算用!$U$24,IF(計算用!$Z$34="A",INDEX(手直し!$B$6:$E$42,計算用!$AC$34,MOD(3-計算用!$AE$34+1,4)+1),INDEX(手直し!$G$6:$J$42,計算用!$AC$34,MOD(3-計算用!$AE$34+1,4)+1)),IF(計算用!$Z$34="A",INDEX(組分け!$B$5:$I$41,計算用!$AC$34,(MOD(3-計算用!$AE$34+1,4)+1)*2-1),INDEX(組分け!$L$5:$S$41,計算用!$AC$34,(MOD(3-計算用!$AE$34+1,4)+1)*2-1)))&amp;"")</f>
        <v/>
      </c>
    </row>
    <row r="36" ht="27.75" customHeight="1">
      <c r="A36" s="26">
        <f>計算用!$AD$35</f>
        <v/>
      </c>
      <c r="B36" s="27">
        <f>IF(計算用!$Z$35="","",IF(計算用!$U$24,IF(計算用!$Z$35="A",INDEX(手直し!$B$6:$E$42,計算用!$AC$35,MOD(0-計算用!$AE$35+1,4)+1),INDEX(手直し!$G$6:$J$42,計算用!$AC$35,MOD(0-計算用!$AE$35+1,4)+1)),IF(計算用!$Z$35="A",INDEX(組分け!$B$5:$I$41,計算用!$AC$35,(MOD(0-計算用!$AE$35+1,4)+1)*2-1),INDEX(組分け!$L$5:$S$41,計算用!$AC$35,(MOD(0-計算用!$AE$35+1,4)+1)*2-1)))&amp;"")</f>
        <v/>
      </c>
      <c r="C36" s="27">
        <f>IF(計算用!$Z$35="","",IF(計算用!$U$24,IF(計算用!$Z$35="A",INDEX(手直し!$B$6:$E$42,計算用!$AC$35,MOD(1-計算用!$AE$35+1,4)+1),INDEX(手直し!$G$6:$J$42,計算用!$AC$35,MOD(1-計算用!$AE$35+1,4)+1)),IF(計算用!$Z$35="A",INDEX(組分け!$B$5:$I$41,計算用!$AC$35,(MOD(1-計算用!$AE$35+1,4)+1)*2-1),INDEX(組分け!$L$5:$S$41,計算用!$AC$35,(MOD(1-計算用!$AE$35+1,4)+1)*2-1)))&amp;"")</f>
        <v/>
      </c>
      <c r="D36" s="27">
        <f>IF(計算用!$Z$35="","",IF(計算用!$U$24,IF(計算用!$Z$35="A",INDEX(手直し!$B$6:$E$42,計算用!$AC$35,MOD(2-計算用!$AE$35+1,4)+1),INDEX(手直し!$G$6:$J$42,計算用!$AC$35,MOD(2-計算用!$AE$35+1,4)+1)),IF(計算用!$Z$35="A",INDEX(組分け!$B$5:$I$41,計算用!$AC$35,(MOD(2-計算用!$AE$35+1,4)+1)*2-1),INDEX(組分け!$L$5:$S$41,計算用!$AC$35,(MOD(2-計算用!$AE$35+1,4)+1)*2-1)))&amp;"")</f>
        <v/>
      </c>
      <c r="E36" s="27">
        <f>IF(計算用!$Z$35="","",IF(計算用!$U$24,IF(計算用!$Z$35="A",INDEX(手直し!$B$6:$E$42,計算用!$AC$35,MOD(3-計算用!$AE$35+1,4)+1),INDEX(手直し!$G$6:$J$42,計算用!$AC$35,MOD(3-計算用!$AE$35+1,4)+1)),IF(計算用!$Z$35="A",INDEX(組分け!$B$5:$I$41,計算用!$AC$35,(MOD(3-計算用!$AE$35+1,4)+1)*2-1),INDEX(組分け!$L$5:$S$41,計算用!$AC$35,(MOD(3-計算用!$AE$35+1,4)+1)*2-1)))&amp;"")</f>
        <v/>
      </c>
    </row>
    <row r="37" ht="27.75" customHeight="1">
      <c r="A37" s="26">
        <f>計算用!$AD$36</f>
        <v/>
      </c>
      <c r="B37" s="27">
        <f>IF(計算用!$Z$36="","",IF(計算用!$U$24,IF(計算用!$Z$36="A",INDEX(手直し!$B$6:$E$42,計算用!$AC$36,MOD(0-計算用!$AE$36+1,4)+1),INDEX(手直し!$G$6:$J$42,計算用!$AC$36,MOD(0-計算用!$AE$36+1,4)+1)),IF(計算用!$Z$36="A",INDEX(組分け!$B$5:$I$41,計算用!$AC$36,(MOD(0-計算用!$AE$36+1,4)+1)*2-1),INDEX(組分け!$L$5:$S$41,計算用!$AC$36,(MOD(0-計算用!$AE$36+1,4)+1)*2-1)))&amp;"")</f>
        <v/>
      </c>
      <c r="C37" s="27">
        <f>IF(計算用!$Z$36="","",IF(計算用!$U$24,IF(計算用!$Z$36="A",INDEX(手直し!$B$6:$E$42,計算用!$AC$36,MOD(1-計算用!$AE$36+1,4)+1),INDEX(手直し!$G$6:$J$42,計算用!$AC$36,MOD(1-計算用!$AE$36+1,4)+1)),IF(計算用!$Z$36="A",INDEX(組分け!$B$5:$I$41,計算用!$AC$36,(MOD(1-計算用!$AE$36+1,4)+1)*2-1),INDEX(組分け!$L$5:$S$41,計算用!$AC$36,(MOD(1-計算用!$AE$36+1,4)+1)*2-1)))&amp;"")</f>
        <v/>
      </c>
      <c r="D37" s="27">
        <f>IF(計算用!$Z$36="","",IF(計算用!$U$24,IF(計算用!$Z$36="A",INDEX(手直し!$B$6:$E$42,計算用!$AC$36,MOD(2-計算用!$AE$36+1,4)+1),INDEX(手直し!$G$6:$J$42,計算用!$AC$36,MOD(2-計算用!$AE$36+1,4)+1)),IF(計算用!$Z$36="A",INDEX(組分け!$B$5:$I$41,計算用!$AC$36,(MOD(2-計算用!$AE$36+1,4)+1)*2-1),INDEX(組分け!$L$5:$S$41,計算用!$AC$36,(MOD(2-計算用!$AE$36+1,4)+1)*2-1)))&amp;"")</f>
        <v/>
      </c>
      <c r="E37" s="27">
        <f>IF(計算用!$Z$36="","",IF(計算用!$U$24,IF(計算用!$Z$36="A",INDEX(手直し!$B$6:$E$42,計算用!$AC$36,MOD(3-計算用!$AE$36+1,4)+1),INDEX(手直し!$G$6:$J$42,計算用!$AC$36,MOD(3-計算用!$AE$36+1,4)+1)),IF(計算用!$Z$36="A",INDEX(組分け!$B$5:$I$41,計算用!$AC$36,(MOD(3-計算用!$AE$36+1,4)+1)*2-1),INDEX(組分け!$L$5:$S$41,計算用!$AC$36,(MOD(3-計算用!$AE$36+1,4)+1)*2-1)))&amp;"")</f>
        <v/>
      </c>
    </row>
    <row r="38" ht="27.75" customHeight="1">
      <c r="A38" s="26">
        <f>計算用!$AD$37</f>
        <v/>
      </c>
      <c r="B38" s="27">
        <f>IF(計算用!$Z$37="","",IF(計算用!$U$24,IF(計算用!$Z$37="A",INDEX(手直し!$B$6:$E$42,計算用!$AC$37,MOD(0-計算用!$AE$37+1,4)+1),INDEX(手直し!$G$6:$J$42,計算用!$AC$37,MOD(0-計算用!$AE$37+1,4)+1)),IF(計算用!$Z$37="A",INDEX(組分け!$B$5:$I$41,計算用!$AC$37,(MOD(0-計算用!$AE$37+1,4)+1)*2-1),INDEX(組分け!$L$5:$S$41,計算用!$AC$37,(MOD(0-計算用!$AE$37+1,4)+1)*2-1)))&amp;"")</f>
        <v/>
      </c>
      <c r="C38" s="27">
        <f>IF(計算用!$Z$37="","",IF(計算用!$U$24,IF(計算用!$Z$37="A",INDEX(手直し!$B$6:$E$42,計算用!$AC$37,MOD(1-計算用!$AE$37+1,4)+1),INDEX(手直し!$G$6:$J$42,計算用!$AC$37,MOD(1-計算用!$AE$37+1,4)+1)),IF(計算用!$Z$37="A",INDEX(組分け!$B$5:$I$41,計算用!$AC$37,(MOD(1-計算用!$AE$37+1,4)+1)*2-1),INDEX(組分け!$L$5:$S$41,計算用!$AC$37,(MOD(1-計算用!$AE$37+1,4)+1)*2-1)))&amp;"")</f>
        <v/>
      </c>
      <c r="D38" s="27">
        <f>IF(計算用!$Z$37="","",IF(計算用!$U$24,IF(計算用!$Z$37="A",INDEX(手直し!$B$6:$E$42,計算用!$AC$37,MOD(2-計算用!$AE$37+1,4)+1),INDEX(手直し!$G$6:$J$42,計算用!$AC$37,MOD(2-計算用!$AE$37+1,4)+1)),IF(計算用!$Z$37="A",INDEX(組分け!$B$5:$I$41,計算用!$AC$37,(MOD(2-計算用!$AE$37+1,4)+1)*2-1),INDEX(組分け!$L$5:$S$41,計算用!$AC$37,(MOD(2-計算用!$AE$37+1,4)+1)*2-1)))&amp;"")</f>
        <v/>
      </c>
      <c r="E38" s="27">
        <f>IF(計算用!$Z$37="","",IF(計算用!$U$24,IF(計算用!$Z$37="A",INDEX(手直し!$B$6:$E$42,計算用!$AC$37,MOD(3-計算用!$AE$37+1,4)+1),INDEX(手直し!$G$6:$J$42,計算用!$AC$37,MOD(3-計算用!$AE$37+1,4)+1)),IF(計算用!$Z$37="A",INDEX(組分け!$B$5:$I$41,計算用!$AC$37,(MOD(3-計算用!$AE$37+1,4)+1)*2-1),INDEX(組分け!$L$5:$S$41,計算用!$AC$37,(MOD(3-計算用!$AE$37+1,4)+1)*2-1)))&amp;"")</f>
        <v/>
      </c>
    </row>
    <row r="39" ht="27.75" customHeight="1">
      <c r="A39" s="26">
        <f>計算用!$AD$38</f>
        <v/>
      </c>
      <c r="B39" s="27">
        <f>IF(計算用!$Z$38="","",IF(計算用!$U$24,IF(計算用!$Z$38="A",INDEX(手直し!$B$6:$E$42,計算用!$AC$38,MOD(0-計算用!$AE$38+1,4)+1),INDEX(手直し!$G$6:$J$42,計算用!$AC$38,MOD(0-計算用!$AE$38+1,4)+1)),IF(計算用!$Z$38="A",INDEX(組分け!$B$5:$I$41,計算用!$AC$38,(MOD(0-計算用!$AE$38+1,4)+1)*2-1),INDEX(組分け!$L$5:$S$41,計算用!$AC$38,(MOD(0-計算用!$AE$38+1,4)+1)*2-1)))&amp;"")</f>
        <v/>
      </c>
      <c r="C39" s="27">
        <f>IF(計算用!$Z$38="","",IF(計算用!$U$24,IF(計算用!$Z$38="A",INDEX(手直し!$B$6:$E$42,計算用!$AC$38,MOD(1-計算用!$AE$38+1,4)+1),INDEX(手直し!$G$6:$J$42,計算用!$AC$38,MOD(1-計算用!$AE$38+1,4)+1)),IF(計算用!$Z$38="A",INDEX(組分け!$B$5:$I$41,計算用!$AC$38,(MOD(1-計算用!$AE$38+1,4)+1)*2-1),INDEX(組分け!$L$5:$S$41,計算用!$AC$38,(MOD(1-計算用!$AE$38+1,4)+1)*2-1)))&amp;"")</f>
        <v/>
      </c>
      <c r="D39" s="27">
        <f>IF(計算用!$Z$38="","",IF(計算用!$U$24,IF(計算用!$Z$38="A",INDEX(手直し!$B$6:$E$42,計算用!$AC$38,MOD(2-計算用!$AE$38+1,4)+1),INDEX(手直し!$G$6:$J$42,計算用!$AC$38,MOD(2-計算用!$AE$38+1,4)+1)),IF(計算用!$Z$38="A",INDEX(組分け!$B$5:$I$41,計算用!$AC$38,(MOD(2-計算用!$AE$38+1,4)+1)*2-1),INDEX(組分け!$L$5:$S$41,計算用!$AC$38,(MOD(2-計算用!$AE$38+1,4)+1)*2-1)))&amp;"")</f>
        <v/>
      </c>
      <c r="E39" s="27">
        <f>IF(計算用!$Z$38="","",IF(計算用!$U$24,IF(計算用!$Z$38="A",INDEX(手直し!$B$6:$E$42,計算用!$AC$38,MOD(3-計算用!$AE$38+1,4)+1),INDEX(手直し!$G$6:$J$42,計算用!$AC$38,MOD(3-計算用!$AE$38+1,4)+1)),IF(計算用!$Z$38="A",INDEX(組分け!$B$5:$I$41,計算用!$AC$38,(MOD(3-計算用!$AE$38+1,4)+1)*2-1),INDEX(組分け!$L$5:$S$41,計算用!$AC$38,(MOD(3-計算用!$AE$38+1,4)+1)*2-1)))&amp;"")</f>
        <v/>
      </c>
    </row>
    <row r="40" ht="27.75" customHeight="1">
      <c r="A40" s="26">
        <f>計算用!$AD$39</f>
        <v/>
      </c>
      <c r="B40" s="27">
        <f>IF(計算用!$Z$39="","",IF(計算用!$U$24,IF(計算用!$Z$39="A",INDEX(手直し!$B$6:$E$42,計算用!$AC$39,MOD(0-計算用!$AE$39+1,4)+1),INDEX(手直し!$G$6:$J$42,計算用!$AC$39,MOD(0-計算用!$AE$39+1,4)+1)),IF(計算用!$Z$39="A",INDEX(組分け!$B$5:$I$41,計算用!$AC$39,(MOD(0-計算用!$AE$39+1,4)+1)*2-1),INDEX(組分け!$L$5:$S$41,計算用!$AC$39,(MOD(0-計算用!$AE$39+1,4)+1)*2-1)))&amp;"")</f>
        <v/>
      </c>
      <c r="C40" s="27">
        <f>IF(計算用!$Z$39="","",IF(計算用!$U$24,IF(計算用!$Z$39="A",INDEX(手直し!$B$6:$E$42,計算用!$AC$39,MOD(1-計算用!$AE$39+1,4)+1),INDEX(手直し!$G$6:$J$42,計算用!$AC$39,MOD(1-計算用!$AE$39+1,4)+1)),IF(計算用!$Z$39="A",INDEX(組分け!$B$5:$I$41,計算用!$AC$39,(MOD(1-計算用!$AE$39+1,4)+1)*2-1),INDEX(組分け!$L$5:$S$41,計算用!$AC$39,(MOD(1-計算用!$AE$39+1,4)+1)*2-1)))&amp;"")</f>
        <v/>
      </c>
      <c r="D40" s="27">
        <f>IF(計算用!$Z$39="","",IF(計算用!$U$24,IF(計算用!$Z$39="A",INDEX(手直し!$B$6:$E$42,計算用!$AC$39,MOD(2-計算用!$AE$39+1,4)+1),INDEX(手直し!$G$6:$J$42,計算用!$AC$39,MOD(2-計算用!$AE$39+1,4)+1)),IF(計算用!$Z$39="A",INDEX(組分け!$B$5:$I$41,計算用!$AC$39,(MOD(2-計算用!$AE$39+1,4)+1)*2-1),INDEX(組分け!$L$5:$S$41,計算用!$AC$39,(MOD(2-計算用!$AE$39+1,4)+1)*2-1)))&amp;"")</f>
        <v/>
      </c>
      <c r="E40" s="27">
        <f>IF(計算用!$Z$39="","",IF(計算用!$U$24,IF(計算用!$Z$39="A",INDEX(手直し!$B$6:$E$42,計算用!$AC$39,MOD(3-計算用!$AE$39+1,4)+1),INDEX(手直し!$G$6:$J$42,計算用!$AC$39,MOD(3-計算用!$AE$39+1,4)+1)),IF(計算用!$Z$39="A",INDEX(組分け!$B$5:$I$41,計算用!$AC$39,(MOD(3-計算用!$AE$39+1,4)+1)*2-1),INDEX(組分け!$L$5:$S$41,計算用!$AC$39,(MOD(3-計算用!$AE$39+1,4)+1)*2-1)))&amp;"")</f>
        <v/>
      </c>
    </row>
    <row r="41" ht="27.75" customHeight="1">
      <c r="A41" s="26">
        <f>計算用!$AD$40</f>
        <v/>
      </c>
      <c r="B41" s="27">
        <f>IF(計算用!$Z$40="","",IF(計算用!$U$24,IF(計算用!$Z$40="A",INDEX(手直し!$B$6:$E$42,計算用!$AC$40,MOD(0-計算用!$AE$40+1,4)+1),INDEX(手直し!$G$6:$J$42,計算用!$AC$40,MOD(0-計算用!$AE$40+1,4)+1)),IF(計算用!$Z$40="A",INDEX(組分け!$B$5:$I$41,計算用!$AC$40,(MOD(0-計算用!$AE$40+1,4)+1)*2-1),INDEX(組分け!$L$5:$S$41,計算用!$AC$40,(MOD(0-計算用!$AE$40+1,4)+1)*2-1)))&amp;"")</f>
        <v/>
      </c>
      <c r="C41" s="27">
        <f>IF(計算用!$Z$40="","",IF(計算用!$U$24,IF(計算用!$Z$40="A",INDEX(手直し!$B$6:$E$42,計算用!$AC$40,MOD(1-計算用!$AE$40+1,4)+1),INDEX(手直し!$G$6:$J$42,計算用!$AC$40,MOD(1-計算用!$AE$40+1,4)+1)),IF(計算用!$Z$40="A",INDEX(組分け!$B$5:$I$41,計算用!$AC$40,(MOD(1-計算用!$AE$40+1,4)+1)*2-1),INDEX(組分け!$L$5:$S$41,計算用!$AC$40,(MOD(1-計算用!$AE$40+1,4)+1)*2-1)))&amp;"")</f>
        <v/>
      </c>
      <c r="D41" s="27">
        <f>IF(計算用!$Z$40="","",IF(計算用!$U$24,IF(計算用!$Z$40="A",INDEX(手直し!$B$6:$E$42,計算用!$AC$40,MOD(2-計算用!$AE$40+1,4)+1),INDEX(手直し!$G$6:$J$42,計算用!$AC$40,MOD(2-計算用!$AE$40+1,4)+1)),IF(計算用!$Z$40="A",INDEX(組分け!$B$5:$I$41,計算用!$AC$40,(MOD(2-計算用!$AE$40+1,4)+1)*2-1),INDEX(組分け!$L$5:$S$41,計算用!$AC$40,(MOD(2-計算用!$AE$40+1,4)+1)*2-1)))&amp;"")</f>
        <v/>
      </c>
      <c r="E41" s="27">
        <f>IF(計算用!$Z$40="","",IF(計算用!$U$24,IF(計算用!$Z$40="A",INDEX(手直し!$B$6:$E$42,計算用!$AC$40,MOD(3-計算用!$AE$40+1,4)+1),INDEX(手直し!$G$6:$J$42,計算用!$AC$40,MOD(3-計算用!$AE$40+1,4)+1)),IF(計算用!$Z$40="A",INDEX(組分け!$B$5:$I$41,計算用!$AC$40,(MOD(3-計算用!$AE$40+1,4)+1)*2-1),INDEX(組分け!$L$5:$S$41,計算用!$AC$40,(MOD(3-計算用!$AE$40+1,4)+1)*2-1)))&amp;"")</f>
        <v/>
      </c>
    </row>
    <row r="42" ht="27.75" customHeight="1">
      <c r="A42" s="26">
        <f>計算用!$AD$41</f>
        <v/>
      </c>
      <c r="B42" s="27">
        <f>IF(計算用!$Z$41="","",IF(計算用!$U$24,IF(計算用!$Z$41="A",INDEX(手直し!$B$6:$E$42,計算用!$AC$41,MOD(0-計算用!$AE$41+1,4)+1),INDEX(手直し!$G$6:$J$42,計算用!$AC$41,MOD(0-計算用!$AE$41+1,4)+1)),IF(計算用!$Z$41="A",INDEX(組分け!$B$5:$I$41,計算用!$AC$41,(MOD(0-計算用!$AE$41+1,4)+1)*2-1),INDEX(組分け!$L$5:$S$41,計算用!$AC$41,(MOD(0-計算用!$AE$41+1,4)+1)*2-1)))&amp;"")</f>
        <v/>
      </c>
      <c r="C42" s="27">
        <f>IF(計算用!$Z$41="","",IF(計算用!$U$24,IF(計算用!$Z$41="A",INDEX(手直し!$B$6:$E$42,計算用!$AC$41,MOD(1-計算用!$AE$41+1,4)+1),INDEX(手直し!$G$6:$J$42,計算用!$AC$41,MOD(1-計算用!$AE$41+1,4)+1)),IF(計算用!$Z$41="A",INDEX(組分け!$B$5:$I$41,計算用!$AC$41,(MOD(1-計算用!$AE$41+1,4)+1)*2-1),INDEX(組分け!$L$5:$S$41,計算用!$AC$41,(MOD(1-計算用!$AE$41+1,4)+1)*2-1)))&amp;"")</f>
        <v/>
      </c>
      <c r="D42" s="27">
        <f>IF(計算用!$Z$41="","",IF(計算用!$U$24,IF(計算用!$Z$41="A",INDEX(手直し!$B$6:$E$42,計算用!$AC$41,MOD(2-計算用!$AE$41+1,4)+1),INDEX(手直し!$G$6:$J$42,計算用!$AC$41,MOD(2-計算用!$AE$41+1,4)+1)),IF(計算用!$Z$41="A",INDEX(組分け!$B$5:$I$41,計算用!$AC$41,(MOD(2-計算用!$AE$41+1,4)+1)*2-1),INDEX(組分け!$L$5:$S$41,計算用!$AC$41,(MOD(2-計算用!$AE$41+1,4)+1)*2-1)))&amp;"")</f>
        <v/>
      </c>
      <c r="E42" s="27">
        <f>IF(計算用!$Z$41="","",IF(計算用!$U$24,IF(計算用!$Z$41="A",INDEX(手直し!$B$6:$E$42,計算用!$AC$41,MOD(3-計算用!$AE$41+1,4)+1),INDEX(手直し!$G$6:$J$42,計算用!$AC$41,MOD(3-計算用!$AE$41+1,4)+1)),IF(計算用!$Z$41="A",INDEX(組分け!$B$5:$I$41,計算用!$AC$41,(MOD(3-計算用!$AE$41+1,4)+1)*2-1),INDEX(組分け!$L$5:$S$41,計算用!$AC$41,(MOD(3-計算用!$AE$41+1,4)+1)*2-1)))&amp;"")</f>
        <v/>
      </c>
    </row>
    <row r="43" ht="27.75" customHeight="1">
      <c r="A43" s="26">
        <f>計算用!$AD$42</f>
        <v/>
      </c>
      <c r="B43" s="27">
        <f>IF(計算用!$Z$42="","",IF(計算用!$U$24,IF(計算用!$Z$42="A",INDEX(手直し!$B$6:$E$42,計算用!$AC$42,MOD(0-計算用!$AE$42+1,4)+1),INDEX(手直し!$G$6:$J$42,計算用!$AC$42,MOD(0-計算用!$AE$42+1,4)+1)),IF(計算用!$Z$42="A",INDEX(組分け!$B$5:$I$41,計算用!$AC$42,(MOD(0-計算用!$AE$42+1,4)+1)*2-1),INDEX(組分け!$L$5:$S$41,計算用!$AC$42,(MOD(0-計算用!$AE$42+1,4)+1)*2-1)))&amp;"")</f>
        <v/>
      </c>
      <c r="C43" s="27">
        <f>IF(計算用!$Z$42="","",IF(計算用!$U$24,IF(計算用!$Z$42="A",INDEX(手直し!$B$6:$E$42,計算用!$AC$42,MOD(1-計算用!$AE$42+1,4)+1),INDEX(手直し!$G$6:$J$42,計算用!$AC$42,MOD(1-計算用!$AE$42+1,4)+1)),IF(計算用!$Z$42="A",INDEX(組分け!$B$5:$I$41,計算用!$AC$42,(MOD(1-計算用!$AE$42+1,4)+1)*2-1),INDEX(組分け!$L$5:$S$41,計算用!$AC$42,(MOD(1-計算用!$AE$42+1,4)+1)*2-1)))&amp;"")</f>
        <v/>
      </c>
      <c r="D43" s="27">
        <f>IF(計算用!$Z$42="","",IF(計算用!$U$24,IF(計算用!$Z$42="A",INDEX(手直し!$B$6:$E$42,計算用!$AC$42,MOD(2-計算用!$AE$42+1,4)+1),INDEX(手直し!$G$6:$J$42,計算用!$AC$42,MOD(2-計算用!$AE$42+1,4)+1)),IF(計算用!$Z$42="A",INDEX(組分け!$B$5:$I$41,計算用!$AC$42,(MOD(2-計算用!$AE$42+1,4)+1)*2-1),INDEX(組分け!$L$5:$S$41,計算用!$AC$42,(MOD(2-計算用!$AE$42+1,4)+1)*2-1)))&amp;"")</f>
        <v/>
      </c>
      <c r="E43" s="27">
        <f>IF(計算用!$Z$42="","",IF(計算用!$U$24,IF(計算用!$Z$42="A",INDEX(手直し!$B$6:$E$42,計算用!$AC$42,MOD(3-計算用!$AE$42+1,4)+1),INDEX(手直し!$G$6:$J$42,計算用!$AC$42,MOD(3-計算用!$AE$42+1,4)+1)),IF(計算用!$Z$42="A",INDEX(組分け!$B$5:$I$41,計算用!$AC$42,(MOD(3-計算用!$AE$42+1,4)+1)*2-1),INDEX(組分け!$L$5:$S$41,計算用!$AC$42,(MOD(3-計算用!$AE$42+1,4)+1)*2-1)))&amp;"")</f>
        <v/>
      </c>
    </row>
    <row r="44" ht="27.75" customHeight="1">
      <c r="A44" s="26">
        <f>計算用!$AD$43</f>
        <v/>
      </c>
      <c r="B44" s="27">
        <f>IF(計算用!$Z$43="","",IF(計算用!$U$24,IF(計算用!$Z$43="A",INDEX(手直し!$B$6:$E$42,計算用!$AC$43,MOD(0-計算用!$AE$43+1,4)+1),INDEX(手直し!$G$6:$J$42,計算用!$AC$43,MOD(0-計算用!$AE$43+1,4)+1)),IF(計算用!$Z$43="A",INDEX(組分け!$B$5:$I$41,計算用!$AC$43,(MOD(0-計算用!$AE$43+1,4)+1)*2-1),INDEX(組分け!$L$5:$S$41,計算用!$AC$43,(MOD(0-計算用!$AE$43+1,4)+1)*2-1)))&amp;"")</f>
        <v/>
      </c>
      <c r="C44" s="27">
        <f>IF(計算用!$Z$43="","",IF(計算用!$U$24,IF(計算用!$Z$43="A",INDEX(手直し!$B$6:$E$42,計算用!$AC$43,MOD(1-計算用!$AE$43+1,4)+1),INDEX(手直し!$G$6:$J$42,計算用!$AC$43,MOD(1-計算用!$AE$43+1,4)+1)),IF(計算用!$Z$43="A",INDEX(組分け!$B$5:$I$41,計算用!$AC$43,(MOD(1-計算用!$AE$43+1,4)+1)*2-1),INDEX(組分け!$L$5:$S$41,計算用!$AC$43,(MOD(1-計算用!$AE$43+1,4)+1)*2-1)))&amp;"")</f>
        <v/>
      </c>
      <c r="D44" s="27">
        <f>IF(計算用!$Z$43="","",IF(計算用!$U$24,IF(計算用!$Z$43="A",INDEX(手直し!$B$6:$E$42,計算用!$AC$43,MOD(2-計算用!$AE$43+1,4)+1),INDEX(手直し!$G$6:$J$42,計算用!$AC$43,MOD(2-計算用!$AE$43+1,4)+1)),IF(計算用!$Z$43="A",INDEX(組分け!$B$5:$I$41,計算用!$AC$43,(MOD(2-計算用!$AE$43+1,4)+1)*2-1),INDEX(組分け!$L$5:$S$41,計算用!$AC$43,(MOD(2-計算用!$AE$43+1,4)+1)*2-1)))&amp;"")</f>
        <v/>
      </c>
      <c r="E44" s="27">
        <f>IF(計算用!$Z$43="","",IF(計算用!$U$24,IF(計算用!$Z$43="A",INDEX(手直し!$B$6:$E$42,計算用!$AC$43,MOD(3-計算用!$AE$43+1,4)+1),INDEX(手直し!$G$6:$J$42,計算用!$AC$43,MOD(3-計算用!$AE$43+1,4)+1)),IF(計算用!$Z$43="A",INDEX(組分け!$B$5:$I$41,計算用!$AC$43,(MOD(3-計算用!$AE$43+1,4)+1)*2-1),INDEX(組分け!$L$5:$S$41,計算用!$AC$43,(MOD(3-計算用!$AE$43+1,4)+1)*2-1)))&amp;"")</f>
        <v/>
      </c>
    </row>
    <row r="45" ht="27.75" customHeight="1">
      <c r="A45" s="26">
        <f>計算用!$AD$44</f>
        <v/>
      </c>
      <c r="B45" s="27">
        <f>IF(計算用!$Z$44="","",IF(計算用!$U$24,IF(計算用!$Z$44="A",INDEX(手直し!$B$6:$E$42,計算用!$AC$44,MOD(0-計算用!$AE$44+1,4)+1),INDEX(手直し!$G$6:$J$42,計算用!$AC$44,MOD(0-計算用!$AE$44+1,4)+1)),IF(計算用!$Z$44="A",INDEX(組分け!$B$5:$I$41,計算用!$AC$44,(MOD(0-計算用!$AE$44+1,4)+1)*2-1),INDEX(組分け!$L$5:$S$41,計算用!$AC$44,(MOD(0-計算用!$AE$44+1,4)+1)*2-1)))&amp;"")</f>
        <v/>
      </c>
      <c r="C45" s="27">
        <f>IF(計算用!$Z$44="","",IF(計算用!$U$24,IF(計算用!$Z$44="A",INDEX(手直し!$B$6:$E$42,計算用!$AC$44,MOD(1-計算用!$AE$44+1,4)+1),INDEX(手直し!$G$6:$J$42,計算用!$AC$44,MOD(1-計算用!$AE$44+1,4)+1)),IF(計算用!$Z$44="A",INDEX(組分け!$B$5:$I$41,計算用!$AC$44,(MOD(1-計算用!$AE$44+1,4)+1)*2-1),INDEX(組分け!$L$5:$S$41,計算用!$AC$44,(MOD(1-計算用!$AE$44+1,4)+1)*2-1)))&amp;"")</f>
        <v/>
      </c>
      <c r="D45" s="27">
        <f>IF(計算用!$Z$44="","",IF(計算用!$U$24,IF(計算用!$Z$44="A",INDEX(手直し!$B$6:$E$42,計算用!$AC$44,MOD(2-計算用!$AE$44+1,4)+1),INDEX(手直し!$G$6:$J$42,計算用!$AC$44,MOD(2-計算用!$AE$44+1,4)+1)),IF(計算用!$Z$44="A",INDEX(組分け!$B$5:$I$41,計算用!$AC$44,(MOD(2-計算用!$AE$44+1,4)+1)*2-1),INDEX(組分け!$L$5:$S$41,計算用!$AC$44,(MOD(2-計算用!$AE$44+1,4)+1)*2-1)))&amp;"")</f>
        <v/>
      </c>
      <c r="E45" s="27">
        <f>IF(計算用!$Z$44="","",IF(計算用!$U$24,IF(計算用!$Z$44="A",INDEX(手直し!$B$6:$E$42,計算用!$AC$44,MOD(3-計算用!$AE$44+1,4)+1),INDEX(手直し!$G$6:$J$42,計算用!$AC$44,MOD(3-計算用!$AE$44+1,4)+1)),IF(計算用!$Z$44="A",INDEX(組分け!$B$5:$I$41,計算用!$AC$44,(MOD(3-計算用!$AE$44+1,4)+1)*2-1),INDEX(組分け!$L$5:$S$41,計算用!$AC$44,(MOD(3-計算用!$AE$44+1,4)+1)*2-1)))&amp;"")</f>
        <v/>
      </c>
    </row>
    <row r="46" ht="27.75" customHeight="1">
      <c r="A46" s="26">
        <f>計算用!$AD$45</f>
        <v/>
      </c>
      <c r="B46" s="27">
        <f>IF(計算用!$Z$45="","",IF(計算用!$U$24,IF(計算用!$Z$45="A",INDEX(手直し!$B$6:$E$42,計算用!$AC$45,MOD(0-計算用!$AE$45+1,4)+1),INDEX(手直し!$G$6:$J$42,計算用!$AC$45,MOD(0-計算用!$AE$45+1,4)+1)),IF(計算用!$Z$45="A",INDEX(組分け!$B$5:$I$41,計算用!$AC$45,(MOD(0-計算用!$AE$45+1,4)+1)*2-1),INDEX(組分け!$L$5:$S$41,計算用!$AC$45,(MOD(0-計算用!$AE$45+1,4)+1)*2-1)))&amp;"")</f>
        <v/>
      </c>
      <c r="C46" s="27">
        <f>IF(計算用!$Z$45="","",IF(計算用!$U$24,IF(計算用!$Z$45="A",INDEX(手直し!$B$6:$E$42,計算用!$AC$45,MOD(1-計算用!$AE$45+1,4)+1),INDEX(手直し!$G$6:$J$42,計算用!$AC$45,MOD(1-計算用!$AE$45+1,4)+1)),IF(計算用!$Z$45="A",INDEX(組分け!$B$5:$I$41,計算用!$AC$45,(MOD(1-計算用!$AE$45+1,4)+1)*2-1),INDEX(組分け!$L$5:$S$41,計算用!$AC$45,(MOD(1-計算用!$AE$45+1,4)+1)*2-1)))&amp;"")</f>
        <v/>
      </c>
      <c r="D46" s="27">
        <f>IF(計算用!$Z$45="","",IF(計算用!$U$24,IF(計算用!$Z$45="A",INDEX(手直し!$B$6:$E$42,計算用!$AC$45,MOD(2-計算用!$AE$45+1,4)+1),INDEX(手直し!$G$6:$J$42,計算用!$AC$45,MOD(2-計算用!$AE$45+1,4)+1)),IF(計算用!$Z$45="A",INDEX(組分け!$B$5:$I$41,計算用!$AC$45,(MOD(2-計算用!$AE$45+1,4)+1)*2-1),INDEX(組分け!$L$5:$S$41,計算用!$AC$45,(MOD(2-計算用!$AE$45+1,4)+1)*2-1)))&amp;"")</f>
        <v/>
      </c>
      <c r="E46" s="27">
        <f>IF(計算用!$Z$45="","",IF(計算用!$U$24,IF(計算用!$Z$45="A",INDEX(手直し!$B$6:$E$42,計算用!$AC$45,MOD(3-計算用!$AE$45+1,4)+1),INDEX(手直し!$G$6:$J$42,計算用!$AC$45,MOD(3-計算用!$AE$45+1,4)+1)),IF(計算用!$Z$45="A",INDEX(組分け!$B$5:$I$41,計算用!$AC$45,(MOD(3-計算用!$AE$45+1,4)+1)*2-1),INDEX(組分け!$L$5:$S$41,計算用!$AC$45,(MOD(3-計算用!$AE$45+1,4)+1)*2-1)))&amp;"")</f>
        <v/>
      </c>
    </row>
    <row r="47" ht="27.75" customHeight="1">
      <c r="A47" s="26">
        <f>計算用!$AD$46</f>
        <v/>
      </c>
      <c r="B47" s="27">
        <f>IF(計算用!$Z$46="","",IF(計算用!$U$24,IF(計算用!$Z$46="A",INDEX(手直し!$B$6:$E$42,計算用!$AC$46,MOD(0-計算用!$AE$46+1,4)+1),INDEX(手直し!$G$6:$J$42,計算用!$AC$46,MOD(0-計算用!$AE$46+1,4)+1)),IF(計算用!$Z$46="A",INDEX(組分け!$B$5:$I$41,計算用!$AC$46,(MOD(0-計算用!$AE$46+1,4)+1)*2-1),INDEX(組分け!$L$5:$S$41,計算用!$AC$46,(MOD(0-計算用!$AE$46+1,4)+1)*2-1)))&amp;"")</f>
        <v/>
      </c>
      <c r="C47" s="27">
        <f>IF(計算用!$Z$46="","",IF(計算用!$U$24,IF(計算用!$Z$46="A",INDEX(手直し!$B$6:$E$42,計算用!$AC$46,MOD(1-計算用!$AE$46+1,4)+1),INDEX(手直し!$G$6:$J$42,計算用!$AC$46,MOD(1-計算用!$AE$46+1,4)+1)),IF(計算用!$Z$46="A",INDEX(組分け!$B$5:$I$41,計算用!$AC$46,(MOD(1-計算用!$AE$46+1,4)+1)*2-1),INDEX(組分け!$L$5:$S$41,計算用!$AC$46,(MOD(1-計算用!$AE$46+1,4)+1)*2-1)))&amp;"")</f>
        <v/>
      </c>
      <c r="D47" s="27">
        <f>IF(計算用!$Z$46="","",IF(計算用!$U$24,IF(計算用!$Z$46="A",INDEX(手直し!$B$6:$E$42,計算用!$AC$46,MOD(2-計算用!$AE$46+1,4)+1),INDEX(手直し!$G$6:$J$42,計算用!$AC$46,MOD(2-計算用!$AE$46+1,4)+1)),IF(計算用!$Z$46="A",INDEX(組分け!$B$5:$I$41,計算用!$AC$46,(MOD(2-計算用!$AE$46+1,4)+1)*2-1),INDEX(組分け!$L$5:$S$41,計算用!$AC$46,(MOD(2-計算用!$AE$46+1,4)+1)*2-1)))&amp;"")</f>
        <v/>
      </c>
      <c r="E47" s="27">
        <f>IF(計算用!$Z$46="","",IF(計算用!$U$24,IF(計算用!$Z$46="A",INDEX(手直し!$B$6:$E$42,計算用!$AC$46,MOD(3-計算用!$AE$46+1,4)+1),INDEX(手直し!$G$6:$J$42,計算用!$AC$46,MOD(3-計算用!$AE$46+1,4)+1)),IF(計算用!$Z$46="A",INDEX(組分け!$B$5:$I$41,計算用!$AC$46,(MOD(3-計算用!$AE$46+1,4)+1)*2-1),INDEX(組分け!$L$5:$S$41,計算用!$AC$46,(MOD(3-計算用!$AE$46+1,4)+1)*2-1)))&amp;"")</f>
        <v/>
      </c>
    </row>
    <row r="48" ht="27.75" customHeight="1">
      <c r="A48" s="26">
        <f>計算用!$AD$47</f>
        <v/>
      </c>
      <c r="B48" s="27">
        <f>IF(計算用!$Z$47="","",IF(計算用!$U$24,IF(計算用!$Z$47="A",INDEX(手直し!$B$6:$E$42,計算用!$AC$47,MOD(0-計算用!$AE$47+1,4)+1),INDEX(手直し!$G$6:$J$42,計算用!$AC$47,MOD(0-計算用!$AE$47+1,4)+1)),IF(計算用!$Z$47="A",INDEX(組分け!$B$5:$I$41,計算用!$AC$47,(MOD(0-計算用!$AE$47+1,4)+1)*2-1),INDEX(組分け!$L$5:$S$41,計算用!$AC$47,(MOD(0-計算用!$AE$47+1,4)+1)*2-1)))&amp;"")</f>
        <v/>
      </c>
      <c r="C48" s="27">
        <f>IF(計算用!$Z$47="","",IF(計算用!$U$24,IF(計算用!$Z$47="A",INDEX(手直し!$B$6:$E$42,計算用!$AC$47,MOD(1-計算用!$AE$47+1,4)+1),INDEX(手直し!$G$6:$J$42,計算用!$AC$47,MOD(1-計算用!$AE$47+1,4)+1)),IF(計算用!$Z$47="A",INDEX(組分け!$B$5:$I$41,計算用!$AC$47,(MOD(1-計算用!$AE$47+1,4)+1)*2-1),INDEX(組分け!$L$5:$S$41,計算用!$AC$47,(MOD(1-計算用!$AE$47+1,4)+1)*2-1)))&amp;"")</f>
        <v/>
      </c>
      <c r="D48" s="27">
        <f>IF(計算用!$Z$47="","",IF(計算用!$U$24,IF(計算用!$Z$47="A",INDEX(手直し!$B$6:$E$42,計算用!$AC$47,MOD(2-計算用!$AE$47+1,4)+1),INDEX(手直し!$G$6:$J$42,計算用!$AC$47,MOD(2-計算用!$AE$47+1,4)+1)),IF(計算用!$Z$47="A",INDEX(組分け!$B$5:$I$41,計算用!$AC$47,(MOD(2-計算用!$AE$47+1,4)+1)*2-1),INDEX(組分け!$L$5:$S$41,計算用!$AC$47,(MOD(2-計算用!$AE$47+1,4)+1)*2-1)))&amp;"")</f>
        <v/>
      </c>
      <c r="E48" s="27">
        <f>IF(計算用!$Z$47="","",IF(計算用!$U$24,IF(計算用!$Z$47="A",INDEX(手直し!$B$6:$E$42,計算用!$AC$47,MOD(3-計算用!$AE$47+1,4)+1),INDEX(手直し!$G$6:$J$42,計算用!$AC$47,MOD(3-計算用!$AE$47+1,4)+1)),IF(計算用!$Z$47="A",INDEX(組分け!$B$5:$I$41,計算用!$AC$47,(MOD(3-計算用!$AE$47+1,4)+1)*2-1),INDEX(組分け!$L$5:$S$41,計算用!$AC$47,(MOD(3-計算用!$AE$47+1,4)+1)*2-1)))&amp;"")</f>
        <v/>
      </c>
    </row>
    <row r="49" ht="27.75" customHeight="1">
      <c r="A49" s="26">
        <f>計算用!$AD$48</f>
        <v/>
      </c>
      <c r="B49" s="27">
        <f>IF(計算用!$Z$48="","",IF(計算用!$U$24,IF(計算用!$Z$48="A",INDEX(手直し!$B$6:$E$42,計算用!$AC$48,MOD(0-計算用!$AE$48+1,4)+1),INDEX(手直し!$G$6:$J$42,計算用!$AC$48,MOD(0-計算用!$AE$48+1,4)+1)),IF(計算用!$Z$48="A",INDEX(組分け!$B$5:$I$41,計算用!$AC$48,(MOD(0-計算用!$AE$48+1,4)+1)*2-1),INDEX(組分け!$L$5:$S$41,計算用!$AC$48,(MOD(0-計算用!$AE$48+1,4)+1)*2-1)))&amp;"")</f>
        <v/>
      </c>
      <c r="C49" s="27">
        <f>IF(計算用!$Z$48="","",IF(計算用!$U$24,IF(計算用!$Z$48="A",INDEX(手直し!$B$6:$E$42,計算用!$AC$48,MOD(1-計算用!$AE$48+1,4)+1),INDEX(手直し!$G$6:$J$42,計算用!$AC$48,MOD(1-計算用!$AE$48+1,4)+1)),IF(計算用!$Z$48="A",INDEX(組分け!$B$5:$I$41,計算用!$AC$48,(MOD(1-計算用!$AE$48+1,4)+1)*2-1),INDEX(組分け!$L$5:$S$41,計算用!$AC$48,(MOD(1-計算用!$AE$48+1,4)+1)*2-1)))&amp;"")</f>
        <v/>
      </c>
      <c r="D49" s="27">
        <f>IF(計算用!$Z$48="","",IF(計算用!$U$24,IF(計算用!$Z$48="A",INDEX(手直し!$B$6:$E$42,計算用!$AC$48,MOD(2-計算用!$AE$48+1,4)+1),INDEX(手直し!$G$6:$J$42,計算用!$AC$48,MOD(2-計算用!$AE$48+1,4)+1)),IF(計算用!$Z$48="A",INDEX(組分け!$B$5:$I$41,計算用!$AC$48,(MOD(2-計算用!$AE$48+1,4)+1)*2-1),INDEX(組分け!$L$5:$S$41,計算用!$AC$48,(MOD(2-計算用!$AE$48+1,4)+1)*2-1)))&amp;"")</f>
        <v/>
      </c>
      <c r="E49" s="27">
        <f>IF(計算用!$Z$48="","",IF(計算用!$U$24,IF(計算用!$Z$48="A",INDEX(手直し!$B$6:$E$42,計算用!$AC$48,MOD(3-計算用!$AE$48+1,4)+1),INDEX(手直し!$G$6:$J$42,計算用!$AC$48,MOD(3-計算用!$AE$48+1,4)+1)),IF(計算用!$Z$48="A",INDEX(組分け!$B$5:$I$41,計算用!$AC$48,(MOD(3-計算用!$AE$48+1,4)+1)*2-1),INDEX(組分け!$L$5:$S$41,計算用!$AC$48,(MOD(3-計算用!$AE$48+1,4)+1)*2-1)))&amp;"")</f>
        <v/>
      </c>
    </row>
    <row r="50" ht="27.75" customHeight="1">
      <c r="A50" s="26">
        <f>計算用!$AD$49</f>
        <v/>
      </c>
      <c r="B50" s="27">
        <f>IF(計算用!$Z$49="","",IF(計算用!$U$24,IF(計算用!$Z$49="A",INDEX(手直し!$B$6:$E$42,計算用!$AC$49,MOD(0-計算用!$AE$49+1,4)+1),INDEX(手直し!$G$6:$J$42,計算用!$AC$49,MOD(0-計算用!$AE$49+1,4)+1)),IF(計算用!$Z$49="A",INDEX(組分け!$B$5:$I$41,計算用!$AC$49,(MOD(0-計算用!$AE$49+1,4)+1)*2-1),INDEX(組分け!$L$5:$S$41,計算用!$AC$49,(MOD(0-計算用!$AE$49+1,4)+1)*2-1)))&amp;"")</f>
        <v/>
      </c>
      <c r="C50" s="27">
        <f>IF(計算用!$Z$49="","",IF(計算用!$U$24,IF(計算用!$Z$49="A",INDEX(手直し!$B$6:$E$42,計算用!$AC$49,MOD(1-計算用!$AE$49+1,4)+1),INDEX(手直し!$G$6:$J$42,計算用!$AC$49,MOD(1-計算用!$AE$49+1,4)+1)),IF(計算用!$Z$49="A",INDEX(組分け!$B$5:$I$41,計算用!$AC$49,(MOD(1-計算用!$AE$49+1,4)+1)*2-1),INDEX(組分け!$L$5:$S$41,計算用!$AC$49,(MOD(1-計算用!$AE$49+1,4)+1)*2-1)))&amp;"")</f>
        <v/>
      </c>
      <c r="D50" s="27">
        <f>IF(計算用!$Z$49="","",IF(計算用!$U$24,IF(計算用!$Z$49="A",INDEX(手直し!$B$6:$E$42,計算用!$AC$49,MOD(2-計算用!$AE$49+1,4)+1),INDEX(手直し!$G$6:$J$42,計算用!$AC$49,MOD(2-計算用!$AE$49+1,4)+1)),IF(計算用!$Z$49="A",INDEX(組分け!$B$5:$I$41,計算用!$AC$49,(MOD(2-計算用!$AE$49+1,4)+1)*2-1),INDEX(組分け!$L$5:$S$41,計算用!$AC$49,(MOD(2-計算用!$AE$49+1,4)+1)*2-1)))&amp;"")</f>
        <v/>
      </c>
      <c r="E50" s="27">
        <f>IF(計算用!$Z$49="","",IF(計算用!$U$24,IF(計算用!$Z$49="A",INDEX(手直し!$B$6:$E$42,計算用!$AC$49,MOD(3-計算用!$AE$49+1,4)+1),INDEX(手直し!$G$6:$J$42,計算用!$AC$49,MOD(3-計算用!$AE$49+1,4)+1)),IF(計算用!$Z$49="A",INDEX(組分け!$B$5:$I$41,計算用!$AC$49,(MOD(3-計算用!$AE$49+1,4)+1)*2-1),INDEX(組分け!$L$5:$S$41,計算用!$AC$49,(MOD(3-計算用!$AE$49+1,4)+1)*2-1)))&amp;"")</f>
        <v/>
      </c>
    </row>
    <row r="51" ht="27.75" customHeight="1">
      <c r="A51" s="26">
        <f>計算用!$AD$50</f>
        <v/>
      </c>
      <c r="B51" s="27">
        <f>IF(計算用!$Z$50="","",IF(計算用!$U$24,IF(計算用!$Z$50="A",INDEX(手直し!$B$6:$E$42,計算用!$AC$50,MOD(0-計算用!$AE$50+1,4)+1),INDEX(手直し!$G$6:$J$42,計算用!$AC$50,MOD(0-計算用!$AE$50+1,4)+1)),IF(計算用!$Z$50="A",INDEX(組分け!$B$5:$I$41,計算用!$AC$50,(MOD(0-計算用!$AE$50+1,4)+1)*2-1),INDEX(組分け!$L$5:$S$41,計算用!$AC$50,(MOD(0-計算用!$AE$50+1,4)+1)*2-1)))&amp;"")</f>
        <v/>
      </c>
      <c r="C51" s="27">
        <f>IF(計算用!$Z$50="","",IF(計算用!$U$24,IF(計算用!$Z$50="A",INDEX(手直し!$B$6:$E$42,計算用!$AC$50,MOD(1-計算用!$AE$50+1,4)+1),INDEX(手直し!$G$6:$J$42,計算用!$AC$50,MOD(1-計算用!$AE$50+1,4)+1)),IF(計算用!$Z$50="A",INDEX(組分け!$B$5:$I$41,計算用!$AC$50,(MOD(1-計算用!$AE$50+1,4)+1)*2-1),INDEX(組分け!$L$5:$S$41,計算用!$AC$50,(MOD(1-計算用!$AE$50+1,4)+1)*2-1)))&amp;"")</f>
        <v/>
      </c>
      <c r="D51" s="27">
        <f>IF(計算用!$Z$50="","",IF(計算用!$U$24,IF(計算用!$Z$50="A",INDEX(手直し!$B$6:$E$42,計算用!$AC$50,MOD(2-計算用!$AE$50+1,4)+1),INDEX(手直し!$G$6:$J$42,計算用!$AC$50,MOD(2-計算用!$AE$50+1,4)+1)),IF(計算用!$Z$50="A",INDEX(組分け!$B$5:$I$41,計算用!$AC$50,(MOD(2-計算用!$AE$50+1,4)+1)*2-1),INDEX(組分け!$L$5:$S$41,計算用!$AC$50,(MOD(2-計算用!$AE$50+1,4)+1)*2-1)))&amp;"")</f>
        <v/>
      </c>
      <c r="E51" s="27">
        <f>IF(計算用!$Z$50="","",IF(計算用!$U$24,IF(計算用!$Z$50="A",INDEX(手直し!$B$6:$E$42,計算用!$AC$50,MOD(3-計算用!$AE$50+1,4)+1),INDEX(手直し!$G$6:$J$42,計算用!$AC$50,MOD(3-計算用!$AE$50+1,4)+1)),IF(計算用!$Z$50="A",INDEX(組分け!$B$5:$I$41,計算用!$AC$50,(MOD(3-計算用!$AE$50+1,4)+1)*2-1),INDEX(組分け!$L$5:$S$41,計算用!$AC$50,(MOD(3-計算用!$AE$50+1,4)+1)*2-1)))&amp;"")</f>
        <v/>
      </c>
    </row>
    <row r="52" ht="27.75" customHeight="1">
      <c r="A52" s="26">
        <f>計算用!$AD$51</f>
        <v/>
      </c>
      <c r="B52" s="27">
        <f>IF(計算用!$Z$51="","",IF(計算用!$U$24,IF(計算用!$Z$51="A",INDEX(手直し!$B$6:$E$42,計算用!$AC$51,MOD(0-計算用!$AE$51+1,4)+1),INDEX(手直し!$G$6:$J$42,計算用!$AC$51,MOD(0-計算用!$AE$51+1,4)+1)),IF(計算用!$Z$51="A",INDEX(組分け!$B$5:$I$41,計算用!$AC$51,(MOD(0-計算用!$AE$51+1,4)+1)*2-1),INDEX(組分け!$L$5:$S$41,計算用!$AC$51,(MOD(0-計算用!$AE$51+1,4)+1)*2-1)))&amp;"")</f>
        <v/>
      </c>
      <c r="C52" s="27">
        <f>IF(計算用!$Z$51="","",IF(計算用!$U$24,IF(計算用!$Z$51="A",INDEX(手直し!$B$6:$E$42,計算用!$AC$51,MOD(1-計算用!$AE$51+1,4)+1),INDEX(手直し!$G$6:$J$42,計算用!$AC$51,MOD(1-計算用!$AE$51+1,4)+1)),IF(計算用!$Z$51="A",INDEX(組分け!$B$5:$I$41,計算用!$AC$51,(MOD(1-計算用!$AE$51+1,4)+1)*2-1),INDEX(組分け!$L$5:$S$41,計算用!$AC$51,(MOD(1-計算用!$AE$51+1,4)+1)*2-1)))&amp;"")</f>
        <v/>
      </c>
      <c r="D52" s="27">
        <f>IF(計算用!$Z$51="","",IF(計算用!$U$24,IF(計算用!$Z$51="A",INDEX(手直し!$B$6:$E$42,計算用!$AC$51,MOD(2-計算用!$AE$51+1,4)+1),INDEX(手直し!$G$6:$J$42,計算用!$AC$51,MOD(2-計算用!$AE$51+1,4)+1)),IF(計算用!$Z$51="A",INDEX(組分け!$B$5:$I$41,計算用!$AC$51,(MOD(2-計算用!$AE$51+1,4)+1)*2-1),INDEX(組分け!$L$5:$S$41,計算用!$AC$51,(MOD(2-計算用!$AE$51+1,4)+1)*2-1)))&amp;"")</f>
        <v/>
      </c>
      <c r="E52" s="27">
        <f>IF(計算用!$Z$51="","",IF(計算用!$U$24,IF(計算用!$Z$51="A",INDEX(手直し!$B$6:$E$42,計算用!$AC$51,MOD(3-計算用!$AE$51+1,4)+1),INDEX(手直し!$G$6:$J$42,計算用!$AC$51,MOD(3-計算用!$AE$51+1,4)+1)),IF(計算用!$Z$51="A",INDEX(組分け!$B$5:$I$41,計算用!$AC$51,(MOD(3-計算用!$AE$51+1,4)+1)*2-1),INDEX(組分け!$L$5:$S$41,計算用!$AC$51,(MOD(3-計算用!$AE$51+1,4)+1)*2-1)))&amp;"")</f>
        <v/>
      </c>
    </row>
    <row r="53" ht="27.75" customHeight="1">
      <c r="A53" s="26">
        <f>計算用!$AD$52</f>
        <v/>
      </c>
      <c r="B53" s="27">
        <f>IF(計算用!$Z$52="","",IF(計算用!$U$24,IF(計算用!$Z$52="A",INDEX(手直し!$B$6:$E$42,計算用!$AC$52,MOD(0-計算用!$AE$52+1,4)+1),INDEX(手直し!$G$6:$J$42,計算用!$AC$52,MOD(0-計算用!$AE$52+1,4)+1)),IF(計算用!$Z$52="A",INDEX(組分け!$B$5:$I$41,計算用!$AC$52,(MOD(0-計算用!$AE$52+1,4)+1)*2-1),INDEX(組分け!$L$5:$S$41,計算用!$AC$52,(MOD(0-計算用!$AE$52+1,4)+1)*2-1)))&amp;"")</f>
        <v/>
      </c>
      <c r="C53" s="27">
        <f>IF(計算用!$Z$52="","",IF(計算用!$U$24,IF(計算用!$Z$52="A",INDEX(手直し!$B$6:$E$42,計算用!$AC$52,MOD(1-計算用!$AE$52+1,4)+1),INDEX(手直し!$G$6:$J$42,計算用!$AC$52,MOD(1-計算用!$AE$52+1,4)+1)),IF(計算用!$Z$52="A",INDEX(組分け!$B$5:$I$41,計算用!$AC$52,(MOD(1-計算用!$AE$52+1,4)+1)*2-1),INDEX(組分け!$L$5:$S$41,計算用!$AC$52,(MOD(1-計算用!$AE$52+1,4)+1)*2-1)))&amp;"")</f>
        <v/>
      </c>
      <c r="D53" s="27">
        <f>IF(計算用!$Z$52="","",IF(計算用!$U$24,IF(計算用!$Z$52="A",INDEX(手直し!$B$6:$E$42,計算用!$AC$52,MOD(2-計算用!$AE$52+1,4)+1),INDEX(手直し!$G$6:$J$42,計算用!$AC$52,MOD(2-計算用!$AE$52+1,4)+1)),IF(計算用!$Z$52="A",INDEX(組分け!$B$5:$I$41,計算用!$AC$52,(MOD(2-計算用!$AE$52+1,4)+1)*2-1),INDEX(組分け!$L$5:$S$41,計算用!$AC$52,(MOD(2-計算用!$AE$52+1,4)+1)*2-1)))&amp;"")</f>
        <v/>
      </c>
      <c r="E53" s="27">
        <f>IF(計算用!$Z$52="","",IF(計算用!$U$24,IF(計算用!$Z$52="A",INDEX(手直し!$B$6:$E$42,計算用!$AC$52,MOD(3-計算用!$AE$52+1,4)+1),INDEX(手直し!$G$6:$J$42,計算用!$AC$52,MOD(3-計算用!$AE$52+1,4)+1)),IF(計算用!$Z$52="A",INDEX(組分け!$B$5:$I$41,計算用!$AC$52,(MOD(3-計算用!$AE$52+1,4)+1)*2-1),INDEX(組分け!$L$5:$S$41,計算用!$AC$52,(MOD(3-計算用!$AE$52+1,4)+1)*2-1)))&amp;"")</f>
        <v/>
      </c>
    </row>
    <row r="54" ht="27.75" customHeight="1">
      <c r="A54" s="26">
        <f>計算用!$AD$53</f>
        <v/>
      </c>
      <c r="B54" s="27">
        <f>IF(計算用!$Z$53="","",IF(計算用!$U$24,IF(計算用!$Z$53="A",INDEX(手直し!$B$6:$E$42,計算用!$AC$53,MOD(0-計算用!$AE$53+1,4)+1),INDEX(手直し!$G$6:$J$42,計算用!$AC$53,MOD(0-計算用!$AE$53+1,4)+1)),IF(計算用!$Z$53="A",INDEX(組分け!$B$5:$I$41,計算用!$AC$53,(MOD(0-計算用!$AE$53+1,4)+1)*2-1),INDEX(組分け!$L$5:$S$41,計算用!$AC$53,(MOD(0-計算用!$AE$53+1,4)+1)*2-1)))&amp;"")</f>
        <v/>
      </c>
      <c r="C54" s="27">
        <f>IF(計算用!$Z$53="","",IF(計算用!$U$24,IF(計算用!$Z$53="A",INDEX(手直し!$B$6:$E$42,計算用!$AC$53,MOD(1-計算用!$AE$53+1,4)+1),INDEX(手直し!$G$6:$J$42,計算用!$AC$53,MOD(1-計算用!$AE$53+1,4)+1)),IF(計算用!$Z$53="A",INDEX(組分け!$B$5:$I$41,計算用!$AC$53,(MOD(1-計算用!$AE$53+1,4)+1)*2-1),INDEX(組分け!$L$5:$S$41,計算用!$AC$53,(MOD(1-計算用!$AE$53+1,4)+1)*2-1)))&amp;"")</f>
        <v/>
      </c>
      <c r="D54" s="27">
        <f>IF(計算用!$Z$53="","",IF(計算用!$U$24,IF(計算用!$Z$53="A",INDEX(手直し!$B$6:$E$42,計算用!$AC$53,MOD(2-計算用!$AE$53+1,4)+1),INDEX(手直し!$G$6:$J$42,計算用!$AC$53,MOD(2-計算用!$AE$53+1,4)+1)),IF(計算用!$Z$53="A",INDEX(組分け!$B$5:$I$41,計算用!$AC$53,(MOD(2-計算用!$AE$53+1,4)+1)*2-1),INDEX(組分け!$L$5:$S$41,計算用!$AC$53,(MOD(2-計算用!$AE$53+1,4)+1)*2-1)))&amp;"")</f>
        <v/>
      </c>
      <c r="E54" s="27">
        <f>IF(計算用!$Z$53="","",IF(計算用!$U$24,IF(計算用!$Z$53="A",INDEX(手直し!$B$6:$E$42,計算用!$AC$53,MOD(3-計算用!$AE$53+1,4)+1),INDEX(手直し!$G$6:$J$42,計算用!$AC$53,MOD(3-計算用!$AE$53+1,4)+1)),IF(計算用!$Z$53="A",INDEX(組分け!$B$5:$I$41,計算用!$AC$53,(MOD(3-計算用!$AE$53+1,4)+1)*2-1),INDEX(組分け!$L$5:$S$41,計算用!$AC$53,(MOD(3-計算用!$AE$53+1,4)+1)*2-1)))&amp;"")</f>
        <v/>
      </c>
    </row>
    <row r="55" ht="27.75" customHeight="1">
      <c r="A55" s="26">
        <f>計算用!$AD$54</f>
        <v/>
      </c>
      <c r="B55" s="27">
        <f>IF(計算用!$Z$54="","",IF(計算用!$U$24,IF(計算用!$Z$54="A",INDEX(手直し!$B$6:$E$42,計算用!$AC$54,MOD(0-計算用!$AE$54+1,4)+1),INDEX(手直し!$G$6:$J$42,計算用!$AC$54,MOD(0-計算用!$AE$54+1,4)+1)),IF(計算用!$Z$54="A",INDEX(組分け!$B$5:$I$41,計算用!$AC$54,(MOD(0-計算用!$AE$54+1,4)+1)*2-1),INDEX(組分け!$L$5:$S$41,計算用!$AC$54,(MOD(0-計算用!$AE$54+1,4)+1)*2-1)))&amp;"")</f>
        <v/>
      </c>
      <c r="C55" s="27">
        <f>IF(計算用!$Z$54="","",IF(計算用!$U$24,IF(計算用!$Z$54="A",INDEX(手直し!$B$6:$E$42,計算用!$AC$54,MOD(1-計算用!$AE$54+1,4)+1),INDEX(手直し!$G$6:$J$42,計算用!$AC$54,MOD(1-計算用!$AE$54+1,4)+1)),IF(計算用!$Z$54="A",INDEX(組分け!$B$5:$I$41,計算用!$AC$54,(MOD(1-計算用!$AE$54+1,4)+1)*2-1),INDEX(組分け!$L$5:$S$41,計算用!$AC$54,(MOD(1-計算用!$AE$54+1,4)+1)*2-1)))&amp;"")</f>
        <v/>
      </c>
      <c r="D55" s="27">
        <f>IF(計算用!$Z$54="","",IF(計算用!$U$24,IF(計算用!$Z$54="A",INDEX(手直し!$B$6:$E$42,計算用!$AC$54,MOD(2-計算用!$AE$54+1,4)+1),INDEX(手直し!$G$6:$J$42,計算用!$AC$54,MOD(2-計算用!$AE$54+1,4)+1)),IF(計算用!$Z$54="A",INDEX(組分け!$B$5:$I$41,計算用!$AC$54,(MOD(2-計算用!$AE$54+1,4)+1)*2-1),INDEX(組分け!$L$5:$S$41,計算用!$AC$54,(MOD(2-計算用!$AE$54+1,4)+1)*2-1)))&amp;"")</f>
        <v/>
      </c>
      <c r="E55" s="27">
        <f>IF(計算用!$Z$54="","",IF(計算用!$U$24,IF(計算用!$Z$54="A",INDEX(手直し!$B$6:$E$42,計算用!$AC$54,MOD(3-計算用!$AE$54+1,4)+1),INDEX(手直し!$G$6:$J$42,計算用!$AC$54,MOD(3-計算用!$AE$54+1,4)+1)),IF(計算用!$Z$54="A",INDEX(組分け!$B$5:$I$41,計算用!$AC$54,(MOD(3-計算用!$AE$54+1,4)+1)*2-1),INDEX(組分け!$L$5:$S$41,計算用!$AC$54,(MOD(3-計算用!$AE$54+1,4)+1)*2-1)))&amp;"")</f>
        <v/>
      </c>
    </row>
    <row r="56" ht="27.75" customHeight="1">
      <c r="A56" s="26">
        <f>計算用!$AD$55</f>
        <v/>
      </c>
      <c r="B56" s="27">
        <f>IF(計算用!$Z$55="","",IF(計算用!$U$24,IF(計算用!$Z$55="A",INDEX(手直し!$B$6:$E$42,計算用!$AC$55,MOD(0-計算用!$AE$55+1,4)+1),INDEX(手直し!$G$6:$J$42,計算用!$AC$55,MOD(0-計算用!$AE$55+1,4)+1)),IF(計算用!$Z$55="A",INDEX(組分け!$B$5:$I$41,計算用!$AC$55,(MOD(0-計算用!$AE$55+1,4)+1)*2-1),INDEX(組分け!$L$5:$S$41,計算用!$AC$55,(MOD(0-計算用!$AE$55+1,4)+1)*2-1)))&amp;"")</f>
        <v/>
      </c>
      <c r="C56" s="27">
        <f>IF(計算用!$Z$55="","",IF(計算用!$U$24,IF(計算用!$Z$55="A",INDEX(手直し!$B$6:$E$42,計算用!$AC$55,MOD(1-計算用!$AE$55+1,4)+1),INDEX(手直し!$G$6:$J$42,計算用!$AC$55,MOD(1-計算用!$AE$55+1,4)+1)),IF(計算用!$Z$55="A",INDEX(組分け!$B$5:$I$41,計算用!$AC$55,(MOD(1-計算用!$AE$55+1,4)+1)*2-1),INDEX(組分け!$L$5:$S$41,計算用!$AC$55,(MOD(1-計算用!$AE$55+1,4)+1)*2-1)))&amp;"")</f>
        <v/>
      </c>
      <c r="D56" s="27">
        <f>IF(計算用!$Z$55="","",IF(計算用!$U$24,IF(計算用!$Z$55="A",INDEX(手直し!$B$6:$E$42,計算用!$AC$55,MOD(2-計算用!$AE$55+1,4)+1),INDEX(手直し!$G$6:$J$42,計算用!$AC$55,MOD(2-計算用!$AE$55+1,4)+1)),IF(計算用!$Z$55="A",INDEX(組分け!$B$5:$I$41,計算用!$AC$55,(MOD(2-計算用!$AE$55+1,4)+1)*2-1),INDEX(組分け!$L$5:$S$41,計算用!$AC$55,(MOD(2-計算用!$AE$55+1,4)+1)*2-1)))&amp;"")</f>
        <v/>
      </c>
      <c r="E56" s="27">
        <f>IF(計算用!$Z$55="","",IF(計算用!$U$24,IF(計算用!$Z$55="A",INDEX(手直し!$B$6:$E$42,計算用!$AC$55,MOD(3-計算用!$AE$55+1,4)+1),INDEX(手直し!$G$6:$J$42,計算用!$AC$55,MOD(3-計算用!$AE$55+1,4)+1)),IF(計算用!$Z$55="A",INDEX(組分け!$B$5:$I$41,計算用!$AC$55,(MOD(3-計算用!$AE$55+1,4)+1)*2-1),INDEX(組分け!$L$5:$S$41,計算用!$AC$55,(MOD(3-計算用!$AE$55+1,4)+1)*2-1)))&amp;"")</f>
        <v/>
      </c>
    </row>
    <row r="57" ht="27.75" customHeight="1">
      <c r="A57" s="26">
        <f>計算用!$AD$56</f>
        <v/>
      </c>
      <c r="B57" s="27">
        <f>IF(計算用!$Z$56="","",IF(計算用!$U$24,IF(計算用!$Z$56="A",INDEX(手直し!$B$6:$E$42,計算用!$AC$56,MOD(0-計算用!$AE$56+1,4)+1),INDEX(手直し!$G$6:$J$42,計算用!$AC$56,MOD(0-計算用!$AE$56+1,4)+1)),IF(計算用!$Z$56="A",INDEX(組分け!$B$5:$I$41,計算用!$AC$56,(MOD(0-計算用!$AE$56+1,4)+1)*2-1),INDEX(組分け!$L$5:$S$41,計算用!$AC$56,(MOD(0-計算用!$AE$56+1,4)+1)*2-1)))&amp;"")</f>
        <v/>
      </c>
      <c r="C57" s="27">
        <f>IF(計算用!$Z$56="","",IF(計算用!$U$24,IF(計算用!$Z$56="A",INDEX(手直し!$B$6:$E$42,計算用!$AC$56,MOD(1-計算用!$AE$56+1,4)+1),INDEX(手直し!$G$6:$J$42,計算用!$AC$56,MOD(1-計算用!$AE$56+1,4)+1)),IF(計算用!$Z$56="A",INDEX(組分け!$B$5:$I$41,計算用!$AC$56,(MOD(1-計算用!$AE$56+1,4)+1)*2-1),INDEX(組分け!$L$5:$S$41,計算用!$AC$56,(MOD(1-計算用!$AE$56+1,4)+1)*2-1)))&amp;"")</f>
        <v/>
      </c>
      <c r="D57" s="27">
        <f>IF(計算用!$Z$56="","",IF(計算用!$U$24,IF(計算用!$Z$56="A",INDEX(手直し!$B$6:$E$42,計算用!$AC$56,MOD(2-計算用!$AE$56+1,4)+1),INDEX(手直し!$G$6:$J$42,計算用!$AC$56,MOD(2-計算用!$AE$56+1,4)+1)),IF(計算用!$Z$56="A",INDEX(組分け!$B$5:$I$41,計算用!$AC$56,(MOD(2-計算用!$AE$56+1,4)+1)*2-1),INDEX(組分け!$L$5:$S$41,計算用!$AC$56,(MOD(2-計算用!$AE$56+1,4)+1)*2-1)))&amp;"")</f>
        <v/>
      </c>
      <c r="E57" s="27">
        <f>IF(計算用!$Z$56="","",IF(計算用!$U$24,IF(計算用!$Z$56="A",INDEX(手直し!$B$6:$E$42,計算用!$AC$56,MOD(3-計算用!$AE$56+1,4)+1),INDEX(手直し!$G$6:$J$42,計算用!$AC$56,MOD(3-計算用!$AE$56+1,4)+1)),IF(計算用!$Z$56="A",INDEX(組分け!$B$5:$I$41,計算用!$AC$56,(MOD(3-計算用!$AE$56+1,4)+1)*2-1),INDEX(組分け!$L$5:$S$41,計算用!$AC$56,(MOD(3-計算用!$AE$56+1,4)+1)*2-1)))&amp;"")</f>
        <v/>
      </c>
    </row>
    <row r="58" ht="27.75" customHeight="1">
      <c r="A58" s="26">
        <f>計算用!$AD$57</f>
        <v/>
      </c>
      <c r="B58" s="27">
        <f>IF(計算用!$Z$57="","",IF(計算用!$U$24,IF(計算用!$Z$57="A",INDEX(手直し!$B$6:$E$42,計算用!$AC$57,MOD(0-計算用!$AE$57+1,4)+1),INDEX(手直し!$G$6:$J$42,計算用!$AC$57,MOD(0-計算用!$AE$57+1,4)+1)),IF(計算用!$Z$57="A",INDEX(組分け!$B$5:$I$41,計算用!$AC$57,(MOD(0-計算用!$AE$57+1,4)+1)*2-1),INDEX(組分け!$L$5:$S$41,計算用!$AC$57,(MOD(0-計算用!$AE$57+1,4)+1)*2-1)))&amp;"")</f>
        <v/>
      </c>
      <c r="C58" s="27">
        <f>IF(計算用!$Z$57="","",IF(計算用!$U$24,IF(計算用!$Z$57="A",INDEX(手直し!$B$6:$E$42,計算用!$AC$57,MOD(1-計算用!$AE$57+1,4)+1),INDEX(手直し!$G$6:$J$42,計算用!$AC$57,MOD(1-計算用!$AE$57+1,4)+1)),IF(計算用!$Z$57="A",INDEX(組分け!$B$5:$I$41,計算用!$AC$57,(MOD(1-計算用!$AE$57+1,4)+1)*2-1),INDEX(組分け!$L$5:$S$41,計算用!$AC$57,(MOD(1-計算用!$AE$57+1,4)+1)*2-1)))&amp;"")</f>
        <v/>
      </c>
      <c r="D58" s="27">
        <f>IF(計算用!$Z$57="","",IF(計算用!$U$24,IF(計算用!$Z$57="A",INDEX(手直し!$B$6:$E$42,計算用!$AC$57,MOD(2-計算用!$AE$57+1,4)+1),INDEX(手直し!$G$6:$J$42,計算用!$AC$57,MOD(2-計算用!$AE$57+1,4)+1)),IF(計算用!$Z$57="A",INDEX(組分け!$B$5:$I$41,計算用!$AC$57,(MOD(2-計算用!$AE$57+1,4)+1)*2-1),INDEX(組分け!$L$5:$S$41,計算用!$AC$57,(MOD(2-計算用!$AE$57+1,4)+1)*2-1)))&amp;"")</f>
        <v/>
      </c>
      <c r="E58" s="27">
        <f>IF(計算用!$Z$57="","",IF(計算用!$U$24,IF(計算用!$Z$57="A",INDEX(手直し!$B$6:$E$42,計算用!$AC$57,MOD(3-計算用!$AE$57+1,4)+1),INDEX(手直し!$G$6:$J$42,計算用!$AC$57,MOD(3-計算用!$AE$57+1,4)+1)),IF(計算用!$Z$57="A",INDEX(組分け!$B$5:$I$41,計算用!$AC$57,(MOD(3-計算用!$AE$57+1,4)+1)*2-1),INDEX(組分け!$L$5:$S$41,計算用!$AC$57,(MOD(3-計算用!$AE$57+1,4)+1)*2-1)))&amp;"")</f>
        <v/>
      </c>
    </row>
    <row r="59" ht="27.75" customHeight="1">
      <c r="A59" s="26">
        <f>計算用!$AD$58</f>
        <v/>
      </c>
      <c r="B59" s="27">
        <f>IF(計算用!$Z$58="","",IF(計算用!$U$24,IF(計算用!$Z$58="A",INDEX(手直し!$B$6:$E$42,計算用!$AC$58,MOD(0-計算用!$AE$58+1,4)+1),INDEX(手直し!$G$6:$J$42,計算用!$AC$58,MOD(0-計算用!$AE$58+1,4)+1)),IF(計算用!$Z$58="A",INDEX(組分け!$B$5:$I$41,計算用!$AC$58,(MOD(0-計算用!$AE$58+1,4)+1)*2-1),INDEX(組分け!$L$5:$S$41,計算用!$AC$58,(MOD(0-計算用!$AE$58+1,4)+1)*2-1)))&amp;"")</f>
        <v/>
      </c>
      <c r="C59" s="27">
        <f>IF(計算用!$Z$58="","",IF(計算用!$U$24,IF(計算用!$Z$58="A",INDEX(手直し!$B$6:$E$42,計算用!$AC$58,MOD(1-計算用!$AE$58+1,4)+1),INDEX(手直し!$G$6:$J$42,計算用!$AC$58,MOD(1-計算用!$AE$58+1,4)+1)),IF(計算用!$Z$58="A",INDEX(組分け!$B$5:$I$41,計算用!$AC$58,(MOD(1-計算用!$AE$58+1,4)+1)*2-1),INDEX(組分け!$L$5:$S$41,計算用!$AC$58,(MOD(1-計算用!$AE$58+1,4)+1)*2-1)))&amp;"")</f>
        <v/>
      </c>
      <c r="D59" s="27">
        <f>IF(計算用!$Z$58="","",IF(計算用!$U$24,IF(計算用!$Z$58="A",INDEX(手直し!$B$6:$E$42,計算用!$AC$58,MOD(2-計算用!$AE$58+1,4)+1),INDEX(手直し!$G$6:$J$42,計算用!$AC$58,MOD(2-計算用!$AE$58+1,4)+1)),IF(計算用!$Z$58="A",INDEX(組分け!$B$5:$I$41,計算用!$AC$58,(MOD(2-計算用!$AE$58+1,4)+1)*2-1),INDEX(組分け!$L$5:$S$41,計算用!$AC$58,(MOD(2-計算用!$AE$58+1,4)+1)*2-1)))&amp;"")</f>
        <v/>
      </c>
      <c r="E59" s="27">
        <f>IF(計算用!$Z$58="","",IF(計算用!$U$24,IF(計算用!$Z$58="A",INDEX(手直し!$B$6:$E$42,計算用!$AC$58,MOD(3-計算用!$AE$58+1,4)+1),INDEX(手直し!$G$6:$J$42,計算用!$AC$58,MOD(3-計算用!$AE$58+1,4)+1)),IF(計算用!$Z$58="A",INDEX(組分け!$B$5:$I$41,計算用!$AC$58,(MOD(3-計算用!$AE$58+1,4)+1)*2-1),INDEX(組分け!$L$5:$S$41,計算用!$AC$58,(MOD(3-計算用!$AE$58+1,4)+1)*2-1)))&amp;"")</f>
        <v/>
      </c>
    </row>
    <row r="60" ht="27.75" customHeight="1">
      <c r="A60" s="26">
        <f>計算用!$AD$59</f>
        <v/>
      </c>
      <c r="B60" s="27">
        <f>IF(計算用!$Z$59="","",IF(計算用!$U$24,IF(計算用!$Z$59="A",INDEX(手直し!$B$6:$E$42,計算用!$AC$59,MOD(0-計算用!$AE$59+1,4)+1),INDEX(手直し!$G$6:$J$42,計算用!$AC$59,MOD(0-計算用!$AE$59+1,4)+1)),IF(計算用!$Z$59="A",INDEX(組分け!$B$5:$I$41,計算用!$AC$59,(MOD(0-計算用!$AE$59+1,4)+1)*2-1),INDEX(組分け!$L$5:$S$41,計算用!$AC$59,(MOD(0-計算用!$AE$59+1,4)+1)*2-1)))&amp;"")</f>
        <v/>
      </c>
      <c r="C60" s="27">
        <f>IF(計算用!$Z$59="","",IF(計算用!$U$24,IF(計算用!$Z$59="A",INDEX(手直し!$B$6:$E$42,計算用!$AC$59,MOD(1-計算用!$AE$59+1,4)+1),INDEX(手直し!$G$6:$J$42,計算用!$AC$59,MOD(1-計算用!$AE$59+1,4)+1)),IF(計算用!$Z$59="A",INDEX(組分け!$B$5:$I$41,計算用!$AC$59,(MOD(1-計算用!$AE$59+1,4)+1)*2-1),INDEX(組分け!$L$5:$S$41,計算用!$AC$59,(MOD(1-計算用!$AE$59+1,4)+1)*2-1)))&amp;"")</f>
        <v/>
      </c>
      <c r="D60" s="27">
        <f>IF(計算用!$Z$59="","",IF(計算用!$U$24,IF(計算用!$Z$59="A",INDEX(手直し!$B$6:$E$42,計算用!$AC$59,MOD(2-計算用!$AE$59+1,4)+1),INDEX(手直し!$G$6:$J$42,計算用!$AC$59,MOD(2-計算用!$AE$59+1,4)+1)),IF(計算用!$Z$59="A",INDEX(組分け!$B$5:$I$41,計算用!$AC$59,(MOD(2-計算用!$AE$59+1,4)+1)*2-1),INDEX(組分け!$L$5:$S$41,計算用!$AC$59,(MOD(2-計算用!$AE$59+1,4)+1)*2-1)))&amp;"")</f>
        <v/>
      </c>
      <c r="E60" s="27">
        <f>IF(計算用!$Z$59="","",IF(計算用!$U$24,IF(計算用!$Z$59="A",INDEX(手直し!$B$6:$E$42,計算用!$AC$59,MOD(3-計算用!$AE$59+1,4)+1),INDEX(手直し!$G$6:$J$42,計算用!$AC$59,MOD(3-計算用!$AE$59+1,4)+1)),IF(計算用!$Z$59="A",INDEX(組分け!$B$5:$I$41,計算用!$AC$59,(MOD(3-計算用!$AE$59+1,4)+1)*2-1),INDEX(組分け!$L$5:$S$41,計算用!$AC$59,(MOD(3-計算用!$AE$59+1,4)+1)*2-1)))&amp;"")</f>
        <v/>
      </c>
    </row>
    <row r="61" ht="27.75" customHeight="1">
      <c r="A61" s="26">
        <f>計算用!$AD$60</f>
        <v/>
      </c>
      <c r="B61" s="27">
        <f>IF(計算用!$Z$60="","",IF(計算用!$U$24,IF(計算用!$Z$60="A",INDEX(手直し!$B$6:$E$42,計算用!$AC$60,MOD(0-計算用!$AE$60+1,4)+1),INDEX(手直し!$G$6:$J$42,計算用!$AC$60,MOD(0-計算用!$AE$60+1,4)+1)),IF(計算用!$Z$60="A",INDEX(組分け!$B$5:$I$41,計算用!$AC$60,(MOD(0-計算用!$AE$60+1,4)+1)*2-1),INDEX(組分け!$L$5:$S$41,計算用!$AC$60,(MOD(0-計算用!$AE$60+1,4)+1)*2-1)))&amp;"")</f>
        <v/>
      </c>
      <c r="C61" s="27">
        <f>IF(計算用!$Z$60="","",IF(計算用!$U$24,IF(計算用!$Z$60="A",INDEX(手直し!$B$6:$E$42,計算用!$AC$60,MOD(1-計算用!$AE$60+1,4)+1),INDEX(手直し!$G$6:$J$42,計算用!$AC$60,MOD(1-計算用!$AE$60+1,4)+1)),IF(計算用!$Z$60="A",INDEX(組分け!$B$5:$I$41,計算用!$AC$60,(MOD(1-計算用!$AE$60+1,4)+1)*2-1),INDEX(組分け!$L$5:$S$41,計算用!$AC$60,(MOD(1-計算用!$AE$60+1,4)+1)*2-1)))&amp;"")</f>
        <v/>
      </c>
      <c r="D61" s="27">
        <f>IF(計算用!$Z$60="","",IF(計算用!$U$24,IF(計算用!$Z$60="A",INDEX(手直し!$B$6:$E$42,計算用!$AC$60,MOD(2-計算用!$AE$60+1,4)+1),INDEX(手直し!$G$6:$J$42,計算用!$AC$60,MOD(2-計算用!$AE$60+1,4)+1)),IF(計算用!$Z$60="A",INDEX(組分け!$B$5:$I$41,計算用!$AC$60,(MOD(2-計算用!$AE$60+1,4)+1)*2-1),INDEX(組分け!$L$5:$S$41,計算用!$AC$60,(MOD(2-計算用!$AE$60+1,4)+1)*2-1)))&amp;"")</f>
        <v/>
      </c>
      <c r="E61" s="27">
        <f>IF(計算用!$Z$60="","",IF(計算用!$U$24,IF(計算用!$Z$60="A",INDEX(手直し!$B$6:$E$42,計算用!$AC$60,MOD(3-計算用!$AE$60+1,4)+1),INDEX(手直し!$G$6:$J$42,計算用!$AC$60,MOD(3-計算用!$AE$60+1,4)+1)),IF(計算用!$Z$60="A",INDEX(組分け!$B$5:$I$41,計算用!$AC$60,(MOD(3-計算用!$AE$60+1,4)+1)*2-1),INDEX(組分け!$L$5:$S$41,計算用!$AC$60,(MOD(3-計算用!$AE$60+1,4)+1)*2-1)))&amp;"")</f>
        <v/>
      </c>
    </row>
    <row r="62" ht="27.75" customHeight="1">
      <c r="A62" s="26">
        <f>計算用!$AD$61</f>
        <v/>
      </c>
      <c r="B62" s="27">
        <f>IF(計算用!$Z$61="","",IF(計算用!$U$24,IF(計算用!$Z$61="A",INDEX(手直し!$B$6:$E$42,計算用!$AC$61,MOD(0-計算用!$AE$61+1,4)+1),INDEX(手直し!$G$6:$J$42,計算用!$AC$61,MOD(0-計算用!$AE$61+1,4)+1)),IF(計算用!$Z$61="A",INDEX(組分け!$B$5:$I$41,計算用!$AC$61,(MOD(0-計算用!$AE$61+1,4)+1)*2-1),INDEX(組分け!$L$5:$S$41,計算用!$AC$61,(MOD(0-計算用!$AE$61+1,4)+1)*2-1)))&amp;"")</f>
        <v/>
      </c>
      <c r="C62" s="27">
        <f>IF(計算用!$Z$61="","",IF(計算用!$U$24,IF(計算用!$Z$61="A",INDEX(手直し!$B$6:$E$42,計算用!$AC$61,MOD(1-計算用!$AE$61+1,4)+1),INDEX(手直し!$G$6:$J$42,計算用!$AC$61,MOD(1-計算用!$AE$61+1,4)+1)),IF(計算用!$Z$61="A",INDEX(組分け!$B$5:$I$41,計算用!$AC$61,(MOD(1-計算用!$AE$61+1,4)+1)*2-1),INDEX(組分け!$L$5:$S$41,計算用!$AC$61,(MOD(1-計算用!$AE$61+1,4)+1)*2-1)))&amp;"")</f>
        <v/>
      </c>
      <c r="D62" s="27">
        <f>IF(計算用!$Z$61="","",IF(計算用!$U$24,IF(計算用!$Z$61="A",INDEX(手直し!$B$6:$E$42,計算用!$AC$61,MOD(2-計算用!$AE$61+1,4)+1),INDEX(手直し!$G$6:$J$42,計算用!$AC$61,MOD(2-計算用!$AE$61+1,4)+1)),IF(計算用!$Z$61="A",INDEX(組分け!$B$5:$I$41,計算用!$AC$61,(MOD(2-計算用!$AE$61+1,4)+1)*2-1),INDEX(組分け!$L$5:$S$41,計算用!$AC$61,(MOD(2-計算用!$AE$61+1,4)+1)*2-1)))&amp;"")</f>
        <v/>
      </c>
      <c r="E62" s="27">
        <f>IF(計算用!$Z$61="","",IF(計算用!$U$24,IF(計算用!$Z$61="A",INDEX(手直し!$B$6:$E$42,計算用!$AC$61,MOD(3-計算用!$AE$61+1,4)+1),INDEX(手直し!$G$6:$J$42,計算用!$AC$61,MOD(3-計算用!$AE$61+1,4)+1)),IF(計算用!$Z$61="A",INDEX(組分け!$B$5:$I$41,計算用!$AC$61,(MOD(3-計算用!$AE$61+1,4)+1)*2-1),INDEX(組分け!$L$5:$S$41,計算用!$AC$61,(MOD(3-計算用!$AE$61+1,4)+1)*2-1)))&amp;"")</f>
        <v/>
      </c>
    </row>
    <row r="63" ht="27.75" customHeight="1">
      <c r="A63" s="26">
        <f>計算用!$AD$62</f>
        <v/>
      </c>
      <c r="B63" s="27">
        <f>IF(計算用!$Z$62="","",IF(計算用!$U$24,IF(計算用!$Z$62="A",INDEX(手直し!$B$6:$E$42,計算用!$AC$62,MOD(0-計算用!$AE$62+1,4)+1),INDEX(手直し!$G$6:$J$42,計算用!$AC$62,MOD(0-計算用!$AE$62+1,4)+1)),IF(計算用!$Z$62="A",INDEX(組分け!$B$5:$I$41,計算用!$AC$62,(MOD(0-計算用!$AE$62+1,4)+1)*2-1),INDEX(組分け!$L$5:$S$41,計算用!$AC$62,(MOD(0-計算用!$AE$62+1,4)+1)*2-1)))&amp;"")</f>
        <v/>
      </c>
      <c r="C63" s="27">
        <f>IF(計算用!$Z$62="","",IF(計算用!$U$24,IF(計算用!$Z$62="A",INDEX(手直し!$B$6:$E$42,計算用!$AC$62,MOD(1-計算用!$AE$62+1,4)+1),INDEX(手直し!$G$6:$J$42,計算用!$AC$62,MOD(1-計算用!$AE$62+1,4)+1)),IF(計算用!$Z$62="A",INDEX(組分け!$B$5:$I$41,計算用!$AC$62,(MOD(1-計算用!$AE$62+1,4)+1)*2-1),INDEX(組分け!$L$5:$S$41,計算用!$AC$62,(MOD(1-計算用!$AE$62+1,4)+1)*2-1)))&amp;"")</f>
        <v/>
      </c>
      <c r="D63" s="27">
        <f>IF(計算用!$Z$62="","",IF(計算用!$U$24,IF(計算用!$Z$62="A",INDEX(手直し!$B$6:$E$42,計算用!$AC$62,MOD(2-計算用!$AE$62+1,4)+1),INDEX(手直し!$G$6:$J$42,計算用!$AC$62,MOD(2-計算用!$AE$62+1,4)+1)),IF(計算用!$Z$62="A",INDEX(組分け!$B$5:$I$41,計算用!$AC$62,(MOD(2-計算用!$AE$62+1,4)+1)*2-1),INDEX(組分け!$L$5:$S$41,計算用!$AC$62,(MOD(2-計算用!$AE$62+1,4)+1)*2-1)))&amp;"")</f>
        <v/>
      </c>
      <c r="E63" s="27">
        <f>IF(計算用!$Z$62="","",IF(計算用!$U$24,IF(計算用!$Z$62="A",INDEX(手直し!$B$6:$E$42,計算用!$AC$62,MOD(3-計算用!$AE$62+1,4)+1),INDEX(手直し!$G$6:$J$42,計算用!$AC$62,MOD(3-計算用!$AE$62+1,4)+1)),IF(計算用!$Z$62="A",INDEX(組分け!$B$5:$I$41,計算用!$AC$62,(MOD(3-計算用!$AE$62+1,4)+1)*2-1),INDEX(組分け!$L$5:$S$41,計算用!$AC$62,(MOD(3-計算用!$AE$62+1,4)+1)*2-1)))&amp;"")</f>
        <v/>
      </c>
    </row>
    <row r="64" ht="27.75" customHeight="1">
      <c r="A64" s="26">
        <f>計算用!$AD$63</f>
        <v/>
      </c>
      <c r="B64" s="27">
        <f>IF(計算用!$Z$63="","",IF(計算用!$U$24,IF(計算用!$Z$63="A",INDEX(手直し!$B$6:$E$42,計算用!$AC$63,MOD(0-計算用!$AE$63+1,4)+1),INDEX(手直し!$G$6:$J$42,計算用!$AC$63,MOD(0-計算用!$AE$63+1,4)+1)),IF(計算用!$Z$63="A",INDEX(組分け!$B$5:$I$41,計算用!$AC$63,(MOD(0-計算用!$AE$63+1,4)+1)*2-1),INDEX(組分け!$L$5:$S$41,計算用!$AC$63,(MOD(0-計算用!$AE$63+1,4)+1)*2-1)))&amp;"")</f>
        <v/>
      </c>
      <c r="C64" s="27">
        <f>IF(計算用!$Z$63="","",IF(計算用!$U$24,IF(計算用!$Z$63="A",INDEX(手直し!$B$6:$E$42,計算用!$AC$63,MOD(1-計算用!$AE$63+1,4)+1),INDEX(手直し!$G$6:$J$42,計算用!$AC$63,MOD(1-計算用!$AE$63+1,4)+1)),IF(計算用!$Z$63="A",INDEX(組分け!$B$5:$I$41,計算用!$AC$63,(MOD(1-計算用!$AE$63+1,4)+1)*2-1),INDEX(組分け!$L$5:$S$41,計算用!$AC$63,(MOD(1-計算用!$AE$63+1,4)+1)*2-1)))&amp;"")</f>
        <v/>
      </c>
      <c r="D64" s="27">
        <f>IF(計算用!$Z$63="","",IF(計算用!$U$24,IF(計算用!$Z$63="A",INDEX(手直し!$B$6:$E$42,計算用!$AC$63,MOD(2-計算用!$AE$63+1,4)+1),INDEX(手直し!$G$6:$J$42,計算用!$AC$63,MOD(2-計算用!$AE$63+1,4)+1)),IF(計算用!$Z$63="A",INDEX(組分け!$B$5:$I$41,計算用!$AC$63,(MOD(2-計算用!$AE$63+1,4)+1)*2-1),INDEX(組分け!$L$5:$S$41,計算用!$AC$63,(MOD(2-計算用!$AE$63+1,4)+1)*2-1)))&amp;"")</f>
        <v/>
      </c>
      <c r="E64" s="27">
        <f>IF(計算用!$Z$63="","",IF(計算用!$U$24,IF(計算用!$Z$63="A",INDEX(手直し!$B$6:$E$42,計算用!$AC$63,MOD(3-計算用!$AE$63+1,4)+1),INDEX(手直し!$G$6:$J$42,計算用!$AC$63,MOD(3-計算用!$AE$63+1,4)+1)),IF(計算用!$Z$63="A",INDEX(組分け!$B$5:$I$41,計算用!$AC$63,(MOD(3-計算用!$AE$63+1,4)+1)*2-1),INDEX(組分け!$L$5:$S$41,計算用!$AC$63,(MOD(3-計算用!$AE$63+1,4)+1)*2-1)))&amp;"")</f>
        <v/>
      </c>
    </row>
    <row r="65" ht="27.75" customHeight="1">
      <c r="A65" s="26">
        <f>計算用!$AD$64</f>
        <v/>
      </c>
      <c r="B65" s="27">
        <f>IF(計算用!$Z$64="","",IF(計算用!$U$24,IF(計算用!$Z$64="A",INDEX(手直し!$B$6:$E$42,計算用!$AC$64,MOD(0-計算用!$AE$64+1,4)+1),INDEX(手直し!$G$6:$J$42,計算用!$AC$64,MOD(0-計算用!$AE$64+1,4)+1)),IF(計算用!$Z$64="A",INDEX(組分け!$B$5:$I$41,計算用!$AC$64,(MOD(0-計算用!$AE$64+1,4)+1)*2-1),INDEX(組分け!$L$5:$S$41,計算用!$AC$64,(MOD(0-計算用!$AE$64+1,4)+1)*2-1)))&amp;"")</f>
        <v/>
      </c>
      <c r="C65" s="27">
        <f>IF(計算用!$Z$64="","",IF(計算用!$U$24,IF(計算用!$Z$64="A",INDEX(手直し!$B$6:$E$42,計算用!$AC$64,MOD(1-計算用!$AE$64+1,4)+1),INDEX(手直し!$G$6:$J$42,計算用!$AC$64,MOD(1-計算用!$AE$64+1,4)+1)),IF(計算用!$Z$64="A",INDEX(組分け!$B$5:$I$41,計算用!$AC$64,(MOD(1-計算用!$AE$64+1,4)+1)*2-1),INDEX(組分け!$L$5:$S$41,計算用!$AC$64,(MOD(1-計算用!$AE$64+1,4)+1)*2-1)))&amp;"")</f>
        <v/>
      </c>
      <c r="D65" s="27">
        <f>IF(計算用!$Z$64="","",IF(計算用!$U$24,IF(計算用!$Z$64="A",INDEX(手直し!$B$6:$E$42,計算用!$AC$64,MOD(2-計算用!$AE$64+1,4)+1),INDEX(手直し!$G$6:$J$42,計算用!$AC$64,MOD(2-計算用!$AE$64+1,4)+1)),IF(計算用!$Z$64="A",INDEX(組分け!$B$5:$I$41,計算用!$AC$64,(MOD(2-計算用!$AE$64+1,4)+1)*2-1),INDEX(組分け!$L$5:$S$41,計算用!$AC$64,(MOD(2-計算用!$AE$64+1,4)+1)*2-1)))&amp;"")</f>
        <v/>
      </c>
      <c r="E65" s="27">
        <f>IF(計算用!$Z$64="","",IF(計算用!$U$24,IF(計算用!$Z$64="A",INDEX(手直し!$B$6:$E$42,計算用!$AC$64,MOD(3-計算用!$AE$64+1,4)+1),INDEX(手直し!$G$6:$J$42,計算用!$AC$64,MOD(3-計算用!$AE$64+1,4)+1)),IF(計算用!$Z$64="A",INDEX(組分け!$B$5:$I$41,計算用!$AC$64,(MOD(3-計算用!$AE$64+1,4)+1)*2-1),INDEX(組分け!$L$5:$S$41,計算用!$AC$64,(MOD(3-計算用!$AE$64+1,4)+1)*2-1)))&amp;"")</f>
        <v/>
      </c>
    </row>
    <row r="66" ht="27.75" customHeight="1">
      <c r="A66" s="26">
        <f>計算用!$AD$65</f>
        <v/>
      </c>
      <c r="B66" s="27">
        <f>IF(計算用!$Z$65="","",IF(計算用!$U$24,IF(計算用!$Z$65="A",INDEX(手直し!$B$6:$E$42,計算用!$AC$65,MOD(0-計算用!$AE$65+1,4)+1),INDEX(手直し!$G$6:$J$42,計算用!$AC$65,MOD(0-計算用!$AE$65+1,4)+1)),IF(計算用!$Z$65="A",INDEX(組分け!$B$5:$I$41,計算用!$AC$65,(MOD(0-計算用!$AE$65+1,4)+1)*2-1),INDEX(組分け!$L$5:$S$41,計算用!$AC$65,(MOD(0-計算用!$AE$65+1,4)+1)*2-1)))&amp;"")</f>
        <v/>
      </c>
      <c r="C66" s="27">
        <f>IF(計算用!$Z$65="","",IF(計算用!$U$24,IF(計算用!$Z$65="A",INDEX(手直し!$B$6:$E$42,計算用!$AC$65,MOD(1-計算用!$AE$65+1,4)+1),INDEX(手直し!$G$6:$J$42,計算用!$AC$65,MOD(1-計算用!$AE$65+1,4)+1)),IF(計算用!$Z$65="A",INDEX(組分け!$B$5:$I$41,計算用!$AC$65,(MOD(1-計算用!$AE$65+1,4)+1)*2-1),INDEX(組分け!$L$5:$S$41,計算用!$AC$65,(MOD(1-計算用!$AE$65+1,4)+1)*2-1)))&amp;"")</f>
        <v/>
      </c>
      <c r="D66" s="27">
        <f>IF(計算用!$Z$65="","",IF(計算用!$U$24,IF(計算用!$Z$65="A",INDEX(手直し!$B$6:$E$42,計算用!$AC$65,MOD(2-計算用!$AE$65+1,4)+1),INDEX(手直し!$G$6:$J$42,計算用!$AC$65,MOD(2-計算用!$AE$65+1,4)+1)),IF(計算用!$Z$65="A",INDEX(組分け!$B$5:$I$41,計算用!$AC$65,(MOD(2-計算用!$AE$65+1,4)+1)*2-1),INDEX(組分け!$L$5:$S$41,計算用!$AC$65,(MOD(2-計算用!$AE$65+1,4)+1)*2-1)))&amp;"")</f>
        <v/>
      </c>
      <c r="E66" s="27">
        <f>IF(計算用!$Z$65="","",IF(計算用!$U$24,IF(計算用!$Z$65="A",INDEX(手直し!$B$6:$E$42,計算用!$AC$65,MOD(3-計算用!$AE$65+1,4)+1),INDEX(手直し!$G$6:$J$42,計算用!$AC$65,MOD(3-計算用!$AE$65+1,4)+1)),IF(計算用!$Z$65="A",INDEX(組分け!$B$5:$I$41,計算用!$AC$65,(MOD(3-計算用!$AE$65+1,4)+1)*2-1),INDEX(組分け!$L$5:$S$41,計算用!$AC$65,(MOD(3-計算用!$AE$65+1,4)+1)*2-1)))&amp;"")</f>
        <v/>
      </c>
    </row>
    <row r="67" ht="27.75" customHeight="1">
      <c r="A67" s="26">
        <f>計算用!$AD$66</f>
        <v/>
      </c>
      <c r="B67" s="27">
        <f>IF(計算用!$Z$66="","",IF(計算用!$U$24,IF(計算用!$Z$66="A",INDEX(手直し!$B$6:$E$42,計算用!$AC$66,MOD(0-計算用!$AE$66+1,4)+1),INDEX(手直し!$G$6:$J$42,計算用!$AC$66,MOD(0-計算用!$AE$66+1,4)+1)),IF(計算用!$Z$66="A",INDEX(組分け!$B$5:$I$41,計算用!$AC$66,(MOD(0-計算用!$AE$66+1,4)+1)*2-1),INDEX(組分け!$L$5:$S$41,計算用!$AC$66,(MOD(0-計算用!$AE$66+1,4)+1)*2-1)))&amp;"")</f>
        <v/>
      </c>
      <c r="C67" s="27">
        <f>IF(計算用!$Z$66="","",IF(計算用!$U$24,IF(計算用!$Z$66="A",INDEX(手直し!$B$6:$E$42,計算用!$AC$66,MOD(1-計算用!$AE$66+1,4)+1),INDEX(手直し!$G$6:$J$42,計算用!$AC$66,MOD(1-計算用!$AE$66+1,4)+1)),IF(計算用!$Z$66="A",INDEX(組分け!$B$5:$I$41,計算用!$AC$66,(MOD(1-計算用!$AE$66+1,4)+1)*2-1),INDEX(組分け!$L$5:$S$41,計算用!$AC$66,(MOD(1-計算用!$AE$66+1,4)+1)*2-1)))&amp;"")</f>
        <v/>
      </c>
      <c r="D67" s="27">
        <f>IF(計算用!$Z$66="","",IF(計算用!$U$24,IF(計算用!$Z$66="A",INDEX(手直し!$B$6:$E$42,計算用!$AC$66,MOD(2-計算用!$AE$66+1,4)+1),INDEX(手直し!$G$6:$J$42,計算用!$AC$66,MOD(2-計算用!$AE$66+1,4)+1)),IF(計算用!$Z$66="A",INDEX(組分け!$B$5:$I$41,計算用!$AC$66,(MOD(2-計算用!$AE$66+1,4)+1)*2-1),INDEX(組分け!$L$5:$S$41,計算用!$AC$66,(MOD(2-計算用!$AE$66+1,4)+1)*2-1)))&amp;"")</f>
        <v/>
      </c>
      <c r="E67" s="27">
        <f>IF(計算用!$Z$66="","",IF(計算用!$U$24,IF(計算用!$Z$66="A",INDEX(手直し!$B$6:$E$42,計算用!$AC$66,MOD(3-計算用!$AE$66+1,4)+1),INDEX(手直し!$G$6:$J$42,計算用!$AC$66,MOD(3-計算用!$AE$66+1,4)+1)),IF(計算用!$Z$66="A",INDEX(組分け!$B$5:$I$41,計算用!$AC$66,(MOD(3-計算用!$AE$66+1,4)+1)*2-1),INDEX(組分け!$L$5:$S$41,計算用!$AC$66,(MOD(3-計算用!$AE$66+1,4)+1)*2-1)))&amp;"")</f>
        <v/>
      </c>
    </row>
    <row r="68" ht="27.75" customHeight="1">
      <c r="A68" s="26">
        <f>計算用!$AD$67</f>
        <v/>
      </c>
      <c r="B68" s="27">
        <f>IF(計算用!$Z$67="","",IF(計算用!$U$24,IF(計算用!$Z$67="A",INDEX(手直し!$B$6:$E$42,計算用!$AC$67,MOD(0-計算用!$AE$67+1,4)+1),INDEX(手直し!$G$6:$J$42,計算用!$AC$67,MOD(0-計算用!$AE$67+1,4)+1)),IF(計算用!$Z$67="A",INDEX(組分け!$B$5:$I$41,計算用!$AC$67,(MOD(0-計算用!$AE$67+1,4)+1)*2-1),INDEX(組分け!$L$5:$S$41,計算用!$AC$67,(MOD(0-計算用!$AE$67+1,4)+1)*2-1)))&amp;"")</f>
        <v/>
      </c>
      <c r="C68" s="27">
        <f>IF(計算用!$Z$67="","",IF(計算用!$U$24,IF(計算用!$Z$67="A",INDEX(手直し!$B$6:$E$42,計算用!$AC$67,MOD(1-計算用!$AE$67+1,4)+1),INDEX(手直し!$G$6:$J$42,計算用!$AC$67,MOD(1-計算用!$AE$67+1,4)+1)),IF(計算用!$Z$67="A",INDEX(組分け!$B$5:$I$41,計算用!$AC$67,(MOD(1-計算用!$AE$67+1,4)+1)*2-1),INDEX(組分け!$L$5:$S$41,計算用!$AC$67,(MOD(1-計算用!$AE$67+1,4)+1)*2-1)))&amp;"")</f>
        <v/>
      </c>
      <c r="D68" s="27">
        <f>IF(計算用!$Z$67="","",IF(計算用!$U$24,IF(計算用!$Z$67="A",INDEX(手直し!$B$6:$E$42,計算用!$AC$67,MOD(2-計算用!$AE$67+1,4)+1),INDEX(手直し!$G$6:$J$42,計算用!$AC$67,MOD(2-計算用!$AE$67+1,4)+1)),IF(計算用!$Z$67="A",INDEX(組分け!$B$5:$I$41,計算用!$AC$67,(MOD(2-計算用!$AE$67+1,4)+1)*2-1),INDEX(組分け!$L$5:$S$41,計算用!$AC$67,(MOD(2-計算用!$AE$67+1,4)+1)*2-1)))&amp;"")</f>
        <v/>
      </c>
      <c r="E68" s="27">
        <f>IF(計算用!$Z$67="","",IF(計算用!$U$24,IF(計算用!$Z$67="A",INDEX(手直し!$B$6:$E$42,計算用!$AC$67,MOD(3-計算用!$AE$67+1,4)+1),INDEX(手直し!$G$6:$J$42,計算用!$AC$67,MOD(3-計算用!$AE$67+1,4)+1)),IF(計算用!$Z$67="A",INDEX(組分け!$B$5:$I$41,計算用!$AC$67,(MOD(3-計算用!$AE$67+1,4)+1)*2-1),INDEX(組分け!$L$5:$S$41,計算用!$AC$67,(MOD(3-計算用!$AE$67+1,4)+1)*2-1)))&amp;"")</f>
        <v/>
      </c>
    </row>
    <row r="69" ht="27.75" customHeight="1">
      <c r="A69" s="26">
        <f>計算用!$AD$68</f>
        <v/>
      </c>
      <c r="B69" s="27">
        <f>IF(計算用!$Z$68="","",IF(計算用!$U$24,IF(計算用!$Z$68="A",INDEX(手直し!$B$6:$E$42,計算用!$AC$68,MOD(0-計算用!$AE$68+1,4)+1),INDEX(手直し!$G$6:$J$42,計算用!$AC$68,MOD(0-計算用!$AE$68+1,4)+1)),IF(計算用!$Z$68="A",INDEX(組分け!$B$5:$I$41,計算用!$AC$68,(MOD(0-計算用!$AE$68+1,4)+1)*2-1),INDEX(組分け!$L$5:$S$41,計算用!$AC$68,(MOD(0-計算用!$AE$68+1,4)+1)*2-1)))&amp;"")</f>
        <v/>
      </c>
      <c r="C69" s="27">
        <f>IF(計算用!$Z$68="","",IF(計算用!$U$24,IF(計算用!$Z$68="A",INDEX(手直し!$B$6:$E$42,計算用!$AC$68,MOD(1-計算用!$AE$68+1,4)+1),INDEX(手直し!$G$6:$J$42,計算用!$AC$68,MOD(1-計算用!$AE$68+1,4)+1)),IF(計算用!$Z$68="A",INDEX(組分け!$B$5:$I$41,計算用!$AC$68,(MOD(1-計算用!$AE$68+1,4)+1)*2-1),INDEX(組分け!$L$5:$S$41,計算用!$AC$68,(MOD(1-計算用!$AE$68+1,4)+1)*2-1)))&amp;"")</f>
        <v/>
      </c>
      <c r="D69" s="27">
        <f>IF(計算用!$Z$68="","",IF(計算用!$U$24,IF(計算用!$Z$68="A",INDEX(手直し!$B$6:$E$42,計算用!$AC$68,MOD(2-計算用!$AE$68+1,4)+1),INDEX(手直し!$G$6:$J$42,計算用!$AC$68,MOD(2-計算用!$AE$68+1,4)+1)),IF(計算用!$Z$68="A",INDEX(組分け!$B$5:$I$41,計算用!$AC$68,(MOD(2-計算用!$AE$68+1,4)+1)*2-1),INDEX(組分け!$L$5:$S$41,計算用!$AC$68,(MOD(2-計算用!$AE$68+1,4)+1)*2-1)))&amp;"")</f>
        <v/>
      </c>
      <c r="E69" s="27">
        <f>IF(計算用!$Z$68="","",IF(計算用!$U$24,IF(計算用!$Z$68="A",INDEX(手直し!$B$6:$E$42,計算用!$AC$68,MOD(3-計算用!$AE$68+1,4)+1),INDEX(手直し!$G$6:$J$42,計算用!$AC$68,MOD(3-計算用!$AE$68+1,4)+1)),IF(計算用!$Z$68="A",INDEX(組分け!$B$5:$I$41,計算用!$AC$68,(MOD(3-計算用!$AE$68+1,4)+1)*2-1),INDEX(組分け!$L$5:$S$41,計算用!$AC$68,(MOD(3-計算用!$AE$68+1,4)+1)*2-1)))&amp;"")</f>
        <v/>
      </c>
    </row>
    <row r="70" ht="27.75" customHeight="1">
      <c r="A70" s="26">
        <f>計算用!$AD$69</f>
        <v/>
      </c>
      <c r="B70" s="27">
        <f>IF(計算用!$Z$69="","",IF(計算用!$U$24,IF(計算用!$Z$69="A",INDEX(手直し!$B$6:$E$42,計算用!$AC$69,MOD(0-計算用!$AE$69+1,4)+1),INDEX(手直し!$G$6:$J$42,計算用!$AC$69,MOD(0-計算用!$AE$69+1,4)+1)),IF(計算用!$Z$69="A",INDEX(組分け!$B$5:$I$41,計算用!$AC$69,(MOD(0-計算用!$AE$69+1,4)+1)*2-1),INDEX(組分け!$L$5:$S$41,計算用!$AC$69,(MOD(0-計算用!$AE$69+1,4)+1)*2-1)))&amp;"")</f>
        <v/>
      </c>
      <c r="C70" s="27">
        <f>IF(計算用!$Z$69="","",IF(計算用!$U$24,IF(計算用!$Z$69="A",INDEX(手直し!$B$6:$E$42,計算用!$AC$69,MOD(1-計算用!$AE$69+1,4)+1),INDEX(手直し!$G$6:$J$42,計算用!$AC$69,MOD(1-計算用!$AE$69+1,4)+1)),IF(計算用!$Z$69="A",INDEX(組分け!$B$5:$I$41,計算用!$AC$69,(MOD(1-計算用!$AE$69+1,4)+1)*2-1),INDEX(組分け!$L$5:$S$41,計算用!$AC$69,(MOD(1-計算用!$AE$69+1,4)+1)*2-1)))&amp;"")</f>
        <v/>
      </c>
      <c r="D70" s="27">
        <f>IF(計算用!$Z$69="","",IF(計算用!$U$24,IF(計算用!$Z$69="A",INDEX(手直し!$B$6:$E$42,計算用!$AC$69,MOD(2-計算用!$AE$69+1,4)+1),INDEX(手直し!$G$6:$J$42,計算用!$AC$69,MOD(2-計算用!$AE$69+1,4)+1)),IF(計算用!$Z$69="A",INDEX(組分け!$B$5:$I$41,計算用!$AC$69,(MOD(2-計算用!$AE$69+1,4)+1)*2-1),INDEX(組分け!$L$5:$S$41,計算用!$AC$69,(MOD(2-計算用!$AE$69+1,4)+1)*2-1)))&amp;"")</f>
        <v/>
      </c>
      <c r="E70" s="27">
        <f>IF(計算用!$Z$69="","",IF(計算用!$U$24,IF(計算用!$Z$69="A",INDEX(手直し!$B$6:$E$42,計算用!$AC$69,MOD(3-計算用!$AE$69+1,4)+1),INDEX(手直し!$G$6:$J$42,計算用!$AC$69,MOD(3-計算用!$AE$69+1,4)+1)),IF(計算用!$Z$69="A",INDEX(組分け!$B$5:$I$41,計算用!$AC$69,(MOD(3-計算用!$AE$69+1,4)+1)*2-1),INDEX(組分け!$L$5:$S$41,計算用!$AC$69,(MOD(3-計算用!$AE$69+1,4)+1)*2-1)))&amp;"")</f>
        <v/>
      </c>
    </row>
    <row r="71" ht="27.75" customHeight="1">
      <c r="A71" s="26">
        <f>計算用!$AD$70</f>
        <v/>
      </c>
      <c r="B71" s="27">
        <f>IF(計算用!$Z$70="","",IF(計算用!$U$24,IF(計算用!$Z$70="A",INDEX(手直し!$B$6:$E$42,計算用!$AC$70,MOD(0-計算用!$AE$70+1,4)+1),INDEX(手直し!$G$6:$J$42,計算用!$AC$70,MOD(0-計算用!$AE$70+1,4)+1)),IF(計算用!$Z$70="A",INDEX(組分け!$B$5:$I$41,計算用!$AC$70,(MOD(0-計算用!$AE$70+1,4)+1)*2-1),INDEX(組分け!$L$5:$S$41,計算用!$AC$70,(MOD(0-計算用!$AE$70+1,4)+1)*2-1)))&amp;"")</f>
        <v/>
      </c>
      <c r="C71" s="27">
        <f>IF(計算用!$Z$70="","",IF(計算用!$U$24,IF(計算用!$Z$70="A",INDEX(手直し!$B$6:$E$42,計算用!$AC$70,MOD(1-計算用!$AE$70+1,4)+1),INDEX(手直し!$G$6:$J$42,計算用!$AC$70,MOD(1-計算用!$AE$70+1,4)+1)),IF(計算用!$Z$70="A",INDEX(組分け!$B$5:$I$41,計算用!$AC$70,(MOD(1-計算用!$AE$70+1,4)+1)*2-1),INDEX(組分け!$L$5:$S$41,計算用!$AC$70,(MOD(1-計算用!$AE$70+1,4)+1)*2-1)))&amp;"")</f>
        <v/>
      </c>
      <c r="D71" s="27">
        <f>IF(計算用!$Z$70="","",IF(計算用!$U$24,IF(計算用!$Z$70="A",INDEX(手直し!$B$6:$E$42,計算用!$AC$70,MOD(2-計算用!$AE$70+1,4)+1),INDEX(手直し!$G$6:$J$42,計算用!$AC$70,MOD(2-計算用!$AE$70+1,4)+1)),IF(計算用!$Z$70="A",INDEX(組分け!$B$5:$I$41,計算用!$AC$70,(MOD(2-計算用!$AE$70+1,4)+1)*2-1),INDEX(組分け!$L$5:$S$41,計算用!$AC$70,(MOD(2-計算用!$AE$70+1,4)+1)*2-1)))&amp;"")</f>
        <v/>
      </c>
      <c r="E71" s="27">
        <f>IF(計算用!$Z$70="","",IF(計算用!$U$24,IF(計算用!$Z$70="A",INDEX(手直し!$B$6:$E$42,計算用!$AC$70,MOD(3-計算用!$AE$70+1,4)+1),INDEX(手直し!$G$6:$J$42,計算用!$AC$70,MOD(3-計算用!$AE$70+1,4)+1)),IF(計算用!$Z$70="A",INDEX(組分け!$B$5:$I$41,計算用!$AC$70,(MOD(3-計算用!$AE$70+1,4)+1)*2-1),INDEX(組分け!$L$5:$S$41,計算用!$AC$70,(MOD(3-計算用!$AE$70+1,4)+1)*2-1)))&amp;"")</f>
        <v/>
      </c>
    </row>
    <row r="72" ht="27.75" customHeight="1">
      <c r="A72" s="26">
        <f>計算用!$AD$71</f>
        <v/>
      </c>
      <c r="B72" s="27">
        <f>IF(計算用!$Z$71="","",IF(計算用!$U$24,IF(計算用!$Z$71="A",INDEX(手直し!$B$6:$E$42,計算用!$AC$71,MOD(0-計算用!$AE$71+1,4)+1),INDEX(手直し!$G$6:$J$42,計算用!$AC$71,MOD(0-計算用!$AE$71+1,4)+1)),IF(計算用!$Z$71="A",INDEX(組分け!$B$5:$I$41,計算用!$AC$71,(MOD(0-計算用!$AE$71+1,4)+1)*2-1),INDEX(組分け!$L$5:$S$41,計算用!$AC$71,(MOD(0-計算用!$AE$71+1,4)+1)*2-1)))&amp;"")</f>
        <v/>
      </c>
      <c r="C72" s="27">
        <f>IF(計算用!$Z$71="","",IF(計算用!$U$24,IF(計算用!$Z$71="A",INDEX(手直し!$B$6:$E$42,計算用!$AC$71,MOD(1-計算用!$AE$71+1,4)+1),INDEX(手直し!$G$6:$J$42,計算用!$AC$71,MOD(1-計算用!$AE$71+1,4)+1)),IF(計算用!$Z$71="A",INDEX(組分け!$B$5:$I$41,計算用!$AC$71,(MOD(1-計算用!$AE$71+1,4)+1)*2-1),INDEX(組分け!$L$5:$S$41,計算用!$AC$71,(MOD(1-計算用!$AE$71+1,4)+1)*2-1)))&amp;"")</f>
        <v/>
      </c>
      <c r="D72" s="27">
        <f>IF(計算用!$Z$71="","",IF(計算用!$U$24,IF(計算用!$Z$71="A",INDEX(手直し!$B$6:$E$42,計算用!$AC$71,MOD(2-計算用!$AE$71+1,4)+1),INDEX(手直し!$G$6:$J$42,計算用!$AC$71,MOD(2-計算用!$AE$71+1,4)+1)),IF(計算用!$Z$71="A",INDEX(組分け!$B$5:$I$41,計算用!$AC$71,(MOD(2-計算用!$AE$71+1,4)+1)*2-1),INDEX(組分け!$L$5:$S$41,計算用!$AC$71,(MOD(2-計算用!$AE$71+1,4)+1)*2-1)))&amp;"")</f>
        <v/>
      </c>
      <c r="E72" s="27">
        <f>IF(計算用!$Z$71="","",IF(計算用!$U$24,IF(計算用!$Z$71="A",INDEX(手直し!$B$6:$E$42,計算用!$AC$71,MOD(3-計算用!$AE$71+1,4)+1),INDEX(手直し!$G$6:$J$42,計算用!$AC$71,MOD(3-計算用!$AE$71+1,4)+1)),IF(計算用!$Z$71="A",INDEX(組分け!$B$5:$I$41,計算用!$AC$71,(MOD(3-計算用!$AE$71+1,4)+1)*2-1),INDEX(組分け!$L$5:$S$41,計算用!$AC$71,(MOD(3-計算用!$AE$71+1,4)+1)*2-1)))&amp;"")</f>
        <v/>
      </c>
    </row>
    <row r="73" ht="27.75" customHeight="1">
      <c r="A73" s="26">
        <f>計算用!$AD$72</f>
        <v/>
      </c>
      <c r="B73" s="27">
        <f>IF(計算用!$Z$72="","",IF(計算用!$U$24,IF(計算用!$Z$72="A",INDEX(手直し!$B$6:$E$42,計算用!$AC$72,MOD(0-計算用!$AE$72+1,4)+1),INDEX(手直し!$G$6:$J$42,計算用!$AC$72,MOD(0-計算用!$AE$72+1,4)+1)),IF(計算用!$Z$72="A",INDEX(組分け!$B$5:$I$41,計算用!$AC$72,(MOD(0-計算用!$AE$72+1,4)+1)*2-1),INDEX(組分け!$L$5:$S$41,計算用!$AC$72,(MOD(0-計算用!$AE$72+1,4)+1)*2-1)))&amp;"")</f>
        <v/>
      </c>
      <c r="C73" s="27">
        <f>IF(計算用!$Z$72="","",IF(計算用!$U$24,IF(計算用!$Z$72="A",INDEX(手直し!$B$6:$E$42,計算用!$AC$72,MOD(1-計算用!$AE$72+1,4)+1),INDEX(手直し!$G$6:$J$42,計算用!$AC$72,MOD(1-計算用!$AE$72+1,4)+1)),IF(計算用!$Z$72="A",INDEX(組分け!$B$5:$I$41,計算用!$AC$72,(MOD(1-計算用!$AE$72+1,4)+1)*2-1),INDEX(組分け!$L$5:$S$41,計算用!$AC$72,(MOD(1-計算用!$AE$72+1,4)+1)*2-1)))&amp;"")</f>
        <v/>
      </c>
      <c r="D73" s="27">
        <f>IF(計算用!$Z$72="","",IF(計算用!$U$24,IF(計算用!$Z$72="A",INDEX(手直し!$B$6:$E$42,計算用!$AC$72,MOD(2-計算用!$AE$72+1,4)+1),INDEX(手直し!$G$6:$J$42,計算用!$AC$72,MOD(2-計算用!$AE$72+1,4)+1)),IF(計算用!$Z$72="A",INDEX(組分け!$B$5:$I$41,計算用!$AC$72,(MOD(2-計算用!$AE$72+1,4)+1)*2-1),INDEX(組分け!$L$5:$S$41,計算用!$AC$72,(MOD(2-計算用!$AE$72+1,4)+1)*2-1)))&amp;"")</f>
        <v/>
      </c>
      <c r="E73" s="27">
        <f>IF(計算用!$Z$72="","",IF(計算用!$U$24,IF(計算用!$Z$72="A",INDEX(手直し!$B$6:$E$42,計算用!$AC$72,MOD(3-計算用!$AE$72+1,4)+1),INDEX(手直し!$G$6:$J$42,計算用!$AC$72,MOD(3-計算用!$AE$72+1,4)+1)),IF(計算用!$Z$72="A",INDEX(組分け!$B$5:$I$41,計算用!$AC$72,(MOD(3-計算用!$AE$72+1,4)+1)*2-1),INDEX(組分け!$L$5:$S$41,計算用!$AC$72,(MOD(3-計算用!$AE$72+1,4)+1)*2-1)))&amp;"")</f>
        <v/>
      </c>
    </row>
    <row r="74" ht="27.75" customHeight="1">
      <c r="A74" s="26">
        <f>計算用!$AD$73</f>
        <v/>
      </c>
      <c r="B74" s="27">
        <f>IF(計算用!$Z$73="","",IF(計算用!$U$24,IF(計算用!$Z$73="A",INDEX(手直し!$B$6:$E$42,計算用!$AC$73,MOD(0-計算用!$AE$73+1,4)+1),INDEX(手直し!$G$6:$J$42,計算用!$AC$73,MOD(0-計算用!$AE$73+1,4)+1)),IF(計算用!$Z$73="A",INDEX(組分け!$B$5:$I$41,計算用!$AC$73,(MOD(0-計算用!$AE$73+1,4)+1)*2-1),INDEX(組分け!$L$5:$S$41,計算用!$AC$73,(MOD(0-計算用!$AE$73+1,4)+1)*2-1)))&amp;"")</f>
        <v/>
      </c>
      <c r="C74" s="27">
        <f>IF(計算用!$Z$73="","",IF(計算用!$U$24,IF(計算用!$Z$73="A",INDEX(手直し!$B$6:$E$42,計算用!$AC$73,MOD(1-計算用!$AE$73+1,4)+1),INDEX(手直し!$G$6:$J$42,計算用!$AC$73,MOD(1-計算用!$AE$73+1,4)+1)),IF(計算用!$Z$73="A",INDEX(組分け!$B$5:$I$41,計算用!$AC$73,(MOD(1-計算用!$AE$73+1,4)+1)*2-1),INDEX(組分け!$L$5:$S$41,計算用!$AC$73,(MOD(1-計算用!$AE$73+1,4)+1)*2-1)))&amp;"")</f>
        <v/>
      </c>
      <c r="D74" s="27">
        <f>IF(計算用!$Z$73="","",IF(計算用!$U$24,IF(計算用!$Z$73="A",INDEX(手直し!$B$6:$E$42,計算用!$AC$73,MOD(2-計算用!$AE$73+1,4)+1),INDEX(手直し!$G$6:$J$42,計算用!$AC$73,MOD(2-計算用!$AE$73+1,4)+1)),IF(計算用!$Z$73="A",INDEX(組分け!$B$5:$I$41,計算用!$AC$73,(MOD(2-計算用!$AE$73+1,4)+1)*2-1),INDEX(組分け!$L$5:$S$41,計算用!$AC$73,(MOD(2-計算用!$AE$73+1,4)+1)*2-1)))&amp;"")</f>
        <v/>
      </c>
      <c r="E74" s="27">
        <f>IF(計算用!$Z$73="","",IF(計算用!$U$24,IF(計算用!$Z$73="A",INDEX(手直し!$B$6:$E$42,計算用!$AC$73,MOD(3-計算用!$AE$73+1,4)+1),INDEX(手直し!$G$6:$J$42,計算用!$AC$73,MOD(3-計算用!$AE$73+1,4)+1)),IF(計算用!$Z$73="A",INDEX(組分け!$B$5:$I$41,計算用!$AC$73,(MOD(3-計算用!$AE$73+1,4)+1)*2-1),INDEX(組分け!$L$5:$S$41,計算用!$AC$73,(MOD(3-計算用!$AE$73+1,4)+1)*2-1)))&amp;"")</f>
        <v/>
      </c>
    </row>
    <row r="75" ht="27.75" customHeight="1">
      <c r="A75" s="26">
        <f>計算用!$AD$74</f>
        <v/>
      </c>
      <c r="B75" s="27">
        <f>IF(計算用!$Z$74="","",IF(計算用!$U$24,IF(計算用!$Z$74="A",INDEX(手直し!$B$6:$E$42,計算用!$AC$74,MOD(0-計算用!$AE$74+1,4)+1),INDEX(手直し!$G$6:$J$42,計算用!$AC$74,MOD(0-計算用!$AE$74+1,4)+1)),IF(計算用!$Z$74="A",INDEX(組分け!$B$5:$I$41,計算用!$AC$74,(MOD(0-計算用!$AE$74+1,4)+1)*2-1),INDEX(組分け!$L$5:$S$41,計算用!$AC$74,(MOD(0-計算用!$AE$74+1,4)+1)*2-1)))&amp;"")</f>
        <v/>
      </c>
      <c r="C75" s="27">
        <f>IF(計算用!$Z$74="","",IF(計算用!$U$24,IF(計算用!$Z$74="A",INDEX(手直し!$B$6:$E$42,計算用!$AC$74,MOD(1-計算用!$AE$74+1,4)+1),INDEX(手直し!$G$6:$J$42,計算用!$AC$74,MOD(1-計算用!$AE$74+1,4)+1)),IF(計算用!$Z$74="A",INDEX(組分け!$B$5:$I$41,計算用!$AC$74,(MOD(1-計算用!$AE$74+1,4)+1)*2-1),INDEX(組分け!$L$5:$S$41,計算用!$AC$74,(MOD(1-計算用!$AE$74+1,4)+1)*2-1)))&amp;"")</f>
        <v/>
      </c>
      <c r="D75" s="27">
        <f>IF(計算用!$Z$74="","",IF(計算用!$U$24,IF(計算用!$Z$74="A",INDEX(手直し!$B$6:$E$42,計算用!$AC$74,MOD(2-計算用!$AE$74+1,4)+1),INDEX(手直し!$G$6:$J$42,計算用!$AC$74,MOD(2-計算用!$AE$74+1,4)+1)),IF(計算用!$Z$74="A",INDEX(組分け!$B$5:$I$41,計算用!$AC$74,(MOD(2-計算用!$AE$74+1,4)+1)*2-1),INDEX(組分け!$L$5:$S$41,計算用!$AC$74,(MOD(2-計算用!$AE$74+1,4)+1)*2-1)))&amp;"")</f>
        <v/>
      </c>
      <c r="E75" s="27">
        <f>IF(計算用!$Z$74="","",IF(計算用!$U$24,IF(計算用!$Z$74="A",INDEX(手直し!$B$6:$E$42,計算用!$AC$74,MOD(3-計算用!$AE$74+1,4)+1),INDEX(手直し!$G$6:$J$42,計算用!$AC$74,MOD(3-計算用!$AE$74+1,4)+1)),IF(計算用!$Z$74="A",INDEX(組分け!$B$5:$I$41,計算用!$AC$74,(MOD(3-計算用!$AE$74+1,4)+1)*2-1),INDEX(組分け!$L$5:$S$41,計算用!$AC$74,(MOD(3-計算用!$AE$74+1,4)+1)*2-1)))&amp;"")</f>
        <v/>
      </c>
    </row>
    <row r="76" ht="27.75" customHeight="1">
      <c r="A76" s="26">
        <f>計算用!$AD$75</f>
        <v/>
      </c>
      <c r="B76" s="27">
        <f>IF(計算用!$Z$75="","",IF(計算用!$U$24,IF(計算用!$Z$75="A",INDEX(手直し!$B$6:$E$42,計算用!$AC$75,MOD(0-計算用!$AE$75+1,4)+1),INDEX(手直し!$G$6:$J$42,計算用!$AC$75,MOD(0-計算用!$AE$75+1,4)+1)),IF(計算用!$Z$75="A",INDEX(組分け!$B$5:$I$41,計算用!$AC$75,(MOD(0-計算用!$AE$75+1,4)+1)*2-1),INDEX(組分け!$L$5:$S$41,計算用!$AC$75,(MOD(0-計算用!$AE$75+1,4)+1)*2-1)))&amp;"")</f>
        <v/>
      </c>
      <c r="C76" s="27">
        <f>IF(計算用!$Z$75="","",IF(計算用!$U$24,IF(計算用!$Z$75="A",INDEX(手直し!$B$6:$E$42,計算用!$AC$75,MOD(1-計算用!$AE$75+1,4)+1),INDEX(手直し!$G$6:$J$42,計算用!$AC$75,MOD(1-計算用!$AE$75+1,4)+1)),IF(計算用!$Z$75="A",INDEX(組分け!$B$5:$I$41,計算用!$AC$75,(MOD(1-計算用!$AE$75+1,4)+1)*2-1),INDEX(組分け!$L$5:$S$41,計算用!$AC$75,(MOD(1-計算用!$AE$75+1,4)+1)*2-1)))&amp;"")</f>
        <v/>
      </c>
      <c r="D76" s="27">
        <f>IF(計算用!$Z$75="","",IF(計算用!$U$24,IF(計算用!$Z$75="A",INDEX(手直し!$B$6:$E$42,計算用!$AC$75,MOD(2-計算用!$AE$75+1,4)+1),INDEX(手直し!$G$6:$J$42,計算用!$AC$75,MOD(2-計算用!$AE$75+1,4)+1)),IF(計算用!$Z$75="A",INDEX(組分け!$B$5:$I$41,計算用!$AC$75,(MOD(2-計算用!$AE$75+1,4)+1)*2-1),INDEX(組分け!$L$5:$S$41,計算用!$AC$75,(MOD(2-計算用!$AE$75+1,4)+1)*2-1)))&amp;"")</f>
        <v/>
      </c>
      <c r="E76" s="27">
        <f>IF(計算用!$Z$75="","",IF(計算用!$U$24,IF(計算用!$Z$75="A",INDEX(手直し!$B$6:$E$42,計算用!$AC$75,MOD(3-計算用!$AE$75+1,4)+1),INDEX(手直し!$G$6:$J$42,計算用!$AC$75,MOD(3-計算用!$AE$75+1,4)+1)),IF(計算用!$Z$75="A",INDEX(組分け!$B$5:$I$41,計算用!$AC$75,(MOD(3-計算用!$AE$75+1,4)+1)*2-1),INDEX(組分け!$L$5:$S$41,計算用!$AC$75,(MOD(3-計算用!$AE$75+1,4)+1)*2-1)))&amp;"")</f>
        <v/>
      </c>
    </row>
  </sheetData>
  <mergeCells count="2">
    <mergeCell ref="A1:E1"/>
    <mergeCell ref="G2:I21"/>
  </mergeCells>
  <conditionalFormatting sqref="B3:B76">
    <cfRule type="expression" priority="1" dxfId="5">
      <formula>AND(B3&lt;&gt;"",$L$1="色あり",MOD(0-INDEX(計算用!$AE$2:$AE$75,ROW()-2)+1,4)=0)</formula>
    </cfRule>
    <cfRule type="expression" priority="2" dxfId="6">
      <formula>AND(B3&lt;&gt;"",$L$1="色あり",MOD(0-INDEX(計算用!$AE$2:$AE$75,ROW()-2)+1,4)=1)</formula>
    </cfRule>
    <cfRule type="expression" priority="3" dxfId="7">
      <formula>AND(B3&lt;&gt;"",$L$1="色あり",MOD(0-INDEX(計算用!$AE$2:$AE$75,ROW()-2)+1,4)=2)</formula>
    </cfRule>
    <cfRule type="expression" priority="4" dxfId="8">
      <formula>AND(B3&lt;&gt;"",$L$1="色あり",MOD(0-INDEX(計算用!$AE$2:$AE$75,ROW()-2)+1,4)=3)</formula>
    </cfRule>
  </conditionalFormatting>
  <conditionalFormatting sqref="C3:C76">
    <cfRule type="expression" priority="5" dxfId="5">
      <formula>AND(C3&lt;&gt;"",$L$1="色あり",MOD(1-INDEX(計算用!$AE$2:$AE$75,ROW()-2)+1,4)=0)</formula>
    </cfRule>
    <cfRule type="expression" priority="6" dxfId="6">
      <formula>AND(C3&lt;&gt;"",$L$1="色あり",MOD(1-INDEX(計算用!$AE$2:$AE$75,ROW()-2)+1,4)=1)</formula>
    </cfRule>
    <cfRule type="expression" priority="7" dxfId="7">
      <formula>AND(C3&lt;&gt;"",$L$1="色あり",MOD(1-INDEX(計算用!$AE$2:$AE$75,ROW()-2)+1,4)=2)</formula>
    </cfRule>
    <cfRule type="expression" priority="8" dxfId="8">
      <formula>AND(C3&lt;&gt;"",$L$1="色あり",MOD(1-INDEX(計算用!$AE$2:$AE$75,ROW()-2)+1,4)=3)</formula>
    </cfRule>
  </conditionalFormatting>
  <conditionalFormatting sqref="D3:D76">
    <cfRule type="expression" priority="9" dxfId="5">
      <formula>AND(D3&lt;&gt;"",$L$1="色あり",MOD(2-INDEX(計算用!$AE$2:$AE$75,ROW()-2)+1,4)=0)</formula>
    </cfRule>
    <cfRule type="expression" priority="10" dxfId="6">
      <formula>AND(D3&lt;&gt;"",$L$1="色あり",MOD(2-INDEX(計算用!$AE$2:$AE$75,ROW()-2)+1,4)=1)</formula>
    </cfRule>
    <cfRule type="expression" priority="11" dxfId="7">
      <formula>AND(D3&lt;&gt;"",$L$1="色あり",MOD(2-INDEX(計算用!$AE$2:$AE$75,ROW()-2)+1,4)=2)</formula>
    </cfRule>
    <cfRule type="expression" priority="12" dxfId="8">
      <formula>AND(D3&lt;&gt;"",$L$1="色あり",MOD(2-INDEX(計算用!$AE$2:$AE$75,ROW()-2)+1,4)=3)</formula>
    </cfRule>
  </conditionalFormatting>
  <conditionalFormatting sqref="E3:E76">
    <cfRule type="expression" priority="13" dxfId="5">
      <formula>AND(E3&lt;&gt;"",$L$1="色あり",MOD(3-INDEX(計算用!$AE$2:$AE$75,ROW()-2)+1,4)=0)</formula>
    </cfRule>
    <cfRule type="expression" priority="14" dxfId="6">
      <formula>AND(E3&lt;&gt;"",$L$1="色あり",MOD(3-INDEX(計算用!$AE$2:$AE$75,ROW()-2)+1,4)=1)</formula>
    </cfRule>
    <cfRule type="expression" priority="15" dxfId="7">
      <formula>AND(E3&lt;&gt;"",$L$1="色あり",MOD(3-INDEX(計算用!$AE$2:$AE$75,ROW()-2)+1,4)=2)</formula>
    </cfRule>
    <cfRule type="expression" priority="16" dxfId="8">
      <formula>AND(E3&lt;&gt;"",$L$1="色あり",MOD(3-INDEX(計算用!$AE$2:$AE$75,ROW()-2)+1,4)=3)</formula>
    </cfRule>
  </conditionalFormatting>
  <conditionalFormatting sqref="A3:E76">
    <cfRule type="expression" priority="17" dxfId="0">
      <formula>$A3&lt;&gt;""</formula>
    </cfRule>
  </conditionalFormatting>
  <dataValidations count="1">
    <dataValidation sqref="L1" showDropDown="0" showInputMessage="0" showErrorMessage="1" allowBlank="0" type="list">
      <formula1>"色あり,色なし"</formula1>
    </dataValidation>
  </dataValidations>
  <printOptions horizontalCentered="1"/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14" customWidth="1" min="4" max="4"/>
    <col width="7" customWidth="1" min="5" max="5"/>
    <col width="14" customWidth="1" min="6" max="6"/>
    <col width="7" customWidth="1" min="7" max="7"/>
    <col width="14" customWidth="1" min="8" max="8"/>
    <col width="7" customWidth="1" min="9" max="9"/>
    <col width="2" customWidth="1" min="10" max="10"/>
  </cols>
  <sheetData>
    <row r="1">
      <c r="A1" s="6" t="inlineStr">
        <is>
          <t>レース</t>
        </is>
      </c>
      <c r="B1" s="6">
        <f>(計算用!$U$5+0)&amp;"コース"</f>
        <v/>
      </c>
      <c r="C1" s="6" t="n"/>
      <c r="D1" s="6">
        <f>(計算用!$U$5+1)&amp;"コース"</f>
        <v/>
      </c>
      <c r="E1" s="6" t="n"/>
      <c r="F1" s="6">
        <f>(計算用!$U$5+2)&amp;"コース"</f>
        <v/>
      </c>
      <c r="G1" s="6" t="n"/>
      <c r="H1" s="6">
        <f>(計算用!$U$5+3)&amp;"コース"</f>
        <v/>
      </c>
      <c r="I1" s="6" t="n"/>
      <c r="K1" s="17" t="inlineStr">
        <is>
          <t>掲示用を見て子どもたちが決めた新しいコースを、名前の右の欄に入れてください。
同じレースの中だけで動かします（空いたコースに入れてもかまいません）。
空いている欄は、もとのコースのままです。結果は「最終決定」に出ます。</t>
        </is>
      </c>
    </row>
    <row r="2" ht="30" customHeight="1">
      <c r="A2" s="28" t="n"/>
      <c r="B2" s="6" t="inlineStr">
        <is>
          <t>名前</t>
        </is>
      </c>
      <c r="C2" s="28" t="inlineStr">
        <is>
          <t>新しい
コース</t>
        </is>
      </c>
      <c r="D2" s="6" t="inlineStr">
        <is>
          <t>名前</t>
        </is>
      </c>
      <c r="E2" s="28" t="inlineStr">
        <is>
          <t>新しい
コース</t>
        </is>
      </c>
      <c r="F2" s="6" t="inlineStr">
        <is>
          <t>名前</t>
        </is>
      </c>
      <c r="G2" s="28" t="inlineStr">
        <is>
          <t>新しい
コース</t>
        </is>
      </c>
      <c r="H2" s="6" t="inlineStr">
        <is>
          <t>名前</t>
        </is>
      </c>
      <c r="I2" s="28" t="inlineStr">
        <is>
          <t>新しい
コース</t>
        </is>
      </c>
    </row>
    <row r="3">
      <c r="A3" s="11">
        <f>計算用!$AD$2</f>
        <v/>
      </c>
      <c r="B3" s="11">
        <f>計算用!$AJ$2</f>
        <v/>
      </c>
      <c r="C3" s="29" t="n"/>
      <c r="D3" s="11">
        <f>計算用!$AK$2</f>
        <v/>
      </c>
      <c r="E3" s="29" t="n"/>
      <c r="F3" s="11">
        <f>計算用!$AL$2</f>
        <v/>
      </c>
      <c r="G3" s="29" t="n"/>
      <c r="H3" s="11">
        <f>計算用!$AM$2</f>
        <v/>
      </c>
      <c r="I3" s="29" t="n"/>
      <c r="K3" s="4">
        <f>計算用!$U$28</f>
        <v/>
      </c>
    </row>
    <row r="4">
      <c r="A4" s="11">
        <f>計算用!$AD$3</f>
        <v/>
      </c>
      <c r="B4" s="11">
        <f>計算用!$AJ$3</f>
        <v/>
      </c>
      <c r="C4" s="29" t="n"/>
      <c r="D4" s="11">
        <f>計算用!$AK$3</f>
        <v/>
      </c>
      <c r="E4" s="29" t="n"/>
      <c r="F4" s="11">
        <f>計算用!$AL$3</f>
        <v/>
      </c>
      <c r="G4" s="29" t="n"/>
      <c r="H4" s="11">
        <f>計算用!$AM$3</f>
        <v/>
      </c>
      <c r="I4" s="29" t="n"/>
      <c r="K4" s="4">
        <f>計算用!$U$27</f>
        <v/>
      </c>
    </row>
    <row r="5">
      <c r="A5" s="11">
        <f>計算用!$AD$4</f>
        <v/>
      </c>
      <c r="B5" s="11">
        <f>計算用!$AJ$4</f>
        <v/>
      </c>
      <c r="C5" s="29" t="n"/>
      <c r="D5" s="11">
        <f>計算用!$AK$4</f>
        <v/>
      </c>
      <c r="E5" s="29" t="n"/>
      <c r="F5" s="11">
        <f>計算用!$AL$4</f>
        <v/>
      </c>
      <c r="G5" s="29" t="n"/>
      <c r="H5" s="11">
        <f>計算用!$AM$4</f>
        <v/>
      </c>
      <c r="I5" s="29" t="n"/>
    </row>
    <row r="6">
      <c r="A6" s="11">
        <f>計算用!$AD$5</f>
        <v/>
      </c>
      <c r="B6" s="11">
        <f>計算用!$AJ$5</f>
        <v/>
      </c>
      <c r="C6" s="29" t="n"/>
      <c r="D6" s="11">
        <f>計算用!$AK$5</f>
        <v/>
      </c>
      <c r="E6" s="29" t="n"/>
      <c r="F6" s="11">
        <f>計算用!$AL$5</f>
        <v/>
      </c>
      <c r="G6" s="29" t="n"/>
      <c r="H6" s="11">
        <f>計算用!$AM$5</f>
        <v/>
      </c>
      <c r="I6" s="29" t="n"/>
    </row>
    <row r="7">
      <c r="A7" s="11">
        <f>計算用!$AD$6</f>
        <v/>
      </c>
      <c r="B7" s="11">
        <f>計算用!$AJ$6</f>
        <v/>
      </c>
      <c r="C7" s="29" t="n"/>
      <c r="D7" s="11">
        <f>計算用!$AK$6</f>
        <v/>
      </c>
      <c r="E7" s="29" t="n"/>
      <c r="F7" s="11">
        <f>計算用!$AL$6</f>
        <v/>
      </c>
      <c r="G7" s="29" t="n"/>
      <c r="H7" s="11">
        <f>計算用!$AM$6</f>
        <v/>
      </c>
      <c r="I7" s="29" t="n"/>
    </row>
    <row r="8">
      <c r="A8" s="11">
        <f>計算用!$AD$7</f>
        <v/>
      </c>
      <c r="B8" s="11">
        <f>計算用!$AJ$7</f>
        <v/>
      </c>
      <c r="C8" s="29" t="n"/>
      <c r="D8" s="11">
        <f>計算用!$AK$7</f>
        <v/>
      </c>
      <c r="E8" s="29" t="n"/>
      <c r="F8" s="11">
        <f>計算用!$AL$7</f>
        <v/>
      </c>
      <c r="G8" s="29" t="n"/>
      <c r="H8" s="11">
        <f>計算用!$AM$7</f>
        <v/>
      </c>
      <c r="I8" s="29" t="n"/>
    </row>
    <row r="9">
      <c r="A9" s="11">
        <f>計算用!$AD$8</f>
        <v/>
      </c>
      <c r="B9" s="11">
        <f>計算用!$AJ$8</f>
        <v/>
      </c>
      <c r="C9" s="29" t="n"/>
      <c r="D9" s="11">
        <f>計算用!$AK$8</f>
        <v/>
      </c>
      <c r="E9" s="29" t="n"/>
      <c r="F9" s="11">
        <f>計算用!$AL$8</f>
        <v/>
      </c>
      <c r="G9" s="29" t="n"/>
      <c r="H9" s="11">
        <f>計算用!$AM$8</f>
        <v/>
      </c>
      <c r="I9" s="29" t="n"/>
    </row>
    <row r="10">
      <c r="A10" s="11">
        <f>計算用!$AD$9</f>
        <v/>
      </c>
      <c r="B10" s="11">
        <f>計算用!$AJ$9</f>
        <v/>
      </c>
      <c r="C10" s="29" t="n"/>
      <c r="D10" s="11">
        <f>計算用!$AK$9</f>
        <v/>
      </c>
      <c r="E10" s="29" t="n"/>
      <c r="F10" s="11">
        <f>計算用!$AL$9</f>
        <v/>
      </c>
      <c r="G10" s="29" t="n"/>
      <c r="H10" s="11">
        <f>計算用!$AM$9</f>
        <v/>
      </c>
      <c r="I10" s="29" t="n"/>
    </row>
    <row r="11">
      <c r="A11" s="11">
        <f>計算用!$AD$10</f>
        <v/>
      </c>
      <c r="B11" s="11">
        <f>計算用!$AJ$10</f>
        <v/>
      </c>
      <c r="C11" s="29" t="n"/>
      <c r="D11" s="11">
        <f>計算用!$AK$10</f>
        <v/>
      </c>
      <c r="E11" s="29" t="n"/>
      <c r="F11" s="11">
        <f>計算用!$AL$10</f>
        <v/>
      </c>
      <c r="G11" s="29" t="n"/>
      <c r="H11" s="11">
        <f>計算用!$AM$10</f>
        <v/>
      </c>
      <c r="I11" s="29" t="n"/>
    </row>
    <row r="12">
      <c r="A12" s="11">
        <f>計算用!$AD$11</f>
        <v/>
      </c>
      <c r="B12" s="11">
        <f>計算用!$AJ$11</f>
        <v/>
      </c>
      <c r="C12" s="29" t="n"/>
      <c r="D12" s="11">
        <f>計算用!$AK$11</f>
        <v/>
      </c>
      <c r="E12" s="29" t="n"/>
      <c r="F12" s="11">
        <f>計算用!$AL$11</f>
        <v/>
      </c>
      <c r="G12" s="29" t="n"/>
      <c r="H12" s="11">
        <f>計算用!$AM$11</f>
        <v/>
      </c>
      <c r="I12" s="29" t="n"/>
    </row>
    <row r="13">
      <c r="A13" s="11">
        <f>計算用!$AD$12</f>
        <v/>
      </c>
      <c r="B13" s="11">
        <f>計算用!$AJ$12</f>
        <v/>
      </c>
      <c r="C13" s="29" t="n"/>
      <c r="D13" s="11">
        <f>計算用!$AK$12</f>
        <v/>
      </c>
      <c r="E13" s="29" t="n"/>
      <c r="F13" s="11">
        <f>計算用!$AL$12</f>
        <v/>
      </c>
      <c r="G13" s="29" t="n"/>
      <c r="H13" s="11">
        <f>計算用!$AM$12</f>
        <v/>
      </c>
      <c r="I13" s="29" t="n"/>
    </row>
    <row r="14">
      <c r="A14" s="11">
        <f>計算用!$AD$13</f>
        <v/>
      </c>
      <c r="B14" s="11">
        <f>計算用!$AJ$13</f>
        <v/>
      </c>
      <c r="C14" s="29" t="n"/>
      <c r="D14" s="11">
        <f>計算用!$AK$13</f>
        <v/>
      </c>
      <c r="E14" s="29" t="n"/>
      <c r="F14" s="11">
        <f>計算用!$AL$13</f>
        <v/>
      </c>
      <c r="G14" s="29" t="n"/>
      <c r="H14" s="11">
        <f>計算用!$AM$13</f>
        <v/>
      </c>
      <c r="I14" s="29" t="n"/>
    </row>
    <row r="15">
      <c r="A15" s="11">
        <f>計算用!$AD$14</f>
        <v/>
      </c>
      <c r="B15" s="11">
        <f>計算用!$AJ$14</f>
        <v/>
      </c>
      <c r="C15" s="29" t="n"/>
      <c r="D15" s="11">
        <f>計算用!$AK$14</f>
        <v/>
      </c>
      <c r="E15" s="29" t="n"/>
      <c r="F15" s="11">
        <f>計算用!$AL$14</f>
        <v/>
      </c>
      <c r="G15" s="29" t="n"/>
      <c r="H15" s="11">
        <f>計算用!$AM$14</f>
        <v/>
      </c>
      <c r="I15" s="29" t="n"/>
    </row>
    <row r="16">
      <c r="A16" s="11">
        <f>計算用!$AD$15</f>
        <v/>
      </c>
      <c r="B16" s="11">
        <f>計算用!$AJ$15</f>
        <v/>
      </c>
      <c r="C16" s="29" t="n"/>
      <c r="D16" s="11">
        <f>計算用!$AK$15</f>
        <v/>
      </c>
      <c r="E16" s="29" t="n"/>
      <c r="F16" s="11">
        <f>計算用!$AL$15</f>
        <v/>
      </c>
      <c r="G16" s="29" t="n"/>
      <c r="H16" s="11">
        <f>計算用!$AM$15</f>
        <v/>
      </c>
      <c r="I16" s="29" t="n"/>
    </row>
    <row r="17">
      <c r="A17" s="11">
        <f>計算用!$AD$16</f>
        <v/>
      </c>
      <c r="B17" s="11">
        <f>計算用!$AJ$16</f>
        <v/>
      </c>
      <c r="C17" s="29" t="n"/>
      <c r="D17" s="11">
        <f>計算用!$AK$16</f>
        <v/>
      </c>
      <c r="E17" s="29" t="n"/>
      <c r="F17" s="11">
        <f>計算用!$AL$16</f>
        <v/>
      </c>
      <c r="G17" s="29" t="n"/>
      <c r="H17" s="11">
        <f>計算用!$AM$16</f>
        <v/>
      </c>
      <c r="I17" s="29" t="n"/>
    </row>
    <row r="18">
      <c r="A18" s="11">
        <f>計算用!$AD$17</f>
        <v/>
      </c>
      <c r="B18" s="11">
        <f>計算用!$AJ$17</f>
        <v/>
      </c>
      <c r="C18" s="29" t="n"/>
      <c r="D18" s="11">
        <f>計算用!$AK$17</f>
        <v/>
      </c>
      <c r="E18" s="29" t="n"/>
      <c r="F18" s="11">
        <f>計算用!$AL$17</f>
        <v/>
      </c>
      <c r="G18" s="29" t="n"/>
      <c r="H18" s="11">
        <f>計算用!$AM$17</f>
        <v/>
      </c>
      <c r="I18" s="29" t="n"/>
    </row>
    <row r="19">
      <c r="A19" s="11">
        <f>計算用!$AD$18</f>
        <v/>
      </c>
      <c r="B19" s="11">
        <f>計算用!$AJ$18</f>
        <v/>
      </c>
      <c r="C19" s="29" t="n"/>
      <c r="D19" s="11">
        <f>計算用!$AK$18</f>
        <v/>
      </c>
      <c r="E19" s="29" t="n"/>
      <c r="F19" s="11">
        <f>計算用!$AL$18</f>
        <v/>
      </c>
      <c r="G19" s="29" t="n"/>
      <c r="H19" s="11">
        <f>計算用!$AM$18</f>
        <v/>
      </c>
      <c r="I19" s="29" t="n"/>
    </row>
    <row r="20">
      <c r="A20" s="11">
        <f>計算用!$AD$19</f>
        <v/>
      </c>
      <c r="B20" s="11">
        <f>計算用!$AJ$19</f>
        <v/>
      </c>
      <c r="C20" s="29" t="n"/>
      <c r="D20" s="11">
        <f>計算用!$AK$19</f>
        <v/>
      </c>
      <c r="E20" s="29" t="n"/>
      <c r="F20" s="11">
        <f>計算用!$AL$19</f>
        <v/>
      </c>
      <c r="G20" s="29" t="n"/>
      <c r="H20" s="11">
        <f>計算用!$AM$19</f>
        <v/>
      </c>
      <c r="I20" s="29" t="n"/>
    </row>
    <row r="21">
      <c r="A21" s="11">
        <f>計算用!$AD$20</f>
        <v/>
      </c>
      <c r="B21" s="11">
        <f>計算用!$AJ$20</f>
        <v/>
      </c>
      <c r="C21" s="29" t="n"/>
      <c r="D21" s="11">
        <f>計算用!$AK$20</f>
        <v/>
      </c>
      <c r="E21" s="29" t="n"/>
      <c r="F21" s="11">
        <f>計算用!$AL$20</f>
        <v/>
      </c>
      <c r="G21" s="29" t="n"/>
      <c r="H21" s="11">
        <f>計算用!$AM$20</f>
        <v/>
      </c>
      <c r="I21" s="29" t="n"/>
    </row>
    <row r="22">
      <c r="A22" s="11">
        <f>計算用!$AD$21</f>
        <v/>
      </c>
      <c r="B22" s="11">
        <f>計算用!$AJ$21</f>
        <v/>
      </c>
      <c r="C22" s="29" t="n"/>
      <c r="D22" s="11">
        <f>計算用!$AK$21</f>
        <v/>
      </c>
      <c r="E22" s="29" t="n"/>
      <c r="F22" s="11">
        <f>計算用!$AL$21</f>
        <v/>
      </c>
      <c r="G22" s="29" t="n"/>
      <c r="H22" s="11">
        <f>計算用!$AM$21</f>
        <v/>
      </c>
      <c r="I22" s="29" t="n"/>
    </row>
    <row r="23">
      <c r="A23" s="11">
        <f>計算用!$AD$22</f>
        <v/>
      </c>
      <c r="B23" s="11">
        <f>計算用!$AJ$22</f>
        <v/>
      </c>
      <c r="C23" s="29" t="n"/>
      <c r="D23" s="11">
        <f>計算用!$AK$22</f>
        <v/>
      </c>
      <c r="E23" s="29" t="n"/>
      <c r="F23" s="11">
        <f>計算用!$AL$22</f>
        <v/>
      </c>
      <c r="G23" s="29" t="n"/>
      <c r="H23" s="11">
        <f>計算用!$AM$22</f>
        <v/>
      </c>
      <c r="I23" s="29" t="n"/>
    </row>
    <row r="24">
      <c r="A24" s="11">
        <f>計算用!$AD$23</f>
        <v/>
      </c>
      <c r="B24" s="11">
        <f>計算用!$AJ$23</f>
        <v/>
      </c>
      <c r="C24" s="29" t="n"/>
      <c r="D24" s="11">
        <f>計算用!$AK$23</f>
        <v/>
      </c>
      <c r="E24" s="29" t="n"/>
      <c r="F24" s="11">
        <f>計算用!$AL$23</f>
        <v/>
      </c>
      <c r="G24" s="29" t="n"/>
      <c r="H24" s="11">
        <f>計算用!$AM$23</f>
        <v/>
      </c>
      <c r="I24" s="29" t="n"/>
    </row>
    <row r="25">
      <c r="A25" s="11">
        <f>計算用!$AD$24</f>
        <v/>
      </c>
      <c r="B25" s="11">
        <f>計算用!$AJ$24</f>
        <v/>
      </c>
      <c r="C25" s="29" t="n"/>
      <c r="D25" s="11">
        <f>計算用!$AK$24</f>
        <v/>
      </c>
      <c r="E25" s="29" t="n"/>
      <c r="F25" s="11">
        <f>計算用!$AL$24</f>
        <v/>
      </c>
      <c r="G25" s="29" t="n"/>
      <c r="H25" s="11">
        <f>計算用!$AM$24</f>
        <v/>
      </c>
      <c r="I25" s="29" t="n"/>
    </row>
    <row r="26">
      <c r="A26" s="11">
        <f>計算用!$AD$25</f>
        <v/>
      </c>
      <c r="B26" s="11">
        <f>計算用!$AJ$25</f>
        <v/>
      </c>
      <c r="C26" s="29" t="n"/>
      <c r="D26" s="11">
        <f>計算用!$AK$25</f>
        <v/>
      </c>
      <c r="E26" s="29" t="n"/>
      <c r="F26" s="11">
        <f>計算用!$AL$25</f>
        <v/>
      </c>
      <c r="G26" s="29" t="n"/>
      <c r="H26" s="11">
        <f>計算用!$AM$25</f>
        <v/>
      </c>
      <c r="I26" s="29" t="n"/>
    </row>
    <row r="27">
      <c r="A27" s="11">
        <f>計算用!$AD$26</f>
        <v/>
      </c>
      <c r="B27" s="11">
        <f>計算用!$AJ$26</f>
        <v/>
      </c>
      <c r="C27" s="29" t="n"/>
      <c r="D27" s="11">
        <f>計算用!$AK$26</f>
        <v/>
      </c>
      <c r="E27" s="29" t="n"/>
      <c r="F27" s="11">
        <f>計算用!$AL$26</f>
        <v/>
      </c>
      <c r="G27" s="29" t="n"/>
      <c r="H27" s="11">
        <f>計算用!$AM$26</f>
        <v/>
      </c>
      <c r="I27" s="29" t="n"/>
    </row>
    <row r="28">
      <c r="A28" s="11">
        <f>計算用!$AD$27</f>
        <v/>
      </c>
      <c r="B28" s="11">
        <f>計算用!$AJ$27</f>
        <v/>
      </c>
      <c r="C28" s="29" t="n"/>
      <c r="D28" s="11">
        <f>計算用!$AK$27</f>
        <v/>
      </c>
      <c r="E28" s="29" t="n"/>
      <c r="F28" s="11">
        <f>計算用!$AL$27</f>
        <v/>
      </c>
      <c r="G28" s="29" t="n"/>
      <c r="H28" s="11">
        <f>計算用!$AM$27</f>
        <v/>
      </c>
      <c r="I28" s="29" t="n"/>
    </row>
    <row r="29">
      <c r="A29" s="11">
        <f>計算用!$AD$28</f>
        <v/>
      </c>
      <c r="B29" s="11">
        <f>計算用!$AJ$28</f>
        <v/>
      </c>
      <c r="C29" s="29" t="n"/>
      <c r="D29" s="11">
        <f>計算用!$AK$28</f>
        <v/>
      </c>
      <c r="E29" s="29" t="n"/>
      <c r="F29" s="11">
        <f>計算用!$AL$28</f>
        <v/>
      </c>
      <c r="G29" s="29" t="n"/>
      <c r="H29" s="11">
        <f>計算用!$AM$28</f>
        <v/>
      </c>
      <c r="I29" s="29" t="n"/>
    </row>
    <row r="30">
      <c r="A30" s="11">
        <f>計算用!$AD$29</f>
        <v/>
      </c>
      <c r="B30" s="11">
        <f>計算用!$AJ$29</f>
        <v/>
      </c>
      <c r="C30" s="29" t="n"/>
      <c r="D30" s="11">
        <f>計算用!$AK$29</f>
        <v/>
      </c>
      <c r="E30" s="29" t="n"/>
      <c r="F30" s="11">
        <f>計算用!$AL$29</f>
        <v/>
      </c>
      <c r="G30" s="29" t="n"/>
      <c r="H30" s="11">
        <f>計算用!$AM$29</f>
        <v/>
      </c>
      <c r="I30" s="29" t="n"/>
    </row>
    <row r="31">
      <c r="A31" s="11">
        <f>計算用!$AD$30</f>
        <v/>
      </c>
      <c r="B31" s="11">
        <f>計算用!$AJ$30</f>
        <v/>
      </c>
      <c r="C31" s="29" t="n"/>
      <c r="D31" s="11">
        <f>計算用!$AK$30</f>
        <v/>
      </c>
      <c r="E31" s="29" t="n"/>
      <c r="F31" s="11">
        <f>計算用!$AL$30</f>
        <v/>
      </c>
      <c r="G31" s="29" t="n"/>
      <c r="H31" s="11">
        <f>計算用!$AM$30</f>
        <v/>
      </c>
      <c r="I31" s="29" t="n"/>
    </row>
    <row r="32">
      <c r="A32" s="11">
        <f>計算用!$AD$31</f>
        <v/>
      </c>
      <c r="B32" s="11">
        <f>計算用!$AJ$31</f>
        <v/>
      </c>
      <c r="C32" s="29" t="n"/>
      <c r="D32" s="11">
        <f>計算用!$AK$31</f>
        <v/>
      </c>
      <c r="E32" s="29" t="n"/>
      <c r="F32" s="11">
        <f>計算用!$AL$31</f>
        <v/>
      </c>
      <c r="G32" s="29" t="n"/>
      <c r="H32" s="11">
        <f>計算用!$AM$31</f>
        <v/>
      </c>
      <c r="I32" s="29" t="n"/>
    </row>
    <row r="33">
      <c r="A33" s="11">
        <f>計算用!$AD$32</f>
        <v/>
      </c>
      <c r="B33" s="11">
        <f>計算用!$AJ$32</f>
        <v/>
      </c>
      <c r="C33" s="29" t="n"/>
      <c r="D33" s="11">
        <f>計算用!$AK$32</f>
        <v/>
      </c>
      <c r="E33" s="29" t="n"/>
      <c r="F33" s="11">
        <f>計算用!$AL$32</f>
        <v/>
      </c>
      <c r="G33" s="29" t="n"/>
      <c r="H33" s="11">
        <f>計算用!$AM$32</f>
        <v/>
      </c>
      <c r="I33" s="29" t="n"/>
    </row>
    <row r="34">
      <c r="A34" s="11">
        <f>計算用!$AD$33</f>
        <v/>
      </c>
      <c r="B34" s="11">
        <f>計算用!$AJ$33</f>
        <v/>
      </c>
      <c r="C34" s="29" t="n"/>
      <c r="D34" s="11">
        <f>計算用!$AK$33</f>
        <v/>
      </c>
      <c r="E34" s="29" t="n"/>
      <c r="F34" s="11">
        <f>計算用!$AL$33</f>
        <v/>
      </c>
      <c r="G34" s="29" t="n"/>
      <c r="H34" s="11">
        <f>計算用!$AM$33</f>
        <v/>
      </c>
      <c r="I34" s="29" t="n"/>
    </row>
    <row r="35">
      <c r="A35" s="11">
        <f>計算用!$AD$34</f>
        <v/>
      </c>
      <c r="B35" s="11">
        <f>計算用!$AJ$34</f>
        <v/>
      </c>
      <c r="C35" s="29" t="n"/>
      <c r="D35" s="11">
        <f>計算用!$AK$34</f>
        <v/>
      </c>
      <c r="E35" s="29" t="n"/>
      <c r="F35" s="11">
        <f>計算用!$AL$34</f>
        <v/>
      </c>
      <c r="G35" s="29" t="n"/>
      <c r="H35" s="11">
        <f>計算用!$AM$34</f>
        <v/>
      </c>
      <c r="I35" s="29" t="n"/>
    </row>
    <row r="36">
      <c r="A36" s="11">
        <f>計算用!$AD$35</f>
        <v/>
      </c>
      <c r="B36" s="11">
        <f>計算用!$AJ$35</f>
        <v/>
      </c>
      <c r="C36" s="29" t="n"/>
      <c r="D36" s="11">
        <f>計算用!$AK$35</f>
        <v/>
      </c>
      <c r="E36" s="29" t="n"/>
      <c r="F36" s="11">
        <f>計算用!$AL$35</f>
        <v/>
      </c>
      <c r="G36" s="29" t="n"/>
      <c r="H36" s="11">
        <f>計算用!$AM$35</f>
        <v/>
      </c>
      <c r="I36" s="29" t="n"/>
    </row>
    <row r="37">
      <c r="A37" s="11">
        <f>計算用!$AD$36</f>
        <v/>
      </c>
      <c r="B37" s="11">
        <f>計算用!$AJ$36</f>
        <v/>
      </c>
      <c r="C37" s="29" t="n"/>
      <c r="D37" s="11">
        <f>計算用!$AK$36</f>
        <v/>
      </c>
      <c r="E37" s="29" t="n"/>
      <c r="F37" s="11">
        <f>計算用!$AL$36</f>
        <v/>
      </c>
      <c r="G37" s="29" t="n"/>
      <c r="H37" s="11">
        <f>計算用!$AM$36</f>
        <v/>
      </c>
      <c r="I37" s="29" t="n"/>
    </row>
    <row r="38">
      <c r="A38" s="11">
        <f>計算用!$AD$37</f>
        <v/>
      </c>
      <c r="B38" s="11">
        <f>計算用!$AJ$37</f>
        <v/>
      </c>
      <c r="C38" s="29" t="n"/>
      <c r="D38" s="11">
        <f>計算用!$AK$37</f>
        <v/>
      </c>
      <c r="E38" s="29" t="n"/>
      <c r="F38" s="11">
        <f>計算用!$AL$37</f>
        <v/>
      </c>
      <c r="G38" s="29" t="n"/>
      <c r="H38" s="11">
        <f>計算用!$AM$37</f>
        <v/>
      </c>
      <c r="I38" s="29" t="n"/>
    </row>
    <row r="39">
      <c r="A39" s="11">
        <f>計算用!$AD$38</f>
        <v/>
      </c>
      <c r="B39" s="11">
        <f>計算用!$AJ$38</f>
        <v/>
      </c>
      <c r="C39" s="29" t="n"/>
      <c r="D39" s="11">
        <f>計算用!$AK$38</f>
        <v/>
      </c>
      <c r="E39" s="29" t="n"/>
      <c r="F39" s="11">
        <f>計算用!$AL$38</f>
        <v/>
      </c>
      <c r="G39" s="29" t="n"/>
      <c r="H39" s="11">
        <f>計算用!$AM$38</f>
        <v/>
      </c>
      <c r="I39" s="29" t="n"/>
    </row>
    <row r="40">
      <c r="A40" s="11">
        <f>計算用!$AD$39</f>
        <v/>
      </c>
      <c r="B40" s="11">
        <f>計算用!$AJ$39</f>
        <v/>
      </c>
      <c r="C40" s="29" t="n"/>
      <c r="D40" s="11">
        <f>計算用!$AK$39</f>
        <v/>
      </c>
      <c r="E40" s="29" t="n"/>
      <c r="F40" s="11">
        <f>計算用!$AL$39</f>
        <v/>
      </c>
      <c r="G40" s="29" t="n"/>
      <c r="H40" s="11">
        <f>計算用!$AM$39</f>
        <v/>
      </c>
      <c r="I40" s="29" t="n"/>
    </row>
    <row r="41">
      <c r="A41" s="11">
        <f>計算用!$AD$40</f>
        <v/>
      </c>
      <c r="B41" s="11">
        <f>計算用!$AJ$40</f>
        <v/>
      </c>
      <c r="C41" s="29" t="n"/>
      <c r="D41" s="11">
        <f>計算用!$AK$40</f>
        <v/>
      </c>
      <c r="E41" s="29" t="n"/>
      <c r="F41" s="11">
        <f>計算用!$AL$40</f>
        <v/>
      </c>
      <c r="G41" s="29" t="n"/>
      <c r="H41" s="11">
        <f>計算用!$AM$40</f>
        <v/>
      </c>
      <c r="I41" s="29" t="n"/>
    </row>
    <row r="42">
      <c r="A42" s="11">
        <f>計算用!$AD$41</f>
        <v/>
      </c>
      <c r="B42" s="11">
        <f>計算用!$AJ$41</f>
        <v/>
      </c>
      <c r="C42" s="29" t="n"/>
      <c r="D42" s="11">
        <f>計算用!$AK$41</f>
        <v/>
      </c>
      <c r="E42" s="29" t="n"/>
      <c r="F42" s="11">
        <f>計算用!$AL$41</f>
        <v/>
      </c>
      <c r="G42" s="29" t="n"/>
      <c r="H42" s="11">
        <f>計算用!$AM$41</f>
        <v/>
      </c>
      <c r="I42" s="29" t="n"/>
    </row>
    <row r="43">
      <c r="A43" s="11">
        <f>計算用!$AD$42</f>
        <v/>
      </c>
      <c r="B43" s="11">
        <f>計算用!$AJ$42</f>
        <v/>
      </c>
      <c r="C43" s="29" t="n"/>
      <c r="D43" s="11">
        <f>計算用!$AK$42</f>
        <v/>
      </c>
      <c r="E43" s="29" t="n"/>
      <c r="F43" s="11">
        <f>計算用!$AL$42</f>
        <v/>
      </c>
      <c r="G43" s="29" t="n"/>
      <c r="H43" s="11">
        <f>計算用!$AM$42</f>
        <v/>
      </c>
      <c r="I43" s="29" t="n"/>
    </row>
    <row r="44">
      <c r="A44" s="11">
        <f>計算用!$AD$43</f>
        <v/>
      </c>
      <c r="B44" s="11">
        <f>計算用!$AJ$43</f>
        <v/>
      </c>
      <c r="C44" s="29" t="n"/>
      <c r="D44" s="11">
        <f>計算用!$AK$43</f>
        <v/>
      </c>
      <c r="E44" s="29" t="n"/>
      <c r="F44" s="11">
        <f>計算用!$AL$43</f>
        <v/>
      </c>
      <c r="G44" s="29" t="n"/>
      <c r="H44" s="11">
        <f>計算用!$AM$43</f>
        <v/>
      </c>
      <c r="I44" s="29" t="n"/>
    </row>
    <row r="45">
      <c r="A45" s="11">
        <f>計算用!$AD$44</f>
        <v/>
      </c>
      <c r="B45" s="11">
        <f>計算用!$AJ$44</f>
        <v/>
      </c>
      <c r="C45" s="29" t="n"/>
      <c r="D45" s="11">
        <f>計算用!$AK$44</f>
        <v/>
      </c>
      <c r="E45" s="29" t="n"/>
      <c r="F45" s="11">
        <f>計算用!$AL$44</f>
        <v/>
      </c>
      <c r="G45" s="29" t="n"/>
      <c r="H45" s="11">
        <f>計算用!$AM$44</f>
        <v/>
      </c>
      <c r="I45" s="29" t="n"/>
    </row>
    <row r="46">
      <c r="A46" s="11">
        <f>計算用!$AD$45</f>
        <v/>
      </c>
      <c r="B46" s="11">
        <f>計算用!$AJ$45</f>
        <v/>
      </c>
      <c r="C46" s="29" t="n"/>
      <c r="D46" s="11">
        <f>計算用!$AK$45</f>
        <v/>
      </c>
      <c r="E46" s="29" t="n"/>
      <c r="F46" s="11">
        <f>計算用!$AL$45</f>
        <v/>
      </c>
      <c r="G46" s="29" t="n"/>
      <c r="H46" s="11">
        <f>計算用!$AM$45</f>
        <v/>
      </c>
      <c r="I46" s="29" t="n"/>
    </row>
    <row r="47">
      <c r="A47" s="11">
        <f>計算用!$AD$46</f>
        <v/>
      </c>
      <c r="B47" s="11">
        <f>計算用!$AJ$46</f>
        <v/>
      </c>
      <c r="C47" s="29" t="n"/>
      <c r="D47" s="11">
        <f>計算用!$AK$46</f>
        <v/>
      </c>
      <c r="E47" s="29" t="n"/>
      <c r="F47" s="11">
        <f>計算用!$AL$46</f>
        <v/>
      </c>
      <c r="G47" s="29" t="n"/>
      <c r="H47" s="11">
        <f>計算用!$AM$46</f>
        <v/>
      </c>
      <c r="I47" s="29" t="n"/>
    </row>
    <row r="48">
      <c r="A48" s="11">
        <f>計算用!$AD$47</f>
        <v/>
      </c>
      <c r="B48" s="11">
        <f>計算用!$AJ$47</f>
        <v/>
      </c>
      <c r="C48" s="29" t="n"/>
      <c r="D48" s="11">
        <f>計算用!$AK$47</f>
        <v/>
      </c>
      <c r="E48" s="29" t="n"/>
      <c r="F48" s="11">
        <f>計算用!$AL$47</f>
        <v/>
      </c>
      <c r="G48" s="29" t="n"/>
      <c r="H48" s="11">
        <f>計算用!$AM$47</f>
        <v/>
      </c>
      <c r="I48" s="29" t="n"/>
    </row>
    <row r="49">
      <c r="A49" s="11">
        <f>計算用!$AD$48</f>
        <v/>
      </c>
      <c r="B49" s="11">
        <f>計算用!$AJ$48</f>
        <v/>
      </c>
      <c r="C49" s="29" t="n"/>
      <c r="D49" s="11">
        <f>計算用!$AK$48</f>
        <v/>
      </c>
      <c r="E49" s="29" t="n"/>
      <c r="F49" s="11">
        <f>計算用!$AL$48</f>
        <v/>
      </c>
      <c r="G49" s="29" t="n"/>
      <c r="H49" s="11">
        <f>計算用!$AM$48</f>
        <v/>
      </c>
      <c r="I49" s="29" t="n"/>
    </row>
    <row r="50">
      <c r="A50" s="11">
        <f>計算用!$AD$49</f>
        <v/>
      </c>
      <c r="B50" s="11">
        <f>計算用!$AJ$49</f>
        <v/>
      </c>
      <c r="C50" s="29" t="n"/>
      <c r="D50" s="11">
        <f>計算用!$AK$49</f>
        <v/>
      </c>
      <c r="E50" s="29" t="n"/>
      <c r="F50" s="11">
        <f>計算用!$AL$49</f>
        <v/>
      </c>
      <c r="G50" s="29" t="n"/>
      <c r="H50" s="11">
        <f>計算用!$AM$49</f>
        <v/>
      </c>
      <c r="I50" s="29" t="n"/>
    </row>
    <row r="51">
      <c r="A51" s="11">
        <f>計算用!$AD$50</f>
        <v/>
      </c>
      <c r="B51" s="11">
        <f>計算用!$AJ$50</f>
        <v/>
      </c>
      <c r="C51" s="29" t="n"/>
      <c r="D51" s="11">
        <f>計算用!$AK$50</f>
        <v/>
      </c>
      <c r="E51" s="29" t="n"/>
      <c r="F51" s="11">
        <f>計算用!$AL$50</f>
        <v/>
      </c>
      <c r="G51" s="29" t="n"/>
      <c r="H51" s="11">
        <f>計算用!$AM$50</f>
        <v/>
      </c>
      <c r="I51" s="29" t="n"/>
    </row>
    <row r="52">
      <c r="A52" s="11">
        <f>計算用!$AD$51</f>
        <v/>
      </c>
      <c r="B52" s="11">
        <f>計算用!$AJ$51</f>
        <v/>
      </c>
      <c r="C52" s="29" t="n"/>
      <c r="D52" s="11">
        <f>計算用!$AK$51</f>
        <v/>
      </c>
      <c r="E52" s="29" t="n"/>
      <c r="F52" s="11">
        <f>計算用!$AL$51</f>
        <v/>
      </c>
      <c r="G52" s="29" t="n"/>
      <c r="H52" s="11">
        <f>計算用!$AM$51</f>
        <v/>
      </c>
      <c r="I52" s="29" t="n"/>
    </row>
    <row r="53">
      <c r="A53" s="11">
        <f>計算用!$AD$52</f>
        <v/>
      </c>
      <c r="B53" s="11">
        <f>計算用!$AJ$52</f>
        <v/>
      </c>
      <c r="C53" s="29" t="n"/>
      <c r="D53" s="11">
        <f>計算用!$AK$52</f>
        <v/>
      </c>
      <c r="E53" s="29" t="n"/>
      <c r="F53" s="11">
        <f>計算用!$AL$52</f>
        <v/>
      </c>
      <c r="G53" s="29" t="n"/>
      <c r="H53" s="11">
        <f>計算用!$AM$52</f>
        <v/>
      </c>
      <c r="I53" s="29" t="n"/>
    </row>
    <row r="54">
      <c r="A54" s="11">
        <f>計算用!$AD$53</f>
        <v/>
      </c>
      <c r="B54" s="11">
        <f>計算用!$AJ$53</f>
        <v/>
      </c>
      <c r="C54" s="29" t="n"/>
      <c r="D54" s="11">
        <f>計算用!$AK$53</f>
        <v/>
      </c>
      <c r="E54" s="29" t="n"/>
      <c r="F54" s="11">
        <f>計算用!$AL$53</f>
        <v/>
      </c>
      <c r="G54" s="29" t="n"/>
      <c r="H54" s="11">
        <f>計算用!$AM$53</f>
        <v/>
      </c>
      <c r="I54" s="29" t="n"/>
    </row>
    <row r="55">
      <c r="A55" s="11">
        <f>計算用!$AD$54</f>
        <v/>
      </c>
      <c r="B55" s="11">
        <f>計算用!$AJ$54</f>
        <v/>
      </c>
      <c r="C55" s="29" t="n"/>
      <c r="D55" s="11">
        <f>計算用!$AK$54</f>
        <v/>
      </c>
      <c r="E55" s="29" t="n"/>
      <c r="F55" s="11">
        <f>計算用!$AL$54</f>
        <v/>
      </c>
      <c r="G55" s="29" t="n"/>
      <c r="H55" s="11">
        <f>計算用!$AM$54</f>
        <v/>
      </c>
      <c r="I55" s="29" t="n"/>
    </row>
    <row r="56">
      <c r="A56" s="11">
        <f>計算用!$AD$55</f>
        <v/>
      </c>
      <c r="B56" s="11">
        <f>計算用!$AJ$55</f>
        <v/>
      </c>
      <c r="C56" s="29" t="n"/>
      <c r="D56" s="11">
        <f>計算用!$AK$55</f>
        <v/>
      </c>
      <c r="E56" s="29" t="n"/>
      <c r="F56" s="11">
        <f>計算用!$AL$55</f>
        <v/>
      </c>
      <c r="G56" s="29" t="n"/>
      <c r="H56" s="11">
        <f>計算用!$AM$55</f>
        <v/>
      </c>
      <c r="I56" s="29" t="n"/>
    </row>
    <row r="57">
      <c r="A57" s="11">
        <f>計算用!$AD$56</f>
        <v/>
      </c>
      <c r="B57" s="11">
        <f>計算用!$AJ$56</f>
        <v/>
      </c>
      <c r="C57" s="29" t="n"/>
      <c r="D57" s="11">
        <f>計算用!$AK$56</f>
        <v/>
      </c>
      <c r="E57" s="29" t="n"/>
      <c r="F57" s="11">
        <f>計算用!$AL$56</f>
        <v/>
      </c>
      <c r="G57" s="29" t="n"/>
      <c r="H57" s="11">
        <f>計算用!$AM$56</f>
        <v/>
      </c>
      <c r="I57" s="29" t="n"/>
    </row>
    <row r="58">
      <c r="A58" s="11">
        <f>計算用!$AD$57</f>
        <v/>
      </c>
      <c r="B58" s="11">
        <f>計算用!$AJ$57</f>
        <v/>
      </c>
      <c r="C58" s="29" t="n"/>
      <c r="D58" s="11">
        <f>計算用!$AK$57</f>
        <v/>
      </c>
      <c r="E58" s="29" t="n"/>
      <c r="F58" s="11">
        <f>計算用!$AL$57</f>
        <v/>
      </c>
      <c r="G58" s="29" t="n"/>
      <c r="H58" s="11">
        <f>計算用!$AM$57</f>
        <v/>
      </c>
      <c r="I58" s="29" t="n"/>
    </row>
    <row r="59">
      <c r="A59" s="11">
        <f>計算用!$AD$58</f>
        <v/>
      </c>
      <c r="B59" s="11">
        <f>計算用!$AJ$58</f>
        <v/>
      </c>
      <c r="C59" s="29" t="n"/>
      <c r="D59" s="11">
        <f>計算用!$AK$58</f>
        <v/>
      </c>
      <c r="E59" s="29" t="n"/>
      <c r="F59" s="11">
        <f>計算用!$AL$58</f>
        <v/>
      </c>
      <c r="G59" s="29" t="n"/>
      <c r="H59" s="11">
        <f>計算用!$AM$58</f>
        <v/>
      </c>
      <c r="I59" s="29" t="n"/>
    </row>
    <row r="60">
      <c r="A60" s="11">
        <f>計算用!$AD$59</f>
        <v/>
      </c>
      <c r="B60" s="11">
        <f>計算用!$AJ$59</f>
        <v/>
      </c>
      <c r="C60" s="29" t="n"/>
      <c r="D60" s="11">
        <f>計算用!$AK$59</f>
        <v/>
      </c>
      <c r="E60" s="29" t="n"/>
      <c r="F60" s="11">
        <f>計算用!$AL$59</f>
        <v/>
      </c>
      <c r="G60" s="29" t="n"/>
      <c r="H60" s="11">
        <f>計算用!$AM$59</f>
        <v/>
      </c>
      <c r="I60" s="29" t="n"/>
    </row>
    <row r="61">
      <c r="A61" s="11">
        <f>計算用!$AD$60</f>
        <v/>
      </c>
      <c r="B61" s="11">
        <f>計算用!$AJ$60</f>
        <v/>
      </c>
      <c r="C61" s="29" t="n"/>
      <c r="D61" s="11">
        <f>計算用!$AK$60</f>
        <v/>
      </c>
      <c r="E61" s="29" t="n"/>
      <c r="F61" s="11">
        <f>計算用!$AL$60</f>
        <v/>
      </c>
      <c r="G61" s="29" t="n"/>
      <c r="H61" s="11">
        <f>計算用!$AM$60</f>
        <v/>
      </c>
      <c r="I61" s="29" t="n"/>
    </row>
    <row r="62">
      <c r="A62" s="11">
        <f>計算用!$AD$61</f>
        <v/>
      </c>
      <c r="B62" s="11">
        <f>計算用!$AJ$61</f>
        <v/>
      </c>
      <c r="C62" s="29" t="n"/>
      <c r="D62" s="11">
        <f>計算用!$AK$61</f>
        <v/>
      </c>
      <c r="E62" s="29" t="n"/>
      <c r="F62" s="11">
        <f>計算用!$AL$61</f>
        <v/>
      </c>
      <c r="G62" s="29" t="n"/>
      <c r="H62" s="11">
        <f>計算用!$AM$61</f>
        <v/>
      </c>
      <c r="I62" s="29" t="n"/>
    </row>
    <row r="63">
      <c r="A63" s="11">
        <f>計算用!$AD$62</f>
        <v/>
      </c>
      <c r="B63" s="11">
        <f>計算用!$AJ$62</f>
        <v/>
      </c>
      <c r="C63" s="29" t="n"/>
      <c r="D63" s="11">
        <f>計算用!$AK$62</f>
        <v/>
      </c>
      <c r="E63" s="29" t="n"/>
      <c r="F63" s="11">
        <f>計算用!$AL$62</f>
        <v/>
      </c>
      <c r="G63" s="29" t="n"/>
      <c r="H63" s="11">
        <f>計算用!$AM$62</f>
        <v/>
      </c>
      <c r="I63" s="29" t="n"/>
    </row>
    <row r="64">
      <c r="A64" s="11">
        <f>計算用!$AD$63</f>
        <v/>
      </c>
      <c r="B64" s="11">
        <f>計算用!$AJ$63</f>
        <v/>
      </c>
      <c r="C64" s="29" t="n"/>
      <c r="D64" s="11">
        <f>計算用!$AK$63</f>
        <v/>
      </c>
      <c r="E64" s="29" t="n"/>
      <c r="F64" s="11">
        <f>計算用!$AL$63</f>
        <v/>
      </c>
      <c r="G64" s="29" t="n"/>
      <c r="H64" s="11">
        <f>計算用!$AM$63</f>
        <v/>
      </c>
      <c r="I64" s="29" t="n"/>
    </row>
    <row r="65">
      <c r="A65" s="11">
        <f>計算用!$AD$64</f>
        <v/>
      </c>
      <c r="B65" s="11">
        <f>計算用!$AJ$64</f>
        <v/>
      </c>
      <c r="C65" s="29" t="n"/>
      <c r="D65" s="11">
        <f>計算用!$AK$64</f>
        <v/>
      </c>
      <c r="E65" s="29" t="n"/>
      <c r="F65" s="11">
        <f>計算用!$AL$64</f>
        <v/>
      </c>
      <c r="G65" s="29" t="n"/>
      <c r="H65" s="11">
        <f>計算用!$AM$64</f>
        <v/>
      </c>
      <c r="I65" s="29" t="n"/>
    </row>
    <row r="66">
      <c r="A66" s="11">
        <f>計算用!$AD$65</f>
        <v/>
      </c>
      <c r="B66" s="11">
        <f>計算用!$AJ$65</f>
        <v/>
      </c>
      <c r="C66" s="29" t="n"/>
      <c r="D66" s="11">
        <f>計算用!$AK$65</f>
        <v/>
      </c>
      <c r="E66" s="29" t="n"/>
      <c r="F66" s="11">
        <f>計算用!$AL$65</f>
        <v/>
      </c>
      <c r="G66" s="29" t="n"/>
      <c r="H66" s="11">
        <f>計算用!$AM$65</f>
        <v/>
      </c>
      <c r="I66" s="29" t="n"/>
    </row>
    <row r="67">
      <c r="A67" s="11">
        <f>計算用!$AD$66</f>
        <v/>
      </c>
      <c r="B67" s="11">
        <f>計算用!$AJ$66</f>
        <v/>
      </c>
      <c r="C67" s="29" t="n"/>
      <c r="D67" s="11">
        <f>計算用!$AK$66</f>
        <v/>
      </c>
      <c r="E67" s="29" t="n"/>
      <c r="F67" s="11">
        <f>計算用!$AL$66</f>
        <v/>
      </c>
      <c r="G67" s="29" t="n"/>
      <c r="H67" s="11">
        <f>計算用!$AM$66</f>
        <v/>
      </c>
      <c r="I67" s="29" t="n"/>
    </row>
    <row r="68">
      <c r="A68" s="11">
        <f>計算用!$AD$67</f>
        <v/>
      </c>
      <c r="B68" s="11">
        <f>計算用!$AJ$67</f>
        <v/>
      </c>
      <c r="C68" s="29" t="n"/>
      <c r="D68" s="11">
        <f>計算用!$AK$67</f>
        <v/>
      </c>
      <c r="E68" s="29" t="n"/>
      <c r="F68" s="11">
        <f>計算用!$AL$67</f>
        <v/>
      </c>
      <c r="G68" s="29" t="n"/>
      <c r="H68" s="11">
        <f>計算用!$AM$67</f>
        <v/>
      </c>
      <c r="I68" s="29" t="n"/>
    </row>
    <row r="69">
      <c r="A69" s="11">
        <f>計算用!$AD$68</f>
        <v/>
      </c>
      <c r="B69" s="11">
        <f>計算用!$AJ$68</f>
        <v/>
      </c>
      <c r="C69" s="29" t="n"/>
      <c r="D69" s="11">
        <f>計算用!$AK$68</f>
        <v/>
      </c>
      <c r="E69" s="29" t="n"/>
      <c r="F69" s="11">
        <f>計算用!$AL$68</f>
        <v/>
      </c>
      <c r="G69" s="29" t="n"/>
      <c r="H69" s="11">
        <f>計算用!$AM$68</f>
        <v/>
      </c>
      <c r="I69" s="29" t="n"/>
    </row>
    <row r="70">
      <c r="A70" s="11">
        <f>計算用!$AD$69</f>
        <v/>
      </c>
      <c r="B70" s="11">
        <f>計算用!$AJ$69</f>
        <v/>
      </c>
      <c r="C70" s="29" t="n"/>
      <c r="D70" s="11">
        <f>計算用!$AK$69</f>
        <v/>
      </c>
      <c r="E70" s="29" t="n"/>
      <c r="F70" s="11">
        <f>計算用!$AL$69</f>
        <v/>
      </c>
      <c r="G70" s="29" t="n"/>
      <c r="H70" s="11">
        <f>計算用!$AM$69</f>
        <v/>
      </c>
      <c r="I70" s="29" t="n"/>
    </row>
    <row r="71">
      <c r="A71" s="11">
        <f>計算用!$AD$70</f>
        <v/>
      </c>
      <c r="B71" s="11">
        <f>計算用!$AJ$70</f>
        <v/>
      </c>
      <c r="C71" s="29" t="n"/>
      <c r="D71" s="11">
        <f>計算用!$AK$70</f>
        <v/>
      </c>
      <c r="E71" s="29" t="n"/>
      <c r="F71" s="11">
        <f>計算用!$AL$70</f>
        <v/>
      </c>
      <c r="G71" s="29" t="n"/>
      <c r="H71" s="11">
        <f>計算用!$AM$70</f>
        <v/>
      </c>
      <c r="I71" s="29" t="n"/>
    </row>
    <row r="72">
      <c r="A72" s="11">
        <f>計算用!$AD$71</f>
        <v/>
      </c>
      <c r="B72" s="11">
        <f>計算用!$AJ$71</f>
        <v/>
      </c>
      <c r="C72" s="29" t="n"/>
      <c r="D72" s="11">
        <f>計算用!$AK$71</f>
        <v/>
      </c>
      <c r="E72" s="29" t="n"/>
      <c r="F72" s="11">
        <f>計算用!$AL$71</f>
        <v/>
      </c>
      <c r="G72" s="29" t="n"/>
      <c r="H72" s="11">
        <f>計算用!$AM$71</f>
        <v/>
      </c>
      <c r="I72" s="29" t="n"/>
    </row>
    <row r="73">
      <c r="A73" s="11">
        <f>計算用!$AD$72</f>
        <v/>
      </c>
      <c r="B73" s="11">
        <f>計算用!$AJ$72</f>
        <v/>
      </c>
      <c r="C73" s="29" t="n"/>
      <c r="D73" s="11">
        <f>計算用!$AK$72</f>
        <v/>
      </c>
      <c r="E73" s="29" t="n"/>
      <c r="F73" s="11">
        <f>計算用!$AL$72</f>
        <v/>
      </c>
      <c r="G73" s="29" t="n"/>
      <c r="H73" s="11">
        <f>計算用!$AM$72</f>
        <v/>
      </c>
      <c r="I73" s="29" t="n"/>
    </row>
    <row r="74">
      <c r="A74" s="11">
        <f>計算用!$AD$73</f>
        <v/>
      </c>
      <c r="B74" s="11">
        <f>計算用!$AJ$73</f>
        <v/>
      </c>
      <c r="C74" s="29" t="n"/>
      <c r="D74" s="11">
        <f>計算用!$AK$73</f>
        <v/>
      </c>
      <c r="E74" s="29" t="n"/>
      <c r="F74" s="11">
        <f>計算用!$AL$73</f>
        <v/>
      </c>
      <c r="G74" s="29" t="n"/>
      <c r="H74" s="11">
        <f>計算用!$AM$73</f>
        <v/>
      </c>
      <c r="I74" s="29" t="n"/>
    </row>
    <row r="75">
      <c r="A75" s="11">
        <f>計算用!$AD$74</f>
        <v/>
      </c>
      <c r="B75" s="11">
        <f>計算用!$AJ$74</f>
        <v/>
      </c>
      <c r="C75" s="29" t="n"/>
      <c r="D75" s="11">
        <f>計算用!$AK$74</f>
        <v/>
      </c>
      <c r="E75" s="29" t="n"/>
      <c r="F75" s="11">
        <f>計算用!$AL$74</f>
        <v/>
      </c>
      <c r="G75" s="29" t="n"/>
      <c r="H75" s="11">
        <f>計算用!$AM$74</f>
        <v/>
      </c>
      <c r="I75" s="29" t="n"/>
    </row>
    <row r="76">
      <c r="A76" s="11">
        <f>計算用!$AD$75</f>
        <v/>
      </c>
      <c r="B76" s="11">
        <f>計算用!$AJ$75</f>
        <v/>
      </c>
      <c r="C76" s="29" t="n"/>
      <c r="D76" s="11">
        <f>計算用!$AK$75</f>
        <v/>
      </c>
      <c r="E76" s="29" t="n"/>
      <c r="F76" s="11">
        <f>計算用!$AL$75</f>
        <v/>
      </c>
      <c r="G76" s="29" t="n"/>
      <c r="H76" s="11">
        <f>計算用!$AM$75</f>
        <v/>
      </c>
      <c r="I76" s="29" t="n"/>
    </row>
  </sheetData>
  <mergeCells count="6">
    <mergeCell ref="D1:E1"/>
    <mergeCell ref="H1:I1"/>
    <mergeCell ref="K1:Q2"/>
    <mergeCell ref="B1:C1"/>
    <mergeCell ref="F1:G1"/>
    <mergeCell ref="A1:A2"/>
  </mergeCells>
  <conditionalFormatting sqref="A3:A76">
    <cfRule type="expression" priority="1" dxfId="9" stopIfTrue="1">
      <formula>AND($A3&lt;&gt;"",INDEX(計算用!$AN$2:$AN$75,ROW()-2)&gt;0)</formula>
    </cfRule>
  </conditionalFormatting>
  <conditionalFormatting sqref="B3:B76">
    <cfRule type="expression" priority="2" dxfId="5">
      <formula>AND(B3&lt;&gt;"",TRUE,MOD(0-INDEX(計算用!$AE$2:$AE$75,ROW()-2)+1,4)=0)</formula>
    </cfRule>
    <cfRule type="expression" priority="3" dxfId="6">
      <formula>AND(B3&lt;&gt;"",TRUE,MOD(0-INDEX(計算用!$AE$2:$AE$75,ROW()-2)+1,4)=1)</formula>
    </cfRule>
    <cfRule type="expression" priority="4" dxfId="7">
      <formula>AND(B3&lt;&gt;"",TRUE,MOD(0-INDEX(計算用!$AE$2:$AE$75,ROW()-2)+1,4)=2)</formula>
    </cfRule>
    <cfRule type="expression" priority="5" dxfId="8">
      <formula>AND(B3&lt;&gt;"",TRUE,MOD(0-INDEX(計算用!$AE$2:$AE$75,ROW()-2)+1,4)=3)</formula>
    </cfRule>
  </conditionalFormatting>
  <conditionalFormatting sqref="C3:C76">
    <cfRule type="expression" priority="6" dxfId="10">
      <formula>$A3&lt;&gt;""</formula>
    </cfRule>
  </conditionalFormatting>
  <conditionalFormatting sqref="D3:D76">
    <cfRule type="expression" priority="7" dxfId="5">
      <formula>AND(D3&lt;&gt;"",TRUE,MOD(1-INDEX(計算用!$AE$2:$AE$75,ROW()-2)+1,4)=0)</formula>
    </cfRule>
    <cfRule type="expression" priority="8" dxfId="6">
      <formula>AND(D3&lt;&gt;"",TRUE,MOD(1-INDEX(計算用!$AE$2:$AE$75,ROW()-2)+1,4)=1)</formula>
    </cfRule>
    <cfRule type="expression" priority="9" dxfId="7">
      <formula>AND(D3&lt;&gt;"",TRUE,MOD(1-INDEX(計算用!$AE$2:$AE$75,ROW()-2)+1,4)=2)</formula>
    </cfRule>
    <cfRule type="expression" priority="10" dxfId="8">
      <formula>AND(D3&lt;&gt;"",TRUE,MOD(1-INDEX(計算用!$AE$2:$AE$75,ROW()-2)+1,4)=3)</formula>
    </cfRule>
  </conditionalFormatting>
  <conditionalFormatting sqref="E3:E76">
    <cfRule type="expression" priority="11" dxfId="10">
      <formula>$A3&lt;&gt;""</formula>
    </cfRule>
  </conditionalFormatting>
  <conditionalFormatting sqref="F3:F76">
    <cfRule type="expression" priority="12" dxfId="5">
      <formula>AND(F3&lt;&gt;"",TRUE,MOD(2-INDEX(計算用!$AE$2:$AE$75,ROW()-2)+1,4)=0)</formula>
    </cfRule>
    <cfRule type="expression" priority="13" dxfId="6">
      <formula>AND(F3&lt;&gt;"",TRUE,MOD(2-INDEX(計算用!$AE$2:$AE$75,ROW()-2)+1,4)=1)</formula>
    </cfRule>
    <cfRule type="expression" priority="14" dxfId="7">
      <formula>AND(F3&lt;&gt;"",TRUE,MOD(2-INDEX(計算用!$AE$2:$AE$75,ROW()-2)+1,4)=2)</formula>
    </cfRule>
    <cfRule type="expression" priority="15" dxfId="8">
      <formula>AND(F3&lt;&gt;"",TRUE,MOD(2-INDEX(計算用!$AE$2:$AE$75,ROW()-2)+1,4)=3)</formula>
    </cfRule>
  </conditionalFormatting>
  <conditionalFormatting sqref="G3:G76">
    <cfRule type="expression" priority="16" dxfId="10">
      <formula>$A3&lt;&gt;""</formula>
    </cfRule>
  </conditionalFormatting>
  <conditionalFormatting sqref="H3:H76">
    <cfRule type="expression" priority="17" dxfId="5">
      <formula>AND(H3&lt;&gt;"",TRUE,MOD(3-INDEX(計算用!$AE$2:$AE$75,ROW()-2)+1,4)=0)</formula>
    </cfRule>
    <cfRule type="expression" priority="18" dxfId="6">
      <formula>AND(H3&lt;&gt;"",TRUE,MOD(3-INDEX(計算用!$AE$2:$AE$75,ROW()-2)+1,4)=1)</formula>
    </cfRule>
    <cfRule type="expression" priority="19" dxfId="7">
      <formula>AND(H3&lt;&gt;"",TRUE,MOD(3-INDEX(計算用!$AE$2:$AE$75,ROW()-2)+1,4)=2)</formula>
    </cfRule>
    <cfRule type="expression" priority="20" dxfId="8">
      <formula>AND(H3&lt;&gt;"",TRUE,MOD(3-INDEX(計算用!$AE$2:$AE$75,ROW()-2)+1,4)=3)</formula>
    </cfRule>
  </conditionalFormatting>
  <conditionalFormatting sqref="I3:I76">
    <cfRule type="expression" priority="21" dxfId="10">
      <formula>$A3&lt;&gt;""</formula>
    </cfRule>
  </conditionalFormatting>
  <conditionalFormatting sqref="A3:I76">
    <cfRule type="expression" priority="22" dxfId="0">
      <formula>$A3&lt;&gt;""</formula>
    </cfRule>
  </conditionalFormatting>
  <dataValidations count="1">
    <dataValidation sqref="C3:C76 E3:E76 G3:G76 I3:I76" showDropDown="0" showInputMessage="0" showErrorMessage="1" allowBlank="0" errorTitle="新しいコース" error="コースの番号（数字）を入れてください" type="whole" operator="between">
      <formula1>1</formula1>
      <formula2>9</formula2>
    </dataValidation>
  </dataValidations>
  <printOptions horizontalCentered="1"/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9" customWidth="1" min="4" max="4"/>
    <col width="19" customWidth="1" min="5" max="5"/>
    <col width="3" customWidth="1" min="6" max="6"/>
  </cols>
  <sheetData>
    <row r="1" ht="32" customHeight="1">
      <c r="A1" s="22" t="inlineStr">
        <is>
          <t>徒競走 最終決定版</t>
        </is>
      </c>
      <c r="H1" s="23" t="inlineStr">
        <is>
          <t>色</t>
        </is>
      </c>
      <c r="I1" s="2" t="inlineStr">
        <is>
          <t>色あり</t>
        </is>
      </c>
    </row>
    <row r="2" ht="22" customHeight="1">
      <c r="A2" s="12" t="n"/>
      <c r="B2" s="30">
        <f>(計算用!$U$5+0)&amp;"コース"</f>
        <v/>
      </c>
      <c r="C2" s="30">
        <f>(計算用!$U$5+1)&amp;"コース"</f>
        <v/>
      </c>
      <c r="D2" s="30">
        <f>(計算用!$U$5+2)&amp;"コース"</f>
        <v/>
      </c>
      <c r="E2" s="30">
        <f>(計算用!$U$5+3)&amp;"コース"</f>
        <v/>
      </c>
      <c r="H2" t="inlineStr">
        <is>
          <t>← 印刷の前に選んでください（この欄は印刷されません）</t>
        </is>
      </c>
    </row>
    <row r="3" ht="19.5" customHeight="1">
      <c r="A3" s="31">
        <f>IF(計算用!$Z$2="","",計算用!$Y$2&amp;"レース")</f>
        <v/>
      </c>
      <c r="B3" s="32">
        <f>IFERROR(INDEX(計算用!$AJ2:$AM2,MATCH(0,計算用!$AF2:$AI2,0)),"")</f>
        <v/>
      </c>
      <c r="C3" s="32">
        <f>IFERROR(INDEX(計算用!$AJ2:$AM2,MATCH(1,計算用!$AF2:$AI2,0)),"")</f>
        <v/>
      </c>
      <c r="D3" s="32">
        <f>IFERROR(INDEX(計算用!$AJ2:$AM2,MATCH(2,計算用!$AF2:$AI2,0)),"")</f>
        <v/>
      </c>
      <c r="E3" s="32">
        <f>IFERROR(INDEX(計算用!$AJ2:$AM2,MATCH(3,計算用!$AF2:$AI2,0)),"")</f>
        <v/>
      </c>
      <c r="H3" s="4">
        <f>計算用!$U$28</f>
        <v/>
      </c>
    </row>
    <row r="4" ht="19.5" customHeight="1">
      <c r="A4" s="31">
        <f>IF(計算用!$Z$3="","",計算用!$Y$3&amp;"レース")</f>
        <v/>
      </c>
      <c r="B4" s="32">
        <f>IFERROR(INDEX(計算用!$AJ3:$AM3,MATCH(0,計算用!$AF3:$AI3,0)),"")</f>
        <v/>
      </c>
      <c r="C4" s="32">
        <f>IFERROR(INDEX(計算用!$AJ3:$AM3,MATCH(1,計算用!$AF3:$AI3,0)),"")</f>
        <v/>
      </c>
      <c r="D4" s="32">
        <f>IFERROR(INDEX(計算用!$AJ3:$AM3,MATCH(2,計算用!$AF3:$AI3,0)),"")</f>
        <v/>
      </c>
      <c r="E4" s="32">
        <f>IFERROR(INDEX(計算用!$AJ3:$AM3,MATCH(3,計算用!$AF3:$AI3,0)),"")</f>
        <v/>
      </c>
      <c r="H4" s="4">
        <f>計算用!$U$27</f>
        <v/>
      </c>
    </row>
    <row r="5" ht="19.5" customHeight="1">
      <c r="A5" s="31">
        <f>IF(計算用!$Z$4="","",計算用!$Y$4&amp;"レース")</f>
        <v/>
      </c>
      <c r="B5" s="32">
        <f>IFERROR(INDEX(計算用!$AJ4:$AM4,MATCH(0,計算用!$AF4:$AI4,0)),"")</f>
        <v/>
      </c>
      <c r="C5" s="32">
        <f>IFERROR(INDEX(計算用!$AJ4:$AM4,MATCH(1,計算用!$AF4:$AI4,0)),"")</f>
        <v/>
      </c>
      <c r="D5" s="32">
        <f>IFERROR(INDEX(計算用!$AJ4:$AM4,MATCH(2,計算用!$AF4:$AI4,0)),"")</f>
        <v/>
      </c>
      <c r="E5" s="32">
        <f>IFERROR(INDEX(計算用!$AJ4:$AM4,MATCH(3,計算用!$AF4:$AI4,0)),"")</f>
        <v/>
      </c>
    </row>
    <row r="6" ht="19.5" customHeight="1">
      <c r="A6" s="31">
        <f>IF(計算用!$Z$5="","",計算用!$Y$5&amp;"レース")</f>
        <v/>
      </c>
      <c r="B6" s="32">
        <f>IFERROR(INDEX(計算用!$AJ5:$AM5,MATCH(0,計算用!$AF5:$AI5,0)),"")</f>
        <v/>
      </c>
      <c r="C6" s="32">
        <f>IFERROR(INDEX(計算用!$AJ5:$AM5,MATCH(1,計算用!$AF5:$AI5,0)),"")</f>
        <v/>
      </c>
      <c r="D6" s="32">
        <f>IFERROR(INDEX(計算用!$AJ5:$AM5,MATCH(2,計算用!$AF5:$AI5,0)),"")</f>
        <v/>
      </c>
      <c r="E6" s="32">
        <f>IFERROR(INDEX(計算用!$AJ5:$AM5,MATCH(3,計算用!$AF5:$AI5,0)),"")</f>
        <v/>
      </c>
    </row>
    <row r="7" ht="19.5" customHeight="1">
      <c r="A7" s="31">
        <f>IF(計算用!$Z$6="","",計算用!$Y$6&amp;"レース")</f>
        <v/>
      </c>
      <c r="B7" s="32">
        <f>IFERROR(INDEX(計算用!$AJ6:$AM6,MATCH(0,計算用!$AF6:$AI6,0)),"")</f>
        <v/>
      </c>
      <c r="C7" s="32">
        <f>IFERROR(INDEX(計算用!$AJ6:$AM6,MATCH(1,計算用!$AF6:$AI6,0)),"")</f>
        <v/>
      </c>
      <c r="D7" s="32">
        <f>IFERROR(INDEX(計算用!$AJ6:$AM6,MATCH(2,計算用!$AF6:$AI6,0)),"")</f>
        <v/>
      </c>
      <c r="E7" s="32">
        <f>IFERROR(INDEX(計算用!$AJ6:$AM6,MATCH(3,計算用!$AF6:$AI6,0)),"")</f>
        <v/>
      </c>
    </row>
    <row r="8" ht="19.5" customHeight="1">
      <c r="A8" s="31">
        <f>IF(計算用!$Z$7="","",計算用!$Y$7&amp;"レース")</f>
        <v/>
      </c>
      <c r="B8" s="32">
        <f>IFERROR(INDEX(計算用!$AJ7:$AM7,MATCH(0,計算用!$AF7:$AI7,0)),"")</f>
        <v/>
      </c>
      <c r="C8" s="32">
        <f>IFERROR(INDEX(計算用!$AJ7:$AM7,MATCH(1,計算用!$AF7:$AI7,0)),"")</f>
        <v/>
      </c>
      <c r="D8" s="32">
        <f>IFERROR(INDEX(計算用!$AJ7:$AM7,MATCH(2,計算用!$AF7:$AI7,0)),"")</f>
        <v/>
      </c>
      <c r="E8" s="32">
        <f>IFERROR(INDEX(計算用!$AJ7:$AM7,MATCH(3,計算用!$AF7:$AI7,0)),"")</f>
        <v/>
      </c>
    </row>
    <row r="9" ht="19.5" customHeight="1">
      <c r="A9" s="31">
        <f>IF(計算用!$Z$8="","",計算用!$Y$8&amp;"レース")</f>
        <v/>
      </c>
      <c r="B9" s="32">
        <f>IFERROR(INDEX(計算用!$AJ8:$AM8,MATCH(0,計算用!$AF8:$AI8,0)),"")</f>
        <v/>
      </c>
      <c r="C9" s="32">
        <f>IFERROR(INDEX(計算用!$AJ8:$AM8,MATCH(1,計算用!$AF8:$AI8,0)),"")</f>
        <v/>
      </c>
      <c r="D9" s="32">
        <f>IFERROR(INDEX(計算用!$AJ8:$AM8,MATCH(2,計算用!$AF8:$AI8,0)),"")</f>
        <v/>
      </c>
      <c r="E9" s="32">
        <f>IFERROR(INDEX(計算用!$AJ8:$AM8,MATCH(3,計算用!$AF8:$AI8,0)),"")</f>
        <v/>
      </c>
    </row>
    <row r="10" ht="19.5" customHeight="1">
      <c r="A10" s="31">
        <f>IF(計算用!$Z$9="","",計算用!$Y$9&amp;"レース")</f>
        <v/>
      </c>
      <c r="B10" s="32">
        <f>IFERROR(INDEX(計算用!$AJ9:$AM9,MATCH(0,計算用!$AF9:$AI9,0)),"")</f>
        <v/>
      </c>
      <c r="C10" s="32">
        <f>IFERROR(INDEX(計算用!$AJ9:$AM9,MATCH(1,計算用!$AF9:$AI9,0)),"")</f>
        <v/>
      </c>
      <c r="D10" s="32">
        <f>IFERROR(INDEX(計算用!$AJ9:$AM9,MATCH(2,計算用!$AF9:$AI9,0)),"")</f>
        <v/>
      </c>
      <c r="E10" s="32">
        <f>IFERROR(INDEX(計算用!$AJ9:$AM9,MATCH(3,計算用!$AF9:$AI9,0)),"")</f>
        <v/>
      </c>
    </row>
    <row r="11" ht="19.5" customHeight="1">
      <c r="A11" s="31">
        <f>IF(計算用!$Z$10="","",計算用!$Y$10&amp;"レース")</f>
        <v/>
      </c>
      <c r="B11" s="32">
        <f>IFERROR(INDEX(計算用!$AJ10:$AM10,MATCH(0,計算用!$AF10:$AI10,0)),"")</f>
        <v/>
      </c>
      <c r="C11" s="32">
        <f>IFERROR(INDEX(計算用!$AJ10:$AM10,MATCH(1,計算用!$AF10:$AI10,0)),"")</f>
        <v/>
      </c>
      <c r="D11" s="32">
        <f>IFERROR(INDEX(計算用!$AJ10:$AM10,MATCH(2,計算用!$AF10:$AI10,0)),"")</f>
        <v/>
      </c>
      <c r="E11" s="32">
        <f>IFERROR(INDEX(計算用!$AJ10:$AM10,MATCH(3,計算用!$AF10:$AI10,0)),"")</f>
        <v/>
      </c>
    </row>
    <row r="12" ht="19.5" customHeight="1">
      <c r="A12" s="31">
        <f>IF(計算用!$Z$11="","",計算用!$Y$11&amp;"レース")</f>
        <v/>
      </c>
      <c r="B12" s="32">
        <f>IFERROR(INDEX(計算用!$AJ11:$AM11,MATCH(0,計算用!$AF11:$AI11,0)),"")</f>
        <v/>
      </c>
      <c r="C12" s="32">
        <f>IFERROR(INDEX(計算用!$AJ11:$AM11,MATCH(1,計算用!$AF11:$AI11,0)),"")</f>
        <v/>
      </c>
      <c r="D12" s="32">
        <f>IFERROR(INDEX(計算用!$AJ11:$AM11,MATCH(2,計算用!$AF11:$AI11,0)),"")</f>
        <v/>
      </c>
      <c r="E12" s="32">
        <f>IFERROR(INDEX(計算用!$AJ11:$AM11,MATCH(3,計算用!$AF11:$AI11,0)),"")</f>
        <v/>
      </c>
    </row>
    <row r="13" ht="19.5" customHeight="1">
      <c r="A13" s="31">
        <f>IF(計算用!$Z$12="","",計算用!$Y$12&amp;"レース")</f>
        <v/>
      </c>
      <c r="B13" s="32">
        <f>IFERROR(INDEX(計算用!$AJ12:$AM12,MATCH(0,計算用!$AF12:$AI12,0)),"")</f>
        <v/>
      </c>
      <c r="C13" s="32">
        <f>IFERROR(INDEX(計算用!$AJ12:$AM12,MATCH(1,計算用!$AF12:$AI12,0)),"")</f>
        <v/>
      </c>
      <c r="D13" s="32">
        <f>IFERROR(INDEX(計算用!$AJ12:$AM12,MATCH(2,計算用!$AF12:$AI12,0)),"")</f>
        <v/>
      </c>
      <c r="E13" s="32">
        <f>IFERROR(INDEX(計算用!$AJ12:$AM12,MATCH(3,計算用!$AF12:$AI12,0)),"")</f>
        <v/>
      </c>
    </row>
    <row r="14" ht="19.5" customHeight="1">
      <c r="A14" s="31">
        <f>IF(計算用!$Z$13="","",計算用!$Y$13&amp;"レース")</f>
        <v/>
      </c>
      <c r="B14" s="32">
        <f>IFERROR(INDEX(計算用!$AJ13:$AM13,MATCH(0,計算用!$AF13:$AI13,0)),"")</f>
        <v/>
      </c>
      <c r="C14" s="32">
        <f>IFERROR(INDEX(計算用!$AJ13:$AM13,MATCH(1,計算用!$AF13:$AI13,0)),"")</f>
        <v/>
      </c>
      <c r="D14" s="32">
        <f>IFERROR(INDEX(計算用!$AJ13:$AM13,MATCH(2,計算用!$AF13:$AI13,0)),"")</f>
        <v/>
      </c>
      <c r="E14" s="32">
        <f>IFERROR(INDEX(計算用!$AJ13:$AM13,MATCH(3,計算用!$AF13:$AI13,0)),"")</f>
        <v/>
      </c>
    </row>
    <row r="15" ht="19.5" customHeight="1">
      <c r="A15" s="31">
        <f>IF(計算用!$Z$14="","",計算用!$Y$14&amp;"レース")</f>
        <v/>
      </c>
      <c r="B15" s="32">
        <f>IFERROR(INDEX(計算用!$AJ14:$AM14,MATCH(0,計算用!$AF14:$AI14,0)),"")</f>
        <v/>
      </c>
      <c r="C15" s="32">
        <f>IFERROR(INDEX(計算用!$AJ14:$AM14,MATCH(1,計算用!$AF14:$AI14,0)),"")</f>
        <v/>
      </c>
      <c r="D15" s="32">
        <f>IFERROR(INDEX(計算用!$AJ14:$AM14,MATCH(2,計算用!$AF14:$AI14,0)),"")</f>
        <v/>
      </c>
      <c r="E15" s="32">
        <f>IFERROR(INDEX(計算用!$AJ14:$AM14,MATCH(3,計算用!$AF14:$AI14,0)),"")</f>
        <v/>
      </c>
    </row>
    <row r="16" ht="19.5" customHeight="1">
      <c r="A16" s="31">
        <f>IF(計算用!$Z$15="","",計算用!$Y$15&amp;"レース")</f>
        <v/>
      </c>
      <c r="B16" s="32">
        <f>IFERROR(INDEX(計算用!$AJ15:$AM15,MATCH(0,計算用!$AF15:$AI15,0)),"")</f>
        <v/>
      </c>
      <c r="C16" s="32">
        <f>IFERROR(INDEX(計算用!$AJ15:$AM15,MATCH(1,計算用!$AF15:$AI15,0)),"")</f>
        <v/>
      </c>
      <c r="D16" s="32">
        <f>IFERROR(INDEX(計算用!$AJ15:$AM15,MATCH(2,計算用!$AF15:$AI15,0)),"")</f>
        <v/>
      </c>
      <c r="E16" s="32">
        <f>IFERROR(INDEX(計算用!$AJ15:$AM15,MATCH(3,計算用!$AF15:$AI15,0)),"")</f>
        <v/>
      </c>
    </row>
    <row r="17" ht="19.5" customHeight="1">
      <c r="A17" s="31">
        <f>IF(計算用!$Z$16="","",計算用!$Y$16&amp;"レース")</f>
        <v/>
      </c>
      <c r="B17" s="32">
        <f>IFERROR(INDEX(計算用!$AJ16:$AM16,MATCH(0,計算用!$AF16:$AI16,0)),"")</f>
        <v/>
      </c>
      <c r="C17" s="32">
        <f>IFERROR(INDEX(計算用!$AJ16:$AM16,MATCH(1,計算用!$AF16:$AI16,0)),"")</f>
        <v/>
      </c>
      <c r="D17" s="32">
        <f>IFERROR(INDEX(計算用!$AJ16:$AM16,MATCH(2,計算用!$AF16:$AI16,0)),"")</f>
        <v/>
      </c>
      <c r="E17" s="32">
        <f>IFERROR(INDEX(計算用!$AJ16:$AM16,MATCH(3,計算用!$AF16:$AI16,0)),"")</f>
        <v/>
      </c>
    </row>
    <row r="18" ht="19.5" customHeight="1">
      <c r="A18" s="31">
        <f>IF(計算用!$Z$17="","",計算用!$Y$17&amp;"レース")</f>
        <v/>
      </c>
      <c r="B18" s="32">
        <f>IFERROR(INDEX(計算用!$AJ17:$AM17,MATCH(0,計算用!$AF17:$AI17,0)),"")</f>
        <v/>
      </c>
      <c r="C18" s="32">
        <f>IFERROR(INDEX(計算用!$AJ17:$AM17,MATCH(1,計算用!$AF17:$AI17,0)),"")</f>
        <v/>
      </c>
      <c r="D18" s="32">
        <f>IFERROR(INDEX(計算用!$AJ17:$AM17,MATCH(2,計算用!$AF17:$AI17,0)),"")</f>
        <v/>
      </c>
      <c r="E18" s="32">
        <f>IFERROR(INDEX(計算用!$AJ17:$AM17,MATCH(3,計算用!$AF17:$AI17,0)),"")</f>
        <v/>
      </c>
    </row>
    <row r="19" ht="19.5" customHeight="1">
      <c r="A19" s="31">
        <f>IF(計算用!$Z$18="","",計算用!$Y$18&amp;"レース")</f>
        <v/>
      </c>
      <c r="B19" s="32">
        <f>IFERROR(INDEX(計算用!$AJ18:$AM18,MATCH(0,計算用!$AF18:$AI18,0)),"")</f>
        <v/>
      </c>
      <c r="C19" s="32">
        <f>IFERROR(INDEX(計算用!$AJ18:$AM18,MATCH(1,計算用!$AF18:$AI18,0)),"")</f>
        <v/>
      </c>
      <c r="D19" s="32">
        <f>IFERROR(INDEX(計算用!$AJ18:$AM18,MATCH(2,計算用!$AF18:$AI18,0)),"")</f>
        <v/>
      </c>
      <c r="E19" s="32">
        <f>IFERROR(INDEX(計算用!$AJ18:$AM18,MATCH(3,計算用!$AF18:$AI18,0)),"")</f>
        <v/>
      </c>
    </row>
    <row r="20" ht="19.5" customHeight="1">
      <c r="A20" s="31">
        <f>IF(計算用!$Z$19="","",計算用!$Y$19&amp;"レース")</f>
        <v/>
      </c>
      <c r="B20" s="32">
        <f>IFERROR(INDEX(計算用!$AJ19:$AM19,MATCH(0,計算用!$AF19:$AI19,0)),"")</f>
        <v/>
      </c>
      <c r="C20" s="32">
        <f>IFERROR(INDEX(計算用!$AJ19:$AM19,MATCH(1,計算用!$AF19:$AI19,0)),"")</f>
        <v/>
      </c>
      <c r="D20" s="32">
        <f>IFERROR(INDEX(計算用!$AJ19:$AM19,MATCH(2,計算用!$AF19:$AI19,0)),"")</f>
        <v/>
      </c>
      <c r="E20" s="32">
        <f>IFERROR(INDEX(計算用!$AJ19:$AM19,MATCH(3,計算用!$AF19:$AI19,0)),"")</f>
        <v/>
      </c>
    </row>
    <row r="21" ht="19.5" customHeight="1">
      <c r="A21" s="31">
        <f>IF(計算用!$Z$20="","",計算用!$Y$20&amp;"レース")</f>
        <v/>
      </c>
      <c r="B21" s="32">
        <f>IFERROR(INDEX(計算用!$AJ20:$AM20,MATCH(0,計算用!$AF20:$AI20,0)),"")</f>
        <v/>
      </c>
      <c r="C21" s="32">
        <f>IFERROR(INDEX(計算用!$AJ20:$AM20,MATCH(1,計算用!$AF20:$AI20,0)),"")</f>
        <v/>
      </c>
      <c r="D21" s="32">
        <f>IFERROR(INDEX(計算用!$AJ20:$AM20,MATCH(2,計算用!$AF20:$AI20,0)),"")</f>
        <v/>
      </c>
      <c r="E21" s="32">
        <f>IFERROR(INDEX(計算用!$AJ20:$AM20,MATCH(3,計算用!$AF20:$AI20,0)),"")</f>
        <v/>
      </c>
    </row>
    <row r="22" ht="19.5" customHeight="1">
      <c r="A22" s="31">
        <f>IF(計算用!$Z$21="","",計算用!$Y$21&amp;"レース")</f>
        <v/>
      </c>
      <c r="B22" s="32">
        <f>IFERROR(INDEX(計算用!$AJ21:$AM21,MATCH(0,計算用!$AF21:$AI21,0)),"")</f>
        <v/>
      </c>
      <c r="C22" s="32">
        <f>IFERROR(INDEX(計算用!$AJ21:$AM21,MATCH(1,計算用!$AF21:$AI21,0)),"")</f>
        <v/>
      </c>
      <c r="D22" s="32">
        <f>IFERROR(INDEX(計算用!$AJ21:$AM21,MATCH(2,計算用!$AF21:$AI21,0)),"")</f>
        <v/>
      </c>
      <c r="E22" s="32">
        <f>IFERROR(INDEX(計算用!$AJ21:$AM21,MATCH(3,計算用!$AF21:$AI21,0)),"")</f>
        <v/>
      </c>
    </row>
    <row r="23" ht="19.5" customHeight="1">
      <c r="A23" s="31">
        <f>IF(計算用!$Z$22="","",計算用!$Y$22&amp;"レース")</f>
        <v/>
      </c>
      <c r="B23" s="32">
        <f>IFERROR(INDEX(計算用!$AJ22:$AM22,MATCH(0,計算用!$AF22:$AI22,0)),"")</f>
        <v/>
      </c>
      <c r="C23" s="32">
        <f>IFERROR(INDEX(計算用!$AJ22:$AM22,MATCH(1,計算用!$AF22:$AI22,0)),"")</f>
        <v/>
      </c>
      <c r="D23" s="32">
        <f>IFERROR(INDEX(計算用!$AJ22:$AM22,MATCH(2,計算用!$AF22:$AI22,0)),"")</f>
        <v/>
      </c>
      <c r="E23" s="32">
        <f>IFERROR(INDEX(計算用!$AJ22:$AM22,MATCH(3,計算用!$AF22:$AI22,0)),"")</f>
        <v/>
      </c>
    </row>
    <row r="24" ht="19.5" customHeight="1">
      <c r="A24" s="31">
        <f>IF(計算用!$Z$23="","",計算用!$Y$23&amp;"レース")</f>
        <v/>
      </c>
      <c r="B24" s="32">
        <f>IFERROR(INDEX(計算用!$AJ23:$AM23,MATCH(0,計算用!$AF23:$AI23,0)),"")</f>
        <v/>
      </c>
      <c r="C24" s="32">
        <f>IFERROR(INDEX(計算用!$AJ23:$AM23,MATCH(1,計算用!$AF23:$AI23,0)),"")</f>
        <v/>
      </c>
      <c r="D24" s="32">
        <f>IFERROR(INDEX(計算用!$AJ23:$AM23,MATCH(2,計算用!$AF23:$AI23,0)),"")</f>
        <v/>
      </c>
      <c r="E24" s="32">
        <f>IFERROR(INDEX(計算用!$AJ23:$AM23,MATCH(3,計算用!$AF23:$AI23,0)),"")</f>
        <v/>
      </c>
    </row>
    <row r="25" ht="19.5" customHeight="1">
      <c r="A25" s="31">
        <f>IF(計算用!$Z$24="","",計算用!$Y$24&amp;"レース")</f>
        <v/>
      </c>
      <c r="B25" s="32">
        <f>IFERROR(INDEX(計算用!$AJ24:$AM24,MATCH(0,計算用!$AF24:$AI24,0)),"")</f>
        <v/>
      </c>
      <c r="C25" s="32">
        <f>IFERROR(INDEX(計算用!$AJ24:$AM24,MATCH(1,計算用!$AF24:$AI24,0)),"")</f>
        <v/>
      </c>
      <c r="D25" s="32">
        <f>IFERROR(INDEX(計算用!$AJ24:$AM24,MATCH(2,計算用!$AF24:$AI24,0)),"")</f>
        <v/>
      </c>
      <c r="E25" s="32">
        <f>IFERROR(INDEX(計算用!$AJ24:$AM24,MATCH(3,計算用!$AF24:$AI24,0)),"")</f>
        <v/>
      </c>
    </row>
    <row r="26" ht="19.5" customHeight="1">
      <c r="A26" s="31">
        <f>IF(計算用!$Z$25="","",計算用!$Y$25&amp;"レース")</f>
        <v/>
      </c>
      <c r="B26" s="32">
        <f>IFERROR(INDEX(計算用!$AJ25:$AM25,MATCH(0,計算用!$AF25:$AI25,0)),"")</f>
        <v/>
      </c>
      <c r="C26" s="32">
        <f>IFERROR(INDEX(計算用!$AJ25:$AM25,MATCH(1,計算用!$AF25:$AI25,0)),"")</f>
        <v/>
      </c>
      <c r="D26" s="32">
        <f>IFERROR(INDEX(計算用!$AJ25:$AM25,MATCH(2,計算用!$AF25:$AI25,0)),"")</f>
        <v/>
      </c>
      <c r="E26" s="32">
        <f>IFERROR(INDEX(計算用!$AJ25:$AM25,MATCH(3,計算用!$AF25:$AI25,0)),"")</f>
        <v/>
      </c>
    </row>
    <row r="27" ht="19.5" customHeight="1">
      <c r="A27" s="31">
        <f>IF(計算用!$Z$26="","",計算用!$Y$26&amp;"レース")</f>
        <v/>
      </c>
      <c r="B27" s="32">
        <f>IFERROR(INDEX(計算用!$AJ26:$AM26,MATCH(0,計算用!$AF26:$AI26,0)),"")</f>
        <v/>
      </c>
      <c r="C27" s="32">
        <f>IFERROR(INDEX(計算用!$AJ26:$AM26,MATCH(1,計算用!$AF26:$AI26,0)),"")</f>
        <v/>
      </c>
      <c r="D27" s="32">
        <f>IFERROR(INDEX(計算用!$AJ26:$AM26,MATCH(2,計算用!$AF26:$AI26,0)),"")</f>
        <v/>
      </c>
      <c r="E27" s="32">
        <f>IFERROR(INDEX(計算用!$AJ26:$AM26,MATCH(3,計算用!$AF26:$AI26,0)),"")</f>
        <v/>
      </c>
    </row>
    <row r="28" ht="19.5" customHeight="1">
      <c r="A28" s="31">
        <f>IF(計算用!$Z$27="","",計算用!$Y$27&amp;"レース")</f>
        <v/>
      </c>
      <c r="B28" s="32">
        <f>IFERROR(INDEX(計算用!$AJ27:$AM27,MATCH(0,計算用!$AF27:$AI27,0)),"")</f>
        <v/>
      </c>
      <c r="C28" s="32">
        <f>IFERROR(INDEX(計算用!$AJ27:$AM27,MATCH(1,計算用!$AF27:$AI27,0)),"")</f>
        <v/>
      </c>
      <c r="D28" s="32">
        <f>IFERROR(INDEX(計算用!$AJ27:$AM27,MATCH(2,計算用!$AF27:$AI27,0)),"")</f>
        <v/>
      </c>
      <c r="E28" s="32">
        <f>IFERROR(INDEX(計算用!$AJ27:$AM27,MATCH(3,計算用!$AF27:$AI27,0)),"")</f>
        <v/>
      </c>
    </row>
    <row r="29" ht="19.5" customHeight="1">
      <c r="A29" s="31">
        <f>IF(計算用!$Z$28="","",計算用!$Y$28&amp;"レース")</f>
        <v/>
      </c>
      <c r="B29" s="32">
        <f>IFERROR(INDEX(計算用!$AJ28:$AM28,MATCH(0,計算用!$AF28:$AI28,0)),"")</f>
        <v/>
      </c>
      <c r="C29" s="32">
        <f>IFERROR(INDEX(計算用!$AJ28:$AM28,MATCH(1,計算用!$AF28:$AI28,0)),"")</f>
        <v/>
      </c>
      <c r="D29" s="32">
        <f>IFERROR(INDEX(計算用!$AJ28:$AM28,MATCH(2,計算用!$AF28:$AI28,0)),"")</f>
        <v/>
      </c>
      <c r="E29" s="32">
        <f>IFERROR(INDEX(計算用!$AJ28:$AM28,MATCH(3,計算用!$AF28:$AI28,0)),"")</f>
        <v/>
      </c>
    </row>
    <row r="30" ht="19.5" customHeight="1">
      <c r="A30" s="31">
        <f>IF(計算用!$Z$29="","",計算用!$Y$29&amp;"レース")</f>
        <v/>
      </c>
      <c r="B30" s="32">
        <f>IFERROR(INDEX(計算用!$AJ29:$AM29,MATCH(0,計算用!$AF29:$AI29,0)),"")</f>
        <v/>
      </c>
      <c r="C30" s="32">
        <f>IFERROR(INDEX(計算用!$AJ29:$AM29,MATCH(1,計算用!$AF29:$AI29,0)),"")</f>
        <v/>
      </c>
      <c r="D30" s="32">
        <f>IFERROR(INDEX(計算用!$AJ29:$AM29,MATCH(2,計算用!$AF29:$AI29,0)),"")</f>
        <v/>
      </c>
      <c r="E30" s="32">
        <f>IFERROR(INDEX(計算用!$AJ29:$AM29,MATCH(3,計算用!$AF29:$AI29,0)),"")</f>
        <v/>
      </c>
    </row>
    <row r="31" ht="19.5" customHeight="1">
      <c r="A31" s="31">
        <f>IF(計算用!$Z$30="","",計算用!$Y$30&amp;"レース")</f>
        <v/>
      </c>
      <c r="B31" s="32">
        <f>IFERROR(INDEX(計算用!$AJ30:$AM30,MATCH(0,計算用!$AF30:$AI30,0)),"")</f>
        <v/>
      </c>
      <c r="C31" s="32">
        <f>IFERROR(INDEX(計算用!$AJ30:$AM30,MATCH(1,計算用!$AF30:$AI30,0)),"")</f>
        <v/>
      </c>
      <c r="D31" s="32">
        <f>IFERROR(INDEX(計算用!$AJ30:$AM30,MATCH(2,計算用!$AF30:$AI30,0)),"")</f>
        <v/>
      </c>
      <c r="E31" s="32">
        <f>IFERROR(INDEX(計算用!$AJ30:$AM30,MATCH(3,計算用!$AF30:$AI30,0)),"")</f>
        <v/>
      </c>
    </row>
    <row r="32" ht="19.5" customHeight="1">
      <c r="A32" s="31">
        <f>IF(計算用!$Z$31="","",計算用!$Y$31&amp;"レース")</f>
        <v/>
      </c>
      <c r="B32" s="32">
        <f>IFERROR(INDEX(計算用!$AJ31:$AM31,MATCH(0,計算用!$AF31:$AI31,0)),"")</f>
        <v/>
      </c>
      <c r="C32" s="32">
        <f>IFERROR(INDEX(計算用!$AJ31:$AM31,MATCH(1,計算用!$AF31:$AI31,0)),"")</f>
        <v/>
      </c>
      <c r="D32" s="32">
        <f>IFERROR(INDEX(計算用!$AJ31:$AM31,MATCH(2,計算用!$AF31:$AI31,0)),"")</f>
        <v/>
      </c>
      <c r="E32" s="32">
        <f>IFERROR(INDEX(計算用!$AJ31:$AM31,MATCH(3,計算用!$AF31:$AI31,0)),"")</f>
        <v/>
      </c>
    </row>
    <row r="33" ht="19.5" customHeight="1">
      <c r="A33" s="31">
        <f>IF(計算用!$Z$32="","",計算用!$Y$32&amp;"レース")</f>
        <v/>
      </c>
      <c r="B33" s="32">
        <f>IFERROR(INDEX(計算用!$AJ32:$AM32,MATCH(0,計算用!$AF32:$AI32,0)),"")</f>
        <v/>
      </c>
      <c r="C33" s="32">
        <f>IFERROR(INDEX(計算用!$AJ32:$AM32,MATCH(1,計算用!$AF32:$AI32,0)),"")</f>
        <v/>
      </c>
      <c r="D33" s="32">
        <f>IFERROR(INDEX(計算用!$AJ32:$AM32,MATCH(2,計算用!$AF32:$AI32,0)),"")</f>
        <v/>
      </c>
      <c r="E33" s="32">
        <f>IFERROR(INDEX(計算用!$AJ32:$AM32,MATCH(3,計算用!$AF32:$AI32,0)),"")</f>
        <v/>
      </c>
    </row>
    <row r="34" ht="19.5" customHeight="1">
      <c r="A34" s="31">
        <f>IF(計算用!$Z$33="","",計算用!$Y$33&amp;"レース")</f>
        <v/>
      </c>
      <c r="B34" s="32">
        <f>IFERROR(INDEX(計算用!$AJ33:$AM33,MATCH(0,計算用!$AF33:$AI33,0)),"")</f>
        <v/>
      </c>
      <c r="C34" s="32">
        <f>IFERROR(INDEX(計算用!$AJ33:$AM33,MATCH(1,計算用!$AF33:$AI33,0)),"")</f>
        <v/>
      </c>
      <c r="D34" s="32">
        <f>IFERROR(INDEX(計算用!$AJ33:$AM33,MATCH(2,計算用!$AF33:$AI33,0)),"")</f>
        <v/>
      </c>
      <c r="E34" s="32">
        <f>IFERROR(INDEX(計算用!$AJ33:$AM33,MATCH(3,計算用!$AF33:$AI33,0)),"")</f>
        <v/>
      </c>
    </row>
    <row r="35" ht="19.5" customHeight="1">
      <c r="A35" s="31">
        <f>IF(計算用!$Z$34="","",計算用!$Y$34&amp;"レース")</f>
        <v/>
      </c>
      <c r="B35" s="32">
        <f>IFERROR(INDEX(計算用!$AJ34:$AM34,MATCH(0,計算用!$AF34:$AI34,0)),"")</f>
        <v/>
      </c>
      <c r="C35" s="32">
        <f>IFERROR(INDEX(計算用!$AJ34:$AM34,MATCH(1,計算用!$AF34:$AI34,0)),"")</f>
        <v/>
      </c>
      <c r="D35" s="32">
        <f>IFERROR(INDEX(計算用!$AJ34:$AM34,MATCH(2,計算用!$AF34:$AI34,0)),"")</f>
        <v/>
      </c>
      <c r="E35" s="32">
        <f>IFERROR(INDEX(計算用!$AJ34:$AM34,MATCH(3,計算用!$AF34:$AI34,0)),"")</f>
        <v/>
      </c>
    </row>
    <row r="36" ht="19.5" customHeight="1">
      <c r="A36" s="31">
        <f>IF(計算用!$Z$35="","",計算用!$Y$35&amp;"レース")</f>
        <v/>
      </c>
      <c r="B36" s="32">
        <f>IFERROR(INDEX(計算用!$AJ35:$AM35,MATCH(0,計算用!$AF35:$AI35,0)),"")</f>
        <v/>
      </c>
      <c r="C36" s="32">
        <f>IFERROR(INDEX(計算用!$AJ35:$AM35,MATCH(1,計算用!$AF35:$AI35,0)),"")</f>
        <v/>
      </c>
      <c r="D36" s="32">
        <f>IFERROR(INDEX(計算用!$AJ35:$AM35,MATCH(2,計算用!$AF35:$AI35,0)),"")</f>
        <v/>
      </c>
      <c r="E36" s="32">
        <f>IFERROR(INDEX(計算用!$AJ35:$AM35,MATCH(3,計算用!$AF35:$AI35,0)),"")</f>
        <v/>
      </c>
    </row>
    <row r="37" ht="19.5" customHeight="1">
      <c r="A37" s="31">
        <f>IF(計算用!$Z$36="","",計算用!$Y$36&amp;"レース")</f>
        <v/>
      </c>
      <c r="B37" s="32">
        <f>IFERROR(INDEX(計算用!$AJ36:$AM36,MATCH(0,計算用!$AF36:$AI36,0)),"")</f>
        <v/>
      </c>
      <c r="C37" s="32">
        <f>IFERROR(INDEX(計算用!$AJ36:$AM36,MATCH(1,計算用!$AF36:$AI36,0)),"")</f>
        <v/>
      </c>
      <c r="D37" s="32">
        <f>IFERROR(INDEX(計算用!$AJ36:$AM36,MATCH(2,計算用!$AF36:$AI36,0)),"")</f>
        <v/>
      </c>
      <c r="E37" s="32">
        <f>IFERROR(INDEX(計算用!$AJ36:$AM36,MATCH(3,計算用!$AF36:$AI36,0)),"")</f>
        <v/>
      </c>
    </row>
    <row r="38" ht="19.5" customHeight="1">
      <c r="A38" s="31">
        <f>IF(計算用!$Z$37="","",計算用!$Y$37&amp;"レース")</f>
        <v/>
      </c>
      <c r="B38" s="32">
        <f>IFERROR(INDEX(計算用!$AJ37:$AM37,MATCH(0,計算用!$AF37:$AI37,0)),"")</f>
        <v/>
      </c>
      <c r="C38" s="32">
        <f>IFERROR(INDEX(計算用!$AJ37:$AM37,MATCH(1,計算用!$AF37:$AI37,0)),"")</f>
        <v/>
      </c>
      <c r="D38" s="32">
        <f>IFERROR(INDEX(計算用!$AJ37:$AM37,MATCH(2,計算用!$AF37:$AI37,0)),"")</f>
        <v/>
      </c>
      <c r="E38" s="32">
        <f>IFERROR(INDEX(計算用!$AJ37:$AM37,MATCH(3,計算用!$AF37:$AI37,0)),"")</f>
        <v/>
      </c>
    </row>
    <row r="39" ht="19.5" customHeight="1">
      <c r="A39" s="31">
        <f>IF(計算用!$Z$38="","",計算用!$Y$38&amp;"レース")</f>
        <v/>
      </c>
      <c r="B39" s="32">
        <f>IFERROR(INDEX(計算用!$AJ38:$AM38,MATCH(0,計算用!$AF38:$AI38,0)),"")</f>
        <v/>
      </c>
      <c r="C39" s="32">
        <f>IFERROR(INDEX(計算用!$AJ38:$AM38,MATCH(1,計算用!$AF38:$AI38,0)),"")</f>
        <v/>
      </c>
      <c r="D39" s="32">
        <f>IFERROR(INDEX(計算用!$AJ38:$AM38,MATCH(2,計算用!$AF38:$AI38,0)),"")</f>
        <v/>
      </c>
      <c r="E39" s="32">
        <f>IFERROR(INDEX(計算用!$AJ38:$AM38,MATCH(3,計算用!$AF38:$AI38,0)),"")</f>
        <v/>
      </c>
    </row>
    <row r="40" ht="19.5" customHeight="1">
      <c r="A40" s="31">
        <f>IF(計算用!$Z$39="","",計算用!$Y$39&amp;"レース")</f>
        <v/>
      </c>
      <c r="B40" s="32">
        <f>IFERROR(INDEX(計算用!$AJ39:$AM39,MATCH(0,計算用!$AF39:$AI39,0)),"")</f>
        <v/>
      </c>
      <c r="C40" s="32">
        <f>IFERROR(INDEX(計算用!$AJ39:$AM39,MATCH(1,計算用!$AF39:$AI39,0)),"")</f>
        <v/>
      </c>
      <c r="D40" s="32">
        <f>IFERROR(INDEX(計算用!$AJ39:$AM39,MATCH(2,計算用!$AF39:$AI39,0)),"")</f>
        <v/>
      </c>
      <c r="E40" s="32">
        <f>IFERROR(INDEX(計算用!$AJ39:$AM39,MATCH(3,計算用!$AF39:$AI39,0)),"")</f>
        <v/>
      </c>
    </row>
    <row r="41" ht="19.5" customHeight="1">
      <c r="A41" s="31">
        <f>IF(計算用!$Z$40="","",計算用!$Y$40&amp;"レース")</f>
        <v/>
      </c>
      <c r="B41" s="32">
        <f>IFERROR(INDEX(計算用!$AJ40:$AM40,MATCH(0,計算用!$AF40:$AI40,0)),"")</f>
        <v/>
      </c>
      <c r="C41" s="32">
        <f>IFERROR(INDEX(計算用!$AJ40:$AM40,MATCH(1,計算用!$AF40:$AI40,0)),"")</f>
        <v/>
      </c>
      <c r="D41" s="32">
        <f>IFERROR(INDEX(計算用!$AJ40:$AM40,MATCH(2,計算用!$AF40:$AI40,0)),"")</f>
        <v/>
      </c>
      <c r="E41" s="32">
        <f>IFERROR(INDEX(計算用!$AJ40:$AM40,MATCH(3,計算用!$AF40:$AI40,0)),"")</f>
        <v/>
      </c>
    </row>
    <row r="42" ht="19.5" customHeight="1">
      <c r="A42" s="31">
        <f>IF(計算用!$Z$41="","",計算用!$Y$41&amp;"レース")</f>
        <v/>
      </c>
      <c r="B42" s="32">
        <f>IFERROR(INDEX(計算用!$AJ41:$AM41,MATCH(0,計算用!$AF41:$AI41,0)),"")</f>
        <v/>
      </c>
      <c r="C42" s="32">
        <f>IFERROR(INDEX(計算用!$AJ41:$AM41,MATCH(1,計算用!$AF41:$AI41,0)),"")</f>
        <v/>
      </c>
      <c r="D42" s="32">
        <f>IFERROR(INDEX(計算用!$AJ41:$AM41,MATCH(2,計算用!$AF41:$AI41,0)),"")</f>
        <v/>
      </c>
      <c r="E42" s="32">
        <f>IFERROR(INDEX(計算用!$AJ41:$AM41,MATCH(3,計算用!$AF41:$AI41,0)),"")</f>
        <v/>
      </c>
    </row>
    <row r="43" ht="19.5" customHeight="1">
      <c r="A43" s="31">
        <f>IF(計算用!$Z$42="","",計算用!$Y$42&amp;"レース")</f>
        <v/>
      </c>
      <c r="B43" s="32">
        <f>IFERROR(INDEX(計算用!$AJ42:$AM42,MATCH(0,計算用!$AF42:$AI42,0)),"")</f>
        <v/>
      </c>
      <c r="C43" s="32">
        <f>IFERROR(INDEX(計算用!$AJ42:$AM42,MATCH(1,計算用!$AF42:$AI42,0)),"")</f>
        <v/>
      </c>
      <c r="D43" s="32">
        <f>IFERROR(INDEX(計算用!$AJ42:$AM42,MATCH(2,計算用!$AF42:$AI42,0)),"")</f>
        <v/>
      </c>
      <c r="E43" s="32">
        <f>IFERROR(INDEX(計算用!$AJ42:$AM42,MATCH(3,計算用!$AF42:$AI42,0)),"")</f>
        <v/>
      </c>
    </row>
    <row r="44" ht="19.5" customHeight="1">
      <c r="A44" s="31">
        <f>IF(計算用!$Z$43="","",計算用!$Y$43&amp;"レース")</f>
        <v/>
      </c>
      <c r="B44" s="32">
        <f>IFERROR(INDEX(計算用!$AJ43:$AM43,MATCH(0,計算用!$AF43:$AI43,0)),"")</f>
        <v/>
      </c>
      <c r="C44" s="32">
        <f>IFERROR(INDEX(計算用!$AJ43:$AM43,MATCH(1,計算用!$AF43:$AI43,0)),"")</f>
        <v/>
      </c>
      <c r="D44" s="32">
        <f>IFERROR(INDEX(計算用!$AJ43:$AM43,MATCH(2,計算用!$AF43:$AI43,0)),"")</f>
        <v/>
      </c>
      <c r="E44" s="32">
        <f>IFERROR(INDEX(計算用!$AJ43:$AM43,MATCH(3,計算用!$AF43:$AI43,0)),"")</f>
        <v/>
      </c>
    </row>
    <row r="45" ht="19.5" customHeight="1">
      <c r="A45" s="31">
        <f>IF(計算用!$Z$44="","",計算用!$Y$44&amp;"レース")</f>
        <v/>
      </c>
      <c r="B45" s="32">
        <f>IFERROR(INDEX(計算用!$AJ44:$AM44,MATCH(0,計算用!$AF44:$AI44,0)),"")</f>
        <v/>
      </c>
      <c r="C45" s="32">
        <f>IFERROR(INDEX(計算用!$AJ44:$AM44,MATCH(1,計算用!$AF44:$AI44,0)),"")</f>
        <v/>
      </c>
      <c r="D45" s="32">
        <f>IFERROR(INDEX(計算用!$AJ44:$AM44,MATCH(2,計算用!$AF44:$AI44,0)),"")</f>
        <v/>
      </c>
      <c r="E45" s="32">
        <f>IFERROR(INDEX(計算用!$AJ44:$AM44,MATCH(3,計算用!$AF44:$AI44,0)),"")</f>
        <v/>
      </c>
    </row>
    <row r="46" ht="19.5" customHeight="1">
      <c r="A46" s="31">
        <f>IF(計算用!$Z$45="","",計算用!$Y$45&amp;"レース")</f>
        <v/>
      </c>
      <c r="B46" s="32">
        <f>IFERROR(INDEX(計算用!$AJ45:$AM45,MATCH(0,計算用!$AF45:$AI45,0)),"")</f>
        <v/>
      </c>
      <c r="C46" s="32">
        <f>IFERROR(INDEX(計算用!$AJ45:$AM45,MATCH(1,計算用!$AF45:$AI45,0)),"")</f>
        <v/>
      </c>
      <c r="D46" s="32">
        <f>IFERROR(INDEX(計算用!$AJ45:$AM45,MATCH(2,計算用!$AF45:$AI45,0)),"")</f>
        <v/>
      </c>
      <c r="E46" s="32">
        <f>IFERROR(INDEX(計算用!$AJ45:$AM45,MATCH(3,計算用!$AF45:$AI45,0)),"")</f>
        <v/>
      </c>
    </row>
    <row r="47" ht="19.5" customHeight="1">
      <c r="A47" s="31">
        <f>IF(計算用!$Z$46="","",計算用!$Y$46&amp;"レース")</f>
        <v/>
      </c>
      <c r="B47" s="32">
        <f>IFERROR(INDEX(計算用!$AJ46:$AM46,MATCH(0,計算用!$AF46:$AI46,0)),"")</f>
        <v/>
      </c>
      <c r="C47" s="32">
        <f>IFERROR(INDEX(計算用!$AJ46:$AM46,MATCH(1,計算用!$AF46:$AI46,0)),"")</f>
        <v/>
      </c>
      <c r="D47" s="32">
        <f>IFERROR(INDEX(計算用!$AJ46:$AM46,MATCH(2,計算用!$AF46:$AI46,0)),"")</f>
        <v/>
      </c>
      <c r="E47" s="32">
        <f>IFERROR(INDEX(計算用!$AJ46:$AM46,MATCH(3,計算用!$AF46:$AI46,0)),"")</f>
        <v/>
      </c>
    </row>
    <row r="48" ht="19.5" customHeight="1">
      <c r="A48" s="31">
        <f>IF(計算用!$Z$47="","",計算用!$Y$47&amp;"レース")</f>
        <v/>
      </c>
      <c r="B48" s="32">
        <f>IFERROR(INDEX(計算用!$AJ47:$AM47,MATCH(0,計算用!$AF47:$AI47,0)),"")</f>
        <v/>
      </c>
      <c r="C48" s="32">
        <f>IFERROR(INDEX(計算用!$AJ47:$AM47,MATCH(1,計算用!$AF47:$AI47,0)),"")</f>
        <v/>
      </c>
      <c r="D48" s="32">
        <f>IFERROR(INDEX(計算用!$AJ47:$AM47,MATCH(2,計算用!$AF47:$AI47,0)),"")</f>
        <v/>
      </c>
      <c r="E48" s="32">
        <f>IFERROR(INDEX(計算用!$AJ47:$AM47,MATCH(3,計算用!$AF47:$AI47,0)),"")</f>
        <v/>
      </c>
    </row>
    <row r="49" ht="19.5" customHeight="1">
      <c r="A49" s="31">
        <f>IF(計算用!$Z$48="","",計算用!$Y$48&amp;"レース")</f>
        <v/>
      </c>
      <c r="B49" s="32">
        <f>IFERROR(INDEX(計算用!$AJ48:$AM48,MATCH(0,計算用!$AF48:$AI48,0)),"")</f>
        <v/>
      </c>
      <c r="C49" s="32">
        <f>IFERROR(INDEX(計算用!$AJ48:$AM48,MATCH(1,計算用!$AF48:$AI48,0)),"")</f>
        <v/>
      </c>
      <c r="D49" s="32">
        <f>IFERROR(INDEX(計算用!$AJ48:$AM48,MATCH(2,計算用!$AF48:$AI48,0)),"")</f>
        <v/>
      </c>
      <c r="E49" s="32">
        <f>IFERROR(INDEX(計算用!$AJ48:$AM48,MATCH(3,計算用!$AF48:$AI48,0)),"")</f>
        <v/>
      </c>
    </row>
    <row r="50" ht="19.5" customHeight="1">
      <c r="A50" s="31">
        <f>IF(計算用!$Z$49="","",計算用!$Y$49&amp;"レース")</f>
        <v/>
      </c>
      <c r="B50" s="32">
        <f>IFERROR(INDEX(計算用!$AJ49:$AM49,MATCH(0,計算用!$AF49:$AI49,0)),"")</f>
        <v/>
      </c>
      <c r="C50" s="32">
        <f>IFERROR(INDEX(計算用!$AJ49:$AM49,MATCH(1,計算用!$AF49:$AI49,0)),"")</f>
        <v/>
      </c>
      <c r="D50" s="32">
        <f>IFERROR(INDEX(計算用!$AJ49:$AM49,MATCH(2,計算用!$AF49:$AI49,0)),"")</f>
        <v/>
      </c>
      <c r="E50" s="32">
        <f>IFERROR(INDEX(計算用!$AJ49:$AM49,MATCH(3,計算用!$AF49:$AI49,0)),"")</f>
        <v/>
      </c>
    </row>
    <row r="51" ht="19.5" customHeight="1">
      <c r="A51" s="31">
        <f>IF(計算用!$Z$50="","",計算用!$Y$50&amp;"レース")</f>
        <v/>
      </c>
      <c r="B51" s="32">
        <f>IFERROR(INDEX(計算用!$AJ50:$AM50,MATCH(0,計算用!$AF50:$AI50,0)),"")</f>
        <v/>
      </c>
      <c r="C51" s="32">
        <f>IFERROR(INDEX(計算用!$AJ50:$AM50,MATCH(1,計算用!$AF50:$AI50,0)),"")</f>
        <v/>
      </c>
      <c r="D51" s="32">
        <f>IFERROR(INDEX(計算用!$AJ50:$AM50,MATCH(2,計算用!$AF50:$AI50,0)),"")</f>
        <v/>
      </c>
      <c r="E51" s="32">
        <f>IFERROR(INDEX(計算用!$AJ50:$AM50,MATCH(3,計算用!$AF50:$AI50,0)),"")</f>
        <v/>
      </c>
    </row>
    <row r="52" ht="19.5" customHeight="1">
      <c r="A52" s="31">
        <f>IF(計算用!$Z$51="","",計算用!$Y$51&amp;"レース")</f>
        <v/>
      </c>
      <c r="B52" s="32">
        <f>IFERROR(INDEX(計算用!$AJ51:$AM51,MATCH(0,計算用!$AF51:$AI51,0)),"")</f>
        <v/>
      </c>
      <c r="C52" s="32">
        <f>IFERROR(INDEX(計算用!$AJ51:$AM51,MATCH(1,計算用!$AF51:$AI51,0)),"")</f>
        <v/>
      </c>
      <c r="D52" s="32">
        <f>IFERROR(INDEX(計算用!$AJ51:$AM51,MATCH(2,計算用!$AF51:$AI51,0)),"")</f>
        <v/>
      </c>
      <c r="E52" s="32">
        <f>IFERROR(INDEX(計算用!$AJ51:$AM51,MATCH(3,計算用!$AF51:$AI51,0)),"")</f>
        <v/>
      </c>
    </row>
    <row r="53" ht="19.5" customHeight="1">
      <c r="A53" s="31">
        <f>IF(計算用!$Z$52="","",計算用!$Y$52&amp;"レース")</f>
        <v/>
      </c>
      <c r="B53" s="32">
        <f>IFERROR(INDEX(計算用!$AJ52:$AM52,MATCH(0,計算用!$AF52:$AI52,0)),"")</f>
        <v/>
      </c>
      <c r="C53" s="32">
        <f>IFERROR(INDEX(計算用!$AJ52:$AM52,MATCH(1,計算用!$AF52:$AI52,0)),"")</f>
        <v/>
      </c>
      <c r="D53" s="32">
        <f>IFERROR(INDEX(計算用!$AJ52:$AM52,MATCH(2,計算用!$AF52:$AI52,0)),"")</f>
        <v/>
      </c>
      <c r="E53" s="32">
        <f>IFERROR(INDEX(計算用!$AJ52:$AM52,MATCH(3,計算用!$AF52:$AI52,0)),"")</f>
        <v/>
      </c>
    </row>
    <row r="54" ht="19.5" customHeight="1">
      <c r="A54" s="31">
        <f>IF(計算用!$Z$53="","",計算用!$Y$53&amp;"レース")</f>
        <v/>
      </c>
      <c r="B54" s="32">
        <f>IFERROR(INDEX(計算用!$AJ53:$AM53,MATCH(0,計算用!$AF53:$AI53,0)),"")</f>
        <v/>
      </c>
      <c r="C54" s="32">
        <f>IFERROR(INDEX(計算用!$AJ53:$AM53,MATCH(1,計算用!$AF53:$AI53,0)),"")</f>
        <v/>
      </c>
      <c r="D54" s="32">
        <f>IFERROR(INDEX(計算用!$AJ53:$AM53,MATCH(2,計算用!$AF53:$AI53,0)),"")</f>
        <v/>
      </c>
      <c r="E54" s="32">
        <f>IFERROR(INDEX(計算用!$AJ53:$AM53,MATCH(3,計算用!$AF53:$AI53,0)),"")</f>
        <v/>
      </c>
    </row>
    <row r="55" ht="19.5" customHeight="1">
      <c r="A55" s="31">
        <f>IF(計算用!$Z$54="","",計算用!$Y$54&amp;"レース")</f>
        <v/>
      </c>
      <c r="B55" s="32">
        <f>IFERROR(INDEX(計算用!$AJ54:$AM54,MATCH(0,計算用!$AF54:$AI54,0)),"")</f>
        <v/>
      </c>
      <c r="C55" s="32">
        <f>IFERROR(INDEX(計算用!$AJ54:$AM54,MATCH(1,計算用!$AF54:$AI54,0)),"")</f>
        <v/>
      </c>
      <c r="D55" s="32">
        <f>IFERROR(INDEX(計算用!$AJ54:$AM54,MATCH(2,計算用!$AF54:$AI54,0)),"")</f>
        <v/>
      </c>
      <c r="E55" s="32">
        <f>IFERROR(INDEX(計算用!$AJ54:$AM54,MATCH(3,計算用!$AF54:$AI54,0)),"")</f>
        <v/>
      </c>
    </row>
    <row r="56" ht="19.5" customHeight="1">
      <c r="A56" s="31">
        <f>IF(計算用!$Z$55="","",計算用!$Y$55&amp;"レース")</f>
        <v/>
      </c>
      <c r="B56" s="32">
        <f>IFERROR(INDEX(計算用!$AJ55:$AM55,MATCH(0,計算用!$AF55:$AI55,0)),"")</f>
        <v/>
      </c>
      <c r="C56" s="32">
        <f>IFERROR(INDEX(計算用!$AJ55:$AM55,MATCH(1,計算用!$AF55:$AI55,0)),"")</f>
        <v/>
      </c>
      <c r="D56" s="32">
        <f>IFERROR(INDEX(計算用!$AJ55:$AM55,MATCH(2,計算用!$AF55:$AI55,0)),"")</f>
        <v/>
      </c>
      <c r="E56" s="32">
        <f>IFERROR(INDEX(計算用!$AJ55:$AM55,MATCH(3,計算用!$AF55:$AI55,0)),"")</f>
        <v/>
      </c>
    </row>
    <row r="57" ht="19.5" customHeight="1">
      <c r="A57" s="31">
        <f>IF(計算用!$Z$56="","",計算用!$Y$56&amp;"レース")</f>
        <v/>
      </c>
      <c r="B57" s="32">
        <f>IFERROR(INDEX(計算用!$AJ56:$AM56,MATCH(0,計算用!$AF56:$AI56,0)),"")</f>
        <v/>
      </c>
      <c r="C57" s="32">
        <f>IFERROR(INDEX(計算用!$AJ56:$AM56,MATCH(1,計算用!$AF56:$AI56,0)),"")</f>
        <v/>
      </c>
      <c r="D57" s="32">
        <f>IFERROR(INDEX(計算用!$AJ56:$AM56,MATCH(2,計算用!$AF56:$AI56,0)),"")</f>
        <v/>
      </c>
      <c r="E57" s="32">
        <f>IFERROR(INDEX(計算用!$AJ56:$AM56,MATCH(3,計算用!$AF56:$AI56,0)),"")</f>
        <v/>
      </c>
    </row>
    <row r="58" ht="19.5" customHeight="1">
      <c r="A58" s="31">
        <f>IF(計算用!$Z$57="","",計算用!$Y$57&amp;"レース")</f>
        <v/>
      </c>
      <c r="B58" s="32">
        <f>IFERROR(INDEX(計算用!$AJ57:$AM57,MATCH(0,計算用!$AF57:$AI57,0)),"")</f>
        <v/>
      </c>
      <c r="C58" s="32">
        <f>IFERROR(INDEX(計算用!$AJ57:$AM57,MATCH(1,計算用!$AF57:$AI57,0)),"")</f>
        <v/>
      </c>
      <c r="D58" s="32">
        <f>IFERROR(INDEX(計算用!$AJ57:$AM57,MATCH(2,計算用!$AF57:$AI57,0)),"")</f>
        <v/>
      </c>
      <c r="E58" s="32">
        <f>IFERROR(INDEX(計算用!$AJ57:$AM57,MATCH(3,計算用!$AF57:$AI57,0)),"")</f>
        <v/>
      </c>
    </row>
    <row r="59" ht="19.5" customHeight="1">
      <c r="A59" s="31">
        <f>IF(計算用!$Z$58="","",計算用!$Y$58&amp;"レース")</f>
        <v/>
      </c>
      <c r="B59" s="32">
        <f>IFERROR(INDEX(計算用!$AJ58:$AM58,MATCH(0,計算用!$AF58:$AI58,0)),"")</f>
        <v/>
      </c>
      <c r="C59" s="32">
        <f>IFERROR(INDEX(計算用!$AJ58:$AM58,MATCH(1,計算用!$AF58:$AI58,0)),"")</f>
        <v/>
      </c>
      <c r="D59" s="32">
        <f>IFERROR(INDEX(計算用!$AJ58:$AM58,MATCH(2,計算用!$AF58:$AI58,0)),"")</f>
        <v/>
      </c>
      <c r="E59" s="32">
        <f>IFERROR(INDEX(計算用!$AJ58:$AM58,MATCH(3,計算用!$AF58:$AI58,0)),"")</f>
        <v/>
      </c>
    </row>
    <row r="60" ht="19.5" customHeight="1">
      <c r="A60" s="31">
        <f>IF(計算用!$Z$59="","",計算用!$Y$59&amp;"レース")</f>
        <v/>
      </c>
      <c r="B60" s="32">
        <f>IFERROR(INDEX(計算用!$AJ59:$AM59,MATCH(0,計算用!$AF59:$AI59,0)),"")</f>
        <v/>
      </c>
      <c r="C60" s="32">
        <f>IFERROR(INDEX(計算用!$AJ59:$AM59,MATCH(1,計算用!$AF59:$AI59,0)),"")</f>
        <v/>
      </c>
      <c r="D60" s="32">
        <f>IFERROR(INDEX(計算用!$AJ59:$AM59,MATCH(2,計算用!$AF59:$AI59,0)),"")</f>
        <v/>
      </c>
      <c r="E60" s="32">
        <f>IFERROR(INDEX(計算用!$AJ59:$AM59,MATCH(3,計算用!$AF59:$AI59,0)),"")</f>
        <v/>
      </c>
    </row>
    <row r="61" ht="19.5" customHeight="1">
      <c r="A61" s="31">
        <f>IF(計算用!$Z$60="","",計算用!$Y$60&amp;"レース")</f>
        <v/>
      </c>
      <c r="B61" s="32">
        <f>IFERROR(INDEX(計算用!$AJ60:$AM60,MATCH(0,計算用!$AF60:$AI60,0)),"")</f>
        <v/>
      </c>
      <c r="C61" s="32">
        <f>IFERROR(INDEX(計算用!$AJ60:$AM60,MATCH(1,計算用!$AF60:$AI60,0)),"")</f>
        <v/>
      </c>
      <c r="D61" s="32">
        <f>IFERROR(INDEX(計算用!$AJ60:$AM60,MATCH(2,計算用!$AF60:$AI60,0)),"")</f>
        <v/>
      </c>
      <c r="E61" s="32">
        <f>IFERROR(INDEX(計算用!$AJ60:$AM60,MATCH(3,計算用!$AF60:$AI60,0)),"")</f>
        <v/>
      </c>
    </row>
    <row r="62" ht="19.5" customHeight="1">
      <c r="A62" s="31">
        <f>IF(計算用!$Z$61="","",計算用!$Y$61&amp;"レース")</f>
        <v/>
      </c>
      <c r="B62" s="32">
        <f>IFERROR(INDEX(計算用!$AJ61:$AM61,MATCH(0,計算用!$AF61:$AI61,0)),"")</f>
        <v/>
      </c>
      <c r="C62" s="32">
        <f>IFERROR(INDEX(計算用!$AJ61:$AM61,MATCH(1,計算用!$AF61:$AI61,0)),"")</f>
        <v/>
      </c>
      <c r="D62" s="32">
        <f>IFERROR(INDEX(計算用!$AJ61:$AM61,MATCH(2,計算用!$AF61:$AI61,0)),"")</f>
        <v/>
      </c>
      <c r="E62" s="32">
        <f>IFERROR(INDEX(計算用!$AJ61:$AM61,MATCH(3,計算用!$AF61:$AI61,0)),"")</f>
        <v/>
      </c>
    </row>
    <row r="63" ht="19.5" customHeight="1">
      <c r="A63" s="31">
        <f>IF(計算用!$Z$62="","",計算用!$Y$62&amp;"レース")</f>
        <v/>
      </c>
      <c r="B63" s="32">
        <f>IFERROR(INDEX(計算用!$AJ62:$AM62,MATCH(0,計算用!$AF62:$AI62,0)),"")</f>
        <v/>
      </c>
      <c r="C63" s="32">
        <f>IFERROR(INDEX(計算用!$AJ62:$AM62,MATCH(1,計算用!$AF62:$AI62,0)),"")</f>
        <v/>
      </c>
      <c r="D63" s="32">
        <f>IFERROR(INDEX(計算用!$AJ62:$AM62,MATCH(2,計算用!$AF62:$AI62,0)),"")</f>
        <v/>
      </c>
      <c r="E63" s="32">
        <f>IFERROR(INDEX(計算用!$AJ62:$AM62,MATCH(3,計算用!$AF62:$AI62,0)),"")</f>
        <v/>
      </c>
    </row>
    <row r="64" ht="19.5" customHeight="1">
      <c r="A64" s="31">
        <f>IF(計算用!$Z$63="","",計算用!$Y$63&amp;"レース")</f>
        <v/>
      </c>
      <c r="B64" s="32">
        <f>IFERROR(INDEX(計算用!$AJ63:$AM63,MATCH(0,計算用!$AF63:$AI63,0)),"")</f>
        <v/>
      </c>
      <c r="C64" s="32">
        <f>IFERROR(INDEX(計算用!$AJ63:$AM63,MATCH(1,計算用!$AF63:$AI63,0)),"")</f>
        <v/>
      </c>
      <c r="D64" s="32">
        <f>IFERROR(INDEX(計算用!$AJ63:$AM63,MATCH(2,計算用!$AF63:$AI63,0)),"")</f>
        <v/>
      </c>
      <c r="E64" s="32">
        <f>IFERROR(INDEX(計算用!$AJ63:$AM63,MATCH(3,計算用!$AF63:$AI63,0)),"")</f>
        <v/>
      </c>
    </row>
    <row r="65" ht="19.5" customHeight="1">
      <c r="A65" s="31">
        <f>IF(計算用!$Z$64="","",計算用!$Y$64&amp;"レース")</f>
        <v/>
      </c>
      <c r="B65" s="32">
        <f>IFERROR(INDEX(計算用!$AJ64:$AM64,MATCH(0,計算用!$AF64:$AI64,0)),"")</f>
        <v/>
      </c>
      <c r="C65" s="32">
        <f>IFERROR(INDEX(計算用!$AJ64:$AM64,MATCH(1,計算用!$AF64:$AI64,0)),"")</f>
        <v/>
      </c>
      <c r="D65" s="32">
        <f>IFERROR(INDEX(計算用!$AJ64:$AM64,MATCH(2,計算用!$AF64:$AI64,0)),"")</f>
        <v/>
      </c>
      <c r="E65" s="32">
        <f>IFERROR(INDEX(計算用!$AJ64:$AM64,MATCH(3,計算用!$AF64:$AI64,0)),"")</f>
        <v/>
      </c>
    </row>
    <row r="66" ht="19.5" customHeight="1">
      <c r="A66" s="31">
        <f>IF(計算用!$Z$65="","",計算用!$Y$65&amp;"レース")</f>
        <v/>
      </c>
      <c r="B66" s="32">
        <f>IFERROR(INDEX(計算用!$AJ65:$AM65,MATCH(0,計算用!$AF65:$AI65,0)),"")</f>
        <v/>
      </c>
      <c r="C66" s="32">
        <f>IFERROR(INDEX(計算用!$AJ65:$AM65,MATCH(1,計算用!$AF65:$AI65,0)),"")</f>
        <v/>
      </c>
      <c r="D66" s="32">
        <f>IFERROR(INDEX(計算用!$AJ65:$AM65,MATCH(2,計算用!$AF65:$AI65,0)),"")</f>
        <v/>
      </c>
      <c r="E66" s="32">
        <f>IFERROR(INDEX(計算用!$AJ65:$AM65,MATCH(3,計算用!$AF65:$AI65,0)),"")</f>
        <v/>
      </c>
    </row>
    <row r="67" ht="19.5" customHeight="1">
      <c r="A67" s="31">
        <f>IF(計算用!$Z$66="","",計算用!$Y$66&amp;"レース")</f>
        <v/>
      </c>
      <c r="B67" s="32">
        <f>IFERROR(INDEX(計算用!$AJ66:$AM66,MATCH(0,計算用!$AF66:$AI66,0)),"")</f>
        <v/>
      </c>
      <c r="C67" s="32">
        <f>IFERROR(INDEX(計算用!$AJ66:$AM66,MATCH(1,計算用!$AF66:$AI66,0)),"")</f>
        <v/>
      </c>
      <c r="D67" s="32">
        <f>IFERROR(INDEX(計算用!$AJ66:$AM66,MATCH(2,計算用!$AF66:$AI66,0)),"")</f>
        <v/>
      </c>
      <c r="E67" s="32">
        <f>IFERROR(INDEX(計算用!$AJ66:$AM66,MATCH(3,計算用!$AF66:$AI66,0)),"")</f>
        <v/>
      </c>
    </row>
    <row r="68" ht="19.5" customHeight="1">
      <c r="A68" s="31">
        <f>IF(計算用!$Z$67="","",計算用!$Y$67&amp;"レース")</f>
        <v/>
      </c>
      <c r="B68" s="32">
        <f>IFERROR(INDEX(計算用!$AJ67:$AM67,MATCH(0,計算用!$AF67:$AI67,0)),"")</f>
        <v/>
      </c>
      <c r="C68" s="32">
        <f>IFERROR(INDEX(計算用!$AJ67:$AM67,MATCH(1,計算用!$AF67:$AI67,0)),"")</f>
        <v/>
      </c>
      <c r="D68" s="32">
        <f>IFERROR(INDEX(計算用!$AJ67:$AM67,MATCH(2,計算用!$AF67:$AI67,0)),"")</f>
        <v/>
      </c>
      <c r="E68" s="32">
        <f>IFERROR(INDEX(計算用!$AJ67:$AM67,MATCH(3,計算用!$AF67:$AI67,0)),"")</f>
        <v/>
      </c>
    </row>
    <row r="69" ht="19.5" customHeight="1">
      <c r="A69" s="31">
        <f>IF(計算用!$Z$68="","",計算用!$Y$68&amp;"レース")</f>
        <v/>
      </c>
      <c r="B69" s="32">
        <f>IFERROR(INDEX(計算用!$AJ68:$AM68,MATCH(0,計算用!$AF68:$AI68,0)),"")</f>
        <v/>
      </c>
      <c r="C69" s="32">
        <f>IFERROR(INDEX(計算用!$AJ68:$AM68,MATCH(1,計算用!$AF68:$AI68,0)),"")</f>
        <v/>
      </c>
      <c r="D69" s="32">
        <f>IFERROR(INDEX(計算用!$AJ68:$AM68,MATCH(2,計算用!$AF68:$AI68,0)),"")</f>
        <v/>
      </c>
      <c r="E69" s="32">
        <f>IFERROR(INDEX(計算用!$AJ68:$AM68,MATCH(3,計算用!$AF68:$AI68,0)),"")</f>
        <v/>
      </c>
    </row>
    <row r="70" ht="19.5" customHeight="1">
      <c r="A70" s="31">
        <f>IF(計算用!$Z$69="","",計算用!$Y$69&amp;"レース")</f>
        <v/>
      </c>
      <c r="B70" s="32">
        <f>IFERROR(INDEX(計算用!$AJ69:$AM69,MATCH(0,計算用!$AF69:$AI69,0)),"")</f>
        <v/>
      </c>
      <c r="C70" s="32">
        <f>IFERROR(INDEX(計算用!$AJ69:$AM69,MATCH(1,計算用!$AF69:$AI69,0)),"")</f>
        <v/>
      </c>
      <c r="D70" s="32">
        <f>IFERROR(INDEX(計算用!$AJ69:$AM69,MATCH(2,計算用!$AF69:$AI69,0)),"")</f>
        <v/>
      </c>
      <c r="E70" s="32">
        <f>IFERROR(INDEX(計算用!$AJ69:$AM69,MATCH(3,計算用!$AF69:$AI69,0)),"")</f>
        <v/>
      </c>
    </row>
    <row r="71" ht="19.5" customHeight="1">
      <c r="A71" s="31">
        <f>IF(計算用!$Z$70="","",計算用!$Y$70&amp;"レース")</f>
        <v/>
      </c>
      <c r="B71" s="32">
        <f>IFERROR(INDEX(計算用!$AJ70:$AM70,MATCH(0,計算用!$AF70:$AI70,0)),"")</f>
        <v/>
      </c>
      <c r="C71" s="32">
        <f>IFERROR(INDEX(計算用!$AJ70:$AM70,MATCH(1,計算用!$AF70:$AI70,0)),"")</f>
        <v/>
      </c>
      <c r="D71" s="32">
        <f>IFERROR(INDEX(計算用!$AJ70:$AM70,MATCH(2,計算用!$AF70:$AI70,0)),"")</f>
        <v/>
      </c>
      <c r="E71" s="32">
        <f>IFERROR(INDEX(計算用!$AJ70:$AM70,MATCH(3,計算用!$AF70:$AI70,0)),"")</f>
        <v/>
      </c>
    </row>
    <row r="72" ht="19.5" customHeight="1">
      <c r="A72" s="31">
        <f>IF(計算用!$Z$71="","",計算用!$Y$71&amp;"レース")</f>
        <v/>
      </c>
      <c r="B72" s="32">
        <f>IFERROR(INDEX(計算用!$AJ71:$AM71,MATCH(0,計算用!$AF71:$AI71,0)),"")</f>
        <v/>
      </c>
      <c r="C72" s="32">
        <f>IFERROR(INDEX(計算用!$AJ71:$AM71,MATCH(1,計算用!$AF71:$AI71,0)),"")</f>
        <v/>
      </c>
      <c r="D72" s="32">
        <f>IFERROR(INDEX(計算用!$AJ71:$AM71,MATCH(2,計算用!$AF71:$AI71,0)),"")</f>
        <v/>
      </c>
      <c r="E72" s="32">
        <f>IFERROR(INDEX(計算用!$AJ71:$AM71,MATCH(3,計算用!$AF71:$AI71,0)),"")</f>
        <v/>
      </c>
    </row>
    <row r="73" ht="19.5" customHeight="1">
      <c r="A73" s="31">
        <f>IF(計算用!$Z$72="","",計算用!$Y$72&amp;"レース")</f>
        <v/>
      </c>
      <c r="B73" s="32">
        <f>IFERROR(INDEX(計算用!$AJ72:$AM72,MATCH(0,計算用!$AF72:$AI72,0)),"")</f>
        <v/>
      </c>
      <c r="C73" s="32">
        <f>IFERROR(INDEX(計算用!$AJ72:$AM72,MATCH(1,計算用!$AF72:$AI72,0)),"")</f>
        <v/>
      </c>
      <c r="D73" s="32">
        <f>IFERROR(INDEX(計算用!$AJ72:$AM72,MATCH(2,計算用!$AF72:$AI72,0)),"")</f>
        <v/>
      </c>
      <c r="E73" s="32">
        <f>IFERROR(INDEX(計算用!$AJ72:$AM72,MATCH(3,計算用!$AF72:$AI72,0)),"")</f>
        <v/>
      </c>
    </row>
    <row r="74" ht="19.5" customHeight="1">
      <c r="A74" s="31">
        <f>IF(計算用!$Z$73="","",計算用!$Y$73&amp;"レース")</f>
        <v/>
      </c>
      <c r="B74" s="32">
        <f>IFERROR(INDEX(計算用!$AJ73:$AM73,MATCH(0,計算用!$AF73:$AI73,0)),"")</f>
        <v/>
      </c>
      <c r="C74" s="32">
        <f>IFERROR(INDEX(計算用!$AJ73:$AM73,MATCH(1,計算用!$AF73:$AI73,0)),"")</f>
        <v/>
      </c>
      <c r="D74" s="32">
        <f>IFERROR(INDEX(計算用!$AJ73:$AM73,MATCH(2,計算用!$AF73:$AI73,0)),"")</f>
        <v/>
      </c>
      <c r="E74" s="32">
        <f>IFERROR(INDEX(計算用!$AJ73:$AM73,MATCH(3,計算用!$AF73:$AI73,0)),"")</f>
        <v/>
      </c>
    </row>
    <row r="75" ht="19.5" customHeight="1">
      <c r="A75" s="31">
        <f>IF(計算用!$Z$74="","",計算用!$Y$74&amp;"レース")</f>
        <v/>
      </c>
      <c r="B75" s="32">
        <f>IFERROR(INDEX(計算用!$AJ74:$AM74,MATCH(0,計算用!$AF74:$AI74,0)),"")</f>
        <v/>
      </c>
      <c r="C75" s="32">
        <f>IFERROR(INDEX(計算用!$AJ74:$AM74,MATCH(1,計算用!$AF74:$AI74,0)),"")</f>
        <v/>
      </c>
      <c r="D75" s="32">
        <f>IFERROR(INDEX(計算用!$AJ74:$AM74,MATCH(2,計算用!$AF74:$AI74,0)),"")</f>
        <v/>
      </c>
      <c r="E75" s="32">
        <f>IFERROR(INDEX(計算用!$AJ74:$AM74,MATCH(3,計算用!$AF74:$AI74,0)),"")</f>
        <v/>
      </c>
    </row>
    <row r="76" ht="19.5" customHeight="1">
      <c r="A76" s="31">
        <f>IF(計算用!$Z$75="","",計算用!$Y$75&amp;"レース")</f>
        <v/>
      </c>
      <c r="B76" s="32">
        <f>IFERROR(INDEX(計算用!$AJ75:$AM75,MATCH(0,計算用!$AF75:$AI75,0)),"")</f>
        <v/>
      </c>
      <c r="C76" s="32">
        <f>IFERROR(INDEX(計算用!$AJ75:$AM75,MATCH(1,計算用!$AF75:$AI75,0)),"")</f>
        <v/>
      </c>
      <c r="D76" s="32">
        <f>IFERROR(INDEX(計算用!$AJ75:$AM75,MATCH(2,計算用!$AF75:$AI75,0)),"")</f>
        <v/>
      </c>
      <c r="E76" s="32">
        <f>IFERROR(INDEX(計算用!$AJ75:$AM75,MATCH(3,計算用!$AF75:$AI75,0)),"")</f>
        <v/>
      </c>
    </row>
  </sheetData>
  <mergeCells count="1">
    <mergeCell ref="A1:E1"/>
  </mergeCells>
  <conditionalFormatting sqref="A3:A76">
    <cfRule type="expression" priority="1" dxfId="11">
      <formula>AND($A3&lt;&gt;"",AND(NOT(計算用!$U$2),INDEX(計算用!$Z$2:$Z$75,ROW()-2)="B"))</formula>
    </cfRule>
  </conditionalFormatting>
  <conditionalFormatting sqref="B3:B76">
    <cfRule type="expression" priority="2" dxfId="5">
      <formula>AND(B3&lt;&gt;"",$I$1="色あり",INDEX(計算用!$AP$2:$AP$75,ROW()-2)=0)</formula>
    </cfRule>
    <cfRule type="expression" priority="3" dxfId="6">
      <formula>AND(B3&lt;&gt;"",$I$1="色あり",INDEX(計算用!$AP$2:$AP$75,ROW()-2)=1)</formula>
    </cfRule>
    <cfRule type="expression" priority="4" dxfId="7">
      <formula>AND(B3&lt;&gt;"",$I$1="色あり",INDEX(計算用!$AP$2:$AP$75,ROW()-2)=2)</formula>
    </cfRule>
    <cfRule type="expression" priority="5" dxfId="8">
      <formula>AND(B3&lt;&gt;"",$I$1="色あり",INDEX(計算用!$AP$2:$AP$75,ROW()-2)=3)</formula>
    </cfRule>
  </conditionalFormatting>
  <conditionalFormatting sqref="C3:C76">
    <cfRule type="expression" priority="6" dxfId="5">
      <formula>AND(C3&lt;&gt;"",$I$1="色あり",INDEX(計算用!$AQ$2:$AQ$75,ROW()-2)=0)</formula>
    </cfRule>
    <cfRule type="expression" priority="7" dxfId="6">
      <formula>AND(C3&lt;&gt;"",$I$1="色あり",INDEX(計算用!$AQ$2:$AQ$75,ROW()-2)=1)</formula>
    </cfRule>
    <cfRule type="expression" priority="8" dxfId="7">
      <formula>AND(C3&lt;&gt;"",$I$1="色あり",INDEX(計算用!$AQ$2:$AQ$75,ROW()-2)=2)</formula>
    </cfRule>
    <cfRule type="expression" priority="9" dxfId="8">
      <formula>AND(C3&lt;&gt;"",$I$1="色あり",INDEX(計算用!$AQ$2:$AQ$75,ROW()-2)=3)</formula>
    </cfRule>
  </conditionalFormatting>
  <conditionalFormatting sqref="D3:D76">
    <cfRule type="expression" priority="10" dxfId="5">
      <formula>AND(D3&lt;&gt;"",$I$1="色あり",INDEX(計算用!$AR$2:$AR$75,ROW()-2)=0)</formula>
    </cfRule>
    <cfRule type="expression" priority="11" dxfId="6">
      <formula>AND(D3&lt;&gt;"",$I$1="色あり",INDEX(計算用!$AR$2:$AR$75,ROW()-2)=1)</formula>
    </cfRule>
    <cfRule type="expression" priority="12" dxfId="7">
      <formula>AND(D3&lt;&gt;"",$I$1="色あり",INDEX(計算用!$AR$2:$AR$75,ROW()-2)=2)</formula>
    </cfRule>
    <cfRule type="expression" priority="13" dxfId="8">
      <formula>AND(D3&lt;&gt;"",$I$1="色あり",INDEX(計算用!$AR$2:$AR$75,ROW()-2)=3)</formula>
    </cfRule>
  </conditionalFormatting>
  <conditionalFormatting sqref="E3:E76">
    <cfRule type="expression" priority="14" dxfId="5">
      <formula>AND(E3&lt;&gt;"",$I$1="色あり",INDEX(計算用!$AS$2:$AS$75,ROW()-2)=0)</formula>
    </cfRule>
    <cfRule type="expression" priority="15" dxfId="6">
      <formula>AND(E3&lt;&gt;"",$I$1="色あり",INDEX(計算用!$AS$2:$AS$75,ROW()-2)=1)</formula>
    </cfRule>
    <cfRule type="expression" priority="16" dxfId="7">
      <formula>AND(E3&lt;&gt;"",$I$1="色あり",INDEX(計算用!$AS$2:$AS$75,ROW()-2)=2)</formula>
    </cfRule>
    <cfRule type="expression" priority="17" dxfId="8">
      <formula>AND(E3&lt;&gt;"",$I$1="色あり",INDEX(計算用!$AS$2:$AS$75,ROW()-2)=3)</formula>
    </cfRule>
  </conditionalFormatting>
  <conditionalFormatting sqref="A3:E76">
    <cfRule type="expression" priority="18" dxfId="0">
      <formula>$A3&lt;&gt;""</formula>
    </cfRule>
  </conditionalFormatting>
  <dataValidations count="1">
    <dataValidation sqref="I1" showDropDown="0" showInputMessage="0" showErrorMessage="1" allowBlank="0" type="list">
      <formula1>"色あり,色なし"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通し</t>
        </is>
      </c>
      <c r="B1" t="inlineStr">
        <is>
          <t>クラス</t>
        </is>
      </c>
      <c r="C1" t="inlineStr">
        <is>
          <t>クラス内行</t>
        </is>
      </c>
      <c r="D1" t="inlineStr">
        <is>
          <t>名前</t>
        </is>
      </c>
      <c r="E1" t="inlineStr">
        <is>
          <t>性別(入力)</t>
        </is>
      </c>
      <c r="F1" t="inlineStr">
        <is>
          <t>性別</t>
        </is>
      </c>
      <c r="G1" t="inlineStr">
        <is>
          <t>タイム</t>
        </is>
      </c>
      <c r="H1" t="inlineStr">
        <is>
          <t>区分</t>
        </is>
      </c>
      <c r="I1" t="inlineStr">
        <is>
          <t>有効な区分</t>
        </is>
      </c>
      <c r="J1" t="inlineStr">
        <is>
          <t>クラス内順位</t>
        </is>
      </c>
      <c r="K1" t="inlineStr">
        <is>
          <t>自動キー</t>
        </is>
      </c>
      <c r="L1" t="inlineStr">
        <is>
          <t>区分+クラス+名前</t>
        </is>
      </c>
      <c r="M1" t="inlineStr">
        <is>
          <t>手直しでの回数</t>
        </is>
      </c>
      <c r="N1" t="inlineStr">
        <is>
          <t>自分のクラスの列での回数</t>
        </is>
      </c>
      <c r="O1" t="inlineStr">
        <is>
          <t>入っていない</t>
        </is>
      </c>
      <c r="P1" t="inlineStr">
        <is>
          <t>Aの入っていない番号</t>
        </is>
      </c>
      <c r="Q1" t="inlineStr">
        <is>
          <t>Bの入っていない番号</t>
        </is>
      </c>
      <c r="R1" t="inlineStr">
        <is>
          <t>ちがうクラスの列</t>
        </is>
      </c>
      <c r="S1" t="inlineStr">
        <is>
          <t>入力不足</t>
        </is>
      </c>
      <c r="V1" t="inlineStr">
        <is>
          <t>順位(数)</t>
        </is>
      </c>
      <c r="W1" t="inlineStr">
        <is>
          <t>区分+名前</t>
        </is>
      </c>
      <c r="Y1" t="inlineStr">
        <is>
          <t>レース(通し)</t>
        </is>
      </c>
      <c r="Z1" t="inlineStr">
        <is>
          <t>表(A/B)</t>
        </is>
      </c>
      <c r="AA1" t="inlineStr">
        <is>
          <t>男女ごとの番号</t>
        </is>
      </c>
      <c r="AB1" t="inlineStr">
        <is>
          <t>組数</t>
        </is>
      </c>
      <c r="AC1" t="inlineStr">
        <is>
          <t>組</t>
        </is>
      </c>
      <c r="AD1" t="inlineStr">
        <is>
          <t>掲示用の名前</t>
        </is>
      </c>
      <c r="AE1" t="inlineStr">
        <is>
          <t>コースのずらし</t>
        </is>
      </c>
      <c r="AF1" t="inlineStr">
        <is>
          <t>最終修正後のコース位置(左から4人分)</t>
        </is>
      </c>
      <c r="AJ1" t="inlineStr">
        <is>
          <t>名前(左から4人分)</t>
        </is>
      </c>
      <c r="AN1" t="inlineStr">
        <is>
          <t>最終修正の問題</t>
        </is>
      </c>
      <c r="AP1" t="inlineStr">
        <is>
          <t>最終決定の各コースのクラス</t>
        </is>
      </c>
    </row>
    <row r="2">
      <c r="A2" t="n">
        <v>1</v>
      </c>
      <c r="B2">
        <f>INT((A2-1)/37)+1</f>
        <v/>
      </c>
      <c r="C2">
        <f>MOD(A2-1,37)+1</f>
        <v/>
      </c>
      <c r="D2">
        <f>TRIM(INDEX(データ入力!$B$5:$Q$41,C2,(B2-1)*4+1)&amp;"")</f>
        <v/>
      </c>
      <c r="E2">
        <f>INDEX(データ入力!$B$5:$Q$41,C2,(B2-1)*4+2)&amp;""</f>
        <v/>
      </c>
      <c r="F2">
        <f>IF(OR(E2="1",E2="１",E2="男"),"男",IF(OR(E2="2",E2="２",E2="女"),"女",""))</f>
        <v/>
      </c>
      <c r="G2">
        <f>INDEX(データ入力!$B$5:$Q$41,C2,(B2-1)*4+3)</f>
        <v/>
      </c>
      <c r="H2">
        <f>IF(D2="","",IF($U$2,"混",F2))</f>
        <v/>
      </c>
      <c r="I2">
        <f>IF(AND(H2&lt;&gt;"",ISNUMBER(G2)),H2,"")</f>
        <v/>
      </c>
      <c r="J2">
        <f>IF(I2="","",COUNTIFS($I$2:$I$149,I2,$B$2:$B$149,B2,$G$2:$G$149,"&lt;"&amp;G2)+COUNTIFS($I$2:$I$149,I2,$B$2:$B$149,B2,$G$2:$G$149,G2,$A$2:$A$149,"&lt;"&amp;A2)+1)</f>
        <v/>
      </c>
      <c r="K2">
        <f>IF(I2="","",I2&amp;B2&amp;"-"&amp;J2)</f>
        <v/>
      </c>
      <c r="L2">
        <f>IF(I2="","",I2&amp;B2&amp;"|"&amp;D2)</f>
        <v/>
      </c>
      <c r="M2">
        <f>IF(I2="","",IF(I2="女",COUNTIF(手直し!$G$6:$J$42,D2),COUNTIF(手直し!$B$6:$E$42,D2)))</f>
        <v/>
      </c>
      <c r="N2">
        <f>IF(I2="","",IF(I2="女",COUNTIF(INDEX(手直し!$G$6:$J$42,0,B2),D2),COUNTIF(INDEX(手直し!$B$6:$E$42,0,B2),D2)))</f>
        <v/>
      </c>
      <c r="O2">
        <f>IF(AND(I2&lt;&gt;"",M2=0),1,0)</f>
        <v/>
      </c>
      <c r="P2">
        <f>IF(AND(O2=1,I2&lt;&gt;"女"),COUNTIFS($O$2:O2,1,$I$2:I2,"&lt;&gt;女"),"")</f>
        <v/>
      </c>
      <c r="Q2">
        <f>IF(AND(O2=1,I2="女"),COUNTIFS($O$2:O2,1,$I$2:I2,"女"),"")</f>
        <v/>
      </c>
      <c r="R2">
        <f>IF(AND(I2&lt;&gt;"",M2&gt;=1,N2=0),1,0)</f>
        <v/>
      </c>
      <c r="S2">
        <f>IF(AND(D2&lt;&gt;"",I2=""),1,0)</f>
        <v/>
      </c>
      <c r="T2" t="inlineStr">
        <is>
          <t>男女混合</t>
        </is>
      </c>
      <c r="U2">
        <f>データ入力!$C$1="男女混合（2年生）"</f>
        <v/>
      </c>
      <c r="V2">
        <f>IF(J2="",0,J2)</f>
        <v/>
      </c>
      <c r="W2">
        <f>IF(I2="","",I2&amp;D2)</f>
        <v/>
      </c>
      <c r="Y2" t="n">
        <v>1</v>
      </c>
      <c r="Z2">
        <f>IF(Y2&gt;$U$22,"",IF(Y2&lt;=$U$23,IF($U$4,"B","A"),IF($U$4,"A","B")))</f>
        <v/>
      </c>
      <c r="AA2">
        <f>IF(Z2="","",IF(Y2&lt;=$U$23,Y2,Y2-$U$23))</f>
        <v/>
      </c>
      <c r="AB2">
        <f>IF(Z2="","",IF(Z2="A",$U$7,$U$8))</f>
        <v/>
      </c>
      <c r="AC2">
        <f>IF(Z2="","",IF(AB2&lt;=$U$6,AB2-AA2+1,IF(AA2&lt;=INT((AB2-$U$6+1)/2),$U$6-1+2*AA2,IF(AA2&lt;=INT((AB2-$U$6+1)/2)+INT((AB2-$U$6)/2),(AB2-1+MOD(AB2,2))-2*(AA2-INT((AB2-$U$6+1)/2)-1),$U$6-(AA2-INT((AB2-$U$6+1)/2)-INT((AB2-$U$6)/2)-1)))))</f>
        <v/>
      </c>
      <c r="AD2">
        <f>IF(Z2="","",IF($U$2,"",IF(Z2="B","女子","男子"))&amp;AA2&amp;"レース")</f>
        <v/>
      </c>
      <c r="AE2">
        <f>IF(Z2="","",IF($U$2,1,AA2))</f>
        <v/>
      </c>
      <c r="AF2">
        <f>IF(AJ2="",99,IF(最終修正!$C$3="",0,IF(AND(ISNUMBER(最終修正!$C$3),INT(最終修正!$C$3)=最終修正!$C$3,最終修正!$C$3-$U$5&gt;=0,最終修正!$C$3-$U$5&lt;=3),最終修正!$C$3-$U$5,-1)))</f>
        <v/>
      </c>
      <c r="AG2">
        <f>IF(AK2="",99,IF(最終修正!$E$3="",1,IF(AND(ISNUMBER(最終修正!$E$3),INT(最終修正!$E$3)=最終修正!$E$3,最終修正!$E$3-$U$5&gt;=0,最終修正!$E$3-$U$5&lt;=3),最終修正!$E$3-$U$5,-1)))</f>
        <v/>
      </c>
      <c r="AH2">
        <f>IF(AL2="",99,IF(最終修正!$G$3="",2,IF(AND(ISNUMBER(最終修正!$G$3),INT(最終修正!$G$3)=最終修正!$G$3,最終修正!$G$3-$U$5&gt;=0,最終修正!$G$3-$U$5&lt;=3),最終修正!$G$3-$U$5,-1)))</f>
        <v/>
      </c>
      <c r="AI2">
        <f>IF(AM2="",99,IF(最終修正!$I$3="",3,IF(AND(ISNUMBER(最終修正!$I$3),INT(最終修正!$I$3)=最終修正!$I$3,最終修正!$I$3-$U$5&gt;=0,最終修正!$I$3-$U$5&lt;=3),最終修正!$I$3-$U$5,-1)))</f>
        <v/>
      </c>
      <c r="AJ2">
        <f>IF(計算用!$Z$2="","",IF(計算用!$U$24,IF(計算用!$Z$2="A",INDEX(手直し!$B$6:$E$42,計算用!$AC$2,MOD(0-計算用!$AE$2+1,4)+1),INDEX(手直し!$G$6:$J$42,計算用!$AC$2,MOD(0-計算用!$AE$2+1,4)+1)),IF(計算用!$Z$2="A",INDEX(組分け!$B$5:$I$41,計算用!$AC$2,(MOD(0-計算用!$AE$2+1,4)+1)*2-1),INDEX(組分け!$L$5:$S$41,計算用!$AC$2,(MOD(0-計算用!$AE$2+1,4)+1)*2-1)))&amp;"")</f>
        <v/>
      </c>
      <c r="AK2">
        <f>IF(計算用!$Z$2="","",IF(計算用!$U$24,IF(計算用!$Z$2="A",INDEX(手直し!$B$6:$E$42,計算用!$AC$2,MOD(1-計算用!$AE$2+1,4)+1),INDEX(手直し!$G$6:$J$42,計算用!$AC$2,MOD(1-計算用!$AE$2+1,4)+1)),IF(計算用!$Z$2="A",INDEX(組分け!$B$5:$I$41,計算用!$AC$2,(MOD(1-計算用!$AE$2+1,4)+1)*2-1),INDEX(組分け!$L$5:$S$41,計算用!$AC$2,(MOD(1-計算用!$AE$2+1,4)+1)*2-1)))&amp;"")</f>
        <v/>
      </c>
      <c r="AL2">
        <f>IF(計算用!$Z$2="","",IF(計算用!$U$24,IF(計算用!$Z$2="A",INDEX(手直し!$B$6:$E$42,計算用!$AC$2,MOD(2-計算用!$AE$2+1,4)+1),INDEX(手直し!$G$6:$J$42,計算用!$AC$2,MOD(2-計算用!$AE$2+1,4)+1)),IF(計算用!$Z$2="A",INDEX(組分け!$B$5:$I$41,計算用!$AC$2,(MOD(2-計算用!$AE$2+1,4)+1)*2-1),INDEX(組分け!$L$5:$S$41,計算用!$AC$2,(MOD(2-計算用!$AE$2+1,4)+1)*2-1)))&amp;"")</f>
        <v/>
      </c>
      <c r="AM2">
        <f>IF(計算用!$Z$2="","",IF(計算用!$U$24,IF(計算用!$Z$2="A",INDEX(手直し!$B$6:$E$42,計算用!$AC$2,MOD(3-計算用!$AE$2+1,4)+1),INDEX(手直し!$G$6:$J$42,計算用!$AC$2,MOD(3-計算用!$AE$2+1,4)+1)),IF(計算用!$Z$2="A",INDEX(組分け!$B$5:$I$41,計算用!$AC$2,(MOD(3-計算用!$AE$2+1,4)+1)*2-1),INDEX(組分け!$L$5:$S$41,計算用!$AC$2,(MOD(3-計算用!$AE$2+1,4)+1)*2-1)))&amp;"")</f>
        <v/>
      </c>
      <c r="AN2">
        <f>IF(Z2="",0,(COUNTIF($AF2:$AI2,0)&gt;1)+(COUNTIF($AF2:$AI2,1)&gt;1)+(COUNTIF($AF2:$AI2,2)&gt;1)+(COUNTIF($AF2:$AI2,3)&gt;1)+COUNTIF($AF2:$AI2,-1))</f>
        <v/>
      </c>
      <c r="AP2">
        <f>IF(Z2="","",IFERROR(MOD(MATCH(0,$AF2:$AI2,0)-1-AE2+1,4),""))</f>
        <v/>
      </c>
      <c r="AQ2">
        <f>IF(Z2="","",IFERROR(MOD(MATCH(1,$AF2:$AI2,0)-1-AE2+1,4),""))</f>
        <v/>
      </c>
      <c r="AR2">
        <f>IF(Z2="","",IFERROR(MOD(MATCH(2,$AF2:$AI2,0)-1-AE2+1,4),""))</f>
        <v/>
      </c>
      <c r="AS2">
        <f>IF(Z2="","",IFERROR(MOD(MATCH(3,$AF2:$AI2,0)-1-AE2+1,4),""))</f>
        <v/>
      </c>
    </row>
    <row r="3">
      <c r="A3" t="n">
        <v>2</v>
      </c>
      <c r="B3">
        <f>INT((A3-1)/37)+1</f>
        <v/>
      </c>
      <c r="C3">
        <f>MOD(A3-1,37)+1</f>
        <v/>
      </c>
      <c r="D3">
        <f>TRIM(INDEX(データ入力!$B$5:$Q$41,C3,(B3-1)*4+1)&amp;"")</f>
        <v/>
      </c>
      <c r="E3">
        <f>INDEX(データ入力!$B$5:$Q$41,C3,(B3-1)*4+2)&amp;""</f>
        <v/>
      </c>
      <c r="F3">
        <f>IF(OR(E3="1",E3="１",E3="男"),"男",IF(OR(E3="2",E3="２",E3="女"),"女",""))</f>
        <v/>
      </c>
      <c r="G3">
        <f>INDEX(データ入力!$B$5:$Q$41,C3,(B3-1)*4+3)</f>
        <v/>
      </c>
      <c r="H3">
        <f>IF(D3="","",IF($U$2,"混",F3))</f>
        <v/>
      </c>
      <c r="I3">
        <f>IF(AND(H3&lt;&gt;"",ISNUMBER(G3)),H3,"")</f>
        <v/>
      </c>
      <c r="J3">
        <f>IF(I3="","",COUNTIFS($I$2:$I$149,I3,$B$2:$B$149,B3,$G$2:$G$149,"&lt;"&amp;G3)+COUNTIFS($I$2:$I$149,I3,$B$2:$B$149,B3,$G$2:$G$149,G3,$A$2:$A$149,"&lt;"&amp;A3)+1)</f>
        <v/>
      </c>
      <c r="K3">
        <f>IF(I3="","",I3&amp;B3&amp;"-"&amp;J3)</f>
        <v/>
      </c>
      <c r="L3">
        <f>IF(I3="","",I3&amp;B3&amp;"|"&amp;D3)</f>
        <v/>
      </c>
      <c r="M3">
        <f>IF(I3="","",IF(I3="女",COUNTIF(手直し!$G$6:$J$42,D3),COUNTIF(手直し!$B$6:$E$42,D3)))</f>
        <v/>
      </c>
      <c r="N3">
        <f>IF(I3="","",IF(I3="女",COUNTIF(INDEX(手直し!$G$6:$J$42,0,B3),D3),COUNTIF(INDEX(手直し!$B$6:$E$42,0,B3),D3)))</f>
        <v/>
      </c>
      <c r="O3">
        <f>IF(AND(I3&lt;&gt;"",M3=0),1,0)</f>
        <v/>
      </c>
      <c r="P3">
        <f>IF(AND(O3=1,I3&lt;&gt;"女"),COUNTIFS($O$2:O3,1,$I$2:I3,"&lt;&gt;女"),"")</f>
        <v/>
      </c>
      <c r="Q3">
        <f>IF(AND(O3=1,I3="女"),COUNTIFS($O$2:O3,1,$I$2:I3,"女"),"")</f>
        <v/>
      </c>
      <c r="R3">
        <f>IF(AND(I3&lt;&gt;"",M3&gt;=1,N3=0),1,0)</f>
        <v/>
      </c>
      <c r="S3">
        <f>IF(AND(D3&lt;&gt;"",I3=""),1,0)</f>
        <v/>
      </c>
      <c r="T3" t="inlineStr">
        <is>
          <t>Aの区分</t>
        </is>
      </c>
      <c r="U3">
        <f>IF(U2,"混","男")</f>
        <v/>
      </c>
      <c r="V3">
        <f>IF(J3="",0,J3)</f>
        <v/>
      </c>
      <c r="W3">
        <f>IF(I3="","",I3&amp;D3)</f>
        <v/>
      </c>
      <c r="Y3" t="n">
        <v>2</v>
      </c>
      <c r="Z3">
        <f>IF(Y3&gt;$U$22,"",IF(Y3&lt;=$U$23,IF($U$4,"B","A"),IF($U$4,"A","B")))</f>
        <v/>
      </c>
      <c r="AA3">
        <f>IF(Z3="","",IF(Y3&lt;=$U$23,Y3,Y3-$U$23))</f>
        <v/>
      </c>
      <c r="AB3">
        <f>IF(Z3="","",IF(Z3="A",$U$7,$U$8))</f>
        <v/>
      </c>
      <c r="AC3">
        <f>IF(Z3="","",IF(AB3&lt;=$U$6,AB3-AA3+1,IF(AA3&lt;=INT((AB3-$U$6+1)/2),$U$6-1+2*AA3,IF(AA3&lt;=INT((AB3-$U$6+1)/2)+INT((AB3-$U$6)/2),(AB3-1+MOD(AB3,2))-2*(AA3-INT((AB3-$U$6+1)/2)-1),$U$6-(AA3-INT((AB3-$U$6+1)/2)-INT((AB3-$U$6)/2)-1)))))</f>
        <v/>
      </c>
      <c r="AD3">
        <f>IF(Z3="","",IF($U$2,"",IF(Z3="B","女子","男子"))&amp;AA3&amp;"レース")</f>
        <v/>
      </c>
      <c r="AE3">
        <f>IF(Z3="","",IF($U$2,1,AA3))</f>
        <v/>
      </c>
      <c r="AF3">
        <f>IF(AJ3="",99,IF(最終修正!$C$4="",0,IF(AND(ISNUMBER(最終修正!$C$4),INT(最終修正!$C$4)=最終修正!$C$4,最終修正!$C$4-$U$5&gt;=0,最終修正!$C$4-$U$5&lt;=3),最終修正!$C$4-$U$5,-1)))</f>
        <v/>
      </c>
      <c r="AG3">
        <f>IF(AK3="",99,IF(最終修正!$E$4="",1,IF(AND(ISNUMBER(最終修正!$E$4),INT(最終修正!$E$4)=最終修正!$E$4,最終修正!$E$4-$U$5&gt;=0,最終修正!$E$4-$U$5&lt;=3),最終修正!$E$4-$U$5,-1)))</f>
        <v/>
      </c>
      <c r="AH3">
        <f>IF(AL3="",99,IF(最終修正!$G$4="",2,IF(AND(ISNUMBER(最終修正!$G$4),INT(最終修正!$G$4)=最終修正!$G$4,最終修正!$G$4-$U$5&gt;=0,最終修正!$G$4-$U$5&lt;=3),最終修正!$G$4-$U$5,-1)))</f>
        <v/>
      </c>
      <c r="AI3">
        <f>IF(AM3="",99,IF(最終修正!$I$4="",3,IF(AND(ISNUMBER(最終修正!$I$4),INT(最終修正!$I$4)=最終修正!$I$4,最終修正!$I$4-$U$5&gt;=0,最終修正!$I$4-$U$5&lt;=3),最終修正!$I$4-$U$5,-1)))</f>
        <v/>
      </c>
      <c r="AJ3">
        <f>IF(計算用!$Z$3="","",IF(計算用!$U$24,IF(計算用!$Z$3="A",INDEX(手直し!$B$6:$E$42,計算用!$AC$3,MOD(0-計算用!$AE$3+1,4)+1),INDEX(手直し!$G$6:$J$42,計算用!$AC$3,MOD(0-計算用!$AE$3+1,4)+1)),IF(計算用!$Z$3="A",INDEX(組分け!$B$5:$I$41,計算用!$AC$3,(MOD(0-計算用!$AE$3+1,4)+1)*2-1),INDEX(組分け!$L$5:$S$41,計算用!$AC$3,(MOD(0-計算用!$AE$3+1,4)+1)*2-1)))&amp;"")</f>
        <v/>
      </c>
      <c r="AK3">
        <f>IF(計算用!$Z$3="","",IF(計算用!$U$24,IF(計算用!$Z$3="A",INDEX(手直し!$B$6:$E$42,計算用!$AC$3,MOD(1-計算用!$AE$3+1,4)+1),INDEX(手直し!$G$6:$J$42,計算用!$AC$3,MOD(1-計算用!$AE$3+1,4)+1)),IF(計算用!$Z$3="A",INDEX(組分け!$B$5:$I$41,計算用!$AC$3,(MOD(1-計算用!$AE$3+1,4)+1)*2-1),INDEX(組分け!$L$5:$S$41,計算用!$AC$3,(MOD(1-計算用!$AE$3+1,4)+1)*2-1)))&amp;"")</f>
        <v/>
      </c>
      <c r="AL3">
        <f>IF(計算用!$Z$3="","",IF(計算用!$U$24,IF(計算用!$Z$3="A",INDEX(手直し!$B$6:$E$42,計算用!$AC$3,MOD(2-計算用!$AE$3+1,4)+1),INDEX(手直し!$G$6:$J$42,計算用!$AC$3,MOD(2-計算用!$AE$3+1,4)+1)),IF(計算用!$Z$3="A",INDEX(組分け!$B$5:$I$41,計算用!$AC$3,(MOD(2-計算用!$AE$3+1,4)+1)*2-1),INDEX(組分け!$L$5:$S$41,計算用!$AC$3,(MOD(2-計算用!$AE$3+1,4)+1)*2-1)))&amp;"")</f>
        <v/>
      </c>
      <c r="AM3">
        <f>IF(計算用!$Z$3="","",IF(計算用!$U$24,IF(計算用!$Z$3="A",INDEX(手直し!$B$6:$E$42,計算用!$AC$3,MOD(3-計算用!$AE$3+1,4)+1),INDEX(手直し!$G$6:$J$42,計算用!$AC$3,MOD(3-計算用!$AE$3+1,4)+1)),IF(計算用!$Z$3="A",INDEX(組分け!$B$5:$I$41,計算用!$AC$3,(MOD(3-計算用!$AE$3+1,4)+1)*2-1),INDEX(組分け!$L$5:$S$41,計算用!$AC$3,(MOD(3-計算用!$AE$3+1,4)+1)*2-1)))&amp;"")</f>
        <v/>
      </c>
      <c r="AN3">
        <f>IF(Z3="",0,(COUNTIF($AF3:$AI3,0)&gt;1)+(COUNTIF($AF3:$AI3,1)&gt;1)+(COUNTIF($AF3:$AI3,2)&gt;1)+(COUNTIF($AF3:$AI3,3)&gt;1)+COUNTIF($AF3:$AI3,-1))</f>
        <v/>
      </c>
      <c r="AP3">
        <f>IF(Z3="","",IFERROR(MOD(MATCH(0,$AF3:$AI3,0)-1-AE3+1,4),""))</f>
        <v/>
      </c>
      <c r="AQ3">
        <f>IF(Z3="","",IFERROR(MOD(MATCH(1,$AF3:$AI3,0)-1-AE3+1,4),""))</f>
        <v/>
      </c>
      <c r="AR3">
        <f>IF(Z3="","",IFERROR(MOD(MATCH(2,$AF3:$AI3,0)-1-AE3+1,4),""))</f>
        <v/>
      </c>
      <c r="AS3">
        <f>IF(Z3="","",IFERROR(MOD(MATCH(3,$AF3:$AI3,0)-1-AE3+1,4),""))</f>
        <v/>
      </c>
    </row>
    <row r="4">
      <c r="A4" t="n">
        <v>3</v>
      </c>
      <c r="B4">
        <f>INT((A4-1)/37)+1</f>
        <v/>
      </c>
      <c r="C4">
        <f>MOD(A4-1,37)+1</f>
        <v/>
      </c>
      <c r="D4">
        <f>TRIM(INDEX(データ入力!$B$5:$Q$41,C4,(B4-1)*4+1)&amp;"")</f>
        <v/>
      </c>
      <c r="E4">
        <f>INDEX(データ入力!$B$5:$Q$41,C4,(B4-1)*4+2)&amp;""</f>
        <v/>
      </c>
      <c r="F4">
        <f>IF(OR(E4="1",E4="１",E4="男"),"男",IF(OR(E4="2",E4="２",E4="女"),"女",""))</f>
        <v/>
      </c>
      <c r="G4">
        <f>INDEX(データ入力!$B$5:$Q$41,C4,(B4-1)*4+3)</f>
        <v/>
      </c>
      <c r="H4">
        <f>IF(D4="","",IF($U$2,"混",F4))</f>
        <v/>
      </c>
      <c r="I4">
        <f>IF(AND(H4&lt;&gt;"",ISNUMBER(G4)),H4,"")</f>
        <v/>
      </c>
      <c r="J4">
        <f>IF(I4="","",COUNTIFS($I$2:$I$149,I4,$B$2:$B$149,B4,$G$2:$G$149,"&lt;"&amp;G4)+COUNTIFS($I$2:$I$149,I4,$B$2:$B$149,B4,$G$2:$G$149,G4,$A$2:$A$149,"&lt;"&amp;A4)+1)</f>
        <v/>
      </c>
      <c r="K4">
        <f>IF(I4="","",I4&amp;B4&amp;"-"&amp;J4)</f>
        <v/>
      </c>
      <c r="L4">
        <f>IF(I4="","",I4&amp;B4&amp;"|"&amp;D4)</f>
        <v/>
      </c>
      <c r="M4">
        <f>IF(I4="","",IF(I4="女",COUNTIF(手直し!$G$6:$J$42,D4),COUNTIF(手直し!$B$6:$E$42,D4)))</f>
        <v/>
      </c>
      <c r="N4">
        <f>IF(I4="","",IF(I4="女",COUNTIF(INDEX(手直し!$G$6:$J$42,0,B4),D4),COUNTIF(INDEX(手直し!$B$6:$E$42,0,B4),D4)))</f>
        <v/>
      </c>
      <c r="O4">
        <f>IF(AND(I4&lt;&gt;"",M4=0),1,0)</f>
        <v/>
      </c>
      <c r="P4">
        <f>IF(AND(O4=1,I4&lt;&gt;"女"),COUNTIFS($O$2:O4,1,$I$2:I4,"&lt;&gt;女"),"")</f>
        <v/>
      </c>
      <c r="Q4">
        <f>IF(AND(O4=1,I4="女"),COUNTIFS($O$2:O4,1,$I$2:I4,"女"),"")</f>
        <v/>
      </c>
      <c r="R4">
        <f>IF(AND(I4&lt;&gt;"",M4&gt;=1,N4=0),1,0)</f>
        <v/>
      </c>
      <c r="S4">
        <f>IF(AND(D4&lt;&gt;"",I4=""),1,0)</f>
        <v/>
      </c>
      <c r="T4" t="inlineStr">
        <is>
          <t>女子が先</t>
        </is>
      </c>
      <c r="U4">
        <f>AND(NOT(U2),データ入力!$G$1="女子")</f>
        <v/>
      </c>
      <c r="V4">
        <f>IF(J4="",0,J4)</f>
        <v/>
      </c>
      <c r="W4">
        <f>IF(I4="","",I4&amp;D4)</f>
        <v/>
      </c>
      <c r="Y4" t="n">
        <v>3</v>
      </c>
      <c r="Z4">
        <f>IF(Y4&gt;$U$22,"",IF(Y4&lt;=$U$23,IF($U$4,"B","A"),IF($U$4,"A","B")))</f>
        <v/>
      </c>
      <c r="AA4">
        <f>IF(Z4="","",IF(Y4&lt;=$U$23,Y4,Y4-$U$23))</f>
        <v/>
      </c>
      <c r="AB4">
        <f>IF(Z4="","",IF(Z4="A",$U$7,$U$8))</f>
        <v/>
      </c>
      <c r="AC4">
        <f>IF(Z4="","",IF(AB4&lt;=$U$6,AB4-AA4+1,IF(AA4&lt;=INT((AB4-$U$6+1)/2),$U$6-1+2*AA4,IF(AA4&lt;=INT((AB4-$U$6+1)/2)+INT((AB4-$U$6)/2),(AB4-1+MOD(AB4,2))-2*(AA4-INT((AB4-$U$6+1)/2)-1),$U$6-(AA4-INT((AB4-$U$6+1)/2)-INT((AB4-$U$6)/2)-1)))))</f>
        <v/>
      </c>
      <c r="AD4">
        <f>IF(Z4="","",IF($U$2,"",IF(Z4="B","女子","男子"))&amp;AA4&amp;"レース")</f>
        <v/>
      </c>
      <c r="AE4">
        <f>IF(Z4="","",IF($U$2,1,AA4))</f>
        <v/>
      </c>
      <c r="AF4">
        <f>IF(AJ4="",99,IF(最終修正!$C$5="",0,IF(AND(ISNUMBER(最終修正!$C$5),INT(最終修正!$C$5)=最終修正!$C$5,最終修正!$C$5-$U$5&gt;=0,最終修正!$C$5-$U$5&lt;=3),最終修正!$C$5-$U$5,-1)))</f>
        <v/>
      </c>
      <c r="AG4">
        <f>IF(AK4="",99,IF(最終修正!$E$5="",1,IF(AND(ISNUMBER(最終修正!$E$5),INT(最終修正!$E$5)=最終修正!$E$5,最終修正!$E$5-$U$5&gt;=0,最終修正!$E$5-$U$5&lt;=3),最終修正!$E$5-$U$5,-1)))</f>
        <v/>
      </c>
      <c r="AH4">
        <f>IF(AL4="",99,IF(最終修正!$G$5="",2,IF(AND(ISNUMBER(最終修正!$G$5),INT(最終修正!$G$5)=最終修正!$G$5,最終修正!$G$5-$U$5&gt;=0,最終修正!$G$5-$U$5&lt;=3),最終修正!$G$5-$U$5,-1)))</f>
        <v/>
      </c>
      <c r="AI4">
        <f>IF(AM4="",99,IF(最終修正!$I$5="",3,IF(AND(ISNUMBER(最終修正!$I$5),INT(最終修正!$I$5)=最終修正!$I$5,最終修正!$I$5-$U$5&gt;=0,最終修正!$I$5-$U$5&lt;=3),最終修正!$I$5-$U$5,-1)))</f>
        <v/>
      </c>
      <c r="AJ4">
        <f>IF(計算用!$Z$4="","",IF(計算用!$U$24,IF(計算用!$Z$4="A",INDEX(手直し!$B$6:$E$42,計算用!$AC$4,MOD(0-計算用!$AE$4+1,4)+1),INDEX(手直し!$G$6:$J$42,計算用!$AC$4,MOD(0-計算用!$AE$4+1,4)+1)),IF(計算用!$Z$4="A",INDEX(組分け!$B$5:$I$41,計算用!$AC$4,(MOD(0-計算用!$AE$4+1,4)+1)*2-1),INDEX(組分け!$L$5:$S$41,計算用!$AC$4,(MOD(0-計算用!$AE$4+1,4)+1)*2-1)))&amp;"")</f>
        <v/>
      </c>
      <c r="AK4">
        <f>IF(計算用!$Z$4="","",IF(計算用!$U$24,IF(計算用!$Z$4="A",INDEX(手直し!$B$6:$E$42,計算用!$AC$4,MOD(1-計算用!$AE$4+1,4)+1),INDEX(手直し!$G$6:$J$42,計算用!$AC$4,MOD(1-計算用!$AE$4+1,4)+1)),IF(計算用!$Z$4="A",INDEX(組分け!$B$5:$I$41,計算用!$AC$4,(MOD(1-計算用!$AE$4+1,4)+1)*2-1),INDEX(組分け!$L$5:$S$41,計算用!$AC$4,(MOD(1-計算用!$AE$4+1,4)+1)*2-1)))&amp;"")</f>
        <v/>
      </c>
      <c r="AL4">
        <f>IF(計算用!$Z$4="","",IF(計算用!$U$24,IF(計算用!$Z$4="A",INDEX(手直し!$B$6:$E$42,計算用!$AC$4,MOD(2-計算用!$AE$4+1,4)+1),INDEX(手直し!$G$6:$J$42,計算用!$AC$4,MOD(2-計算用!$AE$4+1,4)+1)),IF(計算用!$Z$4="A",INDEX(組分け!$B$5:$I$41,計算用!$AC$4,(MOD(2-計算用!$AE$4+1,4)+1)*2-1),INDEX(組分け!$L$5:$S$41,計算用!$AC$4,(MOD(2-計算用!$AE$4+1,4)+1)*2-1)))&amp;"")</f>
        <v/>
      </c>
      <c r="AM4">
        <f>IF(計算用!$Z$4="","",IF(計算用!$U$24,IF(計算用!$Z$4="A",INDEX(手直し!$B$6:$E$42,計算用!$AC$4,MOD(3-計算用!$AE$4+1,4)+1),INDEX(手直し!$G$6:$J$42,計算用!$AC$4,MOD(3-計算用!$AE$4+1,4)+1)),IF(計算用!$Z$4="A",INDEX(組分け!$B$5:$I$41,計算用!$AC$4,(MOD(3-計算用!$AE$4+1,4)+1)*2-1),INDEX(組分け!$L$5:$S$41,計算用!$AC$4,(MOD(3-計算用!$AE$4+1,4)+1)*2-1)))&amp;"")</f>
        <v/>
      </c>
      <c r="AN4">
        <f>IF(Z4="",0,(COUNTIF($AF4:$AI4,0)&gt;1)+(COUNTIF($AF4:$AI4,1)&gt;1)+(COUNTIF($AF4:$AI4,2)&gt;1)+(COUNTIF($AF4:$AI4,3)&gt;1)+COUNTIF($AF4:$AI4,-1))</f>
        <v/>
      </c>
      <c r="AP4">
        <f>IF(Z4="","",IFERROR(MOD(MATCH(0,$AF4:$AI4,0)-1-AE4+1,4),""))</f>
        <v/>
      </c>
      <c r="AQ4">
        <f>IF(Z4="","",IFERROR(MOD(MATCH(1,$AF4:$AI4,0)-1-AE4+1,4),""))</f>
        <v/>
      </c>
      <c r="AR4">
        <f>IF(Z4="","",IFERROR(MOD(MATCH(2,$AF4:$AI4,0)-1-AE4+1,4),""))</f>
        <v/>
      </c>
      <c r="AS4">
        <f>IF(Z4="","",IFERROR(MOD(MATCH(3,$AF4:$AI4,0)-1-AE4+1,4),""))</f>
        <v/>
      </c>
    </row>
    <row r="5">
      <c r="A5" t="n">
        <v>4</v>
      </c>
      <c r="B5">
        <f>INT((A5-1)/37)+1</f>
        <v/>
      </c>
      <c r="C5">
        <f>MOD(A5-1,37)+1</f>
        <v/>
      </c>
      <c r="D5">
        <f>TRIM(INDEX(データ入力!$B$5:$Q$41,C5,(B5-1)*4+1)&amp;"")</f>
        <v/>
      </c>
      <c r="E5">
        <f>INDEX(データ入力!$B$5:$Q$41,C5,(B5-1)*4+2)&amp;""</f>
        <v/>
      </c>
      <c r="F5">
        <f>IF(OR(E5="1",E5="１",E5="男"),"男",IF(OR(E5="2",E5="２",E5="女"),"女",""))</f>
        <v/>
      </c>
      <c r="G5">
        <f>INDEX(データ入力!$B$5:$Q$41,C5,(B5-1)*4+3)</f>
        <v/>
      </c>
      <c r="H5">
        <f>IF(D5="","",IF($U$2,"混",F5))</f>
        <v/>
      </c>
      <c r="I5">
        <f>IF(AND(H5&lt;&gt;"",ISNUMBER(G5)),H5,"")</f>
        <v/>
      </c>
      <c r="J5">
        <f>IF(I5="","",COUNTIFS($I$2:$I$149,I5,$B$2:$B$149,B5,$G$2:$G$149,"&lt;"&amp;G5)+COUNTIFS($I$2:$I$149,I5,$B$2:$B$149,B5,$G$2:$G$149,G5,$A$2:$A$149,"&lt;"&amp;A5)+1)</f>
        <v/>
      </c>
      <c r="K5">
        <f>IF(I5="","",I5&amp;B5&amp;"-"&amp;J5)</f>
        <v/>
      </c>
      <c r="L5">
        <f>IF(I5="","",I5&amp;B5&amp;"|"&amp;D5)</f>
        <v/>
      </c>
      <c r="M5">
        <f>IF(I5="","",IF(I5="女",COUNTIF(手直し!$G$6:$J$42,D5),COUNTIF(手直し!$B$6:$E$42,D5)))</f>
        <v/>
      </c>
      <c r="N5">
        <f>IF(I5="","",IF(I5="女",COUNTIF(INDEX(手直し!$G$6:$J$42,0,B5),D5),COUNTIF(INDEX(手直し!$B$6:$E$42,0,B5),D5)))</f>
        <v/>
      </c>
      <c r="O5">
        <f>IF(AND(I5&lt;&gt;"",M5=0),1,0)</f>
        <v/>
      </c>
      <c r="P5">
        <f>IF(AND(O5=1,I5&lt;&gt;"女"),COUNTIFS($O$2:O5,1,$I$2:I5,"&lt;&gt;女"),"")</f>
        <v/>
      </c>
      <c r="Q5">
        <f>IF(AND(O5=1,I5="女"),COUNTIFS($O$2:O5,1,$I$2:I5,"女"),"")</f>
        <v/>
      </c>
      <c r="R5">
        <f>IF(AND(I5&lt;&gt;"",M5&gt;=1,N5=0),1,0)</f>
        <v/>
      </c>
      <c r="S5">
        <f>IF(AND(D5&lt;&gt;"",I5=""),1,0)</f>
        <v/>
      </c>
      <c r="T5" t="inlineStr">
        <is>
          <t>始めのコース</t>
        </is>
      </c>
      <c r="U5">
        <f>IF(ISNUMBER(データ入力!$K$1),データ入力!$K$1,2)</f>
        <v/>
      </c>
      <c r="V5">
        <f>IF(J5="",0,J5)</f>
        <v/>
      </c>
      <c r="W5">
        <f>IF(I5="","",I5&amp;D5)</f>
        <v/>
      </c>
      <c r="Y5" t="n">
        <v>4</v>
      </c>
      <c r="Z5">
        <f>IF(Y5&gt;$U$22,"",IF(Y5&lt;=$U$23,IF($U$4,"B","A"),IF($U$4,"A","B")))</f>
        <v/>
      </c>
      <c r="AA5">
        <f>IF(Z5="","",IF(Y5&lt;=$U$23,Y5,Y5-$U$23))</f>
        <v/>
      </c>
      <c r="AB5">
        <f>IF(Z5="","",IF(Z5="A",$U$7,$U$8))</f>
        <v/>
      </c>
      <c r="AC5">
        <f>IF(Z5="","",IF(AB5&lt;=$U$6,AB5-AA5+1,IF(AA5&lt;=INT((AB5-$U$6+1)/2),$U$6-1+2*AA5,IF(AA5&lt;=INT((AB5-$U$6+1)/2)+INT((AB5-$U$6)/2),(AB5-1+MOD(AB5,2))-2*(AA5-INT((AB5-$U$6+1)/2)-1),$U$6-(AA5-INT((AB5-$U$6+1)/2)-INT((AB5-$U$6)/2)-1)))))</f>
        <v/>
      </c>
      <c r="AD5">
        <f>IF(Z5="","",IF($U$2,"",IF(Z5="B","女子","男子"))&amp;AA5&amp;"レース")</f>
        <v/>
      </c>
      <c r="AE5">
        <f>IF(Z5="","",IF($U$2,1,AA5))</f>
        <v/>
      </c>
      <c r="AF5">
        <f>IF(AJ5="",99,IF(最終修正!$C$6="",0,IF(AND(ISNUMBER(最終修正!$C$6),INT(最終修正!$C$6)=最終修正!$C$6,最終修正!$C$6-$U$5&gt;=0,最終修正!$C$6-$U$5&lt;=3),最終修正!$C$6-$U$5,-1)))</f>
        <v/>
      </c>
      <c r="AG5">
        <f>IF(AK5="",99,IF(最終修正!$E$6="",1,IF(AND(ISNUMBER(最終修正!$E$6),INT(最終修正!$E$6)=最終修正!$E$6,最終修正!$E$6-$U$5&gt;=0,最終修正!$E$6-$U$5&lt;=3),最終修正!$E$6-$U$5,-1)))</f>
        <v/>
      </c>
      <c r="AH5">
        <f>IF(AL5="",99,IF(最終修正!$G$6="",2,IF(AND(ISNUMBER(最終修正!$G$6),INT(最終修正!$G$6)=最終修正!$G$6,最終修正!$G$6-$U$5&gt;=0,最終修正!$G$6-$U$5&lt;=3),最終修正!$G$6-$U$5,-1)))</f>
        <v/>
      </c>
      <c r="AI5">
        <f>IF(AM5="",99,IF(最終修正!$I$6="",3,IF(AND(ISNUMBER(最終修正!$I$6),INT(最終修正!$I$6)=最終修正!$I$6,最終修正!$I$6-$U$5&gt;=0,最終修正!$I$6-$U$5&lt;=3),最終修正!$I$6-$U$5,-1)))</f>
        <v/>
      </c>
      <c r="AJ5">
        <f>IF(計算用!$Z$5="","",IF(計算用!$U$24,IF(計算用!$Z$5="A",INDEX(手直し!$B$6:$E$42,計算用!$AC$5,MOD(0-計算用!$AE$5+1,4)+1),INDEX(手直し!$G$6:$J$42,計算用!$AC$5,MOD(0-計算用!$AE$5+1,4)+1)),IF(計算用!$Z$5="A",INDEX(組分け!$B$5:$I$41,計算用!$AC$5,(MOD(0-計算用!$AE$5+1,4)+1)*2-1),INDEX(組分け!$L$5:$S$41,計算用!$AC$5,(MOD(0-計算用!$AE$5+1,4)+1)*2-1)))&amp;"")</f>
        <v/>
      </c>
      <c r="AK5">
        <f>IF(計算用!$Z$5="","",IF(計算用!$U$24,IF(計算用!$Z$5="A",INDEX(手直し!$B$6:$E$42,計算用!$AC$5,MOD(1-計算用!$AE$5+1,4)+1),INDEX(手直し!$G$6:$J$42,計算用!$AC$5,MOD(1-計算用!$AE$5+1,4)+1)),IF(計算用!$Z$5="A",INDEX(組分け!$B$5:$I$41,計算用!$AC$5,(MOD(1-計算用!$AE$5+1,4)+1)*2-1),INDEX(組分け!$L$5:$S$41,計算用!$AC$5,(MOD(1-計算用!$AE$5+1,4)+1)*2-1)))&amp;"")</f>
        <v/>
      </c>
      <c r="AL5">
        <f>IF(計算用!$Z$5="","",IF(計算用!$U$24,IF(計算用!$Z$5="A",INDEX(手直し!$B$6:$E$42,計算用!$AC$5,MOD(2-計算用!$AE$5+1,4)+1),INDEX(手直し!$G$6:$J$42,計算用!$AC$5,MOD(2-計算用!$AE$5+1,4)+1)),IF(計算用!$Z$5="A",INDEX(組分け!$B$5:$I$41,計算用!$AC$5,(MOD(2-計算用!$AE$5+1,4)+1)*2-1),INDEX(組分け!$L$5:$S$41,計算用!$AC$5,(MOD(2-計算用!$AE$5+1,4)+1)*2-1)))&amp;"")</f>
        <v/>
      </c>
      <c r="AM5">
        <f>IF(計算用!$Z$5="","",IF(計算用!$U$24,IF(計算用!$Z$5="A",INDEX(手直し!$B$6:$E$42,計算用!$AC$5,MOD(3-計算用!$AE$5+1,4)+1),INDEX(手直し!$G$6:$J$42,計算用!$AC$5,MOD(3-計算用!$AE$5+1,4)+1)),IF(計算用!$Z$5="A",INDEX(組分け!$B$5:$I$41,計算用!$AC$5,(MOD(3-計算用!$AE$5+1,4)+1)*2-1),INDEX(組分け!$L$5:$S$41,計算用!$AC$5,(MOD(3-計算用!$AE$5+1,4)+1)*2-1)))&amp;"")</f>
        <v/>
      </c>
      <c r="AN5">
        <f>IF(Z5="",0,(COUNTIF($AF5:$AI5,0)&gt;1)+(COUNTIF($AF5:$AI5,1)&gt;1)+(COUNTIF($AF5:$AI5,2)&gt;1)+(COUNTIF($AF5:$AI5,3)&gt;1)+COUNTIF($AF5:$AI5,-1))</f>
        <v/>
      </c>
      <c r="AP5">
        <f>IF(Z5="","",IFERROR(MOD(MATCH(0,$AF5:$AI5,0)-1-AE5+1,4),""))</f>
        <v/>
      </c>
      <c r="AQ5">
        <f>IF(Z5="","",IFERROR(MOD(MATCH(1,$AF5:$AI5,0)-1-AE5+1,4),""))</f>
        <v/>
      </c>
      <c r="AR5">
        <f>IF(Z5="","",IFERROR(MOD(MATCH(2,$AF5:$AI5,0)-1-AE5+1,4),""))</f>
        <v/>
      </c>
      <c r="AS5">
        <f>IF(Z5="","",IFERROR(MOD(MATCH(3,$AF5:$AI5,0)-1-AE5+1,4),""))</f>
        <v/>
      </c>
    </row>
    <row r="6">
      <c r="A6" t="n">
        <v>5</v>
      </c>
      <c r="B6">
        <f>INT((A6-1)/37)+1</f>
        <v/>
      </c>
      <c r="C6">
        <f>MOD(A6-1,37)+1</f>
        <v/>
      </c>
      <c r="D6">
        <f>TRIM(INDEX(データ入力!$B$5:$Q$41,C6,(B6-1)*4+1)&amp;"")</f>
        <v/>
      </c>
      <c r="E6">
        <f>INDEX(データ入力!$B$5:$Q$41,C6,(B6-1)*4+2)&amp;""</f>
        <v/>
      </c>
      <c r="F6">
        <f>IF(OR(E6="1",E6="１",E6="男"),"男",IF(OR(E6="2",E6="２",E6="女"),"女",""))</f>
        <v/>
      </c>
      <c r="G6">
        <f>INDEX(データ入力!$B$5:$Q$41,C6,(B6-1)*4+3)</f>
        <v/>
      </c>
      <c r="H6">
        <f>IF(D6="","",IF($U$2,"混",F6))</f>
        <v/>
      </c>
      <c r="I6">
        <f>IF(AND(H6&lt;&gt;"",ISNUMBER(G6)),H6,"")</f>
        <v/>
      </c>
      <c r="J6">
        <f>IF(I6="","",COUNTIFS($I$2:$I$149,I6,$B$2:$B$149,B6,$G$2:$G$149,"&lt;"&amp;G6)+COUNTIFS($I$2:$I$149,I6,$B$2:$B$149,B6,$G$2:$G$149,G6,$A$2:$A$149,"&lt;"&amp;A6)+1)</f>
        <v/>
      </c>
      <c r="K6">
        <f>IF(I6="","",I6&amp;B6&amp;"-"&amp;J6)</f>
        <v/>
      </c>
      <c r="L6">
        <f>IF(I6="","",I6&amp;B6&amp;"|"&amp;D6)</f>
        <v/>
      </c>
      <c r="M6">
        <f>IF(I6="","",IF(I6="女",COUNTIF(手直し!$G$6:$J$42,D6),COUNTIF(手直し!$B$6:$E$42,D6)))</f>
        <v/>
      </c>
      <c r="N6">
        <f>IF(I6="","",IF(I6="女",COUNTIF(INDEX(手直し!$G$6:$J$42,0,B6),D6),COUNTIF(INDEX(手直し!$B$6:$E$42,0,B6),D6)))</f>
        <v/>
      </c>
      <c r="O6">
        <f>IF(AND(I6&lt;&gt;"",M6=0),1,0)</f>
        <v/>
      </c>
      <c r="P6">
        <f>IF(AND(O6=1,I6&lt;&gt;"女"),COUNTIFS($O$2:O6,1,$I$2:I6,"&lt;&gt;女"),"")</f>
        <v/>
      </c>
      <c r="Q6">
        <f>IF(AND(O6=1,I6="女"),COUNTIFS($O$2:O6,1,$I$2:I6,"女"),"")</f>
        <v/>
      </c>
      <c r="R6">
        <f>IF(AND(I6&lt;&gt;"",M6&gt;=1,N6=0),1,0)</f>
        <v/>
      </c>
      <c r="S6">
        <f>IF(AND(D6&lt;&gt;"",I6=""),1,0)</f>
        <v/>
      </c>
      <c r="T6" t="inlineStr">
        <is>
          <t>最後に走る速い組の数</t>
        </is>
      </c>
      <c r="U6">
        <f>IF(U2,5,3)</f>
        <v/>
      </c>
      <c r="V6">
        <f>IF(J6="",0,J6)</f>
        <v/>
      </c>
      <c r="W6">
        <f>IF(I6="","",I6&amp;D6)</f>
        <v/>
      </c>
      <c r="Y6" t="n">
        <v>5</v>
      </c>
      <c r="Z6">
        <f>IF(Y6&gt;$U$22,"",IF(Y6&lt;=$U$23,IF($U$4,"B","A"),IF($U$4,"A","B")))</f>
        <v/>
      </c>
      <c r="AA6">
        <f>IF(Z6="","",IF(Y6&lt;=$U$23,Y6,Y6-$U$23))</f>
        <v/>
      </c>
      <c r="AB6">
        <f>IF(Z6="","",IF(Z6="A",$U$7,$U$8))</f>
        <v/>
      </c>
      <c r="AC6">
        <f>IF(Z6="","",IF(AB6&lt;=$U$6,AB6-AA6+1,IF(AA6&lt;=INT((AB6-$U$6+1)/2),$U$6-1+2*AA6,IF(AA6&lt;=INT((AB6-$U$6+1)/2)+INT((AB6-$U$6)/2),(AB6-1+MOD(AB6,2))-2*(AA6-INT((AB6-$U$6+1)/2)-1),$U$6-(AA6-INT((AB6-$U$6+1)/2)-INT((AB6-$U$6)/2)-1)))))</f>
        <v/>
      </c>
      <c r="AD6">
        <f>IF(Z6="","",IF($U$2,"",IF(Z6="B","女子","男子"))&amp;AA6&amp;"レース")</f>
        <v/>
      </c>
      <c r="AE6">
        <f>IF(Z6="","",IF($U$2,1,AA6))</f>
        <v/>
      </c>
      <c r="AF6">
        <f>IF(AJ6="",99,IF(最終修正!$C$7="",0,IF(AND(ISNUMBER(最終修正!$C$7),INT(最終修正!$C$7)=最終修正!$C$7,最終修正!$C$7-$U$5&gt;=0,最終修正!$C$7-$U$5&lt;=3),最終修正!$C$7-$U$5,-1)))</f>
        <v/>
      </c>
      <c r="AG6">
        <f>IF(AK6="",99,IF(最終修正!$E$7="",1,IF(AND(ISNUMBER(最終修正!$E$7),INT(最終修正!$E$7)=最終修正!$E$7,最終修正!$E$7-$U$5&gt;=0,最終修正!$E$7-$U$5&lt;=3),最終修正!$E$7-$U$5,-1)))</f>
        <v/>
      </c>
      <c r="AH6">
        <f>IF(AL6="",99,IF(最終修正!$G$7="",2,IF(AND(ISNUMBER(最終修正!$G$7),INT(最終修正!$G$7)=最終修正!$G$7,最終修正!$G$7-$U$5&gt;=0,最終修正!$G$7-$U$5&lt;=3),最終修正!$G$7-$U$5,-1)))</f>
        <v/>
      </c>
      <c r="AI6">
        <f>IF(AM6="",99,IF(最終修正!$I$7="",3,IF(AND(ISNUMBER(最終修正!$I$7),INT(最終修正!$I$7)=最終修正!$I$7,最終修正!$I$7-$U$5&gt;=0,最終修正!$I$7-$U$5&lt;=3),最終修正!$I$7-$U$5,-1)))</f>
        <v/>
      </c>
      <c r="AJ6">
        <f>IF(計算用!$Z$6="","",IF(計算用!$U$24,IF(計算用!$Z$6="A",INDEX(手直し!$B$6:$E$42,計算用!$AC$6,MOD(0-計算用!$AE$6+1,4)+1),INDEX(手直し!$G$6:$J$42,計算用!$AC$6,MOD(0-計算用!$AE$6+1,4)+1)),IF(計算用!$Z$6="A",INDEX(組分け!$B$5:$I$41,計算用!$AC$6,(MOD(0-計算用!$AE$6+1,4)+1)*2-1),INDEX(組分け!$L$5:$S$41,計算用!$AC$6,(MOD(0-計算用!$AE$6+1,4)+1)*2-1)))&amp;"")</f>
        <v/>
      </c>
      <c r="AK6">
        <f>IF(計算用!$Z$6="","",IF(計算用!$U$24,IF(計算用!$Z$6="A",INDEX(手直し!$B$6:$E$42,計算用!$AC$6,MOD(1-計算用!$AE$6+1,4)+1),INDEX(手直し!$G$6:$J$42,計算用!$AC$6,MOD(1-計算用!$AE$6+1,4)+1)),IF(計算用!$Z$6="A",INDEX(組分け!$B$5:$I$41,計算用!$AC$6,(MOD(1-計算用!$AE$6+1,4)+1)*2-1),INDEX(組分け!$L$5:$S$41,計算用!$AC$6,(MOD(1-計算用!$AE$6+1,4)+1)*2-1)))&amp;"")</f>
        <v/>
      </c>
      <c r="AL6">
        <f>IF(計算用!$Z$6="","",IF(計算用!$U$24,IF(計算用!$Z$6="A",INDEX(手直し!$B$6:$E$42,計算用!$AC$6,MOD(2-計算用!$AE$6+1,4)+1),INDEX(手直し!$G$6:$J$42,計算用!$AC$6,MOD(2-計算用!$AE$6+1,4)+1)),IF(計算用!$Z$6="A",INDEX(組分け!$B$5:$I$41,計算用!$AC$6,(MOD(2-計算用!$AE$6+1,4)+1)*2-1),INDEX(組分け!$L$5:$S$41,計算用!$AC$6,(MOD(2-計算用!$AE$6+1,4)+1)*2-1)))&amp;"")</f>
        <v/>
      </c>
      <c r="AM6">
        <f>IF(計算用!$Z$6="","",IF(計算用!$U$24,IF(計算用!$Z$6="A",INDEX(手直し!$B$6:$E$42,計算用!$AC$6,MOD(3-計算用!$AE$6+1,4)+1),INDEX(手直し!$G$6:$J$42,計算用!$AC$6,MOD(3-計算用!$AE$6+1,4)+1)),IF(計算用!$Z$6="A",INDEX(組分け!$B$5:$I$41,計算用!$AC$6,(MOD(3-計算用!$AE$6+1,4)+1)*2-1),INDEX(組分け!$L$5:$S$41,計算用!$AC$6,(MOD(3-計算用!$AE$6+1,4)+1)*2-1)))&amp;"")</f>
        <v/>
      </c>
      <c r="AN6">
        <f>IF(Z6="",0,(COUNTIF($AF6:$AI6,0)&gt;1)+(COUNTIF($AF6:$AI6,1)&gt;1)+(COUNTIF($AF6:$AI6,2)&gt;1)+(COUNTIF($AF6:$AI6,3)&gt;1)+COUNTIF($AF6:$AI6,-1))</f>
        <v/>
      </c>
      <c r="AP6">
        <f>IF(Z6="","",IFERROR(MOD(MATCH(0,$AF6:$AI6,0)-1-AE6+1,4),""))</f>
        <v/>
      </c>
      <c r="AQ6">
        <f>IF(Z6="","",IFERROR(MOD(MATCH(1,$AF6:$AI6,0)-1-AE6+1,4),""))</f>
        <v/>
      </c>
      <c r="AR6">
        <f>IF(Z6="","",IFERROR(MOD(MATCH(2,$AF6:$AI6,0)-1-AE6+1,4),""))</f>
        <v/>
      </c>
      <c r="AS6">
        <f>IF(Z6="","",IFERROR(MOD(MATCH(3,$AF6:$AI6,0)-1-AE6+1,4),""))</f>
        <v/>
      </c>
    </row>
    <row r="7">
      <c r="A7" t="n">
        <v>6</v>
      </c>
      <c r="B7">
        <f>INT((A7-1)/37)+1</f>
        <v/>
      </c>
      <c r="C7">
        <f>MOD(A7-1,37)+1</f>
        <v/>
      </c>
      <c r="D7">
        <f>TRIM(INDEX(データ入力!$B$5:$Q$41,C7,(B7-1)*4+1)&amp;"")</f>
        <v/>
      </c>
      <c r="E7">
        <f>INDEX(データ入力!$B$5:$Q$41,C7,(B7-1)*4+2)&amp;""</f>
        <v/>
      </c>
      <c r="F7">
        <f>IF(OR(E7="1",E7="１",E7="男"),"男",IF(OR(E7="2",E7="２",E7="女"),"女",""))</f>
        <v/>
      </c>
      <c r="G7">
        <f>INDEX(データ入力!$B$5:$Q$41,C7,(B7-1)*4+3)</f>
        <v/>
      </c>
      <c r="H7">
        <f>IF(D7="","",IF($U$2,"混",F7))</f>
        <v/>
      </c>
      <c r="I7">
        <f>IF(AND(H7&lt;&gt;"",ISNUMBER(G7)),H7,"")</f>
        <v/>
      </c>
      <c r="J7">
        <f>IF(I7="","",COUNTIFS($I$2:$I$149,I7,$B$2:$B$149,B7,$G$2:$G$149,"&lt;"&amp;G7)+COUNTIFS($I$2:$I$149,I7,$B$2:$B$149,B7,$G$2:$G$149,G7,$A$2:$A$149,"&lt;"&amp;A7)+1)</f>
        <v/>
      </c>
      <c r="K7">
        <f>IF(I7="","",I7&amp;B7&amp;"-"&amp;J7)</f>
        <v/>
      </c>
      <c r="L7">
        <f>IF(I7="","",I7&amp;B7&amp;"|"&amp;D7)</f>
        <v/>
      </c>
      <c r="M7">
        <f>IF(I7="","",IF(I7="女",COUNTIF(手直し!$G$6:$J$42,D7),COUNTIF(手直し!$B$6:$E$42,D7)))</f>
        <v/>
      </c>
      <c r="N7">
        <f>IF(I7="","",IF(I7="女",COUNTIF(INDEX(手直し!$G$6:$J$42,0,B7),D7),COUNTIF(INDEX(手直し!$B$6:$E$42,0,B7),D7)))</f>
        <v/>
      </c>
      <c r="O7">
        <f>IF(AND(I7&lt;&gt;"",M7=0),1,0)</f>
        <v/>
      </c>
      <c r="P7">
        <f>IF(AND(O7=1,I7&lt;&gt;"女"),COUNTIFS($O$2:O7,1,$I$2:I7,"&lt;&gt;女"),"")</f>
        <v/>
      </c>
      <c r="Q7">
        <f>IF(AND(O7=1,I7="女"),COUNTIFS($O$2:O7,1,$I$2:I7,"女"),"")</f>
        <v/>
      </c>
      <c r="R7">
        <f>IF(AND(I7&lt;&gt;"",M7&gt;=1,N7=0),1,0)</f>
        <v/>
      </c>
      <c r="S7">
        <f>IF(AND(D7&lt;&gt;"",I7=""),1,0)</f>
        <v/>
      </c>
      <c r="T7" t="inlineStr">
        <is>
          <t>Aの組数(使う組)</t>
        </is>
      </c>
      <c r="U7">
        <f>IF(U24,SUMPRODUCT(MAX((手直し!$B$6:$E$42&lt;&gt;"")*(ROW(手直し!$B$6:$E$42)-5))),U9)</f>
        <v/>
      </c>
      <c r="V7">
        <f>IF(J7="",0,J7)</f>
        <v/>
      </c>
      <c r="W7">
        <f>IF(I7="","",I7&amp;D7)</f>
        <v/>
      </c>
      <c r="Y7" t="n">
        <v>6</v>
      </c>
      <c r="Z7">
        <f>IF(Y7&gt;$U$22,"",IF(Y7&lt;=$U$23,IF($U$4,"B","A"),IF($U$4,"A","B")))</f>
        <v/>
      </c>
      <c r="AA7">
        <f>IF(Z7="","",IF(Y7&lt;=$U$23,Y7,Y7-$U$23))</f>
        <v/>
      </c>
      <c r="AB7">
        <f>IF(Z7="","",IF(Z7="A",$U$7,$U$8))</f>
        <v/>
      </c>
      <c r="AC7">
        <f>IF(Z7="","",IF(AB7&lt;=$U$6,AB7-AA7+1,IF(AA7&lt;=INT((AB7-$U$6+1)/2),$U$6-1+2*AA7,IF(AA7&lt;=INT((AB7-$U$6+1)/2)+INT((AB7-$U$6)/2),(AB7-1+MOD(AB7,2))-2*(AA7-INT((AB7-$U$6+1)/2)-1),$U$6-(AA7-INT((AB7-$U$6+1)/2)-INT((AB7-$U$6)/2)-1)))))</f>
        <v/>
      </c>
      <c r="AD7">
        <f>IF(Z7="","",IF($U$2,"",IF(Z7="B","女子","男子"))&amp;AA7&amp;"レース")</f>
        <v/>
      </c>
      <c r="AE7">
        <f>IF(Z7="","",IF($U$2,1,AA7))</f>
        <v/>
      </c>
      <c r="AF7">
        <f>IF(AJ7="",99,IF(最終修正!$C$8="",0,IF(AND(ISNUMBER(最終修正!$C$8),INT(最終修正!$C$8)=最終修正!$C$8,最終修正!$C$8-$U$5&gt;=0,最終修正!$C$8-$U$5&lt;=3),最終修正!$C$8-$U$5,-1)))</f>
        <v/>
      </c>
      <c r="AG7">
        <f>IF(AK7="",99,IF(最終修正!$E$8="",1,IF(AND(ISNUMBER(最終修正!$E$8),INT(最終修正!$E$8)=最終修正!$E$8,最終修正!$E$8-$U$5&gt;=0,最終修正!$E$8-$U$5&lt;=3),最終修正!$E$8-$U$5,-1)))</f>
        <v/>
      </c>
      <c r="AH7">
        <f>IF(AL7="",99,IF(最終修正!$G$8="",2,IF(AND(ISNUMBER(最終修正!$G$8),INT(最終修正!$G$8)=最終修正!$G$8,最終修正!$G$8-$U$5&gt;=0,最終修正!$G$8-$U$5&lt;=3),最終修正!$G$8-$U$5,-1)))</f>
        <v/>
      </c>
      <c r="AI7">
        <f>IF(AM7="",99,IF(最終修正!$I$8="",3,IF(AND(ISNUMBER(最終修正!$I$8),INT(最終修正!$I$8)=最終修正!$I$8,最終修正!$I$8-$U$5&gt;=0,最終修正!$I$8-$U$5&lt;=3),最終修正!$I$8-$U$5,-1)))</f>
        <v/>
      </c>
      <c r="AJ7">
        <f>IF(計算用!$Z$7="","",IF(計算用!$U$24,IF(計算用!$Z$7="A",INDEX(手直し!$B$6:$E$42,計算用!$AC$7,MOD(0-計算用!$AE$7+1,4)+1),INDEX(手直し!$G$6:$J$42,計算用!$AC$7,MOD(0-計算用!$AE$7+1,4)+1)),IF(計算用!$Z$7="A",INDEX(組分け!$B$5:$I$41,計算用!$AC$7,(MOD(0-計算用!$AE$7+1,4)+1)*2-1),INDEX(組分け!$L$5:$S$41,計算用!$AC$7,(MOD(0-計算用!$AE$7+1,4)+1)*2-1)))&amp;"")</f>
        <v/>
      </c>
      <c r="AK7">
        <f>IF(計算用!$Z$7="","",IF(計算用!$U$24,IF(計算用!$Z$7="A",INDEX(手直し!$B$6:$E$42,計算用!$AC$7,MOD(1-計算用!$AE$7+1,4)+1),INDEX(手直し!$G$6:$J$42,計算用!$AC$7,MOD(1-計算用!$AE$7+1,4)+1)),IF(計算用!$Z$7="A",INDEX(組分け!$B$5:$I$41,計算用!$AC$7,(MOD(1-計算用!$AE$7+1,4)+1)*2-1),INDEX(組分け!$L$5:$S$41,計算用!$AC$7,(MOD(1-計算用!$AE$7+1,4)+1)*2-1)))&amp;"")</f>
        <v/>
      </c>
      <c r="AL7">
        <f>IF(計算用!$Z$7="","",IF(計算用!$U$24,IF(計算用!$Z$7="A",INDEX(手直し!$B$6:$E$42,計算用!$AC$7,MOD(2-計算用!$AE$7+1,4)+1),INDEX(手直し!$G$6:$J$42,計算用!$AC$7,MOD(2-計算用!$AE$7+1,4)+1)),IF(計算用!$Z$7="A",INDEX(組分け!$B$5:$I$41,計算用!$AC$7,(MOD(2-計算用!$AE$7+1,4)+1)*2-1),INDEX(組分け!$L$5:$S$41,計算用!$AC$7,(MOD(2-計算用!$AE$7+1,4)+1)*2-1)))&amp;"")</f>
        <v/>
      </c>
      <c r="AM7">
        <f>IF(計算用!$Z$7="","",IF(計算用!$U$24,IF(計算用!$Z$7="A",INDEX(手直し!$B$6:$E$42,計算用!$AC$7,MOD(3-計算用!$AE$7+1,4)+1),INDEX(手直し!$G$6:$J$42,計算用!$AC$7,MOD(3-計算用!$AE$7+1,4)+1)),IF(計算用!$Z$7="A",INDEX(組分け!$B$5:$I$41,計算用!$AC$7,(MOD(3-計算用!$AE$7+1,4)+1)*2-1),INDEX(組分け!$L$5:$S$41,計算用!$AC$7,(MOD(3-計算用!$AE$7+1,4)+1)*2-1)))&amp;"")</f>
        <v/>
      </c>
      <c r="AN7">
        <f>IF(Z7="",0,(COUNTIF($AF7:$AI7,0)&gt;1)+(COUNTIF($AF7:$AI7,1)&gt;1)+(COUNTIF($AF7:$AI7,2)&gt;1)+(COUNTIF($AF7:$AI7,3)&gt;1)+COUNTIF($AF7:$AI7,-1))</f>
        <v/>
      </c>
      <c r="AP7">
        <f>IF(Z7="","",IFERROR(MOD(MATCH(0,$AF7:$AI7,0)-1-AE7+1,4),""))</f>
        <v/>
      </c>
      <c r="AQ7">
        <f>IF(Z7="","",IFERROR(MOD(MATCH(1,$AF7:$AI7,0)-1-AE7+1,4),""))</f>
        <v/>
      </c>
      <c r="AR7">
        <f>IF(Z7="","",IFERROR(MOD(MATCH(2,$AF7:$AI7,0)-1-AE7+1,4),""))</f>
        <v/>
      </c>
      <c r="AS7">
        <f>IF(Z7="","",IFERROR(MOD(MATCH(3,$AF7:$AI7,0)-1-AE7+1,4),""))</f>
        <v/>
      </c>
    </row>
    <row r="8">
      <c r="A8" t="n">
        <v>7</v>
      </c>
      <c r="B8">
        <f>INT((A8-1)/37)+1</f>
        <v/>
      </c>
      <c r="C8">
        <f>MOD(A8-1,37)+1</f>
        <v/>
      </c>
      <c r="D8">
        <f>TRIM(INDEX(データ入力!$B$5:$Q$41,C8,(B8-1)*4+1)&amp;"")</f>
        <v/>
      </c>
      <c r="E8">
        <f>INDEX(データ入力!$B$5:$Q$41,C8,(B8-1)*4+2)&amp;""</f>
        <v/>
      </c>
      <c r="F8">
        <f>IF(OR(E8="1",E8="１",E8="男"),"男",IF(OR(E8="2",E8="２",E8="女"),"女",""))</f>
        <v/>
      </c>
      <c r="G8">
        <f>INDEX(データ入力!$B$5:$Q$41,C8,(B8-1)*4+3)</f>
        <v/>
      </c>
      <c r="H8">
        <f>IF(D8="","",IF($U$2,"混",F8))</f>
        <v/>
      </c>
      <c r="I8">
        <f>IF(AND(H8&lt;&gt;"",ISNUMBER(G8)),H8,"")</f>
        <v/>
      </c>
      <c r="J8">
        <f>IF(I8="","",COUNTIFS($I$2:$I$149,I8,$B$2:$B$149,B8,$G$2:$G$149,"&lt;"&amp;G8)+COUNTIFS($I$2:$I$149,I8,$B$2:$B$149,B8,$G$2:$G$149,G8,$A$2:$A$149,"&lt;"&amp;A8)+1)</f>
        <v/>
      </c>
      <c r="K8">
        <f>IF(I8="","",I8&amp;B8&amp;"-"&amp;J8)</f>
        <v/>
      </c>
      <c r="L8">
        <f>IF(I8="","",I8&amp;B8&amp;"|"&amp;D8)</f>
        <v/>
      </c>
      <c r="M8">
        <f>IF(I8="","",IF(I8="女",COUNTIF(手直し!$G$6:$J$42,D8),COUNTIF(手直し!$B$6:$E$42,D8)))</f>
        <v/>
      </c>
      <c r="N8">
        <f>IF(I8="","",IF(I8="女",COUNTIF(INDEX(手直し!$G$6:$J$42,0,B8),D8),COUNTIF(INDEX(手直し!$B$6:$E$42,0,B8),D8)))</f>
        <v/>
      </c>
      <c r="O8">
        <f>IF(AND(I8&lt;&gt;"",M8=0),1,0)</f>
        <v/>
      </c>
      <c r="P8">
        <f>IF(AND(O8=1,I8&lt;&gt;"女"),COUNTIFS($O$2:O8,1,$I$2:I8,"&lt;&gt;女"),"")</f>
        <v/>
      </c>
      <c r="Q8">
        <f>IF(AND(O8=1,I8="女"),COUNTIFS($O$2:O8,1,$I$2:I8,"女"),"")</f>
        <v/>
      </c>
      <c r="R8">
        <f>IF(AND(I8&lt;&gt;"",M8&gt;=1,N8=0),1,0)</f>
        <v/>
      </c>
      <c r="S8">
        <f>IF(AND(D8&lt;&gt;"",I8=""),1,0)</f>
        <v/>
      </c>
      <c r="T8" t="inlineStr">
        <is>
          <t>Bの組数(使う組)</t>
        </is>
      </c>
      <c r="U8">
        <f>IF(U2,0,IF(U24,SUMPRODUCT(MAX((手直し!$G$6:$J$42&lt;&gt;"")*(ROW(手直し!$G$6:$J$42)-5))),U10))</f>
        <v/>
      </c>
      <c r="V8">
        <f>IF(J8="",0,J8)</f>
        <v/>
      </c>
      <c r="W8">
        <f>IF(I8="","",I8&amp;D8)</f>
        <v/>
      </c>
      <c r="Y8" t="n">
        <v>7</v>
      </c>
      <c r="Z8">
        <f>IF(Y8&gt;$U$22,"",IF(Y8&lt;=$U$23,IF($U$4,"B","A"),IF($U$4,"A","B")))</f>
        <v/>
      </c>
      <c r="AA8">
        <f>IF(Z8="","",IF(Y8&lt;=$U$23,Y8,Y8-$U$23))</f>
        <v/>
      </c>
      <c r="AB8">
        <f>IF(Z8="","",IF(Z8="A",$U$7,$U$8))</f>
        <v/>
      </c>
      <c r="AC8">
        <f>IF(Z8="","",IF(AB8&lt;=$U$6,AB8-AA8+1,IF(AA8&lt;=INT((AB8-$U$6+1)/2),$U$6-1+2*AA8,IF(AA8&lt;=INT((AB8-$U$6+1)/2)+INT((AB8-$U$6)/2),(AB8-1+MOD(AB8,2))-2*(AA8-INT((AB8-$U$6+1)/2)-1),$U$6-(AA8-INT((AB8-$U$6+1)/2)-INT((AB8-$U$6)/2)-1)))))</f>
        <v/>
      </c>
      <c r="AD8">
        <f>IF(Z8="","",IF($U$2,"",IF(Z8="B","女子","男子"))&amp;AA8&amp;"レース")</f>
        <v/>
      </c>
      <c r="AE8">
        <f>IF(Z8="","",IF($U$2,1,AA8))</f>
        <v/>
      </c>
      <c r="AF8">
        <f>IF(AJ8="",99,IF(最終修正!$C$9="",0,IF(AND(ISNUMBER(最終修正!$C$9),INT(最終修正!$C$9)=最終修正!$C$9,最終修正!$C$9-$U$5&gt;=0,最終修正!$C$9-$U$5&lt;=3),最終修正!$C$9-$U$5,-1)))</f>
        <v/>
      </c>
      <c r="AG8">
        <f>IF(AK8="",99,IF(最終修正!$E$9="",1,IF(AND(ISNUMBER(最終修正!$E$9),INT(最終修正!$E$9)=最終修正!$E$9,最終修正!$E$9-$U$5&gt;=0,最終修正!$E$9-$U$5&lt;=3),最終修正!$E$9-$U$5,-1)))</f>
        <v/>
      </c>
      <c r="AH8">
        <f>IF(AL8="",99,IF(最終修正!$G$9="",2,IF(AND(ISNUMBER(最終修正!$G$9),INT(最終修正!$G$9)=最終修正!$G$9,最終修正!$G$9-$U$5&gt;=0,最終修正!$G$9-$U$5&lt;=3),最終修正!$G$9-$U$5,-1)))</f>
        <v/>
      </c>
      <c r="AI8">
        <f>IF(AM8="",99,IF(最終修正!$I$9="",3,IF(AND(ISNUMBER(最終修正!$I$9),INT(最終修正!$I$9)=最終修正!$I$9,最終修正!$I$9-$U$5&gt;=0,最終修正!$I$9-$U$5&lt;=3),最終修正!$I$9-$U$5,-1)))</f>
        <v/>
      </c>
      <c r="AJ8">
        <f>IF(計算用!$Z$8="","",IF(計算用!$U$24,IF(計算用!$Z$8="A",INDEX(手直し!$B$6:$E$42,計算用!$AC$8,MOD(0-計算用!$AE$8+1,4)+1),INDEX(手直し!$G$6:$J$42,計算用!$AC$8,MOD(0-計算用!$AE$8+1,4)+1)),IF(計算用!$Z$8="A",INDEX(組分け!$B$5:$I$41,計算用!$AC$8,(MOD(0-計算用!$AE$8+1,4)+1)*2-1),INDEX(組分け!$L$5:$S$41,計算用!$AC$8,(MOD(0-計算用!$AE$8+1,4)+1)*2-1)))&amp;"")</f>
        <v/>
      </c>
      <c r="AK8">
        <f>IF(計算用!$Z$8="","",IF(計算用!$U$24,IF(計算用!$Z$8="A",INDEX(手直し!$B$6:$E$42,計算用!$AC$8,MOD(1-計算用!$AE$8+1,4)+1),INDEX(手直し!$G$6:$J$42,計算用!$AC$8,MOD(1-計算用!$AE$8+1,4)+1)),IF(計算用!$Z$8="A",INDEX(組分け!$B$5:$I$41,計算用!$AC$8,(MOD(1-計算用!$AE$8+1,4)+1)*2-1),INDEX(組分け!$L$5:$S$41,計算用!$AC$8,(MOD(1-計算用!$AE$8+1,4)+1)*2-1)))&amp;"")</f>
        <v/>
      </c>
      <c r="AL8">
        <f>IF(計算用!$Z$8="","",IF(計算用!$U$24,IF(計算用!$Z$8="A",INDEX(手直し!$B$6:$E$42,計算用!$AC$8,MOD(2-計算用!$AE$8+1,4)+1),INDEX(手直し!$G$6:$J$42,計算用!$AC$8,MOD(2-計算用!$AE$8+1,4)+1)),IF(計算用!$Z$8="A",INDEX(組分け!$B$5:$I$41,計算用!$AC$8,(MOD(2-計算用!$AE$8+1,4)+1)*2-1),INDEX(組分け!$L$5:$S$41,計算用!$AC$8,(MOD(2-計算用!$AE$8+1,4)+1)*2-1)))&amp;"")</f>
        <v/>
      </c>
      <c r="AM8">
        <f>IF(計算用!$Z$8="","",IF(計算用!$U$24,IF(計算用!$Z$8="A",INDEX(手直し!$B$6:$E$42,計算用!$AC$8,MOD(3-計算用!$AE$8+1,4)+1),INDEX(手直し!$G$6:$J$42,計算用!$AC$8,MOD(3-計算用!$AE$8+1,4)+1)),IF(計算用!$Z$8="A",INDEX(組分け!$B$5:$I$41,計算用!$AC$8,(MOD(3-計算用!$AE$8+1,4)+1)*2-1),INDEX(組分け!$L$5:$S$41,計算用!$AC$8,(MOD(3-計算用!$AE$8+1,4)+1)*2-1)))&amp;"")</f>
        <v/>
      </c>
      <c r="AN8">
        <f>IF(Z8="",0,(COUNTIF($AF8:$AI8,0)&gt;1)+(COUNTIF($AF8:$AI8,1)&gt;1)+(COUNTIF($AF8:$AI8,2)&gt;1)+(COUNTIF($AF8:$AI8,3)&gt;1)+COUNTIF($AF8:$AI8,-1))</f>
        <v/>
      </c>
      <c r="AP8">
        <f>IF(Z8="","",IFERROR(MOD(MATCH(0,$AF8:$AI8,0)-1-AE8+1,4),""))</f>
        <v/>
      </c>
      <c r="AQ8">
        <f>IF(Z8="","",IFERROR(MOD(MATCH(1,$AF8:$AI8,0)-1-AE8+1,4),""))</f>
        <v/>
      </c>
      <c r="AR8">
        <f>IF(Z8="","",IFERROR(MOD(MATCH(2,$AF8:$AI8,0)-1-AE8+1,4),""))</f>
        <v/>
      </c>
      <c r="AS8">
        <f>IF(Z8="","",IFERROR(MOD(MATCH(3,$AF8:$AI8,0)-1-AE8+1,4),""))</f>
        <v/>
      </c>
    </row>
    <row r="9">
      <c r="A9" t="n">
        <v>8</v>
      </c>
      <c r="B9">
        <f>INT((A9-1)/37)+1</f>
        <v/>
      </c>
      <c r="C9">
        <f>MOD(A9-1,37)+1</f>
        <v/>
      </c>
      <c r="D9">
        <f>TRIM(INDEX(データ入力!$B$5:$Q$41,C9,(B9-1)*4+1)&amp;"")</f>
        <v/>
      </c>
      <c r="E9">
        <f>INDEX(データ入力!$B$5:$Q$41,C9,(B9-1)*4+2)&amp;""</f>
        <v/>
      </c>
      <c r="F9">
        <f>IF(OR(E9="1",E9="１",E9="男"),"男",IF(OR(E9="2",E9="２",E9="女"),"女",""))</f>
        <v/>
      </c>
      <c r="G9">
        <f>INDEX(データ入力!$B$5:$Q$41,C9,(B9-1)*4+3)</f>
        <v/>
      </c>
      <c r="H9">
        <f>IF(D9="","",IF($U$2,"混",F9))</f>
        <v/>
      </c>
      <c r="I9">
        <f>IF(AND(H9&lt;&gt;"",ISNUMBER(G9)),H9,"")</f>
        <v/>
      </c>
      <c r="J9">
        <f>IF(I9="","",COUNTIFS($I$2:$I$149,I9,$B$2:$B$149,B9,$G$2:$G$149,"&lt;"&amp;G9)+COUNTIFS($I$2:$I$149,I9,$B$2:$B$149,B9,$G$2:$G$149,G9,$A$2:$A$149,"&lt;"&amp;A9)+1)</f>
        <v/>
      </c>
      <c r="K9">
        <f>IF(I9="","",I9&amp;B9&amp;"-"&amp;J9)</f>
        <v/>
      </c>
      <c r="L9">
        <f>IF(I9="","",I9&amp;B9&amp;"|"&amp;D9)</f>
        <v/>
      </c>
      <c r="M9">
        <f>IF(I9="","",IF(I9="女",COUNTIF(手直し!$G$6:$J$42,D9),COUNTIF(手直し!$B$6:$E$42,D9)))</f>
        <v/>
      </c>
      <c r="N9">
        <f>IF(I9="","",IF(I9="女",COUNTIF(INDEX(手直し!$G$6:$J$42,0,B9),D9),COUNTIF(INDEX(手直し!$B$6:$E$42,0,B9),D9)))</f>
        <v/>
      </c>
      <c r="O9">
        <f>IF(AND(I9&lt;&gt;"",M9=0),1,0)</f>
        <v/>
      </c>
      <c r="P9">
        <f>IF(AND(O9=1,I9&lt;&gt;"女"),COUNTIFS($O$2:O9,1,$I$2:I9,"&lt;&gt;女"),"")</f>
        <v/>
      </c>
      <c r="Q9">
        <f>IF(AND(O9=1,I9="女"),COUNTIFS($O$2:O9,1,$I$2:I9,"女"),"")</f>
        <v/>
      </c>
      <c r="R9">
        <f>IF(AND(I9&lt;&gt;"",M9&gt;=1,N9=0),1,0)</f>
        <v/>
      </c>
      <c r="S9">
        <f>IF(AND(D9&lt;&gt;"",I9=""),1,0)</f>
        <v/>
      </c>
      <c r="T9" t="inlineStr">
        <is>
          <t>Aの組数(自動)</t>
        </is>
      </c>
      <c r="U9">
        <f>SUMPRODUCT(MAX(($I$2:$I$149=$U$3)*$V$2:$V$149))</f>
        <v/>
      </c>
      <c r="V9">
        <f>IF(J9="",0,J9)</f>
        <v/>
      </c>
      <c r="W9">
        <f>IF(I9="","",I9&amp;D9)</f>
        <v/>
      </c>
      <c r="Y9" t="n">
        <v>8</v>
      </c>
      <c r="Z9">
        <f>IF(Y9&gt;$U$22,"",IF(Y9&lt;=$U$23,IF($U$4,"B","A"),IF($U$4,"A","B")))</f>
        <v/>
      </c>
      <c r="AA9">
        <f>IF(Z9="","",IF(Y9&lt;=$U$23,Y9,Y9-$U$23))</f>
        <v/>
      </c>
      <c r="AB9">
        <f>IF(Z9="","",IF(Z9="A",$U$7,$U$8))</f>
        <v/>
      </c>
      <c r="AC9">
        <f>IF(Z9="","",IF(AB9&lt;=$U$6,AB9-AA9+1,IF(AA9&lt;=INT((AB9-$U$6+1)/2),$U$6-1+2*AA9,IF(AA9&lt;=INT((AB9-$U$6+1)/2)+INT((AB9-$U$6)/2),(AB9-1+MOD(AB9,2))-2*(AA9-INT((AB9-$U$6+1)/2)-1),$U$6-(AA9-INT((AB9-$U$6+1)/2)-INT((AB9-$U$6)/2)-1)))))</f>
        <v/>
      </c>
      <c r="AD9">
        <f>IF(Z9="","",IF($U$2,"",IF(Z9="B","女子","男子"))&amp;AA9&amp;"レース")</f>
        <v/>
      </c>
      <c r="AE9">
        <f>IF(Z9="","",IF($U$2,1,AA9))</f>
        <v/>
      </c>
      <c r="AF9">
        <f>IF(AJ9="",99,IF(最終修正!$C$10="",0,IF(AND(ISNUMBER(最終修正!$C$10),INT(最終修正!$C$10)=最終修正!$C$10,最終修正!$C$10-$U$5&gt;=0,最終修正!$C$10-$U$5&lt;=3),最終修正!$C$10-$U$5,-1)))</f>
        <v/>
      </c>
      <c r="AG9">
        <f>IF(AK9="",99,IF(最終修正!$E$10="",1,IF(AND(ISNUMBER(最終修正!$E$10),INT(最終修正!$E$10)=最終修正!$E$10,最終修正!$E$10-$U$5&gt;=0,最終修正!$E$10-$U$5&lt;=3),最終修正!$E$10-$U$5,-1)))</f>
        <v/>
      </c>
      <c r="AH9">
        <f>IF(AL9="",99,IF(最終修正!$G$10="",2,IF(AND(ISNUMBER(最終修正!$G$10),INT(最終修正!$G$10)=最終修正!$G$10,最終修正!$G$10-$U$5&gt;=0,最終修正!$G$10-$U$5&lt;=3),最終修正!$G$10-$U$5,-1)))</f>
        <v/>
      </c>
      <c r="AI9">
        <f>IF(AM9="",99,IF(最終修正!$I$10="",3,IF(AND(ISNUMBER(最終修正!$I$10),INT(最終修正!$I$10)=最終修正!$I$10,最終修正!$I$10-$U$5&gt;=0,最終修正!$I$10-$U$5&lt;=3),最終修正!$I$10-$U$5,-1)))</f>
        <v/>
      </c>
      <c r="AJ9">
        <f>IF(計算用!$Z$9="","",IF(計算用!$U$24,IF(計算用!$Z$9="A",INDEX(手直し!$B$6:$E$42,計算用!$AC$9,MOD(0-計算用!$AE$9+1,4)+1),INDEX(手直し!$G$6:$J$42,計算用!$AC$9,MOD(0-計算用!$AE$9+1,4)+1)),IF(計算用!$Z$9="A",INDEX(組分け!$B$5:$I$41,計算用!$AC$9,(MOD(0-計算用!$AE$9+1,4)+1)*2-1),INDEX(組分け!$L$5:$S$41,計算用!$AC$9,(MOD(0-計算用!$AE$9+1,4)+1)*2-1)))&amp;"")</f>
        <v/>
      </c>
      <c r="AK9">
        <f>IF(計算用!$Z$9="","",IF(計算用!$U$24,IF(計算用!$Z$9="A",INDEX(手直し!$B$6:$E$42,計算用!$AC$9,MOD(1-計算用!$AE$9+1,4)+1),INDEX(手直し!$G$6:$J$42,計算用!$AC$9,MOD(1-計算用!$AE$9+1,4)+1)),IF(計算用!$Z$9="A",INDEX(組分け!$B$5:$I$41,計算用!$AC$9,(MOD(1-計算用!$AE$9+1,4)+1)*2-1),INDEX(組分け!$L$5:$S$41,計算用!$AC$9,(MOD(1-計算用!$AE$9+1,4)+1)*2-1)))&amp;"")</f>
        <v/>
      </c>
      <c r="AL9">
        <f>IF(計算用!$Z$9="","",IF(計算用!$U$24,IF(計算用!$Z$9="A",INDEX(手直し!$B$6:$E$42,計算用!$AC$9,MOD(2-計算用!$AE$9+1,4)+1),INDEX(手直し!$G$6:$J$42,計算用!$AC$9,MOD(2-計算用!$AE$9+1,4)+1)),IF(計算用!$Z$9="A",INDEX(組分け!$B$5:$I$41,計算用!$AC$9,(MOD(2-計算用!$AE$9+1,4)+1)*2-1),INDEX(組分け!$L$5:$S$41,計算用!$AC$9,(MOD(2-計算用!$AE$9+1,4)+1)*2-1)))&amp;"")</f>
        <v/>
      </c>
      <c r="AM9">
        <f>IF(計算用!$Z$9="","",IF(計算用!$U$24,IF(計算用!$Z$9="A",INDEX(手直し!$B$6:$E$42,計算用!$AC$9,MOD(3-計算用!$AE$9+1,4)+1),INDEX(手直し!$G$6:$J$42,計算用!$AC$9,MOD(3-計算用!$AE$9+1,4)+1)),IF(計算用!$Z$9="A",INDEX(組分け!$B$5:$I$41,計算用!$AC$9,(MOD(3-計算用!$AE$9+1,4)+1)*2-1),INDEX(組分け!$L$5:$S$41,計算用!$AC$9,(MOD(3-計算用!$AE$9+1,4)+1)*2-1)))&amp;"")</f>
        <v/>
      </c>
      <c r="AN9">
        <f>IF(Z9="",0,(COUNTIF($AF9:$AI9,0)&gt;1)+(COUNTIF($AF9:$AI9,1)&gt;1)+(COUNTIF($AF9:$AI9,2)&gt;1)+(COUNTIF($AF9:$AI9,3)&gt;1)+COUNTIF($AF9:$AI9,-1))</f>
        <v/>
      </c>
      <c r="AP9">
        <f>IF(Z9="","",IFERROR(MOD(MATCH(0,$AF9:$AI9,0)-1-AE9+1,4),""))</f>
        <v/>
      </c>
      <c r="AQ9">
        <f>IF(Z9="","",IFERROR(MOD(MATCH(1,$AF9:$AI9,0)-1-AE9+1,4),""))</f>
        <v/>
      </c>
      <c r="AR9">
        <f>IF(Z9="","",IFERROR(MOD(MATCH(2,$AF9:$AI9,0)-1-AE9+1,4),""))</f>
        <v/>
      </c>
      <c r="AS9">
        <f>IF(Z9="","",IFERROR(MOD(MATCH(3,$AF9:$AI9,0)-1-AE9+1,4),""))</f>
        <v/>
      </c>
    </row>
    <row r="10">
      <c r="A10" t="n">
        <v>9</v>
      </c>
      <c r="B10">
        <f>INT((A10-1)/37)+1</f>
        <v/>
      </c>
      <c r="C10">
        <f>MOD(A10-1,37)+1</f>
        <v/>
      </c>
      <c r="D10">
        <f>TRIM(INDEX(データ入力!$B$5:$Q$41,C10,(B10-1)*4+1)&amp;"")</f>
        <v/>
      </c>
      <c r="E10">
        <f>INDEX(データ入力!$B$5:$Q$41,C10,(B10-1)*4+2)&amp;""</f>
        <v/>
      </c>
      <c r="F10">
        <f>IF(OR(E10="1",E10="１",E10="男"),"男",IF(OR(E10="2",E10="２",E10="女"),"女",""))</f>
        <v/>
      </c>
      <c r="G10">
        <f>INDEX(データ入力!$B$5:$Q$41,C10,(B10-1)*4+3)</f>
        <v/>
      </c>
      <c r="H10">
        <f>IF(D10="","",IF($U$2,"混",F10))</f>
        <v/>
      </c>
      <c r="I10">
        <f>IF(AND(H10&lt;&gt;"",ISNUMBER(G10)),H10,"")</f>
        <v/>
      </c>
      <c r="J10">
        <f>IF(I10="","",COUNTIFS($I$2:$I$149,I10,$B$2:$B$149,B10,$G$2:$G$149,"&lt;"&amp;G10)+COUNTIFS($I$2:$I$149,I10,$B$2:$B$149,B10,$G$2:$G$149,G10,$A$2:$A$149,"&lt;"&amp;A10)+1)</f>
        <v/>
      </c>
      <c r="K10">
        <f>IF(I10="","",I10&amp;B10&amp;"-"&amp;J10)</f>
        <v/>
      </c>
      <c r="L10">
        <f>IF(I10="","",I10&amp;B10&amp;"|"&amp;D10)</f>
        <v/>
      </c>
      <c r="M10">
        <f>IF(I10="","",IF(I10="女",COUNTIF(手直し!$G$6:$J$42,D10),COUNTIF(手直し!$B$6:$E$42,D10)))</f>
        <v/>
      </c>
      <c r="N10">
        <f>IF(I10="","",IF(I10="女",COUNTIF(INDEX(手直し!$G$6:$J$42,0,B10),D10),COUNTIF(INDEX(手直し!$B$6:$E$42,0,B10),D10)))</f>
        <v/>
      </c>
      <c r="O10">
        <f>IF(AND(I10&lt;&gt;"",M10=0),1,0)</f>
        <v/>
      </c>
      <c r="P10">
        <f>IF(AND(O10=1,I10&lt;&gt;"女"),COUNTIFS($O$2:O10,1,$I$2:I10,"&lt;&gt;女"),"")</f>
        <v/>
      </c>
      <c r="Q10">
        <f>IF(AND(O10=1,I10="女"),COUNTIFS($O$2:O10,1,$I$2:I10,"女"),"")</f>
        <v/>
      </c>
      <c r="R10">
        <f>IF(AND(I10&lt;&gt;"",M10&gt;=1,N10=0),1,0)</f>
        <v/>
      </c>
      <c r="S10">
        <f>IF(AND(D10&lt;&gt;"",I10=""),1,0)</f>
        <v/>
      </c>
      <c r="T10" t="inlineStr">
        <is>
          <t>Bの組数(自動)</t>
        </is>
      </c>
      <c r="U10">
        <f>SUMPRODUCT(MAX(($I$2:$I$149="女")*$V$2:$V$149))</f>
        <v/>
      </c>
      <c r="V10">
        <f>IF(J10="",0,J10)</f>
        <v/>
      </c>
      <c r="W10">
        <f>IF(I10="","",I10&amp;D10)</f>
        <v/>
      </c>
      <c r="Y10" t="n">
        <v>9</v>
      </c>
      <c r="Z10">
        <f>IF(Y10&gt;$U$22,"",IF(Y10&lt;=$U$23,IF($U$4,"B","A"),IF($U$4,"A","B")))</f>
        <v/>
      </c>
      <c r="AA10">
        <f>IF(Z10="","",IF(Y10&lt;=$U$23,Y10,Y10-$U$23))</f>
        <v/>
      </c>
      <c r="AB10">
        <f>IF(Z10="","",IF(Z10="A",$U$7,$U$8))</f>
        <v/>
      </c>
      <c r="AC10">
        <f>IF(Z10="","",IF(AB10&lt;=$U$6,AB10-AA10+1,IF(AA10&lt;=INT((AB10-$U$6+1)/2),$U$6-1+2*AA10,IF(AA10&lt;=INT((AB10-$U$6+1)/2)+INT((AB10-$U$6)/2),(AB10-1+MOD(AB10,2))-2*(AA10-INT((AB10-$U$6+1)/2)-1),$U$6-(AA10-INT((AB10-$U$6+1)/2)-INT((AB10-$U$6)/2)-1)))))</f>
        <v/>
      </c>
      <c r="AD10">
        <f>IF(Z10="","",IF($U$2,"",IF(Z10="B","女子","男子"))&amp;AA10&amp;"レース")</f>
        <v/>
      </c>
      <c r="AE10">
        <f>IF(Z10="","",IF($U$2,1,AA10))</f>
        <v/>
      </c>
      <c r="AF10">
        <f>IF(AJ10="",99,IF(最終修正!$C$11="",0,IF(AND(ISNUMBER(最終修正!$C$11),INT(最終修正!$C$11)=最終修正!$C$11,最終修正!$C$11-$U$5&gt;=0,最終修正!$C$11-$U$5&lt;=3),最終修正!$C$11-$U$5,-1)))</f>
        <v/>
      </c>
      <c r="AG10">
        <f>IF(AK10="",99,IF(最終修正!$E$11="",1,IF(AND(ISNUMBER(最終修正!$E$11),INT(最終修正!$E$11)=最終修正!$E$11,最終修正!$E$11-$U$5&gt;=0,最終修正!$E$11-$U$5&lt;=3),最終修正!$E$11-$U$5,-1)))</f>
        <v/>
      </c>
      <c r="AH10">
        <f>IF(AL10="",99,IF(最終修正!$G$11="",2,IF(AND(ISNUMBER(最終修正!$G$11),INT(最終修正!$G$11)=最終修正!$G$11,最終修正!$G$11-$U$5&gt;=0,最終修正!$G$11-$U$5&lt;=3),最終修正!$G$11-$U$5,-1)))</f>
        <v/>
      </c>
      <c r="AI10">
        <f>IF(AM10="",99,IF(最終修正!$I$11="",3,IF(AND(ISNUMBER(最終修正!$I$11),INT(最終修正!$I$11)=最終修正!$I$11,最終修正!$I$11-$U$5&gt;=0,最終修正!$I$11-$U$5&lt;=3),最終修正!$I$11-$U$5,-1)))</f>
        <v/>
      </c>
      <c r="AJ10">
        <f>IF(計算用!$Z$10="","",IF(計算用!$U$24,IF(計算用!$Z$10="A",INDEX(手直し!$B$6:$E$42,計算用!$AC$10,MOD(0-計算用!$AE$10+1,4)+1),INDEX(手直し!$G$6:$J$42,計算用!$AC$10,MOD(0-計算用!$AE$10+1,4)+1)),IF(計算用!$Z$10="A",INDEX(組分け!$B$5:$I$41,計算用!$AC$10,(MOD(0-計算用!$AE$10+1,4)+1)*2-1),INDEX(組分け!$L$5:$S$41,計算用!$AC$10,(MOD(0-計算用!$AE$10+1,4)+1)*2-1)))&amp;"")</f>
        <v/>
      </c>
      <c r="AK10">
        <f>IF(計算用!$Z$10="","",IF(計算用!$U$24,IF(計算用!$Z$10="A",INDEX(手直し!$B$6:$E$42,計算用!$AC$10,MOD(1-計算用!$AE$10+1,4)+1),INDEX(手直し!$G$6:$J$42,計算用!$AC$10,MOD(1-計算用!$AE$10+1,4)+1)),IF(計算用!$Z$10="A",INDEX(組分け!$B$5:$I$41,計算用!$AC$10,(MOD(1-計算用!$AE$10+1,4)+1)*2-1),INDEX(組分け!$L$5:$S$41,計算用!$AC$10,(MOD(1-計算用!$AE$10+1,4)+1)*2-1)))&amp;"")</f>
        <v/>
      </c>
      <c r="AL10">
        <f>IF(計算用!$Z$10="","",IF(計算用!$U$24,IF(計算用!$Z$10="A",INDEX(手直し!$B$6:$E$42,計算用!$AC$10,MOD(2-計算用!$AE$10+1,4)+1),INDEX(手直し!$G$6:$J$42,計算用!$AC$10,MOD(2-計算用!$AE$10+1,4)+1)),IF(計算用!$Z$10="A",INDEX(組分け!$B$5:$I$41,計算用!$AC$10,(MOD(2-計算用!$AE$10+1,4)+1)*2-1),INDEX(組分け!$L$5:$S$41,計算用!$AC$10,(MOD(2-計算用!$AE$10+1,4)+1)*2-1)))&amp;"")</f>
        <v/>
      </c>
      <c r="AM10">
        <f>IF(計算用!$Z$10="","",IF(計算用!$U$24,IF(計算用!$Z$10="A",INDEX(手直し!$B$6:$E$42,計算用!$AC$10,MOD(3-計算用!$AE$10+1,4)+1),INDEX(手直し!$G$6:$J$42,計算用!$AC$10,MOD(3-計算用!$AE$10+1,4)+1)),IF(計算用!$Z$10="A",INDEX(組分け!$B$5:$I$41,計算用!$AC$10,(MOD(3-計算用!$AE$10+1,4)+1)*2-1),INDEX(組分け!$L$5:$S$41,計算用!$AC$10,(MOD(3-計算用!$AE$10+1,4)+1)*2-1)))&amp;"")</f>
        <v/>
      </c>
      <c r="AN10">
        <f>IF(Z10="",0,(COUNTIF($AF10:$AI10,0)&gt;1)+(COUNTIF($AF10:$AI10,1)&gt;1)+(COUNTIF($AF10:$AI10,2)&gt;1)+(COUNTIF($AF10:$AI10,3)&gt;1)+COUNTIF($AF10:$AI10,-1))</f>
        <v/>
      </c>
      <c r="AP10">
        <f>IF(Z10="","",IFERROR(MOD(MATCH(0,$AF10:$AI10,0)-1-AE10+1,4),""))</f>
        <v/>
      </c>
      <c r="AQ10">
        <f>IF(Z10="","",IFERROR(MOD(MATCH(1,$AF10:$AI10,0)-1-AE10+1,4),""))</f>
        <v/>
      </c>
      <c r="AR10">
        <f>IF(Z10="","",IFERROR(MOD(MATCH(2,$AF10:$AI10,0)-1-AE10+1,4),""))</f>
        <v/>
      </c>
      <c r="AS10">
        <f>IF(Z10="","",IFERROR(MOD(MATCH(3,$AF10:$AI10,0)-1-AE10+1,4),""))</f>
        <v/>
      </c>
    </row>
    <row r="11">
      <c r="A11" t="n">
        <v>10</v>
      </c>
      <c r="B11">
        <f>INT((A11-1)/37)+1</f>
        <v/>
      </c>
      <c r="C11">
        <f>MOD(A11-1,37)+1</f>
        <v/>
      </c>
      <c r="D11">
        <f>TRIM(INDEX(データ入力!$B$5:$Q$41,C11,(B11-1)*4+1)&amp;"")</f>
        <v/>
      </c>
      <c r="E11">
        <f>INDEX(データ入力!$B$5:$Q$41,C11,(B11-1)*4+2)&amp;""</f>
        <v/>
      </c>
      <c r="F11">
        <f>IF(OR(E11="1",E11="１",E11="男"),"男",IF(OR(E11="2",E11="２",E11="女"),"女",""))</f>
        <v/>
      </c>
      <c r="G11">
        <f>INDEX(データ入力!$B$5:$Q$41,C11,(B11-1)*4+3)</f>
        <v/>
      </c>
      <c r="H11">
        <f>IF(D11="","",IF($U$2,"混",F11))</f>
        <v/>
      </c>
      <c r="I11">
        <f>IF(AND(H11&lt;&gt;"",ISNUMBER(G11)),H11,"")</f>
        <v/>
      </c>
      <c r="J11">
        <f>IF(I11="","",COUNTIFS($I$2:$I$149,I11,$B$2:$B$149,B11,$G$2:$G$149,"&lt;"&amp;G11)+COUNTIFS($I$2:$I$149,I11,$B$2:$B$149,B11,$G$2:$G$149,G11,$A$2:$A$149,"&lt;"&amp;A11)+1)</f>
        <v/>
      </c>
      <c r="K11">
        <f>IF(I11="","",I11&amp;B11&amp;"-"&amp;J11)</f>
        <v/>
      </c>
      <c r="L11">
        <f>IF(I11="","",I11&amp;B11&amp;"|"&amp;D11)</f>
        <v/>
      </c>
      <c r="M11">
        <f>IF(I11="","",IF(I11="女",COUNTIF(手直し!$G$6:$J$42,D11),COUNTIF(手直し!$B$6:$E$42,D11)))</f>
        <v/>
      </c>
      <c r="N11">
        <f>IF(I11="","",IF(I11="女",COUNTIF(INDEX(手直し!$G$6:$J$42,0,B11),D11),COUNTIF(INDEX(手直し!$B$6:$E$42,0,B11),D11)))</f>
        <v/>
      </c>
      <c r="O11">
        <f>IF(AND(I11&lt;&gt;"",M11=0),1,0)</f>
        <v/>
      </c>
      <c r="P11">
        <f>IF(AND(O11=1,I11&lt;&gt;"女"),COUNTIFS($O$2:O11,1,$I$2:I11,"&lt;&gt;女"),"")</f>
        <v/>
      </c>
      <c r="Q11">
        <f>IF(AND(O11=1,I11="女"),COUNTIFS($O$2:O11,1,$I$2:I11,"女"),"")</f>
        <v/>
      </c>
      <c r="R11">
        <f>IF(AND(I11&lt;&gt;"",M11&gt;=1,N11=0),1,0)</f>
        <v/>
      </c>
      <c r="S11">
        <f>IF(AND(D11&lt;&gt;"",I11=""),1,0)</f>
        <v/>
      </c>
      <c r="T11" t="inlineStr">
        <is>
          <t>A入っていない</t>
        </is>
      </c>
      <c r="U11">
        <f>COUNTIFS($O$2:$O$149,1,$I$2:$I$149,$U$3)</f>
        <v/>
      </c>
      <c r="V11">
        <f>IF(J11="",0,J11)</f>
        <v/>
      </c>
      <c r="W11">
        <f>IF(I11="","",I11&amp;D11)</f>
        <v/>
      </c>
      <c r="Y11" t="n">
        <v>10</v>
      </c>
      <c r="Z11">
        <f>IF(Y11&gt;$U$22,"",IF(Y11&lt;=$U$23,IF($U$4,"B","A"),IF($U$4,"A","B")))</f>
        <v/>
      </c>
      <c r="AA11">
        <f>IF(Z11="","",IF(Y11&lt;=$U$23,Y11,Y11-$U$23))</f>
        <v/>
      </c>
      <c r="AB11">
        <f>IF(Z11="","",IF(Z11="A",$U$7,$U$8))</f>
        <v/>
      </c>
      <c r="AC11">
        <f>IF(Z11="","",IF(AB11&lt;=$U$6,AB11-AA11+1,IF(AA11&lt;=INT((AB11-$U$6+1)/2),$U$6-1+2*AA11,IF(AA11&lt;=INT((AB11-$U$6+1)/2)+INT((AB11-$U$6)/2),(AB11-1+MOD(AB11,2))-2*(AA11-INT((AB11-$U$6+1)/2)-1),$U$6-(AA11-INT((AB11-$U$6+1)/2)-INT((AB11-$U$6)/2)-1)))))</f>
        <v/>
      </c>
      <c r="AD11">
        <f>IF(Z11="","",IF($U$2,"",IF(Z11="B","女子","男子"))&amp;AA11&amp;"レース")</f>
        <v/>
      </c>
      <c r="AE11">
        <f>IF(Z11="","",IF($U$2,1,AA11))</f>
        <v/>
      </c>
      <c r="AF11">
        <f>IF(AJ11="",99,IF(最終修正!$C$12="",0,IF(AND(ISNUMBER(最終修正!$C$12),INT(最終修正!$C$12)=最終修正!$C$12,最終修正!$C$12-$U$5&gt;=0,最終修正!$C$12-$U$5&lt;=3),最終修正!$C$12-$U$5,-1)))</f>
        <v/>
      </c>
      <c r="AG11">
        <f>IF(AK11="",99,IF(最終修正!$E$12="",1,IF(AND(ISNUMBER(最終修正!$E$12),INT(最終修正!$E$12)=最終修正!$E$12,最終修正!$E$12-$U$5&gt;=0,最終修正!$E$12-$U$5&lt;=3),最終修正!$E$12-$U$5,-1)))</f>
        <v/>
      </c>
      <c r="AH11">
        <f>IF(AL11="",99,IF(最終修正!$G$12="",2,IF(AND(ISNUMBER(最終修正!$G$12),INT(最終修正!$G$12)=最終修正!$G$12,最終修正!$G$12-$U$5&gt;=0,最終修正!$G$12-$U$5&lt;=3),最終修正!$G$12-$U$5,-1)))</f>
        <v/>
      </c>
      <c r="AI11">
        <f>IF(AM11="",99,IF(最終修正!$I$12="",3,IF(AND(ISNUMBER(最終修正!$I$12),INT(最終修正!$I$12)=最終修正!$I$12,最終修正!$I$12-$U$5&gt;=0,最終修正!$I$12-$U$5&lt;=3),最終修正!$I$12-$U$5,-1)))</f>
        <v/>
      </c>
      <c r="AJ11">
        <f>IF(計算用!$Z$11="","",IF(計算用!$U$24,IF(計算用!$Z$11="A",INDEX(手直し!$B$6:$E$42,計算用!$AC$11,MOD(0-計算用!$AE$11+1,4)+1),INDEX(手直し!$G$6:$J$42,計算用!$AC$11,MOD(0-計算用!$AE$11+1,4)+1)),IF(計算用!$Z$11="A",INDEX(組分け!$B$5:$I$41,計算用!$AC$11,(MOD(0-計算用!$AE$11+1,4)+1)*2-1),INDEX(組分け!$L$5:$S$41,計算用!$AC$11,(MOD(0-計算用!$AE$11+1,4)+1)*2-1)))&amp;"")</f>
        <v/>
      </c>
      <c r="AK11">
        <f>IF(計算用!$Z$11="","",IF(計算用!$U$24,IF(計算用!$Z$11="A",INDEX(手直し!$B$6:$E$42,計算用!$AC$11,MOD(1-計算用!$AE$11+1,4)+1),INDEX(手直し!$G$6:$J$42,計算用!$AC$11,MOD(1-計算用!$AE$11+1,4)+1)),IF(計算用!$Z$11="A",INDEX(組分け!$B$5:$I$41,計算用!$AC$11,(MOD(1-計算用!$AE$11+1,4)+1)*2-1),INDEX(組分け!$L$5:$S$41,計算用!$AC$11,(MOD(1-計算用!$AE$11+1,4)+1)*2-1)))&amp;"")</f>
        <v/>
      </c>
      <c r="AL11">
        <f>IF(計算用!$Z$11="","",IF(計算用!$U$24,IF(計算用!$Z$11="A",INDEX(手直し!$B$6:$E$42,計算用!$AC$11,MOD(2-計算用!$AE$11+1,4)+1),INDEX(手直し!$G$6:$J$42,計算用!$AC$11,MOD(2-計算用!$AE$11+1,4)+1)),IF(計算用!$Z$11="A",INDEX(組分け!$B$5:$I$41,計算用!$AC$11,(MOD(2-計算用!$AE$11+1,4)+1)*2-1),INDEX(組分け!$L$5:$S$41,計算用!$AC$11,(MOD(2-計算用!$AE$11+1,4)+1)*2-1)))&amp;"")</f>
        <v/>
      </c>
      <c r="AM11">
        <f>IF(計算用!$Z$11="","",IF(計算用!$U$24,IF(計算用!$Z$11="A",INDEX(手直し!$B$6:$E$42,計算用!$AC$11,MOD(3-計算用!$AE$11+1,4)+1),INDEX(手直し!$G$6:$J$42,計算用!$AC$11,MOD(3-計算用!$AE$11+1,4)+1)),IF(計算用!$Z$11="A",INDEX(組分け!$B$5:$I$41,計算用!$AC$11,(MOD(3-計算用!$AE$11+1,4)+1)*2-1),INDEX(組分け!$L$5:$S$41,計算用!$AC$11,(MOD(3-計算用!$AE$11+1,4)+1)*2-1)))&amp;"")</f>
        <v/>
      </c>
      <c r="AN11">
        <f>IF(Z11="",0,(COUNTIF($AF11:$AI11,0)&gt;1)+(COUNTIF($AF11:$AI11,1)&gt;1)+(COUNTIF($AF11:$AI11,2)&gt;1)+(COUNTIF($AF11:$AI11,3)&gt;1)+COUNTIF($AF11:$AI11,-1))</f>
        <v/>
      </c>
      <c r="AP11">
        <f>IF(Z11="","",IFERROR(MOD(MATCH(0,$AF11:$AI11,0)-1-AE11+1,4),""))</f>
        <v/>
      </c>
      <c r="AQ11">
        <f>IF(Z11="","",IFERROR(MOD(MATCH(1,$AF11:$AI11,0)-1-AE11+1,4),""))</f>
        <v/>
      </c>
      <c r="AR11">
        <f>IF(Z11="","",IFERROR(MOD(MATCH(2,$AF11:$AI11,0)-1-AE11+1,4),""))</f>
        <v/>
      </c>
      <c r="AS11">
        <f>IF(Z11="","",IFERROR(MOD(MATCH(3,$AF11:$AI11,0)-1-AE11+1,4),""))</f>
        <v/>
      </c>
    </row>
    <row r="12">
      <c r="A12" t="n">
        <v>11</v>
      </c>
      <c r="B12">
        <f>INT((A12-1)/37)+1</f>
        <v/>
      </c>
      <c r="C12">
        <f>MOD(A12-1,37)+1</f>
        <v/>
      </c>
      <c r="D12">
        <f>TRIM(INDEX(データ入力!$B$5:$Q$41,C12,(B12-1)*4+1)&amp;"")</f>
        <v/>
      </c>
      <c r="E12">
        <f>INDEX(データ入力!$B$5:$Q$41,C12,(B12-1)*4+2)&amp;""</f>
        <v/>
      </c>
      <c r="F12">
        <f>IF(OR(E12="1",E12="１",E12="男"),"男",IF(OR(E12="2",E12="２",E12="女"),"女",""))</f>
        <v/>
      </c>
      <c r="G12">
        <f>INDEX(データ入力!$B$5:$Q$41,C12,(B12-1)*4+3)</f>
        <v/>
      </c>
      <c r="H12">
        <f>IF(D12="","",IF($U$2,"混",F12))</f>
        <v/>
      </c>
      <c r="I12">
        <f>IF(AND(H12&lt;&gt;"",ISNUMBER(G12)),H12,"")</f>
        <v/>
      </c>
      <c r="J12">
        <f>IF(I12="","",COUNTIFS($I$2:$I$149,I12,$B$2:$B$149,B12,$G$2:$G$149,"&lt;"&amp;G12)+COUNTIFS($I$2:$I$149,I12,$B$2:$B$149,B12,$G$2:$G$149,G12,$A$2:$A$149,"&lt;"&amp;A12)+1)</f>
        <v/>
      </c>
      <c r="K12">
        <f>IF(I12="","",I12&amp;B12&amp;"-"&amp;J12)</f>
        <v/>
      </c>
      <c r="L12">
        <f>IF(I12="","",I12&amp;B12&amp;"|"&amp;D12)</f>
        <v/>
      </c>
      <c r="M12">
        <f>IF(I12="","",IF(I12="女",COUNTIF(手直し!$G$6:$J$42,D12),COUNTIF(手直し!$B$6:$E$42,D12)))</f>
        <v/>
      </c>
      <c r="N12">
        <f>IF(I12="","",IF(I12="女",COUNTIF(INDEX(手直し!$G$6:$J$42,0,B12),D12),COUNTIF(INDEX(手直し!$B$6:$E$42,0,B12),D12)))</f>
        <v/>
      </c>
      <c r="O12">
        <f>IF(AND(I12&lt;&gt;"",M12=0),1,0)</f>
        <v/>
      </c>
      <c r="P12">
        <f>IF(AND(O12=1,I12&lt;&gt;"女"),COUNTIFS($O$2:O12,1,$I$2:I12,"&lt;&gt;女"),"")</f>
        <v/>
      </c>
      <c r="Q12">
        <f>IF(AND(O12=1,I12="女"),COUNTIFS($O$2:O12,1,$I$2:I12,"女"),"")</f>
        <v/>
      </c>
      <c r="R12">
        <f>IF(AND(I12&lt;&gt;"",M12&gt;=1,N12=0),1,0)</f>
        <v/>
      </c>
      <c r="S12">
        <f>IF(AND(D12&lt;&gt;"",I12=""),1,0)</f>
        <v/>
      </c>
      <c r="T12" t="inlineStr">
        <is>
          <t>B入っていない</t>
        </is>
      </c>
      <c r="U12">
        <f>COUNTIFS($O$2:$O$149,1,$I$2:$I$149,"女")</f>
        <v/>
      </c>
      <c r="V12">
        <f>IF(J12="",0,J12)</f>
        <v/>
      </c>
      <c r="W12">
        <f>IF(I12="","",I12&amp;D12)</f>
        <v/>
      </c>
      <c r="Y12" t="n">
        <v>11</v>
      </c>
      <c r="Z12">
        <f>IF(Y12&gt;$U$22,"",IF(Y12&lt;=$U$23,IF($U$4,"B","A"),IF($U$4,"A","B")))</f>
        <v/>
      </c>
      <c r="AA12">
        <f>IF(Z12="","",IF(Y12&lt;=$U$23,Y12,Y12-$U$23))</f>
        <v/>
      </c>
      <c r="AB12">
        <f>IF(Z12="","",IF(Z12="A",$U$7,$U$8))</f>
        <v/>
      </c>
      <c r="AC12">
        <f>IF(Z12="","",IF(AB12&lt;=$U$6,AB12-AA12+1,IF(AA12&lt;=INT((AB12-$U$6+1)/2),$U$6-1+2*AA12,IF(AA12&lt;=INT((AB12-$U$6+1)/2)+INT((AB12-$U$6)/2),(AB12-1+MOD(AB12,2))-2*(AA12-INT((AB12-$U$6+1)/2)-1),$U$6-(AA12-INT((AB12-$U$6+1)/2)-INT((AB12-$U$6)/2)-1)))))</f>
        <v/>
      </c>
      <c r="AD12">
        <f>IF(Z12="","",IF($U$2,"",IF(Z12="B","女子","男子"))&amp;AA12&amp;"レース")</f>
        <v/>
      </c>
      <c r="AE12">
        <f>IF(Z12="","",IF($U$2,1,AA12))</f>
        <v/>
      </c>
      <c r="AF12">
        <f>IF(AJ12="",99,IF(最終修正!$C$13="",0,IF(AND(ISNUMBER(最終修正!$C$13),INT(最終修正!$C$13)=最終修正!$C$13,最終修正!$C$13-$U$5&gt;=0,最終修正!$C$13-$U$5&lt;=3),最終修正!$C$13-$U$5,-1)))</f>
        <v/>
      </c>
      <c r="AG12">
        <f>IF(AK12="",99,IF(最終修正!$E$13="",1,IF(AND(ISNUMBER(最終修正!$E$13),INT(最終修正!$E$13)=最終修正!$E$13,最終修正!$E$13-$U$5&gt;=0,最終修正!$E$13-$U$5&lt;=3),最終修正!$E$13-$U$5,-1)))</f>
        <v/>
      </c>
      <c r="AH12">
        <f>IF(AL12="",99,IF(最終修正!$G$13="",2,IF(AND(ISNUMBER(最終修正!$G$13),INT(最終修正!$G$13)=最終修正!$G$13,最終修正!$G$13-$U$5&gt;=0,最終修正!$G$13-$U$5&lt;=3),最終修正!$G$13-$U$5,-1)))</f>
        <v/>
      </c>
      <c r="AI12">
        <f>IF(AM12="",99,IF(最終修正!$I$13="",3,IF(AND(ISNUMBER(最終修正!$I$13),INT(最終修正!$I$13)=最終修正!$I$13,最終修正!$I$13-$U$5&gt;=0,最終修正!$I$13-$U$5&lt;=3),最終修正!$I$13-$U$5,-1)))</f>
        <v/>
      </c>
      <c r="AJ12">
        <f>IF(計算用!$Z$12="","",IF(計算用!$U$24,IF(計算用!$Z$12="A",INDEX(手直し!$B$6:$E$42,計算用!$AC$12,MOD(0-計算用!$AE$12+1,4)+1),INDEX(手直し!$G$6:$J$42,計算用!$AC$12,MOD(0-計算用!$AE$12+1,4)+1)),IF(計算用!$Z$12="A",INDEX(組分け!$B$5:$I$41,計算用!$AC$12,(MOD(0-計算用!$AE$12+1,4)+1)*2-1),INDEX(組分け!$L$5:$S$41,計算用!$AC$12,(MOD(0-計算用!$AE$12+1,4)+1)*2-1)))&amp;"")</f>
        <v/>
      </c>
      <c r="AK12">
        <f>IF(計算用!$Z$12="","",IF(計算用!$U$24,IF(計算用!$Z$12="A",INDEX(手直し!$B$6:$E$42,計算用!$AC$12,MOD(1-計算用!$AE$12+1,4)+1),INDEX(手直し!$G$6:$J$42,計算用!$AC$12,MOD(1-計算用!$AE$12+1,4)+1)),IF(計算用!$Z$12="A",INDEX(組分け!$B$5:$I$41,計算用!$AC$12,(MOD(1-計算用!$AE$12+1,4)+1)*2-1),INDEX(組分け!$L$5:$S$41,計算用!$AC$12,(MOD(1-計算用!$AE$12+1,4)+1)*2-1)))&amp;"")</f>
        <v/>
      </c>
      <c r="AL12">
        <f>IF(計算用!$Z$12="","",IF(計算用!$U$24,IF(計算用!$Z$12="A",INDEX(手直し!$B$6:$E$42,計算用!$AC$12,MOD(2-計算用!$AE$12+1,4)+1),INDEX(手直し!$G$6:$J$42,計算用!$AC$12,MOD(2-計算用!$AE$12+1,4)+1)),IF(計算用!$Z$12="A",INDEX(組分け!$B$5:$I$41,計算用!$AC$12,(MOD(2-計算用!$AE$12+1,4)+1)*2-1),INDEX(組分け!$L$5:$S$41,計算用!$AC$12,(MOD(2-計算用!$AE$12+1,4)+1)*2-1)))&amp;"")</f>
        <v/>
      </c>
      <c r="AM12">
        <f>IF(計算用!$Z$12="","",IF(計算用!$U$24,IF(計算用!$Z$12="A",INDEX(手直し!$B$6:$E$42,計算用!$AC$12,MOD(3-計算用!$AE$12+1,4)+1),INDEX(手直し!$G$6:$J$42,計算用!$AC$12,MOD(3-計算用!$AE$12+1,4)+1)),IF(計算用!$Z$12="A",INDEX(組分け!$B$5:$I$41,計算用!$AC$12,(MOD(3-計算用!$AE$12+1,4)+1)*2-1),INDEX(組分け!$L$5:$S$41,計算用!$AC$12,(MOD(3-計算用!$AE$12+1,4)+1)*2-1)))&amp;"")</f>
        <v/>
      </c>
      <c r="AN12">
        <f>IF(Z12="",0,(COUNTIF($AF12:$AI12,0)&gt;1)+(COUNTIF($AF12:$AI12,1)&gt;1)+(COUNTIF($AF12:$AI12,2)&gt;1)+(COUNTIF($AF12:$AI12,3)&gt;1)+COUNTIF($AF12:$AI12,-1))</f>
        <v/>
      </c>
      <c r="AP12">
        <f>IF(Z12="","",IFERROR(MOD(MATCH(0,$AF12:$AI12,0)-1-AE12+1,4),""))</f>
        <v/>
      </c>
      <c r="AQ12">
        <f>IF(Z12="","",IFERROR(MOD(MATCH(1,$AF12:$AI12,0)-1-AE12+1,4),""))</f>
        <v/>
      </c>
      <c r="AR12">
        <f>IF(Z12="","",IFERROR(MOD(MATCH(2,$AF12:$AI12,0)-1-AE12+1,4),""))</f>
        <v/>
      </c>
      <c r="AS12">
        <f>IF(Z12="","",IFERROR(MOD(MATCH(3,$AF12:$AI12,0)-1-AE12+1,4),""))</f>
        <v/>
      </c>
    </row>
    <row r="13">
      <c r="A13" t="n">
        <v>12</v>
      </c>
      <c r="B13">
        <f>INT((A13-1)/37)+1</f>
        <v/>
      </c>
      <c r="C13">
        <f>MOD(A13-1,37)+1</f>
        <v/>
      </c>
      <c r="D13">
        <f>TRIM(INDEX(データ入力!$B$5:$Q$41,C13,(B13-1)*4+1)&amp;"")</f>
        <v/>
      </c>
      <c r="E13">
        <f>INDEX(データ入力!$B$5:$Q$41,C13,(B13-1)*4+2)&amp;""</f>
        <v/>
      </c>
      <c r="F13">
        <f>IF(OR(E13="1",E13="１",E13="男"),"男",IF(OR(E13="2",E13="２",E13="女"),"女",""))</f>
        <v/>
      </c>
      <c r="G13">
        <f>INDEX(データ入力!$B$5:$Q$41,C13,(B13-1)*4+3)</f>
        <v/>
      </c>
      <c r="H13">
        <f>IF(D13="","",IF($U$2,"混",F13))</f>
        <v/>
      </c>
      <c r="I13">
        <f>IF(AND(H13&lt;&gt;"",ISNUMBER(G13)),H13,"")</f>
        <v/>
      </c>
      <c r="J13">
        <f>IF(I13="","",COUNTIFS($I$2:$I$149,I13,$B$2:$B$149,B13,$G$2:$G$149,"&lt;"&amp;G13)+COUNTIFS($I$2:$I$149,I13,$B$2:$B$149,B13,$G$2:$G$149,G13,$A$2:$A$149,"&lt;"&amp;A13)+1)</f>
        <v/>
      </c>
      <c r="K13">
        <f>IF(I13="","",I13&amp;B13&amp;"-"&amp;J13)</f>
        <v/>
      </c>
      <c r="L13">
        <f>IF(I13="","",I13&amp;B13&amp;"|"&amp;D13)</f>
        <v/>
      </c>
      <c r="M13">
        <f>IF(I13="","",IF(I13="女",COUNTIF(手直し!$G$6:$J$42,D13),COUNTIF(手直し!$B$6:$E$42,D13)))</f>
        <v/>
      </c>
      <c r="N13">
        <f>IF(I13="","",IF(I13="女",COUNTIF(INDEX(手直し!$G$6:$J$42,0,B13),D13),COUNTIF(INDEX(手直し!$B$6:$E$42,0,B13),D13)))</f>
        <v/>
      </c>
      <c r="O13">
        <f>IF(AND(I13&lt;&gt;"",M13=0),1,0)</f>
        <v/>
      </c>
      <c r="P13">
        <f>IF(AND(O13=1,I13&lt;&gt;"女"),COUNTIFS($O$2:O13,1,$I$2:I13,"&lt;&gt;女"),"")</f>
        <v/>
      </c>
      <c r="Q13">
        <f>IF(AND(O13=1,I13="女"),COUNTIFS($O$2:O13,1,$I$2:I13,"女"),"")</f>
        <v/>
      </c>
      <c r="R13">
        <f>IF(AND(I13&lt;&gt;"",M13&gt;=1,N13=0),1,0)</f>
        <v/>
      </c>
      <c r="S13">
        <f>IF(AND(D13&lt;&gt;"",I13=""),1,0)</f>
        <v/>
      </c>
      <c r="T13" t="inlineStr">
        <is>
          <t>A2回以上</t>
        </is>
      </c>
      <c r="U13">
        <f>COUNTIFS($M$2:$M$149,"&gt;1",$I$2:$I$149,$U$3)</f>
        <v/>
      </c>
      <c r="V13">
        <f>IF(J13="",0,J13)</f>
        <v/>
      </c>
      <c r="W13">
        <f>IF(I13="","",I13&amp;D13)</f>
        <v/>
      </c>
      <c r="Y13" t="n">
        <v>12</v>
      </c>
      <c r="Z13">
        <f>IF(Y13&gt;$U$22,"",IF(Y13&lt;=$U$23,IF($U$4,"B","A"),IF($U$4,"A","B")))</f>
        <v/>
      </c>
      <c r="AA13">
        <f>IF(Z13="","",IF(Y13&lt;=$U$23,Y13,Y13-$U$23))</f>
        <v/>
      </c>
      <c r="AB13">
        <f>IF(Z13="","",IF(Z13="A",$U$7,$U$8))</f>
        <v/>
      </c>
      <c r="AC13">
        <f>IF(Z13="","",IF(AB13&lt;=$U$6,AB13-AA13+1,IF(AA13&lt;=INT((AB13-$U$6+1)/2),$U$6-1+2*AA13,IF(AA13&lt;=INT((AB13-$U$6+1)/2)+INT((AB13-$U$6)/2),(AB13-1+MOD(AB13,2))-2*(AA13-INT((AB13-$U$6+1)/2)-1),$U$6-(AA13-INT((AB13-$U$6+1)/2)-INT((AB13-$U$6)/2)-1)))))</f>
        <v/>
      </c>
      <c r="AD13">
        <f>IF(Z13="","",IF($U$2,"",IF(Z13="B","女子","男子"))&amp;AA13&amp;"レース")</f>
        <v/>
      </c>
      <c r="AE13">
        <f>IF(Z13="","",IF($U$2,1,AA13))</f>
        <v/>
      </c>
      <c r="AF13">
        <f>IF(AJ13="",99,IF(最終修正!$C$14="",0,IF(AND(ISNUMBER(最終修正!$C$14),INT(最終修正!$C$14)=最終修正!$C$14,最終修正!$C$14-$U$5&gt;=0,最終修正!$C$14-$U$5&lt;=3),最終修正!$C$14-$U$5,-1)))</f>
        <v/>
      </c>
      <c r="AG13">
        <f>IF(AK13="",99,IF(最終修正!$E$14="",1,IF(AND(ISNUMBER(最終修正!$E$14),INT(最終修正!$E$14)=最終修正!$E$14,最終修正!$E$14-$U$5&gt;=0,最終修正!$E$14-$U$5&lt;=3),最終修正!$E$14-$U$5,-1)))</f>
        <v/>
      </c>
      <c r="AH13">
        <f>IF(AL13="",99,IF(最終修正!$G$14="",2,IF(AND(ISNUMBER(最終修正!$G$14),INT(最終修正!$G$14)=最終修正!$G$14,最終修正!$G$14-$U$5&gt;=0,最終修正!$G$14-$U$5&lt;=3),最終修正!$G$14-$U$5,-1)))</f>
        <v/>
      </c>
      <c r="AI13">
        <f>IF(AM13="",99,IF(最終修正!$I$14="",3,IF(AND(ISNUMBER(最終修正!$I$14),INT(最終修正!$I$14)=最終修正!$I$14,最終修正!$I$14-$U$5&gt;=0,最終修正!$I$14-$U$5&lt;=3),最終修正!$I$14-$U$5,-1)))</f>
        <v/>
      </c>
      <c r="AJ13">
        <f>IF(計算用!$Z$13="","",IF(計算用!$U$24,IF(計算用!$Z$13="A",INDEX(手直し!$B$6:$E$42,計算用!$AC$13,MOD(0-計算用!$AE$13+1,4)+1),INDEX(手直し!$G$6:$J$42,計算用!$AC$13,MOD(0-計算用!$AE$13+1,4)+1)),IF(計算用!$Z$13="A",INDEX(組分け!$B$5:$I$41,計算用!$AC$13,(MOD(0-計算用!$AE$13+1,4)+1)*2-1),INDEX(組分け!$L$5:$S$41,計算用!$AC$13,(MOD(0-計算用!$AE$13+1,4)+1)*2-1)))&amp;"")</f>
        <v/>
      </c>
      <c r="AK13">
        <f>IF(計算用!$Z$13="","",IF(計算用!$U$24,IF(計算用!$Z$13="A",INDEX(手直し!$B$6:$E$42,計算用!$AC$13,MOD(1-計算用!$AE$13+1,4)+1),INDEX(手直し!$G$6:$J$42,計算用!$AC$13,MOD(1-計算用!$AE$13+1,4)+1)),IF(計算用!$Z$13="A",INDEX(組分け!$B$5:$I$41,計算用!$AC$13,(MOD(1-計算用!$AE$13+1,4)+1)*2-1),INDEX(組分け!$L$5:$S$41,計算用!$AC$13,(MOD(1-計算用!$AE$13+1,4)+1)*2-1)))&amp;"")</f>
        <v/>
      </c>
      <c r="AL13">
        <f>IF(計算用!$Z$13="","",IF(計算用!$U$24,IF(計算用!$Z$13="A",INDEX(手直し!$B$6:$E$42,計算用!$AC$13,MOD(2-計算用!$AE$13+1,4)+1),INDEX(手直し!$G$6:$J$42,計算用!$AC$13,MOD(2-計算用!$AE$13+1,4)+1)),IF(計算用!$Z$13="A",INDEX(組分け!$B$5:$I$41,計算用!$AC$13,(MOD(2-計算用!$AE$13+1,4)+1)*2-1),INDEX(組分け!$L$5:$S$41,計算用!$AC$13,(MOD(2-計算用!$AE$13+1,4)+1)*2-1)))&amp;"")</f>
        <v/>
      </c>
      <c r="AM13">
        <f>IF(計算用!$Z$13="","",IF(計算用!$U$24,IF(計算用!$Z$13="A",INDEX(手直し!$B$6:$E$42,計算用!$AC$13,MOD(3-計算用!$AE$13+1,4)+1),INDEX(手直し!$G$6:$J$42,計算用!$AC$13,MOD(3-計算用!$AE$13+1,4)+1)),IF(計算用!$Z$13="A",INDEX(組分け!$B$5:$I$41,計算用!$AC$13,(MOD(3-計算用!$AE$13+1,4)+1)*2-1),INDEX(組分け!$L$5:$S$41,計算用!$AC$13,(MOD(3-計算用!$AE$13+1,4)+1)*2-1)))&amp;"")</f>
        <v/>
      </c>
      <c r="AN13">
        <f>IF(Z13="",0,(COUNTIF($AF13:$AI13,0)&gt;1)+(COUNTIF($AF13:$AI13,1)&gt;1)+(COUNTIF($AF13:$AI13,2)&gt;1)+(COUNTIF($AF13:$AI13,3)&gt;1)+COUNTIF($AF13:$AI13,-1))</f>
        <v/>
      </c>
      <c r="AP13">
        <f>IF(Z13="","",IFERROR(MOD(MATCH(0,$AF13:$AI13,0)-1-AE13+1,4),""))</f>
        <v/>
      </c>
      <c r="AQ13">
        <f>IF(Z13="","",IFERROR(MOD(MATCH(1,$AF13:$AI13,0)-1-AE13+1,4),""))</f>
        <v/>
      </c>
      <c r="AR13">
        <f>IF(Z13="","",IFERROR(MOD(MATCH(2,$AF13:$AI13,0)-1-AE13+1,4),""))</f>
        <v/>
      </c>
      <c r="AS13">
        <f>IF(Z13="","",IFERROR(MOD(MATCH(3,$AF13:$AI13,0)-1-AE13+1,4),""))</f>
        <v/>
      </c>
    </row>
    <row r="14">
      <c r="A14" t="n">
        <v>13</v>
      </c>
      <c r="B14">
        <f>INT((A14-1)/37)+1</f>
        <v/>
      </c>
      <c r="C14">
        <f>MOD(A14-1,37)+1</f>
        <v/>
      </c>
      <c r="D14">
        <f>TRIM(INDEX(データ入力!$B$5:$Q$41,C14,(B14-1)*4+1)&amp;"")</f>
        <v/>
      </c>
      <c r="E14">
        <f>INDEX(データ入力!$B$5:$Q$41,C14,(B14-1)*4+2)&amp;""</f>
        <v/>
      </c>
      <c r="F14">
        <f>IF(OR(E14="1",E14="１",E14="男"),"男",IF(OR(E14="2",E14="２",E14="女"),"女",""))</f>
        <v/>
      </c>
      <c r="G14">
        <f>INDEX(データ入力!$B$5:$Q$41,C14,(B14-1)*4+3)</f>
        <v/>
      </c>
      <c r="H14">
        <f>IF(D14="","",IF($U$2,"混",F14))</f>
        <v/>
      </c>
      <c r="I14">
        <f>IF(AND(H14&lt;&gt;"",ISNUMBER(G14)),H14,"")</f>
        <v/>
      </c>
      <c r="J14">
        <f>IF(I14="","",COUNTIFS($I$2:$I$149,I14,$B$2:$B$149,B14,$G$2:$G$149,"&lt;"&amp;G14)+COUNTIFS($I$2:$I$149,I14,$B$2:$B$149,B14,$G$2:$G$149,G14,$A$2:$A$149,"&lt;"&amp;A14)+1)</f>
        <v/>
      </c>
      <c r="K14">
        <f>IF(I14="","",I14&amp;B14&amp;"-"&amp;J14)</f>
        <v/>
      </c>
      <c r="L14">
        <f>IF(I14="","",I14&amp;B14&amp;"|"&amp;D14)</f>
        <v/>
      </c>
      <c r="M14">
        <f>IF(I14="","",IF(I14="女",COUNTIF(手直し!$G$6:$J$42,D14),COUNTIF(手直し!$B$6:$E$42,D14)))</f>
        <v/>
      </c>
      <c r="N14">
        <f>IF(I14="","",IF(I14="女",COUNTIF(INDEX(手直し!$G$6:$J$42,0,B14),D14),COUNTIF(INDEX(手直し!$B$6:$E$42,0,B14),D14)))</f>
        <v/>
      </c>
      <c r="O14">
        <f>IF(AND(I14&lt;&gt;"",M14=0),1,0)</f>
        <v/>
      </c>
      <c r="P14">
        <f>IF(AND(O14=1,I14&lt;&gt;"女"),COUNTIFS($O$2:O14,1,$I$2:I14,"&lt;&gt;女"),"")</f>
        <v/>
      </c>
      <c r="Q14">
        <f>IF(AND(O14=1,I14="女"),COUNTIFS($O$2:O14,1,$I$2:I14,"女"),"")</f>
        <v/>
      </c>
      <c r="R14">
        <f>IF(AND(I14&lt;&gt;"",M14&gt;=1,N14=0),1,0)</f>
        <v/>
      </c>
      <c r="S14">
        <f>IF(AND(D14&lt;&gt;"",I14=""),1,0)</f>
        <v/>
      </c>
      <c r="T14" t="inlineStr">
        <is>
          <t>B2回以上</t>
        </is>
      </c>
      <c r="U14">
        <f>COUNTIFS($M$2:$M$149,"&gt;1",$I$2:$I$149,"女")</f>
        <v/>
      </c>
      <c r="V14">
        <f>IF(J14="",0,J14)</f>
        <v/>
      </c>
      <c r="W14">
        <f>IF(I14="","",I14&amp;D14)</f>
        <v/>
      </c>
      <c r="Y14" t="n">
        <v>13</v>
      </c>
      <c r="Z14">
        <f>IF(Y14&gt;$U$22,"",IF(Y14&lt;=$U$23,IF($U$4,"B","A"),IF($U$4,"A","B")))</f>
        <v/>
      </c>
      <c r="AA14">
        <f>IF(Z14="","",IF(Y14&lt;=$U$23,Y14,Y14-$U$23))</f>
        <v/>
      </c>
      <c r="AB14">
        <f>IF(Z14="","",IF(Z14="A",$U$7,$U$8))</f>
        <v/>
      </c>
      <c r="AC14">
        <f>IF(Z14="","",IF(AB14&lt;=$U$6,AB14-AA14+1,IF(AA14&lt;=INT((AB14-$U$6+1)/2),$U$6-1+2*AA14,IF(AA14&lt;=INT((AB14-$U$6+1)/2)+INT((AB14-$U$6)/2),(AB14-1+MOD(AB14,2))-2*(AA14-INT((AB14-$U$6+1)/2)-1),$U$6-(AA14-INT((AB14-$U$6+1)/2)-INT((AB14-$U$6)/2)-1)))))</f>
        <v/>
      </c>
      <c r="AD14">
        <f>IF(Z14="","",IF($U$2,"",IF(Z14="B","女子","男子"))&amp;AA14&amp;"レース")</f>
        <v/>
      </c>
      <c r="AE14">
        <f>IF(Z14="","",IF($U$2,1,AA14))</f>
        <v/>
      </c>
      <c r="AF14">
        <f>IF(AJ14="",99,IF(最終修正!$C$15="",0,IF(AND(ISNUMBER(最終修正!$C$15),INT(最終修正!$C$15)=最終修正!$C$15,最終修正!$C$15-$U$5&gt;=0,最終修正!$C$15-$U$5&lt;=3),最終修正!$C$15-$U$5,-1)))</f>
        <v/>
      </c>
      <c r="AG14">
        <f>IF(AK14="",99,IF(最終修正!$E$15="",1,IF(AND(ISNUMBER(最終修正!$E$15),INT(最終修正!$E$15)=最終修正!$E$15,最終修正!$E$15-$U$5&gt;=0,最終修正!$E$15-$U$5&lt;=3),最終修正!$E$15-$U$5,-1)))</f>
        <v/>
      </c>
      <c r="AH14">
        <f>IF(AL14="",99,IF(最終修正!$G$15="",2,IF(AND(ISNUMBER(最終修正!$G$15),INT(最終修正!$G$15)=最終修正!$G$15,最終修正!$G$15-$U$5&gt;=0,最終修正!$G$15-$U$5&lt;=3),最終修正!$G$15-$U$5,-1)))</f>
        <v/>
      </c>
      <c r="AI14">
        <f>IF(AM14="",99,IF(最終修正!$I$15="",3,IF(AND(ISNUMBER(最終修正!$I$15),INT(最終修正!$I$15)=最終修正!$I$15,最終修正!$I$15-$U$5&gt;=0,最終修正!$I$15-$U$5&lt;=3),最終修正!$I$15-$U$5,-1)))</f>
        <v/>
      </c>
      <c r="AJ14">
        <f>IF(計算用!$Z$14="","",IF(計算用!$U$24,IF(計算用!$Z$14="A",INDEX(手直し!$B$6:$E$42,計算用!$AC$14,MOD(0-計算用!$AE$14+1,4)+1),INDEX(手直し!$G$6:$J$42,計算用!$AC$14,MOD(0-計算用!$AE$14+1,4)+1)),IF(計算用!$Z$14="A",INDEX(組分け!$B$5:$I$41,計算用!$AC$14,(MOD(0-計算用!$AE$14+1,4)+1)*2-1),INDEX(組分け!$L$5:$S$41,計算用!$AC$14,(MOD(0-計算用!$AE$14+1,4)+1)*2-1)))&amp;"")</f>
        <v/>
      </c>
      <c r="AK14">
        <f>IF(計算用!$Z$14="","",IF(計算用!$U$24,IF(計算用!$Z$14="A",INDEX(手直し!$B$6:$E$42,計算用!$AC$14,MOD(1-計算用!$AE$14+1,4)+1),INDEX(手直し!$G$6:$J$42,計算用!$AC$14,MOD(1-計算用!$AE$14+1,4)+1)),IF(計算用!$Z$14="A",INDEX(組分け!$B$5:$I$41,計算用!$AC$14,(MOD(1-計算用!$AE$14+1,4)+1)*2-1),INDEX(組分け!$L$5:$S$41,計算用!$AC$14,(MOD(1-計算用!$AE$14+1,4)+1)*2-1)))&amp;"")</f>
        <v/>
      </c>
      <c r="AL14">
        <f>IF(計算用!$Z$14="","",IF(計算用!$U$24,IF(計算用!$Z$14="A",INDEX(手直し!$B$6:$E$42,計算用!$AC$14,MOD(2-計算用!$AE$14+1,4)+1),INDEX(手直し!$G$6:$J$42,計算用!$AC$14,MOD(2-計算用!$AE$14+1,4)+1)),IF(計算用!$Z$14="A",INDEX(組分け!$B$5:$I$41,計算用!$AC$14,(MOD(2-計算用!$AE$14+1,4)+1)*2-1),INDEX(組分け!$L$5:$S$41,計算用!$AC$14,(MOD(2-計算用!$AE$14+1,4)+1)*2-1)))&amp;"")</f>
        <v/>
      </c>
      <c r="AM14">
        <f>IF(計算用!$Z$14="","",IF(計算用!$U$24,IF(計算用!$Z$14="A",INDEX(手直し!$B$6:$E$42,計算用!$AC$14,MOD(3-計算用!$AE$14+1,4)+1),INDEX(手直し!$G$6:$J$42,計算用!$AC$14,MOD(3-計算用!$AE$14+1,4)+1)),IF(計算用!$Z$14="A",INDEX(組分け!$B$5:$I$41,計算用!$AC$14,(MOD(3-計算用!$AE$14+1,4)+1)*2-1),INDEX(組分け!$L$5:$S$41,計算用!$AC$14,(MOD(3-計算用!$AE$14+1,4)+1)*2-1)))&amp;"")</f>
        <v/>
      </c>
      <c r="AN14">
        <f>IF(Z14="",0,(COUNTIF($AF14:$AI14,0)&gt;1)+(COUNTIF($AF14:$AI14,1)&gt;1)+(COUNTIF($AF14:$AI14,2)&gt;1)+(COUNTIF($AF14:$AI14,3)&gt;1)+COUNTIF($AF14:$AI14,-1))</f>
        <v/>
      </c>
      <c r="AP14">
        <f>IF(Z14="","",IFERROR(MOD(MATCH(0,$AF14:$AI14,0)-1-AE14+1,4),""))</f>
        <v/>
      </c>
      <c r="AQ14">
        <f>IF(Z14="","",IFERROR(MOD(MATCH(1,$AF14:$AI14,0)-1-AE14+1,4),""))</f>
        <v/>
      </c>
      <c r="AR14">
        <f>IF(Z14="","",IFERROR(MOD(MATCH(2,$AF14:$AI14,0)-1-AE14+1,4),""))</f>
        <v/>
      </c>
      <c r="AS14">
        <f>IF(Z14="","",IFERROR(MOD(MATCH(3,$AF14:$AI14,0)-1-AE14+1,4),""))</f>
        <v/>
      </c>
    </row>
    <row r="15">
      <c r="A15" t="n">
        <v>14</v>
      </c>
      <c r="B15">
        <f>INT((A15-1)/37)+1</f>
        <v/>
      </c>
      <c r="C15">
        <f>MOD(A15-1,37)+1</f>
        <v/>
      </c>
      <c r="D15">
        <f>TRIM(INDEX(データ入力!$B$5:$Q$41,C15,(B15-1)*4+1)&amp;"")</f>
        <v/>
      </c>
      <c r="E15">
        <f>INDEX(データ入力!$B$5:$Q$41,C15,(B15-1)*4+2)&amp;""</f>
        <v/>
      </c>
      <c r="F15">
        <f>IF(OR(E15="1",E15="１",E15="男"),"男",IF(OR(E15="2",E15="２",E15="女"),"女",""))</f>
        <v/>
      </c>
      <c r="G15">
        <f>INDEX(データ入力!$B$5:$Q$41,C15,(B15-1)*4+3)</f>
        <v/>
      </c>
      <c r="H15">
        <f>IF(D15="","",IF($U$2,"混",F15))</f>
        <v/>
      </c>
      <c r="I15">
        <f>IF(AND(H15&lt;&gt;"",ISNUMBER(G15)),H15,"")</f>
        <v/>
      </c>
      <c r="J15">
        <f>IF(I15="","",COUNTIFS($I$2:$I$149,I15,$B$2:$B$149,B15,$G$2:$G$149,"&lt;"&amp;G15)+COUNTIFS($I$2:$I$149,I15,$B$2:$B$149,B15,$G$2:$G$149,G15,$A$2:$A$149,"&lt;"&amp;A15)+1)</f>
        <v/>
      </c>
      <c r="K15">
        <f>IF(I15="","",I15&amp;B15&amp;"-"&amp;J15)</f>
        <v/>
      </c>
      <c r="L15">
        <f>IF(I15="","",I15&amp;B15&amp;"|"&amp;D15)</f>
        <v/>
      </c>
      <c r="M15">
        <f>IF(I15="","",IF(I15="女",COUNTIF(手直し!$G$6:$J$42,D15),COUNTIF(手直し!$B$6:$E$42,D15)))</f>
        <v/>
      </c>
      <c r="N15">
        <f>IF(I15="","",IF(I15="女",COUNTIF(INDEX(手直し!$G$6:$J$42,0,B15),D15),COUNTIF(INDEX(手直し!$B$6:$E$42,0,B15),D15)))</f>
        <v/>
      </c>
      <c r="O15">
        <f>IF(AND(I15&lt;&gt;"",M15=0),1,0)</f>
        <v/>
      </c>
      <c r="P15">
        <f>IF(AND(O15=1,I15&lt;&gt;"女"),COUNTIFS($O$2:O15,1,$I$2:I15,"&lt;&gt;女"),"")</f>
        <v/>
      </c>
      <c r="Q15">
        <f>IF(AND(O15=1,I15="女"),COUNTIFS($O$2:O15,1,$I$2:I15,"女"),"")</f>
        <v/>
      </c>
      <c r="R15">
        <f>IF(AND(I15&lt;&gt;"",M15&gt;=1,N15=0),1,0)</f>
        <v/>
      </c>
      <c r="S15">
        <f>IF(AND(D15&lt;&gt;"",I15=""),1,0)</f>
        <v/>
      </c>
      <c r="T15" t="inlineStr">
        <is>
          <t>Aちがうクラス</t>
        </is>
      </c>
      <c r="U15">
        <f>COUNTIFS($R$2:$R$149,1,$I$2:$I$149,$U$3)</f>
        <v/>
      </c>
      <c r="V15">
        <f>IF(J15="",0,J15)</f>
        <v/>
      </c>
      <c r="W15">
        <f>IF(I15="","",I15&amp;D15)</f>
        <v/>
      </c>
      <c r="Y15" t="n">
        <v>14</v>
      </c>
      <c r="Z15">
        <f>IF(Y15&gt;$U$22,"",IF(Y15&lt;=$U$23,IF($U$4,"B","A"),IF($U$4,"A","B")))</f>
        <v/>
      </c>
      <c r="AA15">
        <f>IF(Z15="","",IF(Y15&lt;=$U$23,Y15,Y15-$U$23))</f>
        <v/>
      </c>
      <c r="AB15">
        <f>IF(Z15="","",IF(Z15="A",$U$7,$U$8))</f>
        <v/>
      </c>
      <c r="AC15">
        <f>IF(Z15="","",IF(AB15&lt;=$U$6,AB15-AA15+1,IF(AA15&lt;=INT((AB15-$U$6+1)/2),$U$6-1+2*AA15,IF(AA15&lt;=INT((AB15-$U$6+1)/2)+INT((AB15-$U$6)/2),(AB15-1+MOD(AB15,2))-2*(AA15-INT((AB15-$U$6+1)/2)-1),$U$6-(AA15-INT((AB15-$U$6+1)/2)-INT((AB15-$U$6)/2)-1)))))</f>
        <v/>
      </c>
      <c r="AD15">
        <f>IF(Z15="","",IF($U$2,"",IF(Z15="B","女子","男子"))&amp;AA15&amp;"レース")</f>
        <v/>
      </c>
      <c r="AE15">
        <f>IF(Z15="","",IF($U$2,1,AA15))</f>
        <v/>
      </c>
      <c r="AF15">
        <f>IF(AJ15="",99,IF(最終修正!$C$16="",0,IF(AND(ISNUMBER(最終修正!$C$16),INT(最終修正!$C$16)=最終修正!$C$16,最終修正!$C$16-$U$5&gt;=0,最終修正!$C$16-$U$5&lt;=3),最終修正!$C$16-$U$5,-1)))</f>
        <v/>
      </c>
      <c r="AG15">
        <f>IF(AK15="",99,IF(最終修正!$E$16="",1,IF(AND(ISNUMBER(最終修正!$E$16),INT(最終修正!$E$16)=最終修正!$E$16,最終修正!$E$16-$U$5&gt;=0,最終修正!$E$16-$U$5&lt;=3),最終修正!$E$16-$U$5,-1)))</f>
        <v/>
      </c>
      <c r="AH15">
        <f>IF(AL15="",99,IF(最終修正!$G$16="",2,IF(AND(ISNUMBER(最終修正!$G$16),INT(最終修正!$G$16)=最終修正!$G$16,最終修正!$G$16-$U$5&gt;=0,最終修正!$G$16-$U$5&lt;=3),最終修正!$G$16-$U$5,-1)))</f>
        <v/>
      </c>
      <c r="AI15">
        <f>IF(AM15="",99,IF(最終修正!$I$16="",3,IF(AND(ISNUMBER(最終修正!$I$16),INT(最終修正!$I$16)=最終修正!$I$16,最終修正!$I$16-$U$5&gt;=0,最終修正!$I$16-$U$5&lt;=3),最終修正!$I$16-$U$5,-1)))</f>
        <v/>
      </c>
      <c r="AJ15">
        <f>IF(計算用!$Z$15="","",IF(計算用!$U$24,IF(計算用!$Z$15="A",INDEX(手直し!$B$6:$E$42,計算用!$AC$15,MOD(0-計算用!$AE$15+1,4)+1),INDEX(手直し!$G$6:$J$42,計算用!$AC$15,MOD(0-計算用!$AE$15+1,4)+1)),IF(計算用!$Z$15="A",INDEX(組分け!$B$5:$I$41,計算用!$AC$15,(MOD(0-計算用!$AE$15+1,4)+1)*2-1),INDEX(組分け!$L$5:$S$41,計算用!$AC$15,(MOD(0-計算用!$AE$15+1,4)+1)*2-1)))&amp;"")</f>
        <v/>
      </c>
      <c r="AK15">
        <f>IF(計算用!$Z$15="","",IF(計算用!$U$24,IF(計算用!$Z$15="A",INDEX(手直し!$B$6:$E$42,計算用!$AC$15,MOD(1-計算用!$AE$15+1,4)+1),INDEX(手直し!$G$6:$J$42,計算用!$AC$15,MOD(1-計算用!$AE$15+1,4)+1)),IF(計算用!$Z$15="A",INDEX(組分け!$B$5:$I$41,計算用!$AC$15,(MOD(1-計算用!$AE$15+1,4)+1)*2-1),INDEX(組分け!$L$5:$S$41,計算用!$AC$15,(MOD(1-計算用!$AE$15+1,4)+1)*2-1)))&amp;"")</f>
        <v/>
      </c>
      <c r="AL15">
        <f>IF(計算用!$Z$15="","",IF(計算用!$U$24,IF(計算用!$Z$15="A",INDEX(手直し!$B$6:$E$42,計算用!$AC$15,MOD(2-計算用!$AE$15+1,4)+1),INDEX(手直し!$G$6:$J$42,計算用!$AC$15,MOD(2-計算用!$AE$15+1,4)+1)),IF(計算用!$Z$15="A",INDEX(組分け!$B$5:$I$41,計算用!$AC$15,(MOD(2-計算用!$AE$15+1,4)+1)*2-1),INDEX(組分け!$L$5:$S$41,計算用!$AC$15,(MOD(2-計算用!$AE$15+1,4)+1)*2-1)))&amp;"")</f>
        <v/>
      </c>
      <c r="AM15">
        <f>IF(計算用!$Z$15="","",IF(計算用!$U$24,IF(計算用!$Z$15="A",INDEX(手直し!$B$6:$E$42,計算用!$AC$15,MOD(3-計算用!$AE$15+1,4)+1),INDEX(手直し!$G$6:$J$42,計算用!$AC$15,MOD(3-計算用!$AE$15+1,4)+1)),IF(計算用!$Z$15="A",INDEX(組分け!$B$5:$I$41,計算用!$AC$15,(MOD(3-計算用!$AE$15+1,4)+1)*2-1),INDEX(組分け!$L$5:$S$41,計算用!$AC$15,(MOD(3-計算用!$AE$15+1,4)+1)*2-1)))&amp;"")</f>
        <v/>
      </c>
      <c r="AN15">
        <f>IF(Z15="",0,(COUNTIF($AF15:$AI15,0)&gt;1)+(COUNTIF($AF15:$AI15,1)&gt;1)+(COUNTIF($AF15:$AI15,2)&gt;1)+(COUNTIF($AF15:$AI15,3)&gt;1)+COUNTIF($AF15:$AI15,-1))</f>
        <v/>
      </c>
      <c r="AP15">
        <f>IF(Z15="","",IFERROR(MOD(MATCH(0,$AF15:$AI15,0)-1-AE15+1,4),""))</f>
        <v/>
      </c>
      <c r="AQ15">
        <f>IF(Z15="","",IFERROR(MOD(MATCH(1,$AF15:$AI15,0)-1-AE15+1,4),""))</f>
        <v/>
      </c>
      <c r="AR15">
        <f>IF(Z15="","",IFERROR(MOD(MATCH(2,$AF15:$AI15,0)-1-AE15+1,4),""))</f>
        <v/>
      </c>
      <c r="AS15">
        <f>IF(Z15="","",IFERROR(MOD(MATCH(3,$AF15:$AI15,0)-1-AE15+1,4),""))</f>
        <v/>
      </c>
    </row>
    <row r="16">
      <c r="A16" t="n">
        <v>15</v>
      </c>
      <c r="B16">
        <f>INT((A16-1)/37)+1</f>
        <v/>
      </c>
      <c r="C16">
        <f>MOD(A16-1,37)+1</f>
        <v/>
      </c>
      <c r="D16">
        <f>TRIM(INDEX(データ入力!$B$5:$Q$41,C16,(B16-1)*4+1)&amp;"")</f>
        <v/>
      </c>
      <c r="E16">
        <f>INDEX(データ入力!$B$5:$Q$41,C16,(B16-1)*4+2)&amp;""</f>
        <v/>
      </c>
      <c r="F16">
        <f>IF(OR(E16="1",E16="１",E16="男"),"男",IF(OR(E16="2",E16="２",E16="女"),"女",""))</f>
        <v/>
      </c>
      <c r="G16">
        <f>INDEX(データ入力!$B$5:$Q$41,C16,(B16-1)*4+3)</f>
        <v/>
      </c>
      <c r="H16">
        <f>IF(D16="","",IF($U$2,"混",F16))</f>
        <v/>
      </c>
      <c r="I16">
        <f>IF(AND(H16&lt;&gt;"",ISNUMBER(G16)),H16,"")</f>
        <v/>
      </c>
      <c r="J16">
        <f>IF(I16="","",COUNTIFS($I$2:$I$149,I16,$B$2:$B$149,B16,$G$2:$G$149,"&lt;"&amp;G16)+COUNTIFS($I$2:$I$149,I16,$B$2:$B$149,B16,$G$2:$G$149,G16,$A$2:$A$149,"&lt;"&amp;A16)+1)</f>
        <v/>
      </c>
      <c r="K16">
        <f>IF(I16="","",I16&amp;B16&amp;"-"&amp;J16)</f>
        <v/>
      </c>
      <c r="L16">
        <f>IF(I16="","",I16&amp;B16&amp;"|"&amp;D16)</f>
        <v/>
      </c>
      <c r="M16">
        <f>IF(I16="","",IF(I16="女",COUNTIF(手直し!$G$6:$J$42,D16),COUNTIF(手直し!$B$6:$E$42,D16)))</f>
        <v/>
      </c>
      <c r="N16">
        <f>IF(I16="","",IF(I16="女",COUNTIF(INDEX(手直し!$G$6:$J$42,0,B16),D16),COUNTIF(INDEX(手直し!$B$6:$E$42,0,B16),D16)))</f>
        <v/>
      </c>
      <c r="O16">
        <f>IF(AND(I16&lt;&gt;"",M16=0),1,0)</f>
        <v/>
      </c>
      <c r="P16">
        <f>IF(AND(O16=1,I16&lt;&gt;"女"),COUNTIFS($O$2:O16,1,$I$2:I16,"&lt;&gt;女"),"")</f>
        <v/>
      </c>
      <c r="Q16">
        <f>IF(AND(O16=1,I16="女"),COUNTIFS($O$2:O16,1,$I$2:I16,"女"),"")</f>
        <v/>
      </c>
      <c r="R16">
        <f>IF(AND(I16&lt;&gt;"",M16&gt;=1,N16=0),1,0)</f>
        <v/>
      </c>
      <c r="S16">
        <f>IF(AND(D16&lt;&gt;"",I16=""),1,0)</f>
        <v/>
      </c>
      <c r="T16" t="inlineStr">
        <is>
          <t>Bちがうクラス</t>
        </is>
      </c>
      <c r="U16">
        <f>COUNTIFS($R$2:$R$149,1,$I$2:$I$149,"女")</f>
        <v/>
      </c>
      <c r="V16">
        <f>IF(J16="",0,J16)</f>
        <v/>
      </c>
      <c r="W16">
        <f>IF(I16="","",I16&amp;D16)</f>
        <v/>
      </c>
      <c r="Y16" t="n">
        <v>15</v>
      </c>
      <c r="Z16">
        <f>IF(Y16&gt;$U$22,"",IF(Y16&lt;=$U$23,IF($U$4,"B","A"),IF($U$4,"A","B")))</f>
        <v/>
      </c>
      <c r="AA16">
        <f>IF(Z16="","",IF(Y16&lt;=$U$23,Y16,Y16-$U$23))</f>
        <v/>
      </c>
      <c r="AB16">
        <f>IF(Z16="","",IF(Z16="A",$U$7,$U$8))</f>
        <v/>
      </c>
      <c r="AC16">
        <f>IF(Z16="","",IF(AB16&lt;=$U$6,AB16-AA16+1,IF(AA16&lt;=INT((AB16-$U$6+1)/2),$U$6-1+2*AA16,IF(AA16&lt;=INT((AB16-$U$6+1)/2)+INT((AB16-$U$6)/2),(AB16-1+MOD(AB16,2))-2*(AA16-INT((AB16-$U$6+1)/2)-1),$U$6-(AA16-INT((AB16-$U$6+1)/2)-INT((AB16-$U$6)/2)-1)))))</f>
        <v/>
      </c>
      <c r="AD16">
        <f>IF(Z16="","",IF($U$2,"",IF(Z16="B","女子","男子"))&amp;AA16&amp;"レース")</f>
        <v/>
      </c>
      <c r="AE16">
        <f>IF(Z16="","",IF($U$2,1,AA16))</f>
        <v/>
      </c>
      <c r="AF16">
        <f>IF(AJ16="",99,IF(最終修正!$C$17="",0,IF(AND(ISNUMBER(最終修正!$C$17),INT(最終修正!$C$17)=最終修正!$C$17,最終修正!$C$17-$U$5&gt;=0,最終修正!$C$17-$U$5&lt;=3),最終修正!$C$17-$U$5,-1)))</f>
        <v/>
      </c>
      <c r="AG16">
        <f>IF(AK16="",99,IF(最終修正!$E$17="",1,IF(AND(ISNUMBER(最終修正!$E$17),INT(最終修正!$E$17)=最終修正!$E$17,最終修正!$E$17-$U$5&gt;=0,最終修正!$E$17-$U$5&lt;=3),最終修正!$E$17-$U$5,-1)))</f>
        <v/>
      </c>
      <c r="AH16">
        <f>IF(AL16="",99,IF(最終修正!$G$17="",2,IF(AND(ISNUMBER(最終修正!$G$17),INT(最終修正!$G$17)=最終修正!$G$17,最終修正!$G$17-$U$5&gt;=0,最終修正!$G$17-$U$5&lt;=3),最終修正!$G$17-$U$5,-1)))</f>
        <v/>
      </c>
      <c r="AI16">
        <f>IF(AM16="",99,IF(最終修正!$I$17="",3,IF(AND(ISNUMBER(最終修正!$I$17),INT(最終修正!$I$17)=最終修正!$I$17,最終修正!$I$17-$U$5&gt;=0,最終修正!$I$17-$U$5&lt;=3),最終修正!$I$17-$U$5,-1)))</f>
        <v/>
      </c>
      <c r="AJ16">
        <f>IF(計算用!$Z$16="","",IF(計算用!$U$24,IF(計算用!$Z$16="A",INDEX(手直し!$B$6:$E$42,計算用!$AC$16,MOD(0-計算用!$AE$16+1,4)+1),INDEX(手直し!$G$6:$J$42,計算用!$AC$16,MOD(0-計算用!$AE$16+1,4)+1)),IF(計算用!$Z$16="A",INDEX(組分け!$B$5:$I$41,計算用!$AC$16,(MOD(0-計算用!$AE$16+1,4)+1)*2-1),INDEX(組分け!$L$5:$S$41,計算用!$AC$16,(MOD(0-計算用!$AE$16+1,4)+1)*2-1)))&amp;"")</f>
        <v/>
      </c>
      <c r="AK16">
        <f>IF(計算用!$Z$16="","",IF(計算用!$U$24,IF(計算用!$Z$16="A",INDEX(手直し!$B$6:$E$42,計算用!$AC$16,MOD(1-計算用!$AE$16+1,4)+1),INDEX(手直し!$G$6:$J$42,計算用!$AC$16,MOD(1-計算用!$AE$16+1,4)+1)),IF(計算用!$Z$16="A",INDEX(組分け!$B$5:$I$41,計算用!$AC$16,(MOD(1-計算用!$AE$16+1,4)+1)*2-1),INDEX(組分け!$L$5:$S$41,計算用!$AC$16,(MOD(1-計算用!$AE$16+1,4)+1)*2-1)))&amp;"")</f>
        <v/>
      </c>
      <c r="AL16">
        <f>IF(計算用!$Z$16="","",IF(計算用!$U$24,IF(計算用!$Z$16="A",INDEX(手直し!$B$6:$E$42,計算用!$AC$16,MOD(2-計算用!$AE$16+1,4)+1),INDEX(手直し!$G$6:$J$42,計算用!$AC$16,MOD(2-計算用!$AE$16+1,4)+1)),IF(計算用!$Z$16="A",INDEX(組分け!$B$5:$I$41,計算用!$AC$16,(MOD(2-計算用!$AE$16+1,4)+1)*2-1),INDEX(組分け!$L$5:$S$41,計算用!$AC$16,(MOD(2-計算用!$AE$16+1,4)+1)*2-1)))&amp;"")</f>
        <v/>
      </c>
      <c r="AM16">
        <f>IF(計算用!$Z$16="","",IF(計算用!$U$24,IF(計算用!$Z$16="A",INDEX(手直し!$B$6:$E$42,計算用!$AC$16,MOD(3-計算用!$AE$16+1,4)+1),INDEX(手直し!$G$6:$J$42,計算用!$AC$16,MOD(3-計算用!$AE$16+1,4)+1)),IF(計算用!$Z$16="A",INDEX(組分け!$B$5:$I$41,計算用!$AC$16,(MOD(3-計算用!$AE$16+1,4)+1)*2-1),INDEX(組分け!$L$5:$S$41,計算用!$AC$16,(MOD(3-計算用!$AE$16+1,4)+1)*2-1)))&amp;"")</f>
        <v/>
      </c>
      <c r="AN16">
        <f>IF(Z16="",0,(COUNTIF($AF16:$AI16,0)&gt;1)+(COUNTIF($AF16:$AI16,1)&gt;1)+(COUNTIF($AF16:$AI16,2)&gt;1)+(COUNTIF($AF16:$AI16,3)&gt;1)+COUNTIF($AF16:$AI16,-1))</f>
        <v/>
      </c>
      <c r="AP16">
        <f>IF(Z16="","",IFERROR(MOD(MATCH(0,$AF16:$AI16,0)-1-AE16+1,4),""))</f>
        <v/>
      </c>
      <c r="AQ16">
        <f>IF(Z16="","",IFERROR(MOD(MATCH(1,$AF16:$AI16,0)-1-AE16+1,4),""))</f>
        <v/>
      </c>
      <c r="AR16">
        <f>IF(Z16="","",IFERROR(MOD(MATCH(2,$AF16:$AI16,0)-1-AE16+1,4),""))</f>
        <v/>
      </c>
      <c r="AS16">
        <f>IF(Z16="","",IFERROR(MOD(MATCH(3,$AF16:$AI16,0)-1-AE16+1,4),""))</f>
        <v/>
      </c>
    </row>
    <row r="17">
      <c r="A17" t="n">
        <v>16</v>
      </c>
      <c r="B17">
        <f>INT((A17-1)/37)+1</f>
        <v/>
      </c>
      <c r="C17">
        <f>MOD(A17-1,37)+1</f>
        <v/>
      </c>
      <c r="D17">
        <f>TRIM(INDEX(データ入力!$B$5:$Q$41,C17,(B17-1)*4+1)&amp;"")</f>
        <v/>
      </c>
      <c r="E17">
        <f>INDEX(データ入力!$B$5:$Q$41,C17,(B17-1)*4+2)&amp;""</f>
        <v/>
      </c>
      <c r="F17">
        <f>IF(OR(E17="1",E17="１",E17="男"),"男",IF(OR(E17="2",E17="２",E17="女"),"女",""))</f>
        <v/>
      </c>
      <c r="G17">
        <f>INDEX(データ入力!$B$5:$Q$41,C17,(B17-1)*4+3)</f>
        <v/>
      </c>
      <c r="H17">
        <f>IF(D17="","",IF($U$2,"混",F17))</f>
        <v/>
      </c>
      <c r="I17">
        <f>IF(AND(H17&lt;&gt;"",ISNUMBER(G17)),H17,"")</f>
        <v/>
      </c>
      <c r="J17">
        <f>IF(I17="","",COUNTIFS($I$2:$I$149,I17,$B$2:$B$149,B17,$G$2:$G$149,"&lt;"&amp;G17)+COUNTIFS($I$2:$I$149,I17,$B$2:$B$149,B17,$G$2:$G$149,G17,$A$2:$A$149,"&lt;"&amp;A17)+1)</f>
        <v/>
      </c>
      <c r="K17">
        <f>IF(I17="","",I17&amp;B17&amp;"-"&amp;J17)</f>
        <v/>
      </c>
      <c r="L17">
        <f>IF(I17="","",I17&amp;B17&amp;"|"&amp;D17)</f>
        <v/>
      </c>
      <c r="M17">
        <f>IF(I17="","",IF(I17="女",COUNTIF(手直し!$G$6:$J$42,D17),COUNTIF(手直し!$B$6:$E$42,D17)))</f>
        <v/>
      </c>
      <c r="N17">
        <f>IF(I17="","",IF(I17="女",COUNTIF(INDEX(手直し!$G$6:$J$42,0,B17),D17),COUNTIF(INDEX(手直し!$B$6:$E$42,0,B17),D17)))</f>
        <v/>
      </c>
      <c r="O17">
        <f>IF(AND(I17&lt;&gt;"",M17=0),1,0)</f>
        <v/>
      </c>
      <c r="P17">
        <f>IF(AND(O17=1,I17&lt;&gt;"女"),COUNTIFS($O$2:O17,1,$I$2:I17,"&lt;&gt;女"),"")</f>
        <v/>
      </c>
      <c r="Q17">
        <f>IF(AND(O17=1,I17="女"),COUNTIFS($O$2:O17,1,$I$2:I17,"女"),"")</f>
        <v/>
      </c>
      <c r="R17">
        <f>IF(AND(I17&lt;&gt;"",M17&gt;=1,N17=0),1,0)</f>
        <v/>
      </c>
      <c r="S17">
        <f>IF(AND(D17&lt;&gt;"",I17=""),1,0)</f>
        <v/>
      </c>
      <c r="T17" t="inlineStr">
        <is>
          <t>A名簿にない</t>
        </is>
      </c>
      <c r="U17">
        <f>SUMPRODUCT((手直し!$B$6:$E$42&lt;&gt;"")*(COUNTIF($W$2:$W$149,$U$3&amp;手直し!$B$6:$E$42)=0))</f>
        <v/>
      </c>
      <c r="V17">
        <f>IF(J17="",0,J17)</f>
        <v/>
      </c>
      <c r="W17">
        <f>IF(I17="","",I17&amp;D17)</f>
        <v/>
      </c>
      <c r="Y17" t="n">
        <v>16</v>
      </c>
      <c r="Z17">
        <f>IF(Y17&gt;$U$22,"",IF(Y17&lt;=$U$23,IF($U$4,"B","A"),IF($U$4,"A","B")))</f>
        <v/>
      </c>
      <c r="AA17">
        <f>IF(Z17="","",IF(Y17&lt;=$U$23,Y17,Y17-$U$23))</f>
        <v/>
      </c>
      <c r="AB17">
        <f>IF(Z17="","",IF(Z17="A",$U$7,$U$8))</f>
        <v/>
      </c>
      <c r="AC17">
        <f>IF(Z17="","",IF(AB17&lt;=$U$6,AB17-AA17+1,IF(AA17&lt;=INT((AB17-$U$6+1)/2),$U$6-1+2*AA17,IF(AA17&lt;=INT((AB17-$U$6+1)/2)+INT((AB17-$U$6)/2),(AB17-1+MOD(AB17,2))-2*(AA17-INT((AB17-$U$6+1)/2)-1),$U$6-(AA17-INT((AB17-$U$6+1)/2)-INT((AB17-$U$6)/2)-1)))))</f>
        <v/>
      </c>
      <c r="AD17">
        <f>IF(Z17="","",IF($U$2,"",IF(Z17="B","女子","男子"))&amp;AA17&amp;"レース")</f>
        <v/>
      </c>
      <c r="AE17">
        <f>IF(Z17="","",IF($U$2,1,AA17))</f>
        <v/>
      </c>
      <c r="AF17">
        <f>IF(AJ17="",99,IF(最終修正!$C$18="",0,IF(AND(ISNUMBER(最終修正!$C$18),INT(最終修正!$C$18)=最終修正!$C$18,最終修正!$C$18-$U$5&gt;=0,最終修正!$C$18-$U$5&lt;=3),最終修正!$C$18-$U$5,-1)))</f>
        <v/>
      </c>
      <c r="AG17">
        <f>IF(AK17="",99,IF(最終修正!$E$18="",1,IF(AND(ISNUMBER(最終修正!$E$18),INT(最終修正!$E$18)=最終修正!$E$18,最終修正!$E$18-$U$5&gt;=0,最終修正!$E$18-$U$5&lt;=3),最終修正!$E$18-$U$5,-1)))</f>
        <v/>
      </c>
      <c r="AH17">
        <f>IF(AL17="",99,IF(最終修正!$G$18="",2,IF(AND(ISNUMBER(最終修正!$G$18),INT(最終修正!$G$18)=最終修正!$G$18,最終修正!$G$18-$U$5&gt;=0,最終修正!$G$18-$U$5&lt;=3),最終修正!$G$18-$U$5,-1)))</f>
        <v/>
      </c>
      <c r="AI17">
        <f>IF(AM17="",99,IF(最終修正!$I$18="",3,IF(AND(ISNUMBER(最終修正!$I$18),INT(最終修正!$I$18)=最終修正!$I$18,最終修正!$I$18-$U$5&gt;=0,最終修正!$I$18-$U$5&lt;=3),最終修正!$I$18-$U$5,-1)))</f>
        <v/>
      </c>
      <c r="AJ17">
        <f>IF(計算用!$Z$17="","",IF(計算用!$U$24,IF(計算用!$Z$17="A",INDEX(手直し!$B$6:$E$42,計算用!$AC$17,MOD(0-計算用!$AE$17+1,4)+1),INDEX(手直し!$G$6:$J$42,計算用!$AC$17,MOD(0-計算用!$AE$17+1,4)+1)),IF(計算用!$Z$17="A",INDEX(組分け!$B$5:$I$41,計算用!$AC$17,(MOD(0-計算用!$AE$17+1,4)+1)*2-1),INDEX(組分け!$L$5:$S$41,計算用!$AC$17,(MOD(0-計算用!$AE$17+1,4)+1)*2-1)))&amp;"")</f>
        <v/>
      </c>
      <c r="AK17">
        <f>IF(計算用!$Z$17="","",IF(計算用!$U$24,IF(計算用!$Z$17="A",INDEX(手直し!$B$6:$E$42,計算用!$AC$17,MOD(1-計算用!$AE$17+1,4)+1),INDEX(手直し!$G$6:$J$42,計算用!$AC$17,MOD(1-計算用!$AE$17+1,4)+1)),IF(計算用!$Z$17="A",INDEX(組分け!$B$5:$I$41,計算用!$AC$17,(MOD(1-計算用!$AE$17+1,4)+1)*2-1),INDEX(組分け!$L$5:$S$41,計算用!$AC$17,(MOD(1-計算用!$AE$17+1,4)+1)*2-1)))&amp;"")</f>
        <v/>
      </c>
      <c r="AL17">
        <f>IF(計算用!$Z$17="","",IF(計算用!$U$24,IF(計算用!$Z$17="A",INDEX(手直し!$B$6:$E$42,計算用!$AC$17,MOD(2-計算用!$AE$17+1,4)+1),INDEX(手直し!$G$6:$J$42,計算用!$AC$17,MOD(2-計算用!$AE$17+1,4)+1)),IF(計算用!$Z$17="A",INDEX(組分け!$B$5:$I$41,計算用!$AC$17,(MOD(2-計算用!$AE$17+1,4)+1)*2-1),INDEX(組分け!$L$5:$S$41,計算用!$AC$17,(MOD(2-計算用!$AE$17+1,4)+1)*2-1)))&amp;"")</f>
        <v/>
      </c>
      <c r="AM17">
        <f>IF(計算用!$Z$17="","",IF(計算用!$U$24,IF(計算用!$Z$17="A",INDEX(手直し!$B$6:$E$42,計算用!$AC$17,MOD(3-計算用!$AE$17+1,4)+1),INDEX(手直し!$G$6:$J$42,計算用!$AC$17,MOD(3-計算用!$AE$17+1,4)+1)),IF(計算用!$Z$17="A",INDEX(組分け!$B$5:$I$41,計算用!$AC$17,(MOD(3-計算用!$AE$17+1,4)+1)*2-1),INDEX(組分け!$L$5:$S$41,計算用!$AC$17,(MOD(3-計算用!$AE$17+1,4)+1)*2-1)))&amp;"")</f>
        <v/>
      </c>
      <c r="AN17">
        <f>IF(Z17="",0,(COUNTIF($AF17:$AI17,0)&gt;1)+(COUNTIF($AF17:$AI17,1)&gt;1)+(COUNTIF($AF17:$AI17,2)&gt;1)+(COUNTIF($AF17:$AI17,3)&gt;1)+COUNTIF($AF17:$AI17,-1))</f>
        <v/>
      </c>
      <c r="AP17">
        <f>IF(Z17="","",IFERROR(MOD(MATCH(0,$AF17:$AI17,0)-1-AE17+1,4),""))</f>
        <v/>
      </c>
      <c r="AQ17">
        <f>IF(Z17="","",IFERROR(MOD(MATCH(1,$AF17:$AI17,0)-1-AE17+1,4),""))</f>
        <v/>
      </c>
      <c r="AR17">
        <f>IF(Z17="","",IFERROR(MOD(MATCH(2,$AF17:$AI17,0)-1-AE17+1,4),""))</f>
        <v/>
      </c>
      <c r="AS17">
        <f>IF(Z17="","",IFERROR(MOD(MATCH(3,$AF17:$AI17,0)-1-AE17+1,4),""))</f>
        <v/>
      </c>
    </row>
    <row r="18">
      <c r="A18" t="n">
        <v>17</v>
      </c>
      <c r="B18">
        <f>INT((A18-1)/37)+1</f>
        <v/>
      </c>
      <c r="C18">
        <f>MOD(A18-1,37)+1</f>
        <v/>
      </c>
      <c r="D18">
        <f>TRIM(INDEX(データ入力!$B$5:$Q$41,C18,(B18-1)*4+1)&amp;"")</f>
        <v/>
      </c>
      <c r="E18">
        <f>INDEX(データ入力!$B$5:$Q$41,C18,(B18-1)*4+2)&amp;""</f>
        <v/>
      </c>
      <c r="F18">
        <f>IF(OR(E18="1",E18="１",E18="男"),"男",IF(OR(E18="2",E18="２",E18="女"),"女",""))</f>
        <v/>
      </c>
      <c r="G18">
        <f>INDEX(データ入力!$B$5:$Q$41,C18,(B18-1)*4+3)</f>
        <v/>
      </c>
      <c r="H18">
        <f>IF(D18="","",IF($U$2,"混",F18))</f>
        <v/>
      </c>
      <c r="I18">
        <f>IF(AND(H18&lt;&gt;"",ISNUMBER(G18)),H18,"")</f>
        <v/>
      </c>
      <c r="J18">
        <f>IF(I18="","",COUNTIFS($I$2:$I$149,I18,$B$2:$B$149,B18,$G$2:$G$149,"&lt;"&amp;G18)+COUNTIFS($I$2:$I$149,I18,$B$2:$B$149,B18,$G$2:$G$149,G18,$A$2:$A$149,"&lt;"&amp;A18)+1)</f>
        <v/>
      </c>
      <c r="K18">
        <f>IF(I18="","",I18&amp;B18&amp;"-"&amp;J18)</f>
        <v/>
      </c>
      <c r="L18">
        <f>IF(I18="","",I18&amp;B18&amp;"|"&amp;D18)</f>
        <v/>
      </c>
      <c r="M18">
        <f>IF(I18="","",IF(I18="女",COUNTIF(手直し!$G$6:$J$42,D18),COUNTIF(手直し!$B$6:$E$42,D18)))</f>
        <v/>
      </c>
      <c r="N18">
        <f>IF(I18="","",IF(I18="女",COUNTIF(INDEX(手直し!$G$6:$J$42,0,B18),D18),COUNTIF(INDEX(手直し!$B$6:$E$42,0,B18),D18)))</f>
        <v/>
      </c>
      <c r="O18">
        <f>IF(AND(I18&lt;&gt;"",M18=0),1,0)</f>
        <v/>
      </c>
      <c r="P18">
        <f>IF(AND(O18=1,I18&lt;&gt;"女"),COUNTIFS($O$2:O18,1,$I$2:I18,"&lt;&gt;女"),"")</f>
        <v/>
      </c>
      <c r="Q18">
        <f>IF(AND(O18=1,I18="女"),COUNTIFS($O$2:O18,1,$I$2:I18,"女"),"")</f>
        <v/>
      </c>
      <c r="R18">
        <f>IF(AND(I18&lt;&gt;"",M18&gt;=1,N18=0),1,0)</f>
        <v/>
      </c>
      <c r="S18">
        <f>IF(AND(D18&lt;&gt;"",I18=""),1,0)</f>
        <v/>
      </c>
      <c r="T18" t="inlineStr">
        <is>
          <t>B名簿にない</t>
        </is>
      </c>
      <c r="U18">
        <f>IF(U2,0,SUMPRODUCT((手直し!$G$6:$J$42&lt;&gt;"")*(COUNTIF($W$2:$W$149,"女"&amp;手直し!$G$6:$J$42)=0)))</f>
        <v/>
      </c>
      <c r="V18">
        <f>IF(J18="",0,J18)</f>
        <v/>
      </c>
      <c r="W18">
        <f>IF(I18="","",I18&amp;D18)</f>
        <v/>
      </c>
      <c r="Y18" t="n">
        <v>17</v>
      </c>
      <c r="Z18">
        <f>IF(Y18&gt;$U$22,"",IF(Y18&lt;=$U$23,IF($U$4,"B","A"),IF($U$4,"A","B")))</f>
        <v/>
      </c>
      <c r="AA18">
        <f>IF(Z18="","",IF(Y18&lt;=$U$23,Y18,Y18-$U$23))</f>
        <v/>
      </c>
      <c r="AB18">
        <f>IF(Z18="","",IF(Z18="A",$U$7,$U$8))</f>
        <v/>
      </c>
      <c r="AC18">
        <f>IF(Z18="","",IF(AB18&lt;=$U$6,AB18-AA18+1,IF(AA18&lt;=INT((AB18-$U$6+1)/2),$U$6-1+2*AA18,IF(AA18&lt;=INT((AB18-$U$6+1)/2)+INT((AB18-$U$6)/2),(AB18-1+MOD(AB18,2))-2*(AA18-INT((AB18-$U$6+1)/2)-1),$U$6-(AA18-INT((AB18-$U$6+1)/2)-INT((AB18-$U$6)/2)-1)))))</f>
        <v/>
      </c>
      <c r="AD18">
        <f>IF(Z18="","",IF($U$2,"",IF(Z18="B","女子","男子"))&amp;AA18&amp;"レース")</f>
        <v/>
      </c>
      <c r="AE18">
        <f>IF(Z18="","",IF($U$2,1,AA18))</f>
        <v/>
      </c>
      <c r="AF18">
        <f>IF(AJ18="",99,IF(最終修正!$C$19="",0,IF(AND(ISNUMBER(最終修正!$C$19),INT(最終修正!$C$19)=最終修正!$C$19,最終修正!$C$19-$U$5&gt;=0,最終修正!$C$19-$U$5&lt;=3),最終修正!$C$19-$U$5,-1)))</f>
        <v/>
      </c>
      <c r="AG18">
        <f>IF(AK18="",99,IF(最終修正!$E$19="",1,IF(AND(ISNUMBER(最終修正!$E$19),INT(最終修正!$E$19)=最終修正!$E$19,最終修正!$E$19-$U$5&gt;=0,最終修正!$E$19-$U$5&lt;=3),最終修正!$E$19-$U$5,-1)))</f>
        <v/>
      </c>
      <c r="AH18">
        <f>IF(AL18="",99,IF(最終修正!$G$19="",2,IF(AND(ISNUMBER(最終修正!$G$19),INT(最終修正!$G$19)=最終修正!$G$19,最終修正!$G$19-$U$5&gt;=0,最終修正!$G$19-$U$5&lt;=3),最終修正!$G$19-$U$5,-1)))</f>
        <v/>
      </c>
      <c r="AI18">
        <f>IF(AM18="",99,IF(最終修正!$I$19="",3,IF(AND(ISNUMBER(最終修正!$I$19),INT(最終修正!$I$19)=最終修正!$I$19,最終修正!$I$19-$U$5&gt;=0,最終修正!$I$19-$U$5&lt;=3),最終修正!$I$19-$U$5,-1)))</f>
        <v/>
      </c>
      <c r="AJ18">
        <f>IF(計算用!$Z$18="","",IF(計算用!$U$24,IF(計算用!$Z$18="A",INDEX(手直し!$B$6:$E$42,計算用!$AC$18,MOD(0-計算用!$AE$18+1,4)+1),INDEX(手直し!$G$6:$J$42,計算用!$AC$18,MOD(0-計算用!$AE$18+1,4)+1)),IF(計算用!$Z$18="A",INDEX(組分け!$B$5:$I$41,計算用!$AC$18,(MOD(0-計算用!$AE$18+1,4)+1)*2-1),INDEX(組分け!$L$5:$S$41,計算用!$AC$18,(MOD(0-計算用!$AE$18+1,4)+1)*2-1)))&amp;"")</f>
        <v/>
      </c>
      <c r="AK18">
        <f>IF(計算用!$Z$18="","",IF(計算用!$U$24,IF(計算用!$Z$18="A",INDEX(手直し!$B$6:$E$42,計算用!$AC$18,MOD(1-計算用!$AE$18+1,4)+1),INDEX(手直し!$G$6:$J$42,計算用!$AC$18,MOD(1-計算用!$AE$18+1,4)+1)),IF(計算用!$Z$18="A",INDEX(組分け!$B$5:$I$41,計算用!$AC$18,(MOD(1-計算用!$AE$18+1,4)+1)*2-1),INDEX(組分け!$L$5:$S$41,計算用!$AC$18,(MOD(1-計算用!$AE$18+1,4)+1)*2-1)))&amp;"")</f>
        <v/>
      </c>
      <c r="AL18">
        <f>IF(計算用!$Z$18="","",IF(計算用!$U$24,IF(計算用!$Z$18="A",INDEX(手直し!$B$6:$E$42,計算用!$AC$18,MOD(2-計算用!$AE$18+1,4)+1),INDEX(手直し!$G$6:$J$42,計算用!$AC$18,MOD(2-計算用!$AE$18+1,4)+1)),IF(計算用!$Z$18="A",INDEX(組分け!$B$5:$I$41,計算用!$AC$18,(MOD(2-計算用!$AE$18+1,4)+1)*2-1),INDEX(組分け!$L$5:$S$41,計算用!$AC$18,(MOD(2-計算用!$AE$18+1,4)+1)*2-1)))&amp;"")</f>
        <v/>
      </c>
      <c r="AM18">
        <f>IF(計算用!$Z$18="","",IF(計算用!$U$24,IF(計算用!$Z$18="A",INDEX(手直し!$B$6:$E$42,計算用!$AC$18,MOD(3-計算用!$AE$18+1,4)+1),INDEX(手直し!$G$6:$J$42,計算用!$AC$18,MOD(3-計算用!$AE$18+1,4)+1)),IF(計算用!$Z$18="A",INDEX(組分け!$B$5:$I$41,計算用!$AC$18,(MOD(3-計算用!$AE$18+1,4)+1)*2-1),INDEX(組分け!$L$5:$S$41,計算用!$AC$18,(MOD(3-計算用!$AE$18+1,4)+1)*2-1)))&amp;"")</f>
        <v/>
      </c>
      <c r="AN18">
        <f>IF(Z18="",0,(COUNTIF($AF18:$AI18,0)&gt;1)+(COUNTIF($AF18:$AI18,1)&gt;1)+(COUNTIF($AF18:$AI18,2)&gt;1)+(COUNTIF($AF18:$AI18,3)&gt;1)+COUNTIF($AF18:$AI18,-1))</f>
        <v/>
      </c>
      <c r="AP18">
        <f>IF(Z18="","",IFERROR(MOD(MATCH(0,$AF18:$AI18,0)-1-AE18+1,4),""))</f>
        <v/>
      </c>
      <c r="AQ18">
        <f>IF(Z18="","",IFERROR(MOD(MATCH(1,$AF18:$AI18,0)-1-AE18+1,4),""))</f>
        <v/>
      </c>
      <c r="AR18">
        <f>IF(Z18="","",IFERROR(MOD(MATCH(2,$AF18:$AI18,0)-1-AE18+1,4),""))</f>
        <v/>
      </c>
      <c r="AS18">
        <f>IF(Z18="","",IFERROR(MOD(MATCH(3,$AF18:$AI18,0)-1-AE18+1,4),""))</f>
        <v/>
      </c>
    </row>
    <row r="19">
      <c r="A19" t="n">
        <v>18</v>
      </c>
      <c r="B19">
        <f>INT((A19-1)/37)+1</f>
        <v/>
      </c>
      <c r="C19">
        <f>MOD(A19-1,37)+1</f>
        <v/>
      </c>
      <c r="D19">
        <f>TRIM(INDEX(データ入力!$B$5:$Q$41,C19,(B19-1)*4+1)&amp;"")</f>
        <v/>
      </c>
      <c r="E19">
        <f>INDEX(データ入力!$B$5:$Q$41,C19,(B19-1)*4+2)&amp;""</f>
        <v/>
      </c>
      <c r="F19">
        <f>IF(OR(E19="1",E19="１",E19="男"),"男",IF(OR(E19="2",E19="２",E19="女"),"女",""))</f>
        <v/>
      </c>
      <c r="G19">
        <f>INDEX(データ入力!$B$5:$Q$41,C19,(B19-1)*4+3)</f>
        <v/>
      </c>
      <c r="H19">
        <f>IF(D19="","",IF($U$2,"混",F19))</f>
        <v/>
      </c>
      <c r="I19">
        <f>IF(AND(H19&lt;&gt;"",ISNUMBER(G19)),H19,"")</f>
        <v/>
      </c>
      <c r="J19">
        <f>IF(I19="","",COUNTIFS($I$2:$I$149,I19,$B$2:$B$149,B19,$G$2:$G$149,"&lt;"&amp;G19)+COUNTIFS($I$2:$I$149,I19,$B$2:$B$149,B19,$G$2:$G$149,G19,$A$2:$A$149,"&lt;"&amp;A19)+1)</f>
        <v/>
      </c>
      <c r="K19">
        <f>IF(I19="","",I19&amp;B19&amp;"-"&amp;J19)</f>
        <v/>
      </c>
      <c r="L19">
        <f>IF(I19="","",I19&amp;B19&amp;"|"&amp;D19)</f>
        <v/>
      </c>
      <c r="M19">
        <f>IF(I19="","",IF(I19="女",COUNTIF(手直し!$G$6:$J$42,D19),COUNTIF(手直し!$B$6:$E$42,D19)))</f>
        <v/>
      </c>
      <c r="N19">
        <f>IF(I19="","",IF(I19="女",COUNTIF(INDEX(手直し!$G$6:$J$42,0,B19),D19),COUNTIF(INDEX(手直し!$B$6:$E$42,0,B19),D19)))</f>
        <v/>
      </c>
      <c r="O19">
        <f>IF(AND(I19&lt;&gt;"",M19=0),1,0)</f>
        <v/>
      </c>
      <c r="P19">
        <f>IF(AND(O19=1,I19&lt;&gt;"女"),COUNTIFS($O$2:O19,1,$I$2:I19,"&lt;&gt;女"),"")</f>
        <v/>
      </c>
      <c r="Q19">
        <f>IF(AND(O19=1,I19="女"),COUNTIFS($O$2:O19,1,$I$2:I19,"女"),"")</f>
        <v/>
      </c>
      <c r="R19">
        <f>IF(AND(I19&lt;&gt;"",M19&gt;=1,N19=0),1,0)</f>
        <v/>
      </c>
      <c r="S19">
        <f>IF(AND(D19&lt;&gt;"",I19=""),1,0)</f>
        <v/>
      </c>
      <c r="T19" t="inlineStr">
        <is>
          <t>同じ名前</t>
        </is>
      </c>
      <c r="U19">
        <f>SUMPRODUCT(($W$2:$W$149&lt;&gt;"")*(COUNTIF($W$2:$W$149,$W$2:$W$149)&gt;1))</f>
        <v/>
      </c>
      <c r="V19">
        <f>IF(J19="",0,J19)</f>
        <v/>
      </c>
      <c r="W19">
        <f>IF(I19="","",I19&amp;D19)</f>
        <v/>
      </c>
      <c r="Y19" t="n">
        <v>18</v>
      </c>
      <c r="Z19">
        <f>IF(Y19&gt;$U$22,"",IF(Y19&lt;=$U$23,IF($U$4,"B","A"),IF($U$4,"A","B")))</f>
        <v/>
      </c>
      <c r="AA19">
        <f>IF(Z19="","",IF(Y19&lt;=$U$23,Y19,Y19-$U$23))</f>
        <v/>
      </c>
      <c r="AB19">
        <f>IF(Z19="","",IF(Z19="A",$U$7,$U$8))</f>
        <v/>
      </c>
      <c r="AC19">
        <f>IF(Z19="","",IF(AB19&lt;=$U$6,AB19-AA19+1,IF(AA19&lt;=INT((AB19-$U$6+1)/2),$U$6-1+2*AA19,IF(AA19&lt;=INT((AB19-$U$6+1)/2)+INT((AB19-$U$6)/2),(AB19-1+MOD(AB19,2))-2*(AA19-INT((AB19-$U$6+1)/2)-1),$U$6-(AA19-INT((AB19-$U$6+1)/2)-INT((AB19-$U$6)/2)-1)))))</f>
        <v/>
      </c>
      <c r="AD19">
        <f>IF(Z19="","",IF($U$2,"",IF(Z19="B","女子","男子"))&amp;AA19&amp;"レース")</f>
        <v/>
      </c>
      <c r="AE19">
        <f>IF(Z19="","",IF($U$2,1,AA19))</f>
        <v/>
      </c>
      <c r="AF19">
        <f>IF(AJ19="",99,IF(最終修正!$C$20="",0,IF(AND(ISNUMBER(最終修正!$C$20),INT(最終修正!$C$20)=最終修正!$C$20,最終修正!$C$20-$U$5&gt;=0,最終修正!$C$20-$U$5&lt;=3),最終修正!$C$20-$U$5,-1)))</f>
        <v/>
      </c>
      <c r="AG19">
        <f>IF(AK19="",99,IF(最終修正!$E$20="",1,IF(AND(ISNUMBER(最終修正!$E$20),INT(最終修正!$E$20)=最終修正!$E$20,最終修正!$E$20-$U$5&gt;=0,最終修正!$E$20-$U$5&lt;=3),最終修正!$E$20-$U$5,-1)))</f>
        <v/>
      </c>
      <c r="AH19">
        <f>IF(AL19="",99,IF(最終修正!$G$20="",2,IF(AND(ISNUMBER(最終修正!$G$20),INT(最終修正!$G$20)=最終修正!$G$20,最終修正!$G$20-$U$5&gt;=0,最終修正!$G$20-$U$5&lt;=3),最終修正!$G$20-$U$5,-1)))</f>
        <v/>
      </c>
      <c r="AI19">
        <f>IF(AM19="",99,IF(最終修正!$I$20="",3,IF(AND(ISNUMBER(最終修正!$I$20),INT(最終修正!$I$20)=最終修正!$I$20,最終修正!$I$20-$U$5&gt;=0,最終修正!$I$20-$U$5&lt;=3),最終修正!$I$20-$U$5,-1)))</f>
        <v/>
      </c>
      <c r="AJ19">
        <f>IF(計算用!$Z$19="","",IF(計算用!$U$24,IF(計算用!$Z$19="A",INDEX(手直し!$B$6:$E$42,計算用!$AC$19,MOD(0-計算用!$AE$19+1,4)+1),INDEX(手直し!$G$6:$J$42,計算用!$AC$19,MOD(0-計算用!$AE$19+1,4)+1)),IF(計算用!$Z$19="A",INDEX(組分け!$B$5:$I$41,計算用!$AC$19,(MOD(0-計算用!$AE$19+1,4)+1)*2-1),INDEX(組分け!$L$5:$S$41,計算用!$AC$19,(MOD(0-計算用!$AE$19+1,4)+1)*2-1)))&amp;"")</f>
        <v/>
      </c>
      <c r="AK19">
        <f>IF(計算用!$Z$19="","",IF(計算用!$U$24,IF(計算用!$Z$19="A",INDEX(手直し!$B$6:$E$42,計算用!$AC$19,MOD(1-計算用!$AE$19+1,4)+1),INDEX(手直し!$G$6:$J$42,計算用!$AC$19,MOD(1-計算用!$AE$19+1,4)+1)),IF(計算用!$Z$19="A",INDEX(組分け!$B$5:$I$41,計算用!$AC$19,(MOD(1-計算用!$AE$19+1,4)+1)*2-1),INDEX(組分け!$L$5:$S$41,計算用!$AC$19,(MOD(1-計算用!$AE$19+1,4)+1)*2-1)))&amp;"")</f>
        <v/>
      </c>
      <c r="AL19">
        <f>IF(計算用!$Z$19="","",IF(計算用!$U$24,IF(計算用!$Z$19="A",INDEX(手直し!$B$6:$E$42,計算用!$AC$19,MOD(2-計算用!$AE$19+1,4)+1),INDEX(手直し!$G$6:$J$42,計算用!$AC$19,MOD(2-計算用!$AE$19+1,4)+1)),IF(計算用!$Z$19="A",INDEX(組分け!$B$5:$I$41,計算用!$AC$19,(MOD(2-計算用!$AE$19+1,4)+1)*2-1),INDEX(組分け!$L$5:$S$41,計算用!$AC$19,(MOD(2-計算用!$AE$19+1,4)+1)*2-1)))&amp;"")</f>
        <v/>
      </c>
      <c r="AM19">
        <f>IF(計算用!$Z$19="","",IF(計算用!$U$24,IF(計算用!$Z$19="A",INDEX(手直し!$B$6:$E$42,計算用!$AC$19,MOD(3-計算用!$AE$19+1,4)+1),INDEX(手直し!$G$6:$J$42,計算用!$AC$19,MOD(3-計算用!$AE$19+1,4)+1)),IF(計算用!$Z$19="A",INDEX(組分け!$B$5:$I$41,計算用!$AC$19,(MOD(3-計算用!$AE$19+1,4)+1)*2-1),INDEX(組分け!$L$5:$S$41,計算用!$AC$19,(MOD(3-計算用!$AE$19+1,4)+1)*2-1)))&amp;"")</f>
        <v/>
      </c>
      <c r="AN19">
        <f>IF(Z19="",0,(COUNTIF($AF19:$AI19,0)&gt;1)+(COUNTIF($AF19:$AI19,1)&gt;1)+(COUNTIF($AF19:$AI19,2)&gt;1)+(COUNTIF($AF19:$AI19,3)&gt;1)+COUNTIF($AF19:$AI19,-1))</f>
        <v/>
      </c>
      <c r="AP19">
        <f>IF(Z19="","",IFERROR(MOD(MATCH(0,$AF19:$AI19,0)-1-AE19+1,4),""))</f>
        <v/>
      </c>
      <c r="AQ19">
        <f>IF(Z19="","",IFERROR(MOD(MATCH(1,$AF19:$AI19,0)-1-AE19+1,4),""))</f>
        <v/>
      </c>
      <c r="AR19">
        <f>IF(Z19="","",IFERROR(MOD(MATCH(2,$AF19:$AI19,0)-1-AE19+1,4),""))</f>
        <v/>
      </c>
      <c r="AS19">
        <f>IF(Z19="","",IFERROR(MOD(MATCH(3,$AF19:$AI19,0)-1-AE19+1,4),""))</f>
        <v/>
      </c>
    </row>
    <row r="20">
      <c r="A20" t="n">
        <v>19</v>
      </c>
      <c r="B20">
        <f>INT((A20-1)/37)+1</f>
        <v/>
      </c>
      <c r="C20">
        <f>MOD(A20-1,37)+1</f>
        <v/>
      </c>
      <c r="D20">
        <f>TRIM(INDEX(データ入力!$B$5:$Q$41,C20,(B20-1)*4+1)&amp;"")</f>
        <v/>
      </c>
      <c r="E20">
        <f>INDEX(データ入力!$B$5:$Q$41,C20,(B20-1)*4+2)&amp;""</f>
        <v/>
      </c>
      <c r="F20">
        <f>IF(OR(E20="1",E20="１",E20="男"),"男",IF(OR(E20="2",E20="２",E20="女"),"女",""))</f>
        <v/>
      </c>
      <c r="G20">
        <f>INDEX(データ入力!$B$5:$Q$41,C20,(B20-1)*4+3)</f>
        <v/>
      </c>
      <c r="H20">
        <f>IF(D20="","",IF($U$2,"混",F20))</f>
        <v/>
      </c>
      <c r="I20">
        <f>IF(AND(H20&lt;&gt;"",ISNUMBER(G20)),H20,"")</f>
        <v/>
      </c>
      <c r="J20">
        <f>IF(I20="","",COUNTIFS($I$2:$I$149,I20,$B$2:$B$149,B20,$G$2:$G$149,"&lt;"&amp;G20)+COUNTIFS($I$2:$I$149,I20,$B$2:$B$149,B20,$G$2:$G$149,G20,$A$2:$A$149,"&lt;"&amp;A20)+1)</f>
        <v/>
      </c>
      <c r="K20">
        <f>IF(I20="","",I20&amp;B20&amp;"-"&amp;J20)</f>
        <v/>
      </c>
      <c r="L20">
        <f>IF(I20="","",I20&amp;B20&amp;"|"&amp;D20)</f>
        <v/>
      </c>
      <c r="M20">
        <f>IF(I20="","",IF(I20="女",COUNTIF(手直し!$G$6:$J$42,D20),COUNTIF(手直し!$B$6:$E$42,D20)))</f>
        <v/>
      </c>
      <c r="N20">
        <f>IF(I20="","",IF(I20="女",COUNTIF(INDEX(手直し!$G$6:$J$42,0,B20),D20),COUNTIF(INDEX(手直し!$B$6:$E$42,0,B20),D20)))</f>
        <v/>
      </c>
      <c r="O20">
        <f>IF(AND(I20&lt;&gt;"",M20=0),1,0)</f>
        <v/>
      </c>
      <c r="P20">
        <f>IF(AND(O20=1,I20&lt;&gt;"女"),COUNTIFS($O$2:O20,1,$I$2:I20,"&lt;&gt;女"),"")</f>
        <v/>
      </c>
      <c r="Q20">
        <f>IF(AND(O20=1,I20="女"),COUNTIFS($O$2:O20,1,$I$2:I20,"女"),"")</f>
        <v/>
      </c>
      <c r="R20">
        <f>IF(AND(I20&lt;&gt;"",M20&gt;=1,N20=0),1,0)</f>
        <v/>
      </c>
      <c r="S20">
        <f>IF(AND(D20&lt;&gt;"",I20=""),1,0)</f>
        <v/>
      </c>
      <c r="T20" t="inlineStr">
        <is>
          <t>確認の数</t>
        </is>
      </c>
      <c r="U20">
        <f>IF(U24,SUM(U11:U18),0)+U19</f>
        <v/>
      </c>
      <c r="V20">
        <f>IF(J20="",0,J20)</f>
        <v/>
      </c>
      <c r="W20">
        <f>IF(I20="","",I20&amp;D20)</f>
        <v/>
      </c>
      <c r="Y20" t="n">
        <v>19</v>
      </c>
      <c r="Z20">
        <f>IF(Y20&gt;$U$22,"",IF(Y20&lt;=$U$23,IF($U$4,"B","A"),IF($U$4,"A","B")))</f>
        <v/>
      </c>
      <c r="AA20">
        <f>IF(Z20="","",IF(Y20&lt;=$U$23,Y20,Y20-$U$23))</f>
        <v/>
      </c>
      <c r="AB20">
        <f>IF(Z20="","",IF(Z20="A",$U$7,$U$8))</f>
        <v/>
      </c>
      <c r="AC20">
        <f>IF(Z20="","",IF(AB20&lt;=$U$6,AB20-AA20+1,IF(AA20&lt;=INT((AB20-$U$6+1)/2),$U$6-1+2*AA20,IF(AA20&lt;=INT((AB20-$U$6+1)/2)+INT((AB20-$U$6)/2),(AB20-1+MOD(AB20,2))-2*(AA20-INT((AB20-$U$6+1)/2)-1),$U$6-(AA20-INT((AB20-$U$6+1)/2)-INT((AB20-$U$6)/2)-1)))))</f>
        <v/>
      </c>
      <c r="AD20">
        <f>IF(Z20="","",IF($U$2,"",IF(Z20="B","女子","男子"))&amp;AA20&amp;"レース")</f>
        <v/>
      </c>
      <c r="AE20">
        <f>IF(Z20="","",IF($U$2,1,AA20))</f>
        <v/>
      </c>
      <c r="AF20">
        <f>IF(AJ20="",99,IF(最終修正!$C$21="",0,IF(AND(ISNUMBER(最終修正!$C$21),INT(最終修正!$C$21)=最終修正!$C$21,最終修正!$C$21-$U$5&gt;=0,最終修正!$C$21-$U$5&lt;=3),最終修正!$C$21-$U$5,-1)))</f>
        <v/>
      </c>
      <c r="AG20">
        <f>IF(AK20="",99,IF(最終修正!$E$21="",1,IF(AND(ISNUMBER(最終修正!$E$21),INT(最終修正!$E$21)=最終修正!$E$21,最終修正!$E$21-$U$5&gt;=0,最終修正!$E$21-$U$5&lt;=3),最終修正!$E$21-$U$5,-1)))</f>
        <v/>
      </c>
      <c r="AH20">
        <f>IF(AL20="",99,IF(最終修正!$G$21="",2,IF(AND(ISNUMBER(最終修正!$G$21),INT(最終修正!$G$21)=最終修正!$G$21,最終修正!$G$21-$U$5&gt;=0,最終修正!$G$21-$U$5&lt;=3),最終修正!$G$21-$U$5,-1)))</f>
        <v/>
      </c>
      <c r="AI20">
        <f>IF(AM20="",99,IF(最終修正!$I$21="",3,IF(AND(ISNUMBER(最終修正!$I$21),INT(最終修正!$I$21)=最終修正!$I$21,最終修正!$I$21-$U$5&gt;=0,最終修正!$I$21-$U$5&lt;=3),最終修正!$I$21-$U$5,-1)))</f>
        <v/>
      </c>
      <c r="AJ20">
        <f>IF(計算用!$Z$20="","",IF(計算用!$U$24,IF(計算用!$Z$20="A",INDEX(手直し!$B$6:$E$42,計算用!$AC$20,MOD(0-計算用!$AE$20+1,4)+1),INDEX(手直し!$G$6:$J$42,計算用!$AC$20,MOD(0-計算用!$AE$20+1,4)+1)),IF(計算用!$Z$20="A",INDEX(組分け!$B$5:$I$41,計算用!$AC$20,(MOD(0-計算用!$AE$20+1,4)+1)*2-1),INDEX(組分け!$L$5:$S$41,計算用!$AC$20,(MOD(0-計算用!$AE$20+1,4)+1)*2-1)))&amp;"")</f>
        <v/>
      </c>
      <c r="AK20">
        <f>IF(計算用!$Z$20="","",IF(計算用!$U$24,IF(計算用!$Z$20="A",INDEX(手直し!$B$6:$E$42,計算用!$AC$20,MOD(1-計算用!$AE$20+1,4)+1),INDEX(手直し!$G$6:$J$42,計算用!$AC$20,MOD(1-計算用!$AE$20+1,4)+1)),IF(計算用!$Z$20="A",INDEX(組分け!$B$5:$I$41,計算用!$AC$20,(MOD(1-計算用!$AE$20+1,4)+1)*2-1),INDEX(組分け!$L$5:$S$41,計算用!$AC$20,(MOD(1-計算用!$AE$20+1,4)+1)*2-1)))&amp;"")</f>
        <v/>
      </c>
      <c r="AL20">
        <f>IF(計算用!$Z$20="","",IF(計算用!$U$24,IF(計算用!$Z$20="A",INDEX(手直し!$B$6:$E$42,計算用!$AC$20,MOD(2-計算用!$AE$20+1,4)+1),INDEX(手直し!$G$6:$J$42,計算用!$AC$20,MOD(2-計算用!$AE$20+1,4)+1)),IF(計算用!$Z$20="A",INDEX(組分け!$B$5:$I$41,計算用!$AC$20,(MOD(2-計算用!$AE$20+1,4)+1)*2-1),INDEX(組分け!$L$5:$S$41,計算用!$AC$20,(MOD(2-計算用!$AE$20+1,4)+1)*2-1)))&amp;"")</f>
        <v/>
      </c>
      <c r="AM20">
        <f>IF(計算用!$Z$20="","",IF(計算用!$U$24,IF(計算用!$Z$20="A",INDEX(手直し!$B$6:$E$42,計算用!$AC$20,MOD(3-計算用!$AE$20+1,4)+1),INDEX(手直し!$G$6:$J$42,計算用!$AC$20,MOD(3-計算用!$AE$20+1,4)+1)),IF(計算用!$Z$20="A",INDEX(組分け!$B$5:$I$41,計算用!$AC$20,(MOD(3-計算用!$AE$20+1,4)+1)*2-1),INDEX(組分け!$L$5:$S$41,計算用!$AC$20,(MOD(3-計算用!$AE$20+1,4)+1)*2-1)))&amp;"")</f>
        <v/>
      </c>
      <c r="AN20">
        <f>IF(Z20="",0,(COUNTIF($AF20:$AI20,0)&gt;1)+(COUNTIF($AF20:$AI20,1)&gt;1)+(COUNTIF($AF20:$AI20,2)&gt;1)+(COUNTIF($AF20:$AI20,3)&gt;1)+COUNTIF($AF20:$AI20,-1))</f>
        <v/>
      </c>
      <c r="AP20">
        <f>IF(Z20="","",IFERROR(MOD(MATCH(0,$AF20:$AI20,0)-1-AE20+1,4),""))</f>
        <v/>
      </c>
      <c r="AQ20">
        <f>IF(Z20="","",IFERROR(MOD(MATCH(1,$AF20:$AI20,0)-1-AE20+1,4),""))</f>
        <v/>
      </c>
      <c r="AR20">
        <f>IF(Z20="","",IFERROR(MOD(MATCH(2,$AF20:$AI20,0)-1-AE20+1,4),""))</f>
        <v/>
      </c>
      <c r="AS20">
        <f>IF(Z20="","",IFERROR(MOD(MATCH(3,$AF20:$AI20,0)-1-AE20+1,4),""))</f>
        <v/>
      </c>
    </row>
    <row r="21">
      <c r="A21" t="n">
        <v>20</v>
      </c>
      <c r="B21">
        <f>INT((A21-1)/37)+1</f>
        <v/>
      </c>
      <c r="C21">
        <f>MOD(A21-1,37)+1</f>
        <v/>
      </c>
      <c r="D21">
        <f>TRIM(INDEX(データ入力!$B$5:$Q$41,C21,(B21-1)*4+1)&amp;"")</f>
        <v/>
      </c>
      <c r="E21">
        <f>INDEX(データ入力!$B$5:$Q$41,C21,(B21-1)*4+2)&amp;""</f>
        <v/>
      </c>
      <c r="F21">
        <f>IF(OR(E21="1",E21="１",E21="男"),"男",IF(OR(E21="2",E21="２",E21="女"),"女",""))</f>
        <v/>
      </c>
      <c r="G21">
        <f>INDEX(データ入力!$B$5:$Q$41,C21,(B21-1)*4+3)</f>
        <v/>
      </c>
      <c r="H21">
        <f>IF(D21="","",IF($U$2,"混",F21))</f>
        <v/>
      </c>
      <c r="I21">
        <f>IF(AND(H21&lt;&gt;"",ISNUMBER(G21)),H21,"")</f>
        <v/>
      </c>
      <c r="J21">
        <f>IF(I21="","",COUNTIFS($I$2:$I$149,I21,$B$2:$B$149,B21,$G$2:$G$149,"&lt;"&amp;G21)+COUNTIFS($I$2:$I$149,I21,$B$2:$B$149,B21,$G$2:$G$149,G21,$A$2:$A$149,"&lt;"&amp;A21)+1)</f>
        <v/>
      </c>
      <c r="K21">
        <f>IF(I21="","",I21&amp;B21&amp;"-"&amp;J21)</f>
        <v/>
      </c>
      <c r="L21">
        <f>IF(I21="","",I21&amp;B21&amp;"|"&amp;D21)</f>
        <v/>
      </c>
      <c r="M21">
        <f>IF(I21="","",IF(I21="女",COUNTIF(手直し!$G$6:$J$42,D21),COUNTIF(手直し!$B$6:$E$42,D21)))</f>
        <v/>
      </c>
      <c r="N21">
        <f>IF(I21="","",IF(I21="女",COUNTIF(INDEX(手直し!$G$6:$J$42,0,B21),D21),COUNTIF(INDEX(手直し!$B$6:$E$42,0,B21),D21)))</f>
        <v/>
      </c>
      <c r="O21">
        <f>IF(AND(I21&lt;&gt;"",M21=0),1,0)</f>
        <v/>
      </c>
      <c r="P21">
        <f>IF(AND(O21=1,I21&lt;&gt;"女"),COUNTIFS($O$2:O21,1,$I$2:I21,"&lt;&gt;女"),"")</f>
        <v/>
      </c>
      <c r="Q21">
        <f>IF(AND(O21=1,I21="女"),COUNTIFS($O$2:O21,1,$I$2:I21,"女"),"")</f>
        <v/>
      </c>
      <c r="R21">
        <f>IF(AND(I21&lt;&gt;"",M21&gt;=1,N21=0),1,0)</f>
        <v/>
      </c>
      <c r="S21">
        <f>IF(AND(D21&lt;&gt;"",I21=""),1,0)</f>
        <v/>
      </c>
      <c r="T21" t="inlineStr">
        <is>
          <t>入力不足</t>
        </is>
      </c>
      <c r="U21">
        <f>SUM($S$2:$S$149)</f>
        <v/>
      </c>
      <c r="V21">
        <f>IF(J21="",0,J21)</f>
        <v/>
      </c>
      <c r="W21">
        <f>IF(I21="","",I21&amp;D21)</f>
        <v/>
      </c>
      <c r="Y21" t="n">
        <v>20</v>
      </c>
      <c r="Z21">
        <f>IF(Y21&gt;$U$22,"",IF(Y21&lt;=$U$23,IF($U$4,"B","A"),IF($U$4,"A","B")))</f>
        <v/>
      </c>
      <c r="AA21">
        <f>IF(Z21="","",IF(Y21&lt;=$U$23,Y21,Y21-$U$23))</f>
        <v/>
      </c>
      <c r="AB21">
        <f>IF(Z21="","",IF(Z21="A",$U$7,$U$8))</f>
        <v/>
      </c>
      <c r="AC21">
        <f>IF(Z21="","",IF(AB21&lt;=$U$6,AB21-AA21+1,IF(AA21&lt;=INT((AB21-$U$6+1)/2),$U$6-1+2*AA21,IF(AA21&lt;=INT((AB21-$U$6+1)/2)+INT((AB21-$U$6)/2),(AB21-1+MOD(AB21,2))-2*(AA21-INT((AB21-$U$6+1)/2)-1),$U$6-(AA21-INT((AB21-$U$6+1)/2)-INT((AB21-$U$6)/2)-1)))))</f>
        <v/>
      </c>
      <c r="AD21">
        <f>IF(Z21="","",IF($U$2,"",IF(Z21="B","女子","男子"))&amp;AA21&amp;"レース")</f>
        <v/>
      </c>
      <c r="AE21">
        <f>IF(Z21="","",IF($U$2,1,AA21))</f>
        <v/>
      </c>
      <c r="AF21">
        <f>IF(AJ21="",99,IF(最終修正!$C$22="",0,IF(AND(ISNUMBER(最終修正!$C$22),INT(最終修正!$C$22)=最終修正!$C$22,最終修正!$C$22-$U$5&gt;=0,最終修正!$C$22-$U$5&lt;=3),最終修正!$C$22-$U$5,-1)))</f>
        <v/>
      </c>
      <c r="AG21">
        <f>IF(AK21="",99,IF(最終修正!$E$22="",1,IF(AND(ISNUMBER(最終修正!$E$22),INT(最終修正!$E$22)=最終修正!$E$22,最終修正!$E$22-$U$5&gt;=0,最終修正!$E$22-$U$5&lt;=3),最終修正!$E$22-$U$5,-1)))</f>
        <v/>
      </c>
      <c r="AH21">
        <f>IF(AL21="",99,IF(最終修正!$G$22="",2,IF(AND(ISNUMBER(最終修正!$G$22),INT(最終修正!$G$22)=最終修正!$G$22,最終修正!$G$22-$U$5&gt;=0,最終修正!$G$22-$U$5&lt;=3),最終修正!$G$22-$U$5,-1)))</f>
        <v/>
      </c>
      <c r="AI21">
        <f>IF(AM21="",99,IF(最終修正!$I$22="",3,IF(AND(ISNUMBER(最終修正!$I$22),INT(最終修正!$I$22)=最終修正!$I$22,最終修正!$I$22-$U$5&gt;=0,最終修正!$I$22-$U$5&lt;=3),最終修正!$I$22-$U$5,-1)))</f>
        <v/>
      </c>
      <c r="AJ21">
        <f>IF(計算用!$Z$21="","",IF(計算用!$U$24,IF(計算用!$Z$21="A",INDEX(手直し!$B$6:$E$42,計算用!$AC$21,MOD(0-計算用!$AE$21+1,4)+1),INDEX(手直し!$G$6:$J$42,計算用!$AC$21,MOD(0-計算用!$AE$21+1,4)+1)),IF(計算用!$Z$21="A",INDEX(組分け!$B$5:$I$41,計算用!$AC$21,(MOD(0-計算用!$AE$21+1,4)+1)*2-1),INDEX(組分け!$L$5:$S$41,計算用!$AC$21,(MOD(0-計算用!$AE$21+1,4)+1)*2-1)))&amp;"")</f>
        <v/>
      </c>
      <c r="AK21">
        <f>IF(計算用!$Z$21="","",IF(計算用!$U$24,IF(計算用!$Z$21="A",INDEX(手直し!$B$6:$E$42,計算用!$AC$21,MOD(1-計算用!$AE$21+1,4)+1),INDEX(手直し!$G$6:$J$42,計算用!$AC$21,MOD(1-計算用!$AE$21+1,4)+1)),IF(計算用!$Z$21="A",INDEX(組分け!$B$5:$I$41,計算用!$AC$21,(MOD(1-計算用!$AE$21+1,4)+1)*2-1),INDEX(組分け!$L$5:$S$41,計算用!$AC$21,(MOD(1-計算用!$AE$21+1,4)+1)*2-1)))&amp;"")</f>
        <v/>
      </c>
      <c r="AL21">
        <f>IF(計算用!$Z$21="","",IF(計算用!$U$24,IF(計算用!$Z$21="A",INDEX(手直し!$B$6:$E$42,計算用!$AC$21,MOD(2-計算用!$AE$21+1,4)+1),INDEX(手直し!$G$6:$J$42,計算用!$AC$21,MOD(2-計算用!$AE$21+1,4)+1)),IF(計算用!$Z$21="A",INDEX(組分け!$B$5:$I$41,計算用!$AC$21,(MOD(2-計算用!$AE$21+1,4)+1)*2-1),INDEX(組分け!$L$5:$S$41,計算用!$AC$21,(MOD(2-計算用!$AE$21+1,4)+1)*2-1)))&amp;"")</f>
        <v/>
      </c>
      <c r="AM21">
        <f>IF(計算用!$Z$21="","",IF(計算用!$U$24,IF(計算用!$Z$21="A",INDEX(手直し!$B$6:$E$42,計算用!$AC$21,MOD(3-計算用!$AE$21+1,4)+1),INDEX(手直し!$G$6:$J$42,計算用!$AC$21,MOD(3-計算用!$AE$21+1,4)+1)),IF(計算用!$Z$21="A",INDEX(組分け!$B$5:$I$41,計算用!$AC$21,(MOD(3-計算用!$AE$21+1,4)+1)*2-1),INDEX(組分け!$L$5:$S$41,計算用!$AC$21,(MOD(3-計算用!$AE$21+1,4)+1)*2-1)))&amp;"")</f>
        <v/>
      </c>
      <c r="AN21">
        <f>IF(Z21="",0,(COUNTIF($AF21:$AI21,0)&gt;1)+(COUNTIF($AF21:$AI21,1)&gt;1)+(COUNTIF($AF21:$AI21,2)&gt;1)+(COUNTIF($AF21:$AI21,3)&gt;1)+COUNTIF($AF21:$AI21,-1))</f>
        <v/>
      </c>
      <c r="AP21">
        <f>IF(Z21="","",IFERROR(MOD(MATCH(0,$AF21:$AI21,0)-1-AE21+1,4),""))</f>
        <v/>
      </c>
      <c r="AQ21">
        <f>IF(Z21="","",IFERROR(MOD(MATCH(1,$AF21:$AI21,0)-1-AE21+1,4),""))</f>
        <v/>
      </c>
      <c r="AR21">
        <f>IF(Z21="","",IFERROR(MOD(MATCH(2,$AF21:$AI21,0)-1-AE21+1,4),""))</f>
        <v/>
      </c>
      <c r="AS21">
        <f>IF(Z21="","",IFERROR(MOD(MATCH(3,$AF21:$AI21,0)-1-AE21+1,4),""))</f>
        <v/>
      </c>
    </row>
    <row r="22">
      <c r="A22" t="n">
        <v>21</v>
      </c>
      <c r="B22">
        <f>INT((A22-1)/37)+1</f>
        <v/>
      </c>
      <c r="C22">
        <f>MOD(A22-1,37)+1</f>
        <v/>
      </c>
      <c r="D22">
        <f>TRIM(INDEX(データ入力!$B$5:$Q$41,C22,(B22-1)*4+1)&amp;"")</f>
        <v/>
      </c>
      <c r="E22">
        <f>INDEX(データ入力!$B$5:$Q$41,C22,(B22-1)*4+2)&amp;""</f>
        <v/>
      </c>
      <c r="F22">
        <f>IF(OR(E22="1",E22="１",E22="男"),"男",IF(OR(E22="2",E22="２",E22="女"),"女",""))</f>
        <v/>
      </c>
      <c r="G22">
        <f>INDEX(データ入力!$B$5:$Q$41,C22,(B22-1)*4+3)</f>
        <v/>
      </c>
      <c r="H22">
        <f>IF(D22="","",IF($U$2,"混",F22))</f>
        <v/>
      </c>
      <c r="I22">
        <f>IF(AND(H22&lt;&gt;"",ISNUMBER(G22)),H22,"")</f>
        <v/>
      </c>
      <c r="J22">
        <f>IF(I22="","",COUNTIFS($I$2:$I$149,I22,$B$2:$B$149,B22,$G$2:$G$149,"&lt;"&amp;G22)+COUNTIFS($I$2:$I$149,I22,$B$2:$B$149,B22,$G$2:$G$149,G22,$A$2:$A$149,"&lt;"&amp;A22)+1)</f>
        <v/>
      </c>
      <c r="K22">
        <f>IF(I22="","",I22&amp;B22&amp;"-"&amp;J22)</f>
        <v/>
      </c>
      <c r="L22">
        <f>IF(I22="","",I22&amp;B22&amp;"|"&amp;D22)</f>
        <v/>
      </c>
      <c r="M22">
        <f>IF(I22="","",IF(I22="女",COUNTIF(手直し!$G$6:$J$42,D22),COUNTIF(手直し!$B$6:$E$42,D22)))</f>
        <v/>
      </c>
      <c r="N22">
        <f>IF(I22="","",IF(I22="女",COUNTIF(INDEX(手直し!$G$6:$J$42,0,B22),D22),COUNTIF(INDEX(手直し!$B$6:$E$42,0,B22),D22)))</f>
        <v/>
      </c>
      <c r="O22">
        <f>IF(AND(I22&lt;&gt;"",M22=0),1,0)</f>
        <v/>
      </c>
      <c r="P22">
        <f>IF(AND(O22=1,I22&lt;&gt;"女"),COUNTIFS($O$2:O22,1,$I$2:I22,"&lt;&gt;女"),"")</f>
        <v/>
      </c>
      <c r="Q22">
        <f>IF(AND(O22=1,I22="女"),COUNTIFS($O$2:O22,1,$I$2:I22,"女"),"")</f>
        <v/>
      </c>
      <c r="R22">
        <f>IF(AND(I22&lt;&gt;"",M22&gt;=1,N22=0),1,0)</f>
        <v/>
      </c>
      <c r="S22">
        <f>IF(AND(D22&lt;&gt;"",I22=""),1,0)</f>
        <v/>
      </c>
      <c r="T22" t="inlineStr">
        <is>
          <t>レース数</t>
        </is>
      </c>
      <c r="U22">
        <f>U7+U8</f>
        <v/>
      </c>
      <c r="V22">
        <f>IF(J22="",0,J22)</f>
        <v/>
      </c>
      <c r="W22">
        <f>IF(I22="","",I22&amp;D22)</f>
        <v/>
      </c>
      <c r="Y22" t="n">
        <v>21</v>
      </c>
      <c r="Z22">
        <f>IF(Y22&gt;$U$22,"",IF(Y22&lt;=$U$23,IF($U$4,"B","A"),IF($U$4,"A","B")))</f>
        <v/>
      </c>
      <c r="AA22">
        <f>IF(Z22="","",IF(Y22&lt;=$U$23,Y22,Y22-$U$23))</f>
        <v/>
      </c>
      <c r="AB22">
        <f>IF(Z22="","",IF(Z22="A",$U$7,$U$8))</f>
        <v/>
      </c>
      <c r="AC22">
        <f>IF(Z22="","",IF(AB22&lt;=$U$6,AB22-AA22+1,IF(AA22&lt;=INT((AB22-$U$6+1)/2),$U$6-1+2*AA22,IF(AA22&lt;=INT((AB22-$U$6+1)/2)+INT((AB22-$U$6)/2),(AB22-1+MOD(AB22,2))-2*(AA22-INT((AB22-$U$6+1)/2)-1),$U$6-(AA22-INT((AB22-$U$6+1)/2)-INT((AB22-$U$6)/2)-1)))))</f>
        <v/>
      </c>
      <c r="AD22">
        <f>IF(Z22="","",IF($U$2,"",IF(Z22="B","女子","男子"))&amp;AA22&amp;"レース")</f>
        <v/>
      </c>
      <c r="AE22">
        <f>IF(Z22="","",IF($U$2,1,AA22))</f>
        <v/>
      </c>
      <c r="AF22">
        <f>IF(AJ22="",99,IF(最終修正!$C$23="",0,IF(AND(ISNUMBER(最終修正!$C$23),INT(最終修正!$C$23)=最終修正!$C$23,最終修正!$C$23-$U$5&gt;=0,最終修正!$C$23-$U$5&lt;=3),最終修正!$C$23-$U$5,-1)))</f>
        <v/>
      </c>
      <c r="AG22">
        <f>IF(AK22="",99,IF(最終修正!$E$23="",1,IF(AND(ISNUMBER(最終修正!$E$23),INT(最終修正!$E$23)=最終修正!$E$23,最終修正!$E$23-$U$5&gt;=0,最終修正!$E$23-$U$5&lt;=3),最終修正!$E$23-$U$5,-1)))</f>
        <v/>
      </c>
      <c r="AH22">
        <f>IF(AL22="",99,IF(最終修正!$G$23="",2,IF(AND(ISNUMBER(最終修正!$G$23),INT(最終修正!$G$23)=最終修正!$G$23,最終修正!$G$23-$U$5&gt;=0,最終修正!$G$23-$U$5&lt;=3),最終修正!$G$23-$U$5,-1)))</f>
        <v/>
      </c>
      <c r="AI22">
        <f>IF(AM22="",99,IF(最終修正!$I$23="",3,IF(AND(ISNUMBER(最終修正!$I$23),INT(最終修正!$I$23)=最終修正!$I$23,最終修正!$I$23-$U$5&gt;=0,最終修正!$I$23-$U$5&lt;=3),最終修正!$I$23-$U$5,-1)))</f>
        <v/>
      </c>
      <c r="AJ22">
        <f>IF(計算用!$Z$22="","",IF(計算用!$U$24,IF(計算用!$Z$22="A",INDEX(手直し!$B$6:$E$42,計算用!$AC$22,MOD(0-計算用!$AE$22+1,4)+1),INDEX(手直し!$G$6:$J$42,計算用!$AC$22,MOD(0-計算用!$AE$22+1,4)+1)),IF(計算用!$Z$22="A",INDEX(組分け!$B$5:$I$41,計算用!$AC$22,(MOD(0-計算用!$AE$22+1,4)+1)*2-1),INDEX(組分け!$L$5:$S$41,計算用!$AC$22,(MOD(0-計算用!$AE$22+1,4)+1)*2-1)))&amp;"")</f>
        <v/>
      </c>
      <c r="AK22">
        <f>IF(計算用!$Z$22="","",IF(計算用!$U$24,IF(計算用!$Z$22="A",INDEX(手直し!$B$6:$E$42,計算用!$AC$22,MOD(1-計算用!$AE$22+1,4)+1),INDEX(手直し!$G$6:$J$42,計算用!$AC$22,MOD(1-計算用!$AE$22+1,4)+1)),IF(計算用!$Z$22="A",INDEX(組分け!$B$5:$I$41,計算用!$AC$22,(MOD(1-計算用!$AE$22+1,4)+1)*2-1),INDEX(組分け!$L$5:$S$41,計算用!$AC$22,(MOD(1-計算用!$AE$22+1,4)+1)*2-1)))&amp;"")</f>
        <v/>
      </c>
      <c r="AL22">
        <f>IF(計算用!$Z$22="","",IF(計算用!$U$24,IF(計算用!$Z$22="A",INDEX(手直し!$B$6:$E$42,計算用!$AC$22,MOD(2-計算用!$AE$22+1,4)+1),INDEX(手直し!$G$6:$J$42,計算用!$AC$22,MOD(2-計算用!$AE$22+1,4)+1)),IF(計算用!$Z$22="A",INDEX(組分け!$B$5:$I$41,計算用!$AC$22,(MOD(2-計算用!$AE$22+1,4)+1)*2-1),INDEX(組分け!$L$5:$S$41,計算用!$AC$22,(MOD(2-計算用!$AE$22+1,4)+1)*2-1)))&amp;"")</f>
        <v/>
      </c>
      <c r="AM22">
        <f>IF(計算用!$Z$22="","",IF(計算用!$U$24,IF(計算用!$Z$22="A",INDEX(手直し!$B$6:$E$42,計算用!$AC$22,MOD(3-計算用!$AE$22+1,4)+1),INDEX(手直し!$G$6:$J$42,計算用!$AC$22,MOD(3-計算用!$AE$22+1,4)+1)),IF(計算用!$Z$22="A",INDEX(組分け!$B$5:$I$41,計算用!$AC$22,(MOD(3-計算用!$AE$22+1,4)+1)*2-1),INDEX(組分け!$L$5:$S$41,計算用!$AC$22,(MOD(3-計算用!$AE$22+1,4)+1)*2-1)))&amp;"")</f>
        <v/>
      </c>
      <c r="AN22">
        <f>IF(Z22="",0,(COUNTIF($AF22:$AI22,0)&gt;1)+(COUNTIF($AF22:$AI22,1)&gt;1)+(COUNTIF($AF22:$AI22,2)&gt;1)+(COUNTIF($AF22:$AI22,3)&gt;1)+COUNTIF($AF22:$AI22,-1))</f>
        <v/>
      </c>
      <c r="AP22">
        <f>IF(Z22="","",IFERROR(MOD(MATCH(0,$AF22:$AI22,0)-1-AE22+1,4),""))</f>
        <v/>
      </c>
      <c r="AQ22">
        <f>IF(Z22="","",IFERROR(MOD(MATCH(1,$AF22:$AI22,0)-1-AE22+1,4),""))</f>
        <v/>
      </c>
      <c r="AR22">
        <f>IF(Z22="","",IFERROR(MOD(MATCH(2,$AF22:$AI22,0)-1-AE22+1,4),""))</f>
        <v/>
      </c>
      <c r="AS22">
        <f>IF(Z22="","",IFERROR(MOD(MATCH(3,$AF22:$AI22,0)-1-AE22+1,4),""))</f>
        <v/>
      </c>
    </row>
    <row r="23">
      <c r="A23" t="n">
        <v>22</v>
      </c>
      <c r="B23">
        <f>INT((A23-1)/37)+1</f>
        <v/>
      </c>
      <c r="C23">
        <f>MOD(A23-1,37)+1</f>
        <v/>
      </c>
      <c r="D23">
        <f>TRIM(INDEX(データ入力!$B$5:$Q$41,C23,(B23-1)*4+1)&amp;"")</f>
        <v/>
      </c>
      <c r="E23">
        <f>INDEX(データ入力!$B$5:$Q$41,C23,(B23-1)*4+2)&amp;""</f>
        <v/>
      </c>
      <c r="F23">
        <f>IF(OR(E23="1",E23="１",E23="男"),"男",IF(OR(E23="2",E23="２",E23="女"),"女",""))</f>
        <v/>
      </c>
      <c r="G23">
        <f>INDEX(データ入力!$B$5:$Q$41,C23,(B23-1)*4+3)</f>
        <v/>
      </c>
      <c r="H23">
        <f>IF(D23="","",IF($U$2,"混",F23))</f>
        <v/>
      </c>
      <c r="I23">
        <f>IF(AND(H23&lt;&gt;"",ISNUMBER(G23)),H23,"")</f>
        <v/>
      </c>
      <c r="J23">
        <f>IF(I23="","",COUNTIFS($I$2:$I$149,I23,$B$2:$B$149,B23,$G$2:$G$149,"&lt;"&amp;G23)+COUNTIFS($I$2:$I$149,I23,$B$2:$B$149,B23,$G$2:$G$149,G23,$A$2:$A$149,"&lt;"&amp;A23)+1)</f>
        <v/>
      </c>
      <c r="K23">
        <f>IF(I23="","",I23&amp;B23&amp;"-"&amp;J23)</f>
        <v/>
      </c>
      <c r="L23">
        <f>IF(I23="","",I23&amp;B23&amp;"|"&amp;D23)</f>
        <v/>
      </c>
      <c r="M23">
        <f>IF(I23="","",IF(I23="女",COUNTIF(手直し!$G$6:$J$42,D23),COUNTIF(手直し!$B$6:$E$42,D23)))</f>
        <v/>
      </c>
      <c r="N23">
        <f>IF(I23="","",IF(I23="女",COUNTIF(INDEX(手直し!$G$6:$J$42,0,B23),D23),COUNTIF(INDEX(手直し!$B$6:$E$42,0,B23),D23)))</f>
        <v/>
      </c>
      <c r="O23">
        <f>IF(AND(I23&lt;&gt;"",M23=0),1,0)</f>
        <v/>
      </c>
      <c r="P23">
        <f>IF(AND(O23=1,I23&lt;&gt;"女"),COUNTIFS($O$2:O23,1,$I$2:I23,"&lt;&gt;女"),"")</f>
        <v/>
      </c>
      <c r="Q23">
        <f>IF(AND(O23=1,I23="女"),COUNTIFS($O$2:O23,1,$I$2:I23,"女"),"")</f>
        <v/>
      </c>
      <c r="R23">
        <f>IF(AND(I23&lt;&gt;"",M23&gt;=1,N23=0),1,0)</f>
        <v/>
      </c>
      <c r="S23">
        <f>IF(AND(D23&lt;&gt;"",I23=""),1,0)</f>
        <v/>
      </c>
      <c r="T23" t="inlineStr">
        <is>
          <t>先に走る組数</t>
        </is>
      </c>
      <c r="U23">
        <f>IF(U4,U8,U7)</f>
        <v/>
      </c>
      <c r="V23">
        <f>IF(J23="",0,J23)</f>
        <v/>
      </c>
      <c r="W23">
        <f>IF(I23="","",I23&amp;D23)</f>
        <v/>
      </c>
      <c r="Y23" t="n">
        <v>22</v>
      </c>
      <c r="Z23">
        <f>IF(Y23&gt;$U$22,"",IF(Y23&lt;=$U$23,IF($U$4,"B","A"),IF($U$4,"A","B")))</f>
        <v/>
      </c>
      <c r="AA23">
        <f>IF(Z23="","",IF(Y23&lt;=$U$23,Y23,Y23-$U$23))</f>
        <v/>
      </c>
      <c r="AB23">
        <f>IF(Z23="","",IF(Z23="A",$U$7,$U$8))</f>
        <v/>
      </c>
      <c r="AC23">
        <f>IF(Z23="","",IF(AB23&lt;=$U$6,AB23-AA23+1,IF(AA23&lt;=INT((AB23-$U$6+1)/2),$U$6-1+2*AA23,IF(AA23&lt;=INT((AB23-$U$6+1)/2)+INT((AB23-$U$6)/2),(AB23-1+MOD(AB23,2))-2*(AA23-INT((AB23-$U$6+1)/2)-1),$U$6-(AA23-INT((AB23-$U$6+1)/2)-INT((AB23-$U$6)/2)-1)))))</f>
        <v/>
      </c>
      <c r="AD23">
        <f>IF(Z23="","",IF($U$2,"",IF(Z23="B","女子","男子"))&amp;AA23&amp;"レース")</f>
        <v/>
      </c>
      <c r="AE23">
        <f>IF(Z23="","",IF($U$2,1,AA23))</f>
        <v/>
      </c>
      <c r="AF23">
        <f>IF(AJ23="",99,IF(最終修正!$C$24="",0,IF(AND(ISNUMBER(最終修正!$C$24),INT(最終修正!$C$24)=最終修正!$C$24,最終修正!$C$24-$U$5&gt;=0,最終修正!$C$24-$U$5&lt;=3),最終修正!$C$24-$U$5,-1)))</f>
        <v/>
      </c>
      <c r="AG23">
        <f>IF(AK23="",99,IF(最終修正!$E$24="",1,IF(AND(ISNUMBER(最終修正!$E$24),INT(最終修正!$E$24)=最終修正!$E$24,最終修正!$E$24-$U$5&gt;=0,最終修正!$E$24-$U$5&lt;=3),最終修正!$E$24-$U$5,-1)))</f>
        <v/>
      </c>
      <c r="AH23">
        <f>IF(AL23="",99,IF(最終修正!$G$24="",2,IF(AND(ISNUMBER(最終修正!$G$24),INT(最終修正!$G$24)=最終修正!$G$24,最終修正!$G$24-$U$5&gt;=0,最終修正!$G$24-$U$5&lt;=3),最終修正!$G$24-$U$5,-1)))</f>
        <v/>
      </c>
      <c r="AI23">
        <f>IF(AM23="",99,IF(最終修正!$I$24="",3,IF(AND(ISNUMBER(最終修正!$I$24),INT(最終修正!$I$24)=最終修正!$I$24,最終修正!$I$24-$U$5&gt;=0,最終修正!$I$24-$U$5&lt;=3),最終修正!$I$24-$U$5,-1)))</f>
        <v/>
      </c>
      <c r="AJ23">
        <f>IF(計算用!$Z$23="","",IF(計算用!$U$24,IF(計算用!$Z$23="A",INDEX(手直し!$B$6:$E$42,計算用!$AC$23,MOD(0-計算用!$AE$23+1,4)+1),INDEX(手直し!$G$6:$J$42,計算用!$AC$23,MOD(0-計算用!$AE$23+1,4)+1)),IF(計算用!$Z$23="A",INDEX(組分け!$B$5:$I$41,計算用!$AC$23,(MOD(0-計算用!$AE$23+1,4)+1)*2-1),INDEX(組分け!$L$5:$S$41,計算用!$AC$23,(MOD(0-計算用!$AE$23+1,4)+1)*2-1)))&amp;"")</f>
        <v/>
      </c>
      <c r="AK23">
        <f>IF(計算用!$Z$23="","",IF(計算用!$U$24,IF(計算用!$Z$23="A",INDEX(手直し!$B$6:$E$42,計算用!$AC$23,MOD(1-計算用!$AE$23+1,4)+1),INDEX(手直し!$G$6:$J$42,計算用!$AC$23,MOD(1-計算用!$AE$23+1,4)+1)),IF(計算用!$Z$23="A",INDEX(組分け!$B$5:$I$41,計算用!$AC$23,(MOD(1-計算用!$AE$23+1,4)+1)*2-1),INDEX(組分け!$L$5:$S$41,計算用!$AC$23,(MOD(1-計算用!$AE$23+1,4)+1)*2-1)))&amp;"")</f>
        <v/>
      </c>
      <c r="AL23">
        <f>IF(計算用!$Z$23="","",IF(計算用!$U$24,IF(計算用!$Z$23="A",INDEX(手直し!$B$6:$E$42,計算用!$AC$23,MOD(2-計算用!$AE$23+1,4)+1),INDEX(手直し!$G$6:$J$42,計算用!$AC$23,MOD(2-計算用!$AE$23+1,4)+1)),IF(計算用!$Z$23="A",INDEX(組分け!$B$5:$I$41,計算用!$AC$23,(MOD(2-計算用!$AE$23+1,4)+1)*2-1),INDEX(組分け!$L$5:$S$41,計算用!$AC$23,(MOD(2-計算用!$AE$23+1,4)+1)*2-1)))&amp;"")</f>
        <v/>
      </c>
      <c r="AM23">
        <f>IF(計算用!$Z$23="","",IF(計算用!$U$24,IF(計算用!$Z$23="A",INDEX(手直し!$B$6:$E$42,計算用!$AC$23,MOD(3-計算用!$AE$23+1,4)+1),INDEX(手直し!$G$6:$J$42,計算用!$AC$23,MOD(3-計算用!$AE$23+1,4)+1)),IF(計算用!$Z$23="A",INDEX(組分け!$B$5:$I$41,計算用!$AC$23,(MOD(3-計算用!$AE$23+1,4)+1)*2-1),INDEX(組分け!$L$5:$S$41,計算用!$AC$23,(MOD(3-計算用!$AE$23+1,4)+1)*2-1)))&amp;"")</f>
        <v/>
      </c>
      <c r="AN23">
        <f>IF(Z23="",0,(COUNTIF($AF23:$AI23,0)&gt;1)+(COUNTIF($AF23:$AI23,1)&gt;1)+(COUNTIF($AF23:$AI23,2)&gt;1)+(COUNTIF($AF23:$AI23,3)&gt;1)+COUNTIF($AF23:$AI23,-1))</f>
        <v/>
      </c>
      <c r="AP23">
        <f>IF(Z23="","",IFERROR(MOD(MATCH(0,$AF23:$AI23,0)-1-AE23+1,4),""))</f>
        <v/>
      </c>
      <c r="AQ23">
        <f>IF(Z23="","",IFERROR(MOD(MATCH(1,$AF23:$AI23,0)-1-AE23+1,4),""))</f>
        <v/>
      </c>
      <c r="AR23">
        <f>IF(Z23="","",IFERROR(MOD(MATCH(2,$AF23:$AI23,0)-1-AE23+1,4),""))</f>
        <v/>
      </c>
      <c r="AS23">
        <f>IF(Z23="","",IFERROR(MOD(MATCH(3,$AF23:$AI23,0)-1-AE23+1,4),""))</f>
        <v/>
      </c>
    </row>
    <row r="24">
      <c r="A24" t="n">
        <v>23</v>
      </c>
      <c r="B24">
        <f>INT((A24-1)/37)+1</f>
        <v/>
      </c>
      <c r="C24">
        <f>MOD(A24-1,37)+1</f>
        <v/>
      </c>
      <c r="D24">
        <f>TRIM(INDEX(データ入力!$B$5:$Q$41,C24,(B24-1)*4+1)&amp;"")</f>
        <v/>
      </c>
      <c r="E24">
        <f>INDEX(データ入力!$B$5:$Q$41,C24,(B24-1)*4+2)&amp;""</f>
        <v/>
      </c>
      <c r="F24">
        <f>IF(OR(E24="1",E24="１",E24="男"),"男",IF(OR(E24="2",E24="２",E24="女"),"女",""))</f>
        <v/>
      </c>
      <c r="G24">
        <f>INDEX(データ入力!$B$5:$Q$41,C24,(B24-1)*4+3)</f>
        <v/>
      </c>
      <c r="H24">
        <f>IF(D24="","",IF($U$2,"混",F24))</f>
        <v/>
      </c>
      <c r="I24">
        <f>IF(AND(H24&lt;&gt;"",ISNUMBER(G24)),H24,"")</f>
        <v/>
      </c>
      <c r="J24">
        <f>IF(I24="","",COUNTIFS($I$2:$I$149,I24,$B$2:$B$149,B24,$G$2:$G$149,"&lt;"&amp;G24)+COUNTIFS($I$2:$I$149,I24,$B$2:$B$149,B24,$G$2:$G$149,G24,$A$2:$A$149,"&lt;"&amp;A24)+1)</f>
        <v/>
      </c>
      <c r="K24">
        <f>IF(I24="","",I24&amp;B24&amp;"-"&amp;J24)</f>
        <v/>
      </c>
      <c r="L24">
        <f>IF(I24="","",I24&amp;B24&amp;"|"&amp;D24)</f>
        <v/>
      </c>
      <c r="M24">
        <f>IF(I24="","",IF(I24="女",COUNTIF(手直し!$G$6:$J$42,D24),COUNTIF(手直し!$B$6:$E$42,D24)))</f>
        <v/>
      </c>
      <c r="N24">
        <f>IF(I24="","",IF(I24="女",COUNTIF(INDEX(手直し!$G$6:$J$42,0,B24),D24),COUNTIF(INDEX(手直し!$B$6:$E$42,0,B24),D24)))</f>
        <v/>
      </c>
      <c r="O24">
        <f>IF(AND(I24&lt;&gt;"",M24=0),1,0)</f>
        <v/>
      </c>
      <c r="P24">
        <f>IF(AND(O24=1,I24&lt;&gt;"女"),COUNTIFS($O$2:O24,1,$I$2:I24,"&lt;&gt;女"),"")</f>
        <v/>
      </c>
      <c r="Q24">
        <f>IF(AND(O24=1,I24="女"),COUNTIFS($O$2:O24,1,$I$2:I24,"女"),"")</f>
        <v/>
      </c>
      <c r="R24">
        <f>IF(AND(I24&lt;&gt;"",M24&gt;=1,N24=0),1,0)</f>
        <v/>
      </c>
      <c r="S24">
        <f>IF(AND(D24&lt;&gt;"",I24=""),1,0)</f>
        <v/>
      </c>
      <c r="T24" t="inlineStr">
        <is>
          <t>手直しを使う</t>
        </is>
      </c>
      <c r="U24">
        <f>COUNTIF(手直し!$B$6:$E$42,"?*")+COUNTIF(手直し!$G$6:$J$42,"?*")&gt;0</f>
        <v/>
      </c>
      <c r="V24">
        <f>IF(J24="",0,J24)</f>
        <v/>
      </c>
      <c r="W24">
        <f>IF(I24="","",I24&amp;D24)</f>
        <v/>
      </c>
      <c r="Y24" t="n">
        <v>23</v>
      </c>
      <c r="Z24">
        <f>IF(Y24&gt;$U$22,"",IF(Y24&lt;=$U$23,IF($U$4,"B","A"),IF($U$4,"A","B")))</f>
        <v/>
      </c>
      <c r="AA24">
        <f>IF(Z24="","",IF(Y24&lt;=$U$23,Y24,Y24-$U$23))</f>
        <v/>
      </c>
      <c r="AB24">
        <f>IF(Z24="","",IF(Z24="A",$U$7,$U$8))</f>
        <v/>
      </c>
      <c r="AC24">
        <f>IF(Z24="","",IF(AB24&lt;=$U$6,AB24-AA24+1,IF(AA24&lt;=INT((AB24-$U$6+1)/2),$U$6-1+2*AA24,IF(AA24&lt;=INT((AB24-$U$6+1)/2)+INT((AB24-$U$6)/2),(AB24-1+MOD(AB24,2))-2*(AA24-INT((AB24-$U$6+1)/2)-1),$U$6-(AA24-INT((AB24-$U$6+1)/2)-INT((AB24-$U$6)/2)-1)))))</f>
        <v/>
      </c>
      <c r="AD24">
        <f>IF(Z24="","",IF($U$2,"",IF(Z24="B","女子","男子"))&amp;AA24&amp;"レース")</f>
        <v/>
      </c>
      <c r="AE24">
        <f>IF(Z24="","",IF($U$2,1,AA24))</f>
        <v/>
      </c>
      <c r="AF24">
        <f>IF(AJ24="",99,IF(最終修正!$C$25="",0,IF(AND(ISNUMBER(最終修正!$C$25),INT(最終修正!$C$25)=最終修正!$C$25,最終修正!$C$25-$U$5&gt;=0,最終修正!$C$25-$U$5&lt;=3),最終修正!$C$25-$U$5,-1)))</f>
        <v/>
      </c>
      <c r="AG24">
        <f>IF(AK24="",99,IF(最終修正!$E$25="",1,IF(AND(ISNUMBER(最終修正!$E$25),INT(最終修正!$E$25)=最終修正!$E$25,最終修正!$E$25-$U$5&gt;=0,最終修正!$E$25-$U$5&lt;=3),最終修正!$E$25-$U$5,-1)))</f>
        <v/>
      </c>
      <c r="AH24">
        <f>IF(AL24="",99,IF(最終修正!$G$25="",2,IF(AND(ISNUMBER(最終修正!$G$25),INT(最終修正!$G$25)=最終修正!$G$25,最終修正!$G$25-$U$5&gt;=0,最終修正!$G$25-$U$5&lt;=3),最終修正!$G$25-$U$5,-1)))</f>
        <v/>
      </c>
      <c r="AI24">
        <f>IF(AM24="",99,IF(最終修正!$I$25="",3,IF(AND(ISNUMBER(最終修正!$I$25),INT(最終修正!$I$25)=最終修正!$I$25,最終修正!$I$25-$U$5&gt;=0,最終修正!$I$25-$U$5&lt;=3),最終修正!$I$25-$U$5,-1)))</f>
        <v/>
      </c>
      <c r="AJ24">
        <f>IF(計算用!$Z$24="","",IF(計算用!$U$24,IF(計算用!$Z$24="A",INDEX(手直し!$B$6:$E$42,計算用!$AC$24,MOD(0-計算用!$AE$24+1,4)+1),INDEX(手直し!$G$6:$J$42,計算用!$AC$24,MOD(0-計算用!$AE$24+1,4)+1)),IF(計算用!$Z$24="A",INDEX(組分け!$B$5:$I$41,計算用!$AC$24,(MOD(0-計算用!$AE$24+1,4)+1)*2-1),INDEX(組分け!$L$5:$S$41,計算用!$AC$24,(MOD(0-計算用!$AE$24+1,4)+1)*2-1)))&amp;"")</f>
        <v/>
      </c>
      <c r="AK24">
        <f>IF(計算用!$Z$24="","",IF(計算用!$U$24,IF(計算用!$Z$24="A",INDEX(手直し!$B$6:$E$42,計算用!$AC$24,MOD(1-計算用!$AE$24+1,4)+1),INDEX(手直し!$G$6:$J$42,計算用!$AC$24,MOD(1-計算用!$AE$24+1,4)+1)),IF(計算用!$Z$24="A",INDEX(組分け!$B$5:$I$41,計算用!$AC$24,(MOD(1-計算用!$AE$24+1,4)+1)*2-1),INDEX(組分け!$L$5:$S$41,計算用!$AC$24,(MOD(1-計算用!$AE$24+1,4)+1)*2-1)))&amp;"")</f>
        <v/>
      </c>
      <c r="AL24">
        <f>IF(計算用!$Z$24="","",IF(計算用!$U$24,IF(計算用!$Z$24="A",INDEX(手直し!$B$6:$E$42,計算用!$AC$24,MOD(2-計算用!$AE$24+1,4)+1),INDEX(手直し!$G$6:$J$42,計算用!$AC$24,MOD(2-計算用!$AE$24+1,4)+1)),IF(計算用!$Z$24="A",INDEX(組分け!$B$5:$I$41,計算用!$AC$24,(MOD(2-計算用!$AE$24+1,4)+1)*2-1),INDEX(組分け!$L$5:$S$41,計算用!$AC$24,(MOD(2-計算用!$AE$24+1,4)+1)*2-1)))&amp;"")</f>
        <v/>
      </c>
      <c r="AM24">
        <f>IF(計算用!$Z$24="","",IF(計算用!$U$24,IF(計算用!$Z$24="A",INDEX(手直し!$B$6:$E$42,計算用!$AC$24,MOD(3-計算用!$AE$24+1,4)+1),INDEX(手直し!$G$6:$J$42,計算用!$AC$24,MOD(3-計算用!$AE$24+1,4)+1)),IF(計算用!$Z$24="A",INDEX(組分け!$B$5:$I$41,計算用!$AC$24,(MOD(3-計算用!$AE$24+1,4)+1)*2-1),INDEX(組分け!$L$5:$S$41,計算用!$AC$24,(MOD(3-計算用!$AE$24+1,4)+1)*2-1)))&amp;"")</f>
        <v/>
      </c>
      <c r="AN24">
        <f>IF(Z24="",0,(COUNTIF($AF24:$AI24,0)&gt;1)+(COUNTIF($AF24:$AI24,1)&gt;1)+(COUNTIF($AF24:$AI24,2)&gt;1)+(COUNTIF($AF24:$AI24,3)&gt;1)+COUNTIF($AF24:$AI24,-1))</f>
        <v/>
      </c>
      <c r="AP24">
        <f>IF(Z24="","",IFERROR(MOD(MATCH(0,$AF24:$AI24,0)-1-AE24+1,4),""))</f>
        <v/>
      </c>
      <c r="AQ24">
        <f>IF(Z24="","",IFERROR(MOD(MATCH(1,$AF24:$AI24,0)-1-AE24+1,4),""))</f>
        <v/>
      </c>
      <c r="AR24">
        <f>IF(Z24="","",IFERROR(MOD(MATCH(2,$AF24:$AI24,0)-1-AE24+1,4),""))</f>
        <v/>
      </c>
      <c r="AS24">
        <f>IF(Z24="","",IFERROR(MOD(MATCH(3,$AF24:$AI24,0)-1-AE24+1,4),""))</f>
        <v/>
      </c>
    </row>
    <row r="25">
      <c r="A25" t="n">
        <v>24</v>
      </c>
      <c r="B25">
        <f>INT((A25-1)/37)+1</f>
        <v/>
      </c>
      <c r="C25">
        <f>MOD(A25-1,37)+1</f>
        <v/>
      </c>
      <c r="D25">
        <f>TRIM(INDEX(データ入力!$B$5:$Q$41,C25,(B25-1)*4+1)&amp;"")</f>
        <v/>
      </c>
      <c r="E25">
        <f>INDEX(データ入力!$B$5:$Q$41,C25,(B25-1)*4+2)&amp;""</f>
        <v/>
      </c>
      <c r="F25">
        <f>IF(OR(E25="1",E25="１",E25="男"),"男",IF(OR(E25="2",E25="２",E25="女"),"女",""))</f>
        <v/>
      </c>
      <c r="G25">
        <f>INDEX(データ入力!$B$5:$Q$41,C25,(B25-1)*4+3)</f>
        <v/>
      </c>
      <c r="H25">
        <f>IF(D25="","",IF($U$2,"混",F25))</f>
        <v/>
      </c>
      <c r="I25">
        <f>IF(AND(H25&lt;&gt;"",ISNUMBER(G25)),H25,"")</f>
        <v/>
      </c>
      <c r="J25">
        <f>IF(I25="","",COUNTIFS($I$2:$I$149,I25,$B$2:$B$149,B25,$G$2:$G$149,"&lt;"&amp;G25)+COUNTIFS($I$2:$I$149,I25,$B$2:$B$149,B25,$G$2:$G$149,G25,$A$2:$A$149,"&lt;"&amp;A25)+1)</f>
        <v/>
      </c>
      <c r="K25">
        <f>IF(I25="","",I25&amp;B25&amp;"-"&amp;J25)</f>
        <v/>
      </c>
      <c r="L25">
        <f>IF(I25="","",I25&amp;B25&amp;"|"&amp;D25)</f>
        <v/>
      </c>
      <c r="M25">
        <f>IF(I25="","",IF(I25="女",COUNTIF(手直し!$G$6:$J$42,D25),COUNTIF(手直し!$B$6:$E$42,D25)))</f>
        <v/>
      </c>
      <c r="N25">
        <f>IF(I25="","",IF(I25="女",COUNTIF(INDEX(手直し!$G$6:$J$42,0,B25),D25),COUNTIF(INDEX(手直し!$B$6:$E$42,0,B25),D25)))</f>
        <v/>
      </c>
      <c r="O25">
        <f>IF(AND(I25&lt;&gt;"",M25=0),1,0)</f>
        <v/>
      </c>
      <c r="P25">
        <f>IF(AND(O25=1,I25&lt;&gt;"女"),COUNTIFS($O$2:O25,1,$I$2:I25,"&lt;&gt;女"),"")</f>
        <v/>
      </c>
      <c r="Q25">
        <f>IF(AND(O25=1,I25="女"),COUNTIFS($O$2:O25,1,$I$2:I25,"女"),"")</f>
        <v/>
      </c>
      <c r="R25">
        <f>IF(AND(I25&lt;&gt;"",M25&gt;=1,N25=0),1,0)</f>
        <v/>
      </c>
      <c r="S25">
        <f>IF(AND(D25&lt;&gt;"",I25=""),1,0)</f>
        <v/>
      </c>
      <c r="T25" t="inlineStr">
        <is>
          <t>混合なのに女子の欄に名前</t>
        </is>
      </c>
      <c r="U25">
        <f>AND(U2,COUNTIF(手直し!$G$6:$J$42,"?*")&gt;0)</f>
        <v/>
      </c>
      <c r="V25">
        <f>IF(J25="",0,J25)</f>
        <v/>
      </c>
      <c r="W25">
        <f>IF(I25="","",I25&amp;D25)</f>
        <v/>
      </c>
      <c r="Y25" t="n">
        <v>24</v>
      </c>
      <c r="Z25">
        <f>IF(Y25&gt;$U$22,"",IF(Y25&lt;=$U$23,IF($U$4,"B","A"),IF($U$4,"A","B")))</f>
        <v/>
      </c>
      <c r="AA25">
        <f>IF(Z25="","",IF(Y25&lt;=$U$23,Y25,Y25-$U$23))</f>
        <v/>
      </c>
      <c r="AB25">
        <f>IF(Z25="","",IF(Z25="A",$U$7,$U$8))</f>
        <v/>
      </c>
      <c r="AC25">
        <f>IF(Z25="","",IF(AB25&lt;=$U$6,AB25-AA25+1,IF(AA25&lt;=INT((AB25-$U$6+1)/2),$U$6-1+2*AA25,IF(AA25&lt;=INT((AB25-$U$6+1)/2)+INT((AB25-$U$6)/2),(AB25-1+MOD(AB25,2))-2*(AA25-INT((AB25-$U$6+1)/2)-1),$U$6-(AA25-INT((AB25-$U$6+1)/2)-INT((AB25-$U$6)/2)-1)))))</f>
        <v/>
      </c>
      <c r="AD25">
        <f>IF(Z25="","",IF($U$2,"",IF(Z25="B","女子","男子"))&amp;AA25&amp;"レース")</f>
        <v/>
      </c>
      <c r="AE25">
        <f>IF(Z25="","",IF($U$2,1,AA25))</f>
        <v/>
      </c>
      <c r="AF25">
        <f>IF(AJ25="",99,IF(最終修正!$C$26="",0,IF(AND(ISNUMBER(最終修正!$C$26),INT(最終修正!$C$26)=最終修正!$C$26,最終修正!$C$26-$U$5&gt;=0,最終修正!$C$26-$U$5&lt;=3),最終修正!$C$26-$U$5,-1)))</f>
        <v/>
      </c>
      <c r="AG25">
        <f>IF(AK25="",99,IF(最終修正!$E$26="",1,IF(AND(ISNUMBER(最終修正!$E$26),INT(最終修正!$E$26)=最終修正!$E$26,最終修正!$E$26-$U$5&gt;=0,最終修正!$E$26-$U$5&lt;=3),最終修正!$E$26-$U$5,-1)))</f>
        <v/>
      </c>
      <c r="AH25">
        <f>IF(AL25="",99,IF(最終修正!$G$26="",2,IF(AND(ISNUMBER(最終修正!$G$26),INT(最終修正!$G$26)=最終修正!$G$26,最終修正!$G$26-$U$5&gt;=0,最終修正!$G$26-$U$5&lt;=3),最終修正!$G$26-$U$5,-1)))</f>
        <v/>
      </c>
      <c r="AI25">
        <f>IF(AM25="",99,IF(最終修正!$I$26="",3,IF(AND(ISNUMBER(最終修正!$I$26),INT(最終修正!$I$26)=最終修正!$I$26,最終修正!$I$26-$U$5&gt;=0,最終修正!$I$26-$U$5&lt;=3),最終修正!$I$26-$U$5,-1)))</f>
        <v/>
      </c>
      <c r="AJ25">
        <f>IF(計算用!$Z$25="","",IF(計算用!$U$24,IF(計算用!$Z$25="A",INDEX(手直し!$B$6:$E$42,計算用!$AC$25,MOD(0-計算用!$AE$25+1,4)+1),INDEX(手直し!$G$6:$J$42,計算用!$AC$25,MOD(0-計算用!$AE$25+1,4)+1)),IF(計算用!$Z$25="A",INDEX(組分け!$B$5:$I$41,計算用!$AC$25,(MOD(0-計算用!$AE$25+1,4)+1)*2-1),INDEX(組分け!$L$5:$S$41,計算用!$AC$25,(MOD(0-計算用!$AE$25+1,4)+1)*2-1)))&amp;"")</f>
        <v/>
      </c>
      <c r="AK25">
        <f>IF(計算用!$Z$25="","",IF(計算用!$U$24,IF(計算用!$Z$25="A",INDEX(手直し!$B$6:$E$42,計算用!$AC$25,MOD(1-計算用!$AE$25+1,4)+1),INDEX(手直し!$G$6:$J$42,計算用!$AC$25,MOD(1-計算用!$AE$25+1,4)+1)),IF(計算用!$Z$25="A",INDEX(組分け!$B$5:$I$41,計算用!$AC$25,(MOD(1-計算用!$AE$25+1,4)+1)*2-1),INDEX(組分け!$L$5:$S$41,計算用!$AC$25,(MOD(1-計算用!$AE$25+1,4)+1)*2-1)))&amp;"")</f>
        <v/>
      </c>
      <c r="AL25">
        <f>IF(計算用!$Z$25="","",IF(計算用!$U$24,IF(計算用!$Z$25="A",INDEX(手直し!$B$6:$E$42,計算用!$AC$25,MOD(2-計算用!$AE$25+1,4)+1),INDEX(手直し!$G$6:$J$42,計算用!$AC$25,MOD(2-計算用!$AE$25+1,4)+1)),IF(計算用!$Z$25="A",INDEX(組分け!$B$5:$I$41,計算用!$AC$25,(MOD(2-計算用!$AE$25+1,4)+1)*2-1),INDEX(組分け!$L$5:$S$41,計算用!$AC$25,(MOD(2-計算用!$AE$25+1,4)+1)*2-1)))&amp;"")</f>
        <v/>
      </c>
      <c r="AM25">
        <f>IF(計算用!$Z$25="","",IF(計算用!$U$24,IF(計算用!$Z$25="A",INDEX(手直し!$B$6:$E$42,計算用!$AC$25,MOD(3-計算用!$AE$25+1,4)+1),INDEX(手直し!$G$6:$J$42,計算用!$AC$25,MOD(3-計算用!$AE$25+1,4)+1)),IF(計算用!$Z$25="A",INDEX(組分け!$B$5:$I$41,計算用!$AC$25,(MOD(3-計算用!$AE$25+1,4)+1)*2-1),INDEX(組分け!$L$5:$S$41,計算用!$AC$25,(MOD(3-計算用!$AE$25+1,4)+1)*2-1)))&amp;"")</f>
        <v/>
      </c>
      <c r="AN25">
        <f>IF(Z25="",0,(COUNTIF($AF25:$AI25,0)&gt;1)+(COUNTIF($AF25:$AI25,1)&gt;1)+(COUNTIF($AF25:$AI25,2)&gt;1)+(COUNTIF($AF25:$AI25,3)&gt;1)+COUNTIF($AF25:$AI25,-1))</f>
        <v/>
      </c>
      <c r="AP25">
        <f>IF(Z25="","",IFERROR(MOD(MATCH(0,$AF25:$AI25,0)-1-AE25+1,4),""))</f>
        <v/>
      </c>
      <c r="AQ25">
        <f>IF(Z25="","",IFERROR(MOD(MATCH(1,$AF25:$AI25,0)-1-AE25+1,4),""))</f>
        <v/>
      </c>
      <c r="AR25">
        <f>IF(Z25="","",IFERROR(MOD(MATCH(2,$AF25:$AI25,0)-1-AE25+1,4),""))</f>
        <v/>
      </c>
      <c r="AS25">
        <f>IF(Z25="","",IFERROR(MOD(MATCH(3,$AF25:$AI25,0)-1-AE25+1,4),""))</f>
        <v/>
      </c>
    </row>
    <row r="26">
      <c r="A26" t="n">
        <v>25</v>
      </c>
      <c r="B26">
        <f>INT((A26-1)/37)+1</f>
        <v/>
      </c>
      <c r="C26">
        <f>MOD(A26-1,37)+1</f>
        <v/>
      </c>
      <c r="D26">
        <f>TRIM(INDEX(データ入力!$B$5:$Q$41,C26,(B26-1)*4+1)&amp;"")</f>
        <v/>
      </c>
      <c r="E26">
        <f>INDEX(データ入力!$B$5:$Q$41,C26,(B26-1)*4+2)&amp;""</f>
        <v/>
      </c>
      <c r="F26">
        <f>IF(OR(E26="1",E26="１",E26="男"),"男",IF(OR(E26="2",E26="２",E26="女"),"女",""))</f>
        <v/>
      </c>
      <c r="G26">
        <f>INDEX(データ入力!$B$5:$Q$41,C26,(B26-1)*4+3)</f>
        <v/>
      </c>
      <c r="H26">
        <f>IF(D26="","",IF($U$2,"混",F26))</f>
        <v/>
      </c>
      <c r="I26">
        <f>IF(AND(H26&lt;&gt;"",ISNUMBER(G26)),H26,"")</f>
        <v/>
      </c>
      <c r="J26">
        <f>IF(I26="","",COUNTIFS($I$2:$I$149,I26,$B$2:$B$149,B26,$G$2:$G$149,"&lt;"&amp;G26)+COUNTIFS($I$2:$I$149,I26,$B$2:$B$149,B26,$G$2:$G$149,G26,$A$2:$A$149,"&lt;"&amp;A26)+1)</f>
        <v/>
      </c>
      <c r="K26">
        <f>IF(I26="","",I26&amp;B26&amp;"-"&amp;J26)</f>
        <v/>
      </c>
      <c r="L26">
        <f>IF(I26="","",I26&amp;B26&amp;"|"&amp;D26)</f>
        <v/>
      </c>
      <c r="M26">
        <f>IF(I26="","",IF(I26="女",COUNTIF(手直し!$G$6:$J$42,D26),COUNTIF(手直し!$B$6:$E$42,D26)))</f>
        <v/>
      </c>
      <c r="N26">
        <f>IF(I26="","",IF(I26="女",COUNTIF(INDEX(手直し!$G$6:$J$42,0,B26),D26),COUNTIF(INDEX(手直し!$B$6:$E$42,0,B26),D26)))</f>
        <v/>
      </c>
      <c r="O26">
        <f>IF(AND(I26&lt;&gt;"",M26=0),1,0)</f>
        <v/>
      </c>
      <c r="P26">
        <f>IF(AND(O26=1,I26&lt;&gt;"女"),COUNTIFS($O$2:O26,1,$I$2:I26,"&lt;&gt;女"),"")</f>
        <v/>
      </c>
      <c r="Q26">
        <f>IF(AND(O26=1,I26="女"),COUNTIFS($O$2:O26,1,$I$2:I26,"女"),"")</f>
        <v/>
      </c>
      <c r="R26">
        <f>IF(AND(I26&lt;&gt;"",M26&gt;=1,N26=0),1,0)</f>
        <v/>
      </c>
      <c r="S26">
        <f>IF(AND(D26&lt;&gt;"",I26=""),1,0)</f>
        <v/>
      </c>
      <c r="T26" t="inlineStr">
        <is>
          <t>最終修正の問題</t>
        </is>
      </c>
      <c r="U26">
        <f>SUM(AN2:AN75)</f>
        <v/>
      </c>
      <c r="V26">
        <f>IF(J26="",0,J26)</f>
        <v/>
      </c>
      <c r="W26">
        <f>IF(I26="","",I26&amp;D26)</f>
        <v/>
      </c>
      <c r="Y26" t="n">
        <v>25</v>
      </c>
      <c r="Z26">
        <f>IF(Y26&gt;$U$22,"",IF(Y26&lt;=$U$23,IF($U$4,"B","A"),IF($U$4,"A","B")))</f>
        <v/>
      </c>
      <c r="AA26">
        <f>IF(Z26="","",IF(Y26&lt;=$U$23,Y26,Y26-$U$23))</f>
        <v/>
      </c>
      <c r="AB26">
        <f>IF(Z26="","",IF(Z26="A",$U$7,$U$8))</f>
        <v/>
      </c>
      <c r="AC26">
        <f>IF(Z26="","",IF(AB26&lt;=$U$6,AB26-AA26+1,IF(AA26&lt;=INT((AB26-$U$6+1)/2),$U$6-1+2*AA26,IF(AA26&lt;=INT((AB26-$U$6+1)/2)+INT((AB26-$U$6)/2),(AB26-1+MOD(AB26,2))-2*(AA26-INT((AB26-$U$6+1)/2)-1),$U$6-(AA26-INT((AB26-$U$6+1)/2)-INT((AB26-$U$6)/2)-1)))))</f>
        <v/>
      </c>
      <c r="AD26">
        <f>IF(Z26="","",IF($U$2,"",IF(Z26="B","女子","男子"))&amp;AA26&amp;"レース")</f>
        <v/>
      </c>
      <c r="AE26">
        <f>IF(Z26="","",IF($U$2,1,AA26))</f>
        <v/>
      </c>
      <c r="AF26">
        <f>IF(AJ26="",99,IF(最終修正!$C$27="",0,IF(AND(ISNUMBER(最終修正!$C$27),INT(最終修正!$C$27)=最終修正!$C$27,最終修正!$C$27-$U$5&gt;=0,最終修正!$C$27-$U$5&lt;=3),最終修正!$C$27-$U$5,-1)))</f>
        <v/>
      </c>
      <c r="AG26">
        <f>IF(AK26="",99,IF(最終修正!$E$27="",1,IF(AND(ISNUMBER(最終修正!$E$27),INT(最終修正!$E$27)=最終修正!$E$27,最終修正!$E$27-$U$5&gt;=0,最終修正!$E$27-$U$5&lt;=3),最終修正!$E$27-$U$5,-1)))</f>
        <v/>
      </c>
      <c r="AH26">
        <f>IF(AL26="",99,IF(最終修正!$G$27="",2,IF(AND(ISNUMBER(最終修正!$G$27),INT(最終修正!$G$27)=最終修正!$G$27,最終修正!$G$27-$U$5&gt;=0,最終修正!$G$27-$U$5&lt;=3),最終修正!$G$27-$U$5,-1)))</f>
        <v/>
      </c>
      <c r="AI26">
        <f>IF(AM26="",99,IF(最終修正!$I$27="",3,IF(AND(ISNUMBER(最終修正!$I$27),INT(最終修正!$I$27)=最終修正!$I$27,最終修正!$I$27-$U$5&gt;=0,最終修正!$I$27-$U$5&lt;=3),最終修正!$I$27-$U$5,-1)))</f>
        <v/>
      </c>
      <c r="AJ26">
        <f>IF(計算用!$Z$26="","",IF(計算用!$U$24,IF(計算用!$Z$26="A",INDEX(手直し!$B$6:$E$42,計算用!$AC$26,MOD(0-計算用!$AE$26+1,4)+1),INDEX(手直し!$G$6:$J$42,計算用!$AC$26,MOD(0-計算用!$AE$26+1,4)+1)),IF(計算用!$Z$26="A",INDEX(組分け!$B$5:$I$41,計算用!$AC$26,(MOD(0-計算用!$AE$26+1,4)+1)*2-1),INDEX(組分け!$L$5:$S$41,計算用!$AC$26,(MOD(0-計算用!$AE$26+1,4)+1)*2-1)))&amp;"")</f>
        <v/>
      </c>
      <c r="AK26">
        <f>IF(計算用!$Z$26="","",IF(計算用!$U$24,IF(計算用!$Z$26="A",INDEX(手直し!$B$6:$E$42,計算用!$AC$26,MOD(1-計算用!$AE$26+1,4)+1),INDEX(手直し!$G$6:$J$42,計算用!$AC$26,MOD(1-計算用!$AE$26+1,4)+1)),IF(計算用!$Z$26="A",INDEX(組分け!$B$5:$I$41,計算用!$AC$26,(MOD(1-計算用!$AE$26+1,4)+1)*2-1),INDEX(組分け!$L$5:$S$41,計算用!$AC$26,(MOD(1-計算用!$AE$26+1,4)+1)*2-1)))&amp;"")</f>
        <v/>
      </c>
      <c r="AL26">
        <f>IF(計算用!$Z$26="","",IF(計算用!$U$24,IF(計算用!$Z$26="A",INDEX(手直し!$B$6:$E$42,計算用!$AC$26,MOD(2-計算用!$AE$26+1,4)+1),INDEX(手直し!$G$6:$J$42,計算用!$AC$26,MOD(2-計算用!$AE$26+1,4)+1)),IF(計算用!$Z$26="A",INDEX(組分け!$B$5:$I$41,計算用!$AC$26,(MOD(2-計算用!$AE$26+1,4)+1)*2-1),INDEX(組分け!$L$5:$S$41,計算用!$AC$26,(MOD(2-計算用!$AE$26+1,4)+1)*2-1)))&amp;"")</f>
        <v/>
      </c>
      <c r="AM26">
        <f>IF(計算用!$Z$26="","",IF(計算用!$U$24,IF(計算用!$Z$26="A",INDEX(手直し!$B$6:$E$42,計算用!$AC$26,MOD(3-計算用!$AE$26+1,4)+1),INDEX(手直し!$G$6:$J$42,計算用!$AC$26,MOD(3-計算用!$AE$26+1,4)+1)),IF(計算用!$Z$26="A",INDEX(組分け!$B$5:$I$41,計算用!$AC$26,(MOD(3-計算用!$AE$26+1,4)+1)*2-1),INDEX(組分け!$L$5:$S$41,計算用!$AC$26,(MOD(3-計算用!$AE$26+1,4)+1)*2-1)))&amp;"")</f>
        <v/>
      </c>
      <c r="AN26">
        <f>IF(Z26="",0,(COUNTIF($AF26:$AI26,0)&gt;1)+(COUNTIF($AF26:$AI26,1)&gt;1)+(COUNTIF($AF26:$AI26,2)&gt;1)+(COUNTIF($AF26:$AI26,3)&gt;1)+COUNTIF($AF26:$AI26,-1))</f>
        <v/>
      </c>
      <c r="AP26">
        <f>IF(Z26="","",IFERROR(MOD(MATCH(0,$AF26:$AI26,0)-1-AE26+1,4),""))</f>
        <v/>
      </c>
      <c r="AQ26">
        <f>IF(Z26="","",IFERROR(MOD(MATCH(1,$AF26:$AI26,0)-1-AE26+1,4),""))</f>
        <v/>
      </c>
      <c r="AR26">
        <f>IF(Z26="","",IFERROR(MOD(MATCH(2,$AF26:$AI26,0)-1-AE26+1,4),""))</f>
        <v/>
      </c>
      <c r="AS26">
        <f>IF(Z26="","",IFERROR(MOD(MATCH(3,$AF26:$AI26,0)-1-AE26+1,4),""))</f>
        <v/>
      </c>
    </row>
    <row r="27">
      <c r="A27" t="n">
        <v>26</v>
      </c>
      <c r="B27">
        <f>INT((A27-1)/37)+1</f>
        <v/>
      </c>
      <c r="C27">
        <f>MOD(A27-1,37)+1</f>
        <v/>
      </c>
      <c r="D27">
        <f>TRIM(INDEX(データ入力!$B$5:$Q$41,C27,(B27-1)*4+1)&amp;"")</f>
        <v/>
      </c>
      <c r="E27">
        <f>INDEX(データ入力!$B$5:$Q$41,C27,(B27-1)*4+2)&amp;""</f>
        <v/>
      </c>
      <c r="F27">
        <f>IF(OR(E27="1",E27="１",E27="男"),"男",IF(OR(E27="2",E27="２",E27="女"),"女",""))</f>
        <v/>
      </c>
      <c r="G27">
        <f>INDEX(データ入力!$B$5:$Q$41,C27,(B27-1)*4+3)</f>
        <v/>
      </c>
      <c r="H27">
        <f>IF(D27="","",IF($U$2,"混",F27))</f>
        <v/>
      </c>
      <c r="I27">
        <f>IF(AND(H27&lt;&gt;"",ISNUMBER(G27)),H27,"")</f>
        <v/>
      </c>
      <c r="J27">
        <f>IF(I27="","",COUNTIFS($I$2:$I$149,I27,$B$2:$B$149,B27,$G$2:$G$149,"&lt;"&amp;G27)+COUNTIFS($I$2:$I$149,I27,$B$2:$B$149,B27,$G$2:$G$149,G27,$A$2:$A$149,"&lt;"&amp;A27)+1)</f>
        <v/>
      </c>
      <c r="K27">
        <f>IF(I27="","",I27&amp;B27&amp;"-"&amp;J27)</f>
        <v/>
      </c>
      <c r="L27">
        <f>IF(I27="","",I27&amp;B27&amp;"|"&amp;D27)</f>
        <v/>
      </c>
      <c r="M27">
        <f>IF(I27="","",IF(I27="女",COUNTIF(手直し!$G$6:$J$42,D27),COUNTIF(手直し!$B$6:$E$42,D27)))</f>
        <v/>
      </c>
      <c r="N27">
        <f>IF(I27="","",IF(I27="女",COUNTIF(INDEX(手直し!$G$6:$J$42,0,B27),D27),COUNTIF(INDEX(手直し!$B$6:$E$42,0,B27),D27)))</f>
        <v/>
      </c>
      <c r="O27">
        <f>IF(AND(I27&lt;&gt;"",M27=0),1,0)</f>
        <v/>
      </c>
      <c r="P27">
        <f>IF(AND(O27=1,I27&lt;&gt;"女"),COUNTIFS($O$2:O27,1,$I$2:I27,"&lt;&gt;女"),"")</f>
        <v/>
      </c>
      <c r="Q27">
        <f>IF(AND(O27=1,I27="女"),COUNTIFS($O$2:O27,1,$I$2:I27,"女"),"")</f>
        <v/>
      </c>
      <c r="R27">
        <f>IF(AND(I27&lt;&gt;"",M27&gt;=1,N27=0),1,0)</f>
        <v/>
      </c>
      <c r="S27">
        <f>IF(AND(D27&lt;&gt;"",I27=""),1,0)</f>
        <v/>
      </c>
      <c r="T27" t="inlineStr">
        <is>
          <t>手直しの注意</t>
        </is>
      </c>
      <c r="U27">
        <f>IF(U25,"※男女混合なのに、手直しシートの女子の欄に名前があります。手直しシートをやり直してください（空にすると自動の組を使います）",IF(U20&gt;0,"※手直しシートに確認が必要なところがあります",""))</f>
        <v/>
      </c>
      <c r="V27">
        <f>IF(J27="",0,J27)</f>
        <v/>
      </c>
      <c r="W27">
        <f>IF(I27="","",I27&amp;D27)</f>
        <v/>
      </c>
      <c r="Y27" t="n">
        <v>26</v>
      </c>
      <c r="Z27">
        <f>IF(Y27&gt;$U$22,"",IF(Y27&lt;=$U$23,IF($U$4,"B","A"),IF($U$4,"A","B")))</f>
        <v/>
      </c>
      <c r="AA27">
        <f>IF(Z27="","",IF(Y27&lt;=$U$23,Y27,Y27-$U$23))</f>
        <v/>
      </c>
      <c r="AB27">
        <f>IF(Z27="","",IF(Z27="A",$U$7,$U$8))</f>
        <v/>
      </c>
      <c r="AC27">
        <f>IF(Z27="","",IF(AB27&lt;=$U$6,AB27-AA27+1,IF(AA27&lt;=INT((AB27-$U$6+1)/2),$U$6-1+2*AA27,IF(AA27&lt;=INT((AB27-$U$6+1)/2)+INT((AB27-$U$6)/2),(AB27-1+MOD(AB27,2))-2*(AA27-INT((AB27-$U$6+1)/2)-1),$U$6-(AA27-INT((AB27-$U$6+1)/2)-INT((AB27-$U$6)/2)-1)))))</f>
        <v/>
      </c>
      <c r="AD27">
        <f>IF(Z27="","",IF($U$2,"",IF(Z27="B","女子","男子"))&amp;AA27&amp;"レース")</f>
        <v/>
      </c>
      <c r="AE27">
        <f>IF(Z27="","",IF($U$2,1,AA27))</f>
        <v/>
      </c>
      <c r="AF27">
        <f>IF(AJ27="",99,IF(最終修正!$C$28="",0,IF(AND(ISNUMBER(最終修正!$C$28),INT(最終修正!$C$28)=最終修正!$C$28,最終修正!$C$28-$U$5&gt;=0,最終修正!$C$28-$U$5&lt;=3),最終修正!$C$28-$U$5,-1)))</f>
        <v/>
      </c>
      <c r="AG27">
        <f>IF(AK27="",99,IF(最終修正!$E$28="",1,IF(AND(ISNUMBER(最終修正!$E$28),INT(最終修正!$E$28)=最終修正!$E$28,最終修正!$E$28-$U$5&gt;=0,最終修正!$E$28-$U$5&lt;=3),最終修正!$E$28-$U$5,-1)))</f>
        <v/>
      </c>
      <c r="AH27">
        <f>IF(AL27="",99,IF(最終修正!$G$28="",2,IF(AND(ISNUMBER(最終修正!$G$28),INT(最終修正!$G$28)=最終修正!$G$28,最終修正!$G$28-$U$5&gt;=0,最終修正!$G$28-$U$5&lt;=3),最終修正!$G$28-$U$5,-1)))</f>
        <v/>
      </c>
      <c r="AI27">
        <f>IF(AM27="",99,IF(最終修正!$I$28="",3,IF(AND(ISNUMBER(最終修正!$I$28),INT(最終修正!$I$28)=最終修正!$I$28,最終修正!$I$28-$U$5&gt;=0,最終修正!$I$28-$U$5&lt;=3),最終修正!$I$28-$U$5,-1)))</f>
        <v/>
      </c>
      <c r="AJ27">
        <f>IF(計算用!$Z$27="","",IF(計算用!$U$24,IF(計算用!$Z$27="A",INDEX(手直し!$B$6:$E$42,計算用!$AC$27,MOD(0-計算用!$AE$27+1,4)+1),INDEX(手直し!$G$6:$J$42,計算用!$AC$27,MOD(0-計算用!$AE$27+1,4)+1)),IF(計算用!$Z$27="A",INDEX(組分け!$B$5:$I$41,計算用!$AC$27,(MOD(0-計算用!$AE$27+1,4)+1)*2-1),INDEX(組分け!$L$5:$S$41,計算用!$AC$27,(MOD(0-計算用!$AE$27+1,4)+1)*2-1)))&amp;"")</f>
        <v/>
      </c>
      <c r="AK27">
        <f>IF(計算用!$Z$27="","",IF(計算用!$U$24,IF(計算用!$Z$27="A",INDEX(手直し!$B$6:$E$42,計算用!$AC$27,MOD(1-計算用!$AE$27+1,4)+1),INDEX(手直し!$G$6:$J$42,計算用!$AC$27,MOD(1-計算用!$AE$27+1,4)+1)),IF(計算用!$Z$27="A",INDEX(組分け!$B$5:$I$41,計算用!$AC$27,(MOD(1-計算用!$AE$27+1,4)+1)*2-1),INDEX(組分け!$L$5:$S$41,計算用!$AC$27,(MOD(1-計算用!$AE$27+1,4)+1)*2-1)))&amp;"")</f>
        <v/>
      </c>
      <c r="AL27">
        <f>IF(計算用!$Z$27="","",IF(計算用!$U$24,IF(計算用!$Z$27="A",INDEX(手直し!$B$6:$E$42,計算用!$AC$27,MOD(2-計算用!$AE$27+1,4)+1),INDEX(手直し!$G$6:$J$42,計算用!$AC$27,MOD(2-計算用!$AE$27+1,4)+1)),IF(計算用!$Z$27="A",INDEX(組分け!$B$5:$I$41,計算用!$AC$27,(MOD(2-計算用!$AE$27+1,4)+1)*2-1),INDEX(組分け!$L$5:$S$41,計算用!$AC$27,(MOD(2-計算用!$AE$27+1,4)+1)*2-1)))&amp;"")</f>
        <v/>
      </c>
      <c r="AM27">
        <f>IF(計算用!$Z$27="","",IF(計算用!$U$24,IF(計算用!$Z$27="A",INDEX(手直し!$B$6:$E$42,計算用!$AC$27,MOD(3-計算用!$AE$27+1,4)+1),INDEX(手直し!$G$6:$J$42,計算用!$AC$27,MOD(3-計算用!$AE$27+1,4)+1)),IF(計算用!$Z$27="A",INDEX(組分け!$B$5:$I$41,計算用!$AC$27,(MOD(3-計算用!$AE$27+1,4)+1)*2-1),INDEX(組分け!$L$5:$S$41,計算用!$AC$27,(MOD(3-計算用!$AE$27+1,4)+1)*2-1)))&amp;"")</f>
        <v/>
      </c>
      <c r="AN27">
        <f>IF(Z27="",0,(COUNTIF($AF27:$AI27,0)&gt;1)+(COUNTIF($AF27:$AI27,1)&gt;1)+(COUNTIF($AF27:$AI27,2)&gt;1)+(COUNTIF($AF27:$AI27,3)&gt;1)+COUNTIF($AF27:$AI27,-1))</f>
        <v/>
      </c>
      <c r="AP27">
        <f>IF(Z27="","",IFERROR(MOD(MATCH(0,$AF27:$AI27,0)-1-AE27+1,4),""))</f>
        <v/>
      </c>
      <c r="AQ27">
        <f>IF(Z27="","",IFERROR(MOD(MATCH(1,$AF27:$AI27,0)-1-AE27+1,4),""))</f>
        <v/>
      </c>
      <c r="AR27">
        <f>IF(Z27="","",IFERROR(MOD(MATCH(2,$AF27:$AI27,0)-1-AE27+1,4),""))</f>
        <v/>
      </c>
      <c r="AS27">
        <f>IF(Z27="","",IFERROR(MOD(MATCH(3,$AF27:$AI27,0)-1-AE27+1,4),""))</f>
        <v/>
      </c>
    </row>
    <row r="28">
      <c r="A28" t="n">
        <v>27</v>
      </c>
      <c r="B28">
        <f>INT((A28-1)/37)+1</f>
        <v/>
      </c>
      <c r="C28">
        <f>MOD(A28-1,37)+1</f>
        <v/>
      </c>
      <c r="D28">
        <f>TRIM(INDEX(データ入力!$B$5:$Q$41,C28,(B28-1)*4+1)&amp;"")</f>
        <v/>
      </c>
      <c r="E28">
        <f>INDEX(データ入力!$B$5:$Q$41,C28,(B28-1)*4+2)&amp;""</f>
        <v/>
      </c>
      <c r="F28">
        <f>IF(OR(E28="1",E28="１",E28="男"),"男",IF(OR(E28="2",E28="２",E28="女"),"女",""))</f>
        <v/>
      </c>
      <c r="G28">
        <f>INDEX(データ入力!$B$5:$Q$41,C28,(B28-1)*4+3)</f>
        <v/>
      </c>
      <c r="H28">
        <f>IF(D28="","",IF($U$2,"混",F28))</f>
        <v/>
      </c>
      <c r="I28">
        <f>IF(AND(H28&lt;&gt;"",ISNUMBER(G28)),H28,"")</f>
        <v/>
      </c>
      <c r="J28">
        <f>IF(I28="","",COUNTIFS($I$2:$I$149,I28,$B$2:$B$149,B28,$G$2:$G$149,"&lt;"&amp;G28)+COUNTIFS($I$2:$I$149,I28,$B$2:$B$149,B28,$G$2:$G$149,G28,$A$2:$A$149,"&lt;"&amp;A28)+1)</f>
        <v/>
      </c>
      <c r="K28">
        <f>IF(I28="","",I28&amp;B28&amp;"-"&amp;J28)</f>
        <v/>
      </c>
      <c r="L28">
        <f>IF(I28="","",I28&amp;B28&amp;"|"&amp;D28)</f>
        <v/>
      </c>
      <c r="M28">
        <f>IF(I28="","",IF(I28="女",COUNTIF(手直し!$G$6:$J$42,D28),COUNTIF(手直し!$B$6:$E$42,D28)))</f>
        <v/>
      </c>
      <c r="N28">
        <f>IF(I28="","",IF(I28="女",COUNTIF(INDEX(手直し!$G$6:$J$42,0,B28),D28),COUNTIF(INDEX(手直し!$B$6:$E$42,0,B28),D28)))</f>
        <v/>
      </c>
      <c r="O28">
        <f>IF(AND(I28&lt;&gt;"",M28=0),1,0)</f>
        <v/>
      </c>
      <c r="P28">
        <f>IF(AND(O28=1,I28&lt;&gt;"女"),COUNTIFS($O$2:O28,1,$I$2:I28,"&lt;&gt;女"),"")</f>
        <v/>
      </c>
      <c r="Q28">
        <f>IF(AND(O28=1,I28="女"),COUNTIFS($O$2:O28,1,$I$2:I28,"女"),"")</f>
        <v/>
      </c>
      <c r="R28">
        <f>IF(AND(I28&lt;&gt;"",M28&gt;=1,N28=0),1,0)</f>
        <v/>
      </c>
      <c r="S28">
        <f>IF(AND(D28&lt;&gt;"",I28=""),1,0)</f>
        <v/>
      </c>
      <c r="T28" t="inlineStr">
        <is>
          <t>最終修正の注意</t>
        </is>
      </c>
      <c r="U28">
        <f>IF(U26&gt;0,"※最終修正で、同じコースに2人いるか、使えないコース番号のレースがあります（赤いレース）","")</f>
        <v/>
      </c>
      <c r="V28">
        <f>IF(J28="",0,J28)</f>
        <v/>
      </c>
      <c r="W28">
        <f>IF(I28="","",I28&amp;D28)</f>
        <v/>
      </c>
      <c r="Y28" t="n">
        <v>27</v>
      </c>
      <c r="Z28">
        <f>IF(Y28&gt;$U$22,"",IF(Y28&lt;=$U$23,IF($U$4,"B","A"),IF($U$4,"A","B")))</f>
        <v/>
      </c>
      <c r="AA28">
        <f>IF(Z28="","",IF(Y28&lt;=$U$23,Y28,Y28-$U$23))</f>
        <v/>
      </c>
      <c r="AB28">
        <f>IF(Z28="","",IF(Z28="A",$U$7,$U$8))</f>
        <v/>
      </c>
      <c r="AC28">
        <f>IF(Z28="","",IF(AB28&lt;=$U$6,AB28-AA28+1,IF(AA28&lt;=INT((AB28-$U$6+1)/2),$U$6-1+2*AA28,IF(AA28&lt;=INT((AB28-$U$6+1)/2)+INT((AB28-$U$6)/2),(AB28-1+MOD(AB28,2))-2*(AA28-INT((AB28-$U$6+1)/2)-1),$U$6-(AA28-INT((AB28-$U$6+1)/2)-INT((AB28-$U$6)/2)-1)))))</f>
        <v/>
      </c>
      <c r="AD28">
        <f>IF(Z28="","",IF($U$2,"",IF(Z28="B","女子","男子"))&amp;AA28&amp;"レース")</f>
        <v/>
      </c>
      <c r="AE28">
        <f>IF(Z28="","",IF($U$2,1,AA28))</f>
        <v/>
      </c>
      <c r="AF28">
        <f>IF(AJ28="",99,IF(最終修正!$C$29="",0,IF(AND(ISNUMBER(最終修正!$C$29),INT(最終修正!$C$29)=最終修正!$C$29,最終修正!$C$29-$U$5&gt;=0,最終修正!$C$29-$U$5&lt;=3),最終修正!$C$29-$U$5,-1)))</f>
        <v/>
      </c>
      <c r="AG28">
        <f>IF(AK28="",99,IF(最終修正!$E$29="",1,IF(AND(ISNUMBER(最終修正!$E$29),INT(最終修正!$E$29)=最終修正!$E$29,最終修正!$E$29-$U$5&gt;=0,最終修正!$E$29-$U$5&lt;=3),最終修正!$E$29-$U$5,-1)))</f>
        <v/>
      </c>
      <c r="AH28">
        <f>IF(AL28="",99,IF(最終修正!$G$29="",2,IF(AND(ISNUMBER(最終修正!$G$29),INT(最終修正!$G$29)=最終修正!$G$29,最終修正!$G$29-$U$5&gt;=0,最終修正!$G$29-$U$5&lt;=3),最終修正!$G$29-$U$5,-1)))</f>
        <v/>
      </c>
      <c r="AI28">
        <f>IF(AM28="",99,IF(最終修正!$I$29="",3,IF(AND(ISNUMBER(最終修正!$I$29),INT(最終修正!$I$29)=最終修正!$I$29,最終修正!$I$29-$U$5&gt;=0,最終修正!$I$29-$U$5&lt;=3),最終修正!$I$29-$U$5,-1)))</f>
        <v/>
      </c>
      <c r="AJ28">
        <f>IF(計算用!$Z$28="","",IF(計算用!$U$24,IF(計算用!$Z$28="A",INDEX(手直し!$B$6:$E$42,計算用!$AC$28,MOD(0-計算用!$AE$28+1,4)+1),INDEX(手直し!$G$6:$J$42,計算用!$AC$28,MOD(0-計算用!$AE$28+1,4)+1)),IF(計算用!$Z$28="A",INDEX(組分け!$B$5:$I$41,計算用!$AC$28,(MOD(0-計算用!$AE$28+1,4)+1)*2-1),INDEX(組分け!$L$5:$S$41,計算用!$AC$28,(MOD(0-計算用!$AE$28+1,4)+1)*2-1)))&amp;"")</f>
        <v/>
      </c>
      <c r="AK28">
        <f>IF(計算用!$Z$28="","",IF(計算用!$U$24,IF(計算用!$Z$28="A",INDEX(手直し!$B$6:$E$42,計算用!$AC$28,MOD(1-計算用!$AE$28+1,4)+1),INDEX(手直し!$G$6:$J$42,計算用!$AC$28,MOD(1-計算用!$AE$28+1,4)+1)),IF(計算用!$Z$28="A",INDEX(組分け!$B$5:$I$41,計算用!$AC$28,(MOD(1-計算用!$AE$28+1,4)+1)*2-1),INDEX(組分け!$L$5:$S$41,計算用!$AC$28,(MOD(1-計算用!$AE$28+1,4)+1)*2-1)))&amp;"")</f>
        <v/>
      </c>
      <c r="AL28">
        <f>IF(計算用!$Z$28="","",IF(計算用!$U$24,IF(計算用!$Z$28="A",INDEX(手直し!$B$6:$E$42,計算用!$AC$28,MOD(2-計算用!$AE$28+1,4)+1),INDEX(手直し!$G$6:$J$42,計算用!$AC$28,MOD(2-計算用!$AE$28+1,4)+1)),IF(計算用!$Z$28="A",INDEX(組分け!$B$5:$I$41,計算用!$AC$28,(MOD(2-計算用!$AE$28+1,4)+1)*2-1),INDEX(組分け!$L$5:$S$41,計算用!$AC$28,(MOD(2-計算用!$AE$28+1,4)+1)*2-1)))&amp;"")</f>
        <v/>
      </c>
      <c r="AM28">
        <f>IF(計算用!$Z$28="","",IF(計算用!$U$24,IF(計算用!$Z$28="A",INDEX(手直し!$B$6:$E$42,計算用!$AC$28,MOD(3-計算用!$AE$28+1,4)+1),INDEX(手直し!$G$6:$J$42,計算用!$AC$28,MOD(3-計算用!$AE$28+1,4)+1)),IF(計算用!$Z$28="A",INDEX(組分け!$B$5:$I$41,計算用!$AC$28,(MOD(3-計算用!$AE$28+1,4)+1)*2-1),INDEX(組分け!$L$5:$S$41,計算用!$AC$28,(MOD(3-計算用!$AE$28+1,4)+1)*2-1)))&amp;"")</f>
        <v/>
      </c>
      <c r="AN28">
        <f>IF(Z28="",0,(COUNTIF($AF28:$AI28,0)&gt;1)+(COUNTIF($AF28:$AI28,1)&gt;1)+(COUNTIF($AF28:$AI28,2)&gt;1)+(COUNTIF($AF28:$AI28,3)&gt;1)+COUNTIF($AF28:$AI28,-1))</f>
        <v/>
      </c>
      <c r="AP28">
        <f>IF(Z28="","",IFERROR(MOD(MATCH(0,$AF28:$AI28,0)-1-AE28+1,4),""))</f>
        <v/>
      </c>
      <c r="AQ28">
        <f>IF(Z28="","",IFERROR(MOD(MATCH(1,$AF28:$AI28,0)-1-AE28+1,4),""))</f>
        <v/>
      </c>
      <c r="AR28">
        <f>IF(Z28="","",IFERROR(MOD(MATCH(2,$AF28:$AI28,0)-1-AE28+1,4),""))</f>
        <v/>
      </c>
      <c r="AS28">
        <f>IF(Z28="","",IFERROR(MOD(MATCH(3,$AF28:$AI28,0)-1-AE28+1,4),""))</f>
        <v/>
      </c>
    </row>
    <row r="29">
      <c r="A29" t="n">
        <v>28</v>
      </c>
      <c r="B29">
        <f>INT((A29-1)/37)+1</f>
        <v/>
      </c>
      <c r="C29">
        <f>MOD(A29-1,37)+1</f>
        <v/>
      </c>
      <c r="D29">
        <f>TRIM(INDEX(データ入力!$B$5:$Q$41,C29,(B29-1)*4+1)&amp;"")</f>
        <v/>
      </c>
      <c r="E29">
        <f>INDEX(データ入力!$B$5:$Q$41,C29,(B29-1)*4+2)&amp;""</f>
        <v/>
      </c>
      <c r="F29">
        <f>IF(OR(E29="1",E29="１",E29="男"),"男",IF(OR(E29="2",E29="２",E29="女"),"女",""))</f>
        <v/>
      </c>
      <c r="G29">
        <f>INDEX(データ入力!$B$5:$Q$41,C29,(B29-1)*4+3)</f>
        <v/>
      </c>
      <c r="H29">
        <f>IF(D29="","",IF($U$2,"混",F29))</f>
        <v/>
      </c>
      <c r="I29">
        <f>IF(AND(H29&lt;&gt;"",ISNUMBER(G29)),H29,"")</f>
        <v/>
      </c>
      <c r="J29">
        <f>IF(I29="","",COUNTIFS($I$2:$I$149,I29,$B$2:$B$149,B29,$G$2:$G$149,"&lt;"&amp;G29)+COUNTIFS($I$2:$I$149,I29,$B$2:$B$149,B29,$G$2:$G$149,G29,$A$2:$A$149,"&lt;"&amp;A29)+1)</f>
        <v/>
      </c>
      <c r="K29">
        <f>IF(I29="","",I29&amp;B29&amp;"-"&amp;J29)</f>
        <v/>
      </c>
      <c r="L29">
        <f>IF(I29="","",I29&amp;B29&amp;"|"&amp;D29)</f>
        <v/>
      </c>
      <c r="M29">
        <f>IF(I29="","",IF(I29="女",COUNTIF(手直し!$G$6:$J$42,D29),COUNTIF(手直し!$B$6:$E$42,D29)))</f>
        <v/>
      </c>
      <c r="N29">
        <f>IF(I29="","",IF(I29="女",COUNTIF(INDEX(手直し!$G$6:$J$42,0,B29),D29),COUNTIF(INDEX(手直し!$B$6:$E$42,0,B29),D29)))</f>
        <v/>
      </c>
      <c r="O29">
        <f>IF(AND(I29&lt;&gt;"",M29=0),1,0)</f>
        <v/>
      </c>
      <c r="P29">
        <f>IF(AND(O29=1,I29&lt;&gt;"女"),COUNTIFS($O$2:O29,1,$I$2:I29,"&lt;&gt;女"),"")</f>
        <v/>
      </c>
      <c r="Q29">
        <f>IF(AND(O29=1,I29="女"),COUNTIFS($O$2:O29,1,$I$2:I29,"女"),"")</f>
        <v/>
      </c>
      <c r="R29">
        <f>IF(AND(I29&lt;&gt;"",M29&gt;=1,N29=0),1,0)</f>
        <v/>
      </c>
      <c r="S29">
        <f>IF(AND(D29&lt;&gt;"",I29=""),1,0)</f>
        <v/>
      </c>
      <c r="V29">
        <f>IF(J29="",0,J29)</f>
        <v/>
      </c>
      <c r="W29">
        <f>IF(I29="","",I29&amp;D29)</f>
        <v/>
      </c>
      <c r="Y29" t="n">
        <v>28</v>
      </c>
      <c r="Z29">
        <f>IF(Y29&gt;$U$22,"",IF(Y29&lt;=$U$23,IF($U$4,"B","A"),IF($U$4,"A","B")))</f>
        <v/>
      </c>
      <c r="AA29">
        <f>IF(Z29="","",IF(Y29&lt;=$U$23,Y29,Y29-$U$23))</f>
        <v/>
      </c>
      <c r="AB29">
        <f>IF(Z29="","",IF(Z29="A",$U$7,$U$8))</f>
        <v/>
      </c>
      <c r="AC29">
        <f>IF(Z29="","",IF(AB29&lt;=$U$6,AB29-AA29+1,IF(AA29&lt;=INT((AB29-$U$6+1)/2),$U$6-1+2*AA29,IF(AA29&lt;=INT((AB29-$U$6+1)/2)+INT((AB29-$U$6)/2),(AB29-1+MOD(AB29,2))-2*(AA29-INT((AB29-$U$6+1)/2)-1),$U$6-(AA29-INT((AB29-$U$6+1)/2)-INT((AB29-$U$6)/2)-1)))))</f>
        <v/>
      </c>
      <c r="AD29">
        <f>IF(Z29="","",IF($U$2,"",IF(Z29="B","女子","男子"))&amp;AA29&amp;"レース")</f>
        <v/>
      </c>
      <c r="AE29">
        <f>IF(Z29="","",IF($U$2,1,AA29))</f>
        <v/>
      </c>
      <c r="AF29">
        <f>IF(AJ29="",99,IF(最終修正!$C$30="",0,IF(AND(ISNUMBER(最終修正!$C$30),INT(最終修正!$C$30)=最終修正!$C$30,最終修正!$C$30-$U$5&gt;=0,最終修正!$C$30-$U$5&lt;=3),最終修正!$C$30-$U$5,-1)))</f>
        <v/>
      </c>
      <c r="AG29">
        <f>IF(AK29="",99,IF(最終修正!$E$30="",1,IF(AND(ISNUMBER(最終修正!$E$30),INT(最終修正!$E$30)=最終修正!$E$30,最終修正!$E$30-$U$5&gt;=0,最終修正!$E$30-$U$5&lt;=3),最終修正!$E$30-$U$5,-1)))</f>
        <v/>
      </c>
      <c r="AH29">
        <f>IF(AL29="",99,IF(最終修正!$G$30="",2,IF(AND(ISNUMBER(最終修正!$G$30),INT(最終修正!$G$30)=最終修正!$G$30,最終修正!$G$30-$U$5&gt;=0,最終修正!$G$30-$U$5&lt;=3),最終修正!$G$30-$U$5,-1)))</f>
        <v/>
      </c>
      <c r="AI29">
        <f>IF(AM29="",99,IF(最終修正!$I$30="",3,IF(AND(ISNUMBER(最終修正!$I$30),INT(最終修正!$I$30)=最終修正!$I$30,最終修正!$I$30-$U$5&gt;=0,最終修正!$I$30-$U$5&lt;=3),最終修正!$I$30-$U$5,-1)))</f>
        <v/>
      </c>
      <c r="AJ29">
        <f>IF(計算用!$Z$29="","",IF(計算用!$U$24,IF(計算用!$Z$29="A",INDEX(手直し!$B$6:$E$42,計算用!$AC$29,MOD(0-計算用!$AE$29+1,4)+1),INDEX(手直し!$G$6:$J$42,計算用!$AC$29,MOD(0-計算用!$AE$29+1,4)+1)),IF(計算用!$Z$29="A",INDEX(組分け!$B$5:$I$41,計算用!$AC$29,(MOD(0-計算用!$AE$29+1,4)+1)*2-1),INDEX(組分け!$L$5:$S$41,計算用!$AC$29,(MOD(0-計算用!$AE$29+1,4)+1)*2-1)))&amp;"")</f>
        <v/>
      </c>
      <c r="AK29">
        <f>IF(計算用!$Z$29="","",IF(計算用!$U$24,IF(計算用!$Z$29="A",INDEX(手直し!$B$6:$E$42,計算用!$AC$29,MOD(1-計算用!$AE$29+1,4)+1),INDEX(手直し!$G$6:$J$42,計算用!$AC$29,MOD(1-計算用!$AE$29+1,4)+1)),IF(計算用!$Z$29="A",INDEX(組分け!$B$5:$I$41,計算用!$AC$29,(MOD(1-計算用!$AE$29+1,4)+1)*2-1),INDEX(組分け!$L$5:$S$41,計算用!$AC$29,(MOD(1-計算用!$AE$29+1,4)+1)*2-1)))&amp;"")</f>
        <v/>
      </c>
      <c r="AL29">
        <f>IF(計算用!$Z$29="","",IF(計算用!$U$24,IF(計算用!$Z$29="A",INDEX(手直し!$B$6:$E$42,計算用!$AC$29,MOD(2-計算用!$AE$29+1,4)+1),INDEX(手直し!$G$6:$J$42,計算用!$AC$29,MOD(2-計算用!$AE$29+1,4)+1)),IF(計算用!$Z$29="A",INDEX(組分け!$B$5:$I$41,計算用!$AC$29,(MOD(2-計算用!$AE$29+1,4)+1)*2-1),INDEX(組分け!$L$5:$S$41,計算用!$AC$29,(MOD(2-計算用!$AE$29+1,4)+1)*2-1)))&amp;"")</f>
        <v/>
      </c>
      <c r="AM29">
        <f>IF(計算用!$Z$29="","",IF(計算用!$U$24,IF(計算用!$Z$29="A",INDEX(手直し!$B$6:$E$42,計算用!$AC$29,MOD(3-計算用!$AE$29+1,4)+1),INDEX(手直し!$G$6:$J$42,計算用!$AC$29,MOD(3-計算用!$AE$29+1,4)+1)),IF(計算用!$Z$29="A",INDEX(組分け!$B$5:$I$41,計算用!$AC$29,(MOD(3-計算用!$AE$29+1,4)+1)*2-1),INDEX(組分け!$L$5:$S$41,計算用!$AC$29,(MOD(3-計算用!$AE$29+1,4)+1)*2-1)))&amp;"")</f>
        <v/>
      </c>
      <c r="AN29">
        <f>IF(Z29="",0,(COUNTIF($AF29:$AI29,0)&gt;1)+(COUNTIF($AF29:$AI29,1)&gt;1)+(COUNTIF($AF29:$AI29,2)&gt;1)+(COUNTIF($AF29:$AI29,3)&gt;1)+COUNTIF($AF29:$AI29,-1))</f>
        <v/>
      </c>
      <c r="AP29">
        <f>IF(Z29="","",IFERROR(MOD(MATCH(0,$AF29:$AI29,0)-1-AE29+1,4),""))</f>
        <v/>
      </c>
      <c r="AQ29">
        <f>IF(Z29="","",IFERROR(MOD(MATCH(1,$AF29:$AI29,0)-1-AE29+1,4),""))</f>
        <v/>
      </c>
      <c r="AR29">
        <f>IF(Z29="","",IFERROR(MOD(MATCH(2,$AF29:$AI29,0)-1-AE29+1,4),""))</f>
        <v/>
      </c>
      <c r="AS29">
        <f>IF(Z29="","",IFERROR(MOD(MATCH(3,$AF29:$AI29,0)-1-AE29+1,4),""))</f>
        <v/>
      </c>
    </row>
    <row r="30">
      <c r="A30" t="n">
        <v>29</v>
      </c>
      <c r="B30">
        <f>INT((A30-1)/37)+1</f>
        <v/>
      </c>
      <c r="C30">
        <f>MOD(A30-1,37)+1</f>
        <v/>
      </c>
      <c r="D30">
        <f>TRIM(INDEX(データ入力!$B$5:$Q$41,C30,(B30-1)*4+1)&amp;"")</f>
        <v/>
      </c>
      <c r="E30">
        <f>INDEX(データ入力!$B$5:$Q$41,C30,(B30-1)*4+2)&amp;""</f>
        <v/>
      </c>
      <c r="F30">
        <f>IF(OR(E30="1",E30="１",E30="男"),"男",IF(OR(E30="2",E30="２",E30="女"),"女",""))</f>
        <v/>
      </c>
      <c r="G30">
        <f>INDEX(データ入力!$B$5:$Q$41,C30,(B30-1)*4+3)</f>
        <v/>
      </c>
      <c r="H30">
        <f>IF(D30="","",IF($U$2,"混",F30))</f>
        <v/>
      </c>
      <c r="I30">
        <f>IF(AND(H30&lt;&gt;"",ISNUMBER(G30)),H30,"")</f>
        <v/>
      </c>
      <c r="J30">
        <f>IF(I30="","",COUNTIFS($I$2:$I$149,I30,$B$2:$B$149,B30,$G$2:$G$149,"&lt;"&amp;G30)+COUNTIFS($I$2:$I$149,I30,$B$2:$B$149,B30,$G$2:$G$149,G30,$A$2:$A$149,"&lt;"&amp;A30)+1)</f>
        <v/>
      </c>
      <c r="K30">
        <f>IF(I30="","",I30&amp;B30&amp;"-"&amp;J30)</f>
        <v/>
      </c>
      <c r="L30">
        <f>IF(I30="","",I30&amp;B30&amp;"|"&amp;D30)</f>
        <v/>
      </c>
      <c r="M30">
        <f>IF(I30="","",IF(I30="女",COUNTIF(手直し!$G$6:$J$42,D30),COUNTIF(手直し!$B$6:$E$42,D30)))</f>
        <v/>
      </c>
      <c r="N30">
        <f>IF(I30="","",IF(I30="女",COUNTIF(INDEX(手直し!$G$6:$J$42,0,B30),D30),COUNTIF(INDEX(手直し!$B$6:$E$42,0,B30),D30)))</f>
        <v/>
      </c>
      <c r="O30">
        <f>IF(AND(I30&lt;&gt;"",M30=0),1,0)</f>
        <v/>
      </c>
      <c r="P30">
        <f>IF(AND(O30=1,I30&lt;&gt;"女"),COUNTIFS($O$2:O30,1,$I$2:I30,"&lt;&gt;女"),"")</f>
        <v/>
      </c>
      <c r="Q30">
        <f>IF(AND(O30=1,I30="女"),COUNTIFS($O$2:O30,1,$I$2:I30,"女"),"")</f>
        <v/>
      </c>
      <c r="R30">
        <f>IF(AND(I30&lt;&gt;"",M30&gt;=1,N30=0),1,0)</f>
        <v/>
      </c>
      <c r="S30">
        <f>IF(AND(D30&lt;&gt;"",I30=""),1,0)</f>
        <v/>
      </c>
      <c r="V30">
        <f>IF(J30="",0,J30)</f>
        <v/>
      </c>
      <c r="W30">
        <f>IF(I30="","",I30&amp;D30)</f>
        <v/>
      </c>
      <c r="Y30" t="n">
        <v>29</v>
      </c>
      <c r="Z30">
        <f>IF(Y30&gt;$U$22,"",IF(Y30&lt;=$U$23,IF($U$4,"B","A"),IF($U$4,"A","B")))</f>
        <v/>
      </c>
      <c r="AA30">
        <f>IF(Z30="","",IF(Y30&lt;=$U$23,Y30,Y30-$U$23))</f>
        <v/>
      </c>
      <c r="AB30">
        <f>IF(Z30="","",IF(Z30="A",$U$7,$U$8))</f>
        <v/>
      </c>
      <c r="AC30">
        <f>IF(Z30="","",IF(AB30&lt;=$U$6,AB30-AA30+1,IF(AA30&lt;=INT((AB30-$U$6+1)/2),$U$6-1+2*AA30,IF(AA30&lt;=INT((AB30-$U$6+1)/2)+INT((AB30-$U$6)/2),(AB30-1+MOD(AB30,2))-2*(AA30-INT((AB30-$U$6+1)/2)-1),$U$6-(AA30-INT((AB30-$U$6+1)/2)-INT((AB30-$U$6)/2)-1)))))</f>
        <v/>
      </c>
      <c r="AD30">
        <f>IF(Z30="","",IF($U$2,"",IF(Z30="B","女子","男子"))&amp;AA30&amp;"レース")</f>
        <v/>
      </c>
      <c r="AE30">
        <f>IF(Z30="","",IF($U$2,1,AA30))</f>
        <v/>
      </c>
      <c r="AF30">
        <f>IF(AJ30="",99,IF(最終修正!$C$31="",0,IF(AND(ISNUMBER(最終修正!$C$31),INT(最終修正!$C$31)=最終修正!$C$31,最終修正!$C$31-$U$5&gt;=0,最終修正!$C$31-$U$5&lt;=3),最終修正!$C$31-$U$5,-1)))</f>
        <v/>
      </c>
      <c r="AG30">
        <f>IF(AK30="",99,IF(最終修正!$E$31="",1,IF(AND(ISNUMBER(最終修正!$E$31),INT(最終修正!$E$31)=最終修正!$E$31,最終修正!$E$31-$U$5&gt;=0,最終修正!$E$31-$U$5&lt;=3),最終修正!$E$31-$U$5,-1)))</f>
        <v/>
      </c>
      <c r="AH30">
        <f>IF(AL30="",99,IF(最終修正!$G$31="",2,IF(AND(ISNUMBER(最終修正!$G$31),INT(最終修正!$G$31)=最終修正!$G$31,最終修正!$G$31-$U$5&gt;=0,最終修正!$G$31-$U$5&lt;=3),最終修正!$G$31-$U$5,-1)))</f>
        <v/>
      </c>
      <c r="AI30">
        <f>IF(AM30="",99,IF(最終修正!$I$31="",3,IF(AND(ISNUMBER(最終修正!$I$31),INT(最終修正!$I$31)=最終修正!$I$31,最終修正!$I$31-$U$5&gt;=0,最終修正!$I$31-$U$5&lt;=3),最終修正!$I$31-$U$5,-1)))</f>
        <v/>
      </c>
      <c r="AJ30">
        <f>IF(計算用!$Z$30="","",IF(計算用!$U$24,IF(計算用!$Z$30="A",INDEX(手直し!$B$6:$E$42,計算用!$AC$30,MOD(0-計算用!$AE$30+1,4)+1),INDEX(手直し!$G$6:$J$42,計算用!$AC$30,MOD(0-計算用!$AE$30+1,4)+1)),IF(計算用!$Z$30="A",INDEX(組分け!$B$5:$I$41,計算用!$AC$30,(MOD(0-計算用!$AE$30+1,4)+1)*2-1),INDEX(組分け!$L$5:$S$41,計算用!$AC$30,(MOD(0-計算用!$AE$30+1,4)+1)*2-1)))&amp;"")</f>
        <v/>
      </c>
      <c r="AK30">
        <f>IF(計算用!$Z$30="","",IF(計算用!$U$24,IF(計算用!$Z$30="A",INDEX(手直し!$B$6:$E$42,計算用!$AC$30,MOD(1-計算用!$AE$30+1,4)+1),INDEX(手直し!$G$6:$J$42,計算用!$AC$30,MOD(1-計算用!$AE$30+1,4)+1)),IF(計算用!$Z$30="A",INDEX(組分け!$B$5:$I$41,計算用!$AC$30,(MOD(1-計算用!$AE$30+1,4)+1)*2-1),INDEX(組分け!$L$5:$S$41,計算用!$AC$30,(MOD(1-計算用!$AE$30+1,4)+1)*2-1)))&amp;"")</f>
        <v/>
      </c>
      <c r="AL30">
        <f>IF(計算用!$Z$30="","",IF(計算用!$U$24,IF(計算用!$Z$30="A",INDEX(手直し!$B$6:$E$42,計算用!$AC$30,MOD(2-計算用!$AE$30+1,4)+1),INDEX(手直し!$G$6:$J$42,計算用!$AC$30,MOD(2-計算用!$AE$30+1,4)+1)),IF(計算用!$Z$30="A",INDEX(組分け!$B$5:$I$41,計算用!$AC$30,(MOD(2-計算用!$AE$30+1,4)+1)*2-1),INDEX(組分け!$L$5:$S$41,計算用!$AC$30,(MOD(2-計算用!$AE$30+1,4)+1)*2-1)))&amp;"")</f>
        <v/>
      </c>
      <c r="AM30">
        <f>IF(計算用!$Z$30="","",IF(計算用!$U$24,IF(計算用!$Z$30="A",INDEX(手直し!$B$6:$E$42,計算用!$AC$30,MOD(3-計算用!$AE$30+1,4)+1),INDEX(手直し!$G$6:$J$42,計算用!$AC$30,MOD(3-計算用!$AE$30+1,4)+1)),IF(計算用!$Z$30="A",INDEX(組分け!$B$5:$I$41,計算用!$AC$30,(MOD(3-計算用!$AE$30+1,4)+1)*2-1),INDEX(組分け!$L$5:$S$41,計算用!$AC$30,(MOD(3-計算用!$AE$30+1,4)+1)*2-1)))&amp;"")</f>
        <v/>
      </c>
      <c r="AN30">
        <f>IF(Z30="",0,(COUNTIF($AF30:$AI30,0)&gt;1)+(COUNTIF($AF30:$AI30,1)&gt;1)+(COUNTIF($AF30:$AI30,2)&gt;1)+(COUNTIF($AF30:$AI30,3)&gt;1)+COUNTIF($AF30:$AI30,-1))</f>
        <v/>
      </c>
      <c r="AP30">
        <f>IF(Z30="","",IFERROR(MOD(MATCH(0,$AF30:$AI30,0)-1-AE30+1,4),""))</f>
        <v/>
      </c>
      <c r="AQ30">
        <f>IF(Z30="","",IFERROR(MOD(MATCH(1,$AF30:$AI30,0)-1-AE30+1,4),""))</f>
        <v/>
      </c>
      <c r="AR30">
        <f>IF(Z30="","",IFERROR(MOD(MATCH(2,$AF30:$AI30,0)-1-AE30+1,4),""))</f>
        <v/>
      </c>
      <c r="AS30">
        <f>IF(Z30="","",IFERROR(MOD(MATCH(3,$AF30:$AI30,0)-1-AE30+1,4),""))</f>
        <v/>
      </c>
    </row>
    <row r="31">
      <c r="A31" t="n">
        <v>30</v>
      </c>
      <c r="B31">
        <f>INT((A31-1)/37)+1</f>
        <v/>
      </c>
      <c r="C31">
        <f>MOD(A31-1,37)+1</f>
        <v/>
      </c>
      <c r="D31">
        <f>TRIM(INDEX(データ入力!$B$5:$Q$41,C31,(B31-1)*4+1)&amp;"")</f>
        <v/>
      </c>
      <c r="E31">
        <f>INDEX(データ入力!$B$5:$Q$41,C31,(B31-1)*4+2)&amp;""</f>
        <v/>
      </c>
      <c r="F31">
        <f>IF(OR(E31="1",E31="１",E31="男"),"男",IF(OR(E31="2",E31="２",E31="女"),"女",""))</f>
        <v/>
      </c>
      <c r="G31">
        <f>INDEX(データ入力!$B$5:$Q$41,C31,(B31-1)*4+3)</f>
        <v/>
      </c>
      <c r="H31">
        <f>IF(D31="","",IF($U$2,"混",F31))</f>
        <v/>
      </c>
      <c r="I31">
        <f>IF(AND(H31&lt;&gt;"",ISNUMBER(G31)),H31,"")</f>
        <v/>
      </c>
      <c r="J31">
        <f>IF(I31="","",COUNTIFS($I$2:$I$149,I31,$B$2:$B$149,B31,$G$2:$G$149,"&lt;"&amp;G31)+COUNTIFS($I$2:$I$149,I31,$B$2:$B$149,B31,$G$2:$G$149,G31,$A$2:$A$149,"&lt;"&amp;A31)+1)</f>
        <v/>
      </c>
      <c r="K31">
        <f>IF(I31="","",I31&amp;B31&amp;"-"&amp;J31)</f>
        <v/>
      </c>
      <c r="L31">
        <f>IF(I31="","",I31&amp;B31&amp;"|"&amp;D31)</f>
        <v/>
      </c>
      <c r="M31">
        <f>IF(I31="","",IF(I31="女",COUNTIF(手直し!$G$6:$J$42,D31),COUNTIF(手直し!$B$6:$E$42,D31)))</f>
        <v/>
      </c>
      <c r="N31">
        <f>IF(I31="","",IF(I31="女",COUNTIF(INDEX(手直し!$G$6:$J$42,0,B31),D31),COUNTIF(INDEX(手直し!$B$6:$E$42,0,B31),D31)))</f>
        <v/>
      </c>
      <c r="O31">
        <f>IF(AND(I31&lt;&gt;"",M31=0),1,0)</f>
        <v/>
      </c>
      <c r="P31">
        <f>IF(AND(O31=1,I31&lt;&gt;"女"),COUNTIFS($O$2:O31,1,$I$2:I31,"&lt;&gt;女"),"")</f>
        <v/>
      </c>
      <c r="Q31">
        <f>IF(AND(O31=1,I31="女"),COUNTIFS($O$2:O31,1,$I$2:I31,"女"),"")</f>
        <v/>
      </c>
      <c r="R31">
        <f>IF(AND(I31&lt;&gt;"",M31&gt;=1,N31=0),1,0)</f>
        <v/>
      </c>
      <c r="S31">
        <f>IF(AND(D31&lt;&gt;"",I31=""),1,0)</f>
        <v/>
      </c>
      <c r="V31">
        <f>IF(J31="",0,J31)</f>
        <v/>
      </c>
      <c r="W31">
        <f>IF(I31="","",I31&amp;D31)</f>
        <v/>
      </c>
      <c r="Y31" t="n">
        <v>30</v>
      </c>
      <c r="Z31">
        <f>IF(Y31&gt;$U$22,"",IF(Y31&lt;=$U$23,IF($U$4,"B","A"),IF($U$4,"A","B")))</f>
        <v/>
      </c>
      <c r="AA31">
        <f>IF(Z31="","",IF(Y31&lt;=$U$23,Y31,Y31-$U$23))</f>
        <v/>
      </c>
      <c r="AB31">
        <f>IF(Z31="","",IF(Z31="A",$U$7,$U$8))</f>
        <v/>
      </c>
      <c r="AC31">
        <f>IF(Z31="","",IF(AB31&lt;=$U$6,AB31-AA31+1,IF(AA31&lt;=INT((AB31-$U$6+1)/2),$U$6-1+2*AA31,IF(AA31&lt;=INT((AB31-$U$6+1)/2)+INT((AB31-$U$6)/2),(AB31-1+MOD(AB31,2))-2*(AA31-INT((AB31-$U$6+1)/2)-1),$U$6-(AA31-INT((AB31-$U$6+1)/2)-INT((AB31-$U$6)/2)-1)))))</f>
        <v/>
      </c>
      <c r="AD31">
        <f>IF(Z31="","",IF($U$2,"",IF(Z31="B","女子","男子"))&amp;AA31&amp;"レース")</f>
        <v/>
      </c>
      <c r="AE31">
        <f>IF(Z31="","",IF($U$2,1,AA31))</f>
        <v/>
      </c>
      <c r="AF31">
        <f>IF(AJ31="",99,IF(最終修正!$C$32="",0,IF(AND(ISNUMBER(最終修正!$C$32),INT(最終修正!$C$32)=最終修正!$C$32,最終修正!$C$32-$U$5&gt;=0,最終修正!$C$32-$U$5&lt;=3),最終修正!$C$32-$U$5,-1)))</f>
        <v/>
      </c>
      <c r="AG31">
        <f>IF(AK31="",99,IF(最終修正!$E$32="",1,IF(AND(ISNUMBER(最終修正!$E$32),INT(最終修正!$E$32)=最終修正!$E$32,最終修正!$E$32-$U$5&gt;=0,最終修正!$E$32-$U$5&lt;=3),最終修正!$E$32-$U$5,-1)))</f>
        <v/>
      </c>
      <c r="AH31">
        <f>IF(AL31="",99,IF(最終修正!$G$32="",2,IF(AND(ISNUMBER(最終修正!$G$32),INT(最終修正!$G$32)=最終修正!$G$32,最終修正!$G$32-$U$5&gt;=0,最終修正!$G$32-$U$5&lt;=3),最終修正!$G$32-$U$5,-1)))</f>
        <v/>
      </c>
      <c r="AI31">
        <f>IF(AM31="",99,IF(最終修正!$I$32="",3,IF(AND(ISNUMBER(最終修正!$I$32),INT(最終修正!$I$32)=最終修正!$I$32,最終修正!$I$32-$U$5&gt;=0,最終修正!$I$32-$U$5&lt;=3),最終修正!$I$32-$U$5,-1)))</f>
        <v/>
      </c>
      <c r="AJ31">
        <f>IF(計算用!$Z$31="","",IF(計算用!$U$24,IF(計算用!$Z$31="A",INDEX(手直し!$B$6:$E$42,計算用!$AC$31,MOD(0-計算用!$AE$31+1,4)+1),INDEX(手直し!$G$6:$J$42,計算用!$AC$31,MOD(0-計算用!$AE$31+1,4)+1)),IF(計算用!$Z$31="A",INDEX(組分け!$B$5:$I$41,計算用!$AC$31,(MOD(0-計算用!$AE$31+1,4)+1)*2-1),INDEX(組分け!$L$5:$S$41,計算用!$AC$31,(MOD(0-計算用!$AE$31+1,4)+1)*2-1)))&amp;"")</f>
        <v/>
      </c>
      <c r="AK31">
        <f>IF(計算用!$Z$31="","",IF(計算用!$U$24,IF(計算用!$Z$31="A",INDEX(手直し!$B$6:$E$42,計算用!$AC$31,MOD(1-計算用!$AE$31+1,4)+1),INDEX(手直し!$G$6:$J$42,計算用!$AC$31,MOD(1-計算用!$AE$31+1,4)+1)),IF(計算用!$Z$31="A",INDEX(組分け!$B$5:$I$41,計算用!$AC$31,(MOD(1-計算用!$AE$31+1,4)+1)*2-1),INDEX(組分け!$L$5:$S$41,計算用!$AC$31,(MOD(1-計算用!$AE$31+1,4)+1)*2-1)))&amp;"")</f>
        <v/>
      </c>
      <c r="AL31">
        <f>IF(計算用!$Z$31="","",IF(計算用!$U$24,IF(計算用!$Z$31="A",INDEX(手直し!$B$6:$E$42,計算用!$AC$31,MOD(2-計算用!$AE$31+1,4)+1),INDEX(手直し!$G$6:$J$42,計算用!$AC$31,MOD(2-計算用!$AE$31+1,4)+1)),IF(計算用!$Z$31="A",INDEX(組分け!$B$5:$I$41,計算用!$AC$31,(MOD(2-計算用!$AE$31+1,4)+1)*2-1),INDEX(組分け!$L$5:$S$41,計算用!$AC$31,(MOD(2-計算用!$AE$31+1,4)+1)*2-1)))&amp;"")</f>
        <v/>
      </c>
      <c r="AM31">
        <f>IF(計算用!$Z$31="","",IF(計算用!$U$24,IF(計算用!$Z$31="A",INDEX(手直し!$B$6:$E$42,計算用!$AC$31,MOD(3-計算用!$AE$31+1,4)+1),INDEX(手直し!$G$6:$J$42,計算用!$AC$31,MOD(3-計算用!$AE$31+1,4)+1)),IF(計算用!$Z$31="A",INDEX(組分け!$B$5:$I$41,計算用!$AC$31,(MOD(3-計算用!$AE$31+1,4)+1)*2-1),INDEX(組分け!$L$5:$S$41,計算用!$AC$31,(MOD(3-計算用!$AE$31+1,4)+1)*2-1)))&amp;"")</f>
        <v/>
      </c>
      <c r="AN31">
        <f>IF(Z31="",0,(COUNTIF($AF31:$AI31,0)&gt;1)+(COUNTIF($AF31:$AI31,1)&gt;1)+(COUNTIF($AF31:$AI31,2)&gt;1)+(COUNTIF($AF31:$AI31,3)&gt;1)+COUNTIF($AF31:$AI31,-1))</f>
        <v/>
      </c>
      <c r="AP31">
        <f>IF(Z31="","",IFERROR(MOD(MATCH(0,$AF31:$AI31,0)-1-AE31+1,4),""))</f>
        <v/>
      </c>
      <c r="AQ31">
        <f>IF(Z31="","",IFERROR(MOD(MATCH(1,$AF31:$AI31,0)-1-AE31+1,4),""))</f>
        <v/>
      </c>
      <c r="AR31">
        <f>IF(Z31="","",IFERROR(MOD(MATCH(2,$AF31:$AI31,0)-1-AE31+1,4),""))</f>
        <v/>
      </c>
      <c r="AS31">
        <f>IF(Z31="","",IFERROR(MOD(MATCH(3,$AF31:$AI31,0)-1-AE31+1,4),""))</f>
        <v/>
      </c>
    </row>
    <row r="32">
      <c r="A32" t="n">
        <v>31</v>
      </c>
      <c r="B32">
        <f>INT((A32-1)/37)+1</f>
        <v/>
      </c>
      <c r="C32">
        <f>MOD(A32-1,37)+1</f>
        <v/>
      </c>
      <c r="D32">
        <f>TRIM(INDEX(データ入力!$B$5:$Q$41,C32,(B32-1)*4+1)&amp;"")</f>
        <v/>
      </c>
      <c r="E32">
        <f>INDEX(データ入力!$B$5:$Q$41,C32,(B32-1)*4+2)&amp;""</f>
        <v/>
      </c>
      <c r="F32">
        <f>IF(OR(E32="1",E32="１",E32="男"),"男",IF(OR(E32="2",E32="２",E32="女"),"女",""))</f>
        <v/>
      </c>
      <c r="G32">
        <f>INDEX(データ入力!$B$5:$Q$41,C32,(B32-1)*4+3)</f>
        <v/>
      </c>
      <c r="H32">
        <f>IF(D32="","",IF($U$2,"混",F32))</f>
        <v/>
      </c>
      <c r="I32">
        <f>IF(AND(H32&lt;&gt;"",ISNUMBER(G32)),H32,"")</f>
        <v/>
      </c>
      <c r="J32">
        <f>IF(I32="","",COUNTIFS($I$2:$I$149,I32,$B$2:$B$149,B32,$G$2:$G$149,"&lt;"&amp;G32)+COUNTIFS($I$2:$I$149,I32,$B$2:$B$149,B32,$G$2:$G$149,G32,$A$2:$A$149,"&lt;"&amp;A32)+1)</f>
        <v/>
      </c>
      <c r="K32">
        <f>IF(I32="","",I32&amp;B32&amp;"-"&amp;J32)</f>
        <v/>
      </c>
      <c r="L32">
        <f>IF(I32="","",I32&amp;B32&amp;"|"&amp;D32)</f>
        <v/>
      </c>
      <c r="M32">
        <f>IF(I32="","",IF(I32="女",COUNTIF(手直し!$G$6:$J$42,D32),COUNTIF(手直し!$B$6:$E$42,D32)))</f>
        <v/>
      </c>
      <c r="N32">
        <f>IF(I32="","",IF(I32="女",COUNTIF(INDEX(手直し!$G$6:$J$42,0,B32),D32),COUNTIF(INDEX(手直し!$B$6:$E$42,0,B32),D32)))</f>
        <v/>
      </c>
      <c r="O32">
        <f>IF(AND(I32&lt;&gt;"",M32=0),1,0)</f>
        <v/>
      </c>
      <c r="P32">
        <f>IF(AND(O32=1,I32&lt;&gt;"女"),COUNTIFS($O$2:O32,1,$I$2:I32,"&lt;&gt;女"),"")</f>
        <v/>
      </c>
      <c r="Q32">
        <f>IF(AND(O32=1,I32="女"),COUNTIFS($O$2:O32,1,$I$2:I32,"女"),"")</f>
        <v/>
      </c>
      <c r="R32">
        <f>IF(AND(I32&lt;&gt;"",M32&gt;=1,N32=0),1,0)</f>
        <v/>
      </c>
      <c r="S32">
        <f>IF(AND(D32&lt;&gt;"",I32=""),1,0)</f>
        <v/>
      </c>
      <c r="V32">
        <f>IF(J32="",0,J32)</f>
        <v/>
      </c>
      <c r="W32">
        <f>IF(I32="","",I32&amp;D32)</f>
        <v/>
      </c>
      <c r="Y32" t="n">
        <v>31</v>
      </c>
      <c r="Z32">
        <f>IF(Y32&gt;$U$22,"",IF(Y32&lt;=$U$23,IF($U$4,"B","A"),IF($U$4,"A","B")))</f>
        <v/>
      </c>
      <c r="AA32">
        <f>IF(Z32="","",IF(Y32&lt;=$U$23,Y32,Y32-$U$23))</f>
        <v/>
      </c>
      <c r="AB32">
        <f>IF(Z32="","",IF(Z32="A",$U$7,$U$8))</f>
        <v/>
      </c>
      <c r="AC32">
        <f>IF(Z32="","",IF(AB32&lt;=$U$6,AB32-AA32+1,IF(AA32&lt;=INT((AB32-$U$6+1)/2),$U$6-1+2*AA32,IF(AA32&lt;=INT((AB32-$U$6+1)/2)+INT((AB32-$U$6)/2),(AB32-1+MOD(AB32,2))-2*(AA32-INT((AB32-$U$6+1)/2)-1),$U$6-(AA32-INT((AB32-$U$6+1)/2)-INT((AB32-$U$6)/2)-1)))))</f>
        <v/>
      </c>
      <c r="AD32">
        <f>IF(Z32="","",IF($U$2,"",IF(Z32="B","女子","男子"))&amp;AA32&amp;"レース")</f>
        <v/>
      </c>
      <c r="AE32">
        <f>IF(Z32="","",IF($U$2,1,AA32))</f>
        <v/>
      </c>
      <c r="AF32">
        <f>IF(AJ32="",99,IF(最終修正!$C$33="",0,IF(AND(ISNUMBER(最終修正!$C$33),INT(最終修正!$C$33)=最終修正!$C$33,最終修正!$C$33-$U$5&gt;=0,最終修正!$C$33-$U$5&lt;=3),最終修正!$C$33-$U$5,-1)))</f>
        <v/>
      </c>
      <c r="AG32">
        <f>IF(AK32="",99,IF(最終修正!$E$33="",1,IF(AND(ISNUMBER(最終修正!$E$33),INT(最終修正!$E$33)=最終修正!$E$33,最終修正!$E$33-$U$5&gt;=0,最終修正!$E$33-$U$5&lt;=3),最終修正!$E$33-$U$5,-1)))</f>
        <v/>
      </c>
      <c r="AH32">
        <f>IF(AL32="",99,IF(最終修正!$G$33="",2,IF(AND(ISNUMBER(最終修正!$G$33),INT(最終修正!$G$33)=最終修正!$G$33,最終修正!$G$33-$U$5&gt;=0,最終修正!$G$33-$U$5&lt;=3),最終修正!$G$33-$U$5,-1)))</f>
        <v/>
      </c>
      <c r="AI32">
        <f>IF(AM32="",99,IF(最終修正!$I$33="",3,IF(AND(ISNUMBER(最終修正!$I$33),INT(最終修正!$I$33)=最終修正!$I$33,最終修正!$I$33-$U$5&gt;=0,最終修正!$I$33-$U$5&lt;=3),最終修正!$I$33-$U$5,-1)))</f>
        <v/>
      </c>
      <c r="AJ32">
        <f>IF(計算用!$Z$32="","",IF(計算用!$U$24,IF(計算用!$Z$32="A",INDEX(手直し!$B$6:$E$42,計算用!$AC$32,MOD(0-計算用!$AE$32+1,4)+1),INDEX(手直し!$G$6:$J$42,計算用!$AC$32,MOD(0-計算用!$AE$32+1,4)+1)),IF(計算用!$Z$32="A",INDEX(組分け!$B$5:$I$41,計算用!$AC$32,(MOD(0-計算用!$AE$32+1,4)+1)*2-1),INDEX(組分け!$L$5:$S$41,計算用!$AC$32,(MOD(0-計算用!$AE$32+1,4)+1)*2-1)))&amp;"")</f>
        <v/>
      </c>
      <c r="AK32">
        <f>IF(計算用!$Z$32="","",IF(計算用!$U$24,IF(計算用!$Z$32="A",INDEX(手直し!$B$6:$E$42,計算用!$AC$32,MOD(1-計算用!$AE$32+1,4)+1),INDEX(手直し!$G$6:$J$42,計算用!$AC$32,MOD(1-計算用!$AE$32+1,4)+1)),IF(計算用!$Z$32="A",INDEX(組分け!$B$5:$I$41,計算用!$AC$32,(MOD(1-計算用!$AE$32+1,4)+1)*2-1),INDEX(組分け!$L$5:$S$41,計算用!$AC$32,(MOD(1-計算用!$AE$32+1,4)+1)*2-1)))&amp;"")</f>
        <v/>
      </c>
      <c r="AL32">
        <f>IF(計算用!$Z$32="","",IF(計算用!$U$24,IF(計算用!$Z$32="A",INDEX(手直し!$B$6:$E$42,計算用!$AC$32,MOD(2-計算用!$AE$32+1,4)+1),INDEX(手直し!$G$6:$J$42,計算用!$AC$32,MOD(2-計算用!$AE$32+1,4)+1)),IF(計算用!$Z$32="A",INDEX(組分け!$B$5:$I$41,計算用!$AC$32,(MOD(2-計算用!$AE$32+1,4)+1)*2-1),INDEX(組分け!$L$5:$S$41,計算用!$AC$32,(MOD(2-計算用!$AE$32+1,4)+1)*2-1)))&amp;"")</f>
        <v/>
      </c>
      <c r="AM32">
        <f>IF(計算用!$Z$32="","",IF(計算用!$U$24,IF(計算用!$Z$32="A",INDEX(手直し!$B$6:$E$42,計算用!$AC$32,MOD(3-計算用!$AE$32+1,4)+1),INDEX(手直し!$G$6:$J$42,計算用!$AC$32,MOD(3-計算用!$AE$32+1,4)+1)),IF(計算用!$Z$32="A",INDEX(組分け!$B$5:$I$41,計算用!$AC$32,(MOD(3-計算用!$AE$32+1,4)+1)*2-1),INDEX(組分け!$L$5:$S$41,計算用!$AC$32,(MOD(3-計算用!$AE$32+1,4)+1)*2-1)))&amp;"")</f>
        <v/>
      </c>
      <c r="AN32">
        <f>IF(Z32="",0,(COUNTIF($AF32:$AI32,0)&gt;1)+(COUNTIF($AF32:$AI32,1)&gt;1)+(COUNTIF($AF32:$AI32,2)&gt;1)+(COUNTIF($AF32:$AI32,3)&gt;1)+COUNTIF($AF32:$AI32,-1))</f>
        <v/>
      </c>
      <c r="AP32">
        <f>IF(Z32="","",IFERROR(MOD(MATCH(0,$AF32:$AI32,0)-1-AE32+1,4),""))</f>
        <v/>
      </c>
      <c r="AQ32">
        <f>IF(Z32="","",IFERROR(MOD(MATCH(1,$AF32:$AI32,0)-1-AE32+1,4),""))</f>
        <v/>
      </c>
      <c r="AR32">
        <f>IF(Z32="","",IFERROR(MOD(MATCH(2,$AF32:$AI32,0)-1-AE32+1,4),""))</f>
        <v/>
      </c>
      <c r="AS32">
        <f>IF(Z32="","",IFERROR(MOD(MATCH(3,$AF32:$AI32,0)-1-AE32+1,4),""))</f>
        <v/>
      </c>
    </row>
    <row r="33">
      <c r="A33" t="n">
        <v>32</v>
      </c>
      <c r="B33">
        <f>INT((A33-1)/37)+1</f>
        <v/>
      </c>
      <c r="C33">
        <f>MOD(A33-1,37)+1</f>
        <v/>
      </c>
      <c r="D33">
        <f>TRIM(INDEX(データ入力!$B$5:$Q$41,C33,(B33-1)*4+1)&amp;"")</f>
        <v/>
      </c>
      <c r="E33">
        <f>INDEX(データ入力!$B$5:$Q$41,C33,(B33-1)*4+2)&amp;""</f>
        <v/>
      </c>
      <c r="F33">
        <f>IF(OR(E33="1",E33="１",E33="男"),"男",IF(OR(E33="2",E33="２",E33="女"),"女",""))</f>
        <v/>
      </c>
      <c r="G33">
        <f>INDEX(データ入力!$B$5:$Q$41,C33,(B33-1)*4+3)</f>
        <v/>
      </c>
      <c r="H33">
        <f>IF(D33="","",IF($U$2,"混",F33))</f>
        <v/>
      </c>
      <c r="I33">
        <f>IF(AND(H33&lt;&gt;"",ISNUMBER(G33)),H33,"")</f>
        <v/>
      </c>
      <c r="J33">
        <f>IF(I33="","",COUNTIFS($I$2:$I$149,I33,$B$2:$B$149,B33,$G$2:$G$149,"&lt;"&amp;G33)+COUNTIFS($I$2:$I$149,I33,$B$2:$B$149,B33,$G$2:$G$149,G33,$A$2:$A$149,"&lt;"&amp;A33)+1)</f>
        <v/>
      </c>
      <c r="K33">
        <f>IF(I33="","",I33&amp;B33&amp;"-"&amp;J33)</f>
        <v/>
      </c>
      <c r="L33">
        <f>IF(I33="","",I33&amp;B33&amp;"|"&amp;D33)</f>
        <v/>
      </c>
      <c r="M33">
        <f>IF(I33="","",IF(I33="女",COUNTIF(手直し!$G$6:$J$42,D33),COUNTIF(手直し!$B$6:$E$42,D33)))</f>
        <v/>
      </c>
      <c r="N33">
        <f>IF(I33="","",IF(I33="女",COUNTIF(INDEX(手直し!$G$6:$J$42,0,B33),D33),COUNTIF(INDEX(手直し!$B$6:$E$42,0,B33),D33)))</f>
        <v/>
      </c>
      <c r="O33">
        <f>IF(AND(I33&lt;&gt;"",M33=0),1,0)</f>
        <v/>
      </c>
      <c r="P33">
        <f>IF(AND(O33=1,I33&lt;&gt;"女"),COUNTIFS($O$2:O33,1,$I$2:I33,"&lt;&gt;女"),"")</f>
        <v/>
      </c>
      <c r="Q33">
        <f>IF(AND(O33=1,I33="女"),COUNTIFS($O$2:O33,1,$I$2:I33,"女"),"")</f>
        <v/>
      </c>
      <c r="R33">
        <f>IF(AND(I33&lt;&gt;"",M33&gt;=1,N33=0),1,0)</f>
        <v/>
      </c>
      <c r="S33">
        <f>IF(AND(D33&lt;&gt;"",I33=""),1,0)</f>
        <v/>
      </c>
      <c r="V33">
        <f>IF(J33="",0,J33)</f>
        <v/>
      </c>
      <c r="W33">
        <f>IF(I33="","",I33&amp;D33)</f>
        <v/>
      </c>
      <c r="Y33" t="n">
        <v>32</v>
      </c>
      <c r="Z33">
        <f>IF(Y33&gt;$U$22,"",IF(Y33&lt;=$U$23,IF($U$4,"B","A"),IF($U$4,"A","B")))</f>
        <v/>
      </c>
      <c r="AA33">
        <f>IF(Z33="","",IF(Y33&lt;=$U$23,Y33,Y33-$U$23))</f>
        <v/>
      </c>
      <c r="AB33">
        <f>IF(Z33="","",IF(Z33="A",$U$7,$U$8))</f>
        <v/>
      </c>
      <c r="AC33">
        <f>IF(Z33="","",IF(AB33&lt;=$U$6,AB33-AA33+1,IF(AA33&lt;=INT((AB33-$U$6+1)/2),$U$6-1+2*AA33,IF(AA33&lt;=INT((AB33-$U$6+1)/2)+INT((AB33-$U$6)/2),(AB33-1+MOD(AB33,2))-2*(AA33-INT((AB33-$U$6+1)/2)-1),$U$6-(AA33-INT((AB33-$U$6+1)/2)-INT((AB33-$U$6)/2)-1)))))</f>
        <v/>
      </c>
      <c r="AD33">
        <f>IF(Z33="","",IF($U$2,"",IF(Z33="B","女子","男子"))&amp;AA33&amp;"レース")</f>
        <v/>
      </c>
      <c r="AE33">
        <f>IF(Z33="","",IF($U$2,1,AA33))</f>
        <v/>
      </c>
      <c r="AF33">
        <f>IF(AJ33="",99,IF(最終修正!$C$34="",0,IF(AND(ISNUMBER(最終修正!$C$34),INT(最終修正!$C$34)=最終修正!$C$34,最終修正!$C$34-$U$5&gt;=0,最終修正!$C$34-$U$5&lt;=3),最終修正!$C$34-$U$5,-1)))</f>
        <v/>
      </c>
      <c r="AG33">
        <f>IF(AK33="",99,IF(最終修正!$E$34="",1,IF(AND(ISNUMBER(最終修正!$E$34),INT(最終修正!$E$34)=最終修正!$E$34,最終修正!$E$34-$U$5&gt;=0,最終修正!$E$34-$U$5&lt;=3),最終修正!$E$34-$U$5,-1)))</f>
        <v/>
      </c>
      <c r="AH33">
        <f>IF(AL33="",99,IF(最終修正!$G$34="",2,IF(AND(ISNUMBER(最終修正!$G$34),INT(最終修正!$G$34)=最終修正!$G$34,最終修正!$G$34-$U$5&gt;=0,最終修正!$G$34-$U$5&lt;=3),最終修正!$G$34-$U$5,-1)))</f>
        <v/>
      </c>
      <c r="AI33">
        <f>IF(AM33="",99,IF(最終修正!$I$34="",3,IF(AND(ISNUMBER(最終修正!$I$34),INT(最終修正!$I$34)=最終修正!$I$34,最終修正!$I$34-$U$5&gt;=0,最終修正!$I$34-$U$5&lt;=3),最終修正!$I$34-$U$5,-1)))</f>
        <v/>
      </c>
      <c r="AJ33">
        <f>IF(計算用!$Z$33="","",IF(計算用!$U$24,IF(計算用!$Z$33="A",INDEX(手直し!$B$6:$E$42,計算用!$AC$33,MOD(0-計算用!$AE$33+1,4)+1),INDEX(手直し!$G$6:$J$42,計算用!$AC$33,MOD(0-計算用!$AE$33+1,4)+1)),IF(計算用!$Z$33="A",INDEX(組分け!$B$5:$I$41,計算用!$AC$33,(MOD(0-計算用!$AE$33+1,4)+1)*2-1),INDEX(組分け!$L$5:$S$41,計算用!$AC$33,(MOD(0-計算用!$AE$33+1,4)+1)*2-1)))&amp;"")</f>
        <v/>
      </c>
      <c r="AK33">
        <f>IF(計算用!$Z$33="","",IF(計算用!$U$24,IF(計算用!$Z$33="A",INDEX(手直し!$B$6:$E$42,計算用!$AC$33,MOD(1-計算用!$AE$33+1,4)+1),INDEX(手直し!$G$6:$J$42,計算用!$AC$33,MOD(1-計算用!$AE$33+1,4)+1)),IF(計算用!$Z$33="A",INDEX(組分け!$B$5:$I$41,計算用!$AC$33,(MOD(1-計算用!$AE$33+1,4)+1)*2-1),INDEX(組分け!$L$5:$S$41,計算用!$AC$33,(MOD(1-計算用!$AE$33+1,4)+1)*2-1)))&amp;"")</f>
        <v/>
      </c>
      <c r="AL33">
        <f>IF(計算用!$Z$33="","",IF(計算用!$U$24,IF(計算用!$Z$33="A",INDEX(手直し!$B$6:$E$42,計算用!$AC$33,MOD(2-計算用!$AE$33+1,4)+1),INDEX(手直し!$G$6:$J$42,計算用!$AC$33,MOD(2-計算用!$AE$33+1,4)+1)),IF(計算用!$Z$33="A",INDEX(組分け!$B$5:$I$41,計算用!$AC$33,(MOD(2-計算用!$AE$33+1,4)+1)*2-1),INDEX(組分け!$L$5:$S$41,計算用!$AC$33,(MOD(2-計算用!$AE$33+1,4)+1)*2-1)))&amp;"")</f>
        <v/>
      </c>
      <c r="AM33">
        <f>IF(計算用!$Z$33="","",IF(計算用!$U$24,IF(計算用!$Z$33="A",INDEX(手直し!$B$6:$E$42,計算用!$AC$33,MOD(3-計算用!$AE$33+1,4)+1),INDEX(手直し!$G$6:$J$42,計算用!$AC$33,MOD(3-計算用!$AE$33+1,4)+1)),IF(計算用!$Z$33="A",INDEX(組分け!$B$5:$I$41,計算用!$AC$33,(MOD(3-計算用!$AE$33+1,4)+1)*2-1),INDEX(組分け!$L$5:$S$41,計算用!$AC$33,(MOD(3-計算用!$AE$33+1,4)+1)*2-1)))&amp;"")</f>
        <v/>
      </c>
      <c r="AN33">
        <f>IF(Z33="",0,(COUNTIF($AF33:$AI33,0)&gt;1)+(COUNTIF($AF33:$AI33,1)&gt;1)+(COUNTIF($AF33:$AI33,2)&gt;1)+(COUNTIF($AF33:$AI33,3)&gt;1)+COUNTIF($AF33:$AI33,-1))</f>
        <v/>
      </c>
      <c r="AP33">
        <f>IF(Z33="","",IFERROR(MOD(MATCH(0,$AF33:$AI33,0)-1-AE33+1,4),""))</f>
        <v/>
      </c>
      <c r="AQ33">
        <f>IF(Z33="","",IFERROR(MOD(MATCH(1,$AF33:$AI33,0)-1-AE33+1,4),""))</f>
        <v/>
      </c>
      <c r="AR33">
        <f>IF(Z33="","",IFERROR(MOD(MATCH(2,$AF33:$AI33,0)-1-AE33+1,4),""))</f>
        <v/>
      </c>
      <c r="AS33">
        <f>IF(Z33="","",IFERROR(MOD(MATCH(3,$AF33:$AI33,0)-1-AE33+1,4),""))</f>
        <v/>
      </c>
    </row>
    <row r="34">
      <c r="A34" t="n">
        <v>33</v>
      </c>
      <c r="B34">
        <f>INT((A34-1)/37)+1</f>
        <v/>
      </c>
      <c r="C34">
        <f>MOD(A34-1,37)+1</f>
        <v/>
      </c>
      <c r="D34">
        <f>TRIM(INDEX(データ入力!$B$5:$Q$41,C34,(B34-1)*4+1)&amp;"")</f>
        <v/>
      </c>
      <c r="E34">
        <f>INDEX(データ入力!$B$5:$Q$41,C34,(B34-1)*4+2)&amp;""</f>
        <v/>
      </c>
      <c r="F34">
        <f>IF(OR(E34="1",E34="１",E34="男"),"男",IF(OR(E34="2",E34="２",E34="女"),"女",""))</f>
        <v/>
      </c>
      <c r="G34">
        <f>INDEX(データ入力!$B$5:$Q$41,C34,(B34-1)*4+3)</f>
        <v/>
      </c>
      <c r="H34">
        <f>IF(D34="","",IF($U$2,"混",F34))</f>
        <v/>
      </c>
      <c r="I34">
        <f>IF(AND(H34&lt;&gt;"",ISNUMBER(G34)),H34,"")</f>
        <v/>
      </c>
      <c r="J34">
        <f>IF(I34="","",COUNTIFS($I$2:$I$149,I34,$B$2:$B$149,B34,$G$2:$G$149,"&lt;"&amp;G34)+COUNTIFS($I$2:$I$149,I34,$B$2:$B$149,B34,$G$2:$G$149,G34,$A$2:$A$149,"&lt;"&amp;A34)+1)</f>
        <v/>
      </c>
      <c r="K34">
        <f>IF(I34="","",I34&amp;B34&amp;"-"&amp;J34)</f>
        <v/>
      </c>
      <c r="L34">
        <f>IF(I34="","",I34&amp;B34&amp;"|"&amp;D34)</f>
        <v/>
      </c>
      <c r="M34">
        <f>IF(I34="","",IF(I34="女",COUNTIF(手直し!$G$6:$J$42,D34),COUNTIF(手直し!$B$6:$E$42,D34)))</f>
        <v/>
      </c>
      <c r="N34">
        <f>IF(I34="","",IF(I34="女",COUNTIF(INDEX(手直し!$G$6:$J$42,0,B34),D34),COUNTIF(INDEX(手直し!$B$6:$E$42,0,B34),D34)))</f>
        <v/>
      </c>
      <c r="O34">
        <f>IF(AND(I34&lt;&gt;"",M34=0),1,0)</f>
        <v/>
      </c>
      <c r="P34">
        <f>IF(AND(O34=1,I34&lt;&gt;"女"),COUNTIFS($O$2:O34,1,$I$2:I34,"&lt;&gt;女"),"")</f>
        <v/>
      </c>
      <c r="Q34">
        <f>IF(AND(O34=1,I34="女"),COUNTIFS($O$2:O34,1,$I$2:I34,"女"),"")</f>
        <v/>
      </c>
      <c r="R34">
        <f>IF(AND(I34&lt;&gt;"",M34&gt;=1,N34=0),1,0)</f>
        <v/>
      </c>
      <c r="S34">
        <f>IF(AND(D34&lt;&gt;"",I34=""),1,0)</f>
        <v/>
      </c>
      <c r="V34">
        <f>IF(J34="",0,J34)</f>
        <v/>
      </c>
      <c r="W34">
        <f>IF(I34="","",I34&amp;D34)</f>
        <v/>
      </c>
      <c r="Y34" t="n">
        <v>33</v>
      </c>
      <c r="Z34">
        <f>IF(Y34&gt;$U$22,"",IF(Y34&lt;=$U$23,IF($U$4,"B","A"),IF($U$4,"A","B")))</f>
        <v/>
      </c>
      <c r="AA34">
        <f>IF(Z34="","",IF(Y34&lt;=$U$23,Y34,Y34-$U$23))</f>
        <v/>
      </c>
      <c r="AB34">
        <f>IF(Z34="","",IF(Z34="A",$U$7,$U$8))</f>
        <v/>
      </c>
      <c r="AC34">
        <f>IF(Z34="","",IF(AB34&lt;=$U$6,AB34-AA34+1,IF(AA34&lt;=INT((AB34-$U$6+1)/2),$U$6-1+2*AA34,IF(AA34&lt;=INT((AB34-$U$6+1)/2)+INT((AB34-$U$6)/2),(AB34-1+MOD(AB34,2))-2*(AA34-INT((AB34-$U$6+1)/2)-1),$U$6-(AA34-INT((AB34-$U$6+1)/2)-INT((AB34-$U$6)/2)-1)))))</f>
        <v/>
      </c>
      <c r="AD34">
        <f>IF(Z34="","",IF($U$2,"",IF(Z34="B","女子","男子"))&amp;AA34&amp;"レース")</f>
        <v/>
      </c>
      <c r="AE34">
        <f>IF(Z34="","",IF($U$2,1,AA34))</f>
        <v/>
      </c>
      <c r="AF34">
        <f>IF(AJ34="",99,IF(最終修正!$C$35="",0,IF(AND(ISNUMBER(最終修正!$C$35),INT(最終修正!$C$35)=最終修正!$C$35,最終修正!$C$35-$U$5&gt;=0,最終修正!$C$35-$U$5&lt;=3),最終修正!$C$35-$U$5,-1)))</f>
        <v/>
      </c>
      <c r="AG34">
        <f>IF(AK34="",99,IF(最終修正!$E$35="",1,IF(AND(ISNUMBER(最終修正!$E$35),INT(最終修正!$E$35)=最終修正!$E$35,最終修正!$E$35-$U$5&gt;=0,最終修正!$E$35-$U$5&lt;=3),最終修正!$E$35-$U$5,-1)))</f>
        <v/>
      </c>
      <c r="AH34">
        <f>IF(AL34="",99,IF(最終修正!$G$35="",2,IF(AND(ISNUMBER(最終修正!$G$35),INT(最終修正!$G$35)=最終修正!$G$35,最終修正!$G$35-$U$5&gt;=0,最終修正!$G$35-$U$5&lt;=3),最終修正!$G$35-$U$5,-1)))</f>
        <v/>
      </c>
      <c r="AI34">
        <f>IF(AM34="",99,IF(最終修正!$I$35="",3,IF(AND(ISNUMBER(最終修正!$I$35),INT(最終修正!$I$35)=最終修正!$I$35,最終修正!$I$35-$U$5&gt;=0,最終修正!$I$35-$U$5&lt;=3),最終修正!$I$35-$U$5,-1)))</f>
        <v/>
      </c>
      <c r="AJ34">
        <f>IF(計算用!$Z$34="","",IF(計算用!$U$24,IF(計算用!$Z$34="A",INDEX(手直し!$B$6:$E$42,計算用!$AC$34,MOD(0-計算用!$AE$34+1,4)+1),INDEX(手直し!$G$6:$J$42,計算用!$AC$34,MOD(0-計算用!$AE$34+1,4)+1)),IF(計算用!$Z$34="A",INDEX(組分け!$B$5:$I$41,計算用!$AC$34,(MOD(0-計算用!$AE$34+1,4)+1)*2-1),INDEX(組分け!$L$5:$S$41,計算用!$AC$34,(MOD(0-計算用!$AE$34+1,4)+1)*2-1)))&amp;"")</f>
        <v/>
      </c>
      <c r="AK34">
        <f>IF(計算用!$Z$34="","",IF(計算用!$U$24,IF(計算用!$Z$34="A",INDEX(手直し!$B$6:$E$42,計算用!$AC$34,MOD(1-計算用!$AE$34+1,4)+1),INDEX(手直し!$G$6:$J$42,計算用!$AC$34,MOD(1-計算用!$AE$34+1,4)+1)),IF(計算用!$Z$34="A",INDEX(組分け!$B$5:$I$41,計算用!$AC$34,(MOD(1-計算用!$AE$34+1,4)+1)*2-1),INDEX(組分け!$L$5:$S$41,計算用!$AC$34,(MOD(1-計算用!$AE$34+1,4)+1)*2-1)))&amp;"")</f>
        <v/>
      </c>
      <c r="AL34">
        <f>IF(計算用!$Z$34="","",IF(計算用!$U$24,IF(計算用!$Z$34="A",INDEX(手直し!$B$6:$E$42,計算用!$AC$34,MOD(2-計算用!$AE$34+1,4)+1),INDEX(手直し!$G$6:$J$42,計算用!$AC$34,MOD(2-計算用!$AE$34+1,4)+1)),IF(計算用!$Z$34="A",INDEX(組分け!$B$5:$I$41,計算用!$AC$34,(MOD(2-計算用!$AE$34+1,4)+1)*2-1),INDEX(組分け!$L$5:$S$41,計算用!$AC$34,(MOD(2-計算用!$AE$34+1,4)+1)*2-1)))&amp;"")</f>
        <v/>
      </c>
      <c r="AM34">
        <f>IF(計算用!$Z$34="","",IF(計算用!$U$24,IF(計算用!$Z$34="A",INDEX(手直し!$B$6:$E$42,計算用!$AC$34,MOD(3-計算用!$AE$34+1,4)+1),INDEX(手直し!$G$6:$J$42,計算用!$AC$34,MOD(3-計算用!$AE$34+1,4)+1)),IF(計算用!$Z$34="A",INDEX(組分け!$B$5:$I$41,計算用!$AC$34,(MOD(3-計算用!$AE$34+1,4)+1)*2-1),INDEX(組分け!$L$5:$S$41,計算用!$AC$34,(MOD(3-計算用!$AE$34+1,4)+1)*2-1)))&amp;"")</f>
        <v/>
      </c>
      <c r="AN34">
        <f>IF(Z34="",0,(COUNTIF($AF34:$AI34,0)&gt;1)+(COUNTIF($AF34:$AI34,1)&gt;1)+(COUNTIF($AF34:$AI34,2)&gt;1)+(COUNTIF($AF34:$AI34,3)&gt;1)+COUNTIF($AF34:$AI34,-1))</f>
        <v/>
      </c>
      <c r="AP34">
        <f>IF(Z34="","",IFERROR(MOD(MATCH(0,$AF34:$AI34,0)-1-AE34+1,4),""))</f>
        <v/>
      </c>
      <c r="AQ34">
        <f>IF(Z34="","",IFERROR(MOD(MATCH(1,$AF34:$AI34,0)-1-AE34+1,4),""))</f>
        <v/>
      </c>
      <c r="AR34">
        <f>IF(Z34="","",IFERROR(MOD(MATCH(2,$AF34:$AI34,0)-1-AE34+1,4),""))</f>
        <v/>
      </c>
      <c r="AS34">
        <f>IF(Z34="","",IFERROR(MOD(MATCH(3,$AF34:$AI34,0)-1-AE34+1,4),""))</f>
        <v/>
      </c>
    </row>
    <row r="35">
      <c r="A35" t="n">
        <v>34</v>
      </c>
      <c r="B35">
        <f>INT((A35-1)/37)+1</f>
        <v/>
      </c>
      <c r="C35">
        <f>MOD(A35-1,37)+1</f>
        <v/>
      </c>
      <c r="D35">
        <f>TRIM(INDEX(データ入力!$B$5:$Q$41,C35,(B35-1)*4+1)&amp;"")</f>
        <v/>
      </c>
      <c r="E35">
        <f>INDEX(データ入力!$B$5:$Q$41,C35,(B35-1)*4+2)&amp;""</f>
        <v/>
      </c>
      <c r="F35">
        <f>IF(OR(E35="1",E35="１",E35="男"),"男",IF(OR(E35="2",E35="２",E35="女"),"女",""))</f>
        <v/>
      </c>
      <c r="G35">
        <f>INDEX(データ入力!$B$5:$Q$41,C35,(B35-1)*4+3)</f>
        <v/>
      </c>
      <c r="H35">
        <f>IF(D35="","",IF($U$2,"混",F35))</f>
        <v/>
      </c>
      <c r="I35">
        <f>IF(AND(H35&lt;&gt;"",ISNUMBER(G35)),H35,"")</f>
        <v/>
      </c>
      <c r="J35">
        <f>IF(I35="","",COUNTIFS($I$2:$I$149,I35,$B$2:$B$149,B35,$G$2:$G$149,"&lt;"&amp;G35)+COUNTIFS($I$2:$I$149,I35,$B$2:$B$149,B35,$G$2:$G$149,G35,$A$2:$A$149,"&lt;"&amp;A35)+1)</f>
        <v/>
      </c>
      <c r="K35">
        <f>IF(I35="","",I35&amp;B35&amp;"-"&amp;J35)</f>
        <v/>
      </c>
      <c r="L35">
        <f>IF(I35="","",I35&amp;B35&amp;"|"&amp;D35)</f>
        <v/>
      </c>
      <c r="M35">
        <f>IF(I35="","",IF(I35="女",COUNTIF(手直し!$G$6:$J$42,D35),COUNTIF(手直し!$B$6:$E$42,D35)))</f>
        <v/>
      </c>
      <c r="N35">
        <f>IF(I35="","",IF(I35="女",COUNTIF(INDEX(手直し!$G$6:$J$42,0,B35),D35),COUNTIF(INDEX(手直し!$B$6:$E$42,0,B35),D35)))</f>
        <v/>
      </c>
      <c r="O35">
        <f>IF(AND(I35&lt;&gt;"",M35=0),1,0)</f>
        <v/>
      </c>
      <c r="P35">
        <f>IF(AND(O35=1,I35&lt;&gt;"女"),COUNTIFS($O$2:O35,1,$I$2:I35,"&lt;&gt;女"),"")</f>
        <v/>
      </c>
      <c r="Q35">
        <f>IF(AND(O35=1,I35="女"),COUNTIFS($O$2:O35,1,$I$2:I35,"女"),"")</f>
        <v/>
      </c>
      <c r="R35">
        <f>IF(AND(I35&lt;&gt;"",M35&gt;=1,N35=0),1,0)</f>
        <v/>
      </c>
      <c r="S35">
        <f>IF(AND(D35&lt;&gt;"",I35=""),1,0)</f>
        <v/>
      </c>
      <c r="V35">
        <f>IF(J35="",0,J35)</f>
        <v/>
      </c>
      <c r="W35">
        <f>IF(I35="","",I35&amp;D35)</f>
        <v/>
      </c>
      <c r="Y35" t="n">
        <v>34</v>
      </c>
      <c r="Z35">
        <f>IF(Y35&gt;$U$22,"",IF(Y35&lt;=$U$23,IF($U$4,"B","A"),IF($U$4,"A","B")))</f>
        <v/>
      </c>
      <c r="AA35">
        <f>IF(Z35="","",IF(Y35&lt;=$U$23,Y35,Y35-$U$23))</f>
        <v/>
      </c>
      <c r="AB35">
        <f>IF(Z35="","",IF(Z35="A",$U$7,$U$8))</f>
        <v/>
      </c>
      <c r="AC35">
        <f>IF(Z35="","",IF(AB35&lt;=$U$6,AB35-AA35+1,IF(AA35&lt;=INT((AB35-$U$6+1)/2),$U$6-1+2*AA35,IF(AA35&lt;=INT((AB35-$U$6+1)/2)+INT((AB35-$U$6)/2),(AB35-1+MOD(AB35,2))-2*(AA35-INT((AB35-$U$6+1)/2)-1),$U$6-(AA35-INT((AB35-$U$6+1)/2)-INT((AB35-$U$6)/2)-1)))))</f>
        <v/>
      </c>
      <c r="AD35">
        <f>IF(Z35="","",IF($U$2,"",IF(Z35="B","女子","男子"))&amp;AA35&amp;"レース")</f>
        <v/>
      </c>
      <c r="AE35">
        <f>IF(Z35="","",IF($U$2,1,AA35))</f>
        <v/>
      </c>
      <c r="AF35">
        <f>IF(AJ35="",99,IF(最終修正!$C$36="",0,IF(AND(ISNUMBER(最終修正!$C$36),INT(最終修正!$C$36)=最終修正!$C$36,最終修正!$C$36-$U$5&gt;=0,最終修正!$C$36-$U$5&lt;=3),最終修正!$C$36-$U$5,-1)))</f>
        <v/>
      </c>
      <c r="AG35">
        <f>IF(AK35="",99,IF(最終修正!$E$36="",1,IF(AND(ISNUMBER(最終修正!$E$36),INT(最終修正!$E$36)=最終修正!$E$36,最終修正!$E$36-$U$5&gt;=0,最終修正!$E$36-$U$5&lt;=3),最終修正!$E$36-$U$5,-1)))</f>
        <v/>
      </c>
      <c r="AH35">
        <f>IF(AL35="",99,IF(最終修正!$G$36="",2,IF(AND(ISNUMBER(最終修正!$G$36),INT(最終修正!$G$36)=最終修正!$G$36,最終修正!$G$36-$U$5&gt;=0,最終修正!$G$36-$U$5&lt;=3),最終修正!$G$36-$U$5,-1)))</f>
        <v/>
      </c>
      <c r="AI35">
        <f>IF(AM35="",99,IF(最終修正!$I$36="",3,IF(AND(ISNUMBER(最終修正!$I$36),INT(最終修正!$I$36)=最終修正!$I$36,最終修正!$I$36-$U$5&gt;=0,最終修正!$I$36-$U$5&lt;=3),最終修正!$I$36-$U$5,-1)))</f>
        <v/>
      </c>
      <c r="AJ35">
        <f>IF(計算用!$Z$35="","",IF(計算用!$U$24,IF(計算用!$Z$35="A",INDEX(手直し!$B$6:$E$42,計算用!$AC$35,MOD(0-計算用!$AE$35+1,4)+1),INDEX(手直し!$G$6:$J$42,計算用!$AC$35,MOD(0-計算用!$AE$35+1,4)+1)),IF(計算用!$Z$35="A",INDEX(組分け!$B$5:$I$41,計算用!$AC$35,(MOD(0-計算用!$AE$35+1,4)+1)*2-1),INDEX(組分け!$L$5:$S$41,計算用!$AC$35,(MOD(0-計算用!$AE$35+1,4)+1)*2-1)))&amp;"")</f>
        <v/>
      </c>
      <c r="AK35">
        <f>IF(計算用!$Z$35="","",IF(計算用!$U$24,IF(計算用!$Z$35="A",INDEX(手直し!$B$6:$E$42,計算用!$AC$35,MOD(1-計算用!$AE$35+1,4)+1),INDEX(手直し!$G$6:$J$42,計算用!$AC$35,MOD(1-計算用!$AE$35+1,4)+1)),IF(計算用!$Z$35="A",INDEX(組分け!$B$5:$I$41,計算用!$AC$35,(MOD(1-計算用!$AE$35+1,4)+1)*2-1),INDEX(組分け!$L$5:$S$41,計算用!$AC$35,(MOD(1-計算用!$AE$35+1,4)+1)*2-1)))&amp;"")</f>
        <v/>
      </c>
      <c r="AL35">
        <f>IF(計算用!$Z$35="","",IF(計算用!$U$24,IF(計算用!$Z$35="A",INDEX(手直し!$B$6:$E$42,計算用!$AC$35,MOD(2-計算用!$AE$35+1,4)+1),INDEX(手直し!$G$6:$J$42,計算用!$AC$35,MOD(2-計算用!$AE$35+1,4)+1)),IF(計算用!$Z$35="A",INDEX(組分け!$B$5:$I$41,計算用!$AC$35,(MOD(2-計算用!$AE$35+1,4)+1)*2-1),INDEX(組分け!$L$5:$S$41,計算用!$AC$35,(MOD(2-計算用!$AE$35+1,4)+1)*2-1)))&amp;"")</f>
        <v/>
      </c>
      <c r="AM35">
        <f>IF(計算用!$Z$35="","",IF(計算用!$U$24,IF(計算用!$Z$35="A",INDEX(手直し!$B$6:$E$42,計算用!$AC$35,MOD(3-計算用!$AE$35+1,4)+1),INDEX(手直し!$G$6:$J$42,計算用!$AC$35,MOD(3-計算用!$AE$35+1,4)+1)),IF(計算用!$Z$35="A",INDEX(組分け!$B$5:$I$41,計算用!$AC$35,(MOD(3-計算用!$AE$35+1,4)+1)*2-1),INDEX(組分け!$L$5:$S$41,計算用!$AC$35,(MOD(3-計算用!$AE$35+1,4)+1)*2-1)))&amp;"")</f>
        <v/>
      </c>
      <c r="AN35">
        <f>IF(Z35="",0,(COUNTIF($AF35:$AI35,0)&gt;1)+(COUNTIF($AF35:$AI35,1)&gt;1)+(COUNTIF($AF35:$AI35,2)&gt;1)+(COUNTIF($AF35:$AI35,3)&gt;1)+COUNTIF($AF35:$AI35,-1))</f>
        <v/>
      </c>
      <c r="AP35">
        <f>IF(Z35="","",IFERROR(MOD(MATCH(0,$AF35:$AI35,0)-1-AE35+1,4),""))</f>
        <v/>
      </c>
      <c r="AQ35">
        <f>IF(Z35="","",IFERROR(MOD(MATCH(1,$AF35:$AI35,0)-1-AE35+1,4),""))</f>
        <v/>
      </c>
      <c r="AR35">
        <f>IF(Z35="","",IFERROR(MOD(MATCH(2,$AF35:$AI35,0)-1-AE35+1,4),""))</f>
        <v/>
      </c>
      <c r="AS35">
        <f>IF(Z35="","",IFERROR(MOD(MATCH(3,$AF35:$AI35,0)-1-AE35+1,4),""))</f>
        <v/>
      </c>
    </row>
    <row r="36">
      <c r="A36" t="n">
        <v>35</v>
      </c>
      <c r="B36">
        <f>INT((A36-1)/37)+1</f>
        <v/>
      </c>
      <c r="C36">
        <f>MOD(A36-1,37)+1</f>
        <v/>
      </c>
      <c r="D36">
        <f>TRIM(INDEX(データ入力!$B$5:$Q$41,C36,(B36-1)*4+1)&amp;"")</f>
        <v/>
      </c>
      <c r="E36">
        <f>INDEX(データ入力!$B$5:$Q$41,C36,(B36-1)*4+2)&amp;""</f>
        <v/>
      </c>
      <c r="F36">
        <f>IF(OR(E36="1",E36="１",E36="男"),"男",IF(OR(E36="2",E36="２",E36="女"),"女",""))</f>
        <v/>
      </c>
      <c r="G36">
        <f>INDEX(データ入力!$B$5:$Q$41,C36,(B36-1)*4+3)</f>
        <v/>
      </c>
      <c r="H36">
        <f>IF(D36="","",IF($U$2,"混",F36))</f>
        <v/>
      </c>
      <c r="I36">
        <f>IF(AND(H36&lt;&gt;"",ISNUMBER(G36)),H36,"")</f>
        <v/>
      </c>
      <c r="J36">
        <f>IF(I36="","",COUNTIFS($I$2:$I$149,I36,$B$2:$B$149,B36,$G$2:$G$149,"&lt;"&amp;G36)+COUNTIFS($I$2:$I$149,I36,$B$2:$B$149,B36,$G$2:$G$149,G36,$A$2:$A$149,"&lt;"&amp;A36)+1)</f>
        <v/>
      </c>
      <c r="K36">
        <f>IF(I36="","",I36&amp;B36&amp;"-"&amp;J36)</f>
        <v/>
      </c>
      <c r="L36">
        <f>IF(I36="","",I36&amp;B36&amp;"|"&amp;D36)</f>
        <v/>
      </c>
      <c r="M36">
        <f>IF(I36="","",IF(I36="女",COUNTIF(手直し!$G$6:$J$42,D36),COUNTIF(手直し!$B$6:$E$42,D36)))</f>
        <v/>
      </c>
      <c r="N36">
        <f>IF(I36="","",IF(I36="女",COUNTIF(INDEX(手直し!$G$6:$J$42,0,B36),D36),COUNTIF(INDEX(手直し!$B$6:$E$42,0,B36),D36)))</f>
        <v/>
      </c>
      <c r="O36">
        <f>IF(AND(I36&lt;&gt;"",M36=0),1,0)</f>
        <v/>
      </c>
      <c r="P36">
        <f>IF(AND(O36=1,I36&lt;&gt;"女"),COUNTIFS($O$2:O36,1,$I$2:I36,"&lt;&gt;女"),"")</f>
        <v/>
      </c>
      <c r="Q36">
        <f>IF(AND(O36=1,I36="女"),COUNTIFS($O$2:O36,1,$I$2:I36,"女"),"")</f>
        <v/>
      </c>
      <c r="R36">
        <f>IF(AND(I36&lt;&gt;"",M36&gt;=1,N36=0),1,0)</f>
        <v/>
      </c>
      <c r="S36">
        <f>IF(AND(D36&lt;&gt;"",I36=""),1,0)</f>
        <v/>
      </c>
      <c r="V36">
        <f>IF(J36="",0,J36)</f>
        <v/>
      </c>
      <c r="W36">
        <f>IF(I36="","",I36&amp;D36)</f>
        <v/>
      </c>
      <c r="Y36" t="n">
        <v>35</v>
      </c>
      <c r="Z36">
        <f>IF(Y36&gt;$U$22,"",IF(Y36&lt;=$U$23,IF($U$4,"B","A"),IF($U$4,"A","B")))</f>
        <v/>
      </c>
      <c r="AA36">
        <f>IF(Z36="","",IF(Y36&lt;=$U$23,Y36,Y36-$U$23))</f>
        <v/>
      </c>
      <c r="AB36">
        <f>IF(Z36="","",IF(Z36="A",$U$7,$U$8))</f>
        <v/>
      </c>
      <c r="AC36">
        <f>IF(Z36="","",IF(AB36&lt;=$U$6,AB36-AA36+1,IF(AA36&lt;=INT((AB36-$U$6+1)/2),$U$6-1+2*AA36,IF(AA36&lt;=INT((AB36-$U$6+1)/2)+INT((AB36-$U$6)/2),(AB36-1+MOD(AB36,2))-2*(AA36-INT((AB36-$U$6+1)/2)-1),$U$6-(AA36-INT((AB36-$U$6+1)/2)-INT((AB36-$U$6)/2)-1)))))</f>
        <v/>
      </c>
      <c r="AD36">
        <f>IF(Z36="","",IF($U$2,"",IF(Z36="B","女子","男子"))&amp;AA36&amp;"レース")</f>
        <v/>
      </c>
      <c r="AE36">
        <f>IF(Z36="","",IF($U$2,1,AA36))</f>
        <v/>
      </c>
      <c r="AF36">
        <f>IF(AJ36="",99,IF(最終修正!$C$37="",0,IF(AND(ISNUMBER(最終修正!$C$37),INT(最終修正!$C$37)=最終修正!$C$37,最終修正!$C$37-$U$5&gt;=0,最終修正!$C$37-$U$5&lt;=3),最終修正!$C$37-$U$5,-1)))</f>
        <v/>
      </c>
      <c r="AG36">
        <f>IF(AK36="",99,IF(最終修正!$E$37="",1,IF(AND(ISNUMBER(最終修正!$E$37),INT(最終修正!$E$37)=最終修正!$E$37,最終修正!$E$37-$U$5&gt;=0,最終修正!$E$37-$U$5&lt;=3),最終修正!$E$37-$U$5,-1)))</f>
        <v/>
      </c>
      <c r="AH36">
        <f>IF(AL36="",99,IF(最終修正!$G$37="",2,IF(AND(ISNUMBER(最終修正!$G$37),INT(最終修正!$G$37)=最終修正!$G$37,最終修正!$G$37-$U$5&gt;=0,最終修正!$G$37-$U$5&lt;=3),最終修正!$G$37-$U$5,-1)))</f>
        <v/>
      </c>
      <c r="AI36">
        <f>IF(AM36="",99,IF(最終修正!$I$37="",3,IF(AND(ISNUMBER(最終修正!$I$37),INT(最終修正!$I$37)=最終修正!$I$37,最終修正!$I$37-$U$5&gt;=0,最終修正!$I$37-$U$5&lt;=3),最終修正!$I$37-$U$5,-1)))</f>
        <v/>
      </c>
      <c r="AJ36">
        <f>IF(計算用!$Z$36="","",IF(計算用!$U$24,IF(計算用!$Z$36="A",INDEX(手直し!$B$6:$E$42,計算用!$AC$36,MOD(0-計算用!$AE$36+1,4)+1),INDEX(手直し!$G$6:$J$42,計算用!$AC$36,MOD(0-計算用!$AE$36+1,4)+1)),IF(計算用!$Z$36="A",INDEX(組分け!$B$5:$I$41,計算用!$AC$36,(MOD(0-計算用!$AE$36+1,4)+1)*2-1),INDEX(組分け!$L$5:$S$41,計算用!$AC$36,(MOD(0-計算用!$AE$36+1,4)+1)*2-1)))&amp;"")</f>
        <v/>
      </c>
      <c r="AK36">
        <f>IF(計算用!$Z$36="","",IF(計算用!$U$24,IF(計算用!$Z$36="A",INDEX(手直し!$B$6:$E$42,計算用!$AC$36,MOD(1-計算用!$AE$36+1,4)+1),INDEX(手直し!$G$6:$J$42,計算用!$AC$36,MOD(1-計算用!$AE$36+1,4)+1)),IF(計算用!$Z$36="A",INDEX(組分け!$B$5:$I$41,計算用!$AC$36,(MOD(1-計算用!$AE$36+1,4)+1)*2-1),INDEX(組分け!$L$5:$S$41,計算用!$AC$36,(MOD(1-計算用!$AE$36+1,4)+1)*2-1)))&amp;"")</f>
        <v/>
      </c>
      <c r="AL36">
        <f>IF(計算用!$Z$36="","",IF(計算用!$U$24,IF(計算用!$Z$36="A",INDEX(手直し!$B$6:$E$42,計算用!$AC$36,MOD(2-計算用!$AE$36+1,4)+1),INDEX(手直し!$G$6:$J$42,計算用!$AC$36,MOD(2-計算用!$AE$36+1,4)+1)),IF(計算用!$Z$36="A",INDEX(組分け!$B$5:$I$41,計算用!$AC$36,(MOD(2-計算用!$AE$36+1,4)+1)*2-1),INDEX(組分け!$L$5:$S$41,計算用!$AC$36,(MOD(2-計算用!$AE$36+1,4)+1)*2-1)))&amp;"")</f>
        <v/>
      </c>
      <c r="AM36">
        <f>IF(計算用!$Z$36="","",IF(計算用!$U$24,IF(計算用!$Z$36="A",INDEX(手直し!$B$6:$E$42,計算用!$AC$36,MOD(3-計算用!$AE$36+1,4)+1),INDEX(手直し!$G$6:$J$42,計算用!$AC$36,MOD(3-計算用!$AE$36+1,4)+1)),IF(計算用!$Z$36="A",INDEX(組分け!$B$5:$I$41,計算用!$AC$36,(MOD(3-計算用!$AE$36+1,4)+1)*2-1),INDEX(組分け!$L$5:$S$41,計算用!$AC$36,(MOD(3-計算用!$AE$36+1,4)+1)*2-1)))&amp;"")</f>
        <v/>
      </c>
      <c r="AN36">
        <f>IF(Z36="",0,(COUNTIF($AF36:$AI36,0)&gt;1)+(COUNTIF($AF36:$AI36,1)&gt;1)+(COUNTIF($AF36:$AI36,2)&gt;1)+(COUNTIF($AF36:$AI36,3)&gt;1)+COUNTIF($AF36:$AI36,-1))</f>
        <v/>
      </c>
      <c r="AP36">
        <f>IF(Z36="","",IFERROR(MOD(MATCH(0,$AF36:$AI36,0)-1-AE36+1,4),""))</f>
        <v/>
      </c>
      <c r="AQ36">
        <f>IF(Z36="","",IFERROR(MOD(MATCH(1,$AF36:$AI36,0)-1-AE36+1,4),""))</f>
        <v/>
      </c>
      <c r="AR36">
        <f>IF(Z36="","",IFERROR(MOD(MATCH(2,$AF36:$AI36,0)-1-AE36+1,4),""))</f>
        <v/>
      </c>
      <c r="AS36">
        <f>IF(Z36="","",IFERROR(MOD(MATCH(3,$AF36:$AI36,0)-1-AE36+1,4),""))</f>
        <v/>
      </c>
    </row>
    <row r="37">
      <c r="A37" t="n">
        <v>36</v>
      </c>
      <c r="B37">
        <f>INT((A37-1)/37)+1</f>
        <v/>
      </c>
      <c r="C37">
        <f>MOD(A37-1,37)+1</f>
        <v/>
      </c>
      <c r="D37">
        <f>TRIM(INDEX(データ入力!$B$5:$Q$41,C37,(B37-1)*4+1)&amp;"")</f>
        <v/>
      </c>
      <c r="E37">
        <f>INDEX(データ入力!$B$5:$Q$41,C37,(B37-1)*4+2)&amp;""</f>
        <v/>
      </c>
      <c r="F37">
        <f>IF(OR(E37="1",E37="１",E37="男"),"男",IF(OR(E37="2",E37="２",E37="女"),"女",""))</f>
        <v/>
      </c>
      <c r="G37">
        <f>INDEX(データ入力!$B$5:$Q$41,C37,(B37-1)*4+3)</f>
        <v/>
      </c>
      <c r="H37">
        <f>IF(D37="","",IF($U$2,"混",F37))</f>
        <v/>
      </c>
      <c r="I37">
        <f>IF(AND(H37&lt;&gt;"",ISNUMBER(G37)),H37,"")</f>
        <v/>
      </c>
      <c r="J37">
        <f>IF(I37="","",COUNTIFS($I$2:$I$149,I37,$B$2:$B$149,B37,$G$2:$G$149,"&lt;"&amp;G37)+COUNTIFS($I$2:$I$149,I37,$B$2:$B$149,B37,$G$2:$G$149,G37,$A$2:$A$149,"&lt;"&amp;A37)+1)</f>
        <v/>
      </c>
      <c r="K37">
        <f>IF(I37="","",I37&amp;B37&amp;"-"&amp;J37)</f>
        <v/>
      </c>
      <c r="L37">
        <f>IF(I37="","",I37&amp;B37&amp;"|"&amp;D37)</f>
        <v/>
      </c>
      <c r="M37">
        <f>IF(I37="","",IF(I37="女",COUNTIF(手直し!$G$6:$J$42,D37),COUNTIF(手直し!$B$6:$E$42,D37)))</f>
        <v/>
      </c>
      <c r="N37">
        <f>IF(I37="","",IF(I37="女",COUNTIF(INDEX(手直し!$G$6:$J$42,0,B37),D37),COUNTIF(INDEX(手直し!$B$6:$E$42,0,B37),D37)))</f>
        <v/>
      </c>
      <c r="O37">
        <f>IF(AND(I37&lt;&gt;"",M37=0),1,0)</f>
        <v/>
      </c>
      <c r="P37">
        <f>IF(AND(O37=1,I37&lt;&gt;"女"),COUNTIFS($O$2:O37,1,$I$2:I37,"&lt;&gt;女"),"")</f>
        <v/>
      </c>
      <c r="Q37">
        <f>IF(AND(O37=1,I37="女"),COUNTIFS($O$2:O37,1,$I$2:I37,"女"),"")</f>
        <v/>
      </c>
      <c r="R37">
        <f>IF(AND(I37&lt;&gt;"",M37&gt;=1,N37=0),1,0)</f>
        <v/>
      </c>
      <c r="S37">
        <f>IF(AND(D37&lt;&gt;"",I37=""),1,0)</f>
        <v/>
      </c>
      <c r="V37">
        <f>IF(J37="",0,J37)</f>
        <v/>
      </c>
      <c r="W37">
        <f>IF(I37="","",I37&amp;D37)</f>
        <v/>
      </c>
      <c r="Y37" t="n">
        <v>36</v>
      </c>
      <c r="Z37">
        <f>IF(Y37&gt;$U$22,"",IF(Y37&lt;=$U$23,IF($U$4,"B","A"),IF($U$4,"A","B")))</f>
        <v/>
      </c>
      <c r="AA37">
        <f>IF(Z37="","",IF(Y37&lt;=$U$23,Y37,Y37-$U$23))</f>
        <v/>
      </c>
      <c r="AB37">
        <f>IF(Z37="","",IF(Z37="A",$U$7,$U$8))</f>
        <v/>
      </c>
      <c r="AC37">
        <f>IF(Z37="","",IF(AB37&lt;=$U$6,AB37-AA37+1,IF(AA37&lt;=INT((AB37-$U$6+1)/2),$U$6-1+2*AA37,IF(AA37&lt;=INT((AB37-$U$6+1)/2)+INT((AB37-$U$6)/2),(AB37-1+MOD(AB37,2))-2*(AA37-INT((AB37-$U$6+1)/2)-1),$U$6-(AA37-INT((AB37-$U$6+1)/2)-INT((AB37-$U$6)/2)-1)))))</f>
        <v/>
      </c>
      <c r="AD37">
        <f>IF(Z37="","",IF($U$2,"",IF(Z37="B","女子","男子"))&amp;AA37&amp;"レース")</f>
        <v/>
      </c>
      <c r="AE37">
        <f>IF(Z37="","",IF($U$2,1,AA37))</f>
        <v/>
      </c>
      <c r="AF37">
        <f>IF(AJ37="",99,IF(最終修正!$C$38="",0,IF(AND(ISNUMBER(最終修正!$C$38),INT(最終修正!$C$38)=最終修正!$C$38,最終修正!$C$38-$U$5&gt;=0,最終修正!$C$38-$U$5&lt;=3),最終修正!$C$38-$U$5,-1)))</f>
        <v/>
      </c>
      <c r="AG37">
        <f>IF(AK37="",99,IF(最終修正!$E$38="",1,IF(AND(ISNUMBER(最終修正!$E$38),INT(最終修正!$E$38)=最終修正!$E$38,最終修正!$E$38-$U$5&gt;=0,最終修正!$E$38-$U$5&lt;=3),最終修正!$E$38-$U$5,-1)))</f>
        <v/>
      </c>
      <c r="AH37">
        <f>IF(AL37="",99,IF(最終修正!$G$38="",2,IF(AND(ISNUMBER(最終修正!$G$38),INT(最終修正!$G$38)=最終修正!$G$38,最終修正!$G$38-$U$5&gt;=0,最終修正!$G$38-$U$5&lt;=3),最終修正!$G$38-$U$5,-1)))</f>
        <v/>
      </c>
      <c r="AI37">
        <f>IF(AM37="",99,IF(最終修正!$I$38="",3,IF(AND(ISNUMBER(最終修正!$I$38),INT(最終修正!$I$38)=最終修正!$I$38,最終修正!$I$38-$U$5&gt;=0,最終修正!$I$38-$U$5&lt;=3),最終修正!$I$38-$U$5,-1)))</f>
        <v/>
      </c>
      <c r="AJ37">
        <f>IF(計算用!$Z$37="","",IF(計算用!$U$24,IF(計算用!$Z$37="A",INDEX(手直し!$B$6:$E$42,計算用!$AC$37,MOD(0-計算用!$AE$37+1,4)+1),INDEX(手直し!$G$6:$J$42,計算用!$AC$37,MOD(0-計算用!$AE$37+1,4)+1)),IF(計算用!$Z$37="A",INDEX(組分け!$B$5:$I$41,計算用!$AC$37,(MOD(0-計算用!$AE$37+1,4)+1)*2-1),INDEX(組分け!$L$5:$S$41,計算用!$AC$37,(MOD(0-計算用!$AE$37+1,4)+1)*2-1)))&amp;"")</f>
        <v/>
      </c>
      <c r="AK37">
        <f>IF(計算用!$Z$37="","",IF(計算用!$U$24,IF(計算用!$Z$37="A",INDEX(手直し!$B$6:$E$42,計算用!$AC$37,MOD(1-計算用!$AE$37+1,4)+1),INDEX(手直し!$G$6:$J$42,計算用!$AC$37,MOD(1-計算用!$AE$37+1,4)+1)),IF(計算用!$Z$37="A",INDEX(組分け!$B$5:$I$41,計算用!$AC$37,(MOD(1-計算用!$AE$37+1,4)+1)*2-1),INDEX(組分け!$L$5:$S$41,計算用!$AC$37,(MOD(1-計算用!$AE$37+1,4)+1)*2-1)))&amp;"")</f>
        <v/>
      </c>
      <c r="AL37">
        <f>IF(計算用!$Z$37="","",IF(計算用!$U$24,IF(計算用!$Z$37="A",INDEX(手直し!$B$6:$E$42,計算用!$AC$37,MOD(2-計算用!$AE$37+1,4)+1),INDEX(手直し!$G$6:$J$42,計算用!$AC$37,MOD(2-計算用!$AE$37+1,4)+1)),IF(計算用!$Z$37="A",INDEX(組分け!$B$5:$I$41,計算用!$AC$37,(MOD(2-計算用!$AE$37+1,4)+1)*2-1),INDEX(組分け!$L$5:$S$41,計算用!$AC$37,(MOD(2-計算用!$AE$37+1,4)+1)*2-1)))&amp;"")</f>
        <v/>
      </c>
      <c r="AM37">
        <f>IF(計算用!$Z$37="","",IF(計算用!$U$24,IF(計算用!$Z$37="A",INDEX(手直し!$B$6:$E$42,計算用!$AC$37,MOD(3-計算用!$AE$37+1,4)+1),INDEX(手直し!$G$6:$J$42,計算用!$AC$37,MOD(3-計算用!$AE$37+1,4)+1)),IF(計算用!$Z$37="A",INDEX(組分け!$B$5:$I$41,計算用!$AC$37,(MOD(3-計算用!$AE$37+1,4)+1)*2-1),INDEX(組分け!$L$5:$S$41,計算用!$AC$37,(MOD(3-計算用!$AE$37+1,4)+1)*2-1)))&amp;"")</f>
        <v/>
      </c>
      <c r="AN37">
        <f>IF(Z37="",0,(COUNTIF($AF37:$AI37,0)&gt;1)+(COUNTIF($AF37:$AI37,1)&gt;1)+(COUNTIF($AF37:$AI37,2)&gt;1)+(COUNTIF($AF37:$AI37,3)&gt;1)+COUNTIF($AF37:$AI37,-1))</f>
        <v/>
      </c>
      <c r="AP37">
        <f>IF(Z37="","",IFERROR(MOD(MATCH(0,$AF37:$AI37,0)-1-AE37+1,4),""))</f>
        <v/>
      </c>
      <c r="AQ37">
        <f>IF(Z37="","",IFERROR(MOD(MATCH(1,$AF37:$AI37,0)-1-AE37+1,4),""))</f>
        <v/>
      </c>
      <c r="AR37">
        <f>IF(Z37="","",IFERROR(MOD(MATCH(2,$AF37:$AI37,0)-1-AE37+1,4),""))</f>
        <v/>
      </c>
      <c r="AS37">
        <f>IF(Z37="","",IFERROR(MOD(MATCH(3,$AF37:$AI37,0)-1-AE37+1,4),""))</f>
        <v/>
      </c>
    </row>
    <row r="38">
      <c r="A38" t="n">
        <v>37</v>
      </c>
      <c r="B38">
        <f>INT((A38-1)/37)+1</f>
        <v/>
      </c>
      <c r="C38">
        <f>MOD(A38-1,37)+1</f>
        <v/>
      </c>
      <c r="D38">
        <f>TRIM(INDEX(データ入力!$B$5:$Q$41,C38,(B38-1)*4+1)&amp;"")</f>
        <v/>
      </c>
      <c r="E38">
        <f>INDEX(データ入力!$B$5:$Q$41,C38,(B38-1)*4+2)&amp;""</f>
        <v/>
      </c>
      <c r="F38">
        <f>IF(OR(E38="1",E38="１",E38="男"),"男",IF(OR(E38="2",E38="２",E38="女"),"女",""))</f>
        <v/>
      </c>
      <c r="G38">
        <f>INDEX(データ入力!$B$5:$Q$41,C38,(B38-1)*4+3)</f>
        <v/>
      </c>
      <c r="H38">
        <f>IF(D38="","",IF($U$2,"混",F38))</f>
        <v/>
      </c>
      <c r="I38">
        <f>IF(AND(H38&lt;&gt;"",ISNUMBER(G38)),H38,"")</f>
        <v/>
      </c>
      <c r="J38">
        <f>IF(I38="","",COUNTIFS($I$2:$I$149,I38,$B$2:$B$149,B38,$G$2:$G$149,"&lt;"&amp;G38)+COUNTIFS($I$2:$I$149,I38,$B$2:$B$149,B38,$G$2:$G$149,G38,$A$2:$A$149,"&lt;"&amp;A38)+1)</f>
        <v/>
      </c>
      <c r="K38">
        <f>IF(I38="","",I38&amp;B38&amp;"-"&amp;J38)</f>
        <v/>
      </c>
      <c r="L38">
        <f>IF(I38="","",I38&amp;B38&amp;"|"&amp;D38)</f>
        <v/>
      </c>
      <c r="M38">
        <f>IF(I38="","",IF(I38="女",COUNTIF(手直し!$G$6:$J$42,D38),COUNTIF(手直し!$B$6:$E$42,D38)))</f>
        <v/>
      </c>
      <c r="N38">
        <f>IF(I38="","",IF(I38="女",COUNTIF(INDEX(手直し!$G$6:$J$42,0,B38),D38),COUNTIF(INDEX(手直し!$B$6:$E$42,0,B38),D38)))</f>
        <v/>
      </c>
      <c r="O38">
        <f>IF(AND(I38&lt;&gt;"",M38=0),1,0)</f>
        <v/>
      </c>
      <c r="P38">
        <f>IF(AND(O38=1,I38&lt;&gt;"女"),COUNTIFS($O$2:O38,1,$I$2:I38,"&lt;&gt;女"),"")</f>
        <v/>
      </c>
      <c r="Q38">
        <f>IF(AND(O38=1,I38="女"),COUNTIFS($O$2:O38,1,$I$2:I38,"女"),"")</f>
        <v/>
      </c>
      <c r="R38">
        <f>IF(AND(I38&lt;&gt;"",M38&gt;=1,N38=0),1,0)</f>
        <v/>
      </c>
      <c r="S38">
        <f>IF(AND(D38&lt;&gt;"",I38=""),1,0)</f>
        <v/>
      </c>
      <c r="V38">
        <f>IF(J38="",0,J38)</f>
        <v/>
      </c>
      <c r="W38">
        <f>IF(I38="","",I38&amp;D38)</f>
        <v/>
      </c>
      <c r="Y38" t="n">
        <v>37</v>
      </c>
      <c r="Z38">
        <f>IF(Y38&gt;$U$22,"",IF(Y38&lt;=$U$23,IF($U$4,"B","A"),IF($U$4,"A","B")))</f>
        <v/>
      </c>
      <c r="AA38">
        <f>IF(Z38="","",IF(Y38&lt;=$U$23,Y38,Y38-$U$23))</f>
        <v/>
      </c>
      <c r="AB38">
        <f>IF(Z38="","",IF(Z38="A",$U$7,$U$8))</f>
        <v/>
      </c>
      <c r="AC38">
        <f>IF(Z38="","",IF(AB38&lt;=$U$6,AB38-AA38+1,IF(AA38&lt;=INT((AB38-$U$6+1)/2),$U$6-1+2*AA38,IF(AA38&lt;=INT((AB38-$U$6+1)/2)+INT((AB38-$U$6)/2),(AB38-1+MOD(AB38,2))-2*(AA38-INT((AB38-$U$6+1)/2)-1),$U$6-(AA38-INT((AB38-$U$6+1)/2)-INT((AB38-$U$6)/2)-1)))))</f>
        <v/>
      </c>
      <c r="AD38">
        <f>IF(Z38="","",IF($U$2,"",IF(Z38="B","女子","男子"))&amp;AA38&amp;"レース")</f>
        <v/>
      </c>
      <c r="AE38">
        <f>IF(Z38="","",IF($U$2,1,AA38))</f>
        <v/>
      </c>
      <c r="AF38">
        <f>IF(AJ38="",99,IF(最終修正!$C$39="",0,IF(AND(ISNUMBER(最終修正!$C$39),INT(最終修正!$C$39)=最終修正!$C$39,最終修正!$C$39-$U$5&gt;=0,最終修正!$C$39-$U$5&lt;=3),最終修正!$C$39-$U$5,-1)))</f>
        <v/>
      </c>
      <c r="AG38">
        <f>IF(AK38="",99,IF(最終修正!$E$39="",1,IF(AND(ISNUMBER(最終修正!$E$39),INT(最終修正!$E$39)=最終修正!$E$39,最終修正!$E$39-$U$5&gt;=0,最終修正!$E$39-$U$5&lt;=3),最終修正!$E$39-$U$5,-1)))</f>
        <v/>
      </c>
      <c r="AH38">
        <f>IF(AL38="",99,IF(最終修正!$G$39="",2,IF(AND(ISNUMBER(最終修正!$G$39),INT(最終修正!$G$39)=最終修正!$G$39,最終修正!$G$39-$U$5&gt;=0,最終修正!$G$39-$U$5&lt;=3),最終修正!$G$39-$U$5,-1)))</f>
        <v/>
      </c>
      <c r="AI38">
        <f>IF(AM38="",99,IF(最終修正!$I$39="",3,IF(AND(ISNUMBER(最終修正!$I$39),INT(最終修正!$I$39)=最終修正!$I$39,最終修正!$I$39-$U$5&gt;=0,最終修正!$I$39-$U$5&lt;=3),最終修正!$I$39-$U$5,-1)))</f>
        <v/>
      </c>
      <c r="AJ38">
        <f>IF(計算用!$Z$38="","",IF(計算用!$U$24,IF(計算用!$Z$38="A",INDEX(手直し!$B$6:$E$42,計算用!$AC$38,MOD(0-計算用!$AE$38+1,4)+1),INDEX(手直し!$G$6:$J$42,計算用!$AC$38,MOD(0-計算用!$AE$38+1,4)+1)),IF(計算用!$Z$38="A",INDEX(組分け!$B$5:$I$41,計算用!$AC$38,(MOD(0-計算用!$AE$38+1,4)+1)*2-1),INDEX(組分け!$L$5:$S$41,計算用!$AC$38,(MOD(0-計算用!$AE$38+1,4)+1)*2-1)))&amp;"")</f>
        <v/>
      </c>
      <c r="AK38">
        <f>IF(計算用!$Z$38="","",IF(計算用!$U$24,IF(計算用!$Z$38="A",INDEX(手直し!$B$6:$E$42,計算用!$AC$38,MOD(1-計算用!$AE$38+1,4)+1),INDEX(手直し!$G$6:$J$42,計算用!$AC$38,MOD(1-計算用!$AE$38+1,4)+1)),IF(計算用!$Z$38="A",INDEX(組分け!$B$5:$I$41,計算用!$AC$38,(MOD(1-計算用!$AE$38+1,4)+1)*2-1),INDEX(組分け!$L$5:$S$41,計算用!$AC$38,(MOD(1-計算用!$AE$38+1,4)+1)*2-1)))&amp;"")</f>
        <v/>
      </c>
      <c r="AL38">
        <f>IF(計算用!$Z$38="","",IF(計算用!$U$24,IF(計算用!$Z$38="A",INDEX(手直し!$B$6:$E$42,計算用!$AC$38,MOD(2-計算用!$AE$38+1,4)+1),INDEX(手直し!$G$6:$J$42,計算用!$AC$38,MOD(2-計算用!$AE$38+1,4)+1)),IF(計算用!$Z$38="A",INDEX(組分け!$B$5:$I$41,計算用!$AC$38,(MOD(2-計算用!$AE$38+1,4)+1)*2-1),INDEX(組分け!$L$5:$S$41,計算用!$AC$38,(MOD(2-計算用!$AE$38+1,4)+1)*2-1)))&amp;"")</f>
        <v/>
      </c>
      <c r="AM38">
        <f>IF(計算用!$Z$38="","",IF(計算用!$U$24,IF(計算用!$Z$38="A",INDEX(手直し!$B$6:$E$42,計算用!$AC$38,MOD(3-計算用!$AE$38+1,4)+1),INDEX(手直し!$G$6:$J$42,計算用!$AC$38,MOD(3-計算用!$AE$38+1,4)+1)),IF(計算用!$Z$38="A",INDEX(組分け!$B$5:$I$41,計算用!$AC$38,(MOD(3-計算用!$AE$38+1,4)+1)*2-1),INDEX(組分け!$L$5:$S$41,計算用!$AC$38,(MOD(3-計算用!$AE$38+1,4)+1)*2-1)))&amp;"")</f>
        <v/>
      </c>
      <c r="AN38">
        <f>IF(Z38="",0,(COUNTIF($AF38:$AI38,0)&gt;1)+(COUNTIF($AF38:$AI38,1)&gt;1)+(COUNTIF($AF38:$AI38,2)&gt;1)+(COUNTIF($AF38:$AI38,3)&gt;1)+COUNTIF($AF38:$AI38,-1))</f>
        <v/>
      </c>
      <c r="AP38">
        <f>IF(Z38="","",IFERROR(MOD(MATCH(0,$AF38:$AI38,0)-1-AE38+1,4),""))</f>
        <v/>
      </c>
      <c r="AQ38">
        <f>IF(Z38="","",IFERROR(MOD(MATCH(1,$AF38:$AI38,0)-1-AE38+1,4),""))</f>
        <v/>
      </c>
      <c r="AR38">
        <f>IF(Z38="","",IFERROR(MOD(MATCH(2,$AF38:$AI38,0)-1-AE38+1,4),""))</f>
        <v/>
      </c>
      <c r="AS38">
        <f>IF(Z38="","",IFERROR(MOD(MATCH(3,$AF38:$AI38,0)-1-AE38+1,4),""))</f>
        <v/>
      </c>
    </row>
    <row r="39">
      <c r="A39" t="n">
        <v>38</v>
      </c>
      <c r="B39">
        <f>INT((A39-1)/37)+1</f>
        <v/>
      </c>
      <c r="C39">
        <f>MOD(A39-1,37)+1</f>
        <v/>
      </c>
      <c r="D39">
        <f>TRIM(INDEX(データ入力!$B$5:$Q$41,C39,(B39-1)*4+1)&amp;"")</f>
        <v/>
      </c>
      <c r="E39">
        <f>INDEX(データ入力!$B$5:$Q$41,C39,(B39-1)*4+2)&amp;""</f>
        <v/>
      </c>
      <c r="F39">
        <f>IF(OR(E39="1",E39="１",E39="男"),"男",IF(OR(E39="2",E39="２",E39="女"),"女",""))</f>
        <v/>
      </c>
      <c r="G39">
        <f>INDEX(データ入力!$B$5:$Q$41,C39,(B39-1)*4+3)</f>
        <v/>
      </c>
      <c r="H39">
        <f>IF(D39="","",IF($U$2,"混",F39))</f>
        <v/>
      </c>
      <c r="I39">
        <f>IF(AND(H39&lt;&gt;"",ISNUMBER(G39)),H39,"")</f>
        <v/>
      </c>
      <c r="J39">
        <f>IF(I39="","",COUNTIFS($I$2:$I$149,I39,$B$2:$B$149,B39,$G$2:$G$149,"&lt;"&amp;G39)+COUNTIFS($I$2:$I$149,I39,$B$2:$B$149,B39,$G$2:$G$149,G39,$A$2:$A$149,"&lt;"&amp;A39)+1)</f>
        <v/>
      </c>
      <c r="K39">
        <f>IF(I39="","",I39&amp;B39&amp;"-"&amp;J39)</f>
        <v/>
      </c>
      <c r="L39">
        <f>IF(I39="","",I39&amp;B39&amp;"|"&amp;D39)</f>
        <v/>
      </c>
      <c r="M39">
        <f>IF(I39="","",IF(I39="女",COUNTIF(手直し!$G$6:$J$42,D39),COUNTIF(手直し!$B$6:$E$42,D39)))</f>
        <v/>
      </c>
      <c r="N39">
        <f>IF(I39="","",IF(I39="女",COUNTIF(INDEX(手直し!$G$6:$J$42,0,B39),D39),COUNTIF(INDEX(手直し!$B$6:$E$42,0,B39),D39)))</f>
        <v/>
      </c>
      <c r="O39">
        <f>IF(AND(I39&lt;&gt;"",M39=0),1,0)</f>
        <v/>
      </c>
      <c r="P39">
        <f>IF(AND(O39=1,I39&lt;&gt;"女"),COUNTIFS($O$2:O39,1,$I$2:I39,"&lt;&gt;女"),"")</f>
        <v/>
      </c>
      <c r="Q39">
        <f>IF(AND(O39=1,I39="女"),COUNTIFS($O$2:O39,1,$I$2:I39,"女"),"")</f>
        <v/>
      </c>
      <c r="R39">
        <f>IF(AND(I39&lt;&gt;"",M39&gt;=1,N39=0),1,0)</f>
        <v/>
      </c>
      <c r="S39">
        <f>IF(AND(D39&lt;&gt;"",I39=""),1,0)</f>
        <v/>
      </c>
      <c r="V39">
        <f>IF(J39="",0,J39)</f>
        <v/>
      </c>
      <c r="W39">
        <f>IF(I39="","",I39&amp;D39)</f>
        <v/>
      </c>
      <c r="Y39" t="n">
        <v>38</v>
      </c>
      <c r="Z39">
        <f>IF(Y39&gt;$U$22,"",IF(Y39&lt;=$U$23,IF($U$4,"B","A"),IF($U$4,"A","B")))</f>
        <v/>
      </c>
      <c r="AA39">
        <f>IF(Z39="","",IF(Y39&lt;=$U$23,Y39,Y39-$U$23))</f>
        <v/>
      </c>
      <c r="AB39">
        <f>IF(Z39="","",IF(Z39="A",$U$7,$U$8))</f>
        <v/>
      </c>
      <c r="AC39">
        <f>IF(Z39="","",IF(AB39&lt;=$U$6,AB39-AA39+1,IF(AA39&lt;=INT((AB39-$U$6+1)/2),$U$6-1+2*AA39,IF(AA39&lt;=INT((AB39-$U$6+1)/2)+INT((AB39-$U$6)/2),(AB39-1+MOD(AB39,2))-2*(AA39-INT((AB39-$U$6+1)/2)-1),$U$6-(AA39-INT((AB39-$U$6+1)/2)-INT((AB39-$U$6)/2)-1)))))</f>
        <v/>
      </c>
      <c r="AD39">
        <f>IF(Z39="","",IF($U$2,"",IF(Z39="B","女子","男子"))&amp;AA39&amp;"レース")</f>
        <v/>
      </c>
      <c r="AE39">
        <f>IF(Z39="","",IF($U$2,1,AA39))</f>
        <v/>
      </c>
      <c r="AF39">
        <f>IF(AJ39="",99,IF(最終修正!$C$40="",0,IF(AND(ISNUMBER(最終修正!$C$40),INT(最終修正!$C$40)=最終修正!$C$40,最終修正!$C$40-$U$5&gt;=0,最終修正!$C$40-$U$5&lt;=3),最終修正!$C$40-$U$5,-1)))</f>
        <v/>
      </c>
      <c r="AG39">
        <f>IF(AK39="",99,IF(最終修正!$E$40="",1,IF(AND(ISNUMBER(最終修正!$E$40),INT(最終修正!$E$40)=最終修正!$E$40,最終修正!$E$40-$U$5&gt;=0,最終修正!$E$40-$U$5&lt;=3),最終修正!$E$40-$U$5,-1)))</f>
        <v/>
      </c>
      <c r="AH39">
        <f>IF(AL39="",99,IF(最終修正!$G$40="",2,IF(AND(ISNUMBER(最終修正!$G$40),INT(最終修正!$G$40)=最終修正!$G$40,最終修正!$G$40-$U$5&gt;=0,最終修正!$G$40-$U$5&lt;=3),最終修正!$G$40-$U$5,-1)))</f>
        <v/>
      </c>
      <c r="AI39">
        <f>IF(AM39="",99,IF(最終修正!$I$40="",3,IF(AND(ISNUMBER(最終修正!$I$40),INT(最終修正!$I$40)=最終修正!$I$40,最終修正!$I$40-$U$5&gt;=0,最終修正!$I$40-$U$5&lt;=3),最終修正!$I$40-$U$5,-1)))</f>
        <v/>
      </c>
      <c r="AJ39">
        <f>IF(計算用!$Z$39="","",IF(計算用!$U$24,IF(計算用!$Z$39="A",INDEX(手直し!$B$6:$E$42,計算用!$AC$39,MOD(0-計算用!$AE$39+1,4)+1),INDEX(手直し!$G$6:$J$42,計算用!$AC$39,MOD(0-計算用!$AE$39+1,4)+1)),IF(計算用!$Z$39="A",INDEX(組分け!$B$5:$I$41,計算用!$AC$39,(MOD(0-計算用!$AE$39+1,4)+1)*2-1),INDEX(組分け!$L$5:$S$41,計算用!$AC$39,(MOD(0-計算用!$AE$39+1,4)+1)*2-1)))&amp;"")</f>
        <v/>
      </c>
      <c r="AK39">
        <f>IF(計算用!$Z$39="","",IF(計算用!$U$24,IF(計算用!$Z$39="A",INDEX(手直し!$B$6:$E$42,計算用!$AC$39,MOD(1-計算用!$AE$39+1,4)+1),INDEX(手直し!$G$6:$J$42,計算用!$AC$39,MOD(1-計算用!$AE$39+1,4)+1)),IF(計算用!$Z$39="A",INDEX(組分け!$B$5:$I$41,計算用!$AC$39,(MOD(1-計算用!$AE$39+1,4)+1)*2-1),INDEX(組分け!$L$5:$S$41,計算用!$AC$39,(MOD(1-計算用!$AE$39+1,4)+1)*2-1)))&amp;"")</f>
        <v/>
      </c>
      <c r="AL39">
        <f>IF(計算用!$Z$39="","",IF(計算用!$U$24,IF(計算用!$Z$39="A",INDEX(手直し!$B$6:$E$42,計算用!$AC$39,MOD(2-計算用!$AE$39+1,4)+1),INDEX(手直し!$G$6:$J$42,計算用!$AC$39,MOD(2-計算用!$AE$39+1,4)+1)),IF(計算用!$Z$39="A",INDEX(組分け!$B$5:$I$41,計算用!$AC$39,(MOD(2-計算用!$AE$39+1,4)+1)*2-1),INDEX(組分け!$L$5:$S$41,計算用!$AC$39,(MOD(2-計算用!$AE$39+1,4)+1)*2-1)))&amp;"")</f>
        <v/>
      </c>
      <c r="AM39">
        <f>IF(計算用!$Z$39="","",IF(計算用!$U$24,IF(計算用!$Z$39="A",INDEX(手直し!$B$6:$E$42,計算用!$AC$39,MOD(3-計算用!$AE$39+1,4)+1),INDEX(手直し!$G$6:$J$42,計算用!$AC$39,MOD(3-計算用!$AE$39+1,4)+1)),IF(計算用!$Z$39="A",INDEX(組分け!$B$5:$I$41,計算用!$AC$39,(MOD(3-計算用!$AE$39+1,4)+1)*2-1),INDEX(組分け!$L$5:$S$41,計算用!$AC$39,(MOD(3-計算用!$AE$39+1,4)+1)*2-1)))&amp;"")</f>
        <v/>
      </c>
      <c r="AN39">
        <f>IF(Z39="",0,(COUNTIF($AF39:$AI39,0)&gt;1)+(COUNTIF($AF39:$AI39,1)&gt;1)+(COUNTIF($AF39:$AI39,2)&gt;1)+(COUNTIF($AF39:$AI39,3)&gt;1)+COUNTIF($AF39:$AI39,-1))</f>
        <v/>
      </c>
      <c r="AP39">
        <f>IF(Z39="","",IFERROR(MOD(MATCH(0,$AF39:$AI39,0)-1-AE39+1,4),""))</f>
        <v/>
      </c>
      <c r="AQ39">
        <f>IF(Z39="","",IFERROR(MOD(MATCH(1,$AF39:$AI39,0)-1-AE39+1,4),""))</f>
        <v/>
      </c>
      <c r="AR39">
        <f>IF(Z39="","",IFERROR(MOD(MATCH(2,$AF39:$AI39,0)-1-AE39+1,4),""))</f>
        <v/>
      </c>
      <c r="AS39">
        <f>IF(Z39="","",IFERROR(MOD(MATCH(3,$AF39:$AI39,0)-1-AE39+1,4),""))</f>
        <v/>
      </c>
    </row>
    <row r="40">
      <c r="A40" t="n">
        <v>39</v>
      </c>
      <c r="B40">
        <f>INT((A40-1)/37)+1</f>
        <v/>
      </c>
      <c r="C40">
        <f>MOD(A40-1,37)+1</f>
        <v/>
      </c>
      <c r="D40">
        <f>TRIM(INDEX(データ入力!$B$5:$Q$41,C40,(B40-1)*4+1)&amp;"")</f>
        <v/>
      </c>
      <c r="E40">
        <f>INDEX(データ入力!$B$5:$Q$41,C40,(B40-1)*4+2)&amp;""</f>
        <v/>
      </c>
      <c r="F40">
        <f>IF(OR(E40="1",E40="１",E40="男"),"男",IF(OR(E40="2",E40="２",E40="女"),"女",""))</f>
        <v/>
      </c>
      <c r="G40">
        <f>INDEX(データ入力!$B$5:$Q$41,C40,(B40-1)*4+3)</f>
        <v/>
      </c>
      <c r="H40">
        <f>IF(D40="","",IF($U$2,"混",F40))</f>
        <v/>
      </c>
      <c r="I40">
        <f>IF(AND(H40&lt;&gt;"",ISNUMBER(G40)),H40,"")</f>
        <v/>
      </c>
      <c r="J40">
        <f>IF(I40="","",COUNTIFS($I$2:$I$149,I40,$B$2:$B$149,B40,$G$2:$G$149,"&lt;"&amp;G40)+COUNTIFS($I$2:$I$149,I40,$B$2:$B$149,B40,$G$2:$G$149,G40,$A$2:$A$149,"&lt;"&amp;A40)+1)</f>
        <v/>
      </c>
      <c r="K40">
        <f>IF(I40="","",I40&amp;B40&amp;"-"&amp;J40)</f>
        <v/>
      </c>
      <c r="L40">
        <f>IF(I40="","",I40&amp;B40&amp;"|"&amp;D40)</f>
        <v/>
      </c>
      <c r="M40">
        <f>IF(I40="","",IF(I40="女",COUNTIF(手直し!$G$6:$J$42,D40),COUNTIF(手直し!$B$6:$E$42,D40)))</f>
        <v/>
      </c>
      <c r="N40">
        <f>IF(I40="","",IF(I40="女",COUNTIF(INDEX(手直し!$G$6:$J$42,0,B40),D40),COUNTIF(INDEX(手直し!$B$6:$E$42,0,B40),D40)))</f>
        <v/>
      </c>
      <c r="O40">
        <f>IF(AND(I40&lt;&gt;"",M40=0),1,0)</f>
        <v/>
      </c>
      <c r="P40">
        <f>IF(AND(O40=1,I40&lt;&gt;"女"),COUNTIFS($O$2:O40,1,$I$2:I40,"&lt;&gt;女"),"")</f>
        <v/>
      </c>
      <c r="Q40">
        <f>IF(AND(O40=1,I40="女"),COUNTIFS($O$2:O40,1,$I$2:I40,"女"),"")</f>
        <v/>
      </c>
      <c r="R40">
        <f>IF(AND(I40&lt;&gt;"",M40&gt;=1,N40=0),1,0)</f>
        <v/>
      </c>
      <c r="S40">
        <f>IF(AND(D40&lt;&gt;"",I40=""),1,0)</f>
        <v/>
      </c>
      <c r="V40">
        <f>IF(J40="",0,J40)</f>
        <v/>
      </c>
      <c r="W40">
        <f>IF(I40="","",I40&amp;D40)</f>
        <v/>
      </c>
      <c r="Y40" t="n">
        <v>39</v>
      </c>
      <c r="Z40">
        <f>IF(Y40&gt;$U$22,"",IF(Y40&lt;=$U$23,IF($U$4,"B","A"),IF($U$4,"A","B")))</f>
        <v/>
      </c>
      <c r="AA40">
        <f>IF(Z40="","",IF(Y40&lt;=$U$23,Y40,Y40-$U$23))</f>
        <v/>
      </c>
      <c r="AB40">
        <f>IF(Z40="","",IF(Z40="A",$U$7,$U$8))</f>
        <v/>
      </c>
      <c r="AC40">
        <f>IF(Z40="","",IF(AB40&lt;=$U$6,AB40-AA40+1,IF(AA40&lt;=INT((AB40-$U$6+1)/2),$U$6-1+2*AA40,IF(AA40&lt;=INT((AB40-$U$6+1)/2)+INT((AB40-$U$6)/2),(AB40-1+MOD(AB40,2))-2*(AA40-INT((AB40-$U$6+1)/2)-1),$U$6-(AA40-INT((AB40-$U$6+1)/2)-INT((AB40-$U$6)/2)-1)))))</f>
        <v/>
      </c>
      <c r="AD40">
        <f>IF(Z40="","",IF($U$2,"",IF(Z40="B","女子","男子"))&amp;AA40&amp;"レース")</f>
        <v/>
      </c>
      <c r="AE40">
        <f>IF(Z40="","",IF($U$2,1,AA40))</f>
        <v/>
      </c>
      <c r="AF40">
        <f>IF(AJ40="",99,IF(最終修正!$C$41="",0,IF(AND(ISNUMBER(最終修正!$C$41),INT(最終修正!$C$41)=最終修正!$C$41,最終修正!$C$41-$U$5&gt;=0,最終修正!$C$41-$U$5&lt;=3),最終修正!$C$41-$U$5,-1)))</f>
        <v/>
      </c>
      <c r="AG40">
        <f>IF(AK40="",99,IF(最終修正!$E$41="",1,IF(AND(ISNUMBER(最終修正!$E$41),INT(最終修正!$E$41)=最終修正!$E$41,最終修正!$E$41-$U$5&gt;=0,最終修正!$E$41-$U$5&lt;=3),最終修正!$E$41-$U$5,-1)))</f>
        <v/>
      </c>
      <c r="AH40">
        <f>IF(AL40="",99,IF(最終修正!$G$41="",2,IF(AND(ISNUMBER(最終修正!$G$41),INT(最終修正!$G$41)=最終修正!$G$41,最終修正!$G$41-$U$5&gt;=0,最終修正!$G$41-$U$5&lt;=3),最終修正!$G$41-$U$5,-1)))</f>
        <v/>
      </c>
      <c r="AI40">
        <f>IF(AM40="",99,IF(最終修正!$I$41="",3,IF(AND(ISNUMBER(最終修正!$I$41),INT(最終修正!$I$41)=最終修正!$I$41,最終修正!$I$41-$U$5&gt;=0,最終修正!$I$41-$U$5&lt;=3),最終修正!$I$41-$U$5,-1)))</f>
        <v/>
      </c>
      <c r="AJ40">
        <f>IF(計算用!$Z$40="","",IF(計算用!$U$24,IF(計算用!$Z$40="A",INDEX(手直し!$B$6:$E$42,計算用!$AC$40,MOD(0-計算用!$AE$40+1,4)+1),INDEX(手直し!$G$6:$J$42,計算用!$AC$40,MOD(0-計算用!$AE$40+1,4)+1)),IF(計算用!$Z$40="A",INDEX(組分け!$B$5:$I$41,計算用!$AC$40,(MOD(0-計算用!$AE$40+1,4)+1)*2-1),INDEX(組分け!$L$5:$S$41,計算用!$AC$40,(MOD(0-計算用!$AE$40+1,4)+1)*2-1)))&amp;"")</f>
        <v/>
      </c>
      <c r="AK40">
        <f>IF(計算用!$Z$40="","",IF(計算用!$U$24,IF(計算用!$Z$40="A",INDEX(手直し!$B$6:$E$42,計算用!$AC$40,MOD(1-計算用!$AE$40+1,4)+1),INDEX(手直し!$G$6:$J$42,計算用!$AC$40,MOD(1-計算用!$AE$40+1,4)+1)),IF(計算用!$Z$40="A",INDEX(組分け!$B$5:$I$41,計算用!$AC$40,(MOD(1-計算用!$AE$40+1,4)+1)*2-1),INDEX(組分け!$L$5:$S$41,計算用!$AC$40,(MOD(1-計算用!$AE$40+1,4)+1)*2-1)))&amp;"")</f>
        <v/>
      </c>
      <c r="AL40">
        <f>IF(計算用!$Z$40="","",IF(計算用!$U$24,IF(計算用!$Z$40="A",INDEX(手直し!$B$6:$E$42,計算用!$AC$40,MOD(2-計算用!$AE$40+1,4)+1),INDEX(手直し!$G$6:$J$42,計算用!$AC$40,MOD(2-計算用!$AE$40+1,4)+1)),IF(計算用!$Z$40="A",INDEX(組分け!$B$5:$I$41,計算用!$AC$40,(MOD(2-計算用!$AE$40+1,4)+1)*2-1),INDEX(組分け!$L$5:$S$41,計算用!$AC$40,(MOD(2-計算用!$AE$40+1,4)+1)*2-1)))&amp;"")</f>
        <v/>
      </c>
      <c r="AM40">
        <f>IF(計算用!$Z$40="","",IF(計算用!$U$24,IF(計算用!$Z$40="A",INDEX(手直し!$B$6:$E$42,計算用!$AC$40,MOD(3-計算用!$AE$40+1,4)+1),INDEX(手直し!$G$6:$J$42,計算用!$AC$40,MOD(3-計算用!$AE$40+1,4)+1)),IF(計算用!$Z$40="A",INDEX(組分け!$B$5:$I$41,計算用!$AC$40,(MOD(3-計算用!$AE$40+1,4)+1)*2-1),INDEX(組分け!$L$5:$S$41,計算用!$AC$40,(MOD(3-計算用!$AE$40+1,4)+1)*2-1)))&amp;"")</f>
        <v/>
      </c>
      <c r="AN40">
        <f>IF(Z40="",0,(COUNTIF($AF40:$AI40,0)&gt;1)+(COUNTIF($AF40:$AI40,1)&gt;1)+(COUNTIF($AF40:$AI40,2)&gt;1)+(COUNTIF($AF40:$AI40,3)&gt;1)+COUNTIF($AF40:$AI40,-1))</f>
        <v/>
      </c>
      <c r="AP40">
        <f>IF(Z40="","",IFERROR(MOD(MATCH(0,$AF40:$AI40,0)-1-AE40+1,4),""))</f>
        <v/>
      </c>
      <c r="AQ40">
        <f>IF(Z40="","",IFERROR(MOD(MATCH(1,$AF40:$AI40,0)-1-AE40+1,4),""))</f>
        <v/>
      </c>
      <c r="AR40">
        <f>IF(Z40="","",IFERROR(MOD(MATCH(2,$AF40:$AI40,0)-1-AE40+1,4),""))</f>
        <v/>
      </c>
      <c r="AS40">
        <f>IF(Z40="","",IFERROR(MOD(MATCH(3,$AF40:$AI40,0)-1-AE40+1,4),""))</f>
        <v/>
      </c>
    </row>
    <row r="41">
      <c r="A41" t="n">
        <v>40</v>
      </c>
      <c r="B41">
        <f>INT((A41-1)/37)+1</f>
        <v/>
      </c>
      <c r="C41">
        <f>MOD(A41-1,37)+1</f>
        <v/>
      </c>
      <c r="D41">
        <f>TRIM(INDEX(データ入力!$B$5:$Q$41,C41,(B41-1)*4+1)&amp;"")</f>
        <v/>
      </c>
      <c r="E41">
        <f>INDEX(データ入力!$B$5:$Q$41,C41,(B41-1)*4+2)&amp;""</f>
        <v/>
      </c>
      <c r="F41">
        <f>IF(OR(E41="1",E41="１",E41="男"),"男",IF(OR(E41="2",E41="２",E41="女"),"女",""))</f>
        <v/>
      </c>
      <c r="G41">
        <f>INDEX(データ入力!$B$5:$Q$41,C41,(B41-1)*4+3)</f>
        <v/>
      </c>
      <c r="H41">
        <f>IF(D41="","",IF($U$2,"混",F41))</f>
        <v/>
      </c>
      <c r="I41">
        <f>IF(AND(H41&lt;&gt;"",ISNUMBER(G41)),H41,"")</f>
        <v/>
      </c>
      <c r="J41">
        <f>IF(I41="","",COUNTIFS($I$2:$I$149,I41,$B$2:$B$149,B41,$G$2:$G$149,"&lt;"&amp;G41)+COUNTIFS($I$2:$I$149,I41,$B$2:$B$149,B41,$G$2:$G$149,G41,$A$2:$A$149,"&lt;"&amp;A41)+1)</f>
        <v/>
      </c>
      <c r="K41">
        <f>IF(I41="","",I41&amp;B41&amp;"-"&amp;J41)</f>
        <v/>
      </c>
      <c r="L41">
        <f>IF(I41="","",I41&amp;B41&amp;"|"&amp;D41)</f>
        <v/>
      </c>
      <c r="M41">
        <f>IF(I41="","",IF(I41="女",COUNTIF(手直し!$G$6:$J$42,D41),COUNTIF(手直し!$B$6:$E$42,D41)))</f>
        <v/>
      </c>
      <c r="N41">
        <f>IF(I41="","",IF(I41="女",COUNTIF(INDEX(手直し!$G$6:$J$42,0,B41),D41),COUNTIF(INDEX(手直し!$B$6:$E$42,0,B41),D41)))</f>
        <v/>
      </c>
      <c r="O41">
        <f>IF(AND(I41&lt;&gt;"",M41=0),1,0)</f>
        <v/>
      </c>
      <c r="P41">
        <f>IF(AND(O41=1,I41&lt;&gt;"女"),COUNTIFS($O$2:O41,1,$I$2:I41,"&lt;&gt;女"),"")</f>
        <v/>
      </c>
      <c r="Q41">
        <f>IF(AND(O41=1,I41="女"),COUNTIFS($O$2:O41,1,$I$2:I41,"女"),"")</f>
        <v/>
      </c>
      <c r="R41">
        <f>IF(AND(I41&lt;&gt;"",M41&gt;=1,N41=0),1,0)</f>
        <v/>
      </c>
      <c r="S41">
        <f>IF(AND(D41&lt;&gt;"",I41=""),1,0)</f>
        <v/>
      </c>
      <c r="V41">
        <f>IF(J41="",0,J41)</f>
        <v/>
      </c>
      <c r="W41">
        <f>IF(I41="","",I41&amp;D41)</f>
        <v/>
      </c>
      <c r="Y41" t="n">
        <v>40</v>
      </c>
      <c r="Z41">
        <f>IF(Y41&gt;$U$22,"",IF(Y41&lt;=$U$23,IF($U$4,"B","A"),IF($U$4,"A","B")))</f>
        <v/>
      </c>
      <c r="AA41">
        <f>IF(Z41="","",IF(Y41&lt;=$U$23,Y41,Y41-$U$23))</f>
        <v/>
      </c>
      <c r="AB41">
        <f>IF(Z41="","",IF(Z41="A",$U$7,$U$8))</f>
        <v/>
      </c>
      <c r="AC41">
        <f>IF(Z41="","",IF(AB41&lt;=$U$6,AB41-AA41+1,IF(AA41&lt;=INT((AB41-$U$6+1)/2),$U$6-1+2*AA41,IF(AA41&lt;=INT((AB41-$U$6+1)/2)+INT((AB41-$U$6)/2),(AB41-1+MOD(AB41,2))-2*(AA41-INT((AB41-$U$6+1)/2)-1),$U$6-(AA41-INT((AB41-$U$6+1)/2)-INT((AB41-$U$6)/2)-1)))))</f>
        <v/>
      </c>
      <c r="AD41">
        <f>IF(Z41="","",IF($U$2,"",IF(Z41="B","女子","男子"))&amp;AA41&amp;"レース")</f>
        <v/>
      </c>
      <c r="AE41">
        <f>IF(Z41="","",IF($U$2,1,AA41))</f>
        <v/>
      </c>
      <c r="AF41">
        <f>IF(AJ41="",99,IF(最終修正!$C$42="",0,IF(AND(ISNUMBER(最終修正!$C$42),INT(最終修正!$C$42)=最終修正!$C$42,最終修正!$C$42-$U$5&gt;=0,最終修正!$C$42-$U$5&lt;=3),最終修正!$C$42-$U$5,-1)))</f>
        <v/>
      </c>
      <c r="AG41">
        <f>IF(AK41="",99,IF(最終修正!$E$42="",1,IF(AND(ISNUMBER(最終修正!$E$42),INT(最終修正!$E$42)=最終修正!$E$42,最終修正!$E$42-$U$5&gt;=0,最終修正!$E$42-$U$5&lt;=3),最終修正!$E$42-$U$5,-1)))</f>
        <v/>
      </c>
      <c r="AH41">
        <f>IF(AL41="",99,IF(最終修正!$G$42="",2,IF(AND(ISNUMBER(最終修正!$G$42),INT(最終修正!$G$42)=最終修正!$G$42,最終修正!$G$42-$U$5&gt;=0,最終修正!$G$42-$U$5&lt;=3),最終修正!$G$42-$U$5,-1)))</f>
        <v/>
      </c>
      <c r="AI41">
        <f>IF(AM41="",99,IF(最終修正!$I$42="",3,IF(AND(ISNUMBER(最終修正!$I$42),INT(最終修正!$I$42)=最終修正!$I$42,最終修正!$I$42-$U$5&gt;=0,最終修正!$I$42-$U$5&lt;=3),最終修正!$I$42-$U$5,-1)))</f>
        <v/>
      </c>
      <c r="AJ41">
        <f>IF(計算用!$Z$41="","",IF(計算用!$U$24,IF(計算用!$Z$41="A",INDEX(手直し!$B$6:$E$42,計算用!$AC$41,MOD(0-計算用!$AE$41+1,4)+1),INDEX(手直し!$G$6:$J$42,計算用!$AC$41,MOD(0-計算用!$AE$41+1,4)+1)),IF(計算用!$Z$41="A",INDEX(組分け!$B$5:$I$41,計算用!$AC$41,(MOD(0-計算用!$AE$41+1,4)+1)*2-1),INDEX(組分け!$L$5:$S$41,計算用!$AC$41,(MOD(0-計算用!$AE$41+1,4)+1)*2-1)))&amp;"")</f>
        <v/>
      </c>
      <c r="AK41">
        <f>IF(計算用!$Z$41="","",IF(計算用!$U$24,IF(計算用!$Z$41="A",INDEX(手直し!$B$6:$E$42,計算用!$AC$41,MOD(1-計算用!$AE$41+1,4)+1),INDEX(手直し!$G$6:$J$42,計算用!$AC$41,MOD(1-計算用!$AE$41+1,4)+1)),IF(計算用!$Z$41="A",INDEX(組分け!$B$5:$I$41,計算用!$AC$41,(MOD(1-計算用!$AE$41+1,4)+1)*2-1),INDEX(組分け!$L$5:$S$41,計算用!$AC$41,(MOD(1-計算用!$AE$41+1,4)+1)*2-1)))&amp;"")</f>
        <v/>
      </c>
      <c r="AL41">
        <f>IF(計算用!$Z$41="","",IF(計算用!$U$24,IF(計算用!$Z$41="A",INDEX(手直し!$B$6:$E$42,計算用!$AC$41,MOD(2-計算用!$AE$41+1,4)+1),INDEX(手直し!$G$6:$J$42,計算用!$AC$41,MOD(2-計算用!$AE$41+1,4)+1)),IF(計算用!$Z$41="A",INDEX(組分け!$B$5:$I$41,計算用!$AC$41,(MOD(2-計算用!$AE$41+1,4)+1)*2-1),INDEX(組分け!$L$5:$S$41,計算用!$AC$41,(MOD(2-計算用!$AE$41+1,4)+1)*2-1)))&amp;"")</f>
        <v/>
      </c>
      <c r="AM41">
        <f>IF(計算用!$Z$41="","",IF(計算用!$U$24,IF(計算用!$Z$41="A",INDEX(手直し!$B$6:$E$42,計算用!$AC$41,MOD(3-計算用!$AE$41+1,4)+1),INDEX(手直し!$G$6:$J$42,計算用!$AC$41,MOD(3-計算用!$AE$41+1,4)+1)),IF(計算用!$Z$41="A",INDEX(組分け!$B$5:$I$41,計算用!$AC$41,(MOD(3-計算用!$AE$41+1,4)+1)*2-1),INDEX(組分け!$L$5:$S$41,計算用!$AC$41,(MOD(3-計算用!$AE$41+1,4)+1)*2-1)))&amp;"")</f>
        <v/>
      </c>
      <c r="AN41">
        <f>IF(Z41="",0,(COUNTIF($AF41:$AI41,0)&gt;1)+(COUNTIF($AF41:$AI41,1)&gt;1)+(COUNTIF($AF41:$AI41,2)&gt;1)+(COUNTIF($AF41:$AI41,3)&gt;1)+COUNTIF($AF41:$AI41,-1))</f>
        <v/>
      </c>
      <c r="AP41">
        <f>IF(Z41="","",IFERROR(MOD(MATCH(0,$AF41:$AI41,0)-1-AE41+1,4),""))</f>
        <v/>
      </c>
      <c r="AQ41">
        <f>IF(Z41="","",IFERROR(MOD(MATCH(1,$AF41:$AI41,0)-1-AE41+1,4),""))</f>
        <v/>
      </c>
      <c r="AR41">
        <f>IF(Z41="","",IFERROR(MOD(MATCH(2,$AF41:$AI41,0)-1-AE41+1,4),""))</f>
        <v/>
      </c>
      <c r="AS41">
        <f>IF(Z41="","",IFERROR(MOD(MATCH(3,$AF41:$AI41,0)-1-AE41+1,4),""))</f>
        <v/>
      </c>
    </row>
    <row r="42">
      <c r="A42" t="n">
        <v>41</v>
      </c>
      <c r="B42">
        <f>INT((A42-1)/37)+1</f>
        <v/>
      </c>
      <c r="C42">
        <f>MOD(A42-1,37)+1</f>
        <v/>
      </c>
      <c r="D42">
        <f>TRIM(INDEX(データ入力!$B$5:$Q$41,C42,(B42-1)*4+1)&amp;"")</f>
        <v/>
      </c>
      <c r="E42">
        <f>INDEX(データ入力!$B$5:$Q$41,C42,(B42-1)*4+2)&amp;""</f>
        <v/>
      </c>
      <c r="F42">
        <f>IF(OR(E42="1",E42="１",E42="男"),"男",IF(OR(E42="2",E42="２",E42="女"),"女",""))</f>
        <v/>
      </c>
      <c r="G42">
        <f>INDEX(データ入力!$B$5:$Q$41,C42,(B42-1)*4+3)</f>
        <v/>
      </c>
      <c r="H42">
        <f>IF(D42="","",IF($U$2,"混",F42))</f>
        <v/>
      </c>
      <c r="I42">
        <f>IF(AND(H42&lt;&gt;"",ISNUMBER(G42)),H42,"")</f>
        <v/>
      </c>
      <c r="J42">
        <f>IF(I42="","",COUNTIFS($I$2:$I$149,I42,$B$2:$B$149,B42,$G$2:$G$149,"&lt;"&amp;G42)+COUNTIFS($I$2:$I$149,I42,$B$2:$B$149,B42,$G$2:$G$149,G42,$A$2:$A$149,"&lt;"&amp;A42)+1)</f>
        <v/>
      </c>
      <c r="K42">
        <f>IF(I42="","",I42&amp;B42&amp;"-"&amp;J42)</f>
        <v/>
      </c>
      <c r="L42">
        <f>IF(I42="","",I42&amp;B42&amp;"|"&amp;D42)</f>
        <v/>
      </c>
      <c r="M42">
        <f>IF(I42="","",IF(I42="女",COUNTIF(手直し!$G$6:$J$42,D42),COUNTIF(手直し!$B$6:$E$42,D42)))</f>
        <v/>
      </c>
      <c r="N42">
        <f>IF(I42="","",IF(I42="女",COUNTIF(INDEX(手直し!$G$6:$J$42,0,B42),D42),COUNTIF(INDEX(手直し!$B$6:$E$42,0,B42),D42)))</f>
        <v/>
      </c>
      <c r="O42">
        <f>IF(AND(I42&lt;&gt;"",M42=0),1,0)</f>
        <v/>
      </c>
      <c r="P42">
        <f>IF(AND(O42=1,I42&lt;&gt;"女"),COUNTIFS($O$2:O42,1,$I$2:I42,"&lt;&gt;女"),"")</f>
        <v/>
      </c>
      <c r="Q42">
        <f>IF(AND(O42=1,I42="女"),COUNTIFS($O$2:O42,1,$I$2:I42,"女"),"")</f>
        <v/>
      </c>
      <c r="R42">
        <f>IF(AND(I42&lt;&gt;"",M42&gt;=1,N42=0),1,0)</f>
        <v/>
      </c>
      <c r="S42">
        <f>IF(AND(D42&lt;&gt;"",I42=""),1,0)</f>
        <v/>
      </c>
      <c r="V42">
        <f>IF(J42="",0,J42)</f>
        <v/>
      </c>
      <c r="W42">
        <f>IF(I42="","",I42&amp;D42)</f>
        <v/>
      </c>
      <c r="Y42" t="n">
        <v>41</v>
      </c>
      <c r="Z42">
        <f>IF(Y42&gt;$U$22,"",IF(Y42&lt;=$U$23,IF($U$4,"B","A"),IF($U$4,"A","B")))</f>
        <v/>
      </c>
      <c r="AA42">
        <f>IF(Z42="","",IF(Y42&lt;=$U$23,Y42,Y42-$U$23))</f>
        <v/>
      </c>
      <c r="AB42">
        <f>IF(Z42="","",IF(Z42="A",$U$7,$U$8))</f>
        <v/>
      </c>
      <c r="AC42">
        <f>IF(Z42="","",IF(AB42&lt;=$U$6,AB42-AA42+1,IF(AA42&lt;=INT((AB42-$U$6+1)/2),$U$6-1+2*AA42,IF(AA42&lt;=INT((AB42-$U$6+1)/2)+INT((AB42-$U$6)/2),(AB42-1+MOD(AB42,2))-2*(AA42-INT((AB42-$U$6+1)/2)-1),$U$6-(AA42-INT((AB42-$U$6+1)/2)-INT((AB42-$U$6)/2)-1)))))</f>
        <v/>
      </c>
      <c r="AD42">
        <f>IF(Z42="","",IF($U$2,"",IF(Z42="B","女子","男子"))&amp;AA42&amp;"レース")</f>
        <v/>
      </c>
      <c r="AE42">
        <f>IF(Z42="","",IF($U$2,1,AA42))</f>
        <v/>
      </c>
      <c r="AF42">
        <f>IF(AJ42="",99,IF(最終修正!$C$43="",0,IF(AND(ISNUMBER(最終修正!$C$43),INT(最終修正!$C$43)=最終修正!$C$43,最終修正!$C$43-$U$5&gt;=0,最終修正!$C$43-$U$5&lt;=3),最終修正!$C$43-$U$5,-1)))</f>
        <v/>
      </c>
      <c r="AG42">
        <f>IF(AK42="",99,IF(最終修正!$E$43="",1,IF(AND(ISNUMBER(最終修正!$E$43),INT(最終修正!$E$43)=最終修正!$E$43,最終修正!$E$43-$U$5&gt;=0,最終修正!$E$43-$U$5&lt;=3),最終修正!$E$43-$U$5,-1)))</f>
        <v/>
      </c>
      <c r="AH42">
        <f>IF(AL42="",99,IF(最終修正!$G$43="",2,IF(AND(ISNUMBER(最終修正!$G$43),INT(最終修正!$G$43)=最終修正!$G$43,最終修正!$G$43-$U$5&gt;=0,最終修正!$G$43-$U$5&lt;=3),最終修正!$G$43-$U$5,-1)))</f>
        <v/>
      </c>
      <c r="AI42">
        <f>IF(AM42="",99,IF(最終修正!$I$43="",3,IF(AND(ISNUMBER(最終修正!$I$43),INT(最終修正!$I$43)=最終修正!$I$43,最終修正!$I$43-$U$5&gt;=0,最終修正!$I$43-$U$5&lt;=3),最終修正!$I$43-$U$5,-1)))</f>
        <v/>
      </c>
      <c r="AJ42">
        <f>IF(計算用!$Z$42="","",IF(計算用!$U$24,IF(計算用!$Z$42="A",INDEX(手直し!$B$6:$E$42,計算用!$AC$42,MOD(0-計算用!$AE$42+1,4)+1),INDEX(手直し!$G$6:$J$42,計算用!$AC$42,MOD(0-計算用!$AE$42+1,4)+1)),IF(計算用!$Z$42="A",INDEX(組分け!$B$5:$I$41,計算用!$AC$42,(MOD(0-計算用!$AE$42+1,4)+1)*2-1),INDEX(組分け!$L$5:$S$41,計算用!$AC$42,(MOD(0-計算用!$AE$42+1,4)+1)*2-1)))&amp;"")</f>
        <v/>
      </c>
      <c r="AK42">
        <f>IF(計算用!$Z$42="","",IF(計算用!$U$24,IF(計算用!$Z$42="A",INDEX(手直し!$B$6:$E$42,計算用!$AC$42,MOD(1-計算用!$AE$42+1,4)+1),INDEX(手直し!$G$6:$J$42,計算用!$AC$42,MOD(1-計算用!$AE$42+1,4)+1)),IF(計算用!$Z$42="A",INDEX(組分け!$B$5:$I$41,計算用!$AC$42,(MOD(1-計算用!$AE$42+1,4)+1)*2-1),INDEX(組分け!$L$5:$S$41,計算用!$AC$42,(MOD(1-計算用!$AE$42+1,4)+1)*2-1)))&amp;"")</f>
        <v/>
      </c>
      <c r="AL42">
        <f>IF(計算用!$Z$42="","",IF(計算用!$U$24,IF(計算用!$Z$42="A",INDEX(手直し!$B$6:$E$42,計算用!$AC$42,MOD(2-計算用!$AE$42+1,4)+1),INDEX(手直し!$G$6:$J$42,計算用!$AC$42,MOD(2-計算用!$AE$42+1,4)+1)),IF(計算用!$Z$42="A",INDEX(組分け!$B$5:$I$41,計算用!$AC$42,(MOD(2-計算用!$AE$42+1,4)+1)*2-1),INDEX(組分け!$L$5:$S$41,計算用!$AC$42,(MOD(2-計算用!$AE$42+1,4)+1)*2-1)))&amp;"")</f>
        <v/>
      </c>
      <c r="AM42">
        <f>IF(計算用!$Z$42="","",IF(計算用!$U$24,IF(計算用!$Z$42="A",INDEX(手直し!$B$6:$E$42,計算用!$AC$42,MOD(3-計算用!$AE$42+1,4)+1),INDEX(手直し!$G$6:$J$42,計算用!$AC$42,MOD(3-計算用!$AE$42+1,4)+1)),IF(計算用!$Z$42="A",INDEX(組分け!$B$5:$I$41,計算用!$AC$42,(MOD(3-計算用!$AE$42+1,4)+1)*2-1),INDEX(組分け!$L$5:$S$41,計算用!$AC$42,(MOD(3-計算用!$AE$42+1,4)+1)*2-1)))&amp;"")</f>
        <v/>
      </c>
      <c r="AN42">
        <f>IF(Z42="",0,(COUNTIF($AF42:$AI42,0)&gt;1)+(COUNTIF($AF42:$AI42,1)&gt;1)+(COUNTIF($AF42:$AI42,2)&gt;1)+(COUNTIF($AF42:$AI42,3)&gt;1)+COUNTIF($AF42:$AI42,-1))</f>
        <v/>
      </c>
      <c r="AP42">
        <f>IF(Z42="","",IFERROR(MOD(MATCH(0,$AF42:$AI42,0)-1-AE42+1,4),""))</f>
        <v/>
      </c>
      <c r="AQ42">
        <f>IF(Z42="","",IFERROR(MOD(MATCH(1,$AF42:$AI42,0)-1-AE42+1,4),""))</f>
        <v/>
      </c>
      <c r="AR42">
        <f>IF(Z42="","",IFERROR(MOD(MATCH(2,$AF42:$AI42,0)-1-AE42+1,4),""))</f>
        <v/>
      </c>
      <c r="AS42">
        <f>IF(Z42="","",IFERROR(MOD(MATCH(3,$AF42:$AI42,0)-1-AE42+1,4),""))</f>
        <v/>
      </c>
    </row>
    <row r="43">
      <c r="A43" t="n">
        <v>42</v>
      </c>
      <c r="B43">
        <f>INT((A43-1)/37)+1</f>
        <v/>
      </c>
      <c r="C43">
        <f>MOD(A43-1,37)+1</f>
        <v/>
      </c>
      <c r="D43">
        <f>TRIM(INDEX(データ入力!$B$5:$Q$41,C43,(B43-1)*4+1)&amp;"")</f>
        <v/>
      </c>
      <c r="E43">
        <f>INDEX(データ入力!$B$5:$Q$41,C43,(B43-1)*4+2)&amp;""</f>
        <v/>
      </c>
      <c r="F43">
        <f>IF(OR(E43="1",E43="１",E43="男"),"男",IF(OR(E43="2",E43="２",E43="女"),"女",""))</f>
        <v/>
      </c>
      <c r="G43">
        <f>INDEX(データ入力!$B$5:$Q$41,C43,(B43-1)*4+3)</f>
        <v/>
      </c>
      <c r="H43">
        <f>IF(D43="","",IF($U$2,"混",F43))</f>
        <v/>
      </c>
      <c r="I43">
        <f>IF(AND(H43&lt;&gt;"",ISNUMBER(G43)),H43,"")</f>
        <v/>
      </c>
      <c r="J43">
        <f>IF(I43="","",COUNTIFS($I$2:$I$149,I43,$B$2:$B$149,B43,$G$2:$G$149,"&lt;"&amp;G43)+COUNTIFS($I$2:$I$149,I43,$B$2:$B$149,B43,$G$2:$G$149,G43,$A$2:$A$149,"&lt;"&amp;A43)+1)</f>
        <v/>
      </c>
      <c r="K43">
        <f>IF(I43="","",I43&amp;B43&amp;"-"&amp;J43)</f>
        <v/>
      </c>
      <c r="L43">
        <f>IF(I43="","",I43&amp;B43&amp;"|"&amp;D43)</f>
        <v/>
      </c>
      <c r="M43">
        <f>IF(I43="","",IF(I43="女",COUNTIF(手直し!$G$6:$J$42,D43),COUNTIF(手直し!$B$6:$E$42,D43)))</f>
        <v/>
      </c>
      <c r="N43">
        <f>IF(I43="","",IF(I43="女",COUNTIF(INDEX(手直し!$G$6:$J$42,0,B43),D43),COUNTIF(INDEX(手直し!$B$6:$E$42,0,B43),D43)))</f>
        <v/>
      </c>
      <c r="O43">
        <f>IF(AND(I43&lt;&gt;"",M43=0),1,0)</f>
        <v/>
      </c>
      <c r="P43">
        <f>IF(AND(O43=1,I43&lt;&gt;"女"),COUNTIFS($O$2:O43,1,$I$2:I43,"&lt;&gt;女"),"")</f>
        <v/>
      </c>
      <c r="Q43">
        <f>IF(AND(O43=1,I43="女"),COUNTIFS($O$2:O43,1,$I$2:I43,"女"),"")</f>
        <v/>
      </c>
      <c r="R43">
        <f>IF(AND(I43&lt;&gt;"",M43&gt;=1,N43=0),1,0)</f>
        <v/>
      </c>
      <c r="S43">
        <f>IF(AND(D43&lt;&gt;"",I43=""),1,0)</f>
        <v/>
      </c>
      <c r="V43">
        <f>IF(J43="",0,J43)</f>
        <v/>
      </c>
      <c r="W43">
        <f>IF(I43="","",I43&amp;D43)</f>
        <v/>
      </c>
      <c r="Y43" t="n">
        <v>42</v>
      </c>
      <c r="Z43">
        <f>IF(Y43&gt;$U$22,"",IF(Y43&lt;=$U$23,IF($U$4,"B","A"),IF($U$4,"A","B")))</f>
        <v/>
      </c>
      <c r="AA43">
        <f>IF(Z43="","",IF(Y43&lt;=$U$23,Y43,Y43-$U$23))</f>
        <v/>
      </c>
      <c r="AB43">
        <f>IF(Z43="","",IF(Z43="A",$U$7,$U$8))</f>
        <v/>
      </c>
      <c r="AC43">
        <f>IF(Z43="","",IF(AB43&lt;=$U$6,AB43-AA43+1,IF(AA43&lt;=INT((AB43-$U$6+1)/2),$U$6-1+2*AA43,IF(AA43&lt;=INT((AB43-$U$6+1)/2)+INT((AB43-$U$6)/2),(AB43-1+MOD(AB43,2))-2*(AA43-INT((AB43-$U$6+1)/2)-1),$U$6-(AA43-INT((AB43-$U$6+1)/2)-INT((AB43-$U$6)/2)-1)))))</f>
        <v/>
      </c>
      <c r="AD43">
        <f>IF(Z43="","",IF($U$2,"",IF(Z43="B","女子","男子"))&amp;AA43&amp;"レース")</f>
        <v/>
      </c>
      <c r="AE43">
        <f>IF(Z43="","",IF($U$2,1,AA43))</f>
        <v/>
      </c>
      <c r="AF43">
        <f>IF(AJ43="",99,IF(最終修正!$C$44="",0,IF(AND(ISNUMBER(最終修正!$C$44),INT(最終修正!$C$44)=最終修正!$C$44,最終修正!$C$44-$U$5&gt;=0,最終修正!$C$44-$U$5&lt;=3),最終修正!$C$44-$U$5,-1)))</f>
        <v/>
      </c>
      <c r="AG43">
        <f>IF(AK43="",99,IF(最終修正!$E$44="",1,IF(AND(ISNUMBER(最終修正!$E$44),INT(最終修正!$E$44)=最終修正!$E$44,最終修正!$E$44-$U$5&gt;=0,最終修正!$E$44-$U$5&lt;=3),最終修正!$E$44-$U$5,-1)))</f>
        <v/>
      </c>
      <c r="AH43">
        <f>IF(AL43="",99,IF(最終修正!$G$44="",2,IF(AND(ISNUMBER(最終修正!$G$44),INT(最終修正!$G$44)=最終修正!$G$44,最終修正!$G$44-$U$5&gt;=0,最終修正!$G$44-$U$5&lt;=3),最終修正!$G$44-$U$5,-1)))</f>
        <v/>
      </c>
      <c r="AI43">
        <f>IF(AM43="",99,IF(最終修正!$I$44="",3,IF(AND(ISNUMBER(最終修正!$I$44),INT(最終修正!$I$44)=最終修正!$I$44,最終修正!$I$44-$U$5&gt;=0,最終修正!$I$44-$U$5&lt;=3),最終修正!$I$44-$U$5,-1)))</f>
        <v/>
      </c>
      <c r="AJ43">
        <f>IF(計算用!$Z$43="","",IF(計算用!$U$24,IF(計算用!$Z$43="A",INDEX(手直し!$B$6:$E$42,計算用!$AC$43,MOD(0-計算用!$AE$43+1,4)+1),INDEX(手直し!$G$6:$J$42,計算用!$AC$43,MOD(0-計算用!$AE$43+1,4)+1)),IF(計算用!$Z$43="A",INDEX(組分け!$B$5:$I$41,計算用!$AC$43,(MOD(0-計算用!$AE$43+1,4)+1)*2-1),INDEX(組分け!$L$5:$S$41,計算用!$AC$43,(MOD(0-計算用!$AE$43+1,4)+1)*2-1)))&amp;"")</f>
        <v/>
      </c>
      <c r="AK43">
        <f>IF(計算用!$Z$43="","",IF(計算用!$U$24,IF(計算用!$Z$43="A",INDEX(手直し!$B$6:$E$42,計算用!$AC$43,MOD(1-計算用!$AE$43+1,4)+1),INDEX(手直し!$G$6:$J$42,計算用!$AC$43,MOD(1-計算用!$AE$43+1,4)+1)),IF(計算用!$Z$43="A",INDEX(組分け!$B$5:$I$41,計算用!$AC$43,(MOD(1-計算用!$AE$43+1,4)+1)*2-1),INDEX(組分け!$L$5:$S$41,計算用!$AC$43,(MOD(1-計算用!$AE$43+1,4)+1)*2-1)))&amp;"")</f>
        <v/>
      </c>
      <c r="AL43">
        <f>IF(計算用!$Z$43="","",IF(計算用!$U$24,IF(計算用!$Z$43="A",INDEX(手直し!$B$6:$E$42,計算用!$AC$43,MOD(2-計算用!$AE$43+1,4)+1),INDEX(手直し!$G$6:$J$42,計算用!$AC$43,MOD(2-計算用!$AE$43+1,4)+1)),IF(計算用!$Z$43="A",INDEX(組分け!$B$5:$I$41,計算用!$AC$43,(MOD(2-計算用!$AE$43+1,4)+1)*2-1),INDEX(組分け!$L$5:$S$41,計算用!$AC$43,(MOD(2-計算用!$AE$43+1,4)+1)*2-1)))&amp;"")</f>
        <v/>
      </c>
      <c r="AM43">
        <f>IF(計算用!$Z$43="","",IF(計算用!$U$24,IF(計算用!$Z$43="A",INDEX(手直し!$B$6:$E$42,計算用!$AC$43,MOD(3-計算用!$AE$43+1,4)+1),INDEX(手直し!$G$6:$J$42,計算用!$AC$43,MOD(3-計算用!$AE$43+1,4)+1)),IF(計算用!$Z$43="A",INDEX(組分け!$B$5:$I$41,計算用!$AC$43,(MOD(3-計算用!$AE$43+1,4)+1)*2-1),INDEX(組分け!$L$5:$S$41,計算用!$AC$43,(MOD(3-計算用!$AE$43+1,4)+1)*2-1)))&amp;"")</f>
        <v/>
      </c>
      <c r="AN43">
        <f>IF(Z43="",0,(COUNTIF($AF43:$AI43,0)&gt;1)+(COUNTIF($AF43:$AI43,1)&gt;1)+(COUNTIF($AF43:$AI43,2)&gt;1)+(COUNTIF($AF43:$AI43,3)&gt;1)+COUNTIF($AF43:$AI43,-1))</f>
        <v/>
      </c>
      <c r="AP43">
        <f>IF(Z43="","",IFERROR(MOD(MATCH(0,$AF43:$AI43,0)-1-AE43+1,4),""))</f>
        <v/>
      </c>
      <c r="AQ43">
        <f>IF(Z43="","",IFERROR(MOD(MATCH(1,$AF43:$AI43,0)-1-AE43+1,4),""))</f>
        <v/>
      </c>
      <c r="AR43">
        <f>IF(Z43="","",IFERROR(MOD(MATCH(2,$AF43:$AI43,0)-1-AE43+1,4),""))</f>
        <v/>
      </c>
      <c r="AS43">
        <f>IF(Z43="","",IFERROR(MOD(MATCH(3,$AF43:$AI43,0)-1-AE43+1,4),""))</f>
        <v/>
      </c>
    </row>
    <row r="44">
      <c r="A44" t="n">
        <v>43</v>
      </c>
      <c r="B44">
        <f>INT((A44-1)/37)+1</f>
        <v/>
      </c>
      <c r="C44">
        <f>MOD(A44-1,37)+1</f>
        <v/>
      </c>
      <c r="D44">
        <f>TRIM(INDEX(データ入力!$B$5:$Q$41,C44,(B44-1)*4+1)&amp;"")</f>
        <v/>
      </c>
      <c r="E44">
        <f>INDEX(データ入力!$B$5:$Q$41,C44,(B44-1)*4+2)&amp;""</f>
        <v/>
      </c>
      <c r="F44">
        <f>IF(OR(E44="1",E44="１",E44="男"),"男",IF(OR(E44="2",E44="２",E44="女"),"女",""))</f>
        <v/>
      </c>
      <c r="G44">
        <f>INDEX(データ入力!$B$5:$Q$41,C44,(B44-1)*4+3)</f>
        <v/>
      </c>
      <c r="H44">
        <f>IF(D44="","",IF($U$2,"混",F44))</f>
        <v/>
      </c>
      <c r="I44">
        <f>IF(AND(H44&lt;&gt;"",ISNUMBER(G44)),H44,"")</f>
        <v/>
      </c>
      <c r="J44">
        <f>IF(I44="","",COUNTIFS($I$2:$I$149,I44,$B$2:$B$149,B44,$G$2:$G$149,"&lt;"&amp;G44)+COUNTIFS($I$2:$I$149,I44,$B$2:$B$149,B44,$G$2:$G$149,G44,$A$2:$A$149,"&lt;"&amp;A44)+1)</f>
        <v/>
      </c>
      <c r="K44">
        <f>IF(I44="","",I44&amp;B44&amp;"-"&amp;J44)</f>
        <v/>
      </c>
      <c r="L44">
        <f>IF(I44="","",I44&amp;B44&amp;"|"&amp;D44)</f>
        <v/>
      </c>
      <c r="M44">
        <f>IF(I44="","",IF(I44="女",COUNTIF(手直し!$G$6:$J$42,D44),COUNTIF(手直し!$B$6:$E$42,D44)))</f>
        <v/>
      </c>
      <c r="N44">
        <f>IF(I44="","",IF(I44="女",COUNTIF(INDEX(手直し!$G$6:$J$42,0,B44),D44),COUNTIF(INDEX(手直し!$B$6:$E$42,0,B44),D44)))</f>
        <v/>
      </c>
      <c r="O44">
        <f>IF(AND(I44&lt;&gt;"",M44=0),1,0)</f>
        <v/>
      </c>
      <c r="P44">
        <f>IF(AND(O44=1,I44&lt;&gt;"女"),COUNTIFS($O$2:O44,1,$I$2:I44,"&lt;&gt;女"),"")</f>
        <v/>
      </c>
      <c r="Q44">
        <f>IF(AND(O44=1,I44="女"),COUNTIFS($O$2:O44,1,$I$2:I44,"女"),"")</f>
        <v/>
      </c>
      <c r="R44">
        <f>IF(AND(I44&lt;&gt;"",M44&gt;=1,N44=0),1,0)</f>
        <v/>
      </c>
      <c r="S44">
        <f>IF(AND(D44&lt;&gt;"",I44=""),1,0)</f>
        <v/>
      </c>
      <c r="V44">
        <f>IF(J44="",0,J44)</f>
        <v/>
      </c>
      <c r="W44">
        <f>IF(I44="","",I44&amp;D44)</f>
        <v/>
      </c>
      <c r="Y44" t="n">
        <v>43</v>
      </c>
      <c r="Z44">
        <f>IF(Y44&gt;$U$22,"",IF(Y44&lt;=$U$23,IF($U$4,"B","A"),IF($U$4,"A","B")))</f>
        <v/>
      </c>
      <c r="AA44">
        <f>IF(Z44="","",IF(Y44&lt;=$U$23,Y44,Y44-$U$23))</f>
        <v/>
      </c>
      <c r="AB44">
        <f>IF(Z44="","",IF(Z44="A",$U$7,$U$8))</f>
        <v/>
      </c>
      <c r="AC44">
        <f>IF(Z44="","",IF(AB44&lt;=$U$6,AB44-AA44+1,IF(AA44&lt;=INT((AB44-$U$6+1)/2),$U$6-1+2*AA44,IF(AA44&lt;=INT((AB44-$U$6+1)/2)+INT((AB44-$U$6)/2),(AB44-1+MOD(AB44,2))-2*(AA44-INT((AB44-$U$6+1)/2)-1),$U$6-(AA44-INT((AB44-$U$6+1)/2)-INT((AB44-$U$6)/2)-1)))))</f>
        <v/>
      </c>
      <c r="AD44">
        <f>IF(Z44="","",IF($U$2,"",IF(Z44="B","女子","男子"))&amp;AA44&amp;"レース")</f>
        <v/>
      </c>
      <c r="AE44">
        <f>IF(Z44="","",IF($U$2,1,AA44))</f>
        <v/>
      </c>
      <c r="AF44">
        <f>IF(AJ44="",99,IF(最終修正!$C$45="",0,IF(AND(ISNUMBER(最終修正!$C$45),INT(最終修正!$C$45)=最終修正!$C$45,最終修正!$C$45-$U$5&gt;=0,最終修正!$C$45-$U$5&lt;=3),最終修正!$C$45-$U$5,-1)))</f>
        <v/>
      </c>
      <c r="AG44">
        <f>IF(AK44="",99,IF(最終修正!$E$45="",1,IF(AND(ISNUMBER(最終修正!$E$45),INT(最終修正!$E$45)=最終修正!$E$45,最終修正!$E$45-$U$5&gt;=0,最終修正!$E$45-$U$5&lt;=3),最終修正!$E$45-$U$5,-1)))</f>
        <v/>
      </c>
      <c r="AH44">
        <f>IF(AL44="",99,IF(最終修正!$G$45="",2,IF(AND(ISNUMBER(最終修正!$G$45),INT(最終修正!$G$45)=最終修正!$G$45,最終修正!$G$45-$U$5&gt;=0,最終修正!$G$45-$U$5&lt;=3),最終修正!$G$45-$U$5,-1)))</f>
        <v/>
      </c>
      <c r="AI44">
        <f>IF(AM44="",99,IF(最終修正!$I$45="",3,IF(AND(ISNUMBER(最終修正!$I$45),INT(最終修正!$I$45)=最終修正!$I$45,最終修正!$I$45-$U$5&gt;=0,最終修正!$I$45-$U$5&lt;=3),最終修正!$I$45-$U$5,-1)))</f>
        <v/>
      </c>
      <c r="AJ44">
        <f>IF(計算用!$Z$44="","",IF(計算用!$U$24,IF(計算用!$Z$44="A",INDEX(手直し!$B$6:$E$42,計算用!$AC$44,MOD(0-計算用!$AE$44+1,4)+1),INDEX(手直し!$G$6:$J$42,計算用!$AC$44,MOD(0-計算用!$AE$44+1,4)+1)),IF(計算用!$Z$44="A",INDEX(組分け!$B$5:$I$41,計算用!$AC$44,(MOD(0-計算用!$AE$44+1,4)+1)*2-1),INDEX(組分け!$L$5:$S$41,計算用!$AC$44,(MOD(0-計算用!$AE$44+1,4)+1)*2-1)))&amp;"")</f>
        <v/>
      </c>
      <c r="AK44">
        <f>IF(計算用!$Z$44="","",IF(計算用!$U$24,IF(計算用!$Z$44="A",INDEX(手直し!$B$6:$E$42,計算用!$AC$44,MOD(1-計算用!$AE$44+1,4)+1),INDEX(手直し!$G$6:$J$42,計算用!$AC$44,MOD(1-計算用!$AE$44+1,4)+1)),IF(計算用!$Z$44="A",INDEX(組分け!$B$5:$I$41,計算用!$AC$44,(MOD(1-計算用!$AE$44+1,4)+1)*2-1),INDEX(組分け!$L$5:$S$41,計算用!$AC$44,(MOD(1-計算用!$AE$44+1,4)+1)*2-1)))&amp;"")</f>
        <v/>
      </c>
      <c r="AL44">
        <f>IF(計算用!$Z$44="","",IF(計算用!$U$24,IF(計算用!$Z$44="A",INDEX(手直し!$B$6:$E$42,計算用!$AC$44,MOD(2-計算用!$AE$44+1,4)+1),INDEX(手直し!$G$6:$J$42,計算用!$AC$44,MOD(2-計算用!$AE$44+1,4)+1)),IF(計算用!$Z$44="A",INDEX(組分け!$B$5:$I$41,計算用!$AC$44,(MOD(2-計算用!$AE$44+1,4)+1)*2-1),INDEX(組分け!$L$5:$S$41,計算用!$AC$44,(MOD(2-計算用!$AE$44+1,4)+1)*2-1)))&amp;"")</f>
        <v/>
      </c>
      <c r="AM44">
        <f>IF(計算用!$Z$44="","",IF(計算用!$U$24,IF(計算用!$Z$44="A",INDEX(手直し!$B$6:$E$42,計算用!$AC$44,MOD(3-計算用!$AE$44+1,4)+1),INDEX(手直し!$G$6:$J$42,計算用!$AC$44,MOD(3-計算用!$AE$44+1,4)+1)),IF(計算用!$Z$44="A",INDEX(組分け!$B$5:$I$41,計算用!$AC$44,(MOD(3-計算用!$AE$44+1,4)+1)*2-1),INDEX(組分け!$L$5:$S$41,計算用!$AC$44,(MOD(3-計算用!$AE$44+1,4)+1)*2-1)))&amp;"")</f>
        <v/>
      </c>
      <c r="AN44">
        <f>IF(Z44="",0,(COUNTIF($AF44:$AI44,0)&gt;1)+(COUNTIF($AF44:$AI44,1)&gt;1)+(COUNTIF($AF44:$AI44,2)&gt;1)+(COUNTIF($AF44:$AI44,3)&gt;1)+COUNTIF($AF44:$AI44,-1))</f>
        <v/>
      </c>
      <c r="AP44">
        <f>IF(Z44="","",IFERROR(MOD(MATCH(0,$AF44:$AI44,0)-1-AE44+1,4),""))</f>
        <v/>
      </c>
      <c r="AQ44">
        <f>IF(Z44="","",IFERROR(MOD(MATCH(1,$AF44:$AI44,0)-1-AE44+1,4),""))</f>
        <v/>
      </c>
      <c r="AR44">
        <f>IF(Z44="","",IFERROR(MOD(MATCH(2,$AF44:$AI44,0)-1-AE44+1,4),""))</f>
        <v/>
      </c>
      <c r="AS44">
        <f>IF(Z44="","",IFERROR(MOD(MATCH(3,$AF44:$AI44,0)-1-AE44+1,4),""))</f>
        <v/>
      </c>
    </row>
    <row r="45">
      <c r="A45" t="n">
        <v>44</v>
      </c>
      <c r="B45">
        <f>INT((A45-1)/37)+1</f>
        <v/>
      </c>
      <c r="C45">
        <f>MOD(A45-1,37)+1</f>
        <v/>
      </c>
      <c r="D45">
        <f>TRIM(INDEX(データ入力!$B$5:$Q$41,C45,(B45-1)*4+1)&amp;"")</f>
        <v/>
      </c>
      <c r="E45">
        <f>INDEX(データ入力!$B$5:$Q$41,C45,(B45-1)*4+2)&amp;""</f>
        <v/>
      </c>
      <c r="F45">
        <f>IF(OR(E45="1",E45="１",E45="男"),"男",IF(OR(E45="2",E45="２",E45="女"),"女",""))</f>
        <v/>
      </c>
      <c r="G45">
        <f>INDEX(データ入力!$B$5:$Q$41,C45,(B45-1)*4+3)</f>
        <v/>
      </c>
      <c r="H45">
        <f>IF(D45="","",IF($U$2,"混",F45))</f>
        <v/>
      </c>
      <c r="I45">
        <f>IF(AND(H45&lt;&gt;"",ISNUMBER(G45)),H45,"")</f>
        <v/>
      </c>
      <c r="J45">
        <f>IF(I45="","",COUNTIFS($I$2:$I$149,I45,$B$2:$B$149,B45,$G$2:$G$149,"&lt;"&amp;G45)+COUNTIFS($I$2:$I$149,I45,$B$2:$B$149,B45,$G$2:$G$149,G45,$A$2:$A$149,"&lt;"&amp;A45)+1)</f>
        <v/>
      </c>
      <c r="K45">
        <f>IF(I45="","",I45&amp;B45&amp;"-"&amp;J45)</f>
        <v/>
      </c>
      <c r="L45">
        <f>IF(I45="","",I45&amp;B45&amp;"|"&amp;D45)</f>
        <v/>
      </c>
      <c r="M45">
        <f>IF(I45="","",IF(I45="女",COUNTIF(手直し!$G$6:$J$42,D45),COUNTIF(手直し!$B$6:$E$42,D45)))</f>
        <v/>
      </c>
      <c r="N45">
        <f>IF(I45="","",IF(I45="女",COUNTIF(INDEX(手直し!$G$6:$J$42,0,B45),D45),COUNTIF(INDEX(手直し!$B$6:$E$42,0,B45),D45)))</f>
        <v/>
      </c>
      <c r="O45">
        <f>IF(AND(I45&lt;&gt;"",M45=0),1,0)</f>
        <v/>
      </c>
      <c r="P45">
        <f>IF(AND(O45=1,I45&lt;&gt;"女"),COUNTIFS($O$2:O45,1,$I$2:I45,"&lt;&gt;女"),"")</f>
        <v/>
      </c>
      <c r="Q45">
        <f>IF(AND(O45=1,I45="女"),COUNTIFS($O$2:O45,1,$I$2:I45,"女"),"")</f>
        <v/>
      </c>
      <c r="R45">
        <f>IF(AND(I45&lt;&gt;"",M45&gt;=1,N45=0),1,0)</f>
        <v/>
      </c>
      <c r="S45">
        <f>IF(AND(D45&lt;&gt;"",I45=""),1,0)</f>
        <v/>
      </c>
      <c r="V45">
        <f>IF(J45="",0,J45)</f>
        <v/>
      </c>
      <c r="W45">
        <f>IF(I45="","",I45&amp;D45)</f>
        <v/>
      </c>
      <c r="Y45" t="n">
        <v>44</v>
      </c>
      <c r="Z45">
        <f>IF(Y45&gt;$U$22,"",IF(Y45&lt;=$U$23,IF($U$4,"B","A"),IF($U$4,"A","B")))</f>
        <v/>
      </c>
      <c r="AA45">
        <f>IF(Z45="","",IF(Y45&lt;=$U$23,Y45,Y45-$U$23))</f>
        <v/>
      </c>
      <c r="AB45">
        <f>IF(Z45="","",IF(Z45="A",$U$7,$U$8))</f>
        <v/>
      </c>
      <c r="AC45">
        <f>IF(Z45="","",IF(AB45&lt;=$U$6,AB45-AA45+1,IF(AA45&lt;=INT((AB45-$U$6+1)/2),$U$6-1+2*AA45,IF(AA45&lt;=INT((AB45-$U$6+1)/2)+INT((AB45-$U$6)/2),(AB45-1+MOD(AB45,2))-2*(AA45-INT((AB45-$U$6+1)/2)-1),$U$6-(AA45-INT((AB45-$U$6+1)/2)-INT((AB45-$U$6)/2)-1)))))</f>
        <v/>
      </c>
      <c r="AD45">
        <f>IF(Z45="","",IF($U$2,"",IF(Z45="B","女子","男子"))&amp;AA45&amp;"レース")</f>
        <v/>
      </c>
      <c r="AE45">
        <f>IF(Z45="","",IF($U$2,1,AA45))</f>
        <v/>
      </c>
      <c r="AF45">
        <f>IF(AJ45="",99,IF(最終修正!$C$46="",0,IF(AND(ISNUMBER(最終修正!$C$46),INT(最終修正!$C$46)=最終修正!$C$46,最終修正!$C$46-$U$5&gt;=0,最終修正!$C$46-$U$5&lt;=3),最終修正!$C$46-$U$5,-1)))</f>
        <v/>
      </c>
      <c r="AG45">
        <f>IF(AK45="",99,IF(最終修正!$E$46="",1,IF(AND(ISNUMBER(最終修正!$E$46),INT(最終修正!$E$46)=最終修正!$E$46,最終修正!$E$46-$U$5&gt;=0,最終修正!$E$46-$U$5&lt;=3),最終修正!$E$46-$U$5,-1)))</f>
        <v/>
      </c>
      <c r="AH45">
        <f>IF(AL45="",99,IF(最終修正!$G$46="",2,IF(AND(ISNUMBER(最終修正!$G$46),INT(最終修正!$G$46)=最終修正!$G$46,最終修正!$G$46-$U$5&gt;=0,最終修正!$G$46-$U$5&lt;=3),最終修正!$G$46-$U$5,-1)))</f>
        <v/>
      </c>
      <c r="AI45">
        <f>IF(AM45="",99,IF(最終修正!$I$46="",3,IF(AND(ISNUMBER(最終修正!$I$46),INT(最終修正!$I$46)=最終修正!$I$46,最終修正!$I$46-$U$5&gt;=0,最終修正!$I$46-$U$5&lt;=3),最終修正!$I$46-$U$5,-1)))</f>
        <v/>
      </c>
      <c r="AJ45">
        <f>IF(計算用!$Z$45="","",IF(計算用!$U$24,IF(計算用!$Z$45="A",INDEX(手直し!$B$6:$E$42,計算用!$AC$45,MOD(0-計算用!$AE$45+1,4)+1),INDEX(手直し!$G$6:$J$42,計算用!$AC$45,MOD(0-計算用!$AE$45+1,4)+1)),IF(計算用!$Z$45="A",INDEX(組分け!$B$5:$I$41,計算用!$AC$45,(MOD(0-計算用!$AE$45+1,4)+1)*2-1),INDEX(組分け!$L$5:$S$41,計算用!$AC$45,(MOD(0-計算用!$AE$45+1,4)+1)*2-1)))&amp;"")</f>
        <v/>
      </c>
      <c r="AK45">
        <f>IF(計算用!$Z$45="","",IF(計算用!$U$24,IF(計算用!$Z$45="A",INDEX(手直し!$B$6:$E$42,計算用!$AC$45,MOD(1-計算用!$AE$45+1,4)+1),INDEX(手直し!$G$6:$J$42,計算用!$AC$45,MOD(1-計算用!$AE$45+1,4)+1)),IF(計算用!$Z$45="A",INDEX(組分け!$B$5:$I$41,計算用!$AC$45,(MOD(1-計算用!$AE$45+1,4)+1)*2-1),INDEX(組分け!$L$5:$S$41,計算用!$AC$45,(MOD(1-計算用!$AE$45+1,4)+1)*2-1)))&amp;"")</f>
        <v/>
      </c>
      <c r="AL45">
        <f>IF(計算用!$Z$45="","",IF(計算用!$U$24,IF(計算用!$Z$45="A",INDEX(手直し!$B$6:$E$42,計算用!$AC$45,MOD(2-計算用!$AE$45+1,4)+1),INDEX(手直し!$G$6:$J$42,計算用!$AC$45,MOD(2-計算用!$AE$45+1,4)+1)),IF(計算用!$Z$45="A",INDEX(組分け!$B$5:$I$41,計算用!$AC$45,(MOD(2-計算用!$AE$45+1,4)+1)*2-1),INDEX(組分け!$L$5:$S$41,計算用!$AC$45,(MOD(2-計算用!$AE$45+1,4)+1)*2-1)))&amp;"")</f>
        <v/>
      </c>
      <c r="AM45">
        <f>IF(計算用!$Z$45="","",IF(計算用!$U$24,IF(計算用!$Z$45="A",INDEX(手直し!$B$6:$E$42,計算用!$AC$45,MOD(3-計算用!$AE$45+1,4)+1),INDEX(手直し!$G$6:$J$42,計算用!$AC$45,MOD(3-計算用!$AE$45+1,4)+1)),IF(計算用!$Z$45="A",INDEX(組分け!$B$5:$I$41,計算用!$AC$45,(MOD(3-計算用!$AE$45+1,4)+1)*2-1),INDEX(組分け!$L$5:$S$41,計算用!$AC$45,(MOD(3-計算用!$AE$45+1,4)+1)*2-1)))&amp;"")</f>
        <v/>
      </c>
      <c r="AN45">
        <f>IF(Z45="",0,(COUNTIF($AF45:$AI45,0)&gt;1)+(COUNTIF($AF45:$AI45,1)&gt;1)+(COUNTIF($AF45:$AI45,2)&gt;1)+(COUNTIF($AF45:$AI45,3)&gt;1)+COUNTIF($AF45:$AI45,-1))</f>
        <v/>
      </c>
      <c r="AP45">
        <f>IF(Z45="","",IFERROR(MOD(MATCH(0,$AF45:$AI45,0)-1-AE45+1,4),""))</f>
        <v/>
      </c>
      <c r="AQ45">
        <f>IF(Z45="","",IFERROR(MOD(MATCH(1,$AF45:$AI45,0)-1-AE45+1,4),""))</f>
        <v/>
      </c>
      <c r="AR45">
        <f>IF(Z45="","",IFERROR(MOD(MATCH(2,$AF45:$AI45,0)-1-AE45+1,4),""))</f>
        <v/>
      </c>
      <c r="AS45">
        <f>IF(Z45="","",IFERROR(MOD(MATCH(3,$AF45:$AI45,0)-1-AE45+1,4),""))</f>
        <v/>
      </c>
    </row>
    <row r="46">
      <c r="A46" t="n">
        <v>45</v>
      </c>
      <c r="B46">
        <f>INT((A46-1)/37)+1</f>
        <v/>
      </c>
      <c r="C46">
        <f>MOD(A46-1,37)+1</f>
        <v/>
      </c>
      <c r="D46">
        <f>TRIM(INDEX(データ入力!$B$5:$Q$41,C46,(B46-1)*4+1)&amp;"")</f>
        <v/>
      </c>
      <c r="E46">
        <f>INDEX(データ入力!$B$5:$Q$41,C46,(B46-1)*4+2)&amp;""</f>
        <v/>
      </c>
      <c r="F46">
        <f>IF(OR(E46="1",E46="１",E46="男"),"男",IF(OR(E46="2",E46="２",E46="女"),"女",""))</f>
        <v/>
      </c>
      <c r="G46">
        <f>INDEX(データ入力!$B$5:$Q$41,C46,(B46-1)*4+3)</f>
        <v/>
      </c>
      <c r="H46">
        <f>IF(D46="","",IF($U$2,"混",F46))</f>
        <v/>
      </c>
      <c r="I46">
        <f>IF(AND(H46&lt;&gt;"",ISNUMBER(G46)),H46,"")</f>
        <v/>
      </c>
      <c r="J46">
        <f>IF(I46="","",COUNTIFS($I$2:$I$149,I46,$B$2:$B$149,B46,$G$2:$G$149,"&lt;"&amp;G46)+COUNTIFS($I$2:$I$149,I46,$B$2:$B$149,B46,$G$2:$G$149,G46,$A$2:$A$149,"&lt;"&amp;A46)+1)</f>
        <v/>
      </c>
      <c r="K46">
        <f>IF(I46="","",I46&amp;B46&amp;"-"&amp;J46)</f>
        <v/>
      </c>
      <c r="L46">
        <f>IF(I46="","",I46&amp;B46&amp;"|"&amp;D46)</f>
        <v/>
      </c>
      <c r="M46">
        <f>IF(I46="","",IF(I46="女",COUNTIF(手直し!$G$6:$J$42,D46),COUNTIF(手直し!$B$6:$E$42,D46)))</f>
        <v/>
      </c>
      <c r="N46">
        <f>IF(I46="","",IF(I46="女",COUNTIF(INDEX(手直し!$G$6:$J$42,0,B46),D46),COUNTIF(INDEX(手直し!$B$6:$E$42,0,B46),D46)))</f>
        <v/>
      </c>
      <c r="O46">
        <f>IF(AND(I46&lt;&gt;"",M46=0),1,0)</f>
        <v/>
      </c>
      <c r="P46">
        <f>IF(AND(O46=1,I46&lt;&gt;"女"),COUNTIFS($O$2:O46,1,$I$2:I46,"&lt;&gt;女"),"")</f>
        <v/>
      </c>
      <c r="Q46">
        <f>IF(AND(O46=1,I46="女"),COUNTIFS($O$2:O46,1,$I$2:I46,"女"),"")</f>
        <v/>
      </c>
      <c r="R46">
        <f>IF(AND(I46&lt;&gt;"",M46&gt;=1,N46=0),1,0)</f>
        <v/>
      </c>
      <c r="S46">
        <f>IF(AND(D46&lt;&gt;"",I46=""),1,0)</f>
        <v/>
      </c>
      <c r="V46">
        <f>IF(J46="",0,J46)</f>
        <v/>
      </c>
      <c r="W46">
        <f>IF(I46="","",I46&amp;D46)</f>
        <v/>
      </c>
      <c r="Y46" t="n">
        <v>45</v>
      </c>
      <c r="Z46">
        <f>IF(Y46&gt;$U$22,"",IF(Y46&lt;=$U$23,IF($U$4,"B","A"),IF($U$4,"A","B")))</f>
        <v/>
      </c>
      <c r="AA46">
        <f>IF(Z46="","",IF(Y46&lt;=$U$23,Y46,Y46-$U$23))</f>
        <v/>
      </c>
      <c r="AB46">
        <f>IF(Z46="","",IF(Z46="A",$U$7,$U$8))</f>
        <v/>
      </c>
      <c r="AC46">
        <f>IF(Z46="","",IF(AB46&lt;=$U$6,AB46-AA46+1,IF(AA46&lt;=INT((AB46-$U$6+1)/2),$U$6-1+2*AA46,IF(AA46&lt;=INT((AB46-$U$6+1)/2)+INT((AB46-$U$6)/2),(AB46-1+MOD(AB46,2))-2*(AA46-INT((AB46-$U$6+1)/2)-1),$U$6-(AA46-INT((AB46-$U$6+1)/2)-INT((AB46-$U$6)/2)-1)))))</f>
        <v/>
      </c>
      <c r="AD46">
        <f>IF(Z46="","",IF($U$2,"",IF(Z46="B","女子","男子"))&amp;AA46&amp;"レース")</f>
        <v/>
      </c>
      <c r="AE46">
        <f>IF(Z46="","",IF($U$2,1,AA46))</f>
        <v/>
      </c>
      <c r="AF46">
        <f>IF(AJ46="",99,IF(最終修正!$C$47="",0,IF(AND(ISNUMBER(最終修正!$C$47),INT(最終修正!$C$47)=最終修正!$C$47,最終修正!$C$47-$U$5&gt;=0,最終修正!$C$47-$U$5&lt;=3),最終修正!$C$47-$U$5,-1)))</f>
        <v/>
      </c>
      <c r="AG46">
        <f>IF(AK46="",99,IF(最終修正!$E$47="",1,IF(AND(ISNUMBER(最終修正!$E$47),INT(最終修正!$E$47)=最終修正!$E$47,最終修正!$E$47-$U$5&gt;=0,最終修正!$E$47-$U$5&lt;=3),最終修正!$E$47-$U$5,-1)))</f>
        <v/>
      </c>
      <c r="AH46">
        <f>IF(AL46="",99,IF(最終修正!$G$47="",2,IF(AND(ISNUMBER(最終修正!$G$47),INT(最終修正!$G$47)=最終修正!$G$47,最終修正!$G$47-$U$5&gt;=0,最終修正!$G$47-$U$5&lt;=3),最終修正!$G$47-$U$5,-1)))</f>
        <v/>
      </c>
      <c r="AI46">
        <f>IF(AM46="",99,IF(最終修正!$I$47="",3,IF(AND(ISNUMBER(最終修正!$I$47),INT(最終修正!$I$47)=最終修正!$I$47,最終修正!$I$47-$U$5&gt;=0,最終修正!$I$47-$U$5&lt;=3),最終修正!$I$47-$U$5,-1)))</f>
        <v/>
      </c>
      <c r="AJ46">
        <f>IF(計算用!$Z$46="","",IF(計算用!$U$24,IF(計算用!$Z$46="A",INDEX(手直し!$B$6:$E$42,計算用!$AC$46,MOD(0-計算用!$AE$46+1,4)+1),INDEX(手直し!$G$6:$J$42,計算用!$AC$46,MOD(0-計算用!$AE$46+1,4)+1)),IF(計算用!$Z$46="A",INDEX(組分け!$B$5:$I$41,計算用!$AC$46,(MOD(0-計算用!$AE$46+1,4)+1)*2-1),INDEX(組分け!$L$5:$S$41,計算用!$AC$46,(MOD(0-計算用!$AE$46+1,4)+1)*2-1)))&amp;"")</f>
        <v/>
      </c>
      <c r="AK46">
        <f>IF(計算用!$Z$46="","",IF(計算用!$U$24,IF(計算用!$Z$46="A",INDEX(手直し!$B$6:$E$42,計算用!$AC$46,MOD(1-計算用!$AE$46+1,4)+1),INDEX(手直し!$G$6:$J$42,計算用!$AC$46,MOD(1-計算用!$AE$46+1,4)+1)),IF(計算用!$Z$46="A",INDEX(組分け!$B$5:$I$41,計算用!$AC$46,(MOD(1-計算用!$AE$46+1,4)+1)*2-1),INDEX(組分け!$L$5:$S$41,計算用!$AC$46,(MOD(1-計算用!$AE$46+1,4)+1)*2-1)))&amp;"")</f>
        <v/>
      </c>
      <c r="AL46">
        <f>IF(計算用!$Z$46="","",IF(計算用!$U$24,IF(計算用!$Z$46="A",INDEX(手直し!$B$6:$E$42,計算用!$AC$46,MOD(2-計算用!$AE$46+1,4)+1),INDEX(手直し!$G$6:$J$42,計算用!$AC$46,MOD(2-計算用!$AE$46+1,4)+1)),IF(計算用!$Z$46="A",INDEX(組分け!$B$5:$I$41,計算用!$AC$46,(MOD(2-計算用!$AE$46+1,4)+1)*2-1),INDEX(組分け!$L$5:$S$41,計算用!$AC$46,(MOD(2-計算用!$AE$46+1,4)+1)*2-1)))&amp;"")</f>
        <v/>
      </c>
      <c r="AM46">
        <f>IF(計算用!$Z$46="","",IF(計算用!$U$24,IF(計算用!$Z$46="A",INDEX(手直し!$B$6:$E$42,計算用!$AC$46,MOD(3-計算用!$AE$46+1,4)+1),INDEX(手直し!$G$6:$J$42,計算用!$AC$46,MOD(3-計算用!$AE$46+1,4)+1)),IF(計算用!$Z$46="A",INDEX(組分け!$B$5:$I$41,計算用!$AC$46,(MOD(3-計算用!$AE$46+1,4)+1)*2-1),INDEX(組分け!$L$5:$S$41,計算用!$AC$46,(MOD(3-計算用!$AE$46+1,4)+1)*2-1)))&amp;"")</f>
        <v/>
      </c>
      <c r="AN46">
        <f>IF(Z46="",0,(COUNTIF($AF46:$AI46,0)&gt;1)+(COUNTIF($AF46:$AI46,1)&gt;1)+(COUNTIF($AF46:$AI46,2)&gt;1)+(COUNTIF($AF46:$AI46,3)&gt;1)+COUNTIF($AF46:$AI46,-1))</f>
        <v/>
      </c>
      <c r="AP46">
        <f>IF(Z46="","",IFERROR(MOD(MATCH(0,$AF46:$AI46,0)-1-AE46+1,4),""))</f>
        <v/>
      </c>
      <c r="AQ46">
        <f>IF(Z46="","",IFERROR(MOD(MATCH(1,$AF46:$AI46,0)-1-AE46+1,4),""))</f>
        <v/>
      </c>
      <c r="AR46">
        <f>IF(Z46="","",IFERROR(MOD(MATCH(2,$AF46:$AI46,0)-1-AE46+1,4),""))</f>
        <v/>
      </c>
      <c r="AS46">
        <f>IF(Z46="","",IFERROR(MOD(MATCH(3,$AF46:$AI46,0)-1-AE46+1,4),""))</f>
        <v/>
      </c>
    </row>
    <row r="47">
      <c r="A47" t="n">
        <v>46</v>
      </c>
      <c r="B47">
        <f>INT((A47-1)/37)+1</f>
        <v/>
      </c>
      <c r="C47">
        <f>MOD(A47-1,37)+1</f>
        <v/>
      </c>
      <c r="D47">
        <f>TRIM(INDEX(データ入力!$B$5:$Q$41,C47,(B47-1)*4+1)&amp;"")</f>
        <v/>
      </c>
      <c r="E47">
        <f>INDEX(データ入力!$B$5:$Q$41,C47,(B47-1)*4+2)&amp;""</f>
        <v/>
      </c>
      <c r="F47">
        <f>IF(OR(E47="1",E47="１",E47="男"),"男",IF(OR(E47="2",E47="２",E47="女"),"女",""))</f>
        <v/>
      </c>
      <c r="G47">
        <f>INDEX(データ入力!$B$5:$Q$41,C47,(B47-1)*4+3)</f>
        <v/>
      </c>
      <c r="H47">
        <f>IF(D47="","",IF($U$2,"混",F47))</f>
        <v/>
      </c>
      <c r="I47">
        <f>IF(AND(H47&lt;&gt;"",ISNUMBER(G47)),H47,"")</f>
        <v/>
      </c>
      <c r="J47">
        <f>IF(I47="","",COUNTIFS($I$2:$I$149,I47,$B$2:$B$149,B47,$G$2:$G$149,"&lt;"&amp;G47)+COUNTIFS($I$2:$I$149,I47,$B$2:$B$149,B47,$G$2:$G$149,G47,$A$2:$A$149,"&lt;"&amp;A47)+1)</f>
        <v/>
      </c>
      <c r="K47">
        <f>IF(I47="","",I47&amp;B47&amp;"-"&amp;J47)</f>
        <v/>
      </c>
      <c r="L47">
        <f>IF(I47="","",I47&amp;B47&amp;"|"&amp;D47)</f>
        <v/>
      </c>
      <c r="M47">
        <f>IF(I47="","",IF(I47="女",COUNTIF(手直し!$G$6:$J$42,D47),COUNTIF(手直し!$B$6:$E$42,D47)))</f>
        <v/>
      </c>
      <c r="N47">
        <f>IF(I47="","",IF(I47="女",COUNTIF(INDEX(手直し!$G$6:$J$42,0,B47),D47),COUNTIF(INDEX(手直し!$B$6:$E$42,0,B47),D47)))</f>
        <v/>
      </c>
      <c r="O47">
        <f>IF(AND(I47&lt;&gt;"",M47=0),1,0)</f>
        <v/>
      </c>
      <c r="P47">
        <f>IF(AND(O47=1,I47&lt;&gt;"女"),COUNTIFS($O$2:O47,1,$I$2:I47,"&lt;&gt;女"),"")</f>
        <v/>
      </c>
      <c r="Q47">
        <f>IF(AND(O47=1,I47="女"),COUNTIFS($O$2:O47,1,$I$2:I47,"女"),"")</f>
        <v/>
      </c>
      <c r="R47">
        <f>IF(AND(I47&lt;&gt;"",M47&gt;=1,N47=0),1,0)</f>
        <v/>
      </c>
      <c r="S47">
        <f>IF(AND(D47&lt;&gt;"",I47=""),1,0)</f>
        <v/>
      </c>
      <c r="V47">
        <f>IF(J47="",0,J47)</f>
        <v/>
      </c>
      <c r="W47">
        <f>IF(I47="","",I47&amp;D47)</f>
        <v/>
      </c>
      <c r="Y47" t="n">
        <v>46</v>
      </c>
      <c r="Z47">
        <f>IF(Y47&gt;$U$22,"",IF(Y47&lt;=$U$23,IF($U$4,"B","A"),IF($U$4,"A","B")))</f>
        <v/>
      </c>
      <c r="AA47">
        <f>IF(Z47="","",IF(Y47&lt;=$U$23,Y47,Y47-$U$23))</f>
        <v/>
      </c>
      <c r="AB47">
        <f>IF(Z47="","",IF(Z47="A",$U$7,$U$8))</f>
        <v/>
      </c>
      <c r="AC47">
        <f>IF(Z47="","",IF(AB47&lt;=$U$6,AB47-AA47+1,IF(AA47&lt;=INT((AB47-$U$6+1)/2),$U$6-1+2*AA47,IF(AA47&lt;=INT((AB47-$U$6+1)/2)+INT((AB47-$U$6)/2),(AB47-1+MOD(AB47,2))-2*(AA47-INT((AB47-$U$6+1)/2)-1),$U$6-(AA47-INT((AB47-$U$6+1)/2)-INT((AB47-$U$6)/2)-1)))))</f>
        <v/>
      </c>
      <c r="AD47">
        <f>IF(Z47="","",IF($U$2,"",IF(Z47="B","女子","男子"))&amp;AA47&amp;"レース")</f>
        <v/>
      </c>
      <c r="AE47">
        <f>IF(Z47="","",IF($U$2,1,AA47))</f>
        <v/>
      </c>
      <c r="AF47">
        <f>IF(AJ47="",99,IF(最終修正!$C$48="",0,IF(AND(ISNUMBER(最終修正!$C$48),INT(最終修正!$C$48)=最終修正!$C$48,最終修正!$C$48-$U$5&gt;=0,最終修正!$C$48-$U$5&lt;=3),最終修正!$C$48-$U$5,-1)))</f>
        <v/>
      </c>
      <c r="AG47">
        <f>IF(AK47="",99,IF(最終修正!$E$48="",1,IF(AND(ISNUMBER(最終修正!$E$48),INT(最終修正!$E$48)=最終修正!$E$48,最終修正!$E$48-$U$5&gt;=0,最終修正!$E$48-$U$5&lt;=3),最終修正!$E$48-$U$5,-1)))</f>
        <v/>
      </c>
      <c r="AH47">
        <f>IF(AL47="",99,IF(最終修正!$G$48="",2,IF(AND(ISNUMBER(最終修正!$G$48),INT(最終修正!$G$48)=最終修正!$G$48,最終修正!$G$48-$U$5&gt;=0,最終修正!$G$48-$U$5&lt;=3),最終修正!$G$48-$U$5,-1)))</f>
        <v/>
      </c>
      <c r="AI47">
        <f>IF(AM47="",99,IF(最終修正!$I$48="",3,IF(AND(ISNUMBER(最終修正!$I$48),INT(最終修正!$I$48)=最終修正!$I$48,最終修正!$I$48-$U$5&gt;=0,最終修正!$I$48-$U$5&lt;=3),最終修正!$I$48-$U$5,-1)))</f>
        <v/>
      </c>
      <c r="AJ47">
        <f>IF(計算用!$Z$47="","",IF(計算用!$U$24,IF(計算用!$Z$47="A",INDEX(手直し!$B$6:$E$42,計算用!$AC$47,MOD(0-計算用!$AE$47+1,4)+1),INDEX(手直し!$G$6:$J$42,計算用!$AC$47,MOD(0-計算用!$AE$47+1,4)+1)),IF(計算用!$Z$47="A",INDEX(組分け!$B$5:$I$41,計算用!$AC$47,(MOD(0-計算用!$AE$47+1,4)+1)*2-1),INDEX(組分け!$L$5:$S$41,計算用!$AC$47,(MOD(0-計算用!$AE$47+1,4)+1)*2-1)))&amp;"")</f>
        <v/>
      </c>
      <c r="AK47">
        <f>IF(計算用!$Z$47="","",IF(計算用!$U$24,IF(計算用!$Z$47="A",INDEX(手直し!$B$6:$E$42,計算用!$AC$47,MOD(1-計算用!$AE$47+1,4)+1),INDEX(手直し!$G$6:$J$42,計算用!$AC$47,MOD(1-計算用!$AE$47+1,4)+1)),IF(計算用!$Z$47="A",INDEX(組分け!$B$5:$I$41,計算用!$AC$47,(MOD(1-計算用!$AE$47+1,4)+1)*2-1),INDEX(組分け!$L$5:$S$41,計算用!$AC$47,(MOD(1-計算用!$AE$47+1,4)+1)*2-1)))&amp;"")</f>
        <v/>
      </c>
      <c r="AL47">
        <f>IF(計算用!$Z$47="","",IF(計算用!$U$24,IF(計算用!$Z$47="A",INDEX(手直し!$B$6:$E$42,計算用!$AC$47,MOD(2-計算用!$AE$47+1,4)+1),INDEX(手直し!$G$6:$J$42,計算用!$AC$47,MOD(2-計算用!$AE$47+1,4)+1)),IF(計算用!$Z$47="A",INDEX(組分け!$B$5:$I$41,計算用!$AC$47,(MOD(2-計算用!$AE$47+1,4)+1)*2-1),INDEX(組分け!$L$5:$S$41,計算用!$AC$47,(MOD(2-計算用!$AE$47+1,4)+1)*2-1)))&amp;"")</f>
        <v/>
      </c>
      <c r="AM47">
        <f>IF(計算用!$Z$47="","",IF(計算用!$U$24,IF(計算用!$Z$47="A",INDEX(手直し!$B$6:$E$42,計算用!$AC$47,MOD(3-計算用!$AE$47+1,4)+1),INDEX(手直し!$G$6:$J$42,計算用!$AC$47,MOD(3-計算用!$AE$47+1,4)+1)),IF(計算用!$Z$47="A",INDEX(組分け!$B$5:$I$41,計算用!$AC$47,(MOD(3-計算用!$AE$47+1,4)+1)*2-1),INDEX(組分け!$L$5:$S$41,計算用!$AC$47,(MOD(3-計算用!$AE$47+1,4)+1)*2-1)))&amp;"")</f>
        <v/>
      </c>
      <c r="AN47">
        <f>IF(Z47="",0,(COUNTIF($AF47:$AI47,0)&gt;1)+(COUNTIF($AF47:$AI47,1)&gt;1)+(COUNTIF($AF47:$AI47,2)&gt;1)+(COUNTIF($AF47:$AI47,3)&gt;1)+COUNTIF($AF47:$AI47,-1))</f>
        <v/>
      </c>
      <c r="AP47">
        <f>IF(Z47="","",IFERROR(MOD(MATCH(0,$AF47:$AI47,0)-1-AE47+1,4),""))</f>
        <v/>
      </c>
      <c r="AQ47">
        <f>IF(Z47="","",IFERROR(MOD(MATCH(1,$AF47:$AI47,0)-1-AE47+1,4),""))</f>
        <v/>
      </c>
      <c r="AR47">
        <f>IF(Z47="","",IFERROR(MOD(MATCH(2,$AF47:$AI47,0)-1-AE47+1,4),""))</f>
        <v/>
      </c>
      <c r="AS47">
        <f>IF(Z47="","",IFERROR(MOD(MATCH(3,$AF47:$AI47,0)-1-AE47+1,4),""))</f>
        <v/>
      </c>
    </row>
    <row r="48">
      <c r="A48" t="n">
        <v>47</v>
      </c>
      <c r="B48">
        <f>INT((A48-1)/37)+1</f>
        <v/>
      </c>
      <c r="C48">
        <f>MOD(A48-1,37)+1</f>
        <v/>
      </c>
      <c r="D48">
        <f>TRIM(INDEX(データ入力!$B$5:$Q$41,C48,(B48-1)*4+1)&amp;"")</f>
        <v/>
      </c>
      <c r="E48">
        <f>INDEX(データ入力!$B$5:$Q$41,C48,(B48-1)*4+2)&amp;""</f>
        <v/>
      </c>
      <c r="F48">
        <f>IF(OR(E48="1",E48="１",E48="男"),"男",IF(OR(E48="2",E48="２",E48="女"),"女",""))</f>
        <v/>
      </c>
      <c r="G48">
        <f>INDEX(データ入力!$B$5:$Q$41,C48,(B48-1)*4+3)</f>
        <v/>
      </c>
      <c r="H48">
        <f>IF(D48="","",IF($U$2,"混",F48))</f>
        <v/>
      </c>
      <c r="I48">
        <f>IF(AND(H48&lt;&gt;"",ISNUMBER(G48)),H48,"")</f>
        <v/>
      </c>
      <c r="J48">
        <f>IF(I48="","",COUNTIFS($I$2:$I$149,I48,$B$2:$B$149,B48,$G$2:$G$149,"&lt;"&amp;G48)+COUNTIFS($I$2:$I$149,I48,$B$2:$B$149,B48,$G$2:$G$149,G48,$A$2:$A$149,"&lt;"&amp;A48)+1)</f>
        <v/>
      </c>
      <c r="K48">
        <f>IF(I48="","",I48&amp;B48&amp;"-"&amp;J48)</f>
        <v/>
      </c>
      <c r="L48">
        <f>IF(I48="","",I48&amp;B48&amp;"|"&amp;D48)</f>
        <v/>
      </c>
      <c r="M48">
        <f>IF(I48="","",IF(I48="女",COUNTIF(手直し!$G$6:$J$42,D48),COUNTIF(手直し!$B$6:$E$42,D48)))</f>
        <v/>
      </c>
      <c r="N48">
        <f>IF(I48="","",IF(I48="女",COUNTIF(INDEX(手直し!$G$6:$J$42,0,B48),D48),COUNTIF(INDEX(手直し!$B$6:$E$42,0,B48),D48)))</f>
        <v/>
      </c>
      <c r="O48">
        <f>IF(AND(I48&lt;&gt;"",M48=0),1,0)</f>
        <v/>
      </c>
      <c r="P48">
        <f>IF(AND(O48=1,I48&lt;&gt;"女"),COUNTIFS($O$2:O48,1,$I$2:I48,"&lt;&gt;女"),"")</f>
        <v/>
      </c>
      <c r="Q48">
        <f>IF(AND(O48=1,I48="女"),COUNTIFS($O$2:O48,1,$I$2:I48,"女"),"")</f>
        <v/>
      </c>
      <c r="R48">
        <f>IF(AND(I48&lt;&gt;"",M48&gt;=1,N48=0),1,0)</f>
        <v/>
      </c>
      <c r="S48">
        <f>IF(AND(D48&lt;&gt;"",I48=""),1,0)</f>
        <v/>
      </c>
      <c r="V48">
        <f>IF(J48="",0,J48)</f>
        <v/>
      </c>
      <c r="W48">
        <f>IF(I48="","",I48&amp;D48)</f>
        <v/>
      </c>
      <c r="Y48" t="n">
        <v>47</v>
      </c>
      <c r="Z48">
        <f>IF(Y48&gt;$U$22,"",IF(Y48&lt;=$U$23,IF($U$4,"B","A"),IF($U$4,"A","B")))</f>
        <v/>
      </c>
      <c r="AA48">
        <f>IF(Z48="","",IF(Y48&lt;=$U$23,Y48,Y48-$U$23))</f>
        <v/>
      </c>
      <c r="AB48">
        <f>IF(Z48="","",IF(Z48="A",$U$7,$U$8))</f>
        <v/>
      </c>
      <c r="AC48">
        <f>IF(Z48="","",IF(AB48&lt;=$U$6,AB48-AA48+1,IF(AA48&lt;=INT((AB48-$U$6+1)/2),$U$6-1+2*AA48,IF(AA48&lt;=INT((AB48-$U$6+1)/2)+INT((AB48-$U$6)/2),(AB48-1+MOD(AB48,2))-2*(AA48-INT((AB48-$U$6+1)/2)-1),$U$6-(AA48-INT((AB48-$U$6+1)/2)-INT((AB48-$U$6)/2)-1)))))</f>
        <v/>
      </c>
      <c r="AD48">
        <f>IF(Z48="","",IF($U$2,"",IF(Z48="B","女子","男子"))&amp;AA48&amp;"レース")</f>
        <v/>
      </c>
      <c r="AE48">
        <f>IF(Z48="","",IF($U$2,1,AA48))</f>
        <v/>
      </c>
      <c r="AF48">
        <f>IF(AJ48="",99,IF(最終修正!$C$49="",0,IF(AND(ISNUMBER(最終修正!$C$49),INT(最終修正!$C$49)=最終修正!$C$49,最終修正!$C$49-$U$5&gt;=0,最終修正!$C$49-$U$5&lt;=3),最終修正!$C$49-$U$5,-1)))</f>
        <v/>
      </c>
      <c r="AG48">
        <f>IF(AK48="",99,IF(最終修正!$E$49="",1,IF(AND(ISNUMBER(最終修正!$E$49),INT(最終修正!$E$49)=最終修正!$E$49,最終修正!$E$49-$U$5&gt;=0,最終修正!$E$49-$U$5&lt;=3),最終修正!$E$49-$U$5,-1)))</f>
        <v/>
      </c>
      <c r="AH48">
        <f>IF(AL48="",99,IF(最終修正!$G$49="",2,IF(AND(ISNUMBER(最終修正!$G$49),INT(最終修正!$G$49)=最終修正!$G$49,最終修正!$G$49-$U$5&gt;=0,最終修正!$G$49-$U$5&lt;=3),最終修正!$G$49-$U$5,-1)))</f>
        <v/>
      </c>
      <c r="AI48">
        <f>IF(AM48="",99,IF(最終修正!$I$49="",3,IF(AND(ISNUMBER(最終修正!$I$49),INT(最終修正!$I$49)=最終修正!$I$49,最終修正!$I$49-$U$5&gt;=0,最終修正!$I$49-$U$5&lt;=3),最終修正!$I$49-$U$5,-1)))</f>
        <v/>
      </c>
      <c r="AJ48">
        <f>IF(計算用!$Z$48="","",IF(計算用!$U$24,IF(計算用!$Z$48="A",INDEX(手直し!$B$6:$E$42,計算用!$AC$48,MOD(0-計算用!$AE$48+1,4)+1),INDEX(手直し!$G$6:$J$42,計算用!$AC$48,MOD(0-計算用!$AE$48+1,4)+1)),IF(計算用!$Z$48="A",INDEX(組分け!$B$5:$I$41,計算用!$AC$48,(MOD(0-計算用!$AE$48+1,4)+1)*2-1),INDEX(組分け!$L$5:$S$41,計算用!$AC$48,(MOD(0-計算用!$AE$48+1,4)+1)*2-1)))&amp;"")</f>
        <v/>
      </c>
      <c r="AK48">
        <f>IF(計算用!$Z$48="","",IF(計算用!$U$24,IF(計算用!$Z$48="A",INDEX(手直し!$B$6:$E$42,計算用!$AC$48,MOD(1-計算用!$AE$48+1,4)+1),INDEX(手直し!$G$6:$J$42,計算用!$AC$48,MOD(1-計算用!$AE$48+1,4)+1)),IF(計算用!$Z$48="A",INDEX(組分け!$B$5:$I$41,計算用!$AC$48,(MOD(1-計算用!$AE$48+1,4)+1)*2-1),INDEX(組分け!$L$5:$S$41,計算用!$AC$48,(MOD(1-計算用!$AE$48+1,4)+1)*2-1)))&amp;"")</f>
        <v/>
      </c>
      <c r="AL48">
        <f>IF(計算用!$Z$48="","",IF(計算用!$U$24,IF(計算用!$Z$48="A",INDEX(手直し!$B$6:$E$42,計算用!$AC$48,MOD(2-計算用!$AE$48+1,4)+1),INDEX(手直し!$G$6:$J$42,計算用!$AC$48,MOD(2-計算用!$AE$48+1,4)+1)),IF(計算用!$Z$48="A",INDEX(組分け!$B$5:$I$41,計算用!$AC$48,(MOD(2-計算用!$AE$48+1,4)+1)*2-1),INDEX(組分け!$L$5:$S$41,計算用!$AC$48,(MOD(2-計算用!$AE$48+1,4)+1)*2-1)))&amp;"")</f>
        <v/>
      </c>
      <c r="AM48">
        <f>IF(計算用!$Z$48="","",IF(計算用!$U$24,IF(計算用!$Z$48="A",INDEX(手直し!$B$6:$E$42,計算用!$AC$48,MOD(3-計算用!$AE$48+1,4)+1),INDEX(手直し!$G$6:$J$42,計算用!$AC$48,MOD(3-計算用!$AE$48+1,4)+1)),IF(計算用!$Z$48="A",INDEX(組分け!$B$5:$I$41,計算用!$AC$48,(MOD(3-計算用!$AE$48+1,4)+1)*2-1),INDEX(組分け!$L$5:$S$41,計算用!$AC$48,(MOD(3-計算用!$AE$48+1,4)+1)*2-1)))&amp;"")</f>
        <v/>
      </c>
      <c r="AN48">
        <f>IF(Z48="",0,(COUNTIF($AF48:$AI48,0)&gt;1)+(COUNTIF($AF48:$AI48,1)&gt;1)+(COUNTIF($AF48:$AI48,2)&gt;1)+(COUNTIF($AF48:$AI48,3)&gt;1)+COUNTIF($AF48:$AI48,-1))</f>
        <v/>
      </c>
      <c r="AP48">
        <f>IF(Z48="","",IFERROR(MOD(MATCH(0,$AF48:$AI48,0)-1-AE48+1,4),""))</f>
        <v/>
      </c>
      <c r="AQ48">
        <f>IF(Z48="","",IFERROR(MOD(MATCH(1,$AF48:$AI48,0)-1-AE48+1,4),""))</f>
        <v/>
      </c>
      <c r="AR48">
        <f>IF(Z48="","",IFERROR(MOD(MATCH(2,$AF48:$AI48,0)-1-AE48+1,4),""))</f>
        <v/>
      </c>
      <c r="AS48">
        <f>IF(Z48="","",IFERROR(MOD(MATCH(3,$AF48:$AI48,0)-1-AE48+1,4),""))</f>
        <v/>
      </c>
    </row>
    <row r="49">
      <c r="A49" t="n">
        <v>48</v>
      </c>
      <c r="B49">
        <f>INT((A49-1)/37)+1</f>
        <v/>
      </c>
      <c r="C49">
        <f>MOD(A49-1,37)+1</f>
        <v/>
      </c>
      <c r="D49">
        <f>TRIM(INDEX(データ入力!$B$5:$Q$41,C49,(B49-1)*4+1)&amp;"")</f>
        <v/>
      </c>
      <c r="E49">
        <f>INDEX(データ入力!$B$5:$Q$41,C49,(B49-1)*4+2)&amp;""</f>
        <v/>
      </c>
      <c r="F49">
        <f>IF(OR(E49="1",E49="１",E49="男"),"男",IF(OR(E49="2",E49="２",E49="女"),"女",""))</f>
        <v/>
      </c>
      <c r="G49">
        <f>INDEX(データ入力!$B$5:$Q$41,C49,(B49-1)*4+3)</f>
        <v/>
      </c>
      <c r="H49">
        <f>IF(D49="","",IF($U$2,"混",F49))</f>
        <v/>
      </c>
      <c r="I49">
        <f>IF(AND(H49&lt;&gt;"",ISNUMBER(G49)),H49,"")</f>
        <v/>
      </c>
      <c r="J49">
        <f>IF(I49="","",COUNTIFS($I$2:$I$149,I49,$B$2:$B$149,B49,$G$2:$G$149,"&lt;"&amp;G49)+COUNTIFS($I$2:$I$149,I49,$B$2:$B$149,B49,$G$2:$G$149,G49,$A$2:$A$149,"&lt;"&amp;A49)+1)</f>
        <v/>
      </c>
      <c r="K49">
        <f>IF(I49="","",I49&amp;B49&amp;"-"&amp;J49)</f>
        <v/>
      </c>
      <c r="L49">
        <f>IF(I49="","",I49&amp;B49&amp;"|"&amp;D49)</f>
        <v/>
      </c>
      <c r="M49">
        <f>IF(I49="","",IF(I49="女",COUNTIF(手直し!$G$6:$J$42,D49),COUNTIF(手直し!$B$6:$E$42,D49)))</f>
        <v/>
      </c>
      <c r="N49">
        <f>IF(I49="","",IF(I49="女",COUNTIF(INDEX(手直し!$G$6:$J$42,0,B49),D49),COUNTIF(INDEX(手直し!$B$6:$E$42,0,B49),D49)))</f>
        <v/>
      </c>
      <c r="O49">
        <f>IF(AND(I49&lt;&gt;"",M49=0),1,0)</f>
        <v/>
      </c>
      <c r="P49">
        <f>IF(AND(O49=1,I49&lt;&gt;"女"),COUNTIFS($O$2:O49,1,$I$2:I49,"&lt;&gt;女"),"")</f>
        <v/>
      </c>
      <c r="Q49">
        <f>IF(AND(O49=1,I49="女"),COUNTIFS($O$2:O49,1,$I$2:I49,"女"),"")</f>
        <v/>
      </c>
      <c r="R49">
        <f>IF(AND(I49&lt;&gt;"",M49&gt;=1,N49=0),1,0)</f>
        <v/>
      </c>
      <c r="S49">
        <f>IF(AND(D49&lt;&gt;"",I49=""),1,0)</f>
        <v/>
      </c>
      <c r="V49">
        <f>IF(J49="",0,J49)</f>
        <v/>
      </c>
      <c r="W49">
        <f>IF(I49="","",I49&amp;D49)</f>
        <v/>
      </c>
      <c r="Y49" t="n">
        <v>48</v>
      </c>
      <c r="Z49">
        <f>IF(Y49&gt;$U$22,"",IF(Y49&lt;=$U$23,IF($U$4,"B","A"),IF($U$4,"A","B")))</f>
        <v/>
      </c>
      <c r="AA49">
        <f>IF(Z49="","",IF(Y49&lt;=$U$23,Y49,Y49-$U$23))</f>
        <v/>
      </c>
      <c r="AB49">
        <f>IF(Z49="","",IF(Z49="A",$U$7,$U$8))</f>
        <v/>
      </c>
      <c r="AC49">
        <f>IF(Z49="","",IF(AB49&lt;=$U$6,AB49-AA49+1,IF(AA49&lt;=INT((AB49-$U$6+1)/2),$U$6-1+2*AA49,IF(AA49&lt;=INT((AB49-$U$6+1)/2)+INT((AB49-$U$6)/2),(AB49-1+MOD(AB49,2))-2*(AA49-INT((AB49-$U$6+1)/2)-1),$U$6-(AA49-INT((AB49-$U$6+1)/2)-INT((AB49-$U$6)/2)-1)))))</f>
        <v/>
      </c>
      <c r="AD49">
        <f>IF(Z49="","",IF($U$2,"",IF(Z49="B","女子","男子"))&amp;AA49&amp;"レース")</f>
        <v/>
      </c>
      <c r="AE49">
        <f>IF(Z49="","",IF($U$2,1,AA49))</f>
        <v/>
      </c>
      <c r="AF49">
        <f>IF(AJ49="",99,IF(最終修正!$C$50="",0,IF(AND(ISNUMBER(最終修正!$C$50),INT(最終修正!$C$50)=最終修正!$C$50,最終修正!$C$50-$U$5&gt;=0,最終修正!$C$50-$U$5&lt;=3),最終修正!$C$50-$U$5,-1)))</f>
        <v/>
      </c>
      <c r="AG49">
        <f>IF(AK49="",99,IF(最終修正!$E$50="",1,IF(AND(ISNUMBER(最終修正!$E$50),INT(最終修正!$E$50)=最終修正!$E$50,最終修正!$E$50-$U$5&gt;=0,最終修正!$E$50-$U$5&lt;=3),最終修正!$E$50-$U$5,-1)))</f>
        <v/>
      </c>
      <c r="AH49">
        <f>IF(AL49="",99,IF(最終修正!$G$50="",2,IF(AND(ISNUMBER(最終修正!$G$50),INT(最終修正!$G$50)=最終修正!$G$50,最終修正!$G$50-$U$5&gt;=0,最終修正!$G$50-$U$5&lt;=3),最終修正!$G$50-$U$5,-1)))</f>
        <v/>
      </c>
      <c r="AI49">
        <f>IF(AM49="",99,IF(最終修正!$I$50="",3,IF(AND(ISNUMBER(最終修正!$I$50),INT(最終修正!$I$50)=最終修正!$I$50,最終修正!$I$50-$U$5&gt;=0,最終修正!$I$50-$U$5&lt;=3),最終修正!$I$50-$U$5,-1)))</f>
        <v/>
      </c>
      <c r="AJ49">
        <f>IF(計算用!$Z$49="","",IF(計算用!$U$24,IF(計算用!$Z$49="A",INDEX(手直し!$B$6:$E$42,計算用!$AC$49,MOD(0-計算用!$AE$49+1,4)+1),INDEX(手直し!$G$6:$J$42,計算用!$AC$49,MOD(0-計算用!$AE$49+1,4)+1)),IF(計算用!$Z$49="A",INDEX(組分け!$B$5:$I$41,計算用!$AC$49,(MOD(0-計算用!$AE$49+1,4)+1)*2-1),INDEX(組分け!$L$5:$S$41,計算用!$AC$49,(MOD(0-計算用!$AE$49+1,4)+1)*2-1)))&amp;"")</f>
        <v/>
      </c>
      <c r="AK49">
        <f>IF(計算用!$Z$49="","",IF(計算用!$U$24,IF(計算用!$Z$49="A",INDEX(手直し!$B$6:$E$42,計算用!$AC$49,MOD(1-計算用!$AE$49+1,4)+1),INDEX(手直し!$G$6:$J$42,計算用!$AC$49,MOD(1-計算用!$AE$49+1,4)+1)),IF(計算用!$Z$49="A",INDEX(組分け!$B$5:$I$41,計算用!$AC$49,(MOD(1-計算用!$AE$49+1,4)+1)*2-1),INDEX(組分け!$L$5:$S$41,計算用!$AC$49,(MOD(1-計算用!$AE$49+1,4)+1)*2-1)))&amp;"")</f>
        <v/>
      </c>
      <c r="AL49">
        <f>IF(計算用!$Z$49="","",IF(計算用!$U$24,IF(計算用!$Z$49="A",INDEX(手直し!$B$6:$E$42,計算用!$AC$49,MOD(2-計算用!$AE$49+1,4)+1),INDEX(手直し!$G$6:$J$42,計算用!$AC$49,MOD(2-計算用!$AE$49+1,4)+1)),IF(計算用!$Z$49="A",INDEX(組分け!$B$5:$I$41,計算用!$AC$49,(MOD(2-計算用!$AE$49+1,4)+1)*2-1),INDEX(組分け!$L$5:$S$41,計算用!$AC$49,(MOD(2-計算用!$AE$49+1,4)+1)*2-1)))&amp;"")</f>
        <v/>
      </c>
      <c r="AM49">
        <f>IF(計算用!$Z$49="","",IF(計算用!$U$24,IF(計算用!$Z$49="A",INDEX(手直し!$B$6:$E$42,計算用!$AC$49,MOD(3-計算用!$AE$49+1,4)+1),INDEX(手直し!$G$6:$J$42,計算用!$AC$49,MOD(3-計算用!$AE$49+1,4)+1)),IF(計算用!$Z$49="A",INDEX(組分け!$B$5:$I$41,計算用!$AC$49,(MOD(3-計算用!$AE$49+1,4)+1)*2-1),INDEX(組分け!$L$5:$S$41,計算用!$AC$49,(MOD(3-計算用!$AE$49+1,4)+1)*2-1)))&amp;"")</f>
        <v/>
      </c>
      <c r="AN49">
        <f>IF(Z49="",0,(COUNTIF($AF49:$AI49,0)&gt;1)+(COUNTIF($AF49:$AI49,1)&gt;1)+(COUNTIF($AF49:$AI49,2)&gt;1)+(COUNTIF($AF49:$AI49,3)&gt;1)+COUNTIF($AF49:$AI49,-1))</f>
        <v/>
      </c>
      <c r="AP49">
        <f>IF(Z49="","",IFERROR(MOD(MATCH(0,$AF49:$AI49,0)-1-AE49+1,4),""))</f>
        <v/>
      </c>
      <c r="AQ49">
        <f>IF(Z49="","",IFERROR(MOD(MATCH(1,$AF49:$AI49,0)-1-AE49+1,4),""))</f>
        <v/>
      </c>
      <c r="AR49">
        <f>IF(Z49="","",IFERROR(MOD(MATCH(2,$AF49:$AI49,0)-1-AE49+1,4),""))</f>
        <v/>
      </c>
      <c r="AS49">
        <f>IF(Z49="","",IFERROR(MOD(MATCH(3,$AF49:$AI49,0)-1-AE49+1,4),""))</f>
        <v/>
      </c>
    </row>
    <row r="50">
      <c r="A50" t="n">
        <v>49</v>
      </c>
      <c r="B50">
        <f>INT((A50-1)/37)+1</f>
        <v/>
      </c>
      <c r="C50">
        <f>MOD(A50-1,37)+1</f>
        <v/>
      </c>
      <c r="D50">
        <f>TRIM(INDEX(データ入力!$B$5:$Q$41,C50,(B50-1)*4+1)&amp;"")</f>
        <v/>
      </c>
      <c r="E50">
        <f>INDEX(データ入力!$B$5:$Q$41,C50,(B50-1)*4+2)&amp;""</f>
        <v/>
      </c>
      <c r="F50">
        <f>IF(OR(E50="1",E50="１",E50="男"),"男",IF(OR(E50="2",E50="２",E50="女"),"女",""))</f>
        <v/>
      </c>
      <c r="G50">
        <f>INDEX(データ入力!$B$5:$Q$41,C50,(B50-1)*4+3)</f>
        <v/>
      </c>
      <c r="H50">
        <f>IF(D50="","",IF($U$2,"混",F50))</f>
        <v/>
      </c>
      <c r="I50">
        <f>IF(AND(H50&lt;&gt;"",ISNUMBER(G50)),H50,"")</f>
        <v/>
      </c>
      <c r="J50">
        <f>IF(I50="","",COUNTIFS($I$2:$I$149,I50,$B$2:$B$149,B50,$G$2:$G$149,"&lt;"&amp;G50)+COUNTIFS($I$2:$I$149,I50,$B$2:$B$149,B50,$G$2:$G$149,G50,$A$2:$A$149,"&lt;"&amp;A50)+1)</f>
        <v/>
      </c>
      <c r="K50">
        <f>IF(I50="","",I50&amp;B50&amp;"-"&amp;J50)</f>
        <v/>
      </c>
      <c r="L50">
        <f>IF(I50="","",I50&amp;B50&amp;"|"&amp;D50)</f>
        <v/>
      </c>
      <c r="M50">
        <f>IF(I50="","",IF(I50="女",COUNTIF(手直し!$G$6:$J$42,D50),COUNTIF(手直し!$B$6:$E$42,D50)))</f>
        <v/>
      </c>
      <c r="N50">
        <f>IF(I50="","",IF(I50="女",COUNTIF(INDEX(手直し!$G$6:$J$42,0,B50),D50),COUNTIF(INDEX(手直し!$B$6:$E$42,0,B50),D50)))</f>
        <v/>
      </c>
      <c r="O50">
        <f>IF(AND(I50&lt;&gt;"",M50=0),1,0)</f>
        <v/>
      </c>
      <c r="P50">
        <f>IF(AND(O50=1,I50&lt;&gt;"女"),COUNTIFS($O$2:O50,1,$I$2:I50,"&lt;&gt;女"),"")</f>
        <v/>
      </c>
      <c r="Q50">
        <f>IF(AND(O50=1,I50="女"),COUNTIFS($O$2:O50,1,$I$2:I50,"女"),"")</f>
        <v/>
      </c>
      <c r="R50">
        <f>IF(AND(I50&lt;&gt;"",M50&gt;=1,N50=0),1,0)</f>
        <v/>
      </c>
      <c r="S50">
        <f>IF(AND(D50&lt;&gt;"",I50=""),1,0)</f>
        <v/>
      </c>
      <c r="V50">
        <f>IF(J50="",0,J50)</f>
        <v/>
      </c>
      <c r="W50">
        <f>IF(I50="","",I50&amp;D50)</f>
        <v/>
      </c>
      <c r="Y50" t="n">
        <v>49</v>
      </c>
      <c r="Z50">
        <f>IF(Y50&gt;$U$22,"",IF(Y50&lt;=$U$23,IF($U$4,"B","A"),IF($U$4,"A","B")))</f>
        <v/>
      </c>
      <c r="AA50">
        <f>IF(Z50="","",IF(Y50&lt;=$U$23,Y50,Y50-$U$23))</f>
        <v/>
      </c>
      <c r="AB50">
        <f>IF(Z50="","",IF(Z50="A",$U$7,$U$8))</f>
        <v/>
      </c>
      <c r="AC50">
        <f>IF(Z50="","",IF(AB50&lt;=$U$6,AB50-AA50+1,IF(AA50&lt;=INT((AB50-$U$6+1)/2),$U$6-1+2*AA50,IF(AA50&lt;=INT((AB50-$U$6+1)/2)+INT((AB50-$U$6)/2),(AB50-1+MOD(AB50,2))-2*(AA50-INT((AB50-$U$6+1)/2)-1),$U$6-(AA50-INT((AB50-$U$6+1)/2)-INT((AB50-$U$6)/2)-1)))))</f>
        <v/>
      </c>
      <c r="AD50">
        <f>IF(Z50="","",IF($U$2,"",IF(Z50="B","女子","男子"))&amp;AA50&amp;"レース")</f>
        <v/>
      </c>
      <c r="AE50">
        <f>IF(Z50="","",IF($U$2,1,AA50))</f>
        <v/>
      </c>
      <c r="AF50">
        <f>IF(AJ50="",99,IF(最終修正!$C$51="",0,IF(AND(ISNUMBER(最終修正!$C$51),INT(最終修正!$C$51)=最終修正!$C$51,最終修正!$C$51-$U$5&gt;=0,最終修正!$C$51-$U$5&lt;=3),最終修正!$C$51-$U$5,-1)))</f>
        <v/>
      </c>
      <c r="AG50">
        <f>IF(AK50="",99,IF(最終修正!$E$51="",1,IF(AND(ISNUMBER(最終修正!$E$51),INT(最終修正!$E$51)=最終修正!$E$51,最終修正!$E$51-$U$5&gt;=0,最終修正!$E$51-$U$5&lt;=3),最終修正!$E$51-$U$5,-1)))</f>
        <v/>
      </c>
      <c r="AH50">
        <f>IF(AL50="",99,IF(最終修正!$G$51="",2,IF(AND(ISNUMBER(最終修正!$G$51),INT(最終修正!$G$51)=最終修正!$G$51,最終修正!$G$51-$U$5&gt;=0,最終修正!$G$51-$U$5&lt;=3),最終修正!$G$51-$U$5,-1)))</f>
        <v/>
      </c>
      <c r="AI50">
        <f>IF(AM50="",99,IF(最終修正!$I$51="",3,IF(AND(ISNUMBER(最終修正!$I$51),INT(最終修正!$I$51)=最終修正!$I$51,最終修正!$I$51-$U$5&gt;=0,最終修正!$I$51-$U$5&lt;=3),最終修正!$I$51-$U$5,-1)))</f>
        <v/>
      </c>
      <c r="AJ50">
        <f>IF(計算用!$Z$50="","",IF(計算用!$U$24,IF(計算用!$Z$50="A",INDEX(手直し!$B$6:$E$42,計算用!$AC$50,MOD(0-計算用!$AE$50+1,4)+1),INDEX(手直し!$G$6:$J$42,計算用!$AC$50,MOD(0-計算用!$AE$50+1,4)+1)),IF(計算用!$Z$50="A",INDEX(組分け!$B$5:$I$41,計算用!$AC$50,(MOD(0-計算用!$AE$50+1,4)+1)*2-1),INDEX(組分け!$L$5:$S$41,計算用!$AC$50,(MOD(0-計算用!$AE$50+1,4)+1)*2-1)))&amp;"")</f>
        <v/>
      </c>
      <c r="AK50">
        <f>IF(計算用!$Z$50="","",IF(計算用!$U$24,IF(計算用!$Z$50="A",INDEX(手直し!$B$6:$E$42,計算用!$AC$50,MOD(1-計算用!$AE$50+1,4)+1),INDEX(手直し!$G$6:$J$42,計算用!$AC$50,MOD(1-計算用!$AE$50+1,4)+1)),IF(計算用!$Z$50="A",INDEX(組分け!$B$5:$I$41,計算用!$AC$50,(MOD(1-計算用!$AE$50+1,4)+1)*2-1),INDEX(組分け!$L$5:$S$41,計算用!$AC$50,(MOD(1-計算用!$AE$50+1,4)+1)*2-1)))&amp;"")</f>
        <v/>
      </c>
      <c r="AL50">
        <f>IF(計算用!$Z$50="","",IF(計算用!$U$24,IF(計算用!$Z$50="A",INDEX(手直し!$B$6:$E$42,計算用!$AC$50,MOD(2-計算用!$AE$50+1,4)+1),INDEX(手直し!$G$6:$J$42,計算用!$AC$50,MOD(2-計算用!$AE$50+1,4)+1)),IF(計算用!$Z$50="A",INDEX(組分け!$B$5:$I$41,計算用!$AC$50,(MOD(2-計算用!$AE$50+1,4)+1)*2-1),INDEX(組分け!$L$5:$S$41,計算用!$AC$50,(MOD(2-計算用!$AE$50+1,4)+1)*2-1)))&amp;"")</f>
        <v/>
      </c>
      <c r="AM50">
        <f>IF(計算用!$Z$50="","",IF(計算用!$U$24,IF(計算用!$Z$50="A",INDEX(手直し!$B$6:$E$42,計算用!$AC$50,MOD(3-計算用!$AE$50+1,4)+1),INDEX(手直し!$G$6:$J$42,計算用!$AC$50,MOD(3-計算用!$AE$50+1,4)+1)),IF(計算用!$Z$50="A",INDEX(組分け!$B$5:$I$41,計算用!$AC$50,(MOD(3-計算用!$AE$50+1,4)+1)*2-1),INDEX(組分け!$L$5:$S$41,計算用!$AC$50,(MOD(3-計算用!$AE$50+1,4)+1)*2-1)))&amp;"")</f>
        <v/>
      </c>
      <c r="AN50">
        <f>IF(Z50="",0,(COUNTIF($AF50:$AI50,0)&gt;1)+(COUNTIF($AF50:$AI50,1)&gt;1)+(COUNTIF($AF50:$AI50,2)&gt;1)+(COUNTIF($AF50:$AI50,3)&gt;1)+COUNTIF($AF50:$AI50,-1))</f>
        <v/>
      </c>
      <c r="AP50">
        <f>IF(Z50="","",IFERROR(MOD(MATCH(0,$AF50:$AI50,0)-1-AE50+1,4),""))</f>
        <v/>
      </c>
      <c r="AQ50">
        <f>IF(Z50="","",IFERROR(MOD(MATCH(1,$AF50:$AI50,0)-1-AE50+1,4),""))</f>
        <v/>
      </c>
      <c r="AR50">
        <f>IF(Z50="","",IFERROR(MOD(MATCH(2,$AF50:$AI50,0)-1-AE50+1,4),""))</f>
        <v/>
      </c>
      <c r="AS50">
        <f>IF(Z50="","",IFERROR(MOD(MATCH(3,$AF50:$AI50,0)-1-AE50+1,4),""))</f>
        <v/>
      </c>
    </row>
    <row r="51">
      <c r="A51" t="n">
        <v>50</v>
      </c>
      <c r="B51">
        <f>INT((A51-1)/37)+1</f>
        <v/>
      </c>
      <c r="C51">
        <f>MOD(A51-1,37)+1</f>
        <v/>
      </c>
      <c r="D51">
        <f>TRIM(INDEX(データ入力!$B$5:$Q$41,C51,(B51-1)*4+1)&amp;"")</f>
        <v/>
      </c>
      <c r="E51">
        <f>INDEX(データ入力!$B$5:$Q$41,C51,(B51-1)*4+2)&amp;""</f>
        <v/>
      </c>
      <c r="F51">
        <f>IF(OR(E51="1",E51="１",E51="男"),"男",IF(OR(E51="2",E51="２",E51="女"),"女",""))</f>
        <v/>
      </c>
      <c r="G51">
        <f>INDEX(データ入力!$B$5:$Q$41,C51,(B51-1)*4+3)</f>
        <v/>
      </c>
      <c r="H51">
        <f>IF(D51="","",IF($U$2,"混",F51))</f>
        <v/>
      </c>
      <c r="I51">
        <f>IF(AND(H51&lt;&gt;"",ISNUMBER(G51)),H51,"")</f>
        <v/>
      </c>
      <c r="J51">
        <f>IF(I51="","",COUNTIFS($I$2:$I$149,I51,$B$2:$B$149,B51,$G$2:$G$149,"&lt;"&amp;G51)+COUNTIFS($I$2:$I$149,I51,$B$2:$B$149,B51,$G$2:$G$149,G51,$A$2:$A$149,"&lt;"&amp;A51)+1)</f>
        <v/>
      </c>
      <c r="K51">
        <f>IF(I51="","",I51&amp;B51&amp;"-"&amp;J51)</f>
        <v/>
      </c>
      <c r="L51">
        <f>IF(I51="","",I51&amp;B51&amp;"|"&amp;D51)</f>
        <v/>
      </c>
      <c r="M51">
        <f>IF(I51="","",IF(I51="女",COUNTIF(手直し!$G$6:$J$42,D51),COUNTIF(手直し!$B$6:$E$42,D51)))</f>
        <v/>
      </c>
      <c r="N51">
        <f>IF(I51="","",IF(I51="女",COUNTIF(INDEX(手直し!$G$6:$J$42,0,B51),D51),COUNTIF(INDEX(手直し!$B$6:$E$42,0,B51),D51)))</f>
        <v/>
      </c>
      <c r="O51">
        <f>IF(AND(I51&lt;&gt;"",M51=0),1,0)</f>
        <v/>
      </c>
      <c r="P51">
        <f>IF(AND(O51=1,I51&lt;&gt;"女"),COUNTIFS($O$2:O51,1,$I$2:I51,"&lt;&gt;女"),"")</f>
        <v/>
      </c>
      <c r="Q51">
        <f>IF(AND(O51=1,I51="女"),COUNTIFS($O$2:O51,1,$I$2:I51,"女"),"")</f>
        <v/>
      </c>
      <c r="R51">
        <f>IF(AND(I51&lt;&gt;"",M51&gt;=1,N51=0),1,0)</f>
        <v/>
      </c>
      <c r="S51">
        <f>IF(AND(D51&lt;&gt;"",I51=""),1,0)</f>
        <v/>
      </c>
      <c r="V51">
        <f>IF(J51="",0,J51)</f>
        <v/>
      </c>
      <c r="W51">
        <f>IF(I51="","",I51&amp;D51)</f>
        <v/>
      </c>
      <c r="Y51" t="n">
        <v>50</v>
      </c>
      <c r="Z51">
        <f>IF(Y51&gt;$U$22,"",IF(Y51&lt;=$U$23,IF($U$4,"B","A"),IF($U$4,"A","B")))</f>
        <v/>
      </c>
      <c r="AA51">
        <f>IF(Z51="","",IF(Y51&lt;=$U$23,Y51,Y51-$U$23))</f>
        <v/>
      </c>
      <c r="AB51">
        <f>IF(Z51="","",IF(Z51="A",$U$7,$U$8))</f>
        <v/>
      </c>
      <c r="AC51">
        <f>IF(Z51="","",IF(AB51&lt;=$U$6,AB51-AA51+1,IF(AA51&lt;=INT((AB51-$U$6+1)/2),$U$6-1+2*AA51,IF(AA51&lt;=INT((AB51-$U$6+1)/2)+INT((AB51-$U$6)/2),(AB51-1+MOD(AB51,2))-2*(AA51-INT((AB51-$U$6+1)/2)-1),$U$6-(AA51-INT((AB51-$U$6+1)/2)-INT((AB51-$U$6)/2)-1)))))</f>
        <v/>
      </c>
      <c r="AD51">
        <f>IF(Z51="","",IF($U$2,"",IF(Z51="B","女子","男子"))&amp;AA51&amp;"レース")</f>
        <v/>
      </c>
      <c r="AE51">
        <f>IF(Z51="","",IF($U$2,1,AA51))</f>
        <v/>
      </c>
      <c r="AF51">
        <f>IF(AJ51="",99,IF(最終修正!$C$52="",0,IF(AND(ISNUMBER(最終修正!$C$52),INT(最終修正!$C$52)=最終修正!$C$52,最終修正!$C$52-$U$5&gt;=0,最終修正!$C$52-$U$5&lt;=3),最終修正!$C$52-$U$5,-1)))</f>
        <v/>
      </c>
      <c r="AG51">
        <f>IF(AK51="",99,IF(最終修正!$E$52="",1,IF(AND(ISNUMBER(最終修正!$E$52),INT(最終修正!$E$52)=最終修正!$E$52,最終修正!$E$52-$U$5&gt;=0,最終修正!$E$52-$U$5&lt;=3),最終修正!$E$52-$U$5,-1)))</f>
        <v/>
      </c>
      <c r="AH51">
        <f>IF(AL51="",99,IF(最終修正!$G$52="",2,IF(AND(ISNUMBER(最終修正!$G$52),INT(最終修正!$G$52)=最終修正!$G$52,最終修正!$G$52-$U$5&gt;=0,最終修正!$G$52-$U$5&lt;=3),最終修正!$G$52-$U$5,-1)))</f>
        <v/>
      </c>
      <c r="AI51">
        <f>IF(AM51="",99,IF(最終修正!$I$52="",3,IF(AND(ISNUMBER(最終修正!$I$52),INT(最終修正!$I$52)=最終修正!$I$52,最終修正!$I$52-$U$5&gt;=0,最終修正!$I$52-$U$5&lt;=3),最終修正!$I$52-$U$5,-1)))</f>
        <v/>
      </c>
      <c r="AJ51">
        <f>IF(計算用!$Z$51="","",IF(計算用!$U$24,IF(計算用!$Z$51="A",INDEX(手直し!$B$6:$E$42,計算用!$AC$51,MOD(0-計算用!$AE$51+1,4)+1),INDEX(手直し!$G$6:$J$42,計算用!$AC$51,MOD(0-計算用!$AE$51+1,4)+1)),IF(計算用!$Z$51="A",INDEX(組分け!$B$5:$I$41,計算用!$AC$51,(MOD(0-計算用!$AE$51+1,4)+1)*2-1),INDEX(組分け!$L$5:$S$41,計算用!$AC$51,(MOD(0-計算用!$AE$51+1,4)+1)*2-1)))&amp;"")</f>
        <v/>
      </c>
      <c r="AK51">
        <f>IF(計算用!$Z$51="","",IF(計算用!$U$24,IF(計算用!$Z$51="A",INDEX(手直し!$B$6:$E$42,計算用!$AC$51,MOD(1-計算用!$AE$51+1,4)+1),INDEX(手直し!$G$6:$J$42,計算用!$AC$51,MOD(1-計算用!$AE$51+1,4)+1)),IF(計算用!$Z$51="A",INDEX(組分け!$B$5:$I$41,計算用!$AC$51,(MOD(1-計算用!$AE$51+1,4)+1)*2-1),INDEX(組分け!$L$5:$S$41,計算用!$AC$51,(MOD(1-計算用!$AE$51+1,4)+1)*2-1)))&amp;"")</f>
        <v/>
      </c>
      <c r="AL51">
        <f>IF(計算用!$Z$51="","",IF(計算用!$U$24,IF(計算用!$Z$51="A",INDEX(手直し!$B$6:$E$42,計算用!$AC$51,MOD(2-計算用!$AE$51+1,4)+1),INDEX(手直し!$G$6:$J$42,計算用!$AC$51,MOD(2-計算用!$AE$51+1,4)+1)),IF(計算用!$Z$51="A",INDEX(組分け!$B$5:$I$41,計算用!$AC$51,(MOD(2-計算用!$AE$51+1,4)+1)*2-1),INDEX(組分け!$L$5:$S$41,計算用!$AC$51,(MOD(2-計算用!$AE$51+1,4)+1)*2-1)))&amp;"")</f>
        <v/>
      </c>
      <c r="AM51">
        <f>IF(計算用!$Z$51="","",IF(計算用!$U$24,IF(計算用!$Z$51="A",INDEX(手直し!$B$6:$E$42,計算用!$AC$51,MOD(3-計算用!$AE$51+1,4)+1),INDEX(手直し!$G$6:$J$42,計算用!$AC$51,MOD(3-計算用!$AE$51+1,4)+1)),IF(計算用!$Z$51="A",INDEX(組分け!$B$5:$I$41,計算用!$AC$51,(MOD(3-計算用!$AE$51+1,4)+1)*2-1),INDEX(組分け!$L$5:$S$41,計算用!$AC$51,(MOD(3-計算用!$AE$51+1,4)+1)*2-1)))&amp;"")</f>
        <v/>
      </c>
      <c r="AN51">
        <f>IF(Z51="",0,(COUNTIF($AF51:$AI51,0)&gt;1)+(COUNTIF($AF51:$AI51,1)&gt;1)+(COUNTIF($AF51:$AI51,2)&gt;1)+(COUNTIF($AF51:$AI51,3)&gt;1)+COUNTIF($AF51:$AI51,-1))</f>
        <v/>
      </c>
      <c r="AP51">
        <f>IF(Z51="","",IFERROR(MOD(MATCH(0,$AF51:$AI51,0)-1-AE51+1,4),""))</f>
        <v/>
      </c>
      <c r="AQ51">
        <f>IF(Z51="","",IFERROR(MOD(MATCH(1,$AF51:$AI51,0)-1-AE51+1,4),""))</f>
        <v/>
      </c>
      <c r="AR51">
        <f>IF(Z51="","",IFERROR(MOD(MATCH(2,$AF51:$AI51,0)-1-AE51+1,4),""))</f>
        <v/>
      </c>
      <c r="AS51">
        <f>IF(Z51="","",IFERROR(MOD(MATCH(3,$AF51:$AI51,0)-1-AE51+1,4),""))</f>
        <v/>
      </c>
    </row>
    <row r="52">
      <c r="A52" t="n">
        <v>51</v>
      </c>
      <c r="B52">
        <f>INT((A52-1)/37)+1</f>
        <v/>
      </c>
      <c r="C52">
        <f>MOD(A52-1,37)+1</f>
        <v/>
      </c>
      <c r="D52">
        <f>TRIM(INDEX(データ入力!$B$5:$Q$41,C52,(B52-1)*4+1)&amp;"")</f>
        <v/>
      </c>
      <c r="E52">
        <f>INDEX(データ入力!$B$5:$Q$41,C52,(B52-1)*4+2)&amp;""</f>
        <v/>
      </c>
      <c r="F52">
        <f>IF(OR(E52="1",E52="１",E52="男"),"男",IF(OR(E52="2",E52="２",E52="女"),"女",""))</f>
        <v/>
      </c>
      <c r="G52">
        <f>INDEX(データ入力!$B$5:$Q$41,C52,(B52-1)*4+3)</f>
        <v/>
      </c>
      <c r="H52">
        <f>IF(D52="","",IF($U$2,"混",F52))</f>
        <v/>
      </c>
      <c r="I52">
        <f>IF(AND(H52&lt;&gt;"",ISNUMBER(G52)),H52,"")</f>
        <v/>
      </c>
      <c r="J52">
        <f>IF(I52="","",COUNTIFS($I$2:$I$149,I52,$B$2:$B$149,B52,$G$2:$G$149,"&lt;"&amp;G52)+COUNTIFS($I$2:$I$149,I52,$B$2:$B$149,B52,$G$2:$G$149,G52,$A$2:$A$149,"&lt;"&amp;A52)+1)</f>
        <v/>
      </c>
      <c r="K52">
        <f>IF(I52="","",I52&amp;B52&amp;"-"&amp;J52)</f>
        <v/>
      </c>
      <c r="L52">
        <f>IF(I52="","",I52&amp;B52&amp;"|"&amp;D52)</f>
        <v/>
      </c>
      <c r="M52">
        <f>IF(I52="","",IF(I52="女",COUNTIF(手直し!$G$6:$J$42,D52),COUNTIF(手直し!$B$6:$E$42,D52)))</f>
        <v/>
      </c>
      <c r="N52">
        <f>IF(I52="","",IF(I52="女",COUNTIF(INDEX(手直し!$G$6:$J$42,0,B52),D52),COUNTIF(INDEX(手直し!$B$6:$E$42,0,B52),D52)))</f>
        <v/>
      </c>
      <c r="O52">
        <f>IF(AND(I52&lt;&gt;"",M52=0),1,0)</f>
        <v/>
      </c>
      <c r="P52">
        <f>IF(AND(O52=1,I52&lt;&gt;"女"),COUNTIFS($O$2:O52,1,$I$2:I52,"&lt;&gt;女"),"")</f>
        <v/>
      </c>
      <c r="Q52">
        <f>IF(AND(O52=1,I52="女"),COUNTIFS($O$2:O52,1,$I$2:I52,"女"),"")</f>
        <v/>
      </c>
      <c r="R52">
        <f>IF(AND(I52&lt;&gt;"",M52&gt;=1,N52=0),1,0)</f>
        <v/>
      </c>
      <c r="S52">
        <f>IF(AND(D52&lt;&gt;"",I52=""),1,0)</f>
        <v/>
      </c>
      <c r="V52">
        <f>IF(J52="",0,J52)</f>
        <v/>
      </c>
      <c r="W52">
        <f>IF(I52="","",I52&amp;D52)</f>
        <v/>
      </c>
      <c r="Y52" t="n">
        <v>51</v>
      </c>
      <c r="Z52">
        <f>IF(Y52&gt;$U$22,"",IF(Y52&lt;=$U$23,IF($U$4,"B","A"),IF($U$4,"A","B")))</f>
        <v/>
      </c>
      <c r="AA52">
        <f>IF(Z52="","",IF(Y52&lt;=$U$23,Y52,Y52-$U$23))</f>
        <v/>
      </c>
      <c r="AB52">
        <f>IF(Z52="","",IF(Z52="A",$U$7,$U$8))</f>
        <v/>
      </c>
      <c r="AC52">
        <f>IF(Z52="","",IF(AB52&lt;=$U$6,AB52-AA52+1,IF(AA52&lt;=INT((AB52-$U$6+1)/2),$U$6-1+2*AA52,IF(AA52&lt;=INT((AB52-$U$6+1)/2)+INT((AB52-$U$6)/2),(AB52-1+MOD(AB52,2))-2*(AA52-INT((AB52-$U$6+1)/2)-1),$U$6-(AA52-INT((AB52-$U$6+1)/2)-INT((AB52-$U$6)/2)-1)))))</f>
        <v/>
      </c>
      <c r="AD52">
        <f>IF(Z52="","",IF($U$2,"",IF(Z52="B","女子","男子"))&amp;AA52&amp;"レース")</f>
        <v/>
      </c>
      <c r="AE52">
        <f>IF(Z52="","",IF($U$2,1,AA52))</f>
        <v/>
      </c>
      <c r="AF52">
        <f>IF(AJ52="",99,IF(最終修正!$C$53="",0,IF(AND(ISNUMBER(最終修正!$C$53),INT(最終修正!$C$53)=最終修正!$C$53,最終修正!$C$53-$U$5&gt;=0,最終修正!$C$53-$U$5&lt;=3),最終修正!$C$53-$U$5,-1)))</f>
        <v/>
      </c>
      <c r="AG52">
        <f>IF(AK52="",99,IF(最終修正!$E$53="",1,IF(AND(ISNUMBER(最終修正!$E$53),INT(最終修正!$E$53)=最終修正!$E$53,最終修正!$E$53-$U$5&gt;=0,最終修正!$E$53-$U$5&lt;=3),最終修正!$E$53-$U$5,-1)))</f>
        <v/>
      </c>
      <c r="AH52">
        <f>IF(AL52="",99,IF(最終修正!$G$53="",2,IF(AND(ISNUMBER(最終修正!$G$53),INT(最終修正!$G$53)=最終修正!$G$53,最終修正!$G$53-$U$5&gt;=0,最終修正!$G$53-$U$5&lt;=3),最終修正!$G$53-$U$5,-1)))</f>
        <v/>
      </c>
      <c r="AI52">
        <f>IF(AM52="",99,IF(最終修正!$I$53="",3,IF(AND(ISNUMBER(最終修正!$I$53),INT(最終修正!$I$53)=最終修正!$I$53,最終修正!$I$53-$U$5&gt;=0,最終修正!$I$53-$U$5&lt;=3),最終修正!$I$53-$U$5,-1)))</f>
        <v/>
      </c>
      <c r="AJ52">
        <f>IF(計算用!$Z$52="","",IF(計算用!$U$24,IF(計算用!$Z$52="A",INDEX(手直し!$B$6:$E$42,計算用!$AC$52,MOD(0-計算用!$AE$52+1,4)+1),INDEX(手直し!$G$6:$J$42,計算用!$AC$52,MOD(0-計算用!$AE$52+1,4)+1)),IF(計算用!$Z$52="A",INDEX(組分け!$B$5:$I$41,計算用!$AC$52,(MOD(0-計算用!$AE$52+1,4)+1)*2-1),INDEX(組分け!$L$5:$S$41,計算用!$AC$52,(MOD(0-計算用!$AE$52+1,4)+1)*2-1)))&amp;"")</f>
        <v/>
      </c>
      <c r="AK52">
        <f>IF(計算用!$Z$52="","",IF(計算用!$U$24,IF(計算用!$Z$52="A",INDEX(手直し!$B$6:$E$42,計算用!$AC$52,MOD(1-計算用!$AE$52+1,4)+1),INDEX(手直し!$G$6:$J$42,計算用!$AC$52,MOD(1-計算用!$AE$52+1,4)+1)),IF(計算用!$Z$52="A",INDEX(組分け!$B$5:$I$41,計算用!$AC$52,(MOD(1-計算用!$AE$52+1,4)+1)*2-1),INDEX(組分け!$L$5:$S$41,計算用!$AC$52,(MOD(1-計算用!$AE$52+1,4)+1)*2-1)))&amp;"")</f>
        <v/>
      </c>
      <c r="AL52">
        <f>IF(計算用!$Z$52="","",IF(計算用!$U$24,IF(計算用!$Z$52="A",INDEX(手直し!$B$6:$E$42,計算用!$AC$52,MOD(2-計算用!$AE$52+1,4)+1),INDEX(手直し!$G$6:$J$42,計算用!$AC$52,MOD(2-計算用!$AE$52+1,4)+1)),IF(計算用!$Z$52="A",INDEX(組分け!$B$5:$I$41,計算用!$AC$52,(MOD(2-計算用!$AE$52+1,4)+1)*2-1),INDEX(組分け!$L$5:$S$41,計算用!$AC$52,(MOD(2-計算用!$AE$52+1,4)+1)*2-1)))&amp;"")</f>
        <v/>
      </c>
      <c r="AM52">
        <f>IF(計算用!$Z$52="","",IF(計算用!$U$24,IF(計算用!$Z$52="A",INDEX(手直し!$B$6:$E$42,計算用!$AC$52,MOD(3-計算用!$AE$52+1,4)+1),INDEX(手直し!$G$6:$J$42,計算用!$AC$52,MOD(3-計算用!$AE$52+1,4)+1)),IF(計算用!$Z$52="A",INDEX(組分け!$B$5:$I$41,計算用!$AC$52,(MOD(3-計算用!$AE$52+1,4)+1)*2-1),INDEX(組分け!$L$5:$S$41,計算用!$AC$52,(MOD(3-計算用!$AE$52+1,4)+1)*2-1)))&amp;"")</f>
        <v/>
      </c>
      <c r="AN52">
        <f>IF(Z52="",0,(COUNTIF($AF52:$AI52,0)&gt;1)+(COUNTIF($AF52:$AI52,1)&gt;1)+(COUNTIF($AF52:$AI52,2)&gt;1)+(COUNTIF($AF52:$AI52,3)&gt;1)+COUNTIF($AF52:$AI52,-1))</f>
        <v/>
      </c>
      <c r="AP52">
        <f>IF(Z52="","",IFERROR(MOD(MATCH(0,$AF52:$AI52,0)-1-AE52+1,4),""))</f>
        <v/>
      </c>
      <c r="AQ52">
        <f>IF(Z52="","",IFERROR(MOD(MATCH(1,$AF52:$AI52,0)-1-AE52+1,4),""))</f>
        <v/>
      </c>
      <c r="AR52">
        <f>IF(Z52="","",IFERROR(MOD(MATCH(2,$AF52:$AI52,0)-1-AE52+1,4),""))</f>
        <v/>
      </c>
      <c r="AS52">
        <f>IF(Z52="","",IFERROR(MOD(MATCH(3,$AF52:$AI52,0)-1-AE52+1,4),""))</f>
        <v/>
      </c>
    </row>
    <row r="53">
      <c r="A53" t="n">
        <v>52</v>
      </c>
      <c r="B53">
        <f>INT((A53-1)/37)+1</f>
        <v/>
      </c>
      <c r="C53">
        <f>MOD(A53-1,37)+1</f>
        <v/>
      </c>
      <c r="D53">
        <f>TRIM(INDEX(データ入力!$B$5:$Q$41,C53,(B53-1)*4+1)&amp;"")</f>
        <v/>
      </c>
      <c r="E53">
        <f>INDEX(データ入力!$B$5:$Q$41,C53,(B53-1)*4+2)&amp;""</f>
        <v/>
      </c>
      <c r="F53">
        <f>IF(OR(E53="1",E53="１",E53="男"),"男",IF(OR(E53="2",E53="２",E53="女"),"女",""))</f>
        <v/>
      </c>
      <c r="G53">
        <f>INDEX(データ入力!$B$5:$Q$41,C53,(B53-1)*4+3)</f>
        <v/>
      </c>
      <c r="H53">
        <f>IF(D53="","",IF($U$2,"混",F53))</f>
        <v/>
      </c>
      <c r="I53">
        <f>IF(AND(H53&lt;&gt;"",ISNUMBER(G53)),H53,"")</f>
        <v/>
      </c>
      <c r="J53">
        <f>IF(I53="","",COUNTIFS($I$2:$I$149,I53,$B$2:$B$149,B53,$G$2:$G$149,"&lt;"&amp;G53)+COUNTIFS($I$2:$I$149,I53,$B$2:$B$149,B53,$G$2:$G$149,G53,$A$2:$A$149,"&lt;"&amp;A53)+1)</f>
        <v/>
      </c>
      <c r="K53">
        <f>IF(I53="","",I53&amp;B53&amp;"-"&amp;J53)</f>
        <v/>
      </c>
      <c r="L53">
        <f>IF(I53="","",I53&amp;B53&amp;"|"&amp;D53)</f>
        <v/>
      </c>
      <c r="M53">
        <f>IF(I53="","",IF(I53="女",COUNTIF(手直し!$G$6:$J$42,D53),COUNTIF(手直し!$B$6:$E$42,D53)))</f>
        <v/>
      </c>
      <c r="N53">
        <f>IF(I53="","",IF(I53="女",COUNTIF(INDEX(手直し!$G$6:$J$42,0,B53),D53),COUNTIF(INDEX(手直し!$B$6:$E$42,0,B53),D53)))</f>
        <v/>
      </c>
      <c r="O53">
        <f>IF(AND(I53&lt;&gt;"",M53=0),1,0)</f>
        <v/>
      </c>
      <c r="P53">
        <f>IF(AND(O53=1,I53&lt;&gt;"女"),COUNTIFS($O$2:O53,1,$I$2:I53,"&lt;&gt;女"),"")</f>
        <v/>
      </c>
      <c r="Q53">
        <f>IF(AND(O53=1,I53="女"),COUNTIFS($O$2:O53,1,$I$2:I53,"女"),"")</f>
        <v/>
      </c>
      <c r="R53">
        <f>IF(AND(I53&lt;&gt;"",M53&gt;=1,N53=0),1,0)</f>
        <v/>
      </c>
      <c r="S53">
        <f>IF(AND(D53&lt;&gt;"",I53=""),1,0)</f>
        <v/>
      </c>
      <c r="V53">
        <f>IF(J53="",0,J53)</f>
        <v/>
      </c>
      <c r="W53">
        <f>IF(I53="","",I53&amp;D53)</f>
        <v/>
      </c>
      <c r="Y53" t="n">
        <v>52</v>
      </c>
      <c r="Z53">
        <f>IF(Y53&gt;$U$22,"",IF(Y53&lt;=$U$23,IF($U$4,"B","A"),IF($U$4,"A","B")))</f>
        <v/>
      </c>
      <c r="AA53">
        <f>IF(Z53="","",IF(Y53&lt;=$U$23,Y53,Y53-$U$23))</f>
        <v/>
      </c>
      <c r="AB53">
        <f>IF(Z53="","",IF(Z53="A",$U$7,$U$8))</f>
        <v/>
      </c>
      <c r="AC53">
        <f>IF(Z53="","",IF(AB53&lt;=$U$6,AB53-AA53+1,IF(AA53&lt;=INT((AB53-$U$6+1)/2),$U$6-1+2*AA53,IF(AA53&lt;=INT((AB53-$U$6+1)/2)+INT((AB53-$U$6)/2),(AB53-1+MOD(AB53,2))-2*(AA53-INT((AB53-$U$6+1)/2)-1),$U$6-(AA53-INT((AB53-$U$6+1)/2)-INT((AB53-$U$6)/2)-1)))))</f>
        <v/>
      </c>
      <c r="AD53">
        <f>IF(Z53="","",IF($U$2,"",IF(Z53="B","女子","男子"))&amp;AA53&amp;"レース")</f>
        <v/>
      </c>
      <c r="AE53">
        <f>IF(Z53="","",IF($U$2,1,AA53))</f>
        <v/>
      </c>
      <c r="AF53">
        <f>IF(AJ53="",99,IF(最終修正!$C$54="",0,IF(AND(ISNUMBER(最終修正!$C$54),INT(最終修正!$C$54)=最終修正!$C$54,最終修正!$C$54-$U$5&gt;=0,最終修正!$C$54-$U$5&lt;=3),最終修正!$C$54-$U$5,-1)))</f>
        <v/>
      </c>
      <c r="AG53">
        <f>IF(AK53="",99,IF(最終修正!$E$54="",1,IF(AND(ISNUMBER(最終修正!$E$54),INT(最終修正!$E$54)=最終修正!$E$54,最終修正!$E$54-$U$5&gt;=0,最終修正!$E$54-$U$5&lt;=3),最終修正!$E$54-$U$5,-1)))</f>
        <v/>
      </c>
      <c r="AH53">
        <f>IF(AL53="",99,IF(最終修正!$G$54="",2,IF(AND(ISNUMBER(最終修正!$G$54),INT(最終修正!$G$54)=最終修正!$G$54,最終修正!$G$54-$U$5&gt;=0,最終修正!$G$54-$U$5&lt;=3),最終修正!$G$54-$U$5,-1)))</f>
        <v/>
      </c>
      <c r="AI53">
        <f>IF(AM53="",99,IF(最終修正!$I$54="",3,IF(AND(ISNUMBER(最終修正!$I$54),INT(最終修正!$I$54)=最終修正!$I$54,最終修正!$I$54-$U$5&gt;=0,最終修正!$I$54-$U$5&lt;=3),最終修正!$I$54-$U$5,-1)))</f>
        <v/>
      </c>
      <c r="AJ53">
        <f>IF(計算用!$Z$53="","",IF(計算用!$U$24,IF(計算用!$Z$53="A",INDEX(手直し!$B$6:$E$42,計算用!$AC$53,MOD(0-計算用!$AE$53+1,4)+1),INDEX(手直し!$G$6:$J$42,計算用!$AC$53,MOD(0-計算用!$AE$53+1,4)+1)),IF(計算用!$Z$53="A",INDEX(組分け!$B$5:$I$41,計算用!$AC$53,(MOD(0-計算用!$AE$53+1,4)+1)*2-1),INDEX(組分け!$L$5:$S$41,計算用!$AC$53,(MOD(0-計算用!$AE$53+1,4)+1)*2-1)))&amp;"")</f>
        <v/>
      </c>
      <c r="AK53">
        <f>IF(計算用!$Z$53="","",IF(計算用!$U$24,IF(計算用!$Z$53="A",INDEX(手直し!$B$6:$E$42,計算用!$AC$53,MOD(1-計算用!$AE$53+1,4)+1),INDEX(手直し!$G$6:$J$42,計算用!$AC$53,MOD(1-計算用!$AE$53+1,4)+1)),IF(計算用!$Z$53="A",INDEX(組分け!$B$5:$I$41,計算用!$AC$53,(MOD(1-計算用!$AE$53+1,4)+1)*2-1),INDEX(組分け!$L$5:$S$41,計算用!$AC$53,(MOD(1-計算用!$AE$53+1,4)+1)*2-1)))&amp;"")</f>
        <v/>
      </c>
      <c r="AL53">
        <f>IF(計算用!$Z$53="","",IF(計算用!$U$24,IF(計算用!$Z$53="A",INDEX(手直し!$B$6:$E$42,計算用!$AC$53,MOD(2-計算用!$AE$53+1,4)+1),INDEX(手直し!$G$6:$J$42,計算用!$AC$53,MOD(2-計算用!$AE$53+1,4)+1)),IF(計算用!$Z$53="A",INDEX(組分け!$B$5:$I$41,計算用!$AC$53,(MOD(2-計算用!$AE$53+1,4)+1)*2-1),INDEX(組分け!$L$5:$S$41,計算用!$AC$53,(MOD(2-計算用!$AE$53+1,4)+1)*2-1)))&amp;"")</f>
        <v/>
      </c>
      <c r="AM53">
        <f>IF(計算用!$Z$53="","",IF(計算用!$U$24,IF(計算用!$Z$53="A",INDEX(手直し!$B$6:$E$42,計算用!$AC$53,MOD(3-計算用!$AE$53+1,4)+1),INDEX(手直し!$G$6:$J$42,計算用!$AC$53,MOD(3-計算用!$AE$53+1,4)+1)),IF(計算用!$Z$53="A",INDEX(組分け!$B$5:$I$41,計算用!$AC$53,(MOD(3-計算用!$AE$53+1,4)+1)*2-1),INDEX(組分け!$L$5:$S$41,計算用!$AC$53,(MOD(3-計算用!$AE$53+1,4)+1)*2-1)))&amp;"")</f>
        <v/>
      </c>
      <c r="AN53">
        <f>IF(Z53="",0,(COUNTIF($AF53:$AI53,0)&gt;1)+(COUNTIF($AF53:$AI53,1)&gt;1)+(COUNTIF($AF53:$AI53,2)&gt;1)+(COUNTIF($AF53:$AI53,3)&gt;1)+COUNTIF($AF53:$AI53,-1))</f>
        <v/>
      </c>
      <c r="AP53">
        <f>IF(Z53="","",IFERROR(MOD(MATCH(0,$AF53:$AI53,0)-1-AE53+1,4),""))</f>
        <v/>
      </c>
      <c r="AQ53">
        <f>IF(Z53="","",IFERROR(MOD(MATCH(1,$AF53:$AI53,0)-1-AE53+1,4),""))</f>
        <v/>
      </c>
      <c r="AR53">
        <f>IF(Z53="","",IFERROR(MOD(MATCH(2,$AF53:$AI53,0)-1-AE53+1,4),""))</f>
        <v/>
      </c>
      <c r="AS53">
        <f>IF(Z53="","",IFERROR(MOD(MATCH(3,$AF53:$AI53,0)-1-AE53+1,4),""))</f>
        <v/>
      </c>
    </row>
    <row r="54">
      <c r="A54" t="n">
        <v>53</v>
      </c>
      <c r="B54">
        <f>INT((A54-1)/37)+1</f>
        <v/>
      </c>
      <c r="C54">
        <f>MOD(A54-1,37)+1</f>
        <v/>
      </c>
      <c r="D54">
        <f>TRIM(INDEX(データ入力!$B$5:$Q$41,C54,(B54-1)*4+1)&amp;"")</f>
        <v/>
      </c>
      <c r="E54">
        <f>INDEX(データ入力!$B$5:$Q$41,C54,(B54-1)*4+2)&amp;""</f>
        <v/>
      </c>
      <c r="F54">
        <f>IF(OR(E54="1",E54="１",E54="男"),"男",IF(OR(E54="2",E54="２",E54="女"),"女",""))</f>
        <v/>
      </c>
      <c r="G54">
        <f>INDEX(データ入力!$B$5:$Q$41,C54,(B54-1)*4+3)</f>
        <v/>
      </c>
      <c r="H54">
        <f>IF(D54="","",IF($U$2,"混",F54))</f>
        <v/>
      </c>
      <c r="I54">
        <f>IF(AND(H54&lt;&gt;"",ISNUMBER(G54)),H54,"")</f>
        <v/>
      </c>
      <c r="J54">
        <f>IF(I54="","",COUNTIFS($I$2:$I$149,I54,$B$2:$B$149,B54,$G$2:$G$149,"&lt;"&amp;G54)+COUNTIFS($I$2:$I$149,I54,$B$2:$B$149,B54,$G$2:$G$149,G54,$A$2:$A$149,"&lt;"&amp;A54)+1)</f>
        <v/>
      </c>
      <c r="K54">
        <f>IF(I54="","",I54&amp;B54&amp;"-"&amp;J54)</f>
        <v/>
      </c>
      <c r="L54">
        <f>IF(I54="","",I54&amp;B54&amp;"|"&amp;D54)</f>
        <v/>
      </c>
      <c r="M54">
        <f>IF(I54="","",IF(I54="女",COUNTIF(手直し!$G$6:$J$42,D54),COUNTIF(手直し!$B$6:$E$42,D54)))</f>
        <v/>
      </c>
      <c r="N54">
        <f>IF(I54="","",IF(I54="女",COUNTIF(INDEX(手直し!$G$6:$J$42,0,B54),D54),COUNTIF(INDEX(手直し!$B$6:$E$42,0,B54),D54)))</f>
        <v/>
      </c>
      <c r="O54">
        <f>IF(AND(I54&lt;&gt;"",M54=0),1,0)</f>
        <v/>
      </c>
      <c r="P54">
        <f>IF(AND(O54=1,I54&lt;&gt;"女"),COUNTIFS($O$2:O54,1,$I$2:I54,"&lt;&gt;女"),"")</f>
        <v/>
      </c>
      <c r="Q54">
        <f>IF(AND(O54=1,I54="女"),COUNTIFS($O$2:O54,1,$I$2:I54,"女"),"")</f>
        <v/>
      </c>
      <c r="R54">
        <f>IF(AND(I54&lt;&gt;"",M54&gt;=1,N54=0),1,0)</f>
        <v/>
      </c>
      <c r="S54">
        <f>IF(AND(D54&lt;&gt;"",I54=""),1,0)</f>
        <v/>
      </c>
      <c r="V54">
        <f>IF(J54="",0,J54)</f>
        <v/>
      </c>
      <c r="W54">
        <f>IF(I54="","",I54&amp;D54)</f>
        <v/>
      </c>
      <c r="Y54" t="n">
        <v>53</v>
      </c>
      <c r="Z54">
        <f>IF(Y54&gt;$U$22,"",IF(Y54&lt;=$U$23,IF($U$4,"B","A"),IF($U$4,"A","B")))</f>
        <v/>
      </c>
      <c r="AA54">
        <f>IF(Z54="","",IF(Y54&lt;=$U$23,Y54,Y54-$U$23))</f>
        <v/>
      </c>
      <c r="AB54">
        <f>IF(Z54="","",IF(Z54="A",$U$7,$U$8))</f>
        <v/>
      </c>
      <c r="AC54">
        <f>IF(Z54="","",IF(AB54&lt;=$U$6,AB54-AA54+1,IF(AA54&lt;=INT((AB54-$U$6+1)/2),$U$6-1+2*AA54,IF(AA54&lt;=INT((AB54-$U$6+1)/2)+INT((AB54-$U$6)/2),(AB54-1+MOD(AB54,2))-2*(AA54-INT((AB54-$U$6+1)/2)-1),$U$6-(AA54-INT((AB54-$U$6+1)/2)-INT((AB54-$U$6)/2)-1)))))</f>
        <v/>
      </c>
      <c r="AD54">
        <f>IF(Z54="","",IF($U$2,"",IF(Z54="B","女子","男子"))&amp;AA54&amp;"レース")</f>
        <v/>
      </c>
      <c r="AE54">
        <f>IF(Z54="","",IF($U$2,1,AA54))</f>
        <v/>
      </c>
      <c r="AF54">
        <f>IF(AJ54="",99,IF(最終修正!$C$55="",0,IF(AND(ISNUMBER(最終修正!$C$55),INT(最終修正!$C$55)=最終修正!$C$55,最終修正!$C$55-$U$5&gt;=0,最終修正!$C$55-$U$5&lt;=3),最終修正!$C$55-$U$5,-1)))</f>
        <v/>
      </c>
      <c r="AG54">
        <f>IF(AK54="",99,IF(最終修正!$E$55="",1,IF(AND(ISNUMBER(最終修正!$E$55),INT(最終修正!$E$55)=最終修正!$E$55,最終修正!$E$55-$U$5&gt;=0,最終修正!$E$55-$U$5&lt;=3),最終修正!$E$55-$U$5,-1)))</f>
        <v/>
      </c>
      <c r="AH54">
        <f>IF(AL54="",99,IF(最終修正!$G$55="",2,IF(AND(ISNUMBER(最終修正!$G$55),INT(最終修正!$G$55)=最終修正!$G$55,最終修正!$G$55-$U$5&gt;=0,最終修正!$G$55-$U$5&lt;=3),最終修正!$G$55-$U$5,-1)))</f>
        <v/>
      </c>
      <c r="AI54">
        <f>IF(AM54="",99,IF(最終修正!$I$55="",3,IF(AND(ISNUMBER(最終修正!$I$55),INT(最終修正!$I$55)=最終修正!$I$55,最終修正!$I$55-$U$5&gt;=0,最終修正!$I$55-$U$5&lt;=3),最終修正!$I$55-$U$5,-1)))</f>
        <v/>
      </c>
      <c r="AJ54">
        <f>IF(計算用!$Z$54="","",IF(計算用!$U$24,IF(計算用!$Z$54="A",INDEX(手直し!$B$6:$E$42,計算用!$AC$54,MOD(0-計算用!$AE$54+1,4)+1),INDEX(手直し!$G$6:$J$42,計算用!$AC$54,MOD(0-計算用!$AE$54+1,4)+1)),IF(計算用!$Z$54="A",INDEX(組分け!$B$5:$I$41,計算用!$AC$54,(MOD(0-計算用!$AE$54+1,4)+1)*2-1),INDEX(組分け!$L$5:$S$41,計算用!$AC$54,(MOD(0-計算用!$AE$54+1,4)+1)*2-1)))&amp;"")</f>
        <v/>
      </c>
      <c r="AK54">
        <f>IF(計算用!$Z$54="","",IF(計算用!$U$24,IF(計算用!$Z$54="A",INDEX(手直し!$B$6:$E$42,計算用!$AC$54,MOD(1-計算用!$AE$54+1,4)+1),INDEX(手直し!$G$6:$J$42,計算用!$AC$54,MOD(1-計算用!$AE$54+1,4)+1)),IF(計算用!$Z$54="A",INDEX(組分け!$B$5:$I$41,計算用!$AC$54,(MOD(1-計算用!$AE$54+1,4)+1)*2-1),INDEX(組分け!$L$5:$S$41,計算用!$AC$54,(MOD(1-計算用!$AE$54+1,4)+1)*2-1)))&amp;"")</f>
        <v/>
      </c>
      <c r="AL54">
        <f>IF(計算用!$Z$54="","",IF(計算用!$U$24,IF(計算用!$Z$54="A",INDEX(手直し!$B$6:$E$42,計算用!$AC$54,MOD(2-計算用!$AE$54+1,4)+1),INDEX(手直し!$G$6:$J$42,計算用!$AC$54,MOD(2-計算用!$AE$54+1,4)+1)),IF(計算用!$Z$54="A",INDEX(組分け!$B$5:$I$41,計算用!$AC$54,(MOD(2-計算用!$AE$54+1,4)+1)*2-1),INDEX(組分け!$L$5:$S$41,計算用!$AC$54,(MOD(2-計算用!$AE$54+1,4)+1)*2-1)))&amp;"")</f>
        <v/>
      </c>
      <c r="AM54">
        <f>IF(計算用!$Z$54="","",IF(計算用!$U$24,IF(計算用!$Z$54="A",INDEX(手直し!$B$6:$E$42,計算用!$AC$54,MOD(3-計算用!$AE$54+1,4)+1),INDEX(手直し!$G$6:$J$42,計算用!$AC$54,MOD(3-計算用!$AE$54+1,4)+1)),IF(計算用!$Z$54="A",INDEX(組分け!$B$5:$I$41,計算用!$AC$54,(MOD(3-計算用!$AE$54+1,4)+1)*2-1),INDEX(組分け!$L$5:$S$41,計算用!$AC$54,(MOD(3-計算用!$AE$54+1,4)+1)*2-1)))&amp;"")</f>
        <v/>
      </c>
      <c r="AN54">
        <f>IF(Z54="",0,(COUNTIF($AF54:$AI54,0)&gt;1)+(COUNTIF($AF54:$AI54,1)&gt;1)+(COUNTIF($AF54:$AI54,2)&gt;1)+(COUNTIF($AF54:$AI54,3)&gt;1)+COUNTIF($AF54:$AI54,-1))</f>
        <v/>
      </c>
      <c r="AP54">
        <f>IF(Z54="","",IFERROR(MOD(MATCH(0,$AF54:$AI54,0)-1-AE54+1,4),""))</f>
        <v/>
      </c>
      <c r="AQ54">
        <f>IF(Z54="","",IFERROR(MOD(MATCH(1,$AF54:$AI54,0)-1-AE54+1,4),""))</f>
        <v/>
      </c>
      <c r="AR54">
        <f>IF(Z54="","",IFERROR(MOD(MATCH(2,$AF54:$AI54,0)-1-AE54+1,4),""))</f>
        <v/>
      </c>
      <c r="AS54">
        <f>IF(Z54="","",IFERROR(MOD(MATCH(3,$AF54:$AI54,0)-1-AE54+1,4),""))</f>
        <v/>
      </c>
    </row>
    <row r="55">
      <c r="A55" t="n">
        <v>54</v>
      </c>
      <c r="B55">
        <f>INT((A55-1)/37)+1</f>
        <v/>
      </c>
      <c r="C55">
        <f>MOD(A55-1,37)+1</f>
        <v/>
      </c>
      <c r="D55">
        <f>TRIM(INDEX(データ入力!$B$5:$Q$41,C55,(B55-1)*4+1)&amp;"")</f>
        <v/>
      </c>
      <c r="E55">
        <f>INDEX(データ入力!$B$5:$Q$41,C55,(B55-1)*4+2)&amp;""</f>
        <v/>
      </c>
      <c r="F55">
        <f>IF(OR(E55="1",E55="１",E55="男"),"男",IF(OR(E55="2",E55="２",E55="女"),"女",""))</f>
        <v/>
      </c>
      <c r="G55">
        <f>INDEX(データ入力!$B$5:$Q$41,C55,(B55-1)*4+3)</f>
        <v/>
      </c>
      <c r="H55">
        <f>IF(D55="","",IF($U$2,"混",F55))</f>
        <v/>
      </c>
      <c r="I55">
        <f>IF(AND(H55&lt;&gt;"",ISNUMBER(G55)),H55,"")</f>
        <v/>
      </c>
      <c r="J55">
        <f>IF(I55="","",COUNTIFS($I$2:$I$149,I55,$B$2:$B$149,B55,$G$2:$G$149,"&lt;"&amp;G55)+COUNTIFS($I$2:$I$149,I55,$B$2:$B$149,B55,$G$2:$G$149,G55,$A$2:$A$149,"&lt;"&amp;A55)+1)</f>
        <v/>
      </c>
      <c r="K55">
        <f>IF(I55="","",I55&amp;B55&amp;"-"&amp;J55)</f>
        <v/>
      </c>
      <c r="L55">
        <f>IF(I55="","",I55&amp;B55&amp;"|"&amp;D55)</f>
        <v/>
      </c>
      <c r="M55">
        <f>IF(I55="","",IF(I55="女",COUNTIF(手直し!$G$6:$J$42,D55),COUNTIF(手直し!$B$6:$E$42,D55)))</f>
        <v/>
      </c>
      <c r="N55">
        <f>IF(I55="","",IF(I55="女",COUNTIF(INDEX(手直し!$G$6:$J$42,0,B55),D55),COUNTIF(INDEX(手直し!$B$6:$E$42,0,B55),D55)))</f>
        <v/>
      </c>
      <c r="O55">
        <f>IF(AND(I55&lt;&gt;"",M55=0),1,0)</f>
        <v/>
      </c>
      <c r="P55">
        <f>IF(AND(O55=1,I55&lt;&gt;"女"),COUNTIFS($O$2:O55,1,$I$2:I55,"&lt;&gt;女"),"")</f>
        <v/>
      </c>
      <c r="Q55">
        <f>IF(AND(O55=1,I55="女"),COUNTIFS($O$2:O55,1,$I$2:I55,"女"),"")</f>
        <v/>
      </c>
      <c r="R55">
        <f>IF(AND(I55&lt;&gt;"",M55&gt;=1,N55=0),1,0)</f>
        <v/>
      </c>
      <c r="S55">
        <f>IF(AND(D55&lt;&gt;"",I55=""),1,0)</f>
        <v/>
      </c>
      <c r="V55">
        <f>IF(J55="",0,J55)</f>
        <v/>
      </c>
      <c r="W55">
        <f>IF(I55="","",I55&amp;D55)</f>
        <v/>
      </c>
      <c r="Y55" t="n">
        <v>54</v>
      </c>
      <c r="Z55">
        <f>IF(Y55&gt;$U$22,"",IF(Y55&lt;=$U$23,IF($U$4,"B","A"),IF($U$4,"A","B")))</f>
        <v/>
      </c>
      <c r="AA55">
        <f>IF(Z55="","",IF(Y55&lt;=$U$23,Y55,Y55-$U$23))</f>
        <v/>
      </c>
      <c r="AB55">
        <f>IF(Z55="","",IF(Z55="A",$U$7,$U$8))</f>
        <v/>
      </c>
      <c r="AC55">
        <f>IF(Z55="","",IF(AB55&lt;=$U$6,AB55-AA55+1,IF(AA55&lt;=INT((AB55-$U$6+1)/2),$U$6-1+2*AA55,IF(AA55&lt;=INT((AB55-$U$6+1)/2)+INT((AB55-$U$6)/2),(AB55-1+MOD(AB55,2))-2*(AA55-INT((AB55-$U$6+1)/2)-1),$U$6-(AA55-INT((AB55-$U$6+1)/2)-INT((AB55-$U$6)/2)-1)))))</f>
        <v/>
      </c>
      <c r="AD55">
        <f>IF(Z55="","",IF($U$2,"",IF(Z55="B","女子","男子"))&amp;AA55&amp;"レース")</f>
        <v/>
      </c>
      <c r="AE55">
        <f>IF(Z55="","",IF($U$2,1,AA55))</f>
        <v/>
      </c>
      <c r="AF55">
        <f>IF(AJ55="",99,IF(最終修正!$C$56="",0,IF(AND(ISNUMBER(最終修正!$C$56),INT(最終修正!$C$56)=最終修正!$C$56,最終修正!$C$56-$U$5&gt;=0,最終修正!$C$56-$U$5&lt;=3),最終修正!$C$56-$U$5,-1)))</f>
        <v/>
      </c>
      <c r="AG55">
        <f>IF(AK55="",99,IF(最終修正!$E$56="",1,IF(AND(ISNUMBER(最終修正!$E$56),INT(最終修正!$E$56)=最終修正!$E$56,最終修正!$E$56-$U$5&gt;=0,最終修正!$E$56-$U$5&lt;=3),最終修正!$E$56-$U$5,-1)))</f>
        <v/>
      </c>
      <c r="AH55">
        <f>IF(AL55="",99,IF(最終修正!$G$56="",2,IF(AND(ISNUMBER(最終修正!$G$56),INT(最終修正!$G$56)=最終修正!$G$56,最終修正!$G$56-$U$5&gt;=0,最終修正!$G$56-$U$5&lt;=3),最終修正!$G$56-$U$5,-1)))</f>
        <v/>
      </c>
      <c r="AI55">
        <f>IF(AM55="",99,IF(最終修正!$I$56="",3,IF(AND(ISNUMBER(最終修正!$I$56),INT(最終修正!$I$56)=最終修正!$I$56,最終修正!$I$56-$U$5&gt;=0,最終修正!$I$56-$U$5&lt;=3),最終修正!$I$56-$U$5,-1)))</f>
        <v/>
      </c>
      <c r="AJ55">
        <f>IF(計算用!$Z$55="","",IF(計算用!$U$24,IF(計算用!$Z$55="A",INDEX(手直し!$B$6:$E$42,計算用!$AC$55,MOD(0-計算用!$AE$55+1,4)+1),INDEX(手直し!$G$6:$J$42,計算用!$AC$55,MOD(0-計算用!$AE$55+1,4)+1)),IF(計算用!$Z$55="A",INDEX(組分け!$B$5:$I$41,計算用!$AC$55,(MOD(0-計算用!$AE$55+1,4)+1)*2-1),INDEX(組分け!$L$5:$S$41,計算用!$AC$55,(MOD(0-計算用!$AE$55+1,4)+1)*2-1)))&amp;"")</f>
        <v/>
      </c>
      <c r="AK55">
        <f>IF(計算用!$Z$55="","",IF(計算用!$U$24,IF(計算用!$Z$55="A",INDEX(手直し!$B$6:$E$42,計算用!$AC$55,MOD(1-計算用!$AE$55+1,4)+1),INDEX(手直し!$G$6:$J$42,計算用!$AC$55,MOD(1-計算用!$AE$55+1,4)+1)),IF(計算用!$Z$55="A",INDEX(組分け!$B$5:$I$41,計算用!$AC$55,(MOD(1-計算用!$AE$55+1,4)+1)*2-1),INDEX(組分け!$L$5:$S$41,計算用!$AC$55,(MOD(1-計算用!$AE$55+1,4)+1)*2-1)))&amp;"")</f>
        <v/>
      </c>
      <c r="AL55">
        <f>IF(計算用!$Z$55="","",IF(計算用!$U$24,IF(計算用!$Z$55="A",INDEX(手直し!$B$6:$E$42,計算用!$AC$55,MOD(2-計算用!$AE$55+1,4)+1),INDEX(手直し!$G$6:$J$42,計算用!$AC$55,MOD(2-計算用!$AE$55+1,4)+1)),IF(計算用!$Z$55="A",INDEX(組分け!$B$5:$I$41,計算用!$AC$55,(MOD(2-計算用!$AE$55+1,4)+1)*2-1),INDEX(組分け!$L$5:$S$41,計算用!$AC$55,(MOD(2-計算用!$AE$55+1,4)+1)*2-1)))&amp;"")</f>
        <v/>
      </c>
      <c r="AM55">
        <f>IF(計算用!$Z$55="","",IF(計算用!$U$24,IF(計算用!$Z$55="A",INDEX(手直し!$B$6:$E$42,計算用!$AC$55,MOD(3-計算用!$AE$55+1,4)+1),INDEX(手直し!$G$6:$J$42,計算用!$AC$55,MOD(3-計算用!$AE$55+1,4)+1)),IF(計算用!$Z$55="A",INDEX(組分け!$B$5:$I$41,計算用!$AC$55,(MOD(3-計算用!$AE$55+1,4)+1)*2-1),INDEX(組分け!$L$5:$S$41,計算用!$AC$55,(MOD(3-計算用!$AE$55+1,4)+1)*2-1)))&amp;"")</f>
        <v/>
      </c>
      <c r="AN55">
        <f>IF(Z55="",0,(COUNTIF($AF55:$AI55,0)&gt;1)+(COUNTIF($AF55:$AI55,1)&gt;1)+(COUNTIF($AF55:$AI55,2)&gt;1)+(COUNTIF($AF55:$AI55,3)&gt;1)+COUNTIF($AF55:$AI55,-1))</f>
        <v/>
      </c>
      <c r="AP55">
        <f>IF(Z55="","",IFERROR(MOD(MATCH(0,$AF55:$AI55,0)-1-AE55+1,4),""))</f>
        <v/>
      </c>
      <c r="AQ55">
        <f>IF(Z55="","",IFERROR(MOD(MATCH(1,$AF55:$AI55,0)-1-AE55+1,4),""))</f>
        <v/>
      </c>
      <c r="AR55">
        <f>IF(Z55="","",IFERROR(MOD(MATCH(2,$AF55:$AI55,0)-1-AE55+1,4),""))</f>
        <v/>
      </c>
      <c r="AS55">
        <f>IF(Z55="","",IFERROR(MOD(MATCH(3,$AF55:$AI55,0)-1-AE55+1,4),""))</f>
        <v/>
      </c>
    </row>
    <row r="56">
      <c r="A56" t="n">
        <v>55</v>
      </c>
      <c r="B56">
        <f>INT((A56-1)/37)+1</f>
        <v/>
      </c>
      <c r="C56">
        <f>MOD(A56-1,37)+1</f>
        <v/>
      </c>
      <c r="D56">
        <f>TRIM(INDEX(データ入力!$B$5:$Q$41,C56,(B56-1)*4+1)&amp;"")</f>
        <v/>
      </c>
      <c r="E56">
        <f>INDEX(データ入力!$B$5:$Q$41,C56,(B56-1)*4+2)&amp;""</f>
        <v/>
      </c>
      <c r="F56">
        <f>IF(OR(E56="1",E56="１",E56="男"),"男",IF(OR(E56="2",E56="２",E56="女"),"女",""))</f>
        <v/>
      </c>
      <c r="G56">
        <f>INDEX(データ入力!$B$5:$Q$41,C56,(B56-1)*4+3)</f>
        <v/>
      </c>
      <c r="H56">
        <f>IF(D56="","",IF($U$2,"混",F56))</f>
        <v/>
      </c>
      <c r="I56">
        <f>IF(AND(H56&lt;&gt;"",ISNUMBER(G56)),H56,"")</f>
        <v/>
      </c>
      <c r="J56">
        <f>IF(I56="","",COUNTIFS($I$2:$I$149,I56,$B$2:$B$149,B56,$G$2:$G$149,"&lt;"&amp;G56)+COUNTIFS($I$2:$I$149,I56,$B$2:$B$149,B56,$G$2:$G$149,G56,$A$2:$A$149,"&lt;"&amp;A56)+1)</f>
        <v/>
      </c>
      <c r="K56">
        <f>IF(I56="","",I56&amp;B56&amp;"-"&amp;J56)</f>
        <v/>
      </c>
      <c r="L56">
        <f>IF(I56="","",I56&amp;B56&amp;"|"&amp;D56)</f>
        <v/>
      </c>
      <c r="M56">
        <f>IF(I56="","",IF(I56="女",COUNTIF(手直し!$G$6:$J$42,D56),COUNTIF(手直し!$B$6:$E$42,D56)))</f>
        <v/>
      </c>
      <c r="N56">
        <f>IF(I56="","",IF(I56="女",COUNTIF(INDEX(手直し!$G$6:$J$42,0,B56),D56),COUNTIF(INDEX(手直し!$B$6:$E$42,0,B56),D56)))</f>
        <v/>
      </c>
      <c r="O56">
        <f>IF(AND(I56&lt;&gt;"",M56=0),1,0)</f>
        <v/>
      </c>
      <c r="P56">
        <f>IF(AND(O56=1,I56&lt;&gt;"女"),COUNTIFS($O$2:O56,1,$I$2:I56,"&lt;&gt;女"),"")</f>
        <v/>
      </c>
      <c r="Q56">
        <f>IF(AND(O56=1,I56="女"),COUNTIFS($O$2:O56,1,$I$2:I56,"女"),"")</f>
        <v/>
      </c>
      <c r="R56">
        <f>IF(AND(I56&lt;&gt;"",M56&gt;=1,N56=0),1,0)</f>
        <v/>
      </c>
      <c r="S56">
        <f>IF(AND(D56&lt;&gt;"",I56=""),1,0)</f>
        <v/>
      </c>
      <c r="V56">
        <f>IF(J56="",0,J56)</f>
        <v/>
      </c>
      <c r="W56">
        <f>IF(I56="","",I56&amp;D56)</f>
        <v/>
      </c>
      <c r="Y56" t="n">
        <v>55</v>
      </c>
      <c r="Z56">
        <f>IF(Y56&gt;$U$22,"",IF(Y56&lt;=$U$23,IF($U$4,"B","A"),IF($U$4,"A","B")))</f>
        <v/>
      </c>
      <c r="AA56">
        <f>IF(Z56="","",IF(Y56&lt;=$U$23,Y56,Y56-$U$23))</f>
        <v/>
      </c>
      <c r="AB56">
        <f>IF(Z56="","",IF(Z56="A",$U$7,$U$8))</f>
        <v/>
      </c>
      <c r="AC56">
        <f>IF(Z56="","",IF(AB56&lt;=$U$6,AB56-AA56+1,IF(AA56&lt;=INT((AB56-$U$6+1)/2),$U$6-1+2*AA56,IF(AA56&lt;=INT((AB56-$U$6+1)/2)+INT((AB56-$U$6)/2),(AB56-1+MOD(AB56,2))-2*(AA56-INT((AB56-$U$6+1)/2)-1),$U$6-(AA56-INT((AB56-$U$6+1)/2)-INT((AB56-$U$6)/2)-1)))))</f>
        <v/>
      </c>
      <c r="AD56">
        <f>IF(Z56="","",IF($U$2,"",IF(Z56="B","女子","男子"))&amp;AA56&amp;"レース")</f>
        <v/>
      </c>
      <c r="AE56">
        <f>IF(Z56="","",IF($U$2,1,AA56))</f>
        <v/>
      </c>
      <c r="AF56">
        <f>IF(AJ56="",99,IF(最終修正!$C$57="",0,IF(AND(ISNUMBER(最終修正!$C$57),INT(最終修正!$C$57)=最終修正!$C$57,最終修正!$C$57-$U$5&gt;=0,最終修正!$C$57-$U$5&lt;=3),最終修正!$C$57-$U$5,-1)))</f>
        <v/>
      </c>
      <c r="AG56">
        <f>IF(AK56="",99,IF(最終修正!$E$57="",1,IF(AND(ISNUMBER(最終修正!$E$57),INT(最終修正!$E$57)=最終修正!$E$57,最終修正!$E$57-$U$5&gt;=0,最終修正!$E$57-$U$5&lt;=3),最終修正!$E$57-$U$5,-1)))</f>
        <v/>
      </c>
      <c r="AH56">
        <f>IF(AL56="",99,IF(最終修正!$G$57="",2,IF(AND(ISNUMBER(最終修正!$G$57),INT(最終修正!$G$57)=最終修正!$G$57,最終修正!$G$57-$U$5&gt;=0,最終修正!$G$57-$U$5&lt;=3),最終修正!$G$57-$U$5,-1)))</f>
        <v/>
      </c>
      <c r="AI56">
        <f>IF(AM56="",99,IF(最終修正!$I$57="",3,IF(AND(ISNUMBER(最終修正!$I$57),INT(最終修正!$I$57)=最終修正!$I$57,最終修正!$I$57-$U$5&gt;=0,最終修正!$I$57-$U$5&lt;=3),最終修正!$I$57-$U$5,-1)))</f>
        <v/>
      </c>
      <c r="AJ56">
        <f>IF(計算用!$Z$56="","",IF(計算用!$U$24,IF(計算用!$Z$56="A",INDEX(手直し!$B$6:$E$42,計算用!$AC$56,MOD(0-計算用!$AE$56+1,4)+1),INDEX(手直し!$G$6:$J$42,計算用!$AC$56,MOD(0-計算用!$AE$56+1,4)+1)),IF(計算用!$Z$56="A",INDEX(組分け!$B$5:$I$41,計算用!$AC$56,(MOD(0-計算用!$AE$56+1,4)+1)*2-1),INDEX(組分け!$L$5:$S$41,計算用!$AC$56,(MOD(0-計算用!$AE$56+1,4)+1)*2-1)))&amp;"")</f>
        <v/>
      </c>
      <c r="AK56">
        <f>IF(計算用!$Z$56="","",IF(計算用!$U$24,IF(計算用!$Z$56="A",INDEX(手直し!$B$6:$E$42,計算用!$AC$56,MOD(1-計算用!$AE$56+1,4)+1),INDEX(手直し!$G$6:$J$42,計算用!$AC$56,MOD(1-計算用!$AE$56+1,4)+1)),IF(計算用!$Z$56="A",INDEX(組分け!$B$5:$I$41,計算用!$AC$56,(MOD(1-計算用!$AE$56+1,4)+1)*2-1),INDEX(組分け!$L$5:$S$41,計算用!$AC$56,(MOD(1-計算用!$AE$56+1,4)+1)*2-1)))&amp;"")</f>
        <v/>
      </c>
      <c r="AL56">
        <f>IF(計算用!$Z$56="","",IF(計算用!$U$24,IF(計算用!$Z$56="A",INDEX(手直し!$B$6:$E$42,計算用!$AC$56,MOD(2-計算用!$AE$56+1,4)+1),INDEX(手直し!$G$6:$J$42,計算用!$AC$56,MOD(2-計算用!$AE$56+1,4)+1)),IF(計算用!$Z$56="A",INDEX(組分け!$B$5:$I$41,計算用!$AC$56,(MOD(2-計算用!$AE$56+1,4)+1)*2-1),INDEX(組分け!$L$5:$S$41,計算用!$AC$56,(MOD(2-計算用!$AE$56+1,4)+1)*2-1)))&amp;"")</f>
        <v/>
      </c>
      <c r="AM56">
        <f>IF(計算用!$Z$56="","",IF(計算用!$U$24,IF(計算用!$Z$56="A",INDEX(手直し!$B$6:$E$42,計算用!$AC$56,MOD(3-計算用!$AE$56+1,4)+1),INDEX(手直し!$G$6:$J$42,計算用!$AC$56,MOD(3-計算用!$AE$56+1,4)+1)),IF(計算用!$Z$56="A",INDEX(組分け!$B$5:$I$41,計算用!$AC$56,(MOD(3-計算用!$AE$56+1,4)+1)*2-1),INDEX(組分け!$L$5:$S$41,計算用!$AC$56,(MOD(3-計算用!$AE$56+1,4)+1)*2-1)))&amp;"")</f>
        <v/>
      </c>
      <c r="AN56">
        <f>IF(Z56="",0,(COUNTIF($AF56:$AI56,0)&gt;1)+(COUNTIF($AF56:$AI56,1)&gt;1)+(COUNTIF($AF56:$AI56,2)&gt;1)+(COUNTIF($AF56:$AI56,3)&gt;1)+COUNTIF($AF56:$AI56,-1))</f>
        <v/>
      </c>
      <c r="AP56">
        <f>IF(Z56="","",IFERROR(MOD(MATCH(0,$AF56:$AI56,0)-1-AE56+1,4),""))</f>
        <v/>
      </c>
      <c r="AQ56">
        <f>IF(Z56="","",IFERROR(MOD(MATCH(1,$AF56:$AI56,0)-1-AE56+1,4),""))</f>
        <v/>
      </c>
      <c r="AR56">
        <f>IF(Z56="","",IFERROR(MOD(MATCH(2,$AF56:$AI56,0)-1-AE56+1,4),""))</f>
        <v/>
      </c>
      <c r="AS56">
        <f>IF(Z56="","",IFERROR(MOD(MATCH(3,$AF56:$AI56,0)-1-AE56+1,4),""))</f>
        <v/>
      </c>
    </row>
    <row r="57">
      <c r="A57" t="n">
        <v>56</v>
      </c>
      <c r="B57">
        <f>INT((A57-1)/37)+1</f>
        <v/>
      </c>
      <c r="C57">
        <f>MOD(A57-1,37)+1</f>
        <v/>
      </c>
      <c r="D57">
        <f>TRIM(INDEX(データ入力!$B$5:$Q$41,C57,(B57-1)*4+1)&amp;"")</f>
        <v/>
      </c>
      <c r="E57">
        <f>INDEX(データ入力!$B$5:$Q$41,C57,(B57-1)*4+2)&amp;""</f>
        <v/>
      </c>
      <c r="F57">
        <f>IF(OR(E57="1",E57="１",E57="男"),"男",IF(OR(E57="2",E57="２",E57="女"),"女",""))</f>
        <v/>
      </c>
      <c r="G57">
        <f>INDEX(データ入力!$B$5:$Q$41,C57,(B57-1)*4+3)</f>
        <v/>
      </c>
      <c r="H57">
        <f>IF(D57="","",IF($U$2,"混",F57))</f>
        <v/>
      </c>
      <c r="I57">
        <f>IF(AND(H57&lt;&gt;"",ISNUMBER(G57)),H57,"")</f>
        <v/>
      </c>
      <c r="J57">
        <f>IF(I57="","",COUNTIFS($I$2:$I$149,I57,$B$2:$B$149,B57,$G$2:$G$149,"&lt;"&amp;G57)+COUNTIFS($I$2:$I$149,I57,$B$2:$B$149,B57,$G$2:$G$149,G57,$A$2:$A$149,"&lt;"&amp;A57)+1)</f>
        <v/>
      </c>
      <c r="K57">
        <f>IF(I57="","",I57&amp;B57&amp;"-"&amp;J57)</f>
        <v/>
      </c>
      <c r="L57">
        <f>IF(I57="","",I57&amp;B57&amp;"|"&amp;D57)</f>
        <v/>
      </c>
      <c r="M57">
        <f>IF(I57="","",IF(I57="女",COUNTIF(手直し!$G$6:$J$42,D57),COUNTIF(手直し!$B$6:$E$42,D57)))</f>
        <v/>
      </c>
      <c r="N57">
        <f>IF(I57="","",IF(I57="女",COUNTIF(INDEX(手直し!$G$6:$J$42,0,B57),D57),COUNTIF(INDEX(手直し!$B$6:$E$42,0,B57),D57)))</f>
        <v/>
      </c>
      <c r="O57">
        <f>IF(AND(I57&lt;&gt;"",M57=0),1,0)</f>
        <v/>
      </c>
      <c r="P57">
        <f>IF(AND(O57=1,I57&lt;&gt;"女"),COUNTIFS($O$2:O57,1,$I$2:I57,"&lt;&gt;女"),"")</f>
        <v/>
      </c>
      <c r="Q57">
        <f>IF(AND(O57=1,I57="女"),COUNTIFS($O$2:O57,1,$I$2:I57,"女"),"")</f>
        <v/>
      </c>
      <c r="R57">
        <f>IF(AND(I57&lt;&gt;"",M57&gt;=1,N57=0),1,0)</f>
        <v/>
      </c>
      <c r="S57">
        <f>IF(AND(D57&lt;&gt;"",I57=""),1,0)</f>
        <v/>
      </c>
      <c r="V57">
        <f>IF(J57="",0,J57)</f>
        <v/>
      </c>
      <c r="W57">
        <f>IF(I57="","",I57&amp;D57)</f>
        <v/>
      </c>
      <c r="Y57" t="n">
        <v>56</v>
      </c>
      <c r="Z57">
        <f>IF(Y57&gt;$U$22,"",IF(Y57&lt;=$U$23,IF($U$4,"B","A"),IF($U$4,"A","B")))</f>
        <v/>
      </c>
      <c r="AA57">
        <f>IF(Z57="","",IF(Y57&lt;=$U$23,Y57,Y57-$U$23))</f>
        <v/>
      </c>
      <c r="AB57">
        <f>IF(Z57="","",IF(Z57="A",$U$7,$U$8))</f>
        <v/>
      </c>
      <c r="AC57">
        <f>IF(Z57="","",IF(AB57&lt;=$U$6,AB57-AA57+1,IF(AA57&lt;=INT((AB57-$U$6+1)/2),$U$6-1+2*AA57,IF(AA57&lt;=INT((AB57-$U$6+1)/2)+INT((AB57-$U$6)/2),(AB57-1+MOD(AB57,2))-2*(AA57-INT((AB57-$U$6+1)/2)-1),$U$6-(AA57-INT((AB57-$U$6+1)/2)-INT((AB57-$U$6)/2)-1)))))</f>
        <v/>
      </c>
      <c r="AD57">
        <f>IF(Z57="","",IF($U$2,"",IF(Z57="B","女子","男子"))&amp;AA57&amp;"レース")</f>
        <v/>
      </c>
      <c r="AE57">
        <f>IF(Z57="","",IF($U$2,1,AA57))</f>
        <v/>
      </c>
      <c r="AF57">
        <f>IF(AJ57="",99,IF(最終修正!$C$58="",0,IF(AND(ISNUMBER(最終修正!$C$58),INT(最終修正!$C$58)=最終修正!$C$58,最終修正!$C$58-$U$5&gt;=0,最終修正!$C$58-$U$5&lt;=3),最終修正!$C$58-$U$5,-1)))</f>
        <v/>
      </c>
      <c r="AG57">
        <f>IF(AK57="",99,IF(最終修正!$E$58="",1,IF(AND(ISNUMBER(最終修正!$E$58),INT(最終修正!$E$58)=最終修正!$E$58,最終修正!$E$58-$U$5&gt;=0,最終修正!$E$58-$U$5&lt;=3),最終修正!$E$58-$U$5,-1)))</f>
        <v/>
      </c>
      <c r="AH57">
        <f>IF(AL57="",99,IF(最終修正!$G$58="",2,IF(AND(ISNUMBER(最終修正!$G$58),INT(最終修正!$G$58)=最終修正!$G$58,最終修正!$G$58-$U$5&gt;=0,最終修正!$G$58-$U$5&lt;=3),最終修正!$G$58-$U$5,-1)))</f>
        <v/>
      </c>
      <c r="AI57">
        <f>IF(AM57="",99,IF(最終修正!$I$58="",3,IF(AND(ISNUMBER(最終修正!$I$58),INT(最終修正!$I$58)=最終修正!$I$58,最終修正!$I$58-$U$5&gt;=0,最終修正!$I$58-$U$5&lt;=3),最終修正!$I$58-$U$5,-1)))</f>
        <v/>
      </c>
      <c r="AJ57">
        <f>IF(計算用!$Z$57="","",IF(計算用!$U$24,IF(計算用!$Z$57="A",INDEX(手直し!$B$6:$E$42,計算用!$AC$57,MOD(0-計算用!$AE$57+1,4)+1),INDEX(手直し!$G$6:$J$42,計算用!$AC$57,MOD(0-計算用!$AE$57+1,4)+1)),IF(計算用!$Z$57="A",INDEX(組分け!$B$5:$I$41,計算用!$AC$57,(MOD(0-計算用!$AE$57+1,4)+1)*2-1),INDEX(組分け!$L$5:$S$41,計算用!$AC$57,(MOD(0-計算用!$AE$57+1,4)+1)*2-1)))&amp;"")</f>
        <v/>
      </c>
      <c r="AK57">
        <f>IF(計算用!$Z$57="","",IF(計算用!$U$24,IF(計算用!$Z$57="A",INDEX(手直し!$B$6:$E$42,計算用!$AC$57,MOD(1-計算用!$AE$57+1,4)+1),INDEX(手直し!$G$6:$J$42,計算用!$AC$57,MOD(1-計算用!$AE$57+1,4)+1)),IF(計算用!$Z$57="A",INDEX(組分け!$B$5:$I$41,計算用!$AC$57,(MOD(1-計算用!$AE$57+1,4)+1)*2-1),INDEX(組分け!$L$5:$S$41,計算用!$AC$57,(MOD(1-計算用!$AE$57+1,4)+1)*2-1)))&amp;"")</f>
        <v/>
      </c>
      <c r="AL57">
        <f>IF(計算用!$Z$57="","",IF(計算用!$U$24,IF(計算用!$Z$57="A",INDEX(手直し!$B$6:$E$42,計算用!$AC$57,MOD(2-計算用!$AE$57+1,4)+1),INDEX(手直し!$G$6:$J$42,計算用!$AC$57,MOD(2-計算用!$AE$57+1,4)+1)),IF(計算用!$Z$57="A",INDEX(組分け!$B$5:$I$41,計算用!$AC$57,(MOD(2-計算用!$AE$57+1,4)+1)*2-1),INDEX(組分け!$L$5:$S$41,計算用!$AC$57,(MOD(2-計算用!$AE$57+1,4)+1)*2-1)))&amp;"")</f>
        <v/>
      </c>
      <c r="AM57">
        <f>IF(計算用!$Z$57="","",IF(計算用!$U$24,IF(計算用!$Z$57="A",INDEX(手直し!$B$6:$E$42,計算用!$AC$57,MOD(3-計算用!$AE$57+1,4)+1),INDEX(手直し!$G$6:$J$42,計算用!$AC$57,MOD(3-計算用!$AE$57+1,4)+1)),IF(計算用!$Z$57="A",INDEX(組分け!$B$5:$I$41,計算用!$AC$57,(MOD(3-計算用!$AE$57+1,4)+1)*2-1),INDEX(組分け!$L$5:$S$41,計算用!$AC$57,(MOD(3-計算用!$AE$57+1,4)+1)*2-1)))&amp;"")</f>
        <v/>
      </c>
      <c r="AN57">
        <f>IF(Z57="",0,(COUNTIF($AF57:$AI57,0)&gt;1)+(COUNTIF($AF57:$AI57,1)&gt;1)+(COUNTIF($AF57:$AI57,2)&gt;1)+(COUNTIF($AF57:$AI57,3)&gt;1)+COUNTIF($AF57:$AI57,-1))</f>
        <v/>
      </c>
      <c r="AP57">
        <f>IF(Z57="","",IFERROR(MOD(MATCH(0,$AF57:$AI57,0)-1-AE57+1,4),""))</f>
        <v/>
      </c>
      <c r="AQ57">
        <f>IF(Z57="","",IFERROR(MOD(MATCH(1,$AF57:$AI57,0)-1-AE57+1,4),""))</f>
        <v/>
      </c>
      <c r="AR57">
        <f>IF(Z57="","",IFERROR(MOD(MATCH(2,$AF57:$AI57,0)-1-AE57+1,4),""))</f>
        <v/>
      </c>
      <c r="AS57">
        <f>IF(Z57="","",IFERROR(MOD(MATCH(3,$AF57:$AI57,0)-1-AE57+1,4),""))</f>
        <v/>
      </c>
    </row>
    <row r="58">
      <c r="A58" t="n">
        <v>57</v>
      </c>
      <c r="B58">
        <f>INT((A58-1)/37)+1</f>
        <v/>
      </c>
      <c r="C58">
        <f>MOD(A58-1,37)+1</f>
        <v/>
      </c>
      <c r="D58">
        <f>TRIM(INDEX(データ入力!$B$5:$Q$41,C58,(B58-1)*4+1)&amp;"")</f>
        <v/>
      </c>
      <c r="E58">
        <f>INDEX(データ入力!$B$5:$Q$41,C58,(B58-1)*4+2)&amp;""</f>
        <v/>
      </c>
      <c r="F58">
        <f>IF(OR(E58="1",E58="１",E58="男"),"男",IF(OR(E58="2",E58="２",E58="女"),"女",""))</f>
        <v/>
      </c>
      <c r="G58">
        <f>INDEX(データ入力!$B$5:$Q$41,C58,(B58-1)*4+3)</f>
        <v/>
      </c>
      <c r="H58">
        <f>IF(D58="","",IF($U$2,"混",F58))</f>
        <v/>
      </c>
      <c r="I58">
        <f>IF(AND(H58&lt;&gt;"",ISNUMBER(G58)),H58,"")</f>
        <v/>
      </c>
      <c r="J58">
        <f>IF(I58="","",COUNTIFS($I$2:$I$149,I58,$B$2:$B$149,B58,$G$2:$G$149,"&lt;"&amp;G58)+COUNTIFS($I$2:$I$149,I58,$B$2:$B$149,B58,$G$2:$G$149,G58,$A$2:$A$149,"&lt;"&amp;A58)+1)</f>
        <v/>
      </c>
      <c r="K58">
        <f>IF(I58="","",I58&amp;B58&amp;"-"&amp;J58)</f>
        <v/>
      </c>
      <c r="L58">
        <f>IF(I58="","",I58&amp;B58&amp;"|"&amp;D58)</f>
        <v/>
      </c>
      <c r="M58">
        <f>IF(I58="","",IF(I58="女",COUNTIF(手直し!$G$6:$J$42,D58),COUNTIF(手直し!$B$6:$E$42,D58)))</f>
        <v/>
      </c>
      <c r="N58">
        <f>IF(I58="","",IF(I58="女",COUNTIF(INDEX(手直し!$G$6:$J$42,0,B58),D58),COUNTIF(INDEX(手直し!$B$6:$E$42,0,B58),D58)))</f>
        <v/>
      </c>
      <c r="O58">
        <f>IF(AND(I58&lt;&gt;"",M58=0),1,0)</f>
        <v/>
      </c>
      <c r="P58">
        <f>IF(AND(O58=1,I58&lt;&gt;"女"),COUNTIFS($O$2:O58,1,$I$2:I58,"&lt;&gt;女"),"")</f>
        <v/>
      </c>
      <c r="Q58">
        <f>IF(AND(O58=1,I58="女"),COUNTIFS($O$2:O58,1,$I$2:I58,"女"),"")</f>
        <v/>
      </c>
      <c r="R58">
        <f>IF(AND(I58&lt;&gt;"",M58&gt;=1,N58=0),1,0)</f>
        <v/>
      </c>
      <c r="S58">
        <f>IF(AND(D58&lt;&gt;"",I58=""),1,0)</f>
        <v/>
      </c>
      <c r="V58">
        <f>IF(J58="",0,J58)</f>
        <v/>
      </c>
      <c r="W58">
        <f>IF(I58="","",I58&amp;D58)</f>
        <v/>
      </c>
      <c r="Y58" t="n">
        <v>57</v>
      </c>
      <c r="Z58">
        <f>IF(Y58&gt;$U$22,"",IF(Y58&lt;=$U$23,IF($U$4,"B","A"),IF($U$4,"A","B")))</f>
        <v/>
      </c>
      <c r="AA58">
        <f>IF(Z58="","",IF(Y58&lt;=$U$23,Y58,Y58-$U$23))</f>
        <v/>
      </c>
      <c r="AB58">
        <f>IF(Z58="","",IF(Z58="A",$U$7,$U$8))</f>
        <v/>
      </c>
      <c r="AC58">
        <f>IF(Z58="","",IF(AB58&lt;=$U$6,AB58-AA58+1,IF(AA58&lt;=INT((AB58-$U$6+1)/2),$U$6-1+2*AA58,IF(AA58&lt;=INT((AB58-$U$6+1)/2)+INT((AB58-$U$6)/2),(AB58-1+MOD(AB58,2))-2*(AA58-INT((AB58-$U$6+1)/2)-1),$U$6-(AA58-INT((AB58-$U$6+1)/2)-INT((AB58-$U$6)/2)-1)))))</f>
        <v/>
      </c>
      <c r="AD58">
        <f>IF(Z58="","",IF($U$2,"",IF(Z58="B","女子","男子"))&amp;AA58&amp;"レース")</f>
        <v/>
      </c>
      <c r="AE58">
        <f>IF(Z58="","",IF($U$2,1,AA58))</f>
        <v/>
      </c>
      <c r="AF58">
        <f>IF(AJ58="",99,IF(最終修正!$C$59="",0,IF(AND(ISNUMBER(最終修正!$C$59),INT(最終修正!$C$59)=最終修正!$C$59,最終修正!$C$59-$U$5&gt;=0,最終修正!$C$59-$U$5&lt;=3),最終修正!$C$59-$U$5,-1)))</f>
        <v/>
      </c>
      <c r="AG58">
        <f>IF(AK58="",99,IF(最終修正!$E$59="",1,IF(AND(ISNUMBER(最終修正!$E$59),INT(最終修正!$E$59)=最終修正!$E$59,最終修正!$E$59-$U$5&gt;=0,最終修正!$E$59-$U$5&lt;=3),最終修正!$E$59-$U$5,-1)))</f>
        <v/>
      </c>
      <c r="AH58">
        <f>IF(AL58="",99,IF(最終修正!$G$59="",2,IF(AND(ISNUMBER(最終修正!$G$59),INT(最終修正!$G$59)=最終修正!$G$59,最終修正!$G$59-$U$5&gt;=0,最終修正!$G$59-$U$5&lt;=3),最終修正!$G$59-$U$5,-1)))</f>
        <v/>
      </c>
      <c r="AI58">
        <f>IF(AM58="",99,IF(最終修正!$I$59="",3,IF(AND(ISNUMBER(最終修正!$I$59),INT(最終修正!$I$59)=最終修正!$I$59,最終修正!$I$59-$U$5&gt;=0,最終修正!$I$59-$U$5&lt;=3),最終修正!$I$59-$U$5,-1)))</f>
        <v/>
      </c>
      <c r="AJ58">
        <f>IF(計算用!$Z$58="","",IF(計算用!$U$24,IF(計算用!$Z$58="A",INDEX(手直し!$B$6:$E$42,計算用!$AC$58,MOD(0-計算用!$AE$58+1,4)+1),INDEX(手直し!$G$6:$J$42,計算用!$AC$58,MOD(0-計算用!$AE$58+1,4)+1)),IF(計算用!$Z$58="A",INDEX(組分け!$B$5:$I$41,計算用!$AC$58,(MOD(0-計算用!$AE$58+1,4)+1)*2-1),INDEX(組分け!$L$5:$S$41,計算用!$AC$58,(MOD(0-計算用!$AE$58+1,4)+1)*2-1)))&amp;"")</f>
        <v/>
      </c>
      <c r="AK58">
        <f>IF(計算用!$Z$58="","",IF(計算用!$U$24,IF(計算用!$Z$58="A",INDEX(手直し!$B$6:$E$42,計算用!$AC$58,MOD(1-計算用!$AE$58+1,4)+1),INDEX(手直し!$G$6:$J$42,計算用!$AC$58,MOD(1-計算用!$AE$58+1,4)+1)),IF(計算用!$Z$58="A",INDEX(組分け!$B$5:$I$41,計算用!$AC$58,(MOD(1-計算用!$AE$58+1,4)+1)*2-1),INDEX(組分け!$L$5:$S$41,計算用!$AC$58,(MOD(1-計算用!$AE$58+1,4)+1)*2-1)))&amp;"")</f>
        <v/>
      </c>
      <c r="AL58">
        <f>IF(計算用!$Z$58="","",IF(計算用!$U$24,IF(計算用!$Z$58="A",INDEX(手直し!$B$6:$E$42,計算用!$AC$58,MOD(2-計算用!$AE$58+1,4)+1),INDEX(手直し!$G$6:$J$42,計算用!$AC$58,MOD(2-計算用!$AE$58+1,4)+1)),IF(計算用!$Z$58="A",INDEX(組分け!$B$5:$I$41,計算用!$AC$58,(MOD(2-計算用!$AE$58+1,4)+1)*2-1),INDEX(組分け!$L$5:$S$41,計算用!$AC$58,(MOD(2-計算用!$AE$58+1,4)+1)*2-1)))&amp;"")</f>
        <v/>
      </c>
      <c r="AM58">
        <f>IF(計算用!$Z$58="","",IF(計算用!$U$24,IF(計算用!$Z$58="A",INDEX(手直し!$B$6:$E$42,計算用!$AC$58,MOD(3-計算用!$AE$58+1,4)+1),INDEX(手直し!$G$6:$J$42,計算用!$AC$58,MOD(3-計算用!$AE$58+1,4)+1)),IF(計算用!$Z$58="A",INDEX(組分け!$B$5:$I$41,計算用!$AC$58,(MOD(3-計算用!$AE$58+1,4)+1)*2-1),INDEX(組分け!$L$5:$S$41,計算用!$AC$58,(MOD(3-計算用!$AE$58+1,4)+1)*2-1)))&amp;"")</f>
        <v/>
      </c>
      <c r="AN58">
        <f>IF(Z58="",0,(COUNTIF($AF58:$AI58,0)&gt;1)+(COUNTIF($AF58:$AI58,1)&gt;1)+(COUNTIF($AF58:$AI58,2)&gt;1)+(COUNTIF($AF58:$AI58,3)&gt;1)+COUNTIF($AF58:$AI58,-1))</f>
        <v/>
      </c>
      <c r="AP58">
        <f>IF(Z58="","",IFERROR(MOD(MATCH(0,$AF58:$AI58,0)-1-AE58+1,4),""))</f>
        <v/>
      </c>
      <c r="AQ58">
        <f>IF(Z58="","",IFERROR(MOD(MATCH(1,$AF58:$AI58,0)-1-AE58+1,4),""))</f>
        <v/>
      </c>
      <c r="AR58">
        <f>IF(Z58="","",IFERROR(MOD(MATCH(2,$AF58:$AI58,0)-1-AE58+1,4),""))</f>
        <v/>
      </c>
      <c r="AS58">
        <f>IF(Z58="","",IFERROR(MOD(MATCH(3,$AF58:$AI58,0)-1-AE58+1,4),""))</f>
        <v/>
      </c>
    </row>
    <row r="59">
      <c r="A59" t="n">
        <v>58</v>
      </c>
      <c r="B59">
        <f>INT((A59-1)/37)+1</f>
        <v/>
      </c>
      <c r="C59">
        <f>MOD(A59-1,37)+1</f>
        <v/>
      </c>
      <c r="D59">
        <f>TRIM(INDEX(データ入力!$B$5:$Q$41,C59,(B59-1)*4+1)&amp;"")</f>
        <v/>
      </c>
      <c r="E59">
        <f>INDEX(データ入力!$B$5:$Q$41,C59,(B59-1)*4+2)&amp;""</f>
        <v/>
      </c>
      <c r="F59">
        <f>IF(OR(E59="1",E59="１",E59="男"),"男",IF(OR(E59="2",E59="２",E59="女"),"女",""))</f>
        <v/>
      </c>
      <c r="G59">
        <f>INDEX(データ入力!$B$5:$Q$41,C59,(B59-1)*4+3)</f>
        <v/>
      </c>
      <c r="H59">
        <f>IF(D59="","",IF($U$2,"混",F59))</f>
        <v/>
      </c>
      <c r="I59">
        <f>IF(AND(H59&lt;&gt;"",ISNUMBER(G59)),H59,"")</f>
        <v/>
      </c>
      <c r="J59">
        <f>IF(I59="","",COUNTIFS($I$2:$I$149,I59,$B$2:$B$149,B59,$G$2:$G$149,"&lt;"&amp;G59)+COUNTIFS($I$2:$I$149,I59,$B$2:$B$149,B59,$G$2:$G$149,G59,$A$2:$A$149,"&lt;"&amp;A59)+1)</f>
        <v/>
      </c>
      <c r="K59">
        <f>IF(I59="","",I59&amp;B59&amp;"-"&amp;J59)</f>
        <v/>
      </c>
      <c r="L59">
        <f>IF(I59="","",I59&amp;B59&amp;"|"&amp;D59)</f>
        <v/>
      </c>
      <c r="M59">
        <f>IF(I59="","",IF(I59="女",COUNTIF(手直し!$G$6:$J$42,D59),COUNTIF(手直し!$B$6:$E$42,D59)))</f>
        <v/>
      </c>
      <c r="N59">
        <f>IF(I59="","",IF(I59="女",COUNTIF(INDEX(手直し!$G$6:$J$42,0,B59),D59),COUNTIF(INDEX(手直し!$B$6:$E$42,0,B59),D59)))</f>
        <v/>
      </c>
      <c r="O59">
        <f>IF(AND(I59&lt;&gt;"",M59=0),1,0)</f>
        <v/>
      </c>
      <c r="P59">
        <f>IF(AND(O59=1,I59&lt;&gt;"女"),COUNTIFS($O$2:O59,1,$I$2:I59,"&lt;&gt;女"),"")</f>
        <v/>
      </c>
      <c r="Q59">
        <f>IF(AND(O59=1,I59="女"),COUNTIFS($O$2:O59,1,$I$2:I59,"女"),"")</f>
        <v/>
      </c>
      <c r="R59">
        <f>IF(AND(I59&lt;&gt;"",M59&gt;=1,N59=0),1,0)</f>
        <v/>
      </c>
      <c r="S59">
        <f>IF(AND(D59&lt;&gt;"",I59=""),1,0)</f>
        <v/>
      </c>
      <c r="V59">
        <f>IF(J59="",0,J59)</f>
        <v/>
      </c>
      <c r="W59">
        <f>IF(I59="","",I59&amp;D59)</f>
        <v/>
      </c>
      <c r="Y59" t="n">
        <v>58</v>
      </c>
      <c r="Z59">
        <f>IF(Y59&gt;$U$22,"",IF(Y59&lt;=$U$23,IF($U$4,"B","A"),IF($U$4,"A","B")))</f>
        <v/>
      </c>
      <c r="AA59">
        <f>IF(Z59="","",IF(Y59&lt;=$U$23,Y59,Y59-$U$23))</f>
        <v/>
      </c>
      <c r="AB59">
        <f>IF(Z59="","",IF(Z59="A",$U$7,$U$8))</f>
        <v/>
      </c>
      <c r="AC59">
        <f>IF(Z59="","",IF(AB59&lt;=$U$6,AB59-AA59+1,IF(AA59&lt;=INT((AB59-$U$6+1)/2),$U$6-1+2*AA59,IF(AA59&lt;=INT((AB59-$U$6+1)/2)+INT((AB59-$U$6)/2),(AB59-1+MOD(AB59,2))-2*(AA59-INT((AB59-$U$6+1)/2)-1),$U$6-(AA59-INT((AB59-$U$6+1)/2)-INT((AB59-$U$6)/2)-1)))))</f>
        <v/>
      </c>
      <c r="AD59">
        <f>IF(Z59="","",IF($U$2,"",IF(Z59="B","女子","男子"))&amp;AA59&amp;"レース")</f>
        <v/>
      </c>
      <c r="AE59">
        <f>IF(Z59="","",IF($U$2,1,AA59))</f>
        <v/>
      </c>
      <c r="AF59">
        <f>IF(AJ59="",99,IF(最終修正!$C$60="",0,IF(AND(ISNUMBER(最終修正!$C$60),INT(最終修正!$C$60)=最終修正!$C$60,最終修正!$C$60-$U$5&gt;=0,最終修正!$C$60-$U$5&lt;=3),最終修正!$C$60-$U$5,-1)))</f>
        <v/>
      </c>
      <c r="AG59">
        <f>IF(AK59="",99,IF(最終修正!$E$60="",1,IF(AND(ISNUMBER(最終修正!$E$60),INT(最終修正!$E$60)=最終修正!$E$60,最終修正!$E$60-$U$5&gt;=0,最終修正!$E$60-$U$5&lt;=3),最終修正!$E$60-$U$5,-1)))</f>
        <v/>
      </c>
      <c r="AH59">
        <f>IF(AL59="",99,IF(最終修正!$G$60="",2,IF(AND(ISNUMBER(最終修正!$G$60),INT(最終修正!$G$60)=最終修正!$G$60,最終修正!$G$60-$U$5&gt;=0,最終修正!$G$60-$U$5&lt;=3),最終修正!$G$60-$U$5,-1)))</f>
        <v/>
      </c>
      <c r="AI59">
        <f>IF(AM59="",99,IF(最終修正!$I$60="",3,IF(AND(ISNUMBER(最終修正!$I$60),INT(最終修正!$I$60)=最終修正!$I$60,最終修正!$I$60-$U$5&gt;=0,最終修正!$I$60-$U$5&lt;=3),最終修正!$I$60-$U$5,-1)))</f>
        <v/>
      </c>
      <c r="AJ59">
        <f>IF(計算用!$Z$59="","",IF(計算用!$U$24,IF(計算用!$Z$59="A",INDEX(手直し!$B$6:$E$42,計算用!$AC$59,MOD(0-計算用!$AE$59+1,4)+1),INDEX(手直し!$G$6:$J$42,計算用!$AC$59,MOD(0-計算用!$AE$59+1,4)+1)),IF(計算用!$Z$59="A",INDEX(組分け!$B$5:$I$41,計算用!$AC$59,(MOD(0-計算用!$AE$59+1,4)+1)*2-1),INDEX(組分け!$L$5:$S$41,計算用!$AC$59,(MOD(0-計算用!$AE$59+1,4)+1)*2-1)))&amp;"")</f>
        <v/>
      </c>
      <c r="AK59">
        <f>IF(計算用!$Z$59="","",IF(計算用!$U$24,IF(計算用!$Z$59="A",INDEX(手直し!$B$6:$E$42,計算用!$AC$59,MOD(1-計算用!$AE$59+1,4)+1),INDEX(手直し!$G$6:$J$42,計算用!$AC$59,MOD(1-計算用!$AE$59+1,4)+1)),IF(計算用!$Z$59="A",INDEX(組分け!$B$5:$I$41,計算用!$AC$59,(MOD(1-計算用!$AE$59+1,4)+1)*2-1),INDEX(組分け!$L$5:$S$41,計算用!$AC$59,(MOD(1-計算用!$AE$59+1,4)+1)*2-1)))&amp;"")</f>
        <v/>
      </c>
      <c r="AL59">
        <f>IF(計算用!$Z$59="","",IF(計算用!$U$24,IF(計算用!$Z$59="A",INDEX(手直し!$B$6:$E$42,計算用!$AC$59,MOD(2-計算用!$AE$59+1,4)+1),INDEX(手直し!$G$6:$J$42,計算用!$AC$59,MOD(2-計算用!$AE$59+1,4)+1)),IF(計算用!$Z$59="A",INDEX(組分け!$B$5:$I$41,計算用!$AC$59,(MOD(2-計算用!$AE$59+1,4)+1)*2-1),INDEX(組分け!$L$5:$S$41,計算用!$AC$59,(MOD(2-計算用!$AE$59+1,4)+1)*2-1)))&amp;"")</f>
        <v/>
      </c>
      <c r="AM59">
        <f>IF(計算用!$Z$59="","",IF(計算用!$U$24,IF(計算用!$Z$59="A",INDEX(手直し!$B$6:$E$42,計算用!$AC$59,MOD(3-計算用!$AE$59+1,4)+1),INDEX(手直し!$G$6:$J$42,計算用!$AC$59,MOD(3-計算用!$AE$59+1,4)+1)),IF(計算用!$Z$59="A",INDEX(組分け!$B$5:$I$41,計算用!$AC$59,(MOD(3-計算用!$AE$59+1,4)+1)*2-1),INDEX(組分け!$L$5:$S$41,計算用!$AC$59,(MOD(3-計算用!$AE$59+1,4)+1)*2-1)))&amp;"")</f>
        <v/>
      </c>
      <c r="AN59">
        <f>IF(Z59="",0,(COUNTIF($AF59:$AI59,0)&gt;1)+(COUNTIF($AF59:$AI59,1)&gt;1)+(COUNTIF($AF59:$AI59,2)&gt;1)+(COUNTIF($AF59:$AI59,3)&gt;1)+COUNTIF($AF59:$AI59,-1))</f>
        <v/>
      </c>
      <c r="AP59">
        <f>IF(Z59="","",IFERROR(MOD(MATCH(0,$AF59:$AI59,0)-1-AE59+1,4),""))</f>
        <v/>
      </c>
      <c r="AQ59">
        <f>IF(Z59="","",IFERROR(MOD(MATCH(1,$AF59:$AI59,0)-1-AE59+1,4),""))</f>
        <v/>
      </c>
      <c r="AR59">
        <f>IF(Z59="","",IFERROR(MOD(MATCH(2,$AF59:$AI59,0)-1-AE59+1,4),""))</f>
        <v/>
      </c>
      <c r="AS59">
        <f>IF(Z59="","",IFERROR(MOD(MATCH(3,$AF59:$AI59,0)-1-AE59+1,4),""))</f>
        <v/>
      </c>
    </row>
    <row r="60">
      <c r="A60" t="n">
        <v>59</v>
      </c>
      <c r="B60">
        <f>INT((A60-1)/37)+1</f>
        <v/>
      </c>
      <c r="C60">
        <f>MOD(A60-1,37)+1</f>
        <v/>
      </c>
      <c r="D60">
        <f>TRIM(INDEX(データ入力!$B$5:$Q$41,C60,(B60-1)*4+1)&amp;"")</f>
        <v/>
      </c>
      <c r="E60">
        <f>INDEX(データ入力!$B$5:$Q$41,C60,(B60-1)*4+2)&amp;""</f>
        <v/>
      </c>
      <c r="F60">
        <f>IF(OR(E60="1",E60="１",E60="男"),"男",IF(OR(E60="2",E60="２",E60="女"),"女",""))</f>
        <v/>
      </c>
      <c r="G60">
        <f>INDEX(データ入力!$B$5:$Q$41,C60,(B60-1)*4+3)</f>
        <v/>
      </c>
      <c r="H60">
        <f>IF(D60="","",IF($U$2,"混",F60))</f>
        <v/>
      </c>
      <c r="I60">
        <f>IF(AND(H60&lt;&gt;"",ISNUMBER(G60)),H60,"")</f>
        <v/>
      </c>
      <c r="J60">
        <f>IF(I60="","",COUNTIFS($I$2:$I$149,I60,$B$2:$B$149,B60,$G$2:$G$149,"&lt;"&amp;G60)+COUNTIFS($I$2:$I$149,I60,$B$2:$B$149,B60,$G$2:$G$149,G60,$A$2:$A$149,"&lt;"&amp;A60)+1)</f>
        <v/>
      </c>
      <c r="K60">
        <f>IF(I60="","",I60&amp;B60&amp;"-"&amp;J60)</f>
        <v/>
      </c>
      <c r="L60">
        <f>IF(I60="","",I60&amp;B60&amp;"|"&amp;D60)</f>
        <v/>
      </c>
      <c r="M60">
        <f>IF(I60="","",IF(I60="女",COUNTIF(手直し!$G$6:$J$42,D60),COUNTIF(手直し!$B$6:$E$42,D60)))</f>
        <v/>
      </c>
      <c r="N60">
        <f>IF(I60="","",IF(I60="女",COUNTIF(INDEX(手直し!$G$6:$J$42,0,B60),D60),COUNTIF(INDEX(手直し!$B$6:$E$42,0,B60),D60)))</f>
        <v/>
      </c>
      <c r="O60">
        <f>IF(AND(I60&lt;&gt;"",M60=0),1,0)</f>
        <v/>
      </c>
      <c r="P60">
        <f>IF(AND(O60=1,I60&lt;&gt;"女"),COUNTIFS($O$2:O60,1,$I$2:I60,"&lt;&gt;女"),"")</f>
        <v/>
      </c>
      <c r="Q60">
        <f>IF(AND(O60=1,I60="女"),COUNTIFS($O$2:O60,1,$I$2:I60,"女"),"")</f>
        <v/>
      </c>
      <c r="R60">
        <f>IF(AND(I60&lt;&gt;"",M60&gt;=1,N60=0),1,0)</f>
        <v/>
      </c>
      <c r="S60">
        <f>IF(AND(D60&lt;&gt;"",I60=""),1,0)</f>
        <v/>
      </c>
      <c r="V60">
        <f>IF(J60="",0,J60)</f>
        <v/>
      </c>
      <c r="W60">
        <f>IF(I60="","",I60&amp;D60)</f>
        <v/>
      </c>
      <c r="Y60" t="n">
        <v>59</v>
      </c>
      <c r="Z60">
        <f>IF(Y60&gt;$U$22,"",IF(Y60&lt;=$U$23,IF($U$4,"B","A"),IF($U$4,"A","B")))</f>
        <v/>
      </c>
      <c r="AA60">
        <f>IF(Z60="","",IF(Y60&lt;=$U$23,Y60,Y60-$U$23))</f>
        <v/>
      </c>
      <c r="AB60">
        <f>IF(Z60="","",IF(Z60="A",$U$7,$U$8))</f>
        <v/>
      </c>
      <c r="AC60">
        <f>IF(Z60="","",IF(AB60&lt;=$U$6,AB60-AA60+1,IF(AA60&lt;=INT((AB60-$U$6+1)/2),$U$6-1+2*AA60,IF(AA60&lt;=INT((AB60-$U$6+1)/2)+INT((AB60-$U$6)/2),(AB60-1+MOD(AB60,2))-2*(AA60-INT((AB60-$U$6+1)/2)-1),$U$6-(AA60-INT((AB60-$U$6+1)/2)-INT((AB60-$U$6)/2)-1)))))</f>
        <v/>
      </c>
      <c r="AD60">
        <f>IF(Z60="","",IF($U$2,"",IF(Z60="B","女子","男子"))&amp;AA60&amp;"レース")</f>
        <v/>
      </c>
      <c r="AE60">
        <f>IF(Z60="","",IF($U$2,1,AA60))</f>
        <v/>
      </c>
      <c r="AF60">
        <f>IF(AJ60="",99,IF(最終修正!$C$61="",0,IF(AND(ISNUMBER(最終修正!$C$61),INT(最終修正!$C$61)=最終修正!$C$61,最終修正!$C$61-$U$5&gt;=0,最終修正!$C$61-$U$5&lt;=3),最終修正!$C$61-$U$5,-1)))</f>
        <v/>
      </c>
      <c r="AG60">
        <f>IF(AK60="",99,IF(最終修正!$E$61="",1,IF(AND(ISNUMBER(最終修正!$E$61),INT(最終修正!$E$61)=最終修正!$E$61,最終修正!$E$61-$U$5&gt;=0,最終修正!$E$61-$U$5&lt;=3),最終修正!$E$61-$U$5,-1)))</f>
        <v/>
      </c>
      <c r="AH60">
        <f>IF(AL60="",99,IF(最終修正!$G$61="",2,IF(AND(ISNUMBER(最終修正!$G$61),INT(最終修正!$G$61)=最終修正!$G$61,最終修正!$G$61-$U$5&gt;=0,最終修正!$G$61-$U$5&lt;=3),最終修正!$G$61-$U$5,-1)))</f>
        <v/>
      </c>
      <c r="AI60">
        <f>IF(AM60="",99,IF(最終修正!$I$61="",3,IF(AND(ISNUMBER(最終修正!$I$61),INT(最終修正!$I$61)=最終修正!$I$61,最終修正!$I$61-$U$5&gt;=0,最終修正!$I$61-$U$5&lt;=3),最終修正!$I$61-$U$5,-1)))</f>
        <v/>
      </c>
      <c r="AJ60">
        <f>IF(計算用!$Z$60="","",IF(計算用!$U$24,IF(計算用!$Z$60="A",INDEX(手直し!$B$6:$E$42,計算用!$AC$60,MOD(0-計算用!$AE$60+1,4)+1),INDEX(手直し!$G$6:$J$42,計算用!$AC$60,MOD(0-計算用!$AE$60+1,4)+1)),IF(計算用!$Z$60="A",INDEX(組分け!$B$5:$I$41,計算用!$AC$60,(MOD(0-計算用!$AE$60+1,4)+1)*2-1),INDEX(組分け!$L$5:$S$41,計算用!$AC$60,(MOD(0-計算用!$AE$60+1,4)+1)*2-1)))&amp;"")</f>
        <v/>
      </c>
      <c r="AK60">
        <f>IF(計算用!$Z$60="","",IF(計算用!$U$24,IF(計算用!$Z$60="A",INDEX(手直し!$B$6:$E$42,計算用!$AC$60,MOD(1-計算用!$AE$60+1,4)+1),INDEX(手直し!$G$6:$J$42,計算用!$AC$60,MOD(1-計算用!$AE$60+1,4)+1)),IF(計算用!$Z$60="A",INDEX(組分け!$B$5:$I$41,計算用!$AC$60,(MOD(1-計算用!$AE$60+1,4)+1)*2-1),INDEX(組分け!$L$5:$S$41,計算用!$AC$60,(MOD(1-計算用!$AE$60+1,4)+1)*2-1)))&amp;"")</f>
        <v/>
      </c>
      <c r="AL60">
        <f>IF(計算用!$Z$60="","",IF(計算用!$U$24,IF(計算用!$Z$60="A",INDEX(手直し!$B$6:$E$42,計算用!$AC$60,MOD(2-計算用!$AE$60+1,4)+1),INDEX(手直し!$G$6:$J$42,計算用!$AC$60,MOD(2-計算用!$AE$60+1,4)+1)),IF(計算用!$Z$60="A",INDEX(組分け!$B$5:$I$41,計算用!$AC$60,(MOD(2-計算用!$AE$60+1,4)+1)*2-1),INDEX(組分け!$L$5:$S$41,計算用!$AC$60,(MOD(2-計算用!$AE$60+1,4)+1)*2-1)))&amp;"")</f>
        <v/>
      </c>
      <c r="AM60">
        <f>IF(計算用!$Z$60="","",IF(計算用!$U$24,IF(計算用!$Z$60="A",INDEX(手直し!$B$6:$E$42,計算用!$AC$60,MOD(3-計算用!$AE$60+1,4)+1),INDEX(手直し!$G$6:$J$42,計算用!$AC$60,MOD(3-計算用!$AE$60+1,4)+1)),IF(計算用!$Z$60="A",INDEX(組分け!$B$5:$I$41,計算用!$AC$60,(MOD(3-計算用!$AE$60+1,4)+1)*2-1),INDEX(組分け!$L$5:$S$41,計算用!$AC$60,(MOD(3-計算用!$AE$60+1,4)+1)*2-1)))&amp;"")</f>
        <v/>
      </c>
      <c r="AN60">
        <f>IF(Z60="",0,(COUNTIF($AF60:$AI60,0)&gt;1)+(COUNTIF($AF60:$AI60,1)&gt;1)+(COUNTIF($AF60:$AI60,2)&gt;1)+(COUNTIF($AF60:$AI60,3)&gt;1)+COUNTIF($AF60:$AI60,-1))</f>
        <v/>
      </c>
      <c r="AP60">
        <f>IF(Z60="","",IFERROR(MOD(MATCH(0,$AF60:$AI60,0)-1-AE60+1,4),""))</f>
        <v/>
      </c>
      <c r="AQ60">
        <f>IF(Z60="","",IFERROR(MOD(MATCH(1,$AF60:$AI60,0)-1-AE60+1,4),""))</f>
        <v/>
      </c>
      <c r="AR60">
        <f>IF(Z60="","",IFERROR(MOD(MATCH(2,$AF60:$AI60,0)-1-AE60+1,4),""))</f>
        <v/>
      </c>
      <c r="AS60">
        <f>IF(Z60="","",IFERROR(MOD(MATCH(3,$AF60:$AI60,0)-1-AE60+1,4),""))</f>
        <v/>
      </c>
    </row>
    <row r="61">
      <c r="A61" t="n">
        <v>60</v>
      </c>
      <c r="B61">
        <f>INT((A61-1)/37)+1</f>
        <v/>
      </c>
      <c r="C61">
        <f>MOD(A61-1,37)+1</f>
        <v/>
      </c>
      <c r="D61">
        <f>TRIM(INDEX(データ入力!$B$5:$Q$41,C61,(B61-1)*4+1)&amp;"")</f>
        <v/>
      </c>
      <c r="E61">
        <f>INDEX(データ入力!$B$5:$Q$41,C61,(B61-1)*4+2)&amp;""</f>
        <v/>
      </c>
      <c r="F61">
        <f>IF(OR(E61="1",E61="１",E61="男"),"男",IF(OR(E61="2",E61="２",E61="女"),"女",""))</f>
        <v/>
      </c>
      <c r="G61">
        <f>INDEX(データ入力!$B$5:$Q$41,C61,(B61-1)*4+3)</f>
        <v/>
      </c>
      <c r="H61">
        <f>IF(D61="","",IF($U$2,"混",F61))</f>
        <v/>
      </c>
      <c r="I61">
        <f>IF(AND(H61&lt;&gt;"",ISNUMBER(G61)),H61,"")</f>
        <v/>
      </c>
      <c r="J61">
        <f>IF(I61="","",COUNTIFS($I$2:$I$149,I61,$B$2:$B$149,B61,$G$2:$G$149,"&lt;"&amp;G61)+COUNTIFS($I$2:$I$149,I61,$B$2:$B$149,B61,$G$2:$G$149,G61,$A$2:$A$149,"&lt;"&amp;A61)+1)</f>
        <v/>
      </c>
      <c r="K61">
        <f>IF(I61="","",I61&amp;B61&amp;"-"&amp;J61)</f>
        <v/>
      </c>
      <c r="L61">
        <f>IF(I61="","",I61&amp;B61&amp;"|"&amp;D61)</f>
        <v/>
      </c>
      <c r="M61">
        <f>IF(I61="","",IF(I61="女",COUNTIF(手直し!$G$6:$J$42,D61),COUNTIF(手直し!$B$6:$E$42,D61)))</f>
        <v/>
      </c>
      <c r="N61">
        <f>IF(I61="","",IF(I61="女",COUNTIF(INDEX(手直し!$G$6:$J$42,0,B61),D61),COUNTIF(INDEX(手直し!$B$6:$E$42,0,B61),D61)))</f>
        <v/>
      </c>
      <c r="O61">
        <f>IF(AND(I61&lt;&gt;"",M61=0),1,0)</f>
        <v/>
      </c>
      <c r="P61">
        <f>IF(AND(O61=1,I61&lt;&gt;"女"),COUNTIFS($O$2:O61,1,$I$2:I61,"&lt;&gt;女"),"")</f>
        <v/>
      </c>
      <c r="Q61">
        <f>IF(AND(O61=1,I61="女"),COUNTIFS($O$2:O61,1,$I$2:I61,"女"),"")</f>
        <v/>
      </c>
      <c r="R61">
        <f>IF(AND(I61&lt;&gt;"",M61&gt;=1,N61=0),1,0)</f>
        <v/>
      </c>
      <c r="S61">
        <f>IF(AND(D61&lt;&gt;"",I61=""),1,0)</f>
        <v/>
      </c>
      <c r="V61">
        <f>IF(J61="",0,J61)</f>
        <v/>
      </c>
      <c r="W61">
        <f>IF(I61="","",I61&amp;D61)</f>
        <v/>
      </c>
      <c r="Y61" t="n">
        <v>60</v>
      </c>
      <c r="Z61">
        <f>IF(Y61&gt;$U$22,"",IF(Y61&lt;=$U$23,IF($U$4,"B","A"),IF($U$4,"A","B")))</f>
        <v/>
      </c>
      <c r="AA61">
        <f>IF(Z61="","",IF(Y61&lt;=$U$23,Y61,Y61-$U$23))</f>
        <v/>
      </c>
      <c r="AB61">
        <f>IF(Z61="","",IF(Z61="A",$U$7,$U$8))</f>
        <v/>
      </c>
      <c r="AC61">
        <f>IF(Z61="","",IF(AB61&lt;=$U$6,AB61-AA61+1,IF(AA61&lt;=INT((AB61-$U$6+1)/2),$U$6-1+2*AA61,IF(AA61&lt;=INT((AB61-$U$6+1)/2)+INT((AB61-$U$6)/2),(AB61-1+MOD(AB61,2))-2*(AA61-INT((AB61-$U$6+1)/2)-1),$U$6-(AA61-INT((AB61-$U$6+1)/2)-INT((AB61-$U$6)/2)-1)))))</f>
        <v/>
      </c>
      <c r="AD61">
        <f>IF(Z61="","",IF($U$2,"",IF(Z61="B","女子","男子"))&amp;AA61&amp;"レース")</f>
        <v/>
      </c>
      <c r="AE61">
        <f>IF(Z61="","",IF($U$2,1,AA61))</f>
        <v/>
      </c>
      <c r="AF61">
        <f>IF(AJ61="",99,IF(最終修正!$C$62="",0,IF(AND(ISNUMBER(最終修正!$C$62),INT(最終修正!$C$62)=最終修正!$C$62,最終修正!$C$62-$U$5&gt;=0,最終修正!$C$62-$U$5&lt;=3),最終修正!$C$62-$U$5,-1)))</f>
        <v/>
      </c>
      <c r="AG61">
        <f>IF(AK61="",99,IF(最終修正!$E$62="",1,IF(AND(ISNUMBER(最終修正!$E$62),INT(最終修正!$E$62)=最終修正!$E$62,最終修正!$E$62-$U$5&gt;=0,最終修正!$E$62-$U$5&lt;=3),最終修正!$E$62-$U$5,-1)))</f>
        <v/>
      </c>
      <c r="AH61">
        <f>IF(AL61="",99,IF(最終修正!$G$62="",2,IF(AND(ISNUMBER(最終修正!$G$62),INT(最終修正!$G$62)=最終修正!$G$62,最終修正!$G$62-$U$5&gt;=0,最終修正!$G$62-$U$5&lt;=3),最終修正!$G$62-$U$5,-1)))</f>
        <v/>
      </c>
      <c r="AI61">
        <f>IF(AM61="",99,IF(最終修正!$I$62="",3,IF(AND(ISNUMBER(最終修正!$I$62),INT(最終修正!$I$62)=最終修正!$I$62,最終修正!$I$62-$U$5&gt;=0,最終修正!$I$62-$U$5&lt;=3),最終修正!$I$62-$U$5,-1)))</f>
        <v/>
      </c>
      <c r="AJ61">
        <f>IF(計算用!$Z$61="","",IF(計算用!$U$24,IF(計算用!$Z$61="A",INDEX(手直し!$B$6:$E$42,計算用!$AC$61,MOD(0-計算用!$AE$61+1,4)+1),INDEX(手直し!$G$6:$J$42,計算用!$AC$61,MOD(0-計算用!$AE$61+1,4)+1)),IF(計算用!$Z$61="A",INDEX(組分け!$B$5:$I$41,計算用!$AC$61,(MOD(0-計算用!$AE$61+1,4)+1)*2-1),INDEX(組分け!$L$5:$S$41,計算用!$AC$61,(MOD(0-計算用!$AE$61+1,4)+1)*2-1)))&amp;"")</f>
        <v/>
      </c>
      <c r="AK61">
        <f>IF(計算用!$Z$61="","",IF(計算用!$U$24,IF(計算用!$Z$61="A",INDEX(手直し!$B$6:$E$42,計算用!$AC$61,MOD(1-計算用!$AE$61+1,4)+1),INDEX(手直し!$G$6:$J$42,計算用!$AC$61,MOD(1-計算用!$AE$61+1,4)+1)),IF(計算用!$Z$61="A",INDEX(組分け!$B$5:$I$41,計算用!$AC$61,(MOD(1-計算用!$AE$61+1,4)+1)*2-1),INDEX(組分け!$L$5:$S$41,計算用!$AC$61,(MOD(1-計算用!$AE$61+1,4)+1)*2-1)))&amp;"")</f>
        <v/>
      </c>
      <c r="AL61">
        <f>IF(計算用!$Z$61="","",IF(計算用!$U$24,IF(計算用!$Z$61="A",INDEX(手直し!$B$6:$E$42,計算用!$AC$61,MOD(2-計算用!$AE$61+1,4)+1),INDEX(手直し!$G$6:$J$42,計算用!$AC$61,MOD(2-計算用!$AE$61+1,4)+1)),IF(計算用!$Z$61="A",INDEX(組分け!$B$5:$I$41,計算用!$AC$61,(MOD(2-計算用!$AE$61+1,4)+1)*2-1),INDEX(組分け!$L$5:$S$41,計算用!$AC$61,(MOD(2-計算用!$AE$61+1,4)+1)*2-1)))&amp;"")</f>
        <v/>
      </c>
      <c r="AM61">
        <f>IF(計算用!$Z$61="","",IF(計算用!$U$24,IF(計算用!$Z$61="A",INDEX(手直し!$B$6:$E$42,計算用!$AC$61,MOD(3-計算用!$AE$61+1,4)+1),INDEX(手直し!$G$6:$J$42,計算用!$AC$61,MOD(3-計算用!$AE$61+1,4)+1)),IF(計算用!$Z$61="A",INDEX(組分け!$B$5:$I$41,計算用!$AC$61,(MOD(3-計算用!$AE$61+1,4)+1)*2-1),INDEX(組分け!$L$5:$S$41,計算用!$AC$61,(MOD(3-計算用!$AE$61+1,4)+1)*2-1)))&amp;"")</f>
        <v/>
      </c>
      <c r="AN61">
        <f>IF(Z61="",0,(COUNTIF($AF61:$AI61,0)&gt;1)+(COUNTIF($AF61:$AI61,1)&gt;1)+(COUNTIF($AF61:$AI61,2)&gt;1)+(COUNTIF($AF61:$AI61,3)&gt;1)+COUNTIF($AF61:$AI61,-1))</f>
        <v/>
      </c>
      <c r="AP61">
        <f>IF(Z61="","",IFERROR(MOD(MATCH(0,$AF61:$AI61,0)-1-AE61+1,4),""))</f>
        <v/>
      </c>
      <c r="AQ61">
        <f>IF(Z61="","",IFERROR(MOD(MATCH(1,$AF61:$AI61,0)-1-AE61+1,4),""))</f>
        <v/>
      </c>
      <c r="AR61">
        <f>IF(Z61="","",IFERROR(MOD(MATCH(2,$AF61:$AI61,0)-1-AE61+1,4),""))</f>
        <v/>
      </c>
      <c r="AS61">
        <f>IF(Z61="","",IFERROR(MOD(MATCH(3,$AF61:$AI61,0)-1-AE61+1,4),""))</f>
        <v/>
      </c>
    </row>
    <row r="62">
      <c r="A62" t="n">
        <v>61</v>
      </c>
      <c r="B62">
        <f>INT((A62-1)/37)+1</f>
        <v/>
      </c>
      <c r="C62">
        <f>MOD(A62-1,37)+1</f>
        <v/>
      </c>
      <c r="D62">
        <f>TRIM(INDEX(データ入力!$B$5:$Q$41,C62,(B62-1)*4+1)&amp;"")</f>
        <v/>
      </c>
      <c r="E62">
        <f>INDEX(データ入力!$B$5:$Q$41,C62,(B62-1)*4+2)&amp;""</f>
        <v/>
      </c>
      <c r="F62">
        <f>IF(OR(E62="1",E62="１",E62="男"),"男",IF(OR(E62="2",E62="２",E62="女"),"女",""))</f>
        <v/>
      </c>
      <c r="G62">
        <f>INDEX(データ入力!$B$5:$Q$41,C62,(B62-1)*4+3)</f>
        <v/>
      </c>
      <c r="H62">
        <f>IF(D62="","",IF($U$2,"混",F62))</f>
        <v/>
      </c>
      <c r="I62">
        <f>IF(AND(H62&lt;&gt;"",ISNUMBER(G62)),H62,"")</f>
        <v/>
      </c>
      <c r="J62">
        <f>IF(I62="","",COUNTIFS($I$2:$I$149,I62,$B$2:$B$149,B62,$G$2:$G$149,"&lt;"&amp;G62)+COUNTIFS($I$2:$I$149,I62,$B$2:$B$149,B62,$G$2:$G$149,G62,$A$2:$A$149,"&lt;"&amp;A62)+1)</f>
        <v/>
      </c>
      <c r="K62">
        <f>IF(I62="","",I62&amp;B62&amp;"-"&amp;J62)</f>
        <v/>
      </c>
      <c r="L62">
        <f>IF(I62="","",I62&amp;B62&amp;"|"&amp;D62)</f>
        <v/>
      </c>
      <c r="M62">
        <f>IF(I62="","",IF(I62="女",COUNTIF(手直し!$G$6:$J$42,D62),COUNTIF(手直し!$B$6:$E$42,D62)))</f>
        <v/>
      </c>
      <c r="N62">
        <f>IF(I62="","",IF(I62="女",COUNTIF(INDEX(手直し!$G$6:$J$42,0,B62),D62),COUNTIF(INDEX(手直し!$B$6:$E$42,0,B62),D62)))</f>
        <v/>
      </c>
      <c r="O62">
        <f>IF(AND(I62&lt;&gt;"",M62=0),1,0)</f>
        <v/>
      </c>
      <c r="P62">
        <f>IF(AND(O62=1,I62&lt;&gt;"女"),COUNTIFS($O$2:O62,1,$I$2:I62,"&lt;&gt;女"),"")</f>
        <v/>
      </c>
      <c r="Q62">
        <f>IF(AND(O62=1,I62="女"),COUNTIFS($O$2:O62,1,$I$2:I62,"女"),"")</f>
        <v/>
      </c>
      <c r="R62">
        <f>IF(AND(I62&lt;&gt;"",M62&gt;=1,N62=0),1,0)</f>
        <v/>
      </c>
      <c r="S62">
        <f>IF(AND(D62&lt;&gt;"",I62=""),1,0)</f>
        <v/>
      </c>
      <c r="V62">
        <f>IF(J62="",0,J62)</f>
        <v/>
      </c>
      <c r="W62">
        <f>IF(I62="","",I62&amp;D62)</f>
        <v/>
      </c>
      <c r="Y62" t="n">
        <v>61</v>
      </c>
      <c r="Z62">
        <f>IF(Y62&gt;$U$22,"",IF(Y62&lt;=$U$23,IF($U$4,"B","A"),IF($U$4,"A","B")))</f>
        <v/>
      </c>
      <c r="AA62">
        <f>IF(Z62="","",IF(Y62&lt;=$U$23,Y62,Y62-$U$23))</f>
        <v/>
      </c>
      <c r="AB62">
        <f>IF(Z62="","",IF(Z62="A",$U$7,$U$8))</f>
        <v/>
      </c>
      <c r="AC62">
        <f>IF(Z62="","",IF(AB62&lt;=$U$6,AB62-AA62+1,IF(AA62&lt;=INT((AB62-$U$6+1)/2),$U$6-1+2*AA62,IF(AA62&lt;=INT((AB62-$U$6+1)/2)+INT((AB62-$U$6)/2),(AB62-1+MOD(AB62,2))-2*(AA62-INT((AB62-$U$6+1)/2)-1),$U$6-(AA62-INT((AB62-$U$6+1)/2)-INT((AB62-$U$6)/2)-1)))))</f>
        <v/>
      </c>
      <c r="AD62">
        <f>IF(Z62="","",IF($U$2,"",IF(Z62="B","女子","男子"))&amp;AA62&amp;"レース")</f>
        <v/>
      </c>
      <c r="AE62">
        <f>IF(Z62="","",IF($U$2,1,AA62))</f>
        <v/>
      </c>
      <c r="AF62">
        <f>IF(AJ62="",99,IF(最終修正!$C$63="",0,IF(AND(ISNUMBER(最終修正!$C$63),INT(最終修正!$C$63)=最終修正!$C$63,最終修正!$C$63-$U$5&gt;=0,最終修正!$C$63-$U$5&lt;=3),最終修正!$C$63-$U$5,-1)))</f>
        <v/>
      </c>
      <c r="AG62">
        <f>IF(AK62="",99,IF(最終修正!$E$63="",1,IF(AND(ISNUMBER(最終修正!$E$63),INT(最終修正!$E$63)=最終修正!$E$63,最終修正!$E$63-$U$5&gt;=0,最終修正!$E$63-$U$5&lt;=3),最終修正!$E$63-$U$5,-1)))</f>
        <v/>
      </c>
      <c r="AH62">
        <f>IF(AL62="",99,IF(最終修正!$G$63="",2,IF(AND(ISNUMBER(最終修正!$G$63),INT(最終修正!$G$63)=最終修正!$G$63,最終修正!$G$63-$U$5&gt;=0,最終修正!$G$63-$U$5&lt;=3),最終修正!$G$63-$U$5,-1)))</f>
        <v/>
      </c>
      <c r="AI62">
        <f>IF(AM62="",99,IF(最終修正!$I$63="",3,IF(AND(ISNUMBER(最終修正!$I$63),INT(最終修正!$I$63)=最終修正!$I$63,最終修正!$I$63-$U$5&gt;=0,最終修正!$I$63-$U$5&lt;=3),最終修正!$I$63-$U$5,-1)))</f>
        <v/>
      </c>
      <c r="AJ62">
        <f>IF(計算用!$Z$62="","",IF(計算用!$U$24,IF(計算用!$Z$62="A",INDEX(手直し!$B$6:$E$42,計算用!$AC$62,MOD(0-計算用!$AE$62+1,4)+1),INDEX(手直し!$G$6:$J$42,計算用!$AC$62,MOD(0-計算用!$AE$62+1,4)+1)),IF(計算用!$Z$62="A",INDEX(組分け!$B$5:$I$41,計算用!$AC$62,(MOD(0-計算用!$AE$62+1,4)+1)*2-1),INDEX(組分け!$L$5:$S$41,計算用!$AC$62,(MOD(0-計算用!$AE$62+1,4)+1)*2-1)))&amp;"")</f>
        <v/>
      </c>
      <c r="AK62">
        <f>IF(計算用!$Z$62="","",IF(計算用!$U$24,IF(計算用!$Z$62="A",INDEX(手直し!$B$6:$E$42,計算用!$AC$62,MOD(1-計算用!$AE$62+1,4)+1),INDEX(手直し!$G$6:$J$42,計算用!$AC$62,MOD(1-計算用!$AE$62+1,4)+1)),IF(計算用!$Z$62="A",INDEX(組分け!$B$5:$I$41,計算用!$AC$62,(MOD(1-計算用!$AE$62+1,4)+1)*2-1),INDEX(組分け!$L$5:$S$41,計算用!$AC$62,(MOD(1-計算用!$AE$62+1,4)+1)*2-1)))&amp;"")</f>
        <v/>
      </c>
      <c r="AL62">
        <f>IF(計算用!$Z$62="","",IF(計算用!$U$24,IF(計算用!$Z$62="A",INDEX(手直し!$B$6:$E$42,計算用!$AC$62,MOD(2-計算用!$AE$62+1,4)+1),INDEX(手直し!$G$6:$J$42,計算用!$AC$62,MOD(2-計算用!$AE$62+1,4)+1)),IF(計算用!$Z$62="A",INDEX(組分け!$B$5:$I$41,計算用!$AC$62,(MOD(2-計算用!$AE$62+1,4)+1)*2-1),INDEX(組分け!$L$5:$S$41,計算用!$AC$62,(MOD(2-計算用!$AE$62+1,4)+1)*2-1)))&amp;"")</f>
        <v/>
      </c>
      <c r="AM62">
        <f>IF(計算用!$Z$62="","",IF(計算用!$U$24,IF(計算用!$Z$62="A",INDEX(手直し!$B$6:$E$42,計算用!$AC$62,MOD(3-計算用!$AE$62+1,4)+1),INDEX(手直し!$G$6:$J$42,計算用!$AC$62,MOD(3-計算用!$AE$62+1,4)+1)),IF(計算用!$Z$62="A",INDEX(組分け!$B$5:$I$41,計算用!$AC$62,(MOD(3-計算用!$AE$62+1,4)+1)*2-1),INDEX(組分け!$L$5:$S$41,計算用!$AC$62,(MOD(3-計算用!$AE$62+1,4)+1)*2-1)))&amp;"")</f>
        <v/>
      </c>
      <c r="AN62">
        <f>IF(Z62="",0,(COUNTIF($AF62:$AI62,0)&gt;1)+(COUNTIF($AF62:$AI62,1)&gt;1)+(COUNTIF($AF62:$AI62,2)&gt;1)+(COUNTIF($AF62:$AI62,3)&gt;1)+COUNTIF($AF62:$AI62,-1))</f>
        <v/>
      </c>
      <c r="AP62">
        <f>IF(Z62="","",IFERROR(MOD(MATCH(0,$AF62:$AI62,0)-1-AE62+1,4),""))</f>
        <v/>
      </c>
      <c r="AQ62">
        <f>IF(Z62="","",IFERROR(MOD(MATCH(1,$AF62:$AI62,0)-1-AE62+1,4),""))</f>
        <v/>
      </c>
      <c r="AR62">
        <f>IF(Z62="","",IFERROR(MOD(MATCH(2,$AF62:$AI62,0)-1-AE62+1,4),""))</f>
        <v/>
      </c>
      <c r="AS62">
        <f>IF(Z62="","",IFERROR(MOD(MATCH(3,$AF62:$AI62,0)-1-AE62+1,4),""))</f>
        <v/>
      </c>
    </row>
    <row r="63">
      <c r="A63" t="n">
        <v>62</v>
      </c>
      <c r="B63">
        <f>INT((A63-1)/37)+1</f>
        <v/>
      </c>
      <c r="C63">
        <f>MOD(A63-1,37)+1</f>
        <v/>
      </c>
      <c r="D63">
        <f>TRIM(INDEX(データ入力!$B$5:$Q$41,C63,(B63-1)*4+1)&amp;"")</f>
        <v/>
      </c>
      <c r="E63">
        <f>INDEX(データ入力!$B$5:$Q$41,C63,(B63-1)*4+2)&amp;""</f>
        <v/>
      </c>
      <c r="F63">
        <f>IF(OR(E63="1",E63="１",E63="男"),"男",IF(OR(E63="2",E63="２",E63="女"),"女",""))</f>
        <v/>
      </c>
      <c r="G63">
        <f>INDEX(データ入力!$B$5:$Q$41,C63,(B63-1)*4+3)</f>
        <v/>
      </c>
      <c r="H63">
        <f>IF(D63="","",IF($U$2,"混",F63))</f>
        <v/>
      </c>
      <c r="I63">
        <f>IF(AND(H63&lt;&gt;"",ISNUMBER(G63)),H63,"")</f>
        <v/>
      </c>
      <c r="J63">
        <f>IF(I63="","",COUNTIFS($I$2:$I$149,I63,$B$2:$B$149,B63,$G$2:$G$149,"&lt;"&amp;G63)+COUNTIFS($I$2:$I$149,I63,$B$2:$B$149,B63,$G$2:$G$149,G63,$A$2:$A$149,"&lt;"&amp;A63)+1)</f>
        <v/>
      </c>
      <c r="K63">
        <f>IF(I63="","",I63&amp;B63&amp;"-"&amp;J63)</f>
        <v/>
      </c>
      <c r="L63">
        <f>IF(I63="","",I63&amp;B63&amp;"|"&amp;D63)</f>
        <v/>
      </c>
      <c r="M63">
        <f>IF(I63="","",IF(I63="女",COUNTIF(手直し!$G$6:$J$42,D63),COUNTIF(手直し!$B$6:$E$42,D63)))</f>
        <v/>
      </c>
      <c r="N63">
        <f>IF(I63="","",IF(I63="女",COUNTIF(INDEX(手直し!$G$6:$J$42,0,B63),D63),COUNTIF(INDEX(手直し!$B$6:$E$42,0,B63),D63)))</f>
        <v/>
      </c>
      <c r="O63">
        <f>IF(AND(I63&lt;&gt;"",M63=0),1,0)</f>
        <v/>
      </c>
      <c r="P63">
        <f>IF(AND(O63=1,I63&lt;&gt;"女"),COUNTIFS($O$2:O63,1,$I$2:I63,"&lt;&gt;女"),"")</f>
        <v/>
      </c>
      <c r="Q63">
        <f>IF(AND(O63=1,I63="女"),COUNTIFS($O$2:O63,1,$I$2:I63,"女"),"")</f>
        <v/>
      </c>
      <c r="R63">
        <f>IF(AND(I63&lt;&gt;"",M63&gt;=1,N63=0),1,0)</f>
        <v/>
      </c>
      <c r="S63">
        <f>IF(AND(D63&lt;&gt;"",I63=""),1,0)</f>
        <v/>
      </c>
      <c r="V63">
        <f>IF(J63="",0,J63)</f>
        <v/>
      </c>
      <c r="W63">
        <f>IF(I63="","",I63&amp;D63)</f>
        <v/>
      </c>
      <c r="Y63" t="n">
        <v>62</v>
      </c>
      <c r="Z63">
        <f>IF(Y63&gt;$U$22,"",IF(Y63&lt;=$U$23,IF($U$4,"B","A"),IF($U$4,"A","B")))</f>
        <v/>
      </c>
      <c r="AA63">
        <f>IF(Z63="","",IF(Y63&lt;=$U$23,Y63,Y63-$U$23))</f>
        <v/>
      </c>
      <c r="AB63">
        <f>IF(Z63="","",IF(Z63="A",$U$7,$U$8))</f>
        <v/>
      </c>
      <c r="AC63">
        <f>IF(Z63="","",IF(AB63&lt;=$U$6,AB63-AA63+1,IF(AA63&lt;=INT((AB63-$U$6+1)/2),$U$6-1+2*AA63,IF(AA63&lt;=INT((AB63-$U$6+1)/2)+INT((AB63-$U$6)/2),(AB63-1+MOD(AB63,2))-2*(AA63-INT((AB63-$U$6+1)/2)-1),$U$6-(AA63-INT((AB63-$U$6+1)/2)-INT((AB63-$U$6)/2)-1)))))</f>
        <v/>
      </c>
      <c r="AD63">
        <f>IF(Z63="","",IF($U$2,"",IF(Z63="B","女子","男子"))&amp;AA63&amp;"レース")</f>
        <v/>
      </c>
      <c r="AE63">
        <f>IF(Z63="","",IF($U$2,1,AA63))</f>
        <v/>
      </c>
      <c r="AF63">
        <f>IF(AJ63="",99,IF(最終修正!$C$64="",0,IF(AND(ISNUMBER(最終修正!$C$64),INT(最終修正!$C$64)=最終修正!$C$64,最終修正!$C$64-$U$5&gt;=0,最終修正!$C$64-$U$5&lt;=3),最終修正!$C$64-$U$5,-1)))</f>
        <v/>
      </c>
      <c r="AG63">
        <f>IF(AK63="",99,IF(最終修正!$E$64="",1,IF(AND(ISNUMBER(最終修正!$E$64),INT(最終修正!$E$64)=最終修正!$E$64,最終修正!$E$64-$U$5&gt;=0,最終修正!$E$64-$U$5&lt;=3),最終修正!$E$64-$U$5,-1)))</f>
        <v/>
      </c>
      <c r="AH63">
        <f>IF(AL63="",99,IF(最終修正!$G$64="",2,IF(AND(ISNUMBER(最終修正!$G$64),INT(最終修正!$G$64)=最終修正!$G$64,最終修正!$G$64-$U$5&gt;=0,最終修正!$G$64-$U$5&lt;=3),最終修正!$G$64-$U$5,-1)))</f>
        <v/>
      </c>
      <c r="AI63">
        <f>IF(AM63="",99,IF(最終修正!$I$64="",3,IF(AND(ISNUMBER(最終修正!$I$64),INT(最終修正!$I$64)=最終修正!$I$64,最終修正!$I$64-$U$5&gt;=0,最終修正!$I$64-$U$5&lt;=3),最終修正!$I$64-$U$5,-1)))</f>
        <v/>
      </c>
      <c r="AJ63">
        <f>IF(計算用!$Z$63="","",IF(計算用!$U$24,IF(計算用!$Z$63="A",INDEX(手直し!$B$6:$E$42,計算用!$AC$63,MOD(0-計算用!$AE$63+1,4)+1),INDEX(手直し!$G$6:$J$42,計算用!$AC$63,MOD(0-計算用!$AE$63+1,4)+1)),IF(計算用!$Z$63="A",INDEX(組分け!$B$5:$I$41,計算用!$AC$63,(MOD(0-計算用!$AE$63+1,4)+1)*2-1),INDEX(組分け!$L$5:$S$41,計算用!$AC$63,(MOD(0-計算用!$AE$63+1,4)+1)*2-1)))&amp;"")</f>
        <v/>
      </c>
      <c r="AK63">
        <f>IF(計算用!$Z$63="","",IF(計算用!$U$24,IF(計算用!$Z$63="A",INDEX(手直し!$B$6:$E$42,計算用!$AC$63,MOD(1-計算用!$AE$63+1,4)+1),INDEX(手直し!$G$6:$J$42,計算用!$AC$63,MOD(1-計算用!$AE$63+1,4)+1)),IF(計算用!$Z$63="A",INDEX(組分け!$B$5:$I$41,計算用!$AC$63,(MOD(1-計算用!$AE$63+1,4)+1)*2-1),INDEX(組分け!$L$5:$S$41,計算用!$AC$63,(MOD(1-計算用!$AE$63+1,4)+1)*2-1)))&amp;"")</f>
        <v/>
      </c>
      <c r="AL63">
        <f>IF(計算用!$Z$63="","",IF(計算用!$U$24,IF(計算用!$Z$63="A",INDEX(手直し!$B$6:$E$42,計算用!$AC$63,MOD(2-計算用!$AE$63+1,4)+1),INDEX(手直し!$G$6:$J$42,計算用!$AC$63,MOD(2-計算用!$AE$63+1,4)+1)),IF(計算用!$Z$63="A",INDEX(組分け!$B$5:$I$41,計算用!$AC$63,(MOD(2-計算用!$AE$63+1,4)+1)*2-1),INDEX(組分け!$L$5:$S$41,計算用!$AC$63,(MOD(2-計算用!$AE$63+1,4)+1)*2-1)))&amp;"")</f>
        <v/>
      </c>
      <c r="AM63">
        <f>IF(計算用!$Z$63="","",IF(計算用!$U$24,IF(計算用!$Z$63="A",INDEX(手直し!$B$6:$E$42,計算用!$AC$63,MOD(3-計算用!$AE$63+1,4)+1),INDEX(手直し!$G$6:$J$42,計算用!$AC$63,MOD(3-計算用!$AE$63+1,4)+1)),IF(計算用!$Z$63="A",INDEX(組分け!$B$5:$I$41,計算用!$AC$63,(MOD(3-計算用!$AE$63+1,4)+1)*2-1),INDEX(組分け!$L$5:$S$41,計算用!$AC$63,(MOD(3-計算用!$AE$63+1,4)+1)*2-1)))&amp;"")</f>
        <v/>
      </c>
      <c r="AN63">
        <f>IF(Z63="",0,(COUNTIF($AF63:$AI63,0)&gt;1)+(COUNTIF($AF63:$AI63,1)&gt;1)+(COUNTIF($AF63:$AI63,2)&gt;1)+(COUNTIF($AF63:$AI63,3)&gt;1)+COUNTIF($AF63:$AI63,-1))</f>
        <v/>
      </c>
      <c r="AP63">
        <f>IF(Z63="","",IFERROR(MOD(MATCH(0,$AF63:$AI63,0)-1-AE63+1,4),""))</f>
        <v/>
      </c>
      <c r="AQ63">
        <f>IF(Z63="","",IFERROR(MOD(MATCH(1,$AF63:$AI63,0)-1-AE63+1,4),""))</f>
        <v/>
      </c>
      <c r="AR63">
        <f>IF(Z63="","",IFERROR(MOD(MATCH(2,$AF63:$AI63,0)-1-AE63+1,4),""))</f>
        <v/>
      </c>
      <c r="AS63">
        <f>IF(Z63="","",IFERROR(MOD(MATCH(3,$AF63:$AI63,0)-1-AE63+1,4),""))</f>
        <v/>
      </c>
    </row>
    <row r="64">
      <c r="A64" t="n">
        <v>63</v>
      </c>
      <c r="B64">
        <f>INT((A64-1)/37)+1</f>
        <v/>
      </c>
      <c r="C64">
        <f>MOD(A64-1,37)+1</f>
        <v/>
      </c>
      <c r="D64">
        <f>TRIM(INDEX(データ入力!$B$5:$Q$41,C64,(B64-1)*4+1)&amp;"")</f>
        <v/>
      </c>
      <c r="E64">
        <f>INDEX(データ入力!$B$5:$Q$41,C64,(B64-1)*4+2)&amp;""</f>
        <v/>
      </c>
      <c r="F64">
        <f>IF(OR(E64="1",E64="１",E64="男"),"男",IF(OR(E64="2",E64="２",E64="女"),"女",""))</f>
        <v/>
      </c>
      <c r="G64">
        <f>INDEX(データ入力!$B$5:$Q$41,C64,(B64-1)*4+3)</f>
        <v/>
      </c>
      <c r="H64">
        <f>IF(D64="","",IF($U$2,"混",F64))</f>
        <v/>
      </c>
      <c r="I64">
        <f>IF(AND(H64&lt;&gt;"",ISNUMBER(G64)),H64,"")</f>
        <v/>
      </c>
      <c r="J64">
        <f>IF(I64="","",COUNTIFS($I$2:$I$149,I64,$B$2:$B$149,B64,$G$2:$G$149,"&lt;"&amp;G64)+COUNTIFS($I$2:$I$149,I64,$B$2:$B$149,B64,$G$2:$G$149,G64,$A$2:$A$149,"&lt;"&amp;A64)+1)</f>
        <v/>
      </c>
      <c r="K64">
        <f>IF(I64="","",I64&amp;B64&amp;"-"&amp;J64)</f>
        <v/>
      </c>
      <c r="L64">
        <f>IF(I64="","",I64&amp;B64&amp;"|"&amp;D64)</f>
        <v/>
      </c>
      <c r="M64">
        <f>IF(I64="","",IF(I64="女",COUNTIF(手直し!$G$6:$J$42,D64),COUNTIF(手直し!$B$6:$E$42,D64)))</f>
        <v/>
      </c>
      <c r="N64">
        <f>IF(I64="","",IF(I64="女",COUNTIF(INDEX(手直し!$G$6:$J$42,0,B64),D64),COUNTIF(INDEX(手直し!$B$6:$E$42,0,B64),D64)))</f>
        <v/>
      </c>
      <c r="O64">
        <f>IF(AND(I64&lt;&gt;"",M64=0),1,0)</f>
        <v/>
      </c>
      <c r="P64">
        <f>IF(AND(O64=1,I64&lt;&gt;"女"),COUNTIFS($O$2:O64,1,$I$2:I64,"&lt;&gt;女"),"")</f>
        <v/>
      </c>
      <c r="Q64">
        <f>IF(AND(O64=1,I64="女"),COUNTIFS($O$2:O64,1,$I$2:I64,"女"),"")</f>
        <v/>
      </c>
      <c r="R64">
        <f>IF(AND(I64&lt;&gt;"",M64&gt;=1,N64=0),1,0)</f>
        <v/>
      </c>
      <c r="S64">
        <f>IF(AND(D64&lt;&gt;"",I64=""),1,0)</f>
        <v/>
      </c>
      <c r="V64">
        <f>IF(J64="",0,J64)</f>
        <v/>
      </c>
      <c r="W64">
        <f>IF(I64="","",I64&amp;D64)</f>
        <v/>
      </c>
      <c r="Y64" t="n">
        <v>63</v>
      </c>
      <c r="Z64">
        <f>IF(Y64&gt;$U$22,"",IF(Y64&lt;=$U$23,IF($U$4,"B","A"),IF($U$4,"A","B")))</f>
        <v/>
      </c>
      <c r="AA64">
        <f>IF(Z64="","",IF(Y64&lt;=$U$23,Y64,Y64-$U$23))</f>
        <v/>
      </c>
      <c r="AB64">
        <f>IF(Z64="","",IF(Z64="A",$U$7,$U$8))</f>
        <v/>
      </c>
      <c r="AC64">
        <f>IF(Z64="","",IF(AB64&lt;=$U$6,AB64-AA64+1,IF(AA64&lt;=INT((AB64-$U$6+1)/2),$U$6-1+2*AA64,IF(AA64&lt;=INT((AB64-$U$6+1)/2)+INT((AB64-$U$6)/2),(AB64-1+MOD(AB64,2))-2*(AA64-INT((AB64-$U$6+1)/2)-1),$U$6-(AA64-INT((AB64-$U$6+1)/2)-INT((AB64-$U$6)/2)-1)))))</f>
        <v/>
      </c>
      <c r="AD64">
        <f>IF(Z64="","",IF($U$2,"",IF(Z64="B","女子","男子"))&amp;AA64&amp;"レース")</f>
        <v/>
      </c>
      <c r="AE64">
        <f>IF(Z64="","",IF($U$2,1,AA64))</f>
        <v/>
      </c>
      <c r="AF64">
        <f>IF(AJ64="",99,IF(最終修正!$C$65="",0,IF(AND(ISNUMBER(最終修正!$C$65),INT(最終修正!$C$65)=最終修正!$C$65,最終修正!$C$65-$U$5&gt;=0,最終修正!$C$65-$U$5&lt;=3),最終修正!$C$65-$U$5,-1)))</f>
        <v/>
      </c>
      <c r="AG64">
        <f>IF(AK64="",99,IF(最終修正!$E$65="",1,IF(AND(ISNUMBER(最終修正!$E$65),INT(最終修正!$E$65)=最終修正!$E$65,最終修正!$E$65-$U$5&gt;=0,最終修正!$E$65-$U$5&lt;=3),最終修正!$E$65-$U$5,-1)))</f>
        <v/>
      </c>
      <c r="AH64">
        <f>IF(AL64="",99,IF(最終修正!$G$65="",2,IF(AND(ISNUMBER(最終修正!$G$65),INT(最終修正!$G$65)=最終修正!$G$65,最終修正!$G$65-$U$5&gt;=0,最終修正!$G$65-$U$5&lt;=3),最終修正!$G$65-$U$5,-1)))</f>
        <v/>
      </c>
      <c r="AI64">
        <f>IF(AM64="",99,IF(最終修正!$I$65="",3,IF(AND(ISNUMBER(最終修正!$I$65),INT(最終修正!$I$65)=最終修正!$I$65,最終修正!$I$65-$U$5&gt;=0,最終修正!$I$65-$U$5&lt;=3),最終修正!$I$65-$U$5,-1)))</f>
        <v/>
      </c>
      <c r="AJ64">
        <f>IF(計算用!$Z$64="","",IF(計算用!$U$24,IF(計算用!$Z$64="A",INDEX(手直し!$B$6:$E$42,計算用!$AC$64,MOD(0-計算用!$AE$64+1,4)+1),INDEX(手直し!$G$6:$J$42,計算用!$AC$64,MOD(0-計算用!$AE$64+1,4)+1)),IF(計算用!$Z$64="A",INDEX(組分け!$B$5:$I$41,計算用!$AC$64,(MOD(0-計算用!$AE$64+1,4)+1)*2-1),INDEX(組分け!$L$5:$S$41,計算用!$AC$64,(MOD(0-計算用!$AE$64+1,4)+1)*2-1)))&amp;"")</f>
        <v/>
      </c>
      <c r="AK64">
        <f>IF(計算用!$Z$64="","",IF(計算用!$U$24,IF(計算用!$Z$64="A",INDEX(手直し!$B$6:$E$42,計算用!$AC$64,MOD(1-計算用!$AE$64+1,4)+1),INDEX(手直し!$G$6:$J$42,計算用!$AC$64,MOD(1-計算用!$AE$64+1,4)+1)),IF(計算用!$Z$64="A",INDEX(組分け!$B$5:$I$41,計算用!$AC$64,(MOD(1-計算用!$AE$64+1,4)+1)*2-1),INDEX(組分け!$L$5:$S$41,計算用!$AC$64,(MOD(1-計算用!$AE$64+1,4)+1)*2-1)))&amp;"")</f>
        <v/>
      </c>
      <c r="AL64">
        <f>IF(計算用!$Z$64="","",IF(計算用!$U$24,IF(計算用!$Z$64="A",INDEX(手直し!$B$6:$E$42,計算用!$AC$64,MOD(2-計算用!$AE$64+1,4)+1),INDEX(手直し!$G$6:$J$42,計算用!$AC$64,MOD(2-計算用!$AE$64+1,4)+1)),IF(計算用!$Z$64="A",INDEX(組分け!$B$5:$I$41,計算用!$AC$64,(MOD(2-計算用!$AE$64+1,4)+1)*2-1),INDEX(組分け!$L$5:$S$41,計算用!$AC$64,(MOD(2-計算用!$AE$64+1,4)+1)*2-1)))&amp;"")</f>
        <v/>
      </c>
      <c r="AM64">
        <f>IF(計算用!$Z$64="","",IF(計算用!$U$24,IF(計算用!$Z$64="A",INDEX(手直し!$B$6:$E$42,計算用!$AC$64,MOD(3-計算用!$AE$64+1,4)+1),INDEX(手直し!$G$6:$J$42,計算用!$AC$64,MOD(3-計算用!$AE$64+1,4)+1)),IF(計算用!$Z$64="A",INDEX(組分け!$B$5:$I$41,計算用!$AC$64,(MOD(3-計算用!$AE$64+1,4)+1)*2-1),INDEX(組分け!$L$5:$S$41,計算用!$AC$64,(MOD(3-計算用!$AE$64+1,4)+1)*2-1)))&amp;"")</f>
        <v/>
      </c>
      <c r="AN64">
        <f>IF(Z64="",0,(COUNTIF($AF64:$AI64,0)&gt;1)+(COUNTIF($AF64:$AI64,1)&gt;1)+(COUNTIF($AF64:$AI64,2)&gt;1)+(COUNTIF($AF64:$AI64,3)&gt;1)+COUNTIF($AF64:$AI64,-1))</f>
        <v/>
      </c>
      <c r="AP64">
        <f>IF(Z64="","",IFERROR(MOD(MATCH(0,$AF64:$AI64,0)-1-AE64+1,4),""))</f>
        <v/>
      </c>
      <c r="AQ64">
        <f>IF(Z64="","",IFERROR(MOD(MATCH(1,$AF64:$AI64,0)-1-AE64+1,4),""))</f>
        <v/>
      </c>
      <c r="AR64">
        <f>IF(Z64="","",IFERROR(MOD(MATCH(2,$AF64:$AI64,0)-1-AE64+1,4),""))</f>
        <v/>
      </c>
      <c r="AS64">
        <f>IF(Z64="","",IFERROR(MOD(MATCH(3,$AF64:$AI64,0)-1-AE64+1,4),""))</f>
        <v/>
      </c>
    </row>
    <row r="65">
      <c r="A65" t="n">
        <v>64</v>
      </c>
      <c r="B65">
        <f>INT((A65-1)/37)+1</f>
        <v/>
      </c>
      <c r="C65">
        <f>MOD(A65-1,37)+1</f>
        <v/>
      </c>
      <c r="D65">
        <f>TRIM(INDEX(データ入力!$B$5:$Q$41,C65,(B65-1)*4+1)&amp;"")</f>
        <v/>
      </c>
      <c r="E65">
        <f>INDEX(データ入力!$B$5:$Q$41,C65,(B65-1)*4+2)&amp;""</f>
        <v/>
      </c>
      <c r="F65">
        <f>IF(OR(E65="1",E65="１",E65="男"),"男",IF(OR(E65="2",E65="２",E65="女"),"女",""))</f>
        <v/>
      </c>
      <c r="G65">
        <f>INDEX(データ入力!$B$5:$Q$41,C65,(B65-1)*4+3)</f>
        <v/>
      </c>
      <c r="H65">
        <f>IF(D65="","",IF($U$2,"混",F65))</f>
        <v/>
      </c>
      <c r="I65">
        <f>IF(AND(H65&lt;&gt;"",ISNUMBER(G65)),H65,"")</f>
        <v/>
      </c>
      <c r="J65">
        <f>IF(I65="","",COUNTIFS($I$2:$I$149,I65,$B$2:$B$149,B65,$G$2:$G$149,"&lt;"&amp;G65)+COUNTIFS($I$2:$I$149,I65,$B$2:$B$149,B65,$G$2:$G$149,G65,$A$2:$A$149,"&lt;"&amp;A65)+1)</f>
        <v/>
      </c>
      <c r="K65">
        <f>IF(I65="","",I65&amp;B65&amp;"-"&amp;J65)</f>
        <v/>
      </c>
      <c r="L65">
        <f>IF(I65="","",I65&amp;B65&amp;"|"&amp;D65)</f>
        <v/>
      </c>
      <c r="M65">
        <f>IF(I65="","",IF(I65="女",COUNTIF(手直し!$G$6:$J$42,D65),COUNTIF(手直し!$B$6:$E$42,D65)))</f>
        <v/>
      </c>
      <c r="N65">
        <f>IF(I65="","",IF(I65="女",COUNTIF(INDEX(手直し!$G$6:$J$42,0,B65),D65),COUNTIF(INDEX(手直し!$B$6:$E$42,0,B65),D65)))</f>
        <v/>
      </c>
      <c r="O65">
        <f>IF(AND(I65&lt;&gt;"",M65=0),1,0)</f>
        <v/>
      </c>
      <c r="P65">
        <f>IF(AND(O65=1,I65&lt;&gt;"女"),COUNTIFS($O$2:O65,1,$I$2:I65,"&lt;&gt;女"),"")</f>
        <v/>
      </c>
      <c r="Q65">
        <f>IF(AND(O65=1,I65="女"),COUNTIFS($O$2:O65,1,$I$2:I65,"女"),"")</f>
        <v/>
      </c>
      <c r="R65">
        <f>IF(AND(I65&lt;&gt;"",M65&gt;=1,N65=0),1,0)</f>
        <v/>
      </c>
      <c r="S65">
        <f>IF(AND(D65&lt;&gt;"",I65=""),1,0)</f>
        <v/>
      </c>
      <c r="V65">
        <f>IF(J65="",0,J65)</f>
        <v/>
      </c>
      <c r="W65">
        <f>IF(I65="","",I65&amp;D65)</f>
        <v/>
      </c>
      <c r="Y65" t="n">
        <v>64</v>
      </c>
      <c r="Z65">
        <f>IF(Y65&gt;$U$22,"",IF(Y65&lt;=$U$23,IF($U$4,"B","A"),IF($U$4,"A","B")))</f>
        <v/>
      </c>
      <c r="AA65">
        <f>IF(Z65="","",IF(Y65&lt;=$U$23,Y65,Y65-$U$23))</f>
        <v/>
      </c>
      <c r="AB65">
        <f>IF(Z65="","",IF(Z65="A",$U$7,$U$8))</f>
        <v/>
      </c>
      <c r="AC65">
        <f>IF(Z65="","",IF(AB65&lt;=$U$6,AB65-AA65+1,IF(AA65&lt;=INT((AB65-$U$6+1)/2),$U$6-1+2*AA65,IF(AA65&lt;=INT((AB65-$U$6+1)/2)+INT((AB65-$U$6)/2),(AB65-1+MOD(AB65,2))-2*(AA65-INT((AB65-$U$6+1)/2)-1),$U$6-(AA65-INT((AB65-$U$6+1)/2)-INT((AB65-$U$6)/2)-1)))))</f>
        <v/>
      </c>
      <c r="AD65">
        <f>IF(Z65="","",IF($U$2,"",IF(Z65="B","女子","男子"))&amp;AA65&amp;"レース")</f>
        <v/>
      </c>
      <c r="AE65">
        <f>IF(Z65="","",IF($U$2,1,AA65))</f>
        <v/>
      </c>
      <c r="AF65">
        <f>IF(AJ65="",99,IF(最終修正!$C$66="",0,IF(AND(ISNUMBER(最終修正!$C$66),INT(最終修正!$C$66)=最終修正!$C$66,最終修正!$C$66-$U$5&gt;=0,最終修正!$C$66-$U$5&lt;=3),最終修正!$C$66-$U$5,-1)))</f>
        <v/>
      </c>
      <c r="AG65">
        <f>IF(AK65="",99,IF(最終修正!$E$66="",1,IF(AND(ISNUMBER(最終修正!$E$66),INT(最終修正!$E$66)=最終修正!$E$66,最終修正!$E$66-$U$5&gt;=0,最終修正!$E$66-$U$5&lt;=3),最終修正!$E$66-$U$5,-1)))</f>
        <v/>
      </c>
      <c r="AH65">
        <f>IF(AL65="",99,IF(最終修正!$G$66="",2,IF(AND(ISNUMBER(最終修正!$G$66),INT(最終修正!$G$66)=最終修正!$G$66,最終修正!$G$66-$U$5&gt;=0,最終修正!$G$66-$U$5&lt;=3),最終修正!$G$66-$U$5,-1)))</f>
        <v/>
      </c>
      <c r="AI65">
        <f>IF(AM65="",99,IF(最終修正!$I$66="",3,IF(AND(ISNUMBER(最終修正!$I$66),INT(最終修正!$I$66)=最終修正!$I$66,最終修正!$I$66-$U$5&gt;=0,最終修正!$I$66-$U$5&lt;=3),最終修正!$I$66-$U$5,-1)))</f>
        <v/>
      </c>
      <c r="AJ65">
        <f>IF(計算用!$Z$65="","",IF(計算用!$U$24,IF(計算用!$Z$65="A",INDEX(手直し!$B$6:$E$42,計算用!$AC$65,MOD(0-計算用!$AE$65+1,4)+1),INDEX(手直し!$G$6:$J$42,計算用!$AC$65,MOD(0-計算用!$AE$65+1,4)+1)),IF(計算用!$Z$65="A",INDEX(組分け!$B$5:$I$41,計算用!$AC$65,(MOD(0-計算用!$AE$65+1,4)+1)*2-1),INDEX(組分け!$L$5:$S$41,計算用!$AC$65,(MOD(0-計算用!$AE$65+1,4)+1)*2-1)))&amp;"")</f>
        <v/>
      </c>
      <c r="AK65">
        <f>IF(計算用!$Z$65="","",IF(計算用!$U$24,IF(計算用!$Z$65="A",INDEX(手直し!$B$6:$E$42,計算用!$AC$65,MOD(1-計算用!$AE$65+1,4)+1),INDEX(手直し!$G$6:$J$42,計算用!$AC$65,MOD(1-計算用!$AE$65+1,4)+1)),IF(計算用!$Z$65="A",INDEX(組分け!$B$5:$I$41,計算用!$AC$65,(MOD(1-計算用!$AE$65+1,4)+1)*2-1),INDEX(組分け!$L$5:$S$41,計算用!$AC$65,(MOD(1-計算用!$AE$65+1,4)+1)*2-1)))&amp;"")</f>
        <v/>
      </c>
      <c r="AL65">
        <f>IF(計算用!$Z$65="","",IF(計算用!$U$24,IF(計算用!$Z$65="A",INDEX(手直し!$B$6:$E$42,計算用!$AC$65,MOD(2-計算用!$AE$65+1,4)+1),INDEX(手直し!$G$6:$J$42,計算用!$AC$65,MOD(2-計算用!$AE$65+1,4)+1)),IF(計算用!$Z$65="A",INDEX(組分け!$B$5:$I$41,計算用!$AC$65,(MOD(2-計算用!$AE$65+1,4)+1)*2-1),INDEX(組分け!$L$5:$S$41,計算用!$AC$65,(MOD(2-計算用!$AE$65+1,4)+1)*2-1)))&amp;"")</f>
        <v/>
      </c>
      <c r="AM65">
        <f>IF(計算用!$Z$65="","",IF(計算用!$U$24,IF(計算用!$Z$65="A",INDEX(手直し!$B$6:$E$42,計算用!$AC$65,MOD(3-計算用!$AE$65+1,4)+1),INDEX(手直し!$G$6:$J$42,計算用!$AC$65,MOD(3-計算用!$AE$65+1,4)+1)),IF(計算用!$Z$65="A",INDEX(組分け!$B$5:$I$41,計算用!$AC$65,(MOD(3-計算用!$AE$65+1,4)+1)*2-1),INDEX(組分け!$L$5:$S$41,計算用!$AC$65,(MOD(3-計算用!$AE$65+1,4)+1)*2-1)))&amp;"")</f>
        <v/>
      </c>
      <c r="AN65">
        <f>IF(Z65="",0,(COUNTIF($AF65:$AI65,0)&gt;1)+(COUNTIF($AF65:$AI65,1)&gt;1)+(COUNTIF($AF65:$AI65,2)&gt;1)+(COUNTIF($AF65:$AI65,3)&gt;1)+COUNTIF($AF65:$AI65,-1))</f>
        <v/>
      </c>
      <c r="AP65">
        <f>IF(Z65="","",IFERROR(MOD(MATCH(0,$AF65:$AI65,0)-1-AE65+1,4),""))</f>
        <v/>
      </c>
      <c r="AQ65">
        <f>IF(Z65="","",IFERROR(MOD(MATCH(1,$AF65:$AI65,0)-1-AE65+1,4),""))</f>
        <v/>
      </c>
      <c r="AR65">
        <f>IF(Z65="","",IFERROR(MOD(MATCH(2,$AF65:$AI65,0)-1-AE65+1,4),""))</f>
        <v/>
      </c>
      <c r="AS65">
        <f>IF(Z65="","",IFERROR(MOD(MATCH(3,$AF65:$AI65,0)-1-AE65+1,4),""))</f>
        <v/>
      </c>
    </row>
    <row r="66">
      <c r="A66" t="n">
        <v>65</v>
      </c>
      <c r="B66">
        <f>INT((A66-1)/37)+1</f>
        <v/>
      </c>
      <c r="C66">
        <f>MOD(A66-1,37)+1</f>
        <v/>
      </c>
      <c r="D66">
        <f>TRIM(INDEX(データ入力!$B$5:$Q$41,C66,(B66-1)*4+1)&amp;"")</f>
        <v/>
      </c>
      <c r="E66">
        <f>INDEX(データ入力!$B$5:$Q$41,C66,(B66-1)*4+2)&amp;""</f>
        <v/>
      </c>
      <c r="F66">
        <f>IF(OR(E66="1",E66="１",E66="男"),"男",IF(OR(E66="2",E66="２",E66="女"),"女",""))</f>
        <v/>
      </c>
      <c r="G66">
        <f>INDEX(データ入力!$B$5:$Q$41,C66,(B66-1)*4+3)</f>
        <v/>
      </c>
      <c r="H66">
        <f>IF(D66="","",IF($U$2,"混",F66))</f>
        <v/>
      </c>
      <c r="I66">
        <f>IF(AND(H66&lt;&gt;"",ISNUMBER(G66)),H66,"")</f>
        <v/>
      </c>
      <c r="J66">
        <f>IF(I66="","",COUNTIFS($I$2:$I$149,I66,$B$2:$B$149,B66,$G$2:$G$149,"&lt;"&amp;G66)+COUNTIFS($I$2:$I$149,I66,$B$2:$B$149,B66,$G$2:$G$149,G66,$A$2:$A$149,"&lt;"&amp;A66)+1)</f>
        <v/>
      </c>
      <c r="K66">
        <f>IF(I66="","",I66&amp;B66&amp;"-"&amp;J66)</f>
        <v/>
      </c>
      <c r="L66">
        <f>IF(I66="","",I66&amp;B66&amp;"|"&amp;D66)</f>
        <v/>
      </c>
      <c r="M66">
        <f>IF(I66="","",IF(I66="女",COUNTIF(手直し!$G$6:$J$42,D66),COUNTIF(手直し!$B$6:$E$42,D66)))</f>
        <v/>
      </c>
      <c r="N66">
        <f>IF(I66="","",IF(I66="女",COUNTIF(INDEX(手直し!$G$6:$J$42,0,B66),D66),COUNTIF(INDEX(手直し!$B$6:$E$42,0,B66),D66)))</f>
        <v/>
      </c>
      <c r="O66">
        <f>IF(AND(I66&lt;&gt;"",M66=0),1,0)</f>
        <v/>
      </c>
      <c r="P66">
        <f>IF(AND(O66=1,I66&lt;&gt;"女"),COUNTIFS($O$2:O66,1,$I$2:I66,"&lt;&gt;女"),"")</f>
        <v/>
      </c>
      <c r="Q66">
        <f>IF(AND(O66=1,I66="女"),COUNTIFS($O$2:O66,1,$I$2:I66,"女"),"")</f>
        <v/>
      </c>
      <c r="R66">
        <f>IF(AND(I66&lt;&gt;"",M66&gt;=1,N66=0),1,0)</f>
        <v/>
      </c>
      <c r="S66">
        <f>IF(AND(D66&lt;&gt;"",I66=""),1,0)</f>
        <v/>
      </c>
      <c r="V66">
        <f>IF(J66="",0,J66)</f>
        <v/>
      </c>
      <c r="W66">
        <f>IF(I66="","",I66&amp;D66)</f>
        <v/>
      </c>
      <c r="Y66" t="n">
        <v>65</v>
      </c>
      <c r="Z66">
        <f>IF(Y66&gt;$U$22,"",IF(Y66&lt;=$U$23,IF($U$4,"B","A"),IF($U$4,"A","B")))</f>
        <v/>
      </c>
      <c r="AA66">
        <f>IF(Z66="","",IF(Y66&lt;=$U$23,Y66,Y66-$U$23))</f>
        <v/>
      </c>
      <c r="AB66">
        <f>IF(Z66="","",IF(Z66="A",$U$7,$U$8))</f>
        <v/>
      </c>
      <c r="AC66">
        <f>IF(Z66="","",IF(AB66&lt;=$U$6,AB66-AA66+1,IF(AA66&lt;=INT((AB66-$U$6+1)/2),$U$6-1+2*AA66,IF(AA66&lt;=INT((AB66-$U$6+1)/2)+INT((AB66-$U$6)/2),(AB66-1+MOD(AB66,2))-2*(AA66-INT((AB66-$U$6+1)/2)-1),$U$6-(AA66-INT((AB66-$U$6+1)/2)-INT((AB66-$U$6)/2)-1)))))</f>
        <v/>
      </c>
      <c r="AD66">
        <f>IF(Z66="","",IF($U$2,"",IF(Z66="B","女子","男子"))&amp;AA66&amp;"レース")</f>
        <v/>
      </c>
      <c r="AE66">
        <f>IF(Z66="","",IF($U$2,1,AA66))</f>
        <v/>
      </c>
      <c r="AF66">
        <f>IF(AJ66="",99,IF(最終修正!$C$67="",0,IF(AND(ISNUMBER(最終修正!$C$67),INT(最終修正!$C$67)=最終修正!$C$67,最終修正!$C$67-$U$5&gt;=0,最終修正!$C$67-$U$5&lt;=3),最終修正!$C$67-$U$5,-1)))</f>
        <v/>
      </c>
      <c r="AG66">
        <f>IF(AK66="",99,IF(最終修正!$E$67="",1,IF(AND(ISNUMBER(最終修正!$E$67),INT(最終修正!$E$67)=最終修正!$E$67,最終修正!$E$67-$U$5&gt;=0,最終修正!$E$67-$U$5&lt;=3),最終修正!$E$67-$U$5,-1)))</f>
        <v/>
      </c>
      <c r="AH66">
        <f>IF(AL66="",99,IF(最終修正!$G$67="",2,IF(AND(ISNUMBER(最終修正!$G$67),INT(最終修正!$G$67)=最終修正!$G$67,最終修正!$G$67-$U$5&gt;=0,最終修正!$G$67-$U$5&lt;=3),最終修正!$G$67-$U$5,-1)))</f>
        <v/>
      </c>
      <c r="AI66">
        <f>IF(AM66="",99,IF(最終修正!$I$67="",3,IF(AND(ISNUMBER(最終修正!$I$67),INT(最終修正!$I$67)=最終修正!$I$67,最終修正!$I$67-$U$5&gt;=0,最終修正!$I$67-$U$5&lt;=3),最終修正!$I$67-$U$5,-1)))</f>
        <v/>
      </c>
      <c r="AJ66">
        <f>IF(計算用!$Z$66="","",IF(計算用!$U$24,IF(計算用!$Z$66="A",INDEX(手直し!$B$6:$E$42,計算用!$AC$66,MOD(0-計算用!$AE$66+1,4)+1),INDEX(手直し!$G$6:$J$42,計算用!$AC$66,MOD(0-計算用!$AE$66+1,4)+1)),IF(計算用!$Z$66="A",INDEX(組分け!$B$5:$I$41,計算用!$AC$66,(MOD(0-計算用!$AE$66+1,4)+1)*2-1),INDEX(組分け!$L$5:$S$41,計算用!$AC$66,(MOD(0-計算用!$AE$66+1,4)+1)*2-1)))&amp;"")</f>
        <v/>
      </c>
      <c r="AK66">
        <f>IF(計算用!$Z$66="","",IF(計算用!$U$24,IF(計算用!$Z$66="A",INDEX(手直し!$B$6:$E$42,計算用!$AC$66,MOD(1-計算用!$AE$66+1,4)+1),INDEX(手直し!$G$6:$J$42,計算用!$AC$66,MOD(1-計算用!$AE$66+1,4)+1)),IF(計算用!$Z$66="A",INDEX(組分け!$B$5:$I$41,計算用!$AC$66,(MOD(1-計算用!$AE$66+1,4)+1)*2-1),INDEX(組分け!$L$5:$S$41,計算用!$AC$66,(MOD(1-計算用!$AE$66+1,4)+1)*2-1)))&amp;"")</f>
        <v/>
      </c>
      <c r="AL66">
        <f>IF(計算用!$Z$66="","",IF(計算用!$U$24,IF(計算用!$Z$66="A",INDEX(手直し!$B$6:$E$42,計算用!$AC$66,MOD(2-計算用!$AE$66+1,4)+1),INDEX(手直し!$G$6:$J$42,計算用!$AC$66,MOD(2-計算用!$AE$66+1,4)+1)),IF(計算用!$Z$66="A",INDEX(組分け!$B$5:$I$41,計算用!$AC$66,(MOD(2-計算用!$AE$66+1,4)+1)*2-1),INDEX(組分け!$L$5:$S$41,計算用!$AC$66,(MOD(2-計算用!$AE$66+1,4)+1)*2-1)))&amp;"")</f>
        <v/>
      </c>
      <c r="AM66">
        <f>IF(計算用!$Z$66="","",IF(計算用!$U$24,IF(計算用!$Z$66="A",INDEX(手直し!$B$6:$E$42,計算用!$AC$66,MOD(3-計算用!$AE$66+1,4)+1),INDEX(手直し!$G$6:$J$42,計算用!$AC$66,MOD(3-計算用!$AE$66+1,4)+1)),IF(計算用!$Z$66="A",INDEX(組分け!$B$5:$I$41,計算用!$AC$66,(MOD(3-計算用!$AE$66+1,4)+1)*2-1),INDEX(組分け!$L$5:$S$41,計算用!$AC$66,(MOD(3-計算用!$AE$66+1,4)+1)*2-1)))&amp;"")</f>
        <v/>
      </c>
      <c r="AN66">
        <f>IF(Z66="",0,(COUNTIF($AF66:$AI66,0)&gt;1)+(COUNTIF($AF66:$AI66,1)&gt;1)+(COUNTIF($AF66:$AI66,2)&gt;1)+(COUNTIF($AF66:$AI66,3)&gt;1)+COUNTIF($AF66:$AI66,-1))</f>
        <v/>
      </c>
      <c r="AP66">
        <f>IF(Z66="","",IFERROR(MOD(MATCH(0,$AF66:$AI66,0)-1-AE66+1,4),""))</f>
        <v/>
      </c>
      <c r="AQ66">
        <f>IF(Z66="","",IFERROR(MOD(MATCH(1,$AF66:$AI66,0)-1-AE66+1,4),""))</f>
        <v/>
      </c>
      <c r="AR66">
        <f>IF(Z66="","",IFERROR(MOD(MATCH(2,$AF66:$AI66,0)-1-AE66+1,4),""))</f>
        <v/>
      </c>
      <c r="AS66">
        <f>IF(Z66="","",IFERROR(MOD(MATCH(3,$AF66:$AI66,0)-1-AE66+1,4),""))</f>
        <v/>
      </c>
    </row>
    <row r="67">
      <c r="A67" t="n">
        <v>66</v>
      </c>
      <c r="B67">
        <f>INT((A67-1)/37)+1</f>
        <v/>
      </c>
      <c r="C67">
        <f>MOD(A67-1,37)+1</f>
        <v/>
      </c>
      <c r="D67">
        <f>TRIM(INDEX(データ入力!$B$5:$Q$41,C67,(B67-1)*4+1)&amp;"")</f>
        <v/>
      </c>
      <c r="E67">
        <f>INDEX(データ入力!$B$5:$Q$41,C67,(B67-1)*4+2)&amp;""</f>
        <v/>
      </c>
      <c r="F67">
        <f>IF(OR(E67="1",E67="１",E67="男"),"男",IF(OR(E67="2",E67="２",E67="女"),"女",""))</f>
        <v/>
      </c>
      <c r="G67">
        <f>INDEX(データ入力!$B$5:$Q$41,C67,(B67-1)*4+3)</f>
        <v/>
      </c>
      <c r="H67">
        <f>IF(D67="","",IF($U$2,"混",F67))</f>
        <v/>
      </c>
      <c r="I67">
        <f>IF(AND(H67&lt;&gt;"",ISNUMBER(G67)),H67,"")</f>
        <v/>
      </c>
      <c r="J67">
        <f>IF(I67="","",COUNTIFS($I$2:$I$149,I67,$B$2:$B$149,B67,$G$2:$G$149,"&lt;"&amp;G67)+COUNTIFS($I$2:$I$149,I67,$B$2:$B$149,B67,$G$2:$G$149,G67,$A$2:$A$149,"&lt;"&amp;A67)+1)</f>
        <v/>
      </c>
      <c r="K67">
        <f>IF(I67="","",I67&amp;B67&amp;"-"&amp;J67)</f>
        <v/>
      </c>
      <c r="L67">
        <f>IF(I67="","",I67&amp;B67&amp;"|"&amp;D67)</f>
        <v/>
      </c>
      <c r="M67">
        <f>IF(I67="","",IF(I67="女",COUNTIF(手直し!$G$6:$J$42,D67),COUNTIF(手直し!$B$6:$E$42,D67)))</f>
        <v/>
      </c>
      <c r="N67">
        <f>IF(I67="","",IF(I67="女",COUNTIF(INDEX(手直し!$G$6:$J$42,0,B67),D67),COUNTIF(INDEX(手直し!$B$6:$E$42,0,B67),D67)))</f>
        <v/>
      </c>
      <c r="O67">
        <f>IF(AND(I67&lt;&gt;"",M67=0),1,0)</f>
        <v/>
      </c>
      <c r="P67">
        <f>IF(AND(O67=1,I67&lt;&gt;"女"),COUNTIFS($O$2:O67,1,$I$2:I67,"&lt;&gt;女"),"")</f>
        <v/>
      </c>
      <c r="Q67">
        <f>IF(AND(O67=1,I67="女"),COUNTIFS($O$2:O67,1,$I$2:I67,"女"),"")</f>
        <v/>
      </c>
      <c r="R67">
        <f>IF(AND(I67&lt;&gt;"",M67&gt;=1,N67=0),1,0)</f>
        <v/>
      </c>
      <c r="S67">
        <f>IF(AND(D67&lt;&gt;"",I67=""),1,0)</f>
        <v/>
      </c>
      <c r="V67">
        <f>IF(J67="",0,J67)</f>
        <v/>
      </c>
      <c r="W67">
        <f>IF(I67="","",I67&amp;D67)</f>
        <v/>
      </c>
      <c r="Y67" t="n">
        <v>66</v>
      </c>
      <c r="Z67">
        <f>IF(Y67&gt;$U$22,"",IF(Y67&lt;=$U$23,IF($U$4,"B","A"),IF($U$4,"A","B")))</f>
        <v/>
      </c>
      <c r="AA67">
        <f>IF(Z67="","",IF(Y67&lt;=$U$23,Y67,Y67-$U$23))</f>
        <v/>
      </c>
      <c r="AB67">
        <f>IF(Z67="","",IF(Z67="A",$U$7,$U$8))</f>
        <v/>
      </c>
      <c r="AC67">
        <f>IF(Z67="","",IF(AB67&lt;=$U$6,AB67-AA67+1,IF(AA67&lt;=INT((AB67-$U$6+1)/2),$U$6-1+2*AA67,IF(AA67&lt;=INT((AB67-$U$6+1)/2)+INT((AB67-$U$6)/2),(AB67-1+MOD(AB67,2))-2*(AA67-INT((AB67-$U$6+1)/2)-1),$U$6-(AA67-INT((AB67-$U$6+1)/2)-INT((AB67-$U$6)/2)-1)))))</f>
        <v/>
      </c>
      <c r="AD67">
        <f>IF(Z67="","",IF($U$2,"",IF(Z67="B","女子","男子"))&amp;AA67&amp;"レース")</f>
        <v/>
      </c>
      <c r="AE67">
        <f>IF(Z67="","",IF($U$2,1,AA67))</f>
        <v/>
      </c>
      <c r="AF67">
        <f>IF(AJ67="",99,IF(最終修正!$C$68="",0,IF(AND(ISNUMBER(最終修正!$C$68),INT(最終修正!$C$68)=最終修正!$C$68,最終修正!$C$68-$U$5&gt;=0,最終修正!$C$68-$U$5&lt;=3),最終修正!$C$68-$U$5,-1)))</f>
        <v/>
      </c>
      <c r="AG67">
        <f>IF(AK67="",99,IF(最終修正!$E$68="",1,IF(AND(ISNUMBER(最終修正!$E$68),INT(最終修正!$E$68)=最終修正!$E$68,最終修正!$E$68-$U$5&gt;=0,最終修正!$E$68-$U$5&lt;=3),最終修正!$E$68-$U$5,-1)))</f>
        <v/>
      </c>
      <c r="AH67">
        <f>IF(AL67="",99,IF(最終修正!$G$68="",2,IF(AND(ISNUMBER(最終修正!$G$68),INT(最終修正!$G$68)=最終修正!$G$68,最終修正!$G$68-$U$5&gt;=0,最終修正!$G$68-$U$5&lt;=3),最終修正!$G$68-$U$5,-1)))</f>
        <v/>
      </c>
      <c r="AI67">
        <f>IF(AM67="",99,IF(最終修正!$I$68="",3,IF(AND(ISNUMBER(最終修正!$I$68),INT(最終修正!$I$68)=最終修正!$I$68,最終修正!$I$68-$U$5&gt;=0,最終修正!$I$68-$U$5&lt;=3),最終修正!$I$68-$U$5,-1)))</f>
        <v/>
      </c>
      <c r="AJ67">
        <f>IF(計算用!$Z$67="","",IF(計算用!$U$24,IF(計算用!$Z$67="A",INDEX(手直し!$B$6:$E$42,計算用!$AC$67,MOD(0-計算用!$AE$67+1,4)+1),INDEX(手直し!$G$6:$J$42,計算用!$AC$67,MOD(0-計算用!$AE$67+1,4)+1)),IF(計算用!$Z$67="A",INDEX(組分け!$B$5:$I$41,計算用!$AC$67,(MOD(0-計算用!$AE$67+1,4)+1)*2-1),INDEX(組分け!$L$5:$S$41,計算用!$AC$67,(MOD(0-計算用!$AE$67+1,4)+1)*2-1)))&amp;"")</f>
        <v/>
      </c>
      <c r="AK67">
        <f>IF(計算用!$Z$67="","",IF(計算用!$U$24,IF(計算用!$Z$67="A",INDEX(手直し!$B$6:$E$42,計算用!$AC$67,MOD(1-計算用!$AE$67+1,4)+1),INDEX(手直し!$G$6:$J$42,計算用!$AC$67,MOD(1-計算用!$AE$67+1,4)+1)),IF(計算用!$Z$67="A",INDEX(組分け!$B$5:$I$41,計算用!$AC$67,(MOD(1-計算用!$AE$67+1,4)+1)*2-1),INDEX(組分け!$L$5:$S$41,計算用!$AC$67,(MOD(1-計算用!$AE$67+1,4)+1)*2-1)))&amp;"")</f>
        <v/>
      </c>
      <c r="AL67">
        <f>IF(計算用!$Z$67="","",IF(計算用!$U$24,IF(計算用!$Z$67="A",INDEX(手直し!$B$6:$E$42,計算用!$AC$67,MOD(2-計算用!$AE$67+1,4)+1),INDEX(手直し!$G$6:$J$42,計算用!$AC$67,MOD(2-計算用!$AE$67+1,4)+1)),IF(計算用!$Z$67="A",INDEX(組分け!$B$5:$I$41,計算用!$AC$67,(MOD(2-計算用!$AE$67+1,4)+1)*2-1),INDEX(組分け!$L$5:$S$41,計算用!$AC$67,(MOD(2-計算用!$AE$67+1,4)+1)*2-1)))&amp;"")</f>
        <v/>
      </c>
      <c r="AM67">
        <f>IF(計算用!$Z$67="","",IF(計算用!$U$24,IF(計算用!$Z$67="A",INDEX(手直し!$B$6:$E$42,計算用!$AC$67,MOD(3-計算用!$AE$67+1,4)+1),INDEX(手直し!$G$6:$J$42,計算用!$AC$67,MOD(3-計算用!$AE$67+1,4)+1)),IF(計算用!$Z$67="A",INDEX(組分け!$B$5:$I$41,計算用!$AC$67,(MOD(3-計算用!$AE$67+1,4)+1)*2-1),INDEX(組分け!$L$5:$S$41,計算用!$AC$67,(MOD(3-計算用!$AE$67+1,4)+1)*2-1)))&amp;"")</f>
        <v/>
      </c>
      <c r="AN67">
        <f>IF(Z67="",0,(COUNTIF($AF67:$AI67,0)&gt;1)+(COUNTIF($AF67:$AI67,1)&gt;1)+(COUNTIF($AF67:$AI67,2)&gt;1)+(COUNTIF($AF67:$AI67,3)&gt;1)+COUNTIF($AF67:$AI67,-1))</f>
        <v/>
      </c>
      <c r="AP67">
        <f>IF(Z67="","",IFERROR(MOD(MATCH(0,$AF67:$AI67,0)-1-AE67+1,4),""))</f>
        <v/>
      </c>
      <c r="AQ67">
        <f>IF(Z67="","",IFERROR(MOD(MATCH(1,$AF67:$AI67,0)-1-AE67+1,4),""))</f>
        <v/>
      </c>
      <c r="AR67">
        <f>IF(Z67="","",IFERROR(MOD(MATCH(2,$AF67:$AI67,0)-1-AE67+1,4),""))</f>
        <v/>
      </c>
      <c r="AS67">
        <f>IF(Z67="","",IFERROR(MOD(MATCH(3,$AF67:$AI67,0)-1-AE67+1,4),""))</f>
        <v/>
      </c>
    </row>
    <row r="68">
      <c r="A68" t="n">
        <v>67</v>
      </c>
      <c r="B68">
        <f>INT((A68-1)/37)+1</f>
        <v/>
      </c>
      <c r="C68">
        <f>MOD(A68-1,37)+1</f>
        <v/>
      </c>
      <c r="D68">
        <f>TRIM(INDEX(データ入力!$B$5:$Q$41,C68,(B68-1)*4+1)&amp;"")</f>
        <v/>
      </c>
      <c r="E68">
        <f>INDEX(データ入力!$B$5:$Q$41,C68,(B68-1)*4+2)&amp;""</f>
        <v/>
      </c>
      <c r="F68">
        <f>IF(OR(E68="1",E68="１",E68="男"),"男",IF(OR(E68="2",E68="２",E68="女"),"女",""))</f>
        <v/>
      </c>
      <c r="G68">
        <f>INDEX(データ入力!$B$5:$Q$41,C68,(B68-1)*4+3)</f>
        <v/>
      </c>
      <c r="H68">
        <f>IF(D68="","",IF($U$2,"混",F68))</f>
        <v/>
      </c>
      <c r="I68">
        <f>IF(AND(H68&lt;&gt;"",ISNUMBER(G68)),H68,"")</f>
        <v/>
      </c>
      <c r="J68">
        <f>IF(I68="","",COUNTIFS($I$2:$I$149,I68,$B$2:$B$149,B68,$G$2:$G$149,"&lt;"&amp;G68)+COUNTIFS($I$2:$I$149,I68,$B$2:$B$149,B68,$G$2:$G$149,G68,$A$2:$A$149,"&lt;"&amp;A68)+1)</f>
        <v/>
      </c>
      <c r="K68">
        <f>IF(I68="","",I68&amp;B68&amp;"-"&amp;J68)</f>
        <v/>
      </c>
      <c r="L68">
        <f>IF(I68="","",I68&amp;B68&amp;"|"&amp;D68)</f>
        <v/>
      </c>
      <c r="M68">
        <f>IF(I68="","",IF(I68="女",COUNTIF(手直し!$G$6:$J$42,D68),COUNTIF(手直し!$B$6:$E$42,D68)))</f>
        <v/>
      </c>
      <c r="N68">
        <f>IF(I68="","",IF(I68="女",COUNTIF(INDEX(手直し!$G$6:$J$42,0,B68),D68),COUNTIF(INDEX(手直し!$B$6:$E$42,0,B68),D68)))</f>
        <v/>
      </c>
      <c r="O68">
        <f>IF(AND(I68&lt;&gt;"",M68=0),1,0)</f>
        <v/>
      </c>
      <c r="P68">
        <f>IF(AND(O68=1,I68&lt;&gt;"女"),COUNTIFS($O$2:O68,1,$I$2:I68,"&lt;&gt;女"),"")</f>
        <v/>
      </c>
      <c r="Q68">
        <f>IF(AND(O68=1,I68="女"),COUNTIFS($O$2:O68,1,$I$2:I68,"女"),"")</f>
        <v/>
      </c>
      <c r="R68">
        <f>IF(AND(I68&lt;&gt;"",M68&gt;=1,N68=0),1,0)</f>
        <v/>
      </c>
      <c r="S68">
        <f>IF(AND(D68&lt;&gt;"",I68=""),1,0)</f>
        <v/>
      </c>
      <c r="V68">
        <f>IF(J68="",0,J68)</f>
        <v/>
      </c>
      <c r="W68">
        <f>IF(I68="","",I68&amp;D68)</f>
        <v/>
      </c>
      <c r="Y68" t="n">
        <v>67</v>
      </c>
      <c r="Z68">
        <f>IF(Y68&gt;$U$22,"",IF(Y68&lt;=$U$23,IF($U$4,"B","A"),IF($U$4,"A","B")))</f>
        <v/>
      </c>
      <c r="AA68">
        <f>IF(Z68="","",IF(Y68&lt;=$U$23,Y68,Y68-$U$23))</f>
        <v/>
      </c>
      <c r="AB68">
        <f>IF(Z68="","",IF(Z68="A",$U$7,$U$8))</f>
        <v/>
      </c>
      <c r="AC68">
        <f>IF(Z68="","",IF(AB68&lt;=$U$6,AB68-AA68+1,IF(AA68&lt;=INT((AB68-$U$6+1)/2),$U$6-1+2*AA68,IF(AA68&lt;=INT((AB68-$U$6+1)/2)+INT((AB68-$U$6)/2),(AB68-1+MOD(AB68,2))-2*(AA68-INT((AB68-$U$6+1)/2)-1),$U$6-(AA68-INT((AB68-$U$6+1)/2)-INT((AB68-$U$6)/2)-1)))))</f>
        <v/>
      </c>
      <c r="AD68">
        <f>IF(Z68="","",IF($U$2,"",IF(Z68="B","女子","男子"))&amp;AA68&amp;"レース")</f>
        <v/>
      </c>
      <c r="AE68">
        <f>IF(Z68="","",IF($U$2,1,AA68))</f>
        <v/>
      </c>
      <c r="AF68">
        <f>IF(AJ68="",99,IF(最終修正!$C$69="",0,IF(AND(ISNUMBER(最終修正!$C$69),INT(最終修正!$C$69)=最終修正!$C$69,最終修正!$C$69-$U$5&gt;=0,最終修正!$C$69-$U$5&lt;=3),最終修正!$C$69-$U$5,-1)))</f>
        <v/>
      </c>
      <c r="AG68">
        <f>IF(AK68="",99,IF(最終修正!$E$69="",1,IF(AND(ISNUMBER(最終修正!$E$69),INT(最終修正!$E$69)=最終修正!$E$69,最終修正!$E$69-$U$5&gt;=0,最終修正!$E$69-$U$5&lt;=3),最終修正!$E$69-$U$5,-1)))</f>
        <v/>
      </c>
      <c r="AH68">
        <f>IF(AL68="",99,IF(最終修正!$G$69="",2,IF(AND(ISNUMBER(最終修正!$G$69),INT(最終修正!$G$69)=最終修正!$G$69,最終修正!$G$69-$U$5&gt;=0,最終修正!$G$69-$U$5&lt;=3),最終修正!$G$69-$U$5,-1)))</f>
        <v/>
      </c>
      <c r="AI68">
        <f>IF(AM68="",99,IF(最終修正!$I$69="",3,IF(AND(ISNUMBER(最終修正!$I$69),INT(最終修正!$I$69)=最終修正!$I$69,最終修正!$I$69-$U$5&gt;=0,最終修正!$I$69-$U$5&lt;=3),最終修正!$I$69-$U$5,-1)))</f>
        <v/>
      </c>
      <c r="AJ68">
        <f>IF(計算用!$Z$68="","",IF(計算用!$U$24,IF(計算用!$Z$68="A",INDEX(手直し!$B$6:$E$42,計算用!$AC$68,MOD(0-計算用!$AE$68+1,4)+1),INDEX(手直し!$G$6:$J$42,計算用!$AC$68,MOD(0-計算用!$AE$68+1,4)+1)),IF(計算用!$Z$68="A",INDEX(組分け!$B$5:$I$41,計算用!$AC$68,(MOD(0-計算用!$AE$68+1,4)+1)*2-1),INDEX(組分け!$L$5:$S$41,計算用!$AC$68,(MOD(0-計算用!$AE$68+1,4)+1)*2-1)))&amp;"")</f>
        <v/>
      </c>
      <c r="AK68">
        <f>IF(計算用!$Z$68="","",IF(計算用!$U$24,IF(計算用!$Z$68="A",INDEX(手直し!$B$6:$E$42,計算用!$AC$68,MOD(1-計算用!$AE$68+1,4)+1),INDEX(手直し!$G$6:$J$42,計算用!$AC$68,MOD(1-計算用!$AE$68+1,4)+1)),IF(計算用!$Z$68="A",INDEX(組分け!$B$5:$I$41,計算用!$AC$68,(MOD(1-計算用!$AE$68+1,4)+1)*2-1),INDEX(組分け!$L$5:$S$41,計算用!$AC$68,(MOD(1-計算用!$AE$68+1,4)+1)*2-1)))&amp;"")</f>
        <v/>
      </c>
      <c r="AL68">
        <f>IF(計算用!$Z$68="","",IF(計算用!$U$24,IF(計算用!$Z$68="A",INDEX(手直し!$B$6:$E$42,計算用!$AC$68,MOD(2-計算用!$AE$68+1,4)+1),INDEX(手直し!$G$6:$J$42,計算用!$AC$68,MOD(2-計算用!$AE$68+1,4)+1)),IF(計算用!$Z$68="A",INDEX(組分け!$B$5:$I$41,計算用!$AC$68,(MOD(2-計算用!$AE$68+1,4)+1)*2-1),INDEX(組分け!$L$5:$S$41,計算用!$AC$68,(MOD(2-計算用!$AE$68+1,4)+1)*2-1)))&amp;"")</f>
        <v/>
      </c>
      <c r="AM68">
        <f>IF(計算用!$Z$68="","",IF(計算用!$U$24,IF(計算用!$Z$68="A",INDEX(手直し!$B$6:$E$42,計算用!$AC$68,MOD(3-計算用!$AE$68+1,4)+1),INDEX(手直し!$G$6:$J$42,計算用!$AC$68,MOD(3-計算用!$AE$68+1,4)+1)),IF(計算用!$Z$68="A",INDEX(組分け!$B$5:$I$41,計算用!$AC$68,(MOD(3-計算用!$AE$68+1,4)+1)*2-1),INDEX(組分け!$L$5:$S$41,計算用!$AC$68,(MOD(3-計算用!$AE$68+1,4)+1)*2-1)))&amp;"")</f>
        <v/>
      </c>
      <c r="AN68">
        <f>IF(Z68="",0,(COUNTIF($AF68:$AI68,0)&gt;1)+(COUNTIF($AF68:$AI68,1)&gt;1)+(COUNTIF($AF68:$AI68,2)&gt;1)+(COUNTIF($AF68:$AI68,3)&gt;1)+COUNTIF($AF68:$AI68,-1))</f>
        <v/>
      </c>
      <c r="AP68">
        <f>IF(Z68="","",IFERROR(MOD(MATCH(0,$AF68:$AI68,0)-1-AE68+1,4),""))</f>
        <v/>
      </c>
      <c r="AQ68">
        <f>IF(Z68="","",IFERROR(MOD(MATCH(1,$AF68:$AI68,0)-1-AE68+1,4),""))</f>
        <v/>
      </c>
      <c r="AR68">
        <f>IF(Z68="","",IFERROR(MOD(MATCH(2,$AF68:$AI68,0)-1-AE68+1,4),""))</f>
        <v/>
      </c>
      <c r="AS68">
        <f>IF(Z68="","",IFERROR(MOD(MATCH(3,$AF68:$AI68,0)-1-AE68+1,4),""))</f>
        <v/>
      </c>
    </row>
    <row r="69">
      <c r="A69" t="n">
        <v>68</v>
      </c>
      <c r="B69">
        <f>INT((A69-1)/37)+1</f>
        <v/>
      </c>
      <c r="C69">
        <f>MOD(A69-1,37)+1</f>
        <v/>
      </c>
      <c r="D69">
        <f>TRIM(INDEX(データ入力!$B$5:$Q$41,C69,(B69-1)*4+1)&amp;"")</f>
        <v/>
      </c>
      <c r="E69">
        <f>INDEX(データ入力!$B$5:$Q$41,C69,(B69-1)*4+2)&amp;""</f>
        <v/>
      </c>
      <c r="F69">
        <f>IF(OR(E69="1",E69="１",E69="男"),"男",IF(OR(E69="2",E69="２",E69="女"),"女",""))</f>
        <v/>
      </c>
      <c r="G69">
        <f>INDEX(データ入力!$B$5:$Q$41,C69,(B69-1)*4+3)</f>
        <v/>
      </c>
      <c r="H69">
        <f>IF(D69="","",IF($U$2,"混",F69))</f>
        <v/>
      </c>
      <c r="I69">
        <f>IF(AND(H69&lt;&gt;"",ISNUMBER(G69)),H69,"")</f>
        <v/>
      </c>
      <c r="J69">
        <f>IF(I69="","",COUNTIFS($I$2:$I$149,I69,$B$2:$B$149,B69,$G$2:$G$149,"&lt;"&amp;G69)+COUNTIFS($I$2:$I$149,I69,$B$2:$B$149,B69,$G$2:$G$149,G69,$A$2:$A$149,"&lt;"&amp;A69)+1)</f>
        <v/>
      </c>
      <c r="K69">
        <f>IF(I69="","",I69&amp;B69&amp;"-"&amp;J69)</f>
        <v/>
      </c>
      <c r="L69">
        <f>IF(I69="","",I69&amp;B69&amp;"|"&amp;D69)</f>
        <v/>
      </c>
      <c r="M69">
        <f>IF(I69="","",IF(I69="女",COUNTIF(手直し!$G$6:$J$42,D69),COUNTIF(手直し!$B$6:$E$42,D69)))</f>
        <v/>
      </c>
      <c r="N69">
        <f>IF(I69="","",IF(I69="女",COUNTIF(INDEX(手直し!$G$6:$J$42,0,B69),D69),COUNTIF(INDEX(手直し!$B$6:$E$42,0,B69),D69)))</f>
        <v/>
      </c>
      <c r="O69">
        <f>IF(AND(I69&lt;&gt;"",M69=0),1,0)</f>
        <v/>
      </c>
      <c r="P69">
        <f>IF(AND(O69=1,I69&lt;&gt;"女"),COUNTIFS($O$2:O69,1,$I$2:I69,"&lt;&gt;女"),"")</f>
        <v/>
      </c>
      <c r="Q69">
        <f>IF(AND(O69=1,I69="女"),COUNTIFS($O$2:O69,1,$I$2:I69,"女"),"")</f>
        <v/>
      </c>
      <c r="R69">
        <f>IF(AND(I69&lt;&gt;"",M69&gt;=1,N69=0),1,0)</f>
        <v/>
      </c>
      <c r="S69">
        <f>IF(AND(D69&lt;&gt;"",I69=""),1,0)</f>
        <v/>
      </c>
      <c r="V69">
        <f>IF(J69="",0,J69)</f>
        <v/>
      </c>
      <c r="W69">
        <f>IF(I69="","",I69&amp;D69)</f>
        <v/>
      </c>
      <c r="Y69" t="n">
        <v>68</v>
      </c>
      <c r="Z69">
        <f>IF(Y69&gt;$U$22,"",IF(Y69&lt;=$U$23,IF($U$4,"B","A"),IF($U$4,"A","B")))</f>
        <v/>
      </c>
      <c r="AA69">
        <f>IF(Z69="","",IF(Y69&lt;=$U$23,Y69,Y69-$U$23))</f>
        <v/>
      </c>
      <c r="AB69">
        <f>IF(Z69="","",IF(Z69="A",$U$7,$U$8))</f>
        <v/>
      </c>
      <c r="AC69">
        <f>IF(Z69="","",IF(AB69&lt;=$U$6,AB69-AA69+1,IF(AA69&lt;=INT((AB69-$U$6+1)/2),$U$6-1+2*AA69,IF(AA69&lt;=INT((AB69-$U$6+1)/2)+INT((AB69-$U$6)/2),(AB69-1+MOD(AB69,2))-2*(AA69-INT((AB69-$U$6+1)/2)-1),$U$6-(AA69-INT((AB69-$U$6+1)/2)-INT((AB69-$U$6)/2)-1)))))</f>
        <v/>
      </c>
      <c r="AD69">
        <f>IF(Z69="","",IF($U$2,"",IF(Z69="B","女子","男子"))&amp;AA69&amp;"レース")</f>
        <v/>
      </c>
      <c r="AE69">
        <f>IF(Z69="","",IF($U$2,1,AA69))</f>
        <v/>
      </c>
      <c r="AF69">
        <f>IF(AJ69="",99,IF(最終修正!$C$70="",0,IF(AND(ISNUMBER(最終修正!$C$70),INT(最終修正!$C$70)=最終修正!$C$70,最終修正!$C$70-$U$5&gt;=0,最終修正!$C$70-$U$5&lt;=3),最終修正!$C$70-$U$5,-1)))</f>
        <v/>
      </c>
      <c r="AG69">
        <f>IF(AK69="",99,IF(最終修正!$E$70="",1,IF(AND(ISNUMBER(最終修正!$E$70),INT(最終修正!$E$70)=最終修正!$E$70,最終修正!$E$70-$U$5&gt;=0,最終修正!$E$70-$U$5&lt;=3),最終修正!$E$70-$U$5,-1)))</f>
        <v/>
      </c>
      <c r="AH69">
        <f>IF(AL69="",99,IF(最終修正!$G$70="",2,IF(AND(ISNUMBER(最終修正!$G$70),INT(最終修正!$G$70)=最終修正!$G$70,最終修正!$G$70-$U$5&gt;=0,最終修正!$G$70-$U$5&lt;=3),最終修正!$G$70-$U$5,-1)))</f>
        <v/>
      </c>
      <c r="AI69">
        <f>IF(AM69="",99,IF(最終修正!$I$70="",3,IF(AND(ISNUMBER(最終修正!$I$70),INT(最終修正!$I$70)=最終修正!$I$70,最終修正!$I$70-$U$5&gt;=0,最終修正!$I$70-$U$5&lt;=3),最終修正!$I$70-$U$5,-1)))</f>
        <v/>
      </c>
      <c r="AJ69">
        <f>IF(計算用!$Z$69="","",IF(計算用!$U$24,IF(計算用!$Z$69="A",INDEX(手直し!$B$6:$E$42,計算用!$AC$69,MOD(0-計算用!$AE$69+1,4)+1),INDEX(手直し!$G$6:$J$42,計算用!$AC$69,MOD(0-計算用!$AE$69+1,4)+1)),IF(計算用!$Z$69="A",INDEX(組分け!$B$5:$I$41,計算用!$AC$69,(MOD(0-計算用!$AE$69+1,4)+1)*2-1),INDEX(組分け!$L$5:$S$41,計算用!$AC$69,(MOD(0-計算用!$AE$69+1,4)+1)*2-1)))&amp;"")</f>
        <v/>
      </c>
      <c r="AK69">
        <f>IF(計算用!$Z$69="","",IF(計算用!$U$24,IF(計算用!$Z$69="A",INDEX(手直し!$B$6:$E$42,計算用!$AC$69,MOD(1-計算用!$AE$69+1,4)+1),INDEX(手直し!$G$6:$J$42,計算用!$AC$69,MOD(1-計算用!$AE$69+1,4)+1)),IF(計算用!$Z$69="A",INDEX(組分け!$B$5:$I$41,計算用!$AC$69,(MOD(1-計算用!$AE$69+1,4)+1)*2-1),INDEX(組分け!$L$5:$S$41,計算用!$AC$69,(MOD(1-計算用!$AE$69+1,4)+1)*2-1)))&amp;"")</f>
        <v/>
      </c>
      <c r="AL69">
        <f>IF(計算用!$Z$69="","",IF(計算用!$U$24,IF(計算用!$Z$69="A",INDEX(手直し!$B$6:$E$42,計算用!$AC$69,MOD(2-計算用!$AE$69+1,4)+1),INDEX(手直し!$G$6:$J$42,計算用!$AC$69,MOD(2-計算用!$AE$69+1,4)+1)),IF(計算用!$Z$69="A",INDEX(組分け!$B$5:$I$41,計算用!$AC$69,(MOD(2-計算用!$AE$69+1,4)+1)*2-1),INDEX(組分け!$L$5:$S$41,計算用!$AC$69,(MOD(2-計算用!$AE$69+1,4)+1)*2-1)))&amp;"")</f>
        <v/>
      </c>
      <c r="AM69">
        <f>IF(計算用!$Z$69="","",IF(計算用!$U$24,IF(計算用!$Z$69="A",INDEX(手直し!$B$6:$E$42,計算用!$AC$69,MOD(3-計算用!$AE$69+1,4)+1),INDEX(手直し!$G$6:$J$42,計算用!$AC$69,MOD(3-計算用!$AE$69+1,4)+1)),IF(計算用!$Z$69="A",INDEX(組分け!$B$5:$I$41,計算用!$AC$69,(MOD(3-計算用!$AE$69+1,4)+1)*2-1),INDEX(組分け!$L$5:$S$41,計算用!$AC$69,(MOD(3-計算用!$AE$69+1,4)+1)*2-1)))&amp;"")</f>
        <v/>
      </c>
      <c r="AN69">
        <f>IF(Z69="",0,(COUNTIF($AF69:$AI69,0)&gt;1)+(COUNTIF($AF69:$AI69,1)&gt;1)+(COUNTIF($AF69:$AI69,2)&gt;1)+(COUNTIF($AF69:$AI69,3)&gt;1)+COUNTIF($AF69:$AI69,-1))</f>
        <v/>
      </c>
      <c r="AP69">
        <f>IF(Z69="","",IFERROR(MOD(MATCH(0,$AF69:$AI69,0)-1-AE69+1,4),""))</f>
        <v/>
      </c>
      <c r="AQ69">
        <f>IF(Z69="","",IFERROR(MOD(MATCH(1,$AF69:$AI69,0)-1-AE69+1,4),""))</f>
        <v/>
      </c>
      <c r="AR69">
        <f>IF(Z69="","",IFERROR(MOD(MATCH(2,$AF69:$AI69,0)-1-AE69+1,4),""))</f>
        <v/>
      </c>
      <c r="AS69">
        <f>IF(Z69="","",IFERROR(MOD(MATCH(3,$AF69:$AI69,0)-1-AE69+1,4),""))</f>
        <v/>
      </c>
    </row>
    <row r="70">
      <c r="A70" t="n">
        <v>69</v>
      </c>
      <c r="B70">
        <f>INT((A70-1)/37)+1</f>
        <v/>
      </c>
      <c r="C70">
        <f>MOD(A70-1,37)+1</f>
        <v/>
      </c>
      <c r="D70">
        <f>TRIM(INDEX(データ入力!$B$5:$Q$41,C70,(B70-1)*4+1)&amp;"")</f>
        <v/>
      </c>
      <c r="E70">
        <f>INDEX(データ入力!$B$5:$Q$41,C70,(B70-1)*4+2)&amp;""</f>
        <v/>
      </c>
      <c r="F70">
        <f>IF(OR(E70="1",E70="１",E70="男"),"男",IF(OR(E70="2",E70="２",E70="女"),"女",""))</f>
        <v/>
      </c>
      <c r="G70">
        <f>INDEX(データ入力!$B$5:$Q$41,C70,(B70-1)*4+3)</f>
        <v/>
      </c>
      <c r="H70">
        <f>IF(D70="","",IF($U$2,"混",F70))</f>
        <v/>
      </c>
      <c r="I70">
        <f>IF(AND(H70&lt;&gt;"",ISNUMBER(G70)),H70,"")</f>
        <v/>
      </c>
      <c r="J70">
        <f>IF(I70="","",COUNTIFS($I$2:$I$149,I70,$B$2:$B$149,B70,$G$2:$G$149,"&lt;"&amp;G70)+COUNTIFS($I$2:$I$149,I70,$B$2:$B$149,B70,$G$2:$G$149,G70,$A$2:$A$149,"&lt;"&amp;A70)+1)</f>
        <v/>
      </c>
      <c r="K70">
        <f>IF(I70="","",I70&amp;B70&amp;"-"&amp;J70)</f>
        <v/>
      </c>
      <c r="L70">
        <f>IF(I70="","",I70&amp;B70&amp;"|"&amp;D70)</f>
        <v/>
      </c>
      <c r="M70">
        <f>IF(I70="","",IF(I70="女",COUNTIF(手直し!$G$6:$J$42,D70),COUNTIF(手直し!$B$6:$E$42,D70)))</f>
        <v/>
      </c>
      <c r="N70">
        <f>IF(I70="","",IF(I70="女",COUNTIF(INDEX(手直し!$G$6:$J$42,0,B70),D70),COUNTIF(INDEX(手直し!$B$6:$E$42,0,B70),D70)))</f>
        <v/>
      </c>
      <c r="O70">
        <f>IF(AND(I70&lt;&gt;"",M70=0),1,0)</f>
        <v/>
      </c>
      <c r="P70">
        <f>IF(AND(O70=1,I70&lt;&gt;"女"),COUNTIFS($O$2:O70,1,$I$2:I70,"&lt;&gt;女"),"")</f>
        <v/>
      </c>
      <c r="Q70">
        <f>IF(AND(O70=1,I70="女"),COUNTIFS($O$2:O70,1,$I$2:I70,"女"),"")</f>
        <v/>
      </c>
      <c r="R70">
        <f>IF(AND(I70&lt;&gt;"",M70&gt;=1,N70=0),1,0)</f>
        <v/>
      </c>
      <c r="S70">
        <f>IF(AND(D70&lt;&gt;"",I70=""),1,0)</f>
        <v/>
      </c>
      <c r="V70">
        <f>IF(J70="",0,J70)</f>
        <v/>
      </c>
      <c r="W70">
        <f>IF(I70="","",I70&amp;D70)</f>
        <v/>
      </c>
      <c r="Y70" t="n">
        <v>69</v>
      </c>
      <c r="Z70">
        <f>IF(Y70&gt;$U$22,"",IF(Y70&lt;=$U$23,IF($U$4,"B","A"),IF($U$4,"A","B")))</f>
        <v/>
      </c>
      <c r="AA70">
        <f>IF(Z70="","",IF(Y70&lt;=$U$23,Y70,Y70-$U$23))</f>
        <v/>
      </c>
      <c r="AB70">
        <f>IF(Z70="","",IF(Z70="A",$U$7,$U$8))</f>
        <v/>
      </c>
      <c r="AC70">
        <f>IF(Z70="","",IF(AB70&lt;=$U$6,AB70-AA70+1,IF(AA70&lt;=INT((AB70-$U$6+1)/2),$U$6-1+2*AA70,IF(AA70&lt;=INT((AB70-$U$6+1)/2)+INT((AB70-$U$6)/2),(AB70-1+MOD(AB70,2))-2*(AA70-INT((AB70-$U$6+1)/2)-1),$U$6-(AA70-INT((AB70-$U$6+1)/2)-INT((AB70-$U$6)/2)-1)))))</f>
        <v/>
      </c>
      <c r="AD70">
        <f>IF(Z70="","",IF($U$2,"",IF(Z70="B","女子","男子"))&amp;AA70&amp;"レース")</f>
        <v/>
      </c>
      <c r="AE70">
        <f>IF(Z70="","",IF($U$2,1,AA70))</f>
        <v/>
      </c>
      <c r="AF70">
        <f>IF(AJ70="",99,IF(最終修正!$C$71="",0,IF(AND(ISNUMBER(最終修正!$C$71),INT(最終修正!$C$71)=最終修正!$C$71,最終修正!$C$71-$U$5&gt;=0,最終修正!$C$71-$U$5&lt;=3),最終修正!$C$71-$U$5,-1)))</f>
        <v/>
      </c>
      <c r="AG70">
        <f>IF(AK70="",99,IF(最終修正!$E$71="",1,IF(AND(ISNUMBER(最終修正!$E$71),INT(最終修正!$E$71)=最終修正!$E$71,最終修正!$E$71-$U$5&gt;=0,最終修正!$E$71-$U$5&lt;=3),最終修正!$E$71-$U$5,-1)))</f>
        <v/>
      </c>
      <c r="AH70">
        <f>IF(AL70="",99,IF(最終修正!$G$71="",2,IF(AND(ISNUMBER(最終修正!$G$71),INT(最終修正!$G$71)=最終修正!$G$71,最終修正!$G$71-$U$5&gt;=0,最終修正!$G$71-$U$5&lt;=3),最終修正!$G$71-$U$5,-1)))</f>
        <v/>
      </c>
      <c r="AI70">
        <f>IF(AM70="",99,IF(最終修正!$I$71="",3,IF(AND(ISNUMBER(最終修正!$I$71),INT(最終修正!$I$71)=最終修正!$I$71,最終修正!$I$71-$U$5&gt;=0,最終修正!$I$71-$U$5&lt;=3),最終修正!$I$71-$U$5,-1)))</f>
        <v/>
      </c>
      <c r="AJ70">
        <f>IF(計算用!$Z$70="","",IF(計算用!$U$24,IF(計算用!$Z$70="A",INDEX(手直し!$B$6:$E$42,計算用!$AC$70,MOD(0-計算用!$AE$70+1,4)+1),INDEX(手直し!$G$6:$J$42,計算用!$AC$70,MOD(0-計算用!$AE$70+1,4)+1)),IF(計算用!$Z$70="A",INDEX(組分け!$B$5:$I$41,計算用!$AC$70,(MOD(0-計算用!$AE$70+1,4)+1)*2-1),INDEX(組分け!$L$5:$S$41,計算用!$AC$70,(MOD(0-計算用!$AE$70+1,4)+1)*2-1)))&amp;"")</f>
        <v/>
      </c>
      <c r="AK70">
        <f>IF(計算用!$Z$70="","",IF(計算用!$U$24,IF(計算用!$Z$70="A",INDEX(手直し!$B$6:$E$42,計算用!$AC$70,MOD(1-計算用!$AE$70+1,4)+1),INDEX(手直し!$G$6:$J$42,計算用!$AC$70,MOD(1-計算用!$AE$70+1,4)+1)),IF(計算用!$Z$70="A",INDEX(組分け!$B$5:$I$41,計算用!$AC$70,(MOD(1-計算用!$AE$70+1,4)+1)*2-1),INDEX(組分け!$L$5:$S$41,計算用!$AC$70,(MOD(1-計算用!$AE$70+1,4)+1)*2-1)))&amp;"")</f>
        <v/>
      </c>
      <c r="AL70">
        <f>IF(計算用!$Z$70="","",IF(計算用!$U$24,IF(計算用!$Z$70="A",INDEX(手直し!$B$6:$E$42,計算用!$AC$70,MOD(2-計算用!$AE$70+1,4)+1),INDEX(手直し!$G$6:$J$42,計算用!$AC$70,MOD(2-計算用!$AE$70+1,4)+1)),IF(計算用!$Z$70="A",INDEX(組分け!$B$5:$I$41,計算用!$AC$70,(MOD(2-計算用!$AE$70+1,4)+1)*2-1),INDEX(組分け!$L$5:$S$41,計算用!$AC$70,(MOD(2-計算用!$AE$70+1,4)+1)*2-1)))&amp;"")</f>
        <v/>
      </c>
      <c r="AM70">
        <f>IF(計算用!$Z$70="","",IF(計算用!$U$24,IF(計算用!$Z$70="A",INDEX(手直し!$B$6:$E$42,計算用!$AC$70,MOD(3-計算用!$AE$70+1,4)+1),INDEX(手直し!$G$6:$J$42,計算用!$AC$70,MOD(3-計算用!$AE$70+1,4)+1)),IF(計算用!$Z$70="A",INDEX(組分け!$B$5:$I$41,計算用!$AC$70,(MOD(3-計算用!$AE$70+1,4)+1)*2-1),INDEX(組分け!$L$5:$S$41,計算用!$AC$70,(MOD(3-計算用!$AE$70+1,4)+1)*2-1)))&amp;"")</f>
        <v/>
      </c>
      <c r="AN70">
        <f>IF(Z70="",0,(COUNTIF($AF70:$AI70,0)&gt;1)+(COUNTIF($AF70:$AI70,1)&gt;1)+(COUNTIF($AF70:$AI70,2)&gt;1)+(COUNTIF($AF70:$AI70,3)&gt;1)+COUNTIF($AF70:$AI70,-1))</f>
        <v/>
      </c>
      <c r="AP70">
        <f>IF(Z70="","",IFERROR(MOD(MATCH(0,$AF70:$AI70,0)-1-AE70+1,4),""))</f>
        <v/>
      </c>
      <c r="AQ70">
        <f>IF(Z70="","",IFERROR(MOD(MATCH(1,$AF70:$AI70,0)-1-AE70+1,4),""))</f>
        <v/>
      </c>
      <c r="AR70">
        <f>IF(Z70="","",IFERROR(MOD(MATCH(2,$AF70:$AI70,0)-1-AE70+1,4),""))</f>
        <v/>
      </c>
      <c r="AS70">
        <f>IF(Z70="","",IFERROR(MOD(MATCH(3,$AF70:$AI70,0)-1-AE70+1,4),""))</f>
        <v/>
      </c>
    </row>
    <row r="71">
      <c r="A71" t="n">
        <v>70</v>
      </c>
      <c r="B71">
        <f>INT((A71-1)/37)+1</f>
        <v/>
      </c>
      <c r="C71">
        <f>MOD(A71-1,37)+1</f>
        <v/>
      </c>
      <c r="D71">
        <f>TRIM(INDEX(データ入力!$B$5:$Q$41,C71,(B71-1)*4+1)&amp;"")</f>
        <v/>
      </c>
      <c r="E71">
        <f>INDEX(データ入力!$B$5:$Q$41,C71,(B71-1)*4+2)&amp;""</f>
        <v/>
      </c>
      <c r="F71">
        <f>IF(OR(E71="1",E71="１",E71="男"),"男",IF(OR(E71="2",E71="２",E71="女"),"女",""))</f>
        <v/>
      </c>
      <c r="G71">
        <f>INDEX(データ入力!$B$5:$Q$41,C71,(B71-1)*4+3)</f>
        <v/>
      </c>
      <c r="H71">
        <f>IF(D71="","",IF($U$2,"混",F71))</f>
        <v/>
      </c>
      <c r="I71">
        <f>IF(AND(H71&lt;&gt;"",ISNUMBER(G71)),H71,"")</f>
        <v/>
      </c>
      <c r="J71">
        <f>IF(I71="","",COUNTIFS($I$2:$I$149,I71,$B$2:$B$149,B71,$G$2:$G$149,"&lt;"&amp;G71)+COUNTIFS($I$2:$I$149,I71,$B$2:$B$149,B71,$G$2:$G$149,G71,$A$2:$A$149,"&lt;"&amp;A71)+1)</f>
        <v/>
      </c>
      <c r="K71">
        <f>IF(I71="","",I71&amp;B71&amp;"-"&amp;J71)</f>
        <v/>
      </c>
      <c r="L71">
        <f>IF(I71="","",I71&amp;B71&amp;"|"&amp;D71)</f>
        <v/>
      </c>
      <c r="M71">
        <f>IF(I71="","",IF(I71="女",COUNTIF(手直し!$G$6:$J$42,D71),COUNTIF(手直し!$B$6:$E$42,D71)))</f>
        <v/>
      </c>
      <c r="N71">
        <f>IF(I71="","",IF(I71="女",COUNTIF(INDEX(手直し!$G$6:$J$42,0,B71),D71),COUNTIF(INDEX(手直し!$B$6:$E$42,0,B71),D71)))</f>
        <v/>
      </c>
      <c r="O71">
        <f>IF(AND(I71&lt;&gt;"",M71=0),1,0)</f>
        <v/>
      </c>
      <c r="P71">
        <f>IF(AND(O71=1,I71&lt;&gt;"女"),COUNTIFS($O$2:O71,1,$I$2:I71,"&lt;&gt;女"),"")</f>
        <v/>
      </c>
      <c r="Q71">
        <f>IF(AND(O71=1,I71="女"),COUNTIFS($O$2:O71,1,$I$2:I71,"女"),"")</f>
        <v/>
      </c>
      <c r="R71">
        <f>IF(AND(I71&lt;&gt;"",M71&gt;=1,N71=0),1,0)</f>
        <v/>
      </c>
      <c r="S71">
        <f>IF(AND(D71&lt;&gt;"",I71=""),1,0)</f>
        <v/>
      </c>
      <c r="V71">
        <f>IF(J71="",0,J71)</f>
        <v/>
      </c>
      <c r="W71">
        <f>IF(I71="","",I71&amp;D71)</f>
        <v/>
      </c>
      <c r="Y71" t="n">
        <v>70</v>
      </c>
      <c r="Z71">
        <f>IF(Y71&gt;$U$22,"",IF(Y71&lt;=$U$23,IF($U$4,"B","A"),IF($U$4,"A","B")))</f>
        <v/>
      </c>
      <c r="AA71">
        <f>IF(Z71="","",IF(Y71&lt;=$U$23,Y71,Y71-$U$23))</f>
        <v/>
      </c>
      <c r="AB71">
        <f>IF(Z71="","",IF(Z71="A",$U$7,$U$8))</f>
        <v/>
      </c>
      <c r="AC71">
        <f>IF(Z71="","",IF(AB71&lt;=$U$6,AB71-AA71+1,IF(AA71&lt;=INT((AB71-$U$6+1)/2),$U$6-1+2*AA71,IF(AA71&lt;=INT((AB71-$U$6+1)/2)+INT((AB71-$U$6)/2),(AB71-1+MOD(AB71,2))-2*(AA71-INT((AB71-$U$6+1)/2)-1),$U$6-(AA71-INT((AB71-$U$6+1)/2)-INT((AB71-$U$6)/2)-1)))))</f>
        <v/>
      </c>
      <c r="AD71">
        <f>IF(Z71="","",IF($U$2,"",IF(Z71="B","女子","男子"))&amp;AA71&amp;"レース")</f>
        <v/>
      </c>
      <c r="AE71">
        <f>IF(Z71="","",IF($U$2,1,AA71))</f>
        <v/>
      </c>
      <c r="AF71">
        <f>IF(AJ71="",99,IF(最終修正!$C$72="",0,IF(AND(ISNUMBER(最終修正!$C$72),INT(最終修正!$C$72)=最終修正!$C$72,最終修正!$C$72-$U$5&gt;=0,最終修正!$C$72-$U$5&lt;=3),最終修正!$C$72-$U$5,-1)))</f>
        <v/>
      </c>
      <c r="AG71">
        <f>IF(AK71="",99,IF(最終修正!$E$72="",1,IF(AND(ISNUMBER(最終修正!$E$72),INT(最終修正!$E$72)=最終修正!$E$72,最終修正!$E$72-$U$5&gt;=0,最終修正!$E$72-$U$5&lt;=3),最終修正!$E$72-$U$5,-1)))</f>
        <v/>
      </c>
      <c r="AH71">
        <f>IF(AL71="",99,IF(最終修正!$G$72="",2,IF(AND(ISNUMBER(最終修正!$G$72),INT(最終修正!$G$72)=最終修正!$G$72,最終修正!$G$72-$U$5&gt;=0,最終修正!$G$72-$U$5&lt;=3),最終修正!$G$72-$U$5,-1)))</f>
        <v/>
      </c>
      <c r="AI71">
        <f>IF(AM71="",99,IF(最終修正!$I$72="",3,IF(AND(ISNUMBER(最終修正!$I$72),INT(最終修正!$I$72)=最終修正!$I$72,最終修正!$I$72-$U$5&gt;=0,最終修正!$I$72-$U$5&lt;=3),最終修正!$I$72-$U$5,-1)))</f>
        <v/>
      </c>
      <c r="AJ71">
        <f>IF(計算用!$Z$71="","",IF(計算用!$U$24,IF(計算用!$Z$71="A",INDEX(手直し!$B$6:$E$42,計算用!$AC$71,MOD(0-計算用!$AE$71+1,4)+1),INDEX(手直し!$G$6:$J$42,計算用!$AC$71,MOD(0-計算用!$AE$71+1,4)+1)),IF(計算用!$Z$71="A",INDEX(組分け!$B$5:$I$41,計算用!$AC$71,(MOD(0-計算用!$AE$71+1,4)+1)*2-1),INDEX(組分け!$L$5:$S$41,計算用!$AC$71,(MOD(0-計算用!$AE$71+1,4)+1)*2-1)))&amp;"")</f>
        <v/>
      </c>
      <c r="AK71">
        <f>IF(計算用!$Z$71="","",IF(計算用!$U$24,IF(計算用!$Z$71="A",INDEX(手直し!$B$6:$E$42,計算用!$AC$71,MOD(1-計算用!$AE$71+1,4)+1),INDEX(手直し!$G$6:$J$42,計算用!$AC$71,MOD(1-計算用!$AE$71+1,4)+1)),IF(計算用!$Z$71="A",INDEX(組分け!$B$5:$I$41,計算用!$AC$71,(MOD(1-計算用!$AE$71+1,4)+1)*2-1),INDEX(組分け!$L$5:$S$41,計算用!$AC$71,(MOD(1-計算用!$AE$71+1,4)+1)*2-1)))&amp;"")</f>
        <v/>
      </c>
      <c r="AL71">
        <f>IF(計算用!$Z$71="","",IF(計算用!$U$24,IF(計算用!$Z$71="A",INDEX(手直し!$B$6:$E$42,計算用!$AC$71,MOD(2-計算用!$AE$71+1,4)+1),INDEX(手直し!$G$6:$J$42,計算用!$AC$71,MOD(2-計算用!$AE$71+1,4)+1)),IF(計算用!$Z$71="A",INDEX(組分け!$B$5:$I$41,計算用!$AC$71,(MOD(2-計算用!$AE$71+1,4)+1)*2-1),INDEX(組分け!$L$5:$S$41,計算用!$AC$71,(MOD(2-計算用!$AE$71+1,4)+1)*2-1)))&amp;"")</f>
        <v/>
      </c>
      <c r="AM71">
        <f>IF(計算用!$Z$71="","",IF(計算用!$U$24,IF(計算用!$Z$71="A",INDEX(手直し!$B$6:$E$42,計算用!$AC$71,MOD(3-計算用!$AE$71+1,4)+1),INDEX(手直し!$G$6:$J$42,計算用!$AC$71,MOD(3-計算用!$AE$71+1,4)+1)),IF(計算用!$Z$71="A",INDEX(組分け!$B$5:$I$41,計算用!$AC$71,(MOD(3-計算用!$AE$71+1,4)+1)*2-1),INDEX(組分け!$L$5:$S$41,計算用!$AC$71,(MOD(3-計算用!$AE$71+1,4)+1)*2-1)))&amp;"")</f>
        <v/>
      </c>
      <c r="AN71">
        <f>IF(Z71="",0,(COUNTIF($AF71:$AI71,0)&gt;1)+(COUNTIF($AF71:$AI71,1)&gt;1)+(COUNTIF($AF71:$AI71,2)&gt;1)+(COUNTIF($AF71:$AI71,3)&gt;1)+COUNTIF($AF71:$AI71,-1))</f>
        <v/>
      </c>
      <c r="AP71">
        <f>IF(Z71="","",IFERROR(MOD(MATCH(0,$AF71:$AI71,0)-1-AE71+1,4),""))</f>
        <v/>
      </c>
      <c r="AQ71">
        <f>IF(Z71="","",IFERROR(MOD(MATCH(1,$AF71:$AI71,0)-1-AE71+1,4),""))</f>
        <v/>
      </c>
      <c r="AR71">
        <f>IF(Z71="","",IFERROR(MOD(MATCH(2,$AF71:$AI71,0)-1-AE71+1,4),""))</f>
        <v/>
      </c>
      <c r="AS71">
        <f>IF(Z71="","",IFERROR(MOD(MATCH(3,$AF71:$AI71,0)-1-AE71+1,4),""))</f>
        <v/>
      </c>
    </row>
    <row r="72">
      <c r="A72" t="n">
        <v>71</v>
      </c>
      <c r="B72">
        <f>INT((A72-1)/37)+1</f>
        <v/>
      </c>
      <c r="C72">
        <f>MOD(A72-1,37)+1</f>
        <v/>
      </c>
      <c r="D72">
        <f>TRIM(INDEX(データ入力!$B$5:$Q$41,C72,(B72-1)*4+1)&amp;"")</f>
        <v/>
      </c>
      <c r="E72">
        <f>INDEX(データ入力!$B$5:$Q$41,C72,(B72-1)*4+2)&amp;""</f>
        <v/>
      </c>
      <c r="F72">
        <f>IF(OR(E72="1",E72="１",E72="男"),"男",IF(OR(E72="2",E72="２",E72="女"),"女",""))</f>
        <v/>
      </c>
      <c r="G72">
        <f>INDEX(データ入力!$B$5:$Q$41,C72,(B72-1)*4+3)</f>
        <v/>
      </c>
      <c r="H72">
        <f>IF(D72="","",IF($U$2,"混",F72))</f>
        <v/>
      </c>
      <c r="I72">
        <f>IF(AND(H72&lt;&gt;"",ISNUMBER(G72)),H72,"")</f>
        <v/>
      </c>
      <c r="J72">
        <f>IF(I72="","",COUNTIFS($I$2:$I$149,I72,$B$2:$B$149,B72,$G$2:$G$149,"&lt;"&amp;G72)+COUNTIFS($I$2:$I$149,I72,$B$2:$B$149,B72,$G$2:$G$149,G72,$A$2:$A$149,"&lt;"&amp;A72)+1)</f>
        <v/>
      </c>
      <c r="K72">
        <f>IF(I72="","",I72&amp;B72&amp;"-"&amp;J72)</f>
        <v/>
      </c>
      <c r="L72">
        <f>IF(I72="","",I72&amp;B72&amp;"|"&amp;D72)</f>
        <v/>
      </c>
      <c r="M72">
        <f>IF(I72="","",IF(I72="女",COUNTIF(手直し!$G$6:$J$42,D72),COUNTIF(手直し!$B$6:$E$42,D72)))</f>
        <v/>
      </c>
      <c r="N72">
        <f>IF(I72="","",IF(I72="女",COUNTIF(INDEX(手直し!$G$6:$J$42,0,B72),D72),COUNTIF(INDEX(手直し!$B$6:$E$42,0,B72),D72)))</f>
        <v/>
      </c>
      <c r="O72">
        <f>IF(AND(I72&lt;&gt;"",M72=0),1,0)</f>
        <v/>
      </c>
      <c r="P72">
        <f>IF(AND(O72=1,I72&lt;&gt;"女"),COUNTIFS($O$2:O72,1,$I$2:I72,"&lt;&gt;女"),"")</f>
        <v/>
      </c>
      <c r="Q72">
        <f>IF(AND(O72=1,I72="女"),COUNTIFS($O$2:O72,1,$I$2:I72,"女"),"")</f>
        <v/>
      </c>
      <c r="R72">
        <f>IF(AND(I72&lt;&gt;"",M72&gt;=1,N72=0),1,0)</f>
        <v/>
      </c>
      <c r="S72">
        <f>IF(AND(D72&lt;&gt;"",I72=""),1,0)</f>
        <v/>
      </c>
      <c r="V72">
        <f>IF(J72="",0,J72)</f>
        <v/>
      </c>
      <c r="W72">
        <f>IF(I72="","",I72&amp;D72)</f>
        <v/>
      </c>
      <c r="Y72" t="n">
        <v>71</v>
      </c>
      <c r="Z72">
        <f>IF(Y72&gt;$U$22,"",IF(Y72&lt;=$U$23,IF($U$4,"B","A"),IF($U$4,"A","B")))</f>
        <v/>
      </c>
      <c r="AA72">
        <f>IF(Z72="","",IF(Y72&lt;=$U$23,Y72,Y72-$U$23))</f>
        <v/>
      </c>
      <c r="AB72">
        <f>IF(Z72="","",IF(Z72="A",$U$7,$U$8))</f>
        <v/>
      </c>
      <c r="AC72">
        <f>IF(Z72="","",IF(AB72&lt;=$U$6,AB72-AA72+1,IF(AA72&lt;=INT((AB72-$U$6+1)/2),$U$6-1+2*AA72,IF(AA72&lt;=INT((AB72-$U$6+1)/2)+INT((AB72-$U$6)/2),(AB72-1+MOD(AB72,2))-2*(AA72-INT((AB72-$U$6+1)/2)-1),$U$6-(AA72-INT((AB72-$U$6+1)/2)-INT((AB72-$U$6)/2)-1)))))</f>
        <v/>
      </c>
      <c r="AD72">
        <f>IF(Z72="","",IF($U$2,"",IF(Z72="B","女子","男子"))&amp;AA72&amp;"レース")</f>
        <v/>
      </c>
      <c r="AE72">
        <f>IF(Z72="","",IF($U$2,1,AA72))</f>
        <v/>
      </c>
      <c r="AF72">
        <f>IF(AJ72="",99,IF(最終修正!$C$73="",0,IF(AND(ISNUMBER(最終修正!$C$73),INT(最終修正!$C$73)=最終修正!$C$73,最終修正!$C$73-$U$5&gt;=0,最終修正!$C$73-$U$5&lt;=3),最終修正!$C$73-$U$5,-1)))</f>
        <v/>
      </c>
      <c r="AG72">
        <f>IF(AK72="",99,IF(最終修正!$E$73="",1,IF(AND(ISNUMBER(最終修正!$E$73),INT(最終修正!$E$73)=最終修正!$E$73,最終修正!$E$73-$U$5&gt;=0,最終修正!$E$73-$U$5&lt;=3),最終修正!$E$73-$U$5,-1)))</f>
        <v/>
      </c>
      <c r="AH72">
        <f>IF(AL72="",99,IF(最終修正!$G$73="",2,IF(AND(ISNUMBER(最終修正!$G$73),INT(最終修正!$G$73)=最終修正!$G$73,最終修正!$G$73-$U$5&gt;=0,最終修正!$G$73-$U$5&lt;=3),最終修正!$G$73-$U$5,-1)))</f>
        <v/>
      </c>
      <c r="AI72">
        <f>IF(AM72="",99,IF(最終修正!$I$73="",3,IF(AND(ISNUMBER(最終修正!$I$73),INT(最終修正!$I$73)=最終修正!$I$73,最終修正!$I$73-$U$5&gt;=0,最終修正!$I$73-$U$5&lt;=3),最終修正!$I$73-$U$5,-1)))</f>
        <v/>
      </c>
      <c r="AJ72">
        <f>IF(計算用!$Z$72="","",IF(計算用!$U$24,IF(計算用!$Z$72="A",INDEX(手直し!$B$6:$E$42,計算用!$AC$72,MOD(0-計算用!$AE$72+1,4)+1),INDEX(手直し!$G$6:$J$42,計算用!$AC$72,MOD(0-計算用!$AE$72+1,4)+1)),IF(計算用!$Z$72="A",INDEX(組分け!$B$5:$I$41,計算用!$AC$72,(MOD(0-計算用!$AE$72+1,4)+1)*2-1),INDEX(組分け!$L$5:$S$41,計算用!$AC$72,(MOD(0-計算用!$AE$72+1,4)+1)*2-1)))&amp;"")</f>
        <v/>
      </c>
      <c r="AK72">
        <f>IF(計算用!$Z$72="","",IF(計算用!$U$24,IF(計算用!$Z$72="A",INDEX(手直し!$B$6:$E$42,計算用!$AC$72,MOD(1-計算用!$AE$72+1,4)+1),INDEX(手直し!$G$6:$J$42,計算用!$AC$72,MOD(1-計算用!$AE$72+1,4)+1)),IF(計算用!$Z$72="A",INDEX(組分け!$B$5:$I$41,計算用!$AC$72,(MOD(1-計算用!$AE$72+1,4)+1)*2-1),INDEX(組分け!$L$5:$S$41,計算用!$AC$72,(MOD(1-計算用!$AE$72+1,4)+1)*2-1)))&amp;"")</f>
        <v/>
      </c>
      <c r="AL72">
        <f>IF(計算用!$Z$72="","",IF(計算用!$U$24,IF(計算用!$Z$72="A",INDEX(手直し!$B$6:$E$42,計算用!$AC$72,MOD(2-計算用!$AE$72+1,4)+1),INDEX(手直し!$G$6:$J$42,計算用!$AC$72,MOD(2-計算用!$AE$72+1,4)+1)),IF(計算用!$Z$72="A",INDEX(組分け!$B$5:$I$41,計算用!$AC$72,(MOD(2-計算用!$AE$72+1,4)+1)*2-1),INDEX(組分け!$L$5:$S$41,計算用!$AC$72,(MOD(2-計算用!$AE$72+1,4)+1)*2-1)))&amp;"")</f>
        <v/>
      </c>
      <c r="AM72">
        <f>IF(計算用!$Z$72="","",IF(計算用!$U$24,IF(計算用!$Z$72="A",INDEX(手直し!$B$6:$E$42,計算用!$AC$72,MOD(3-計算用!$AE$72+1,4)+1),INDEX(手直し!$G$6:$J$42,計算用!$AC$72,MOD(3-計算用!$AE$72+1,4)+1)),IF(計算用!$Z$72="A",INDEX(組分け!$B$5:$I$41,計算用!$AC$72,(MOD(3-計算用!$AE$72+1,4)+1)*2-1),INDEX(組分け!$L$5:$S$41,計算用!$AC$72,(MOD(3-計算用!$AE$72+1,4)+1)*2-1)))&amp;"")</f>
        <v/>
      </c>
      <c r="AN72">
        <f>IF(Z72="",0,(COUNTIF($AF72:$AI72,0)&gt;1)+(COUNTIF($AF72:$AI72,1)&gt;1)+(COUNTIF($AF72:$AI72,2)&gt;1)+(COUNTIF($AF72:$AI72,3)&gt;1)+COUNTIF($AF72:$AI72,-1))</f>
        <v/>
      </c>
      <c r="AP72">
        <f>IF(Z72="","",IFERROR(MOD(MATCH(0,$AF72:$AI72,0)-1-AE72+1,4),""))</f>
        <v/>
      </c>
      <c r="AQ72">
        <f>IF(Z72="","",IFERROR(MOD(MATCH(1,$AF72:$AI72,0)-1-AE72+1,4),""))</f>
        <v/>
      </c>
      <c r="AR72">
        <f>IF(Z72="","",IFERROR(MOD(MATCH(2,$AF72:$AI72,0)-1-AE72+1,4),""))</f>
        <v/>
      </c>
      <c r="AS72">
        <f>IF(Z72="","",IFERROR(MOD(MATCH(3,$AF72:$AI72,0)-1-AE72+1,4),""))</f>
        <v/>
      </c>
    </row>
    <row r="73">
      <c r="A73" t="n">
        <v>72</v>
      </c>
      <c r="B73">
        <f>INT((A73-1)/37)+1</f>
        <v/>
      </c>
      <c r="C73">
        <f>MOD(A73-1,37)+1</f>
        <v/>
      </c>
      <c r="D73">
        <f>TRIM(INDEX(データ入力!$B$5:$Q$41,C73,(B73-1)*4+1)&amp;"")</f>
        <v/>
      </c>
      <c r="E73">
        <f>INDEX(データ入力!$B$5:$Q$41,C73,(B73-1)*4+2)&amp;""</f>
        <v/>
      </c>
      <c r="F73">
        <f>IF(OR(E73="1",E73="１",E73="男"),"男",IF(OR(E73="2",E73="２",E73="女"),"女",""))</f>
        <v/>
      </c>
      <c r="G73">
        <f>INDEX(データ入力!$B$5:$Q$41,C73,(B73-1)*4+3)</f>
        <v/>
      </c>
      <c r="H73">
        <f>IF(D73="","",IF($U$2,"混",F73))</f>
        <v/>
      </c>
      <c r="I73">
        <f>IF(AND(H73&lt;&gt;"",ISNUMBER(G73)),H73,"")</f>
        <v/>
      </c>
      <c r="J73">
        <f>IF(I73="","",COUNTIFS($I$2:$I$149,I73,$B$2:$B$149,B73,$G$2:$G$149,"&lt;"&amp;G73)+COUNTIFS($I$2:$I$149,I73,$B$2:$B$149,B73,$G$2:$G$149,G73,$A$2:$A$149,"&lt;"&amp;A73)+1)</f>
        <v/>
      </c>
      <c r="K73">
        <f>IF(I73="","",I73&amp;B73&amp;"-"&amp;J73)</f>
        <v/>
      </c>
      <c r="L73">
        <f>IF(I73="","",I73&amp;B73&amp;"|"&amp;D73)</f>
        <v/>
      </c>
      <c r="M73">
        <f>IF(I73="","",IF(I73="女",COUNTIF(手直し!$G$6:$J$42,D73),COUNTIF(手直し!$B$6:$E$42,D73)))</f>
        <v/>
      </c>
      <c r="N73">
        <f>IF(I73="","",IF(I73="女",COUNTIF(INDEX(手直し!$G$6:$J$42,0,B73),D73),COUNTIF(INDEX(手直し!$B$6:$E$42,0,B73),D73)))</f>
        <v/>
      </c>
      <c r="O73">
        <f>IF(AND(I73&lt;&gt;"",M73=0),1,0)</f>
        <v/>
      </c>
      <c r="P73">
        <f>IF(AND(O73=1,I73&lt;&gt;"女"),COUNTIFS($O$2:O73,1,$I$2:I73,"&lt;&gt;女"),"")</f>
        <v/>
      </c>
      <c r="Q73">
        <f>IF(AND(O73=1,I73="女"),COUNTIFS($O$2:O73,1,$I$2:I73,"女"),"")</f>
        <v/>
      </c>
      <c r="R73">
        <f>IF(AND(I73&lt;&gt;"",M73&gt;=1,N73=0),1,0)</f>
        <v/>
      </c>
      <c r="S73">
        <f>IF(AND(D73&lt;&gt;"",I73=""),1,0)</f>
        <v/>
      </c>
      <c r="V73">
        <f>IF(J73="",0,J73)</f>
        <v/>
      </c>
      <c r="W73">
        <f>IF(I73="","",I73&amp;D73)</f>
        <v/>
      </c>
      <c r="Y73" t="n">
        <v>72</v>
      </c>
      <c r="Z73">
        <f>IF(Y73&gt;$U$22,"",IF(Y73&lt;=$U$23,IF($U$4,"B","A"),IF($U$4,"A","B")))</f>
        <v/>
      </c>
      <c r="AA73">
        <f>IF(Z73="","",IF(Y73&lt;=$U$23,Y73,Y73-$U$23))</f>
        <v/>
      </c>
      <c r="AB73">
        <f>IF(Z73="","",IF(Z73="A",$U$7,$U$8))</f>
        <v/>
      </c>
      <c r="AC73">
        <f>IF(Z73="","",IF(AB73&lt;=$U$6,AB73-AA73+1,IF(AA73&lt;=INT((AB73-$U$6+1)/2),$U$6-1+2*AA73,IF(AA73&lt;=INT((AB73-$U$6+1)/2)+INT((AB73-$U$6)/2),(AB73-1+MOD(AB73,2))-2*(AA73-INT((AB73-$U$6+1)/2)-1),$U$6-(AA73-INT((AB73-$U$6+1)/2)-INT((AB73-$U$6)/2)-1)))))</f>
        <v/>
      </c>
      <c r="AD73">
        <f>IF(Z73="","",IF($U$2,"",IF(Z73="B","女子","男子"))&amp;AA73&amp;"レース")</f>
        <v/>
      </c>
      <c r="AE73">
        <f>IF(Z73="","",IF($U$2,1,AA73))</f>
        <v/>
      </c>
      <c r="AF73">
        <f>IF(AJ73="",99,IF(最終修正!$C$74="",0,IF(AND(ISNUMBER(最終修正!$C$74),INT(最終修正!$C$74)=最終修正!$C$74,最終修正!$C$74-$U$5&gt;=0,最終修正!$C$74-$U$5&lt;=3),最終修正!$C$74-$U$5,-1)))</f>
        <v/>
      </c>
      <c r="AG73">
        <f>IF(AK73="",99,IF(最終修正!$E$74="",1,IF(AND(ISNUMBER(最終修正!$E$74),INT(最終修正!$E$74)=最終修正!$E$74,最終修正!$E$74-$U$5&gt;=0,最終修正!$E$74-$U$5&lt;=3),最終修正!$E$74-$U$5,-1)))</f>
        <v/>
      </c>
      <c r="AH73">
        <f>IF(AL73="",99,IF(最終修正!$G$74="",2,IF(AND(ISNUMBER(最終修正!$G$74),INT(最終修正!$G$74)=最終修正!$G$74,最終修正!$G$74-$U$5&gt;=0,最終修正!$G$74-$U$5&lt;=3),最終修正!$G$74-$U$5,-1)))</f>
        <v/>
      </c>
      <c r="AI73">
        <f>IF(AM73="",99,IF(最終修正!$I$74="",3,IF(AND(ISNUMBER(最終修正!$I$74),INT(最終修正!$I$74)=最終修正!$I$74,最終修正!$I$74-$U$5&gt;=0,最終修正!$I$74-$U$5&lt;=3),最終修正!$I$74-$U$5,-1)))</f>
        <v/>
      </c>
      <c r="AJ73">
        <f>IF(計算用!$Z$73="","",IF(計算用!$U$24,IF(計算用!$Z$73="A",INDEX(手直し!$B$6:$E$42,計算用!$AC$73,MOD(0-計算用!$AE$73+1,4)+1),INDEX(手直し!$G$6:$J$42,計算用!$AC$73,MOD(0-計算用!$AE$73+1,4)+1)),IF(計算用!$Z$73="A",INDEX(組分け!$B$5:$I$41,計算用!$AC$73,(MOD(0-計算用!$AE$73+1,4)+1)*2-1),INDEX(組分け!$L$5:$S$41,計算用!$AC$73,(MOD(0-計算用!$AE$73+1,4)+1)*2-1)))&amp;"")</f>
        <v/>
      </c>
      <c r="AK73">
        <f>IF(計算用!$Z$73="","",IF(計算用!$U$24,IF(計算用!$Z$73="A",INDEX(手直し!$B$6:$E$42,計算用!$AC$73,MOD(1-計算用!$AE$73+1,4)+1),INDEX(手直し!$G$6:$J$42,計算用!$AC$73,MOD(1-計算用!$AE$73+1,4)+1)),IF(計算用!$Z$73="A",INDEX(組分け!$B$5:$I$41,計算用!$AC$73,(MOD(1-計算用!$AE$73+1,4)+1)*2-1),INDEX(組分け!$L$5:$S$41,計算用!$AC$73,(MOD(1-計算用!$AE$73+1,4)+1)*2-1)))&amp;"")</f>
        <v/>
      </c>
      <c r="AL73">
        <f>IF(計算用!$Z$73="","",IF(計算用!$U$24,IF(計算用!$Z$73="A",INDEX(手直し!$B$6:$E$42,計算用!$AC$73,MOD(2-計算用!$AE$73+1,4)+1),INDEX(手直し!$G$6:$J$42,計算用!$AC$73,MOD(2-計算用!$AE$73+1,4)+1)),IF(計算用!$Z$73="A",INDEX(組分け!$B$5:$I$41,計算用!$AC$73,(MOD(2-計算用!$AE$73+1,4)+1)*2-1),INDEX(組分け!$L$5:$S$41,計算用!$AC$73,(MOD(2-計算用!$AE$73+1,4)+1)*2-1)))&amp;"")</f>
        <v/>
      </c>
      <c r="AM73">
        <f>IF(計算用!$Z$73="","",IF(計算用!$U$24,IF(計算用!$Z$73="A",INDEX(手直し!$B$6:$E$42,計算用!$AC$73,MOD(3-計算用!$AE$73+1,4)+1),INDEX(手直し!$G$6:$J$42,計算用!$AC$73,MOD(3-計算用!$AE$73+1,4)+1)),IF(計算用!$Z$73="A",INDEX(組分け!$B$5:$I$41,計算用!$AC$73,(MOD(3-計算用!$AE$73+1,4)+1)*2-1),INDEX(組分け!$L$5:$S$41,計算用!$AC$73,(MOD(3-計算用!$AE$73+1,4)+1)*2-1)))&amp;"")</f>
        <v/>
      </c>
      <c r="AN73">
        <f>IF(Z73="",0,(COUNTIF($AF73:$AI73,0)&gt;1)+(COUNTIF($AF73:$AI73,1)&gt;1)+(COUNTIF($AF73:$AI73,2)&gt;1)+(COUNTIF($AF73:$AI73,3)&gt;1)+COUNTIF($AF73:$AI73,-1))</f>
        <v/>
      </c>
      <c r="AP73">
        <f>IF(Z73="","",IFERROR(MOD(MATCH(0,$AF73:$AI73,0)-1-AE73+1,4),""))</f>
        <v/>
      </c>
      <c r="AQ73">
        <f>IF(Z73="","",IFERROR(MOD(MATCH(1,$AF73:$AI73,0)-1-AE73+1,4),""))</f>
        <v/>
      </c>
      <c r="AR73">
        <f>IF(Z73="","",IFERROR(MOD(MATCH(2,$AF73:$AI73,0)-1-AE73+1,4),""))</f>
        <v/>
      </c>
      <c r="AS73">
        <f>IF(Z73="","",IFERROR(MOD(MATCH(3,$AF73:$AI73,0)-1-AE73+1,4),""))</f>
        <v/>
      </c>
    </row>
    <row r="74">
      <c r="A74" t="n">
        <v>73</v>
      </c>
      <c r="B74">
        <f>INT((A74-1)/37)+1</f>
        <v/>
      </c>
      <c r="C74">
        <f>MOD(A74-1,37)+1</f>
        <v/>
      </c>
      <c r="D74">
        <f>TRIM(INDEX(データ入力!$B$5:$Q$41,C74,(B74-1)*4+1)&amp;"")</f>
        <v/>
      </c>
      <c r="E74">
        <f>INDEX(データ入力!$B$5:$Q$41,C74,(B74-1)*4+2)&amp;""</f>
        <v/>
      </c>
      <c r="F74">
        <f>IF(OR(E74="1",E74="１",E74="男"),"男",IF(OR(E74="2",E74="２",E74="女"),"女",""))</f>
        <v/>
      </c>
      <c r="G74">
        <f>INDEX(データ入力!$B$5:$Q$41,C74,(B74-1)*4+3)</f>
        <v/>
      </c>
      <c r="H74">
        <f>IF(D74="","",IF($U$2,"混",F74))</f>
        <v/>
      </c>
      <c r="I74">
        <f>IF(AND(H74&lt;&gt;"",ISNUMBER(G74)),H74,"")</f>
        <v/>
      </c>
      <c r="J74">
        <f>IF(I74="","",COUNTIFS($I$2:$I$149,I74,$B$2:$B$149,B74,$G$2:$G$149,"&lt;"&amp;G74)+COUNTIFS($I$2:$I$149,I74,$B$2:$B$149,B74,$G$2:$G$149,G74,$A$2:$A$149,"&lt;"&amp;A74)+1)</f>
        <v/>
      </c>
      <c r="K74">
        <f>IF(I74="","",I74&amp;B74&amp;"-"&amp;J74)</f>
        <v/>
      </c>
      <c r="L74">
        <f>IF(I74="","",I74&amp;B74&amp;"|"&amp;D74)</f>
        <v/>
      </c>
      <c r="M74">
        <f>IF(I74="","",IF(I74="女",COUNTIF(手直し!$G$6:$J$42,D74),COUNTIF(手直し!$B$6:$E$42,D74)))</f>
        <v/>
      </c>
      <c r="N74">
        <f>IF(I74="","",IF(I74="女",COUNTIF(INDEX(手直し!$G$6:$J$42,0,B74),D74),COUNTIF(INDEX(手直し!$B$6:$E$42,0,B74),D74)))</f>
        <v/>
      </c>
      <c r="O74">
        <f>IF(AND(I74&lt;&gt;"",M74=0),1,0)</f>
        <v/>
      </c>
      <c r="P74">
        <f>IF(AND(O74=1,I74&lt;&gt;"女"),COUNTIFS($O$2:O74,1,$I$2:I74,"&lt;&gt;女"),"")</f>
        <v/>
      </c>
      <c r="Q74">
        <f>IF(AND(O74=1,I74="女"),COUNTIFS($O$2:O74,1,$I$2:I74,"女"),"")</f>
        <v/>
      </c>
      <c r="R74">
        <f>IF(AND(I74&lt;&gt;"",M74&gt;=1,N74=0),1,0)</f>
        <v/>
      </c>
      <c r="S74">
        <f>IF(AND(D74&lt;&gt;"",I74=""),1,0)</f>
        <v/>
      </c>
      <c r="V74">
        <f>IF(J74="",0,J74)</f>
        <v/>
      </c>
      <c r="W74">
        <f>IF(I74="","",I74&amp;D74)</f>
        <v/>
      </c>
      <c r="Y74" t="n">
        <v>73</v>
      </c>
      <c r="Z74">
        <f>IF(Y74&gt;$U$22,"",IF(Y74&lt;=$U$23,IF($U$4,"B","A"),IF($U$4,"A","B")))</f>
        <v/>
      </c>
      <c r="AA74">
        <f>IF(Z74="","",IF(Y74&lt;=$U$23,Y74,Y74-$U$23))</f>
        <v/>
      </c>
      <c r="AB74">
        <f>IF(Z74="","",IF(Z74="A",$U$7,$U$8))</f>
        <v/>
      </c>
      <c r="AC74">
        <f>IF(Z74="","",IF(AB74&lt;=$U$6,AB74-AA74+1,IF(AA74&lt;=INT((AB74-$U$6+1)/2),$U$6-1+2*AA74,IF(AA74&lt;=INT((AB74-$U$6+1)/2)+INT((AB74-$U$6)/2),(AB74-1+MOD(AB74,2))-2*(AA74-INT((AB74-$U$6+1)/2)-1),$U$6-(AA74-INT((AB74-$U$6+1)/2)-INT((AB74-$U$6)/2)-1)))))</f>
        <v/>
      </c>
      <c r="AD74">
        <f>IF(Z74="","",IF($U$2,"",IF(Z74="B","女子","男子"))&amp;AA74&amp;"レース")</f>
        <v/>
      </c>
      <c r="AE74">
        <f>IF(Z74="","",IF($U$2,1,AA74))</f>
        <v/>
      </c>
      <c r="AF74">
        <f>IF(AJ74="",99,IF(最終修正!$C$75="",0,IF(AND(ISNUMBER(最終修正!$C$75),INT(最終修正!$C$75)=最終修正!$C$75,最終修正!$C$75-$U$5&gt;=0,最終修正!$C$75-$U$5&lt;=3),最終修正!$C$75-$U$5,-1)))</f>
        <v/>
      </c>
      <c r="AG74">
        <f>IF(AK74="",99,IF(最終修正!$E$75="",1,IF(AND(ISNUMBER(最終修正!$E$75),INT(最終修正!$E$75)=最終修正!$E$75,最終修正!$E$75-$U$5&gt;=0,最終修正!$E$75-$U$5&lt;=3),最終修正!$E$75-$U$5,-1)))</f>
        <v/>
      </c>
      <c r="AH74">
        <f>IF(AL74="",99,IF(最終修正!$G$75="",2,IF(AND(ISNUMBER(最終修正!$G$75),INT(最終修正!$G$75)=最終修正!$G$75,最終修正!$G$75-$U$5&gt;=0,最終修正!$G$75-$U$5&lt;=3),最終修正!$G$75-$U$5,-1)))</f>
        <v/>
      </c>
      <c r="AI74">
        <f>IF(AM74="",99,IF(最終修正!$I$75="",3,IF(AND(ISNUMBER(最終修正!$I$75),INT(最終修正!$I$75)=最終修正!$I$75,最終修正!$I$75-$U$5&gt;=0,最終修正!$I$75-$U$5&lt;=3),最終修正!$I$75-$U$5,-1)))</f>
        <v/>
      </c>
      <c r="AJ74">
        <f>IF(計算用!$Z$74="","",IF(計算用!$U$24,IF(計算用!$Z$74="A",INDEX(手直し!$B$6:$E$42,計算用!$AC$74,MOD(0-計算用!$AE$74+1,4)+1),INDEX(手直し!$G$6:$J$42,計算用!$AC$74,MOD(0-計算用!$AE$74+1,4)+1)),IF(計算用!$Z$74="A",INDEX(組分け!$B$5:$I$41,計算用!$AC$74,(MOD(0-計算用!$AE$74+1,4)+1)*2-1),INDEX(組分け!$L$5:$S$41,計算用!$AC$74,(MOD(0-計算用!$AE$74+1,4)+1)*2-1)))&amp;"")</f>
        <v/>
      </c>
      <c r="AK74">
        <f>IF(計算用!$Z$74="","",IF(計算用!$U$24,IF(計算用!$Z$74="A",INDEX(手直し!$B$6:$E$42,計算用!$AC$74,MOD(1-計算用!$AE$74+1,4)+1),INDEX(手直し!$G$6:$J$42,計算用!$AC$74,MOD(1-計算用!$AE$74+1,4)+1)),IF(計算用!$Z$74="A",INDEX(組分け!$B$5:$I$41,計算用!$AC$74,(MOD(1-計算用!$AE$74+1,4)+1)*2-1),INDEX(組分け!$L$5:$S$41,計算用!$AC$74,(MOD(1-計算用!$AE$74+1,4)+1)*2-1)))&amp;"")</f>
        <v/>
      </c>
      <c r="AL74">
        <f>IF(計算用!$Z$74="","",IF(計算用!$U$24,IF(計算用!$Z$74="A",INDEX(手直し!$B$6:$E$42,計算用!$AC$74,MOD(2-計算用!$AE$74+1,4)+1),INDEX(手直し!$G$6:$J$42,計算用!$AC$74,MOD(2-計算用!$AE$74+1,4)+1)),IF(計算用!$Z$74="A",INDEX(組分け!$B$5:$I$41,計算用!$AC$74,(MOD(2-計算用!$AE$74+1,4)+1)*2-1),INDEX(組分け!$L$5:$S$41,計算用!$AC$74,(MOD(2-計算用!$AE$74+1,4)+1)*2-1)))&amp;"")</f>
        <v/>
      </c>
      <c r="AM74">
        <f>IF(計算用!$Z$74="","",IF(計算用!$U$24,IF(計算用!$Z$74="A",INDEX(手直し!$B$6:$E$42,計算用!$AC$74,MOD(3-計算用!$AE$74+1,4)+1),INDEX(手直し!$G$6:$J$42,計算用!$AC$74,MOD(3-計算用!$AE$74+1,4)+1)),IF(計算用!$Z$74="A",INDEX(組分け!$B$5:$I$41,計算用!$AC$74,(MOD(3-計算用!$AE$74+1,4)+1)*2-1),INDEX(組分け!$L$5:$S$41,計算用!$AC$74,(MOD(3-計算用!$AE$74+1,4)+1)*2-1)))&amp;"")</f>
        <v/>
      </c>
      <c r="AN74">
        <f>IF(Z74="",0,(COUNTIF($AF74:$AI74,0)&gt;1)+(COUNTIF($AF74:$AI74,1)&gt;1)+(COUNTIF($AF74:$AI74,2)&gt;1)+(COUNTIF($AF74:$AI74,3)&gt;1)+COUNTIF($AF74:$AI74,-1))</f>
        <v/>
      </c>
      <c r="AP74">
        <f>IF(Z74="","",IFERROR(MOD(MATCH(0,$AF74:$AI74,0)-1-AE74+1,4),""))</f>
        <v/>
      </c>
      <c r="AQ74">
        <f>IF(Z74="","",IFERROR(MOD(MATCH(1,$AF74:$AI74,0)-1-AE74+1,4),""))</f>
        <v/>
      </c>
      <c r="AR74">
        <f>IF(Z74="","",IFERROR(MOD(MATCH(2,$AF74:$AI74,0)-1-AE74+1,4),""))</f>
        <v/>
      </c>
      <c r="AS74">
        <f>IF(Z74="","",IFERROR(MOD(MATCH(3,$AF74:$AI74,0)-1-AE74+1,4),""))</f>
        <v/>
      </c>
    </row>
    <row r="75">
      <c r="A75" t="n">
        <v>74</v>
      </c>
      <c r="B75">
        <f>INT((A75-1)/37)+1</f>
        <v/>
      </c>
      <c r="C75">
        <f>MOD(A75-1,37)+1</f>
        <v/>
      </c>
      <c r="D75">
        <f>TRIM(INDEX(データ入力!$B$5:$Q$41,C75,(B75-1)*4+1)&amp;"")</f>
        <v/>
      </c>
      <c r="E75">
        <f>INDEX(データ入力!$B$5:$Q$41,C75,(B75-1)*4+2)&amp;""</f>
        <v/>
      </c>
      <c r="F75">
        <f>IF(OR(E75="1",E75="１",E75="男"),"男",IF(OR(E75="2",E75="２",E75="女"),"女",""))</f>
        <v/>
      </c>
      <c r="G75">
        <f>INDEX(データ入力!$B$5:$Q$41,C75,(B75-1)*4+3)</f>
        <v/>
      </c>
      <c r="H75">
        <f>IF(D75="","",IF($U$2,"混",F75))</f>
        <v/>
      </c>
      <c r="I75">
        <f>IF(AND(H75&lt;&gt;"",ISNUMBER(G75)),H75,"")</f>
        <v/>
      </c>
      <c r="J75">
        <f>IF(I75="","",COUNTIFS($I$2:$I$149,I75,$B$2:$B$149,B75,$G$2:$G$149,"&lt;"&amp;G75)+COUNTIFS($I$2:$I$149,I75,$B$2:$B$149,B75,$G$2:$G$149,G75,$A$2:$A$149,"&lt;"&amp;A75)+1)</f>
        <v/>
      </c>
      <c r="K75">
        <f>IF(I75="","",I75&amp;B75&amp;"-"&amp;J75)</f>
        <v/>
      </c>
      <c r="L75">
        <f>IF(I75="","",I75&amp;B75&amp;"|"&amp;D75)</f>
        <v/>
      </c>
      <c r="M75">
        <f>IF(I75="","",IF(I75="女",COUNTIF(手直し!$G$6:$J$42,D75),COUNTIF(手直し!$B$6:$E$42,D75)))</f>
        <v/>
      </c>
      <c r="N75">
        <f>IF(I75="","",IF(I75="女",COUNTIF(INDEX(手直し!$G$6:$J$42,0,B75),D75),COUNTIF(INDEX(手直し!$B$6:$E$42,0,B75),D75)))</f>
        <v/>
      </c>
      <c r="O75">
        <f>IF(AND(I75&lt;&gt;"",M75=0),1,0)</f>
        <v/>
      </c>
      <c r="P75">
        <f>IF(AND(O75=1,I75&lt;&gt;"女"),COUNTIFS($O$2:O75,1,$I$2:I75,"&lt;&gt;女"),"")</f>
        <v/>
      </c>
      <c r="Q75">
        <f>IF(AND(O75=1,I75="女"),COUNTIFS($O$2:O75,1,$I$2:I75,"女"),"")</f>
        <v/>
      </c>
      <c r="R75">
        <f>IF(AND(I75&lt;&gt;"",M75&gt;=1,N75=0),1,0)</f>
        <v/>
      </c>
      <c r="S75">
        <f>IF(AND(D75&lt;&gt;"",I75=""),1,0)</f>
        <v/>
      </c>
      <c r="V75">
        <f>IF(J75="",0,J75)</f>
        <v/>
      </c>
      <c r="W75">
        <f>IF(I75="","",I75&amp;D75)</f>
        <v/>
      </c>
      <c r="Y75" t="n">
        <v>74</v>
      </c>
      <c r="Z75">
        <f>IF(Y75&gt;$U$22,"",IF(Y75&lt;=$U$23,IF($U$4,"B","A"),IF($U$4,"A","B")))</f>
        <v/>
      </c>
      <c r="AA75">
        <f>IF(Z75="","",IF(Y75&lt;=$U$23,Y75,Y75-$U$23))</f>
        <v/>
      </c>
      <c r="AB75">
        <f>IF(Z75="","",IF(Z75="A",$U$7,$U$8))</f>
        <v/>
      </c>
      <c r="AC75">
        <f>IF(Z75="","",IF(AB75&lt;=$U$6,AB75-AA75+1,IF(AA75&lt;=INT((AB75-$U$6+1)/2),$U$6-1+2*AA75,IF(AA75&lt;=INT((AB75-$U$6+1)/2)+INT((AB75-$U$6)/2),(AB75-1+MOD(AB75,2))-2*(AA75-INT((AB75-$U$6+1)/2)-1),$U$6-(AA75-INT((AB75-$U$6+1)/2)-INT((AB75-$U$6)/2)-1)))))</f>
        <v/>
      </c>
      <c r="AD75">
        <f>IF(Z75="","",IF($U$2,"",IF(Z75="B","女子","男子"))&amp;AA75&amp;"レース")</f>
        <v/>
      </c>
      <c r="AE75">
        <f>IF(Z75="","",IF($U$2,1,AA75))</f>
        <v/>
      </c>
      <c r="AF75">
        <f>IF(AJ75="",99,IF(最終修正!$C$76="",0,IF(AND(ISNUMBER(最終修正!$C$76),INT(最終修正!$C$76)=最終修正!$C$76,最終修正!$C$76-$U$5&gt;=0,最終修正!$C$76-$U$5&lt;=3),最終修正!$C$76-$U$5,-1)))</f>
        <v/>
      </c>
      <c r="AG75">
        <f>IF(AK75="",99,IF(最終修正!$E$76="",1,IF(AND(ISNUMBER(最終修正!$E$76),INT(最終修正!$E$76)=最終修正!$E$76,最終修正!$E$76-$U$5&gt;=0,最終修正!$E$76-$U$5&lt;=3),最終修正!$E$76-$U$5,-1)))</f>
        <v/>
      </c>
      <c r="AH75">
        <f>IF(AL75="",99,IF(最終修正!$G$76="",2,IF(AND(ISNUMBER(最終修正!$G$76),INT(最終修正!$G$76)=最終修正!$G$76,最終修正!$G$76-$U$5&gt;=0,最終修正!$G$76-$U$5&lt;=3),最終修正!$G$76-$U$5,-1)))</f>
        <v/>
      </c>
      <c r="AI75">
        <f>IF(AM75="",99,IF(最終修正!$I$76="",3,IF(AND(ISNUMBER(最終修正!$I$76),INT(最終修正!$I$76)=最終修正!$I$76,最終修正!$I$76-$U$5&gt;=0,最終修正!$I$76-$U$5&lt;=3),最終修正!$I$76-$U$5,-1)))</f>
        <v/>
      </c>
      <c r="AJ75">
        <f>IF(計算用!$Z$75="","",IF(計算用!$U$24,IF(計算用!$Z$75="A",INDEX(手直し!$B$6:$E$42,計算用!$AC$75,MOD(0-計算用!$AE$75+1,4)+1),INDEX(手直し!$G$6:$J$42,計算用!$AC$75,MOD(0-計算用!$AE$75+1,4)+1)),IF(計算用!$Z$75="A",INDEX(組分け!$B$5:$I$41,計算用!$AC$75,(MOD(0-計算用!$AE$75+1,4)+1)*2-1),INDEX(組分け!$L$5:$S$41,計算用!$AC$75,(MOD(0-計算用!$AE$75+1,4)+1)*2-1)))&amp;"")</f>
        <v/>
      </c>
      <c r="AK75">
        <f>IF(計算用!$Z$75="","",IF(計算用!$U$24,IF(計算用!$Z$75="A",INDEX(手直し!$B$6:$E$42,計算用!$AC$75,MOD(1-計算用!$AE$75+1,4)+1),INDEX(手直し!$G$6:$J$42,計算用!$AC$75,MOD(1-計算用!$AE$75+1,4)+1)),IF(計算用!$Z$75="A",INDEX(組分け!$B$5:$I$41,計算用!$AC$75,(MOD(1-計算用!$AE$75+1,4)+1)*2-1),INDEX(組分け!$L$5:$S$41,計算用!$AC$75,(MOD(1-計算用!$AE$75+1,4)+1)*2-1)))&amp;"")</f>
        <v/>
      </c>
      <c r="AL75">
        <f>IF(計算用!$Z$75="","",IF(計算用!$U$24,IF(計算用!$Z$75="A",INDEX(手直し!$B$6:$E$42,計算用!$AC$75,MOD(2-計算用!$AE$75+1,4)+1),INDEX(手直し!$G$6:$J$42,計算用!$AC$75,MOD(2-計算用!$AE$75+1,4)+1)),IF(計算用!$Z$75="A",INDEX(組分け!$B$5:$I$41,計算用!$AC$75,(MOD(2-計算用!$AE$75+1,4)+1)*2-1),INDEX(組分け!$L$5:$S$41,計算用!$AC$75,(MOD(2-計算用!$AE$75+1,4)+1)*2-1)))&amp;"")</f>
        <v/>
      </c>
      <c r="AM75">
        <f>IF(計算用!$Z$75="","",IF(計算用!$U$24,IF(計算用!$Z$75="A",INDEX(手直し!$B$6:$E$42,計算用!$AC$75,MOD(3-計算用!$AE$75+1,4)+1),INDEX(手直し!$G$6:$J$42,計算用!$AC$75,MOD(3-計算用!$AE$75+1,4)+1)),IF(計算用!$Z$75="A",INDEX(組分け!$B$5:$I$41,計算用!$AC$75,(MOD(3-計算用!$AE$75+1,4)+1)*2-1),INDEX(組分け!$L$5:$S$41,計算用!$AC$75,(MOD(3-計算用!$AE$75+1,4)+1)*2-1)))&amp;"")</f>
        <v/>
      </c>
      <c r="AN75">
        <f>IF(Z75="",0,(COUNTIF($AF75:$AI75,0)&gt;1)+(COUNTIF($AF75:$AI75,1)&gt;1)+(COUNTIF($AF75:$AI75,2)&gt;1)+(COUNTIF($AF75:$AI75,3)&gt;1)+COUNTIF($AF75:$AI75,-1))</f>
        <v/>
      </c>
      <c r="AP75">
        <f>IF(Z75="","",IFERROR(MOD(MATCH(0,$AF75:$AI75,0)-1-AE75+1,4),""))</f>
        <v/>
      </c>
      <c r="AQ75">
        <f>IF(Z75="","",IFERROR(MOD(MATCH(1,$AF75:$AI75,0)-1-AE75+1,4),""))</f>
        <v/>
      </c>
      <c r="AR75">
        <f>IF(Z75="","",IFERROR(MOD(MATCH(2,$AF75:$AI75,0)-1-AE75+1,4),""))</f>
        <v/>
      </c>
      <c r="AS75">
        <f>IF(Z75="","",IFERROR(MOD(MATCH(3,$AF75:$AI75,0)-1-AE75+1,4),""))</f>
        <v/>
      </c>
    </row>
    <row r="76">
      <c r="A76" t="n">
        <v>75</v>
      </c>
      <c r="B76">
        <f>INT((A76-1)/37)+1</f>
        <v/>
      </c>
      <c r="C76">
        <f>MOD(A76-1,37)+1</f>
        <v/>
      </c>
      <c r="D76">
        <f>TRIM(INDEX(データ入力!$B$5:$Q$41,C76,(B76-1)*4+1)&amp;"")</f>
        <v/>
      </c>
      <c r="E76">
        <f>INDEX(データ入力!$B$5:$Q$41,C76,(B76-1)*4+2)&amp;""</f>
        <v/>
      </c>
      <c r="F76">
        <f>IF(OR(E76="1",E76="１",E76="男"),"男",IF(OR(E76="2",E76="２",E76="女"),"女",""))</f>
        <v/>
      </c>
      <c r="G76">
        <f>INDEX(データ入力!$B$5:$Q$41,C76,(B76-1)*4+3)</f>
        <v/>
      </c>
      <c r="H76">
        <f>IF(D76="","",IF($U$2,"混",F76))</f>
        <v/>
      </c>
      <c r="I76">
        <f>IF(AND(H76&lt;&gt;"",ISNUMBER(G76)),H76,"")</f>
        <v/>
      </c>
      <c r="J76">
        <f>IF(I76="","",COUNTIFS($I$2:$I$149,I76,$B$2:$B$149,B76,$G$2:$G$149,"&lt;"&amp;G76)+COUNTIFS($I$2:$I$149,I76,$B$2:$B$149,B76,$G$2:$G$149,G76,$A$2:$A$149,"&lt;"&amp;A76)+1)</f>
        <v/>
      </c>
      <c r="K76">
        <f>IF(I76="","",I76&amp;B76&amp;"-"&amp;J76)</f>
        <v/>
      </c>
      <c r="L76">
        <f>IF(I76="","",I76&amp;B76&amp;"|"&amp;D76)</f>
        <v/>
      </c>
      <c r="M76">
        <f>IF(I76="","",IF(I76="女",COUNTIF(手直し!$G$6:$J$42,D76),COUNTIF(手直し!$B$6:$E$42,D76)))</f>
        <v/>
      </c>
      <c r="N76">
        <f>IF(I76="","",IF(I76="女",COUNTIF(INDEX(手直し!$G$6:$J$42,0,B76),D76),COUNTIF(INDEX(手直し!$B$6:$E$42,0,B76),D76)))</f>
        <v/>
      </c>
      <c r="O76">
        <f>IF(AND(I76&lt;&gt;"",M76=0),1,0)</f>
        <v/>
      </c>
      <c r="P76">
        <f>IF(AND(O76=1,I76&lt;&gt;"女"),COUNTIFS($O$2:O76,1,$I$2:I76,"&lt;&gt;女"),"")</f>
        <v/>
      </c>
      <c r="Q76">
        <f>IF(AND(O76=1,I76="女"),COUNTIFS($O$2:O76,1,$I$2:I76,"女"),"")</f>
        <v/>
      </c>
      <c r="R76">
        <f>IF(AND(I76&lt;&gt;"",M76&gt;=1,N76=0),1,0)</f>
        <v/>
      </c>
      <c r="S76">
        <f>IF(AND(D76&lt;&gt;"",I76=""),1,0)</f>
        <v/>
      </c>
      <c r="V76">
        <f>IF(J76="",0,J76)</f>
        <v/>
      </c>
      <c r="W76">
        <f>IF(I76="","",I76&amp;D76)</f>
        <v/>
      </c>
    </row>
    <row r="77">
      <c r="A77" t="n">
        <v>76</v>
      </c>
      <c r="B77">
        <f>INT((A77-1)/37)+1</f>
        <v/>
      </c>
      <c r="C77">
        <f>MOD(A77-1,37)+1</f>
        <v/>
      </c>
      <c r="D77">
        <f>TRIM(INDEX(データ入力!$B$5:$Q$41,C77,(B77-1)*4+1)&amp;"")</f>
        <v/>
      </c>
      <c r="E77">
        <f>INDEX(データ入力!$B$5:$Q$41,C77,(B77-1)*4+2)&amp;""</f>
        <v/>
      </c>
      <c r="F77">
        <f>IF(OR(E77="1",E77="１",E77="男"),"男",IF(OR(E77="2",E77="２",E77="女"),"女",""))</f>
        <v/>
      </c>
      <c r="G77">
        <f>INDEX(データ入力!$B$5:$Q$41,C77,(B77-1)*4+3)</f>
        <v/>
      </c>
      <c r="H77">
        <f>IF(D77="","",IF($U$2,"混",F77))</f>
        <v/>
      </c>
      <c r="I77">
        <f>IF(AND(H77&lt;&gt;"",ISNUMBER(G77)),H77,"")</f>
        <v/>
      </c>
      <c r="J77">
        <f>IF(I77="","",COUNTIFS($I$2:$I$149,I77,$B$2:$B$149,B77,$G$2:$G$149,"&lt;"&amp;G77)+COUNTIFS($I$2:$I$149,I77,$B$2:$B$149,B77,$G$2:$G$149,G77,$A$2:$A$149,"&lt;"&amp;A77)+1)</f>
        <v/>
      </c>
      <c r="K77">
        <f>IF(I77="","",I77&amp;B77&amp;"-"&amp;J77)</f>
        <v/>
      </c>
      <c r="L77">
        <f>IF(I77="","",I77&amp;B77&amp;"|"&amp;D77)</f>
        <v/>
      </c>
      <c r="M77">
        <f>IF(I77="","",IF(I77="女",COUNTIF(手直し!$G$6:$J$42,D77),COUNTIF(手直し!$B$6:$E$42,D77)))</f>
        <v/>
      </c>
      <c r="N77">
        <f>IF(I77="","",IF(I77="女",COUNTIF(INDEX(手直し!$G$6:$J$42,0,B77),D77),COUNTIF(INDEX(手直し!$B$6:$E$42,0,B77),D77)))</f>
        <v/>
      </c>
      <c r="O77">
        <f>IF(AND(I77&lt;&gt;"",M77=0),1,0)</f>
        <v/>
      </c>
      <c r="P77">
        <f>IF(AND(O77=1,I77&lt;&gt;"女"),COUNTIFS($O$2:O77,1,$I$2:I77,"&lt;&gt;女"),"")</f>
        <v/>
      </c>
      <c r="Q77">
        <f>IF(AND(O77=1,I77="女"),COUNTIFS($O$2:O77,1,$I$2:I77,"女"),"")</f>
        <v/>
      </c>
      <c r="R77">
        <f>IF(AND(I77&lt;&gt;"",M77&gt;=1,N77=0),1,0)</f>
        <v/>
      </c>
      <c r="S77">
        <f>IF(AND(D77&lt;&gt;"",I77=""),1,0)</f>
        <v/>
      </c>
      <c r="V77">
        <f>IF(J77="",0,J77)</f>
        <v/>
      </c>
      <c r="W77">
        <f>IF(I77="","",I77&amp;D77)</f>
        <v/>
      </c>
    </row>
    <row r="78">
      <c r="A78" t="n">
        <v>77</v>
      </c>
      <c r="B78">
        <f>INT((A78-1)/37)+1</f>
        <v/>
      </c>
      <c r="C78">
        <f>MOD(A78-1,37)+1</f>
        <v/>
      </c>
      <c r="D78">
        <f>TRIM(INDEX(データ入力!$B$5:$Q$41,C78,(B78-1)*4+1)&amp;"")</f>
        <v/>
      </c>
      <c r="E78">
        <f>INDEX(データ入力!$B$5:$Q$41,C78,(B78-1)*4+2)&amp;""</f>
        <v/>
      </c>
      <c r="F78">
        <f>IF(OR(E78="1",E78="１",E78="男"),"男",IF(OR(E78="2",E78="２",E78="女"),"女",""))</f>
        <v/>
      </c>
      <c r="G78">
        <f>INDEX(データ入力!$B$5:$Q$41,C78,(B78-1)*4+3)</f>
        <v/>
      </c>
      <c r="H78">
        <f>IF(D78="","",IF($U$2,"混",F78))</f>
        <v/>
      </c>
      <c r="I78">
        <f>IF(AND(H78&lt;&gt;"",ISNUMBER(G78)),H78,"")</f>
        <v/>
      </c>
      <c r="J78">
        <f>IF(I78="","",COUNTIFS($I$2:$I$149,I78,$B$2:$B$149,B78,$G$2:$G$149,"&lt;"&amp;G78)+COUNTIFS($I$2:$I$149,I78,$B$2:$B$149,B78,$G$2:$G$149,G78,$A$2:$A$149,"&lt;"&amp;A78)+1)</f>
        <v/>
      </c>
      <c r="K78">
        <f>IF(I78="","",I78&amp;B78&amp;"-"&amp;J78)</f>
        <v/>
      </c>
      <c r="L78">
        <f>IF(I78="","",I78&amp;B78&amp;"|"&amp;D78)</f>
        <v/>
      </c>
      <c r="M78">
        <f>IF(I78="","",IF(I78="女",COUNTIF(手直し!$G$6:$J$42,D78),COUNTIF(手直し!$B$6:$E$42,D78)))</f>
        <v/>
      </c>
      <c r="N78">
        <f>IF(I78="","",IF(I78="女",COUNTIF(INDEX(手直し!$G$6:$J$42,0,B78),D78),COUNTIF(INDEX(手直し!$B$6:$E$42,0,B78),D78)))</f>
        <v/>
      </c>
      <c r="O78">
        <f>IF(AND(I78&lt;&gt;"",M78=0),1,0)</f>
        <v/>
      </c>
      <c r="P78">
        <f>IF(AND(O78=1,I78&lt;&gt;"女"),COUNTIFS($O$2:O78,1,$I$2:I78,"&lt;&gt;女"),"")</f>
        <v/>
      </c>
      <c r="Q78">
        <f>IF(AND(O78=1,I78="女"),COUNTIFS($O$2:O78,1,$I$2:I78,"女"),"")</f>
        <v/>
      </c>
      <c r="R78">
        <f>IF(AND(I78&lt;&gt;"",M78&gt;=1,N78=0),1,0)</f>
        <v/>
      </c>
      <c r="S78">
        <f>IF(AND(D78&lt;&gt;"",I78=""),1,0)</f>
        <v/>
      </c>
      <c r="V78">
        <f>IF(J78="",0,J78)</f>
        <v/>
      </c>
      <c r="W78">
        <f>IF(I78="","",I78&amp;D78)</f>
        <v/>
      </c>
    </row>
    <row r="79">
      <c r="A79" t="n">
        <v>78</v>
      </c>
      <c r="B79">
        <f>INT((A79-1)/37)+1</f>
        <v/>
      </c>
      <c r="C79">
        <f>MOD(A79-1,37)+1</f>
        <v/>
      </c>
      <c r="D79">
        <f>TRIM(INDEX(データ入力!$B$5:$Q$41,C79,(B79-1)*4+1)&amp;"")</f>
        <v/>
      </c>
      <c r="E79">
        <f>INDEX(データ入力!$B$5:$Q$41,C79,(B79-1)*4+2)&amp;""</f>
        <v/>
      </c>
      <c r="F79">
        <f>IF(OR(E79="1",E79="１",E79="男"),"男",IF(OR(E79="2",E79="２",E79="女"),"女",""))</f>
        <v/>
      </c>
      <c r="G79">
        <f>INDEX(データ入力!$B$5:$Q$41,C79,(B79-1)*4+3)</f>
        <v/>
      </c>
      <c r="H79">
        <f>IF(D79="","",IF($U$2,"混",F79))</f>
        <v/>
      </c>
      <c r="I79">
        <f>IF(AND(H79&lt;&gt;"",ISNUMBER(G79)),H79,"")</f>
        <v/>
      </c>
      <c r="J79">
        <f>IF(I79="","",COUNTIFS($I$2:$I$149,I79,$B$2:$B$149,B79,$G$2:$G$149,"&lt;"&amp;G79)+COUNTIFS($I$2:$I$149,I79,$B$2:$B$149,B79,$G$2:$G$149,G79,$A$2:$A$149,"&lt;"&amp;A79)+1)</f>
        <v/>
      </c>
      <c r="K79">
        <f>IF(I79="","",I79&amp;B79&amp;"-"&amp;J79)</f>
        <v/>
      </c>
      <c r="L79">
        <f>IF(I79="","",I79&amp;B79&amp;"|"&amp;D79)</f>
        <v/>
      </c>
      <c r="M79">
        <f>IF(I79="","",IF(I79="女",COUNTIF(手直し!$G$6:$J$42,D79),COUNTIF(手直し!$B$6:$E$42,D79)))</f>
        <v/>
      </c>
      <c r="N79">
        <f>IF(I79="","",IF(I79="女",COUNTIF(INDEX(手直し!$G$6:$J$42,0,B79),D79),COUNTIF(INDEX(手直し!$B$6:$E$42,0,B79),D79)))</f>
        <v/>
      </c>
      <c r="O79">
        <f>IF(AND(I79&lt;&gt;"",M79=0),1,0)</f>
        <v/>
      </c>
      <c r="P79">
        <f>IF(AND(O79=1,I79&lt;&gt;"女"),COUNTIFS($O$2:O79,1,$I$2:I79,"&lt;&gt;女"),"")</f>
        <v/>
      </c>
      <c r="Q79">
        <f>IF(AND(O79=1,I79="女"),COUNTIFS($O$2:O79,1,$I$2:I79,"女"),"")</f>
        <v/>
      </c>
      <c r="R79">
        <f>IF(AND(I79&lt;&gt;"",M79&gt;=1,N79=0),1,0)</f>
        <v/>
      </c>
      <c r="S79">
        <f>IF(AND(D79&lt;&gt;"",I79=""),1,0)</f>
        <v/>
      </c>
      <c r="V79">
        <f>IF(J79="",0,J79)</f>
        <v/>
      </c>
      <c r="W79">
        <f>IF(I79="","",I79&amp;D79)</f>
        <v/>
      </c>
    </row>
    <row r="80">
      <c r="A80" t="n">
        <v>79</v>
      </c>
      <c r="B80">
        <f>INT((A80-1)/37)+1</f>
        <v/>
      </c>
      <c r="C80">
        <f>MOD(A80-1,37)+1</f>
        <v/>
      </c>
      <c r="D80">
        <f>TRIM(INDEX(データ入力!$B$5:$Q$41,C80,(B80-1)*4+1)&amp;"")</f>
        <v/>
      </c>
      <c r="E80">
        <f>INDEX(データ入力!$B$5:$Q$41,C80,(B80-1)*4+2)&amp;""</f>
        <v/>
      </c>
      <c r="F80">
        <f>IF(OR(E80="1",E80="１",E80="男"),"男",IF(OR(E80="2",E80="２",E80="女"),"女",""))</f>
        <v/>
      </c>
      <c r="G80">
        <f>INDEX(データ入力!$B$5:$Q$41,C80,(B80-1)*4+3)</f>
        <v/>
      </c>
      <c r="H80">
        <f>IF(D80="","",IF($U$2,"混",F80))</f>
        <v/>
      </c>
      <c r="I80">
        <f>IF(AND(H80&lt;&gt;"",ISNUMBER(G80)),H80,"")</f>
        <v/>
      </c>
      <c r="J80">
        <f>IF(I80="","",COUNTIFS($I$2:$I$149,I80,$B$2:$B$149,B80,$G$2:$G$149,"&lt;"&amp;G80)+COUNTIFS($I$2:$I$149,I80,$B$2:$B$149,B80,$G$2:$G$149,G80,$A$2:$A$149,"&lt;"&amp;A80)+1)</f>
        <v/>
      </c>
      <c r="K80">
        <f>IF(I80="","",I80&amp;B80&amp;"-"&amp;J80)</f>
        <v/>
      </c>
      <c r="L80">
        <f>IF(I80="","",I80&amp;B80&amp;"|"&amp;D80)</f>
        <v/>
      </c>
      <c r="M80">
        <f>IF(I80="","",IF(I80="女",COUNTIF(手直し!$G$6:$J$42,D80),COUNTIF(手直し!$B$6:$E$42,D80)))</f>
        <v/>
      </c>
      <c r="N80">
        <f>IF(I80="","",IF(I80="女",COUNTIF(INDEX(手直し!$G$6:$J$42,0,B80),D80),COUNTIF(INDEX(手直し!$B$6:$E$42,0,B80),D80)))</f>
        <v/>
      </c>
      <c r="O80">
        <f>IF(AND(I80&lt;&gt;"",M80=0),1,0)</f>
        <v/>
      </c>
      <c r="P80">
        <f>IF(AND(O80=1,I80&lt;&gt;"女"),COUNTIFS($O$2:O80,1,$I$2:I80,"&lt;&gt;女"),"")</f>
        <v/>
      </c>
      <c r="Q80">
        <f>IF(AND(O80=1,I80="女"),COUNTIFS($O$2:O80,1,$I$2:I80,"女"),"")</f>
        <v/>
      </c>
      <c r="R80">
        <f>IF(AND(I80&lt;&gt;"",M80&gt;=1,N80=0),1,0)</f>
        <v/>
      </c>
      <c r="S80">
        <f>IF(AND(D80&lt;&gt;"",I80=""),1,0)</f>
        <v/>
      </c>
      <c r="V80">
        <f>IF(J80="",0,J80)</f>
        <v/>
      </c>
      <c r="W80">
        <f>IF(I80="","",I80&amp;D80)</f>
        <v/>
      </c>
    </row>
    <row r="81">
      <c r="A81" t="n">
        <v>80</v>
      </c>
      <c r="B81">
        <f>INT((A81-1)/37)+1</f>
        <v/>
      </c>
      <c r="C81">
        <f>MOD(A81-1,37)+1</f>
        <v/>
      </c>
      <c r="D81">
        <f>TRIM(INDEX(データ入力!$B$5:$Q$41,C81,(B81-1)*4+1)&amp;"")</f>
        <v/>
      </c>
      <c r="E81">
        <f>INDEX(データ入力!$B$5:$Q$41,C81,(B81-1)*4+2)&amp;""</f>
        <v/>
      </c>
      <c r="F81">
        <f>IF(OR(E81="1",E81="１",E81="男"),"男",IF(OR(E81="2",E81="２",E81="女"),"女",""))</f>
        <v/>
      </c>
      <c r="G81">
        <f>INDEX(データ入力!$B$5:$Q$41,C81,(B81-1)*4+3)</f>
        <v/>
      </c>
      <c r="H81">
        <f>IF(D81="","",IF($U$2,"混",F81))</f>
        <v/>
      </c>
      <c r="I81">
        <f>IF(AND(H81&lt;&gt;"",ISNUMBER(G81)),H81,"")</f>
        <v/>
      </c>
      <c r="J81">
        <f>IF(I81="","",COUNTIFS($I$2:$I$149,I81,$B$2:$B$149,B81,$G$2:$G$149,"&lt;"&amp;G81)+COUNTIFS($I$2:$I$149,I81,$B$2:$B$149,B81,$G$2:$G$149,G81,$A$2:$A$149,"&lt;"&amp;A81)+1)</f>
        <v/>
      </c>
      <c r="K81">
        <f>IF(I81="","",I81&amp;B81&amp;"-"&amp;J81)</f>
        <v/>
      </c>
      <c r="L81">
        <f>IF(I81="","",I81&amp;B81&amp;"|"&amp;D81)</f>
        <v/>
      </c>
      <c r="M81">
        <f>IF(I81="","",IF(I81="女",COUNTIF(手直し!$G$6:$J$42,D81),COUNTIF(手直し!$B$6:$E$42,D81)))</f>
        <v/>
      </c>
      <c r="N81">
        <f>IF(I81="","",IF(I81="女",COUNTIF(INDEX(手直し!$G$6:$J$42,0,B81),D81),COUNTIF(INDEX(手直し!$B$6:$E$42,0,B81),D81)))</f>
        <v/>
      </c>
      <c r="O81">
        <f>IF(AND(I81&lt;&gt;"",M81=0),1,0)</f>
        <v/>
      </c>
      <c r="P81">
        <f>IF(AND(O81=1,I81&lt;&gt;"女"),COUNTIFS($O$2:O81,1,$I$2:I81,"&lt;&gt;女"),"")</f>
        <v/>
      </c>
      <c r="Q81">
        <f>IF(AND(O81=1,I81="女"),COUNTIFS($O$2:O81,1,$I$2:I81,"女"),"")</f>
        <v/>
      </c>
      <c r="R81">
        <f>IF(AND(I81&lt;&gt;"",M81&gt;=1,N81=0),1,0)</f>
        <v/>
      </c>
      <c r="S81">
        <f>IF(AND(D81&lt;&gt;"",I81=""),1,0)</f>
        <v/>
      </c>
      <c r="V81">
        <f>IF(J81="",0,J81)</f>
        <v/>
      </c>
      <c r="W81">
        <f>IF(I81="","",I81&amp;D81)</f>
        <v/>
      </c>
    </row>
    <row r="82">
      <c r="A82" t="n">
        <v>81</v>
      </c>
      <c r="B82">
        <f>INT((A82-1)/37)+1</f>
        <v/>
      </c>
      <c r="C82">
        <f>MOD(A82-1,37)+1</f>
        <v/>
      </c>
      <c r="D82">
        <f>TRIM(INDEX(データ入力!$B$5:$Q$41,C82,(B82-1)*4+1)&amp;"")</f>
        <v/>
      </c>
      <c r="E82">
        <f>INDEX(データ入力!$B$5:$Q$41,C82,(B82-1)*4+2)&amp;""</f>
        <v/>
      </c>
      <c r="F82">
        <f>IF(OR(E82="1",E82="１",E82="男"),"男",IF(OR(E82="2",E82="２",E82="女"),"女",""))</f>
        <v/>
      </c>
      <c r="G82">
        <f>INDEX(データ入力!$B$5:$Q$41,C82,(B82-1)*4+3)</f>
        <v/>
      </c>
      <c r="H82">
        <f>IF(D82="","",IF($U$2,"混",F82))</f>
        <v/>
      </c>
      <c r="I82">
        <f>IF(AND(H82&lt;&gt;"",ISNUMBER(G82)),H82,"")</f>
        <v/>
      </c>
      <c r="J82">
        <f>IF(I82="","",COUNTIFS($I$2:$I$149,I82,$B$2:$B$149,B82,$G$2:$G$149,"&lt;"&amp;G82)+COUNTIFS($I$2:$I$149,I82,$B$2:$B$149,B82,$G$2:$G$149,G82,$A$2:$A$149,"&lt;"&amp;A82)+1)</f>
        <v/>
      </c>
      <c r="K82">
        <f>IF(I82="","",I82&amp;B82&amp;"-"&amp;J82)</f>
        <v/>
      </c>
      <c r="L82">
        <f>IF(I82="","",I82&amp;B82&amp;"|"&amp;D82)</f>
        <v/>
      </c>
      <c r="M82">
        <f>IF(I82="","",IF(I82="女",COUNTIF(手直し!$G$6:$J$42,D82),COUNTIF(手直し!$B$6:$E$42,D82)))</f>
        <v/>
      </c>
      <c r="N82">
        <f>IF(I82="","",IF(I82="女",COUNTIF(INDEX(手直し!$G$6:$J$42,0,B82),D82),COUNTIF(INDEX(手直し!$B$6:$E$42,0,B82),D82)))</f>
        <v/>
      </c>
      <c r="O82">
        <f>IF(AND(I82&lt;&gt;"",M82=0),1,0)</f>
        <v/>
      </c>
      <c r="P82">
        <f>IF(AND(O82=1,I82&lt;&gt;"女"),COUNTIFS($O$2:O82,1,$I$2:I82,"&lt;&gt;女"),"")</f>
        <v/>
      </c>
      <c r="Q82">
        <f>IF(AND(O82=1,I82="女"),COUNTIFS($O$2:O82,1,$I$2:I82,"女"),"")</f>
        <v/>
      </c>
      <c r="R82">
        <f>IF(AND(I82&lt;&gt;"",M82&gt;=1,N82=0),1,0)</f>
        <v/>
      </c>
      <c r="S82">
        <f>IF(AND(D82&lt;&gt;"",I82=""),1,0)</f>
        <v/>
      </c>
      <c r="V82">
        <f>IF(J82="",0,J82)</f>
        <v/>
      </c>
      <c r="W82">
        <f>IF(I82="","",I82&amp;D82)</f>
        <v/>
      </c>
    </row>
    <row r="83">
      <c r="A83" t="n">
        <v>82</v>
      </c>
      <c r="B83">
        <f>INT((A83-1)/37)+1</f>
        <v/>
      </c>
      <c r="C83">
        <f>MOD(A83-1,37)+1</f>
        <v/>
      </c>
      <c r="D83">
        <f>TRIM(INDEX(データ入力!$B$5:$Q$41,C83,(B83-1)*4+1)&amp;"")</f>
        <v/>
      </c>
      <c r="E83">
        <f>INDEX(データ入力!$B$5:$Q$41,C83,(B83-1)*4+2)&amp;""</f>
        <v/>
      </c>
      <c r="F83">
        <f>IF(OR(E83="1",E83="１",E83="男"),"男",IF(OR(E83="2",E83="２",E83="女"),"女",""))</f>
        <v/>
      </c>
      <c r="G83">
        <f>INDEX(データ入力!$B$5:$Q$41,C83,(B83-1)*4+3)</f>
        <v/>
      </c>
      <c r="H83">
        <f>IF(D83="","",IF($U$2,"混",F83))</f>
        <v/>
      </c>
      <c r="I83">
        <f>IF(AND(H83&lt;&gt;"",ISNUMBER(G83)),H83,"")</f>
        <v/>
      </c>
      <c r="J83">
        <f>IF(I83="","",COUNTIFS($I$2:$I$149,I83,$B$2:$B$149,B83,$G$2:$G$149,"&lt;"&amp;G83)+COUNTIFS($I$2:$I$149,I83,$B$2:$B$149,B83,$G$2:$G$149,G83,$A$2:$A$149,"&lt;"&amp;A83)+1)</f>
        <v/>
      </c>
      <c r="K83">
        <f>IF(I83="","",I83&amp;B83&amp;"-"&amp;J83)</f>
        <v/>
      </c>
      <c r="L83">
        <f>IF(I83="","",I83&amp;B83&amp;"|"&amp;D83)</f>
        <v/>
      </c>
      <c r="M83">
        <f>IF(I83="","",IF(I83="女",COUNTIF(手直し!$G$6:$J$42,D83),COUNTIF(手直し!$B$6:$E$42,D83)))</f>
        <v/>
      </c>
      <c r="N83">
        <f>IF(I83="","",IF(I83="女",COUNTIF(INDEX(手直し!$G$6:$J$42,0,B83),D83),COUNTIF(INDEX(手直し!$B$6:$E$42,0,B83),D83)))</f>
        <v/>
      </c>
      <c r="O83">
        <f>IF(AND(I83&lt;&gt;"",M83=0),1,0)</f>
        <v/>
      </c>
      <c r="P83">
        <f>IF(AND(O83=1,I83&lt;&gt;"女"),COUNTIFS($O$2:O83,1,$I$2:I83,"&lt;&gt;女"),"")</f>
        <v/>
      </c>
      <c r="Q83">
        <f>IF(AND(O83=1,I83="女"),COUNTIFS($O$2:O83,1,$I$2:I83,"女"),"")</f>
        <v/>
      </c>
      <c r="R83">
        <f>IF(AND(I83&lt;&gt;"",M83&gt;=1,N83=0),1,0)</f>
        <v/>
      </c>
      <c r="S83">
        <f>IF(AND(D83&lt;&gt;"",I83=""),1,0)</f>
        <v/>
      </c>
      <c r="V83">
        <f>IF(J83="",0,J83)</f>
        <v/>
      </c>
      <c r="W83">
        <f>IF(I83="","",I83&amp;D83)</f>
        <v/>
      </c>
    </row>
    <row r="84">
      <c r="A84" t="n">
        <v>83</v>
      </c>
      <c r="B84">
        <f>INT((A84-1)/37)+1</f>
        <v/>
      </c>
      <c r="C84">
        <f>MOD(A84-1,37)+1</f>
        <v/>
      </c>
      <c r="D84">
        <f>TRIM(INDEX(データ入力!$B$5:$Q$41,C84,(B84-1)*4+1)&amp;"")</f>
        <v/>
      </c>
      <c r="E84">
        <f>INDEX(データ入力!$B$5:$Q$41,C84,(B84-1)*4+2)&amp;""</f>
        <v/>
      </c>
      <c r="F84">
        <f>IF(OR(E84="1",E84="１",E84="男"),"男",IF(OR(E84="2",E84="２",E84="女"),"女",""))</f>
        <v/>
      </c>
      <c r="G84">
        <f>INDEX(データ入力!$B$5:$Q$41,C84,(B84-1)*4+3)</f>
        <v/>
      </c>
      <c r="H84">
        <f>IF(D84="","",IF($U$2,"混",F84))</f>
        <v/>
      </c>
      <c r="I84">
        <f>IF(AND(H84&lt;&gt;"",ISNUMBER(G84)),H84,"")</f>
        <v/>
      </c>
      <c r="J84">
        <f>IF(I84="","",COUNTIFS($I$2:$I$149,I84,$B$2:$B$149,B84,$G$2:$G$149,"&lt;"&amp;G84)+COUNTIFS($I$2:$I$149,I84,$B$2:$B$149,B84,$G$2:$G$149,G84,$A$2:$A$149,"&lt;"&amp;A84)+1)</f>
        <v/>
      </c>
      <c r="K84">
        <f>IF(I84="","",I84&amp;B84&amp;"-"&amp;J84)</f>
        <v/>
      </c>
      <c r="L84">
        <f>IF(I84="","",I84&amp;B84&amp;"|"&amp;D84)</f>
        <v/>
      </c>
      <c r="M84">
        <f>IF(I84="","",IF(I84="女",COUNTIF(手直し!$G$6:$J$42,D84),COUNTIF(手直し!$B$6:$E$42,D84)))</f>
        <v/>
      </c>
      <c r="N84">
        <f>IF(I84="","",IF(I84="女",COUNTIF(INDEX(手直し!$G$6:$J$42,0,B84),D84),COUNTIF(INDEX(手直し!$B$6:$E$42,0,B84),D84)))</f>
        <v/>
      </c>
      <c r="O84">
        <f>IF(AND(I84&lt;&gt;"",M84=0),1,0)</f>
        <v/>
      </c>
      <c r="P84">
        <f>IF(AND(O84=1,I84&lt;&gt;"女"),COUNTIFS($O$2:O84,1,$I$2:I84,"&lt;&gt;女"),"")</f>
        <v/>
      </c>
      <c r="Q84">
        <f>IF(AND(O84=1,I84="女"),COUNTIFS($O$2:O84,1,$I$2:I84,"女"),"")</f>
        <v/>
      </c>
      <c r="R84">
        <f>IF(AND(I84&lt;&gt;"",M84&gt;=1,N84=0),1,0)</f>
        <v/>
      </c>
      <c r="S84">
        <f>IF(AND(D84&lt;&gt;"",I84=""),1,0)</f>
        <v/>
      </c>
      <c r="V84">
        <f>IF(J84="",0,J84)</f>
        <v/>
      </c>
      <c r="W84">
        <f>IF(I84="","",I84&amp;D84)</f>
        <v/>
      </c>
    </row>
    <row r="85">
      <c r="A85" t="n">
        <v>84</v>
      </c>
      <c r="B85">
        <f>INT((A85-1)/37)+1</f>
        <v/>
      </c>
      <c r="C85">
        <f>MOD(A85-1,37)+1</f>
        <v/>
      </c>
      <c r="D85">
        <f>TRIM(INDEX(データ入力!$B$5:$Q$41,C85,(B85-1)*4+1)&amp;"")</f>
        <v/>
      </c>
      <c r="E85">
        <f>INDEX(データ入力!$B$5:$Q$41,C85,(B85-1)*4+2)&amp;""</f>
        <v/>
      </c>
      <c r="F85">
        <f>IF(OR(E85="1",E85="１",E85="男"),"男",IF(OR(E85="2",E85="２",E85="女"),"女",""))</f>
        <v/>
      </c>
      <c r="G85">
        <f>INDEX(データ入力!$B$5:$Q$41,C85,(B85-1)*4+3)</f>
        <v/>
      </c>
      <c r="H85">
        <f>IF(D85="","",IF($U$2,"混",F85))</f>
        <v/>
      </c>
      <c r="I85">
        <f>IF(AND(H85&lt;&gt;"",ISNUMBER(G85)),H85,"")</f>
        <v/>
      </c>
      <c r="J85">
        <f>IF(I85="","",COUNTIFS($I$2:$I$149,I85,$B$2:$B$149,B85,$G$2:$G$149,"&lt;"&amp;G85)+COUNTIFS($I$2:$I$149,I85,$B$2:$B$149,B85,$G$2:$G$149,G85,$A$2:$A$149,"&lt;"&amp;A85)+1)</f>
        <v/>
      </c>
      <c r="K85">
        <f>IF(I85="","",I85&amp;B85&amp;"-"&amp;J85)</f>
        <v/>
      </c>
      <c r="L85">
        <f>IF(I85="","",I85&amp;B85&amp;"|"&amp;D85)</f>
        <v/>
      </c>
      <c r="M85">
        <f>IF(I85="","",IF(I85="女",COUNTIF(手直し!$G$6:$J$42,D85),COUNTIF(手直し!$B$6:$E$42,D85)))</f>
        <v/>
      </c>
      <c r="N85">
        <f>IF(I85="","",IF(I85="女",COUNTIF(INDEX(手直し!$G$6:$J$42,0,B85),D85),COUNTIF(INDEX(手直し!$B$6:$E$42,0,B85),D85)))</f>
        <v/>
      </c>
      <c r="O85">
        <f>IF(AND(I85&lt;&gt;"",M85=0),1,0)</f>
        <v/>
      </c>
      <c r="P85">
        <f>IF(AND(O85=1,I85&lt;&gt;"女"),COUNTIFS($O$2:O85,1,$I$2:I85,"&lt;&gt;女"),"")</f>
        <v/>
      </c>
      <c r="Q85">
        <f>IF(AND(O85=1,I85="女"),COUNTIFS($O$2:O85,1,$I$2:I85,"女"),"")</f>
        <v/>
      </c>
      <c r="R85">
        <f>IF(AND(I85&lt;&gt;"",M85&gt;=1,N85=0),1,0)</f>
        <v/>
      </c>
      <c r="S85">
        <f>IF(AND(D85&lt;&gt;"",I85=""),1,0)</f>
        <v/>
      </c>
      <c r="V85">
        <f>IF(J85="",0,J85)</f>
        <v/>
      </c>
      <c r="W85">
        <f>IF(I85="","",I85&amp;D85)</f>
        <v/>
      </c>
    </row>
    <row r="86">
      <c r="A86" t="n">
        <v>85</v>
      </c>
      <c r="B86">
        <f>INT((A86-1)/37)+1</f>
        <v/>
      </c>
      <c r="C86">
        <f>MOD(A86-1,37)+1</f>
        <v/>
      </c>
      <c r="D86">
        <f>TRIM(INDEX(データ入力!$B$5:$Q$41,C86,(B86-1)*4+1)&amp;"")</f>
        <v/>
      </c>
      <c r="E86">
        <f>INDEX(データ入力!$B$5:$Q$41,C86,(B86-1)*4+2)&amp;""</f>
        <v/>
      </c>
      <c r="F86">
        <f>IF(OR(E86="1",E86="１",E86="男"),"男",IF(OR(E86="2",E86="２",E86="女"),"女",""))</f>
        <v/>
      </c>
      <c r="G86">
        <f>INDEX(データ入力!$B$5:$Q$41,C86,(B86-1)*4+3)</f>
        <v/>
      </c>
      <c r="H86">
        <f>IF(D86="","",IF($U$2,"混",F86))</f>
        <v/>
      </c>
      <c r="I86">
        <f>IF(AND(H86&lt;&gt;"",ISNUMBER(G86)),H86,"")</f>
        <v/>
      </c>
      <c r="J86">
        <f>IF(I86="","",COUNTIFS($I$2:$I$149,I86,$B$2:$B$149,B86,$G$2:$G$149,"&lt;"&amp;G86)+COUNTIFS($I$2:$I$149,I86,$B$2:$B$149,B86,$G$2:$G$149,G86,$A$2:$A$149,"&lt;"&amp;A86)+1)</f>
        <v/>
      </c>
      <c r="K86">
        <f>IF(I86="","",I86&amp;B86&amp;"-"&amp;J86)</f>
        <v/>
      </c>
      <c r="L86">
        <f>IF(I86="","",I86&amp;B86&amp;"|"&amp;D86)</f>
        <v/>
      </c>
      <c r="M86">
        <f>IF(I86="","",IF(I86="女",COUNTIF(手直し!$G$6:$J$42,D86),COUNTIF(手直し!$B$6:$E$42,D86)))</f>
        <v/>
      </c>
      <c r="N86">
        <f>IF(I86="","",IF(I86="女",COUNTIF(INDEX(手直し!$G$6:$J$42,0,B86),D86),COUNTIF(INDEX(手直し!$B$6:$E$42,0,B86),D86)))</f>
        <v/>
      </c>
      <c r="O86">
        <f>IF(AND(I86&lt;&gt;"",M86=0),1,0)</f>
        <v/>
      </c>
      <c r="P86">
        <f>IF(AND(O86=1,I86&lt;&gt;"女"),COUNTIFS($O$2:O86,1,$I$2:I86,"&lt;&gt;女"),"")</f>
        <v/>
      </c>
      <c r="Q86">
        <f>IF(AND(O86=1,I86="女"),COUNTIFS($O$2:O86,1,$I$2:I86,"女"),"")</f>
        <v/>
      </c>
      <c r="R86">
        <f>IF(AND(I86&lt;&gt;"",M86&gt;=1,N86=0),1,0)</f>
        <v/>
      </c>
      <c r="S86">
        <f>IF(AND(D86&lt;&gt;"",I86=""),1,0)</f>
        <v/>
      </c>
      <c r="V86">
        <f>IF(J86="",0,J86)</f>
        <v/>
      </c>
      <c r="W86">
        <f>IF(I86="","",I86&amp;D86)</f>
        <v/>
      </c>
    </row>
    <row r="87">
      <c r="A87" t="n">
        <v>86</v>
      </c>
      <c r="B87">
        <f>INT((A87-1)/37)+1</f>
        <v/>
      </c>
      <c r="C87">
        <f>MOD(A87-1,37)+1</f>
        <v/>
      </c>
      <c r="D87">
        <f>TRIM(INDEX(データ入力!$B$5:$Q$41,C87,(B87-1)*4+1)&amp;"")</f>
        <v/>
      </c>
      <c r="E87">
        <f>INDEX(データ入力!$B$5:$Q$41,C87,(B87-1)*4+2)&amp;""</f>
        <v/>
      </c>
      <c r="F87">
        <f>IF(OR(E87="1",E87="１",E87="男"),"男",IF(OR(E87="2",E87="２",E87="女"),"女",""))</f>
        <v/>
      </c>
      <c r="G87">
        <f>INDEX(データ入力!$B$5:$Q$41,C87,(B87-1)*4+3)</f>
        <v/>
      </c>
      <c r="H87">
        <f>IF(D87="","",IF($U$2,"混",F87))</f>
        <v/>
      </c>
      <c r="I87">
        <f>IF(AND(H87&lt;&gt;"",ISNUMBER(G87)),H87,"")</f>
        <v/>
      </c>
      <c r="J87">
        <f>IF(I87="","",COUNTIFS($I$2:$I$149,I87,$B$2:$B$149,B87,$G$2:$G$149,"&lt;"&amp;G87)+COUNTIFS($I$2:$I$149,I87,$B$2:$B$149,B87,$G$2:$G$149,G87,$A$2:$A$149,"&lt;"&amp;A87)+1)</f>
        <v/>
      </c>
      <c r="K87">
        <f>IF(I87="","",I87&amp;B87&amp;"-"&amp;J87)</f>
        <v/>
      </c>
      <c r="L87">
        <f>IF(I87="","",I87&amp;B87&amp;"|"&amp;D87)</f>
        <v/>
      </c>
      <c r="M87">
        <f>IF(I87="","",IF(I87="女",COUNTIF(手直し!$G$6:$J$42,D87),COUNTIF(手直し!$B$6:$E$42,D87)))</f>
        <v/>
      </c>
      <c r="N87">
        <f>IF(I87="","",IF(I87="女",COUNTIF(INDEX(手直し!$G$6:$J$42,0,B87),D87),COUNTIF(INDEX(手直し!$B$6:$E$42,0,B87),D87)))</f>
        <v/>
      </c>
      <c r="O87">
        <f>IF(AND(I87&lt;&gt;"",M87=0),1,0)</f>
        <v/>
      </c>
      <c r="P87">
        <f>IF(AND(O87=1,I87&lt;&gt;"女"),COUNTIFS($O$2:O87,1,$I$2:I87,"&lt;&gt;女"),"")</f>
        <v/>
      </c>
      <c r="Q87">
        <f>IF(AND(O87=1,I87="女"),COUNTIFS($O$2:O87,1,$I$2:I87,"女"),"")</f>
        <v/>
      </c>
      <c r="R87">
        <f>IF(AND(I87&lt;&gt;"",M87&gt;=1,N87=0),1,0)</f>
        <v/>
      </c>
      <c r="S87">
        <f>IF(AND(D87&lt;&gt;"",I87=""),1,0)</f>
        <v/>
      </c>
      <c r="V87">
        <f>IF(J87="",0,J87)</f>
        <v/>
      </c>
      <c r="W87">
        <f>IF(I87="","",I87&amp;D87)</f>
        <v/>
      </c>
    </row>
    <row r="88">
      <c r="A88" t="n">
        <v>87</v>
      </c>
      <c r="B88">
        <f>INT((A88-1)/37)+1</f>
        <v/>
      </c>
      <c r="C88">
        <f>MOD(A88-1,37)+1</f>
        <v/>
      </c>
      <c r="D88">
        <f>TRIM(INDEX(データ入力!$B$5:$Q$41,C88,(B88-1)*4+1)&amp;"")</f>
        <v/>
      </c>
      <c r="E88">
        <f>INDEX(データ入力!$B$5:$Q$41,C88,(B88-1)*4+2)&amp;""</f>
        <v/>
      </c>
      <c r="F88">
        <f>IF(OR(E88="1",E88="１",E88="男"),"男",IF(OR(E88="2",E88="２",E88="女"),"女",""))</f>
        <v/>
      </c>
      <c r="G88">
        <f>INDEX(データ入力!$B$5:$Q$41,C88,(B88-1)*4+3)</f>
        <v/>
      </c>
      <c r="H88">
        <f>IF(D88="","",IF($U$2,"混",F88))</f>
        <v/>
      </c>
      <c r="I88">
        <f>IF(AND(H88&lt;&gt;"",ISNUMBER(G88)),H88,"")</f>
        <v/>
      </c>
      <c r="J88">
        <f>IF(I88="","",COUNTIFS($I$2:$I$149,I88,$B$2:$B$149,B88,$G$2:$G$149,"&lt;"&amp;G88)+COUNTIFS($I$2:$I$149,I88,$B$2:$B$149,B88,$G$2:$G$149,G88,$A$2:$A$149,"&lt;"&amp;A88)+1)</f>
        <v/>
      </c>
      <c r="K88">
        <f>IF(I88="","",I88&amp;B88&amp;"-"&amp;J88)</f>
        <v/>
      </c>
      <c r="L88">
        <f>IF(I88="","",I88&amp;B88&amp;"|"&amp;D88)</f>
        <v/>
      </c>
      <c r="M88">
        <f>IF(I88="","",IF(I88="女",COUNTIF(手直し!$G$6:$J$42,D88),COUNTIF(手直し!$B$6:$E$42,D88)))</f>
        <v/>
      </c>
      <c r="N88">
        <f>IF(I88="","",IF(I88="女",COUNTIF(INDEX(手直し!$G$6:$J$42,0,B88),D88),COUNTIF(INDEX(手直し!$B$6:$E$42,0,B88),D88)))</f>
        <v/>
      </c>
      <c r="O88">
        <f>IF(AND(I88&lt;&gt;"",M88=0),1,0)</f>
        <v/>
      </c>
      <c r="P88">
        <f>IF(AND(O88=1,I88&lt;&gt;"女"),COUNTIFS($O$2:O88,1,$I$2:I88,"&lt;&gt;女"),"")</f>
        <v/>
      </c>
      <c r="Q88">
        <f>IF(AND(O88=1,I88="女"),COUNTIFS($O$2:O88,1,$I$2:I88,"女"),"")</f>
        <v/>
      </c>
      <c r="R88">
        <f>IF(AND(I88&lt;&gt;"",M88&gt;=1,N88=0),1,0)</f>
        <v/>
      </c>
      <c r="S88">
        <f>IF(AND(D88&lt;&gt;"",I88=""),1,0)</f>
        <v/>
      </c>
      <c r="V88">
        <f>IF(J88="",0,J88)</f>
        <v/>
      </c>
      <c r="W88">
        <f>IF(I88="","",I88&amp;D88)</f>
        <v/>
      </c>
    </row>
    <row r="89">
      <c r="A89" t="n">
        <v>88</v>
      </c>
      <c r="B89">
        <f>INT((A89-1)/37)+1</f>
        <v/>
      </c>
      <c r="C89">
        <f>MOD(A89-1,37)+1</f>
        <v/>
      </c>
      <c r="D89">
        <f>TRIM(INDEX(データ入力!$B$5:$Q$41,C89,(B89-1)*4+1)&amp;"")</f>
        <v/>
      </c>
      <c r="E89">
        <f>INDEX(データ入力!$B$5:$Q$41,C89,(B89-1)*4+2)&amp;""</f>
        <v/>
      </c>
      <c r="F89">
        <f>IF(OR(E89="1",E89="１",E89="男"),"男",IF(OR(E89="2",E89="２",E89="女"),"女",""))</f>
        <v/>
      </c>
      <c r="G89">
        <f>INDEX(データ入力!$B$5:$Q$41,C89,(B89-1)*4+3)</f>
        <v/>
      </c>
      <c r="H89">
        <f>IF(D89="","",IF($U$2,"混",F89))</f>
        <v/>
      </c>
      <c r="I89">
        <f>IF(AND(H89&lt;&gt;"",ISNUMBER(G89)),H89,"")</f>
        <v/>
      </c>
      <c r="J89">
        <f>IF(I89="","",COUNTIFS($I$2:$I$149,I89,$B$2:$B$149,B89,$G$2:$G$149,"&lt;"&amp;G89)+COUNTIFS($I$2:$I$149,I89,$B$2:$B$149,B89,$G$2:$G$149,G89,$A$2:$A$149,"&lt;"&amp;A89)+1)</f>
        <v/>
      </c>
      <c r="K89">
        <f>IF(I89="","",I89&amp;B89&amp;"-"&amp;J89)</f>
        <v/>
      </c>
      <c r="L89">
        <f>IF(I89="","",I89&amp;B89&amp;"|"&amp;D89)</f>
        <v/>
      </c>
      <c r="M89">
        <f>IF(I89="","",IF(I89="女",COUNTIF(手直し!$G$6:$J$42,D89),COUNTIF(手直し!$B$6:$E$42,D89)))</f>
        <v/>
      </c>
      <c r="N89">
        <f>IF(I89="","",IF(I89="女",COUNTIF(INDEX(手直し!$G$6:$J$42,0,B89),D89),COUNTIF(INDEX(手直し!$B$6:$E$42,0,B89),D89)))</f>
        <v/>
      </c>
      <c r="O89">
        <f>IF(AND(I89&lt;&gt;"",M89=0),1,0)</f>
        <v/>
      </c>
      <c r="P89">
        <f>IF(AND(O89=1,I89&lt;&gt;"女"),COUNTIFS($O$2:O89,1,$I$2:I89,"&lt;&gt;女"),"")</f>
        <v/>
      </c>
      <c r="Q89">
        <f>IF(AND(O89=1,I89="女"),COUNTIFS($O$2:O89,1,$I$2:I89,"女"),"")</f>
        <v/>
      </c>
      <c r="R89">
        <f>IF(AND(I89&lt;&gt;"",M89&gt;=1,N89=0),1,0)</f>
        <v/>
      </c>
      <c r="S89">
        <f>IF(AND(D89&lt;&gt;"",I89=""),1,0)</f>
        <v/>
      </c>
      <c r="V89">
        <f>IF(J89="",0,J89)</f>
        <v/>
      </c>
      <c r="W89">
        <f>IF(I89="","",I89&amp;D89)</f>
        <v/>
      </c>
    </row>
    <row r="90">
      <c r="A90" t="n">
        <v>89</v>
      </c>
      <c r="B90">
        <f>INT((A90-1)/37)+1</f>
        <v/>
      </c>
      <c r="C90">
        <f>MOD(A90-1,37)+1</f>
        <v/>
      </c>
      <c r="D90">
        <f>TRIM(INDEX(データ入力!$B$5:$Q$41,C90,(B90-1)*4+1)&amp;"")</f>
        <v/>
      </c>
      <c r="E90">
        <f>INDEX(データ入力!$B$5:$Q$41,C90,(B90-1)*4+2)&amp;""</f>
        <v/>
      </c>
      <c r="F90">
        <f>IF(OR(E90="1",E90="１",E90="男"),"男",IF(OR(E90="2",E90="２",E90="女"),"女",""))</f>
        <v/>
      </c>
      <c r="G90">
        <f>INDEX(データ入力!$B$5:$Q$41,C90,(B90-1)*4+3)</f>
        <v/>
      </c>
      <c r="H90">
        <f>IF(D90="","",IF($U$2,"混",F90))</f>
        <v/>
      </c>
      <c r="I90">
        <f>IF(AND(H90&lt;&gt;"",ISNUMBER(G90)),H90,"")</f>
        <v/>
      </c>
      <c r="J90">
        <f>IF(I90="","",COUNTIFS($I$2:$I$149,I90,$B$2:$B$149,B90,$G$2:$G$149,"&lt;"&amp;G90)+COUNTIFS($I$2:$I$149,I90,$B$2:$B$149,B90,$G$2:$G$149,G90,$A$2:$A$149,"&lt;"&amp;A90)+1)</f>
        <v/>
      </c>
      <c r="K90">
        <f>IF(I90="","",I90&amp;B90&amp;"-"&amp;J90)</f>
        <v/>
      </c>
      <c r="L90">
        <f>IF(I90="","",I90&amp;B90&amp;"|"&amp;D90)</f>
        <v/>
      </c>
      <c r="M90">
        <f>IF(I90="","",IF(I90="女",COUNTIF(手直し!$G$6:$J$42,D90),COUNTIF(手直し!$B$6:$E$42,D90)))</f>
        <v/>
      </c>
      <c r="N90">
        <f>IF(I90="","",IF(I90="女",COUNTIF(INDEX(手直し!$G$6:$J$42,0,B90),D90),COUNTIF(INDEX(手直し!$B$6:$E$42,0,B90),D90)))</f>
        <v/>
      </c>
      <c r="O90">
        <f>IF(AND(I90&lt;&gt;"",M90=0),1,0)</f>
        <v/>
      </c>
      <c r="P90">
        <f>IF(AND(O90=1,I90&lt;&gt;"女"),COUNTIFS($O$2:O90,1,$I$2:I90,"&lt;&gt;女"),"")</f>
        <v/>
      </c>
      <c r="Q90">
        <f>IF(AND(O90=1,I90="女"),COUNTIFS($O$2:O90,1,$I$2:I90,"女"),"")</f>
        <v/>
      </c>
      <c r="R90">
        <f>IF(AND(I90&lt;&gt;"",M90&gt;=1,N90=0),1,0)</f>
        <v/>
      </c>
      <c r="S90">
        <f>IF(AND(D90&lt;&gt;"",I90=""),1,0)</f>
        <v/>
      </c>
      <c r="V90">
        <f>IF(J90="",0,J90)</f>
        <v/>
      </c>
      <c r="W90">
        <f>IF(I90="","",I90&amp;D90)</f>
        <v/>
      </c>
    </row>
    <row r="91">
      <c r="A91" t="n">
        <v>90</v>
      </c>
      <c r="B91">
        <f>INT((A91-1)/37)+1</f>
        <v/>
      </c>
      <c r="C91">
        <f>MOD(A91-1,37)+1</f>
        <v/>
      </c>
      <c r="D91">
        <f>TRIM(INDEX(データ入力!$B$5:$Q$41,C91,(B91-1)*4+1)&amp;"")</f>
        <v/>
      </c>
      <c r="E91">
        <f>INDEX(データ入力!$B$5:$Q$41,C91,(B91-1)*4+2)&amp;""</f>
        <v/>
      </c>
      <c r="F91">
        <f>IF(OR(E91="1",E91="１",E91="男"),"男",IF(OR(E91="2",E91="２",E91="女"),"女",""))</f>
        <v/>
      </c>
      <c r="G91">
        <f>INDEX(データ入力!$B$5:$Q$41,C91,(B91-1)*4+3)</f>
        <v/>
      </c>
      <c r="H91">
        <f>IF(D91="","",IF($U$2,"混",F91))</f>
        <v/>
      </c>
      <c r="I91">
        <f>IF(AND(H91&lt;&gt;"",ISNUMBER(G91)),H91,"")</f>
        <v/>
      </c>
      <c r="J91">
        <f>IF(I91="","",COUNTIFS($I$2:$I$149,I91,$B$2:$B$149,B91,$G$2:$G$149,"&lt;"&amp;G91)+COUNTIFS($I$2:$I$149,I91,$B$2:$B$149,B91,$G$2:$G$149,G91,$A$2:$A$149,"&lt;"&amp;A91)+1)</f>
        <v/>
      </c>
      <c r="K91">
        <f>IF(I91="","",I91&amp;B91&amp;"-"&amp;J91)</f>
        <v/>
      </c>
      <c r="L91">
        <f>IF(I91="","",I91&amp;B91&amp;"|"&amp;D91)</f>
        <v/>
      </c>
      <c r="M91">
        <f>IF(I91="","",IF(I91="女",COUNTIF(手直し!$G$6:$J$42,D91),COUNTIF(手直し!$B$6:$E$42,D91)))</f>
        <v/>
      </c>
      <c r="N91">
        <f>IF(I91="","",IF(I91="女",COUNTIF(INDEX(手直し!$G$6:$J$42,0,B91),D91),COUNTIF(INDEX(手直し!$B$6:$E$42,0,B91),D91)))</f>
        <v/>
      </c>
      <c r="O91">
        <f>IF(AND(I91&lt;&gt;"",M91=0),1,0)</f>
        <v/>
      </c>
      <c r="P91">
        <f>IF(AND(O91=1,I91&lt;&gt;"女"),COUNTIFS($O$2:O91,1,$I$2:I91,"&lt;&gt;女"),"")</f>
        <v/>
      </c>
      <c r="Q91">
        <f>IF(AND(O91=1,I91="女"),COUNTIFS($O$2:O91,1,$I$2:I91,"女"),"")</f>
        <v/>
      </c>
      <c r="R91">
        <f>IF(AND(I91&lt;&gt;"",M91&gt;=1,N91=0),1,0)</f>
        <v/>
      </c>
      <c r="S91">
        <f>IF(AND(D91&lt;&gt;"",I91=""),1,0)</f>
        <v/>
      </c>
      <c r="V91">
        <f>IF(J91="",0,J91)</f>
        <v/>
      </c>
      <c r="W91">
        <f>IF(I91="","",I91&amp;D91)</f>
        <v/>
      </c>
    </row>
    <row r="92">
      <c r="A92" t="n">
        <v>91</v>
      </c>
      <c r="B92">
        <f>INT((A92-1)/37)+1</f>
        <v/>
      </c>
      <c r="C92">
        <f>MOD(A92-1,37)+1</f>
        <v/>
      </c>
      <c r="D92">
        <f>TRIM(INDEX(データ入力!$B$5:$Q$41,C92,(B92-1)*4+1)&amp;"")</f>
        <v/>
      </c>
      <c r="E92">
        <f>INDEX(データ入力!$B$5:$Q$41,C92,(B92-1)*4+2)&amp;""</f>
        <v/>
      </c>
      <c r="F92">
        <f>IF(OR(E92="1",E92="１",E92="男"),"男",IF(OR(E92="2",E92="２",E92="女"),"女",""))</f>
        <v/>
      </c>
      <c r="G92">
        <f>INDEX(データ入力!$B$5:$Q$41,C92,(B92-1)*4+3)</f>
        <v/>
      </c>
      <c r="H92">
        <f>IF(D92="","",IF($U$2,"混",F92))</f>
        <v/>
      </c>
      <c r="I92">
        <f>IF(AND(H92&lt;&gt;"",ISNUMBER(G92)),H92,"")</f>
        <v/>
      </c>
      <c r="J92">
        <f>IF(I92="","",COUNTIFS($I$2:$I$149,I92,$B$2:$B$149,B92,$G$2:$G$149,"&lt;"&amp;G92)+COUNTIFS($I$2:$I$149,I92,$B$2:$B$149,B92,$G$2:$G$149,G92,$A$2:$A$149,"&lt;"&amp;A92)+1)</f>
        <v/>
      </c>
      <c r="K92">
        <f>IF(I92="","",I92&amp;B92&amp;"-"&amp;J92)</f>
        <v/>
      </c>
      <c r="L92">
        <f>IF(I92="","",I92&amp;B92&amp;"|"&amp;D92)</f>
        <v/>
      </c>
      <c r="M92">
        <f>IF(I92="","",IF(I92="女",COUNTIF(手直し!$G$6:$J$42,D92),COUNTIF(手直し!$B$6:$E$42,D92)))</f>
        <v/>
      </c>
      <c r="N92">
        <f>IF(I92="","",IF(I92="女",COUNTIF(INDEX(手直し!$G$6:$J$42,0,B92),D92),COUNTIF(INDEX(手直し!$B$6:$E$42,0,B92),D92)))</f>
        <v/>
      </c>
      <c r="O92">
        <f>IF(AND(I92&lt;&gt;"",M92=0),1,0)</f>
        <v/>
      </c>
      <c r="P92">
        <f>IF(AND(O92=1,I92&lt;&gt;"女"),COUNTIFS($O$2:O92,1,$I$2:I92,"&lt;&gt;女"),"")</f>
        <v/>
      </c>
      <c r="Q92">
        <f>IF(AND(O92=1,I92="女"),COUNTIFS($O$2:O92,1,$I$2:I92,"女"),"")</f>
        <v/>
      </c>
      <c r="R92">
        <f>IF(AND(I92&lt;&gt;"",M92&gt;=1,N92=0),1,0)</f>
        <v/>
      </c>
      <c r="S92">
        <f>IF(AND(D92&lt;&gt;"",I92=""),1,0)</f>
        <v/>
      </c>
      <c r="V92">
        <f>IF(J92="",0,J92)</f>
        <v/>
      </c>
      <c r="W92">
        <f>IF(I92="","",I92&amp;D92)</f>
        <v/>
      </c>
    </row>
    <row r="93">
      <c r="A93" t="n">
        <v>92</v>
      </c>
      <c r="B93">
        <f>INT((A93-1)/37)+1</f>
        <v/>
      </c>
      <c r="C93">
        <f>MOD(A93-1,37)+1</f>
        <v/>
      </c>
      <c r="D93">
        <f>TRIM(INDEX(データ入力!$B$5:$Q$41,C93,(B93-1)*4+1)&amp;"")</f>
        <v/>
      </c>
      <c r="E93">
        <f>INDEX(データ入力!$B$5:$Q$41,C93,(B93-1)*4+2)&amp;""</f>
        <v/>
      </c>
      <c r="F93">
        <f>IF(OR(E93="1",E93="１",E93="男"),"男",IF(OR(E93="2",E93="２",E93="女"),"女",""))</f>
        <v/>
      </c>
      <c r="G93">
        <f>INDEX(データ入力!$B$5:$Q$41,C93,(B93-1)*4+3)</f>
        <v/>
      </c>
      <c r="H93">
        <f>IF(D93="","",IF($U$2,"混",F93))</f>
        <v/>
      </c>
      <c r="I93">
        <f>IF(AND(H93&lt;&gt;"",ISNUMBER(G93)),H93,"")</f>
        <v/>
      </c>
      <c r="J93">
        <f>IF(I93="","",COUNTIFS($I$2:$I$149,I93,$B$2:$B$149,B93,$G$2:$G$149,"&lt;"&amp;G93)+COUNTIFS($I$2:$I$149,I93,$B$2:$B$149,B93,$G$2:$G$149,G93,$A$2:$A$149,"&lt;"&amp;A93)+1)</f>
        <v/>
      </c>
      <c r="K93">
        <f>IF(I93="","",I93&amp;B93&amp;"-"&amp;J93)</f>
        <v/>
      </c>
      <c r="L93">
        <f>IF(I93="","",I93&amp;B93&amp;"|"&amp;D93)</f>
        <v/>
      </c>
      <c r="M93">
        <f>IF(I93="","",IF(I93="女",COUNTIF(手直し!$G$6:$J$42,D93),COUNTIF(手直し!$B$6:$E$42,D93)))</f>
        <v/>
      </c>
      <c r="N93">
        <f>IF(I93="","",IF(I93="女",COUNTIF(INDEX(手直し!$G$6:$J$42,0,B93),D93),COUNTIF(INDEX(手直し!$B$6:$E$42,0,B93),D93)))</f>
        <v/>
      </c>
      <c r="O93">
        <f>IF(AND(I93&lt;&gt;"",M93=0),1,0)</f>
        <v/>
      </c>
      <c r="P93">
        <f>IF(AND(O93=1,I93&lt;&gt;"女"),COUNTIFS($O$2:O93,1,$I$2:I93,"&lt;&gt;女"),"")</f>
        <v/>
      </c>
      <c r="Q93">
        <f>IF(AND(O93=1,I93="女"),COUNTIFS($O$2:O93,1,$I$2:I93,"女"),"")</f>
        <v/>
      </c>
      <c r="R93">
        <f>IF(AND(I93&lt;&gt;"",M93&gt;=1,N93=0),1,0)</f>
        <v/>
      </c>
      <c r="S93">
        <f>IF(AND(D93&lt;&gt;"",I93=""),1,0)</f>
        <v/>
      </c>
      <c r="V93">
        <f>IF(J93="",0,J93)</f>
        <v/>
      </c>
      <c r="W93">
        <f>IF(I93="","",I93&amp;D93)</f>
        <v/>
      </c>
    </row>
    <row r="94">
      <c r="A94" t="n">
        <v>93</v>
      </c>
      <c r="B94">
        <f>INT((A94-1)/37)+1</f>
        <v/>
      </c>
      <c r="C94">
        <f>MOD(A94-1,37)+1</f>
        <v/>
      </c>
      <c r="D94">
        <f>TRIM(INDEX(データ入力!$B$5:$Q$41,C94,(B94-1)*4+1)&amp;"")</f>
        <v/>
      </c>
      <c r="E94">
        <f>INDEX(データ入力!$B$5:$Q$41,C94,(B94-1)*4+2)&amp;""</f>
        <v/>
      </c>
      <c r="F94">
        <f>IF(OR(E94="1",E94="１",E94="男"),"男",IF(OR(E94="2",E94="２",E94="女"),"女",""))</f>
        <v/>
      </c>
      <c r="G94">
        <f>INDEX(データ入力!$B$5:$Q$41,C94,(B94-1)*4+3)</f>
        <v/>
      </c>
      <c r="H94">
        <f>IF(D94="","",IF($U$2,"混",F94))</f>
        <v/>
      </c>
      <c r="I94">
        <f>IF(AND(H94&lt;&gt;"",ISNUMBER(G94)),H94,"")</f>
        <v/>
      </c>
      <c r="J94">
        <f>IF(I94="","",COUNTIFS($I$2:$I$149,I94,$B$2:$B$149,B94,$G$2:$G$149,"&lt;"&amp;G94)+COUNTIFS($I$2:$I$149,I94,$B$2:$B$149,B94,$G$2:$G$149,G94,$A$2:$A$149,"&lt;"&amp;A94)+1)</f>
        <v/>
      </c>
      <c r="K94">
        <f>IF(I94="","",I94&amp;B94&amp;"-"&amp;J94)</f>
        <v/>
      </c>
      <c r="L94">
        <f>IF(I94="","",I94&amp;B94&amp;"|"&amp;D94)</f>
        <v/>
      </c>
      <c r="M94">
        <f>IF(I94="","",IF(I94="女",COUNTIF(手直し!$G$6:$J$42,D94),COUNTIF(手直し!$B$6:$E$42,D94)))</f>
        <v/>
      </c>
      <c r="N94">
        <f>IF(I94="","",IF(I94="女",COUNTIF(INDEX(手直し!$G$6:$J$42,0,B94),D94),COUNTIF(INDEX(手直し!$B$6:$E$42,0,B94),D94)))</f>
        <v/>
      </c>
      <c r="O94">
        <f>IF(AND(I94&lt;&gt;"",M94=0),1,0)</f>
        <v/>
      </c>
      <c r="P94">
        <f>IF(AND(O94=1,I94&lt;&gt;"女"),COUNTIFS($O$2:O94,1,$I$2:I94,"&lt;&gt;女"),"")</f>
        <v/>
      </c>
      <c r="Q94">
        <f>IF(AND(O94=1,I94="女"),COUNTIFS($O$2:O94,1,$I$2:I94,"女"),"")</f>
        <v/>
      </c>
      <c r="R94">
        <f>IF(AND(I94&lt;&gt;"",M94&gt;=1,N94=0),1,0)</f>
        <v/>
      </c>
      <c r="S94">
        <f>IF(AND(D94&lt;&gt;"",I94=""),1,0)</f>
        <v/>
      </c>
      <c r="V94">
        <f>IF(J94="",0,J94)</f>
        <v/>
      </c>
      <c r="W94">
        <f>IF(I94="","",I94&amp;D94)</f>
        <v/>
      </c>
    </row>
    <row r="95">
      <c r="A95" t="n">
        <v>94</v>
      </c>
      <c r="B95">
        <f>INT((A95-1)/37)+1</f>
        <v/>
      </c>
      <c r="C95">
        <f>MOD(A95-1,37)+1</f>
        <v/>
      </c>
      <c r="D95">
        <f>TRIM(INDEX(データ入力!$B$5:$Q$41,C95,(B95-1)*4+1)&amp;"")</f>
        <v/>
      </c>
      <c r="E95">
        <f>INDEX(データ入力!$B$5:$Q$41,C95,(B95-1)*4+2)&amp;""</f>
        <v/>
      </c>
      <c r="F95">
        <f>IF(OR(E95="1",E95="１",E95="男"),"男",IF(OR(E95="2",E95="２",E95="女"),"女",""))</f>
        <v/>
      </c>
      <c r="G95">
        <f>INDEX(データ入力!$B$5:$Q$41,C95,(B95-1)*4+3)</f>
        <v/>
      </c>
      <c r="H95">
        <f>IF(D95="","",IF($U$2,"混",F95))</f>
        <v/>
      </c>
      <c r="I95">
        <f>IF(AND(H95&lt;&gt;"",ISNUMBER(G95)),H95,"")</f>
        <v/>
      </c>
      <c r="J95">
        <f>IF(I95="","",COUNTIFS($I$2:$I$149,I95,$B$2:$B$149,B95,$G$2:$G$149,"&lt;"&amp;G95)+COUNTIFS($I$2:$I$149,I95,$B$2:$B$149,B95,$G$2:$G$149,G95,$A$2:$A$149,"&lt;"&amp;A95)+1)</f>
        <v/>
      </c>
      <c r="K95">
        <f>IF(I95="","",I95&amp;B95&amp;"-"&amp;J95)</f>
        <v/>
      </c>
      <c r="L95">
        <f>IF(I95="","",I95&amp;B95&amp;"|"&amp;D95)</f>
        <v/>
      </c>
      <c r="M95">
        <f>IF(I95="","",IF(I95="女",COUNTIF(手直し!$G$6:$J$42,D95),COUNTIF(手直し!$B$6:$E$42,D95)))</f>
        <v/>
      </c>
      <c r="N95">
        <f>IF(I95="","",IF(I95="女",COUNTIF(INDEX(手直し!$G$6:$J$42,0,B95),D95),COUNTIF(INDEX(手直し!$B$6:$E$42,0,B95),D95)))</f>
        <v/>
      </c>
      <c r="O95">
        <f>IF(AND(I95&lt;&gt;"",M95=0),1,0)</f>
        <v/>
      </c>
      <c r="P95">
        <f>IF(AND(O95=1,I95&lt;&gt;"女"),COUNTIFS($O$2:O95,1,$I$2:I95,"&lt;&gt;女"),"")</f>
        <v/>
      </c>
      <c r="Q95">
        <f>IF(AND(O95=1,I95="女"),COUNTIFS($O$2:O95,1,$I$2:I95,"女"),"")</f>
        <v/>
      </c>
      <c r="R95">
        <f>IF(AND(I95&lt;&gt;"",M95&gt;=1,N95=0),1,0)</f>
        <v/>
      </c>
      <c r="S95">
        <f>IF(AND(D95&lt;&gt;"",I95=""),1,0)</f>
        <v/>
      </c>
      <c r="V95">
        <f>IF(J95="",0,J95)</f>
        <v/>
      </c>
      <c r="W95">
        <f>IF(I95="","",I95&amp;D95)</f>
        <v/>
      </c>
    </row>
    <row r="96">
      <c r="A96" t="n">
        <v>95</v>
      </c>
      <c r="B96">
        <f>INT((A96-1)/37)+1</f>
        <v/>
      </c>
      <c r="C96">
        <f>MOD(A96-1,37)+1</f>
        <v/>
      </c>
      <c r="D96">
        <f>TRIM(INDEX(データ入力!$B$5:$Q$41,C96,(B96-1)*4+1)&amp;"")</f>
        <v/>
      </c>
      <c r="E96">
        <f>INDEX(データ入力!$B$5:$Q$41,C96,(B96-1)*4+2)&amp;""</f>
        <v/>
      </c>
      <c r="F96">
        <f>IF(OR(E96="1",E96="１",E96="男"),"男",IF(OR(E96="2",E96="２",E96="女"),"女",""))</f>
        <v/>
      </c>
      <c r="G96">
        <f>INDEX(データ入力!$B$5:$Q$41,C96,(B96-1)*4+3)</f>
        <v/>
      </c>
      <c r="H96">
        <f>IF(D96="","",IF($U$2,"混",F96))</f>
        <v/>
      </c>
      <c r="I96">
        <f>IF(AND(H96&lt;&gt;"",ISNUMBER(G96)),H96,"")</f>
        <v/>
      </c>
      <c r="J96">
        <f>IF(I96="","",COUNTIFS($I$2:$I$149,I96,$B$2:$B$149,B96,$G$2:$G$149,"&lt;"&amp;G96)+COUNTIFS($I$2:$I$149,I96,$B$2:$B$149,B96,$G$2:$G$149,G96,$A$2:$A$149,"&lt;"&amp;A96)+1)</f>
        <v/>
      </c>
      <c r="K96">
        <f>IF(I96="","",I96&amp;B96&amp;"-"&amp;J96)</f>
        <v/>
      </c>
      <c r="L96">
        <f>IF(I96="","",I96&amp;B96&amp;"|"&amp;D96)</f>
        <v/>
      </c>
      <c r="M96">
        <f>IF(I96="","",IF(I96="女",COUNTIF(手直し!$G$6:$J$42,D96),COUNTIF(手直し!$B$6:$E$42,D96)))</f>
        <v/>
      </c>
      <c r="N96">
        <f>IF(I96="","",IF(I96="女",COUNTIF(INDEX(手直し!$G$6:$J$42,0,B96),D96),COUNTIF(INDEX(手直し!$B$6:$E$42,0,B96),D96)))</f>
        <v/>
      </c>
      <c r="O96">
        <f>IF(AND(I96&lt;&gt;"",M96=0),1,0)</f>
        <v/>
      </c>
      <c r="P96">
        <f>IF(AND(O96=1,I96&lt;&gt;"女"),COUNTIFS($O$2:O96,1,$I$2:I96,"&lt;&gt;女"),"")</f>
        <v/>
      </c>
      <c r="Q96">
        <f>IF(AND(O96=1,I96="女"),COUNTIFS($O$2:O96,1,$I$2:I96,"女"),"")</f>
        <v/>
      </c>
      <c r="R96">
        <f>IF(AND(I96&lt;&gt;"",M96&gt;=1,N96=0),1,0)</f>
        <v/>
      </c>
      <c r="S96">
        <f>IF(AND(D96&lt;&gt;"",I96=""),1,0)</f>
        <v/>
      </c>
      <c r="V96">
        <f>IF(J96="",0,J96)</f>
        <v/>
      </c>
      <c r="W96">
        <f>IF(I96="","",I96&amp;D96)</f>
        <v/>
      </c>
    </row>
    <row r="97">
      <c r="A97" t="n">
        <v>96</v>
      </c>
      <c r="B97">
        <f>INT((A97-1)/37)+1</f>
        <v/>
      </c>
      <c r="C97">
        <f>MOD(A97-1,37)+1</f>
        <v/>
      </c>
      <c r="D97">
        <f>TRIM(INDEX(データ入力!$B$5:$Q$41,C97,(B97-1)*4+1)&amp;"")</f>
        <v/>
      </c>
      <c r="E97">
        <f>INDEX(データ入力!$B$5:$Q$41,C97,(B97-1)*4+2)&amp;""</f>
        <v/>
      </c>
      <c r="F97">
        <f>IF(OR(E97="1",E97="１",E97="男"),"男",IF(OR(E97="2",E97="２",E97="女"),"女",""))</f>
        <v/>
      </c>
      <c r="G97">
        <f>INDEX(データ入力!$B$5:$Q$41,C97,(B97-1)*4+3)</f>
        <v/>
      </c>
      <c r="H97">
        <f>IF(D97="","",IF($U$2,"混",F97))</f>
        <v/>
      </c>
      <c r="I97">
        <f>IF(AND(H97&lt;&gt;"",ISNUMBER(G97)),H97,"")</f>
        <v/>
      </c>
      <c r="J97">
        <f>IF(I97="","",COUNTIFS($I$2:$I$149,I97,$B$2:$B$149,B97,$G$2:$G$149,"&lt;"&amp;G97)+COUNTIFS($I$2:$I$149,I97,$B$2:$B$149,B97,$G$2:$G$149,G97,$A$2:$A$149,"&lt;"&amp;A97)+1)</f>
        <v/>
      </c>
      <c r="K97">
        <f>IF(I97="","",I97&amp;B97&amp;"-"&amp;J97)</f>
        <v/>
      </c>
      <c r="L97">
        <f>IF(I97="","",I97&amp;B97&amp;"|"&amp;D97)</f>
        <v/>
      </c>
      <c r="M97">
        <f>IF(I97="","",IF(I97="女",COUNTIF(手直し!$G$6:$J$42,D97),COUNTIF(手直し!$B$6:$E$42,D97)))</f>
        <v/>
      </c>
      <c r="N97">
        <f>IF(I97="","",IF(I97="女",COUNTIF(INDEX(手直し!$G$6:$J$42,0,B97),D97),COUNTIF(INDEX(手直し!$B$6:$E$42,0,B97),D97)))</f>
        <v/>
      </c>
      <c r="O97">
        <f>IF(AND(I97&lt;&gt;"",M97=0),1,0)</f>
        <v/>
      </c>
      <c r="P97">
        <f>IF(AND(O97=1,I97&lt;&gt;"女"),COUNTIFS($O$2:O97,1,$I$2:I97,"&lt;&gt;女"),"")</f>
        <v/>
      </c>
      <c r="Q97">
        <f>IF(AND(O97=1,I97="女"),COUNTIFS($O$2:O97,1,$I$2:I97,"女"),"")</f>
        <v/>
      </c>
      <c r="R97">
        <f>IF(AND(I97&lt;&gt;"",M97&gt;=1,N97=0),1,0)</f>
        <v/>
      </c>
      <c r="S97">
        <f>IF(AND(D97&lt;&gt;"",I97=""),1,0)</f>
        <v/>
      </c>
      <c r="V97">
        <f>IF(J97="",0,J97)</f>
        <v/>
      </c>
      <c r="W97">
        <f>IF(I97="","",I97&amp;D97)</f>
        <v/>
      </c>
    </row>
    <row r="98">
      <c r="A98" t="n">
        <v>97</v>
      </c>
      <c r="B98">
        <f>INT((A98-1)/37)+1</f>
        <v/>
      </c>
      <c r="C98">
        <f>MOD(A98-1,37)+1</f>
        <v/>
      </c>
      <c r="D98">
        <f>TRIM(INDEX(データ入力!$B$5:$Q$41,C98,(B98-1)*4+1)&amp;"")</f>
        <v/>
      </c>
      <c r="E98">
        <f>INDEX(データ入力!$B$5:$Q$41,C98,(B98-1)*4+2)&amp;""</f>
        <v/>
      </c>
      <c r="F98">
        <f>IF(OR(E98="1",E98="１",E98="男"),"男",IF(OR(E98="2",E98="２",E98="女"),"女",""))</f>
        <v/>
      </c>
      <c r="G98">
        <f>INDEX(データ入力!$B$5:$Q$41,C98,(B98-1)*4+3)</f>
        <v/>
      </c>
      <c r="H98">
        <f>IF(D98="","",IF($U$2,"混",F98))</f>
        <v/>
      </c>
      <c r="I98">
        <f>IF(AND(H98&lt;&gt;"",ISNUMBER(G98)),H98,"")</f>
        <v/>
      </c>
      <c r="J98">
        <f>IF(I98="","",COUNTIFS($I$2:$I$149,I98,$B$2:$B$149,B98,$G$2:$G$149,"&lt;"&amp;G98)+COUNTIFS($I$2:$I$149,I98,$B$2:$B$149,B98,$G$2:$G$149,G98,$A$2:$A$149,"&lt;"&amp;A98)+1)</f>
        <v/>
      </c>
      <c r="K98">
        <f>IF(I98="","",I98&amp;B98&amp;"-"&amp;J98)</f>
        <v/>
      </c>
      <c r="L98">
        <f>IF(I98="","",I98&amp;B98&amp;"|"&amp;D98)</f>
        <v/>
      </c>
      <c r="M98">
        <f>IF(I98="","",IF(I98="女",COUNTIF(手直し!$G$6:$J$42,D98),COUNTIF(手直し!$B$6:$E$42,D98)))</f>
        <v/>
      </c>
      <c r="N98">
        <f>IF(I98="","",IF(I98="女",COUNTIF(INDEX(手直し!$G$6:$J$42,0,B98),D98),COUNTIF(INDEX(手直し!$B$6:$E$42,0,B98),D98)))</f>
        <v/>
      </c>
      <c r="O98">
        <f>IF(AND(I98&lt;&gt;"",M98=0),1,0)</f>
        <v/>
      </c>
      <c r="P98">
        <f>IF(AND(O98=1,I98&lt;&gt;"女"),COUNTIFS($O$2:O98,1,$I$2:I98,"&lt;&gt;女"),"")</f>
        <v/>
      </c>
      <c r="Q98">
        <f>IF(AND(O98=1,I98="女"),COUNTIFS($O$2:O98,1,$I$2:I98,"女"),"")</f>
        <v/>
      </c>
      <c r="R98">
        <f>IF(AND(I98&lt;&gt;"",M98&gt;=1,N98=0),1,0)</f>
        <v/>
      </c>
      <c r="S98">
        <f>IF(AND(D98&lt;&gt;"",I98=""),1,0)</f>
        <v/>
      </c>
      <c r="V98">
        <f>IF(J98="",0,J98)</f>
        <v/>
      </c>
      <c r="W98">
        <f>IF(I98="","",I98&amp;D98)</f>
        <v/>
      </c>
    </row>
    <row r="99">
      <c r="A99" t="n">
        <v>98</v>
      </c>
      <c r="B99">
        <f>INT((A99-1)/37)+1</f>
        <v/>
      </c>
      <c r="C99">
        <f>MOD(A99-1,37)+1</f>
        <v/>
      </c>
      <c r="D99">
        <f>TRIM(INDEX(データ入力!$B$5:$Q$41,C99,(B99-1)*4+1)&amp;"")</f>
        <v/>
      </c>
      <c r="E99">
        <f>INDEX(データ入力!$B$5:$Q$41,C99,(B99-1)*4+2)&amp;""</f>
        <v/>
      </c>
      <c r="F99">
        <f>IF(OR(E99="1",E99="１",E99="男"),"男",IF(OR(E99="2",E99="２",E99="女"),"女",""))</f>
        <v/>
      </c>
      <c r="G99">
        <f>INDEX(データ入力!$B$5:$Q$41,C99,(B99-1)*4+3)</f>
        <v/>
      </c>
      <c r="H99">
        <f>IF(D99="","",IF($U$2,"混",F99))</f>
        <v/>
      </c>
      <c r="I99">
        <f>IF(AND(H99&lt;&gt;"",ISNUMBER(G99)),H99,"")</f>
        <v/>
      </c>
      <c r="J99">
        <f>IF(I99="","",COUNTIFS($I$2:$I$149,I99,$B$2:$B$149,B99,$G$2:$G$149,"&lt;"&amp;G99)+COUNTIFS($I$2:$I$149,I99,$B$2:$B$149,B99,$G$2:$G$149,G99,$A$2:$A$149,"&lt;"&amp;A99)+1)</f>
        <v/>
      </c>
      <c r="K99">
        <f>IF(I99="","",I99&amp;B99&amp;"-"&amp;J99)</f>
        <v/>
      </c>
      <c r="L99">
        <f>IF(I99="","",I99&amp;B99&amp;"|"&amp;D99)</f>
        <v/>
      </c>
      <c r="M99">
        <f>IF(I99="","",IF(I99="女",COUNTIF(手直し!$G$6:$J$42,D99),COUNTIF(手直し!$B$6:$E$42,D99)))</f>
        <v/>
      </c>
      <c r="N99">
        <f>IF(I99="","",IF(I99="女",COUNTIF(INDEX(手直し!$G$6:$J$42,0,B99),D99),COUNTIF(INDEX(手直し!$B$6:$E$42,0,B99),D99)))</f>
        <v/>
      </c>
      <c r="O99">
        <f>IF(AND(I99&lt;&gt;"",M99=0),1,0)</f>
        <v/>
      </c>
      <c r="P99">
        <f>IF(AND(O99=1,I99&lt;&gt;"女"),COUNTIFS($O$2:O99,1,$I$2:I99,"&lt;&gt;女"),"")</f>
        <v/>
      </c>
      <c r="Q99">
        <f>IF(AND(O99=1,I99="女"),COUNTIFS($O$2:O99,1,$I$2:I99,"女"),"")</f>
        <v/>
      </c>
      <c r="R99">
        <f>IF(AND(I99&lt;&gt;"",M99&gt;=1,N99=0),1,0)</f>
        <v/>
      </c>
      <c r="S99">
        <f>IF(AND(D99&lt;&gt;"",I99=""),1,0)</f>
        <v/>
      </c>
      <c r="V99">
        <f>IF(J99="",0,J99)</f>
        <v/>
      </c>
      <c r="W99">
        <f>IF(I99="","",I99&amp;D99)</f>
        <v/>
      </c>
    </row>
    <row r="100">
      <c r="A100" t="n">
        <v>99</v>
      </c>
      <c r="B100">
        <f>INT((A100-1)/37)+1</f>
        <v/>
      </c>
      <c r="C100">
        <f>MOD(A100-1,37)+1</f>
        <v/>
      </c>
      <c r="D100">
        <f>TRIM(INDEX(データ入力!$B$5:$Q$41,C100,(B100-1)*4+1)&amp;"")</f>
        <v/>
      </c>
      <c r="E100">
        <f>INDEX(データ入力!$B$5:$Q$41,C100,(B100-1)*4+2)&amp;""</f>
        <v/>
      </c>
      <c r="F100">
        <f>IF(OR(E100="1",E100="１",E100="男"),"男",IF(OR(E100="2",E100="２",E100="女"),"女",""))</f>
        <v/>
      </c>
      <c r="G100">
        <f>INDEX(データ入力!$B$5:$Q$41,C100,(B100-1)*4+3)</f>
        <v/>
      </c>
      <c r="H100">
        <f>IF(D100="","",IF($U$2,"混",F100))</f>
        <v/>
      </c>
      <c r="I100">
        <f>IF(AND(H100&lt;&gt;"",ISNUMBER(G100)),H100,"")</f>
        <v/>
      </c>
      <c r="J100">
        <f>IF(I100="","",COUNTIFS($I$2:$I$149,I100,$B$2:$B$149,B100,$G$2:$G$149,"&lt;"&amp;G100)+COUNTIFS($I$2:$I$149,I100,$B$2:$B$149,B100,$G$2:$G$149,G100,$A$2:$A$149,"&lt;"&amp;A100)+1)</f>
        <v/>
      </c>
      <c r="K100">
        <f>IF(I100="","",I100&amp;B100&amp;"-"&amp;J100)</f>
        <v/>
      </c>
      <c r="L100">
        <f>IF(I100="","",I100&amp;B100&amp;"|"&amp;D100)</f>
        <v/>
      </c>
      <c r="M100">
        <f>IF(I100="","",IF(I100="女",COUNTIF(手直し!$G$6:$J$42,D100),COUNTIF(手直し!$B$6:$E$42,D100)))</f>
        <v/>
      </c>
      <c r="N100">
        <f>IF(I100="","",IF(I100="女",COUNTIF(INDEX(手直し!$G$6:$J$42,0,B100),D100),COUNTIF(INDEX(手直し!$B$6:$E$42,0,B100),D100)))</f>
        <v/>
      </c>
      <c r="O100">
        <f>IF(AND(I100&lt;&gt;"",M100=0),1,0)</f>
        <v/>
      </c>
      <c r="P100">
        <f>IF(AND(O100=1,I100&lt;&gt;"女"),COUNTIFS($O$2:O100,1,$I$2:I100,"&lt;&gt;女"),"")</f>
        <v/>
      </c>
      <c r="Q100">
        <f>IF(AND(O100=1,I100="女"),COUNTIFS($O$2:O100,1,$I$2:I100,"女"),"")</f>
        <v/>
      </c>
      <c r="R100">
        <f>IF(AND(I100&lt;&gt;"",M100&gt;=1,N100=0),1,0)</f>
        <v/>
      </c>
      <c r="S100">
        <f>IF(AND(D100&lt;&gt;"",I100=""),1,0)</f>
        <v/>
      </c>
      <c r="V100">
        <f>IF(J100="",0,J100)</f>
        <v/>
      </c>
      <c r="W100">
        <f>IF(I100="","",I100&amp;D100)</f>
        <v/>
      </c>
    </row>
    <row r="101">
      <c r="A101" t="n">
        <v>100</v>
      </c>
      <c r="B101">
        <f>INT((A101-1)/37)+1</f>
        <v/>
      </c>
      <c r="C101">
        <f>MOD(A101-1,37)+1</f>
        <v/>
      </c>
      <c r="D101">
        <f>TRIM(INDEX(データ入力!$B$5:$Q$41,C101,(B101-1)*4+1)&amp;"")</f>
        <v/>
      </c>
      <c r="E101">
        <f>INDEX(データ入力!$B$5:$Q$41,C101,(B101-1)*4+2)&amp;""</f>
        <v/>
      </c>
      <c r="F101">
        <f>IF(OR(E101="1",E101="１",E101="男"),"男",IF(OR(E101="2",E101="２",E101="女"),"女",""))</f>
        <v/>
      </c>
      <c r="G101">
        <f>INDEX(データ入力!$B$5:$Q$41,C101,(B101-1)*4+3)</f>
        <v/>
      </c>
      <c r="H101">
        <f>IF(D101="","",IF($U$2,"混",F101))</f>
        <v/>
      </c>
      <c r="I101">
        <f>IF(AND(H101&lt;&gt;"",ISNUMBER(G101)),H101,"")</f>
        <v/>
      </c>
      <c r="J101">
        <f>IF(I101="","",COUNTIFS($I$2:$I$149,I101,$B$2:$B$149,B101,$G$2:$G$149,"&lt;"&amp;G101)+COUNTIFS($I$2:$I$149,I101,$B$2:$B$149,B101,$G$2:$G$149,G101,$A$2:$A$149,"&lt;"&amp;A101)+1)</f>
        <v/>
      </c>
      <c r="K101">
        <f>IF(I101="","",I101&amp;B101&amp;"-"&amp;J101)</f>
        <v/>
      </c>
      <c r="L101">
        <f>IF(I101="","",I101&amp;B101&amp;"|"&amp;D101)</f>
        <v/>
      </c>
      <c r="M101">
        <f>IF(I101="","",IF(I101="女",COUNTIF(手直し!$G$6:$J$42,D101),COUNTIF(手直し!$B$6:$E$42,D101)))</f>
        <v/>
      </c>
      <c r="N101">
        <f>IF(I101="","",IF(I101="女",COUNTIF(INDEX(手直し!$G$6:$J$42,0,B101),D101),COUNTIF(INDEX(手直し!$B$6:$E$42,0,B101),D101)))</f>
        <v/>
      </c>
      <c r="O101">
        <f>IF(AND(I101&lt;&gt;"",M101=0),1,0)</f>
        <v/>
      </c>
      <c r="P101">
        <f>IF(AND(O101=1,I101&lt;&gt;"女"),COUNTIFS($O$2:O101,1,$I$2:I101,"&lt;&gt;女"),"")</f>
        <v/>
      </c>
      <c r="Q101">
        <f>IF(AND(O101=1,I101="女"),COUNTIFS($O$2:O101,1,$I$2:I101,"女"),"")</f>
        <v/>
      </c>
      <c r="R101">
        <f>IF(AND(I101&lt;&gt;"",M101&gt;=1,N101=0),1,0)</f>
        <v/>
      </c>
      <c r="S101">
        <f>IF(AND(D101&lt;&gt;"",I101=""),1,0)</f>
        <v/>
      </c>
      <c r="V101">
        <f>IF(J101="",0,J101)</f>
        <v/>
      </c>
      <c r="W101">
        <f>IF(I101="","",I101&amp;D101)</f>
        <v/>
      </c>
    </row>
    <row r="102">
      <c r="A102" t="n">
        <v>101</v>
      </c>
      <c r="B102">
        <f>INT((A102-1)/37)+1</f>
        <v/>
      </c>
      <c r="C102">
        <f>MOD(A102-1,37)+1</f>
        <v/>
      </c>
      <c r="D102">
        <f>TRIM(INDEX(データ入力!$B$5:$Q$41,C102,(B102-1)*4+1)&amp;"")</f>
        <v/>
      </c>
      <c r="E102">
        <f>INDEX(データ入力!$B$5:$Q$41,C102,(B102-1)*4+2)&amp;""</f>
        <v/>
      </c>
      <c r="F102">
        <f>IF(OR(E102="1",E102="１",E102="男"),"男",IF(OR(E102="2",E102="２",E102="女"),"女",""))</f>
        <v/>
      </c>
      <c r="G102">
        <f>INDEX(データ入力!$B$5:$Q$41,C102,(B102-1)*4+3)</f>
        <v/>
      </c>
      <c r="H102">
        <f>IF(D102="","",IF($U$2,"混",F102))</f>
        <v/>
      </c>
      <c r="I102">
        <f>IF(AND(H102&lt;&gt;"",ISNUMBER(G102)),H102,"")</f>
        <v/>
      </c>
      <c r="J102">
        <f>IF(I102="","",COUNTIFS($I$2:$I$149,I102,$B$2:$B$149,B102,$G$2:$G$149,"&lt;"&amp;G102)+COUNTIFS($I$2:$I$149,I102,$B$2:$B$149,B102,$G$2:$G$149,G102,$A$2:$A$149,"&lt;"&amp;A102)+1)</f>
        <v/>
      </c>
      <c r="K102">
        <f>IF(I102="","",I102&amp;B102&amp;"-"&amp;J102)</f>
        <v/>
      </c>
      <c r="L102">
        <f>IF(I102="","",I102&amp;B102&amp;"|"&amp;D102)</f>
        <v/>
      </c>
      <c r="M102">
        <f>IF(I102="","",IF(I102="女",COUNTIF(手直し!$G$6:$J$42,D102),COUNTIF(手直し!$B$6:$E$42,D102)))</f>
        <v/>
      </c>
      <c r="N102">
        <f>IF(I102="","",IF(I102="女",COUNTIF(INDEX(手直し!$G$6:$J$42,0,B102),D102),COUNTIF(INDEX(手直し!$B$6:$E$42,0,B102),D102)))</f>
        <v/>
      </c>
      <c r="O102">
        <f>IF(AND(I102&lt;&gt;"",M102=0),1,0)</f>
        <v/>
      </c>
      <c r="P102">
        <f>IF(AND(O102=1,I102&lt;&gt;"女"),COUNTIFS($O$2:O102,1,$I$2:I102,"&lt;&gt;女"),"")</f>
        <v/>
      </c>
      <c r="Q102">
        <f>IF(AND(O102=1,I102="女"),COUNTIFS($O$2:O102,1,$I$2:I102,"女"),"")</f>
        <v/>
      </c>
      <c r="R102">
        <f>IF(AND(I102&lt;&gt;"",M102&gt;=1,N102=0),1,0)</f>
        <v/>
      </c>
      <c r="S102">
        <f>IF(AND(D102&lt;&gt;"",I102=""),1,0)</f>
        <v/>
      </c>
      <c r="V102">
        <f>IF(J102="",0,J102)</f>
        <v/>
      </c>
      <c r="W102">
        <f>IF(I102="","",I102&amp;D102)</f>
        <v/>
      </c>
    </row>
    <row r="103">
      <c r="A103" t="n">
        <v>102</v>
      </c>
      <c r="B103">
        <f>INT((A103-1)/37)+1</f>
        <v/>
      </c>
      <c r="C103">
        <f>MOD(A103-1,37)+1</f>
        <v/>
      </c>
      <c r="D103">
        <f>TRIM(INDEX(データ入力!$B$5:$Q$41,C103,(B103-1)*4+1)&amp;"")</f>
        <v/>
      </c>
      <c r="E103">
        <f>INDEX(データ入力!$B$5:$Q$41,C103,(B103-1)*4+2)&amp;""</f>
        <v/>
      </c>
      <c r="F103">
        <f>IF(OR(E103="1",E103="１",E103="男"),"男",IF(OR(E103="2",E103="２",E103="女"),"女",""))</f>
        <v/>
      </c>
      <c r="G103">
        <f>INDEX(データ入力!$B$5:$Q$41,C103,(B103-1)*4+3)</f>
        <v/>
      </c>
      <c r="H103">
        <f>IF(D103="","",IF($U$2,"混",F103))</f>
        <v/>
      </c>
      <c r="I103">
        <f>IF(AND(H103&lt;&gt;"",ISNUMBER(G103)),H103,"")</f>
        <v/>
      </c>
      <c r="J103">
        <f>IF(I103="","",COUNTIFS($I$2:$I$149,I103,$B$2:$B$149,B103,$G$2:$G$149,"&lt;"&amp;G103)+COUNTIFS($I$2:$I$149,I103,$B$2:$B$149,B103,$G$2:$G$149,G103,$A$2:$A$149,"&lt;"&amp;A103)+1)</f>
        <v/>
      </c>
      <c r="K103">
        <f>IF(I103="","",I103&amp;B103&amp;"-"&amp;J103)</f>
        <v/>
      </c>
      <c r="L103">
        <f>IF(I103="","",I103&amp;B103&amp;"|"&amp;D103)</f>
        <v/>
      </c>
      <c r="M103">
        <f>IF(I103="","",IF(I103="女",COUNTIF(手直し!$G$6:$J$42,D103),COUNTIF(手直し!$B$6:$E$42,D103)))</f>
        <v/>
      </c>
      <c r="N103">
        <f>IF(I103="","",IF(I103="女",COUNTIF(INDEX(手直し!$G$6:$J$42,0,B103),D103),COUNTIF(INDEX(手直し!$B$6:$E$42,0,B103),D103)))</f>
        <v/>
      </c>
      <c r="O103">
        <f>IF(AND(I103&lt;&gt;"",M103=0),1,0)</f>
        <v/>
      </c>
      <c r="P103">
        <f>IF(AND(O103=1,I103&lt;&gt;"女"),COUNTIFS($O$2:O103,1,$I$2:I103,"&lt;&gt;女"),"")</f>
        <v/>
      </c>
      <c r="Q103">
        <f>IF(AND(O103=1,I103="女"),COUNTIFS($O$2:O103,1,$I$2:I103,"女"),"")</f>
        <v/>
      </c>
      <c r="R103">
        <f>IF(AND(I103&lt;&gt;"",M103&gt;=1,N103=0),1,0)</f>
        <v/>
      </c>
      <c r="S103">
        <f>IF(AND(D103&lt;&gt;"",I103=""),1,0)</f>
        <v/>
      </c>
      <c r="V103">
        <f>IF(J103="",0,J103)</f>
        <v/>
      </c>
      <c r="W103">
        <f>IF(I103="","",I103&amp;D103)</f>
        <v/>
      </c>
    </row>
    <row r="104">
      <c r="A104" t="n">
        <v>103</v>
      </c>
      <c r="B104">
        <f>INT((A104-1)/37)+1</f>
        <v/>
      </c>
      <c r="C104">
        <f>MOD(A104-1,37)+1</f>
        <v/>
      </c>
      <c r="D104">
        <f>TRIM(INDEX(データ入力!$B$5:$Q$41,C104,(B104-1)*4+1)&amp;"")</f>
        <v/>
      </c>
      <c r="E104">
        <f>INDEX(データ入力!$B$5:$Q$41,C104,(B104-1)*4+2)&amp;""</f>
        <v/>
      </c>
      <c r="F104">
        <f>IF(OR(E104="1",E104="１",E104="男"),"男",IF(OR(E104="2",E104="２",E104="女"),"女",""))</f>
        <v/>
      </c>
      <c r="G104">
        <f>INDEX(データ入力!$B$5:$Q$41,C104,(B104-1)*4+3)</f>
        <v/>
      </c>
      <c r="H104">
        <f>IF(D104="","",IF($U$2,"混",F104))</f>
        <v/>
      </c>
      <c r="I104">
        <f>IF(AND(H104&lt;&gt;"",ISNUMBER(G104)),H104,"")</f>
        <v/>
      </c>
      <c r="J104">
        <f>IF(I104="","",COUNTIFS($I$2:$I$149,I104,$B$2:$B$149,B104,$G$2:$G$149,"&lt;"&amp;G104)+COUNTIFS($I$2:$I$149,I104,$B$2:$B$149,B104,$G$2:$G$149,G104,$A$2:$A$149,"&lt;"&amp;A104)+1)</f>
        <v/>
      </c>
      <c r="K104">
        <f>IF(I104="","",I104&amp;B104&amp;"-"&amp;J104)</f>
        <v/>
      </c>
      <c r="L104">
        <f>IF(I104="","",I104&amp;B104&amp;"|"&amp;D104)</f>
        <v/>
      </c>
      <c r="M104">
        <f>IF(I104="","",IF(I104="女",COUNTIF(手直し!$G$6:$J$42,D104),COUNTIF(手直し!$B$6:$E$42,D104)))</f>
        <v/>
      </c>
      <c r="N104">
        <f>IF(I104="","",IF(I104="女",COUNTIF(INDEX(手直し!$G$6:$J$42,0,B104),D104),COUNTIF(INDEX(手直し!$B$6:$E$42,0,B104),D104)))</f>
        <v/>
      </c>
      <c r="O104">
        <f>IF(AND(I104&lt;&gt;"",M104=0),1,0)</f>
        <v/>
      </c>
      <c r="P104">
        <f>IF(AND(O104=1,I104&lt;&gt;"女"),COUNTIFS($O$2:O104,1,$I$2:I104,"&lt;&gt;女"),"")</f>
        <v/>
      </c>
      <c r="Q104">
        <f>IF(AND(O104=1,I104="女"),COUNTIFS($O$2:O104,1,$I$2:I104,"女"),"")</f>
        <v/>
      </c>
      <c r="R104">
        <f>IF(AND(I104&lt;&gt;"",M104&gt;=1,N104=0),1,0)</f>
        <v/>
      </c>
      <c r="S104">
        <f>IF(AND(D104&lt;&gt;"",I104=""),1,0)</f>
        <v/>
      </c>
      <c r="V104">
        <f>IF(J104="",0,J104)</f>
        <v/>
      </c>
      <c r="W104">
        <f>IF(I104="","",I104&amp;D104)</f>
        <v/>
      </c>
    </row>
    <row r="105">
      <c r="A105" t="n">
        <v>104</v>
      </c>
      <c r="B105">
        <f>INT((A105-1)/37)+1</f>
        <v/>
      </c>
      <c r="C105">
        <f>MOD(A105-1,37)+1</f>
        <v/>
      </c>
      <c r="D105">
        <f>TRIM(INDEX(データ入力!$B$5:$Q$41,C105,(B105-1)*4+1)&amp;"")</f>
        <v/>
      </c>
      <c r="E105">
        <f>INDEX(データ入力!$B$5:$Q$41,C105,(B105-1)*4+2)&amp;""</f>
        <v/>
      </c>
      <c r="F105">
        <f>IF(OR(E105="1",E105="１",E105="男"),"男",IF(OR(E105="2",E105="２",E105="女"),"女",""))</f>
        <v/>
      </c>
      <c r="G105">
        <f>INDEX(データ入力!$B$5:$Q$41,C105,(B105-1)*4+3)</f>
        <v/>
      </c>
      <c r="H105">
        <f>IF(D105="","",IF($U$2,"混",F105))</f>
        <v/>
      </c>
      <c r="I105">
        <f>IF(AND(H105&lt;&gt;"",ISNUMBER(G105)),H105,"")</f>
        <v/>
      </c>
      <c r="J105">
        <f>IF(I105="","",COUNTIFS($I$2:$I$149,I105,$B$2:$B$149,B105,$G$2:$G$149,"&lt;"&amp;G105)+COUNTIFS($I$2:$I$149,I105,$B$2:$B$149,B105,$G$2:$G$149,G105,$A$2:$A$149,"&lt;"&amp;A105)+1)</f>
        <v/>
      </c>
      <c r="K105">
        <f>IF(I105="","",I105&amp;B105&amp;"-"&amp;J105)</f>
        <v/>
      </c>
      <c r="L105">
        <f>IF(I105="","",I105&amp;B105&amp;"|"&amp;D105)</f>
        <v/>
      </c>
      <c r="M105">
        <f>IF(I105="","",IF(I105="女",COUNTIF(手直し!$G$6:$J$42,D105),COUNTIF(手直し!$B$6:$E$42,D105)))</f>
        <v/>
      </c>
      <c r="N105">
        <f>IF(I105="","",IF(I105="女",COUNTIF(INDEX(手直し!$G$6:$J$42,0,B105),D105),COUNTIF(INDEX(手直し!$B$6:$E$42,0,B105),D105)))</f>
        <v/>
      </c>
      <c r="O105">
        <f>IF(AND(I105&lt;&gt;"",M105=0),1,0)</f>
        <v/>
      </c>
      <c r="P105">
        <f>IF(AND(O105=1,I105&lt;&gt;"女"),COUNTIFS($O$2:O105,1,$I$2:I105,"&lt;&gt;女"),"")</f>
        <v/>
      </c>
      <c r="Q105">
        <f>IF(AND(O105=1,I105="女"),COUNTIFS($O$2:O105,1,$I$2:I105,"女"),"")</f>
        <v/>
      </c>
      <c r="R105">
        <f>IF(AND(I105&lt;&gt;"",M105&gt;=1,N105=0),1,0)</f>
        <v/>
      </c>
      <c r="S105">
        <f>IF(AND(D105&lt;&gt;"",I105=""),1,0)</f>
        <v/>
      </c>
      <c r="V105">
        <f>IF(J105="",0,J105)</f>
        <v/>
      </c>
      <c r="W105">
        <f>IF(I105="","",I105&amp;D105)</f>
        <v/>
      </c>
    </row>
    <row r="106">
      <c r="A106" t="n">
        <v>105</v>
      </c>
      <c r="B106">
        <f>INT((A106-1)/37)+1</f>
        <v/>
      </c>
      <c r="C106">
        <f>MOD(A106-1,37)+1</f>
        <v/>
      </c>
      <c r="D106">
        <f>TRIM(INDEX(データ入力!$B$5:$Q$41,C106,(B106-1)*4+1)&amp;"")</f>
        <v/>
      </c>
      <c r="E106">
        <f>INDEX(データ入力!$B$5:$Q$41,C106,(B106-1)*4+2)&amp;""</f>
        <v/>
      </c>
      <c r="F106">
        <f>IF(OR(E106="1",E106="１",E106="男"),"男",IF(OR(E106="2",E106="２",E106="女"),"女",""))</f>
        <v/>
      </c>
      <c r="G106">
        <f>INDEX(データ入力!$B$5:$Q$41,C106,(B106-1)*4+3)</f>
        <v/>
      </c>
      <c r="H106">
        <f>IF(D106="","",IF($U$2,"混",F106))</f>
        <v/>
      </c>
      <c r="I106">
        <f>IF(AND(H106&lt;&gt;"",ISNUMBER(G106)),H106,"")</f>
        <v/>
      </c>
      <c r="J106">
        <f>IF(I106="","",COUNTIFS($I$2:$I$149,I106,$B$2:$B$149,B106,$G$2:$G$149,"&lt;"&amp;G106)+COUNTIFS($I$2:$I$149,I106,$B$2:$B$149,B106,$G$2:$G$149,G106,$A$2:$A$149,"&lt;"&amp;A106)+1)</f>
        <v/>
      </c>
      <c r="K106">
        <f>IF(I106="","",I106&amp;B106&amp;"-"&amp;J106)</f>
        <v/>
      </c>
      <c r="L106">
        <f>IF(I106="","",I106&amp;B106&amp;"|"&amp;D106)</f>
        <v/>
      </c>
      <c r="M106">
        <f>IF(I106="","",IF(I106="女",COUNTIF(手直し!$G$6:$J$42,D106),COUNTIF(手直し!$B$6:$E$42,D106)))</f>
        <v/>
      </c>
      <c r="N106">
        <f>IF(I106="","",IF(I106="女",COUNTIF(INDEX(手直し!$G$6:$J$42,0,B106),D106),COUNTIF(INDEX(手直し!$B$6:$E$42,0,B106),D106)))</f>
        <v/>
      </c>
      <c r="O106">
        <f>IF(AND(I106&lt;&gt;"",M106=0),1,0)</f>
        <v/>
      </c>
      <c r="P106">
        <f>IF(AND(O106=1,I106&lt;&gt;"女"),COUNTIFS($O$2:O106,1,$I$2:I106,"&lt;&gt;女"),"")</f>
        <v/>
      </c>
      <c r="Q106">
        <f>IF(AND(O106=1,I106="女"),COUNTIFS($O$2:O106,1,$I$2:I106,"女"),"")</f>
        <v/>
      </c>
      <c r="R106">
        <f>IF(AND(I106&lt;&gt;"",M106&gt;=1,N106=0),1,0)</f>
        <v/>
      </c>
      <c r="S106">
        <f>IF(AND(D106&lt;&gt;"",I106=""),1,0)</f>
        <v/>
      </c>
      <c r="V106">
        <f>IF(J106="",0,J106)</f>
        <v/>
      </c>
      <c r="W106">
        <f>IF(I106="","",I106&amp;D106)</f>
        <v/>
      </c>
    </row>
    <row r="107">
      <c r="A107" t="n">
        <v>106</v>
      </c>
      <c r="B107">
        <f>INT((A107-1)/37)+1</f>
        <v/>
      </c>
      <c r="C107">
        <f>MOD(A107-1,37)+1</f>
        <v/>
      </c>
      <c r="D107">
        <f>TRIM(INDEX(データ入力!$B$5:$Q$41,C107,(B107-1)*4+1)&amp;"")</f>
        <v/>
      </c>
      <c r="E107">
        <f>INDEX(データ入力!$B$5:$Q$41,C107,(B107-1)*4+2)&amp;""</f>
        <v/>
      </c>
      <c r="F107">
        <f>IF(OR(E107="1",E107="１",E107="男"),"男",IF(OR(E107="2",E107="２",E107="女"),"女",""))</f>
        <v/>
      </c>
      <c r="G107">
        <f>INDEX(データ入力!$B$5:$Q$41,C107,(B107-1)*4+3)</f>
        <v/>
      </c>
      <c r="H107">
        <f>IF(D107="","",IF($U$2,"混",F107))</f>
        <v/>
      </c>
      <c r="I107">
        <f>IF(AND(H107&lt;&gt;"",ISNUMBER(G107)),H107,"")</f>
        <v/>
      </c>
      <c r="J107">
        <f>IF(I107="","",COUNTIFS($I$2:$I$149,I107,$B$2:$B$149,B107,$G$2:$G$149,"&lt;"&amp;G107)+COUNTIFS($I$2:$I$149,I107,$B$2:$B$149,B107,$G$2:$G$149,G107,$A$2:$A$149,"&lt;"&amp;A107)+1)</f>
        <v/>
      </c>
      <c r="K107">
        <f>IF(I107="","",I107&amp;B107&amp;"-"&amp;J107)</f>
        <v/>
      </c>
      <c r="L107">
        <f>IF(I107="","",I107&amp;B107&amp;"|"&amp;D107)</f>
        <v/>
      </c>
      <c r="M107">
        <f>IF(I107="","",IF(I107="女",COUNTIF(手直し!$G$6:$J$42,D107),COUNTIF(手直し!$B$6:$E$42,D107)))</f>
        <v/>
      </c>
      <c r="N107">
        <f>IF(I107="","",IF(I107="女",COUNTIF(INDEX(手直し!$G$6:$J$42,0,B107),D107),COUNTIF(INDEX(手直し!$B$6:$E$42,0,B107),D107)))</f>
        <v/>
      </c>
      <c r="O107">
        <f>IF(AND(I107&lt;&gt;"",M107=0),1,0)</f>
        <v/>
      </c>
      <c r="P107">
        <f>IF(AND(O107=1,I107&lt;&gt;"女"),COUNTIFS($O$2:O107,1,$I$2:I107,"&lt;&gt;女"),"")</f>
        <v/>
      </c>
      <c r="Q107">
        <f>IF(AND(O107=1,I107="女"),COUNTIFS($O$2:O107,1,$I$2:I107,"女"),"")</f>
        <v/>
      </c>
      <c r="R107">
        <f>IF(AND(I107&lt;&gt;"",M107&gt;=1,N107=0),1,0)</f>
        <v/>
      </c>
      <c r="S107">
        <f>IF(AND(D107&lt;&gt;"",I107=""),1,0)</f>
        <v/>
      </c>
      <c r="V107">
        <f>IF(J107="",0,J107)</f>
        <v/>
      </c>
      <c r="W107">
        <f>IF(I107="","",I107&amp;D107)</f>
        <v/>
      </c>
    </row>
    <row r="108">
      <c r="A108" t="n">
        <v>107</v>
      </c>
      <c r="B108">
        <f>INT((A108-1)/37)+1</f>
        <v/>
      </c>
      <c r="C108">
        <f>MOD(A108-1,37)+1</f>
        <v/>
      </c>
      <c r="D108">
        <f>TRIM(INDEX(データ入力!$B$5:$Q$41,C108,(B108-1)*4+1)&amp;"")</f>
        <v/>
      </c>
      <c r="E108">
        <f>INDEX(データ入力!$B$5:$Q$41,C108,(B108-1)*4+2)&amp;""</f>
        <v/>
      </c>
      <c r="F108">
        <f>IF(OR(E108="1",E108="１",E108="男"),"男",IF(OR(E108="2",E108="２",E108="女"),"女",""))</f>
        <v/>
      </c>
      <c r="G108">
        <f>INDEX(データ入力!$B$5:$Q$41,C108,(B108-1)*4+3)</f>
        <v/>
      </c>
      <c r="H108">
        <f>IF(D108="","",IF($U$2,"混",F108))</f>
        <v/>
      </c>
      <c r="I108">
        <f>IF(AND(H108&lt;&gt;"",ISNUMBER(G108)),H108,"")</f>
        <v/>
      </c>
      <c r="J108">
        <f>IF(I108="","",COUNTIFS($I$2:$I$149,I108,$B$2:$B$149,B108,$G$2:$G$149,"&lt;"&amp;G108)+COUNTIFS($I$2:$I$149,I108,$B$2:$B$149,B108,$G$2:$G$149,G108,$A$2:$A$149,"&lt;"&amp;A108)+1)</f>
        <v/>
      </c>
      <c r="K108">
        <f>IF(I108="","",I108&amp;B108&amp;"-"&amp;J108)</f>
        <v/>
      </c>
      <c r="L108">
        <f>IF(I108="","",I108&amp;B108&amp;"|"&amp;D108)</f>
        <v/>
      </c>
      <c r="M108">
        <f>IF(I108="","",IF(I108="女",COUNTIF(手直し!$G$6:$J$42,D108),COUNTIF(手直し!$B$6:$E$42,D108)))</f>
        <v/>
      </c>
      <c r="N108">
        <f>IF(I108="","",IF(I108="女",COUNTIF(INDEX(手直し!$G$6:$J$42,0,B108),D108),COUNTIF(INDEX(手直し!$B$6:$E$42,0,B108),D108)))</f>
        <v/>
      </c>
      <c r="O108">
        <f>IF(AND(I108&lt;&gt;"",M108=0),1,0)</f>
        <v/>
      </c>
      <c r="P108">
        <f>IF(AND(O108=1,I108&lt;&gt;"女"),COUNTIFS($O$2:O108,1,$I$2:I108,"&lt;&gt;女"),"")</f>
        <v/>
      </c>
      <c r="Q108">
        <f>IF(AND(O108=1,I108="女"),COUNTIFS($O$2:O108,1,$I$2:I108,"女"),"")</f>
        <v/>
      </c>
      <c r="R108">
        <f>IF(AND(I108&lt;&gt;"",M108&gt;=1,N108=0),1,0)</f>
        <v/>
      </c>
      <c r="S108">
        <f>IF(AND(D108&lt;&gt;"",I108=""),1,0)</f>
        <v/>
      </c>
      <c r="V108">
        <f>IF(J108="",0,J108)</f>
        <v/>
      </c>
      <c r="W108">
        <f>IF(I108="","",I108&amp;D108)</f>
        <v/>
      </c>
    </row>
    <row r="109">
      <c r="A109" t="n">
        <v>108</v>
      </c>
      <c r="B109">
        <f>INT((A109-1)/37)+1</f>
        <v/>
      </c>
      <c r="C109">
        <f>MOD(A109-1,37)+1</f>
        <v/>
      </c>
      <c r="D109">
        <f>TRIM(INDEX(データ入力!$B$5:$Q$41,C109,(B109-1)*4+1)&amp;"")</f>
        <v/>
      </c>
      <c r="E109">
        <f>INDEX(データ入力!$B$5:$Q$41,C109,(B109-1)*4+2)&amp;""</f>
        <v/>
      </c>
      <c r="F109">
        <f>IF(OR(E109="1",E109="１",E109="男"),"男",IF(OR(E109="2",E109="２",E109="女"),"女",""))</f>
        <v/>
      </c>
      <c r="G109">
        <f>INDEX(データ入力!$B$5:$Q$41,C109,(B109-1)*4+3)</f>
        <v/>
      </c>
      <c r="H109">
        <f>IF(D109="","",IF($U$2,"混",F109))</f>
        <v/>
      </c>
      <c r="I109">
        <f>IF(AND(H109&lt;&gt;"",ISNUMBER(G109)),H109,"")</f>
        <v/>
      </c>
      <c r="J109">
        <f>IF(I109="","",COUNTIFS($I$2:$I$149,I109,$B$2:$B$149,B109,$G$2:$G$149,"&lt;"&amp;G109)+COUNTIFS($I$2:$I$149,I109,$B$2:$B$149,B109,$G$2:$G$149,G109,$A$2:$A$149,"&lt;"&amp;A109)+1)</f>
        <v/>
      </c>
      <c r="K109">
        <f>IF(I109="","",I109&amp;B109&amp;"-"&amp;J109)</f>
        <v/>
      </c>
      <c r="L109">
        <f>IF(I109="","",I109&amp;B109&amp;"|"&amp;D109)</f>
        <v/>
      </c>
      <c r="M109">
        <f>IF(I109="","",IF(I109="女",COUNTIF(手直し!$G$6:$J$42,D109),COUNTIF(手直し!$B$6:$E$42,D109)))</f>
        <v/>
      </c>
      <c r="N109">
        <f>IF(I109="","",IF(I109="女",COUNTIF(INDEX(手直し!$G$6:$J$42,0,B109),D109),COUNTIF(INDEX(手直し!$B$6:$E$42,0,B109),D109)))</f>
        <v/>
      </c>
      <c r="O109">
        <f>IF(AND(I109&lt;&gt;"",M109=0),1,0)</f>
        <v/>
      </c>
      <c r="P109">
        <f>IF(AND(O109=1,I109&lt;&gt;"女"),COUNTIFS($O$2:O109,1,$I$2:I109,"&lt;&gt;女"),"")</f>
        <v/>
      </c>
      <c r="Q109">
        <f>IF(AND(O109=1,I109="女"),COUNTIFS($O$2:O109,1,$I$2:I109,"女"),"")</f>
        <v/>
      </c>
      <c r="R109">
        <f>IF(AND(I109&lt;&gt;"",M109&gt;=1,N109=0),1,0)</f>
        <v/>
      </c>
      <c r="S109">
        <f>IF(AND(D109&lt;&gt;"",I109=""),1,0)</f>
        <v/>
      </c>
      <c r="V109">
        <f>IF(J109="",0,J109)</f>
        <v/>
      </c>
      <c r="W109">
        <f>IF(I109="","",I109&amp;D109)</f>
        <v/>
      </c>
    </row>
    <row r="110">
      <c r="A110" t="n">
        <v>109</v>
      </c>
      <c r="B110">
        <f>INT((A110-1)/37)+1</f>
        <v/>
      </c>
      <c r="C110">
        <f>MOD(A110-1,37)+1</f>
        <v/>
      </c>
      <c r="D110">
        <f>TRIM(INDEX(データ入力!$B$5:$Q$41,C110,(B110-1)*4+1)&amp;"")</f>
        <v/>
      </c>
      <c r="E110">
        <f>INDEX(データ入力!$B$5:$Q$41,C110,(B110-1)*4+2)&amp;""</f>
        <v/>
      </c>
      <c r="F110">
        <f>IF(OR(E110="1",E110="１",E110="男"),"男",IF(OR(E110="2",E110="２",E110="女"),"女",""))</f>
        <v/>
      </c>
      <c r="G110">
        <f>INDEX(データ入力!$B$5:$Q$41,C110,(B110-1)*4+3)</f>
        <v/>
      </c>
      <c r="H110">
        <f>IF(D110="","",IF($U$2,"混",F110))</f>
        <v/>
      </c>
      <c r="I110">
        <f>IF(AND(H110&lt;&gt;"",ISNUMBER(G110)),H110,"")</f>
        <v/>
      </c>
      <c r="J110">
        <f>IF(I110="","",COUNTIFS($I$2:$I$149,I110,$B$2:$B$149,B110,$G$2:$G$149,"&lt;"&amp;G110)+COUNTIFS($I$2:$I$149,I110,$B$2:$B$149,B110,$G$2:$G$149,G110,$A$2:$A$149,"&lt;"&amp;A110)+1)</f>
        <v/>
      </c>
      <c r="K110">
        <f>IF(I110="","",I110&amp;B110&amp;"-"&amp;J110)</f>
        <v/>
      </c>
      <c r="L110">
        <f>IF(I110="","",I110&amp;B110&amp;"|"&amp;D110)</f>
        <v/>
      </c>
      <c r="M110">
        <f>IF(I110="","",IF(I110="女",COUNTIF(手直し!$G$6:$J$42,D110),COUNTIF(手直し!$B$6:$E$42,D110)))</f>
        <v/>
      </c>
      <c r="N110">
        <f>IF(I110="","",IF(I110="女",COUNTIF(INDEX(手直し!$G$6:$J$42,0,B110),D110),COUNTIF(INDEX(手直し!$B$6:$E$42,0,B110),D110)))</f>
        <v/>
      </c>
      <c r="O110">
        <f>IF(AND(I110&lt;&gt;"",M110=0),1,0)</f>
        <v/>
      </c>
      <c r="P110">
        <f>IF(AND(O110=1,I110&lt;&gt;"女"),COUNTIFS($O$2:O110,1,$I$2:I110,"&lt;&gt;女"),"")</f>
        <v/>
      </c>
      <c r="Q110">
        <f>IF(AND(O110=1,I110="女"),COUNTIFS($O$2:O110,1,$I$2:I110,"女"),"")</f>
        <v/>
      </c>
      <c r="R110">
        <f>IF(AND(I110&lt;&gt;"",M110&gt;=1,N110=0),1,0)</f>
        <v/>
      </c>
      <c r="S110">
        <f>IF(AND(D110&lt;&gt;"",I110=""),1,0)</f>
        <v/>
      </c>
      <c r="V110">
        <f>IF(J110="",0,J110)</f>
        <v/>
      </c>
      <c r="W110">
        <f>IF(I110="","",I110&amp;D110)</f>
        <v/>
      </c>
    </row>
    <row r="111">
      <c r="A111" t="n">
        <v>110</v>
      </c>
      <c r="B111">
        <f>INT((A111-1)/37)+1</f>
        <v/>
      </c>
      <c r="C111">
        <f>MOD(A111-1,37)+1</f>
        <v/>
      </c>
      <c r="D111">
        <f>TRIM(INDEX(データ入力!$B$5:$Q$41,C111,(B111-1)*4+1)&amp;"")</f>
        <v/>
      </c>
      <c r="E111">
        <f>INDEX(データ入力!$B$5:$Q$41,C111,(B111-1)*4+2)&amp;""</f>
        <v/>
      </c>
      <c r="F111">
        <f>IF(OR(E111="1",E111="１",E111="男"),"男",IF(OR(E111="2",E111="２",E111="女"),"女",""))</f>
        <v/>
      </c>
      <c r="G111">
        <f>INDEX(データ入力!$B$5:$Q$41,C111,(B111-1)*4+3)</f>
        <v/>
      </c>
      <c r="H111">
        <f>IF(D111="","",IF($U$2,"混",F111))</f>
        <v/>
      </c>
      <c r="I111">
        <f>IF(AND(H111&lt;&gt;"",ISNUMBER(G111)),H111,"")</f>
        <v/>
      </c>
      <c r="J111">
        <f>IF(I111="","",COUNTIFS($I$2:$I$149,I111,$B$2:$B$149,B111,$G$2:$G$149,"&lt;"&amp;G111)+COUNTIFS($I$2:$I$149,I111,$B$2:$B$149,B111,$G$2:$G$149,G111,$A$2:$A$149,"&lt;"&amp;A111)+1)</f>
        <v/>
      </c>
      <c r="K111">
        <f>IF(I111="","",I111&amp;B111&amp;"-"&amp;J111)</f>
        <v/>
      </c>
      <c r="L111">
        <f>IF(I111="","",I111&amp;B111&amp;"|"&amp;D111)</f>
        <v/>
      </c>
      <c r="M111">
        <f>IF(I111="","",IF(I111="女",COUNTIF(手直し!$G$6:$J$42,D111),COUNTIF(手直し!$B$6:$E$42,D111)))</f>
        <v/>
      </c>
      <c r="N111">
        <f>IF(I111="","",IF(I111="女",COUNTIF(INDEX(手直し!$G$6:$J$42,0,B111),D111),COUNTIF(INDEX(手直し!$B$6:$E$42,0,B111),D111)))</f>
        <v/>
      </c>
      <c r="O111">
        <f>IF(AND(I111&lt;&gt;"",M111=0),1,0)</f>
        <v/>
      </c>
      <c r="P111">
        <f>IF(AND(O111=1,I111&lt;&gt;"女"),COUNTIFS($O$2:O111,1,$I$2:I111,"&lt;&gt;女"),"")</f>
        <v/>
      </c>
      <c r="Q111">
        <f>IF(AND(O111=1,I111="女"),COUNTIFS($O$2:O111,1,$I$2:I111,"女"),"")</f>
        <v/>
      </c>
      <c r="R111">
        <f>IF(AND(I111&lt;&gt;"",M111&gt;=1,N111=0),1,0)</f>
        <v/>
      </c>
      <c r="S111">
        <f>IF(AND(D111&lt;&gt;"",I111=""),1,0)</f>
        <v/>
      </c>
      <c r="V111">
        <f>IF(J111="",0,J111)</f>
        <v/>
      </c>
      <c r="W111">
        <f>IF(I111="","",I111&amp;D111)</f>
        <v/>
      </c>
    </row>
    <row r="112">
      <c r="A112" t="n">
        <v>111</v>
      </c>
      <c r="B112">
        <f>INT((A112-1)/37)+1</f>
        <v/>
      </c>
      <c r="C112">
        <f>MOD(A112-1,37)+1</f>
        <v/>
      </c>
      <c r="D112">
        <f>TRIM(INDEX(データ入力!$B$5:$Q$41,C112,(B112-1)*4+1)&amp;"")</f>
        <v/>
      </c>
      <c r="E112">
        <f>INDEX(データ入力!$B$5:$Q$41,C112,(B112-1)*4+2)&amp;""</f>
        <v/>
      </c>
      <c r="F112">
        <f>IF(OR(E112="1",E112="１",E112="男"),"男",IF(OR(E112="2",E112="２",E112="女"),"女",""))</f>
        <v/>
      </c>
      <c r="G112">
        <f>INDEX(データ入力!$B$5:$Q$41,C112,(B112-1)*4+3)</f>
        <v/>
      </c>
      <c r="H112">
        <f>IF(D112="","",IF($U$2,"混",F112))</f>
        <v/>
      </c>
      <c r="I112">
        <f>IF(AND(H112&lt;&gt;"",ISNUMBER(G112)),H112,"")</f>
        <v/>
      </c>
      <c r="J112">
        <f>IF(I112="","",COUNTIFS($I$2:$I$149,I112,$B$2:$B$149,B112,$G$2:$G$149,"&lt;"&amp;G112)+COUNTIFS($I$2:$I$149,I112,$B$2:$B$149,B112,$G$2:$G$149,G112,$A$2:$A$149,"&lt;"&amp;A112)+1)</f>
        <v/>
      </c>
      <c r="K112">
        <f>IF(I112="","",I112&amp;B112&amp;"-"&amp;J112)</f>
        <v/>
      </c>
      <c r="L112">
        <f>IF(I112="","",I112&amp;B112&amp;"|"&amp;D112)</f>
        <v/>
      </c>
      <c r="M112">
        <f>IF(I112="","",IF(I112="女",COUNTIF(手直し!$G$6:$J$42,D112),COUNTIF(手直し!$B$6:$E$42,D112)))</f>
        <v/>
      </c>
      <c r="N112">
        <f>IF(I112="","",IF(I112="女",COUNTIF(INDEX(手直し!$G$6:$J$42,0,B112),D112),COUNTIF(INDEX(手直し!$B$6:$E$42,0,B112),D112)))</f>
        <v/>
      </c>
      <c r="O112">
        <f>IF(AND(I112&lt;&gt;"",M112=0),1,0)</f>
        <v/>
      </c>
      <c r="P112">
        <f>IF(AND(O112=1,I112&lt;&gt;"女"),COUNTIFS($O$2:O112,1,$I$2:I112,"&lt;&gt;女"),"")</f>
        <v/>
      </c>
      <c r="Q112">
        <f>IF(AND(O112=1,I112="女"),COUNTIFS($O$2:O112,1,$I$2:I112,"女"),"")</f>
        <v/>
      </c>
      <c r="R112">
        <f>IF(AND(I112&lt;&gt;"",M112&gt;=1,N112=0),1,0)</f>
        <v/>
      </c>
      <c r="S112">
        <f>IF(AND(D112&lt;&gt;"",I112=""),1,0)</f>
        <v/>
      </c>
      <c r="V112">
        <f>IF(J112="",0,J112)</f>
        <v/>
      </c>
      <c r="W112">
        <f>IF(I112="","",I112&amp;D112)</f>
        <v/>
      </c>
    </row>
    <row r="113">
      <c r="A113" t="n">
        <v>112</v>
      </c>
      <c r="B113">
        <f>INT((A113-1)/37)+1</f>
        <v/>
      </c>
      <c r="C113">
        <f>MOD(A113-1,37)+1</f>
        <v/>
      </c>
      <c r="D113">
        <f>TRIM(INDEX(データ入力!$B$5:$Q$41,C113,(B113-1)*4+1)&amp;"")</f>
        <v/>
      </c>
      <c r="E113">
        <f>INDEX(データ入力!$B$5:$Q$41,C113,(B113-1)*4+2)&amp;""</f>
        <v/>
      </c>
      <c r="F113">
        <f>IF(OR(E113="1",E113="１",E113="男"),"男",IF(OR(E113="2",E113="２",E113="女"),"女",""))</f>
        <v/>
      </c>
      <c r="G113">
        <f>INDEX(データ入力!$B$5:$Q$41,C113,(B113-1)*4+3)</f>
        <v/>
      </c>
      <c r="H113">
        <f>IF(D113="","",IF($U$2,"混",F113))</f>
        <v/>
      </c>
      <c r="I113">
        <f>IF(AND(H113&lt;&gt;"",ISNUMBER(G113)),H113,"")</f>
        <v/>
      </c>
      <c r="J113">
        <f>IF(I113="","",COUNTIFS($I$2:$I$149,I113,$B$2:$B$149,B113,$G$2:$G$149,"&lt;"&amp;G113)+COUNTIFS($I$2:$I$149,I113,$B$2:$B$149,B113,$G$2:$G$149,G113,$A$2:$A$149,"&lt;"&amp;A113)+1)</f>
        <v/>
      </c>
      <c r="K113">
        <f>IF(I113="","",I113&amp;B113&amp;"-"&amp;J113)</f>
        <v/>
      </c>
      <c r="L113">
        <f>IF(I113="","",I113&amp;B113&amp;"|"&amp;D113)</f>
        <v/>
      </c>
      <c r="M113">
        <f>IF(I113="","",IF(I113="女",COUNTIF(手直し!$G$6:$J$42,D113),COUNTIF(手直し!$B$6:$E$42,D113)))</f>
        <v/>
      </c>
      <c r="N113">
        <f>IF(I113="","",IF(I113="女",COUNTIF(INDEX(手直し!$G$6:$J$42,0,B113),D113),COUNTIF(INDEX(手直し!$B$6:$E$42,0,B113),D113)))</f>
        <v/>
      </c>
      <c r="O113">
        <f>IF(AND(I113&lt;&gt;"",M113=0),1,0)</f>
        <v/>
      </c>
      <c r="P113">
        <f>IF(AND(O113=1,I113&lt;&gt;"女"),COUNTIFS($O$2:O113,1,$I$2:I113,"&lt;&gt;女"),"")</f>
        <v/>
      </c>
      <c r="Q113">
        <f>IF(AND(O113=1,I113="女"),COUNTIFS($O$2:O113,1,$I$2:I113,"女"),"")</f>
        <v/>
      </c>
      <c r="R113">
        <f>IF(AND(I113&lt;&gt;"",M113&gt;=1,N113=0),1,0)</f>
        <v/>
      </c>
      <c r="S113">
        <f>IF(AND(D113&lt;&gt;"",I113=""),1,0)</f>
        <v/>
      </c>
      <c r="V113">
        <f>IF(J113="",0,J113)</f>
        <v/>
      </c>
      <c r="W113">
        <f>IF(I113="","",I113&amp;D113)</f>
        <v/>
      </c>
    </row>
    <row r="114">
      <c r="A114" t="n">
        <v>113</v>
      </c>
      <c r="B114">
        <f>INT((A114-1)/37)+1</f>
        <v/>
      </c>
      <c r="C114">
        <f>MOD(A114-1,37)+1</f>
        <v/>
      </c>
      <c r="D114">
        <f>TRIM(INDEX(データ入力!$B$5:$Q$41,C114,(B114-1)*4+1)&amp;"")</f>
        <v/>
      </c>
      <c r="E114">
        <f>INDEX(データ入力!$B$5:$Q$41,C114,(B114-1)*4+2)&amp;""</f>
        <v/>
      </c>
      <c r="F114">
        <f>IF(OR(E114="1",E114="１",E114="男"),"男",IF(OR(E114="2",E114="２",E114="女"),"女",""))</f>
        <v/>
      </c>
      <c r="G114">
        <f>INDEX(データ入力!$B$5:$Q$41,C114,(B114-1)*4+3)</f>
        <v/>
      </c>
      <c r="H114">
        <f>IF(D114="","",IF($U$2,"混",F114))</f>
        <v/>
      </c>
      <c r="I114">
        <f>IF(AND(H114&lt;&gt;"",ISNUMBER(G114)),H114,"")</f>
        <v/>
      </c>
      <c r="J114">
        <f>IF(I114="","",COUNTIFS($I$2:$I$149,I114,$B$2:$B$149,B114,$G$2:$G$149,"&lt;"&amp;G114)+COUNTIFS($I$2:$I$149,I114,$B$2:$B$149,B114,$G$2:$G$149,G114,$A$2:$A$149,"&lt;"&amp;A114)+1)</f>
        <v/>
      </c>
      <c r="K114">
        <f>IF(I114="","",I114&amp;B114&amp;"-"&amp;J114)</f>
        <v/>
      </c>
      <c r="L114">
        <f>IF(I114="","",I114&amp;B114&amp;"|"&amp;D114)</f>
        <v/>
      </c>
      <c r="M114">
        <f>IF(I114="","",IF(I114="女",COUNTIF(手直し!$G$6:$J$42,D114),COUNTIF(手直し!$B$6:$E$42,D114)))</f>
        <v/>
      </c>
      <c r="N114">
        <f>IF(I114="","",IF(I114="女",COUNTIF(INDEX(手直し!$G$6:$J$42,0,B114),D114),COUNTIF(INDEX(手直し!$B$6:$E$42,0,B114),D114)))</f>
        <v/>
      </c>
      <c r="O114">
        <f>IF(AND(I114&lt;&gt;"",M114=0),1,0)</f>
        <v/>
      </c>
      <c r="P114">
        <f>IF(AND(O114=1,I114&lt;&gt;"女"),COUNTIFS($O$2:O114,1,$I$2:I114,"&lt;&gt;女"),"")</f>
        <v/>
      </c>
      <c r="Q114">
        <f>IF(AND(O114=1,I114="女"),COUNTIFS($O$2:O114,1,$I$2:I114,"女"),"")</f>
        <v/>
      </c>
      <c r="R114">
        <f>IF(AND(I114&lt;&gt;"",M114&gt;=1,N114=0),1,0)</f>
        <v/>
      </c>
      <c r="S114">
        <f>IF(AND(D114&lt;&gt;"",I114=""),1,0)</f>
        <v/>
      </c>
      <c r="V114">
        <f>IF(J114="",0,J114)</f>
        <v/>
      </c>
      <c r="W114">
        <f>IF(I114="","",I114&amp;D114)</f>
        <v/>
      </c>
    </row>
    <row r="115">
      <c r="A115" t="n">
        <v>114</v>
      </c>
      <c r="B115">
        <f>INT((A115-1)/37)+1</f>
        <v/>
      </c>
      <c r="C115">
        <f>MOD(A115-1,37)+1</f>
        <v/>
      </c>
      <c r="D115">
        <f>TRIM(INDEX(データ入力!$B$5:$Q$41,C115,(B115-1)*4+1)&amp;"")</f>
        <v/>
      </c>
      <c r="E115">
        <f>INDEX(データ入力!$B$5:$Q$41,C115,(B115-1)*4+2)&amp;""</f>
        <v/>
      </c>
      <c r="F115">
        <f>IF(OR(E115="1",E115="１",E115="男"),"男",IF(OR(E115="2",E115="２",E115="女"),"女",""))</f>
        <v/>
      </c>
      <c r="G115">
        <f>INDEX(データ入力!$B$5:$Q$41,C115,(B115-1)*4+3)</f>
        <v/>
      </c>
      <c r="H115">
        <f>IF(D115="","",IF($U$2,"混",F115))</f>
        <v/>
      </c>
      <c r="I115">
        <f>IF(AND(H115&lt;&gt;"",ISNUMBER(G115)),H115,"")</f>
        <v/>
      </c>
      <c r="J115">
        <f>IF(I115="","",COUNTIFS($I$2:$I$149,I115,$B$2:$B$149,B115,$G$2:$G$149,"&lt;"&amp;G115)+COUNTIFS($I$2:$I$149,I115,$B$2:$B$149,B115,$G$2:$G$149,G115,$A$2:$A$149,"&lt;"&amp;A115)+1)</f>
        <v/>
      </c>
      <c r="K115">
        <f>IF(I115="","",I115&amp;B115&amp;"-"&amp;J115)</f>
        <v/>
      </c>
      <c r="L115">
        <f>IF(I115="","",I115&amp;B115&amp;"|"&amp;D115)</f>
        <v/>
      </c>
      <c r="M115">
        <f>IF(I115="","",IF(I115="女",COUNTIF(手直し!$G$6:$J$42,D115),COUNTIF(手直し!$B$6:$E$42,D115)))</f>
        <v/>
      </c>
      <c r="N115">
        <f>IF(I115="","",IF(I115="女",COUNTIF(INDEX(手直し!$G$6:$J$42,0,B115),D115),COUNTIF(INDEX(手直し!$B$6:$E$42,0,B115),D115)))</f>
        <v/>
      </c>
      <c r="O115">
        <f>IF(AND(I115&lt;&gt;"",M115=0),1,0)</f>
        <v/>
      </c>
      <c r="P115">
        <f>IF(AND(O115=1,I115&lt;&gt;"女"),COUNTIFS($O$2:O115,1,$I$2:I115,"&lt;&gt;女"),"")</f>
        <v/>
      </c>
      <c r="Q115">
        <f>IF(AND(O115=1,I115="女"),COUNTIFS($O$2:O115,1,$I$2:I115,"女"),"")</f>
        <v/>
      </c>
      <c r="R115">
        <f>IF(AND(I115&lt;&gt;"",M115&gt;=1,N115=0),1,0)</f>
        <v/>
      </c>
      <c r="S115">
        <f>IF(AND(D115&lt;&gt;"",I115=""),1,0)</f>
        <v/>
      </c>
      <c r="V115">
        <f>IF(J115="",0,J115)</f>
        <v/>
      </c>
      <c r="W115">
        <f>IF(I115="","",I115&amp;D115)</f>
        <v/>
      </c>
    </row>
    <row r="116">
      <c r="A116" t="n">
        <v>115</v>
      </c>
      <c r="B116">
        <f>INT((A116-1)/37)+1</f>
        <v/>
      </c>
      <c r="C116">
        <f>MOD(A116-1,37)+1</f>
        <v/>
      </c>
      <c r="D116">
        <f>TRIM(INDEX(データ入力!$B$5:$Q$41,C116,(B116-1)*4+1)&amp;"")</f>
        <v/>
      </c>
      <c r="E116">
        <f>INDEX(データ入力!$B$5:$Q$41,C116,(B116-1)*4+2)&amp;""</f>
        <v/>
      </c>
      <c r="F116">
        <f>IF(OR(E116="1",E116="１",E116="男"),"男",IF(OR(E116="2",E116="２",E116="女"),"女",""))</f>
        <v/>
      </c>
      <c r="G116">
        <f>INDEX(データ入力!$B$5:$Q$41,C116,(B116-1)*4+3)</f>
        <v/>
      </c>
      <c r="H116">
        <f>IF(D116="","",IF($U$2,"混",F116))</f>
        <v/>
      </c>
      <c r="I116">
        <f>IF(AND(H116&lt;&gt;"",ISNUMBER(G116)),H116,"")</f>
        <v/>
      </c>
      <c r="J116">
        <f>IF(I116="","",COUNTIFS($I$2:$I$149,I116,$B$2:$B$149,B116,$G$2:$G$149,"&lt;"&amp;G116)+COUNTIFS($I$2:$I$149,I116,$B$2:$B$149,B116,$G$2:$G$149,G116,$A$2:$A$149,"&lt;"&amp;A116)+1)</f>
        <v/>
      </c>
      <c r="K116">
        <f>IF(I116="","",I116&amp;B116&amp;"-"&amp;J116)</f>
        <v/>
      </c>
      <c r="L116">
        <f>IF(I116="","",I116&amp;B116&amp;"|"&amp;D116)</f>
        <v/>
      </c>
      <c r="M116">
        <f>IF(I116="","",IF(I116="女",COUNTIF(手直し!$G$6:$J$42,D116),COUNTIF(手直し!$B$6:$E$42,D116)))</f>
        <v/>
      </c>
      <c r="N116">
        <f>IF(I116="","",IF(I116="女",COUNTIF(INDEX(手直し!$G$6:$J$42,0,B116),D116),COUNTIF(INDEX(手直し!$B$6:$E$42,0,B116),D116)))</f>
        <v/>
      </c>
      <c r="O116">
        <f>IF(AND(I116&lt;&gt;"",M116=0),1,0)</f>
        <v/>
      </c>
      <c r="P116">
        <f>IF(AND(O116=1,I116&lt;&gt;"女"),COUNTIFS($O$2:O116,1,$I$2:I116,"&lt;&gt;女"),"")</f>
        <v/>
      </c>
      <c r="Q116">
        <f>IF(AND(O116=1,I116="女"),COUNTIFS($O$2:O116,1,$I$2:I116,"女"),"")</f>
        <v/>
      </c>
      <c r="R116">
        <f>IF(AND(I116&lt;&gt;"",M116&gt;=1,N116=0),1,0)</f>
        <v/>
      </c>
      <c r="S116">
        <f>IF(AND(D116&lt;&gt;"",I116=""),1,0)</f>
        <v/>
      </c>
      <c r="V116">
        <f>IF(J116="",0,J116)</f>
        <v/>
      </c>
      <c r="W116">
        <f>IF(I116="","",I116&amp;D116)</f>
        <v/>
      </c>
    </row>
    <row r="117">
      <c r="A117" t="n">
        <v>116</v>
      </c>
      <c r="B117">
        <f>INT((A117-1)/37)+1</f>
        <v/>
      </c>
      <c r="C117">
        <f>MOD(A117-1,37)+1</f>
        <v/>
      </c>
      <c r="D117">
        <f>TRIM(INDEX(データ入力!$B$5:$Q$41,C117,(B117-1)*4+1)&amp;"")</f>
        <v/>
      </c>
      <c r="E117">
        <f>INDEX(データ入力!$B$5:$Q$41,C117,(B117-1)*4+2)&amp;""</f>
        <v/>
      </c>
      <c r="F117">
        <f>IF(OR(E117="1",E117="１",E117="男"),"男",IF(OR(E117="2",E117="２",E117="女"),"女",""))</f>
        <v/>
      </c>
      <c r="G117">
        <f>INDEX(データ入力!$B$5:$Q$41,C117,(B117-1)*4+3)</f>
        <v/>
      </c>
      <c r="H117">
        <f>IF(D117="","",IF($U$2,"混",F117))</f>
        <v/>
      </c>
      <c r="I117">
        <f>IF(AND(H117&lt;&gt;"",ISNUMBER(G117)),H117,"")</f>
        <v/>
      </c>
      <c r="J117">
        <f>IF(I117="","",COUNTIFS($I$2:$I$149,I117,$B$2:$B$149,B117,$G$2:$G$149,"&lt;"&amp;G117)+COUNTIFS($I$2:$I$149,I117,$B$2:$B$149,B117,$G$2:$G$149,G117,$A$2:$A$149,"&lt;"&amp;A117)+1)</f>
        <v/>
      </c>
      <c r="K117">
        <f>IF(I117="","",I117&amp;B117&amp;"-"&amp;J117)</f>
        <v/>
      </c>
      <c r="L117">
        <f>IF(I117="","",I117&amp;B117&amp;"|"&amp;D117)</f>
        <v/>
      </c>
      <c r="M117">
        <f>IF(I117="","",IF(I117="女",COUNTIF(手直し!$G$6:$J$42,D117),COUNTIF(手直し!$B$6:$E$42,D117)))</f>
        <v/>
      </c>
      <c r="N117">
        <f>IF(I117="","",IF(I117="女",COUNTIF(INDEX(手直し!$G$6:$J$42,0,B117),D117),COUNTIF(INDEX(手直し!$B$6:$E$42,0,B117),D117)))</f>
        <v/>
      </c>
      <c r="O117">
        <f>IF(AND(I117&lt;&gt;"",M117=0),1,0)</f>
        <v/>
      </c>
      <c r="P117">
        <f>IF(AND(O117=1,I117&lt;&gt;"女"),COUNTIFS($O$2:O117,1,$I$2:I117,"&lt;&gt;女"),"")</f>
        <v/>
      </c>
      <c r="Q117">
        <f>IF(AND(O117=1,I117="女"),COUNTIFS($O$2:O117,1,$I$2:I117,"女"),"")</f>
        <v/>
      </c>
      <c r="R117">
        <f>IF(AND(I117&lt;&gt;"",M117&gt;=1,N117=0),1,0)</f>
        <v/>
      </c>
      <c r="S117">
        <f>IF(AND(D117&lt;&gt;"",I117=""),1,0)</f>
        <v/>
      </c>
      <c r="V117">
        <f>IF(J117="",0,J117)</f>
        <v/>
      </c>
      <c r="W117">
        <f>IF(I117="","",I117&amp;D117)</f>
        <v/>
      </c>
    </row>
    <row r="118">
      <c r="A118" t="n">
        <v>117</v>
      </c>
      <c r="B118">
        <f>INT((A118-1)/37)+1</f>
        <v/>
      </c>
      <c r="C118">
        <f>MOD(A118-1,37)+1</f>
        <v/>
      </c>
      <c r="D118">
        <f>TRIM(INDEX(データ入力!$B$5:$Q$41,C118,(B118-1)*4+1)&amp;"")</f>
        <v/>
      </c>
      <c r="E118">
        <f>INDEX(データ入力!$B$5:$Q$41,C118,(B118-1)*4+2)&amp;""</f>
        <v/>
      </c>
      <c r="F118">
        <f>IF(OR(E118="1",E118="１",E118="男"),"男",IF(OR(E118="2",E118="２",E118="女"),"女",""))</f>
        <v/>
      </c>
      <c r="G118">
        <f>INDEX(データ入力!$B$5:$Q$41,C118,(B118-1)*4+3)</f>
        <v/>
      </c>
      <c r="H118">
        <f>IF(D118="","",IF($U$2,"混",F118))</f>
        <v/>
      </c>
      <c r="I118">
        <f>IF(AND(H118&lt;&gt;"",ISNUMBER(G118)),H118,"")</f>
        <v/>
      </c>
      <c r="J118">
        <f>IF(I118="","",COUNTIFS($I$2:$I$149,I118,$B$2:$B$149,B118,$G$2:$G$149,"&lt;"&amp;G118)+COUNTIFS($I$2:$I$149,I118,$B$2:$B$149,B118,$G$2:$G$149,G118,$A$2:$A$149,"&lt;"&amp;A118)+1)</f>
        <v/>
      </c>
      <c r="K118">
        <f>IF(I118="","",I118&amp;B118&amp;"-"&amp;J118)</f>
        <v/>
      </c>
      <c r="L118">
        <f>IF(I118="","",I118&amp;B118&amp;"|"&amp;D118)</f>
        <v/>
      </c>
      <c r="M118">
        <f>IF(I118="","",IF(I118="女",COUNTIF(手直し!$G$6:$J$42,D118),COUNTIF(手直し!$B$6:$E$42,D118)))</f>
        <v/>
      </c>
      <c r="N118">
        <f>IF(I118="","",IF(I118="女",COUNTIF(INDEX(手直し!$G$6:$J$42,0,B118),D118),COUNTIF(INDEX(手直し!$B$6:$E$42,0,B118),D118)))</f>
        <v/>
      </c>
      <c r="O118">
        <f>IF(AND(I118&lt;&gt;"",M118=0),1,0)</f>
        <v/>
      </c>
      <c r="P118">
        <f>IF(AND(O118=1,I118&lt;&gt;"女"),COUNTIFS($O$2:O118,1,$I$2:I118,"&lt;&gt;女"),"")</f>
        <v/>
      </c>
      <c r="Q118">
        <f>IF(AND(O118=1,I118="女"),COUNTIFS($O$2:O118,1,$I$2:I118,"女"),"")</f>
        <v/>
      </c>
      <c r="R118">
        <f>IF(AND(I118&lt;&gt;"",M118&gt;=1,N118=0),1,0)</f>
        <v/>
      </c>
      <c r="S118">
        <f>IF(AND(D118&lt;&gt;"",I118=""),1,0)</f>
        <v/>
      </c>
      <c r="V118">
        <f>IF(J118="",0,J118)</f>
        <v/>
      </c>
      <c r="W118">
        <f>IF(I118="","",I118&amp;D118)</f>
        <v/>
      </c>
    </row>
    <row r="119">
      <c r="A119" t="n">
        <v>118</v>
      </c>
      <c r="B119">
        <f>INT((A119-1)/37)+1</f>
        <v/>
      </c>
      <c r="C119">
        <f>MOD(A119-1,37)+1</f>
        <v/>
      </c>
      <c r="D119">
        <f>TRIM(INDEX(データ入力!$B$5:$Q$41,C119,(B119-1)*4+1)&amp;"")</f>
        <v/>
      </c>
      <c r="E119">
        <f>INDEX(データ入力!$B$5:$Q$41,C119,(B119-1)*4+2)&amp;""</f>
        <v/>
      </c>
      <c r="F119">
        <f>IF(OR(E119="1",E119="１",E119="男"),"男",IF(OR(E119="2",E119="２",E119="女"),"女",""))</f>
        <v/>
      </c>
      <c r="G119">
        <f>INDEX(データ入力!$B$5:$Q$41,C119,(B119-1)*4+3)</f>
        <v/>
      </c>
      <c r="H119">
        <f>IF(D119="","",IF($U$2,"混",F119))</f>
        <v/>
      </c>
      <c r="I119">
        <f>IF(AND(H119&lt;&gt;"",ISNUMBER(G119)),H119,"")</f>
        <v/>
      </c>
      <c r="J119">
        <f>IF(I119="","",COUNTIFS($I$2:$I$149,I119,$B$2:$B$149,B119,$G$2:$G$149,"&lt;"&amp;G119)+COUNTIFS($I$2:$I$149,I119,$B$2:$B$149,B119,$G$2:$G$149,G119,$A$2:$A$149,"&lt;"&amp;A119)+1)</f>
        <v/>
      </c>
      <c r="K119">
        <f>IF(I119="","",I119&amp;B119&amp;"-"&amp;J119)</f>
        <v/>
      </c>
      <c r="L119">
        <f>IF(I119="","",I119&amp;B119&amp;"|"&amp;D119)</f>
        <v/>
      </c>
      <c r="M119">
        <f>IF(I119="","",IF(I119="女",COUNTIF(手直し!$G$6:$J$42,D119),COUNTIF(手直し!$B$6:$E$42,D119)))</f>
        <v/>
      </c>
      <c r="N119">
        <f>IF(I119="","",IF(I119="女",COUNTIF(INDEX(手直し!$G$6:$J$42,0,B119),D119),COUNTIF(INDEX(手直し!$B$6:$E$42,0,B119),D119)))</f>
        <v/>
      </c>
      <c r="O119">
        <f>IF(AND(I119&lt;&gt;"",M119=0),1,0)</f>
        <v/>
      </c>
      <c r="P119">
        <f>IF(AND(O119=1,I119&lt;&gt;"女"),COUNTIFS($O$2:O119,1,$I$2:I119,"&lt;&gt;女"),"")</f>
        <v/>
      </c>
      <c r="Q119">
        <f>IF(AND(O119=1,I119="女"),COUNTIFS($O$2:O119,1,$I$2:I119,"女"),"")</f>
        <v/>
      </c>
      <c r="R119">
        <f>IF(AND(I119&lt;&gt;"",M119&gt;=1,N119=0),1,0)</f>
        <v/>
      </c>
      <c r="S119">
        <f>IF(AND(D119&lt;&gt;"",I119=""),1,0)</f>
        <v/>
      </c>
      <c r="V119">
        <f>IF(J119="",0,J119)</f>
        <v/>
      </c>
      <c r="W119">
        <f>IF(I119="","",I119&amp;D119)</f>
        <v/>
      </c>
    </row>
    <row r="120">
      <c r="A120" t="n">
        <v>119</v>
      </c>
      <c r="B120">
        <f>INT((A120-1)/37)+1</f>
        <v/>
      </c>
      <c r="C120">
        <f>MOD(A120-1,37)+1</f>
        <v/>
      </c>
      <c r="D120">
        <f>TRIM(INDEX(データ入力!$B$5:$Q$41,C120,(B120-1)*4+1)&amp;"")</f>
        <v/>
      </c>
      <c r="E120">
        <f>INDEX(データ入力!$B$5:$Q$41,C120,(B120-1)*4+2)&amp;""</f>
        <v/>
      </c>
      <c r="F120">
        <f>IF(OR(E120="1",E120="１",E120="男"),"男",IF(OR(E120="2",E120="２",E120="女"),"女",""))</f>
        <v/>
      </c>
      <c r="G120">
        <f>INDEX(データ入力!$B$5:$Q$41,C120,(B120-1)*4+3)</f>
        <v/>
      </c>
      <c r="H120">
        <f>IF(D120="","",IF($U$2,"混",F120))</f>
        <v/>
      </c>
      <c r="I120">
        <f>IF(AND(H120&lt;&gt;"",ISNUMBER(G120)),H120,"")</f>
        <v/>
      </c>
      <c r="J120">
        <f>IF(I120="","",COUNTIFS($I$2:$I$149,I120,$B$2:$B$149,B120,$G$2:$G$149,"&lt;"&amp;G120)+COUNTIFS($I$2:$I$149,I120,$B$2:$B$149,B120,$G$2:$G$149,G120,$A$2:$A$149,"&lt;"&amp;A120)+1)</f>
        <v/>
      </c>
      <c r="K120">
        <f>IF(I120="","",I120&amp;B120&amp;"-"&amp;J120)</f>
        <v/>
      </c>
      <c r="L120">
        <f>IF(I120="","",I120&amp;B120&amp;"|"&amp;D120)</f>
        <v/>
      </c>
      <c r="M120">
        <f>IF(I120="","",IF(I120="女",COUNTIF(手直し!$G$6:$J$42,D120),COUNTIF(手直し!$B$6:$E$42,D120)))</f>
        <v/>
      </c>
      <c r="N120">
        <f>IF(I120="","",IF(I120="女",COUNTIF(INDEX(手直し!$G$6:$J$42,0,B120),D120),COUNTIF(INDEX(手直し!$B$6:$E$42,0,B120),D120)))</f>
        <v/>
      </c>
      <c r="O120">
        <f>IF(AND(I120&lt;&gt;"",M120=0),1,0)</f>
        <v/>
      </c>
      <c r="P120">
        <f>IF(AND(O120=1,I120&lt;&gt;"女"),COUNTIFS($O$2:O120,1,$I$2:I120,"&lt;&gt;女"),"")</f>
        <v/>
      </c>
      <c r="Q120">
        <f>IF(AND(O120=1,I120="女"),COUNTIFS($O$2:O120,1,$I$2:I120,"女"),"")</f>
        <v/>
      </c>
      <c r="R120">
        <f>IF(AND(I120&lt;&gt;"",M120&gt;=1,N120=0),1,0)</f>
        <v/>
      </c>
      <c r="S120">
        <f>IF(AND(D120&lt;&gt;"",I120=""),1,0)</f>
        <v/>
      </c>
      <c r="V120">
        <f>IF(J120="",0,J120)</f>
        <v/>
      </c>
      <c r="W120">
        <f>IF(I120="","",I120&amp;D120)</f>
        <v/>
      </c>
    </row>
    <row r="121">
      <c r="A121" t="n">
        <v>120</v>
      </c>
      <c r="B121">
        <f>INT((A121-1)/37)+1</f>
        <v/>
      </c>
      <c r="C121">
        <f>MOD(A121-1,37)+1</f>
        <v/>
      </c>
      <c r="D121">
        <f>TRIM(INDEX(データ入力!$B$5:$Q$41,C121,(B121-1)*4+1)&amp;"")</f>
        <v/>
      </c>
      <c r="E121">
        <f>INDEX(データ入力!$B$5:$Q$41,C121,(B121-1)*4+2)&amp;""</f>
        <v/>
      </c>
      <c r="F121">
        <f>IF(OR(E121="1",E121="１",E121="男"),"男",IF(OR(E121="2",E121="２",E121="女"),"女",""))</f>
        <v/>
      </c>
      <c r="G121">
        <f>INDEX(データ入力!$B$5:$Q$41,C121,(B121-1)*4+3)</f>
        <v/>
      </c>
      <c r="H121">
        <f>IF(D121="","",IF($U$2,"混",F121))</f>
        <v/>
      </c>
      <c r="I121">
        <f>IF(AND(H121&lt;&gt;"",ISNUMBER(G121)),H121,"")</f>
        <v/>
      </c>
      <c r="J121">
        <f>IF(I121="","",COUNTIFS($I$2:$I$149,I121,$B$2:$B$149,B121,$G$2:$G$149,"&lt;"&amp;G121)+COUNTIFS($I$2:$I$149,I121,$B$2:$B$149,B121,$G$2:$G$149,G121,$A$2:$A$149,"&lt;"&amp;A121)+1)</f>
        <v/>
      </c>
      <c r="K121">
        <f>IF(I121="","",I121&amp;B121&amp;"-"&amp;J121)</f>
        <v/>
      </c>
      <c r="L121">
        <f>IF(I121="","",I121&amp;B121&amp;"|"&amp;D121)</f>
        <v/>
      </c>
      <c r="M121">
        <f>IF(I121="","",IF(I121="女",COUNTIF(手直し!$G$6:$J$42,D121),COUNTIF(手直し!$B$6:$E$42,D121)))</f>
        <v/>
      </c>
      <c r="N121">
        <f>IF(I121="","",IF(I121="女",COUNTIF(INDEX(手直し!$G$6:$J$42,0,B121),D121),COUNTIF(INDEX(手直し!$B$6:$E$42,0,B121),D121)))</f>
        <v/>
      </c>
      <c r="O121">
        <f>IF(AND(I121&lt;&gt;"",M121=0),1,0)</f>
        <v/>
      </c>
      <c r="P121">
        <f>IF(AND(O121=1,I121&lt;&gt;"女"),COUNTIFS($O$2:O121,1,$I$2:I121,"&lt;&gt;女"),"")</f>
        <v/>
      </c>
      <c r="Q121">
        <f>IF(AND(O121=1,I121="女"),COUNTIFS($O$2:O121,1,$I$2:I121,"女"),"")</f>
        <v/>
      </c>
      <c r="R121">
        <f>IF(AND(I121&lt;&gt;"",M121&gt;=1,N121=0),1,0)</f>
        <v/>
      </c>
      <c r="S121">
        <f>IF(AND(D121&lt;&gt;"",I121=""),1,0)</f>
        <v/>
      </c>
      <c r="V121">
        <f>IF(J121="",0,J121)</f>
        <v/>
      </c>
      <c r="W121">
        <f>IF(I121="","",I121&amp;D121)</f>
        <v/>
      </c>
    </row>
    <row r="122">
      <c r="A122" t="n">
        <v>121</v>
      </c>
      <c r="B122">
        <f>INT((A122-1)/37)+1</f>
        <v/>
      </c>
      <c r="C122">
        <f>MOD(A122-1,37)+1</f>
        <v/>
      </c>
      <c r="D122">
        <f>TRIM(INDEX(データ入力!$B$5:$Q$41,C122,(B122-1)*4+1)&amp;"")</f>
        <v/>
      </c>
      <c r="E122">
        <f>INDEX(データ入力!$B$5:$Q$41,C122,(B122-1)*4+2)&amp;""</f>
        <v/>
      </c>
      <c r="F122">
        <f>IF(OR(E122="1",E122="１",E122="男"),"男",IF(OR(E122="2",E122="２",E122="女"),"女",""))</f>
        <v/>
      </c>
      <c r="G122">
        <f>INDEX(データ入力!$B$5:$Q$41,C122,(B122-1)*4+3)</f>
        <v/>
      </c>
      <c r="H122">
        <f>IF(D122="","",IF($U$2,"混",F122))</f>
        <v/>
      </c>
      <c r="I122">
        <f>IF(AND(H122&lt;&gt;"",ISNUMBER(G122)),H122,"")</f>
        <v/>
      </c>
      <c r="J122">
        <f>IF(I122="","",COUNTIFS($I$2:$I$149,I122,$B$2:$B$149,B122,$G$2:$G$149,"&lt;"&amp;G122)+COUNTIFS($I$2:$I$149,I122,$B$2:$B$149,B122,$G$2:$G$149,G122,$A$2:$A$149,"&lt;"&amp;A122)+1)</f>
        <v/>
      </c>
      <c r="K122">
        <f>IF(I122="","",I122&amp;B122&amp;"-"&amp;J122)</f>
        <v/>
      </c>
      <c r="L122">
        <f>IF(I122="","",I122&amp;B122&amp;"|"&amp;D122)</f>
        <v/>
      </c>
      <c r="M122">
        <f>IF(I122="","",IF(I122="女",COUNTIF(手直し!$G$6:$J$42,D122),COUNTIF(手直し!$B$6:$E$42,D122)))</f>
        <v/>
      </c>
      <c r="N122">
        <f>IF(I122="","",IF(I122="女",COUNTIF(INDEX(手直し!$G$6:$J$42,0,B122),D122),COUNTIF(INDEX(手直し!$B$6:$E$42,0,B122),D122)))</f>
        <v/>
      </c>
      <c r="O122">
        <f>IF(AND(I122&lt;&gt;"",M122=0),1,0)</f>
        <v/>
      </c>
      <c r="P122">
        <f>IF(AND(O122=1,I122&lt;&gt;"女"),COUNTIFS($O$2:O122,1,$I$2:I122,"&lt;&gt;女"),"")</f>
        <v/>
      </c>
      <c r="Q122">
        <f>IF(AND(O122=1,I122="女"),COUNTIFS($O$2:O122,1,$I$2:I122,"女"),"")</f>
        <v/>
      </c>
      <c r="R122">
        <f>IF(AND(I122&lt;&gt;"",M122&gt;=1,N122=0),1,0)</f>
        <v/>
      </c>
      <c r="S122">
        <f>IF(AND(D122&lt;&gt;"",I122=""),1,0)</f>
        <v/>
      </c>
      <c r="V122">
        <f>IF(J122="",0,J122)</f>
        <v/>
      </c>
      <c r="W122">
        <f>IF(I122="","",I122&amp;D122)</f>
        <v/>
      </c>
    </row>
    <row r="123">
      <c r="A123" t="n">
        <v>122</v>
      </c>
      <c r="B123">
        <f>INT((A123-1)/37)+1</f>
        <v/>
      </c>
      <c r="C123">
        <f>MOD(A123-1,37)+1</f>
        <v/>
      </c>
      <c r="D123">
        <f>TRIM(INDEX(データ入力!$B$5:$Q$41,C123,(B123-1)*4+1)&amp;"")</f>
        <v/>
      </c>
      <c r="E123">
        <f>INDEX(データ入力!$B$5:$Q$41,C123,(B123-1)*4+2)&amp;""</f>
        <v/>
      </c>
      <c r="F123">
        <f>IF(OR(E123="1",E123="１",E123="男"),"男",IF(OR(E123="2",E123="２",E123="女"),"女",""))</f>
        <v/>
      </c>
      <c r="G123">
        <f>INDEX(データ入力!$B$5:$Q$41,C123,(B123-1)*4+3)</f>
        <v/>
      </c>
      <c r="H123">
        <f>IF(D123="","",IF($U$2,"混",F123))</f>
        <v/>
      </c>
      <c r="I123">
        <f>IF(AND(H123&lt;&gt;"",ISNUMBER(G123)),H123,"")</f>
        <v/>
      </c>
      <c r="J123">
        <f>IF(I123="","",COUNTIFS($I$2:$I$149,I123,$B$2:$B$149,B123,$G$2:$G$149,"&lt;"&amp;G123)+COUNTIFS($I$2:$I$149,I123,$B$2:$B$149,B123,$G$2:$G$149,G123,$A$2:$A$149,"&lt;"&amp;A123)+1)</f>
        <v/>
      </c>
      <c r="K123">
        <f>IF(I123="","",I123&amp;B123&amp;"-"&amp;J123)</f>
        <v/>
      </c>
      <c r="L123">
        <f>IF(I123="","",I123&amp;B123&amp;"|"&amp;D123)</f>
        <v/>
      </c>
      <c r="M123">
        <f>IF(I123="","",IF(I123="女",COUNTIF(手直し!$G$6:$J$42,D123),COUNTIF(手直し!$B$6:$E$42,D123)))</f>
        <v/>
      </c>
      <c r="N123">
        <f>IF(I123="","",IF(I123="女",COUNTIF(INDEX(手直し!$G$6:$J$42,0,B123),D123),COUNTIF(INDEX(手直し!$B$6:$E$42,0,B123),D123)))</f>
        <v/>
      </c>
      <c r="O123">
        <f>IF(AND(I123&lt;&gt;"",M123=0),1,0)</f>
        <v/>
      </c>
      <c r="P123">
        <f>IF(AND(O123=1,I123&lt;&gt;"女"),COUNTIFS($O$2:O123,1,$I$2:I123,"&lt;&gt;女"),"")</f>
        <v/>
      </c>
      <c r="Q123">
        <f>IF(AND(O123=1,I123="女"),COUNTIFS($O$2:O123,1,$I$2:I123,"女"),"")</f>
        <v/>
      </c>
      <c r="R123">
        <f>IF(AND(I123&lt;&gt;"",M123&gt;=1,N123=0),1,0)</f>
        <v/>
      </c>
      <c r="S123">
        <f>IF(AND(D123&lt;&gt;"",I123=""),1,0)</f>
        <v/>
      </c>
      <c r="V123">
        <f>IF(J123="",0,J123)</f>
        <v/>
      </c>
      <c r="W123">
        <f>IF(I123="","",I123&amp;D123)</f>
        <v/>
      </c>
    </row>
    <row r="124">
      <c r="A124" t="n">
        <v>123</v>
      </c>
      <c r="B124">
        <f>INT((A124-1)/37)+1</f>
        <v/>
      </c>
      <c r="C124">
        <f>MOD(A124-1,37)+1</f>
        <v/>
      </c>
      <c r="D124">
        <f>TRIM(INDEX(データ入力!$B$5:$Q$41,C124,(B124-1)*4+1)&amp;"")</f>
        <v/>
      </c>
      <c r="E124">
        <f>INDEX(データ入力!$B$5:$Q$41,C124,(B124-1)*4+2)&amp;""</f>
        <v/>
      </c>
      <c r="F124">
        <f>IF(OR(E124="1",E124="１",E124="男"),"男",IF(OR(E124="2",E124="２",E124="女"),"女",""))</f>
        <v/>
      </c>
      <c r="G124">
        <f>INDEX(データ入力!$B$5:$Q$41,C124,(B124-1)*4+3)</f>
        <v/>
      </c>
      <c r="H124">
        <f>IF(D124="","",IF($U$2,"混",F124))</f>
        <v/>
      </c>
      <c r="I124">
        <f>IF(AND(H124&lt;&gt;"",ISNUMBER(G124)),H124,"")</f>
        <v/>
      </c>
      <c r="J124">
        <f>IF(I124="","",COUNTIFS($I$2:$I$149,I124,$B$2:$B$149,B124,$G$2:$G$149,"&lt;"&amp;G124)+COUNTIFS($I$2:$I$149,I124,$B$2:$B$149,B124,$G$2:$G$149,G124,$A$2:$A$149,"&lt;"&amp;A124)+1)</f>
        <v/>
      </c>
      <c r="K124">
        <f>IF(I124="","",I124&amp;B124&amp;"-"&amp;J124)</f>
        <v/>
      </c>
      <c r="L124">
        <f>IF(I124="","",I124&amp;B124&amp;"|"&amp;D124)</f>
        <v/>
      </c>
      <c r="M124">
        <f>IF(I124="","",IF(I124="女",COUNTIF(手直し!$G$6:$J$42,D124),COUNTIF(手直し!$B$6:$E$42,D124)))</f>
        <v/>
      </c>
      <c r="N124">
        <f>IF(I124="","",IF(I124="女",COUNTIF(INDEX(手直し!$G$6:$J$42,0,B124),D124),COUNTIF(INDEX(手直し!$B$6:$E$42,0,B124),D124)))</f>
        <v/>
      </c>
      <c r="O124">
        <f>IF(AND(I124&lt;&gt;"",M124=0),1,0)</f>
        <v/>
      </c>
      <c r="P124">
        <f>IF(AND(O124=1,I124&lt;&gt;"女"),COUNTIFS($O$2:O124,1,$I$2:I124,"&lt;&gt;女"),"")</f>
        <v/>
      </c>
      <c r="Q124">
        <f>IF(AND(O124=1,I124="女"),COUNTIFS($O$2:O124,1,$I$2:I124,"女"),"")</f>
        <v/>
      </c>
      <c r="R124">
        <f>IF(AND(I124&lt;&gt;"",M124&gt;=1,N124=0),1,0)</f>
        <v/>
      </c>
      <c r="S124">
        <f>IF(AND(D124&lt;&gt;"",I124=""),1,0)</f>
        <v/>
      </c>
      <c r="V124">
        <f>IF(J124="",0,J124)</f>
        <v/>
      </c>
      <c r="W124">
        <f>IF(I124="","",I124&amp;D124)</f>
        <v/>
      </c>
    </row>
    <row r="125">
      <c r="A125" t="n">
        <v>124</v>
      </c>
      <c r="B125">
        <f>INT((A125-1)/37)+1</f>
        <v/>
      </c>
      <c r="C125">
        <f>MOD(A125-1,37)+1</f>
        <v/>
      </c>
      <c r="D125">
        <f>TRIM(INDEX(データ入力!$B$5:$Q$41,C125,(B125-1)*4+1)&amp;"")</f>
        <v/>
      </c>
      <c r="E125">
        <f>INDEX(データ入力!$B$5:$Q$41,C125,(B125-1)*4+2)&amp;""</f>
        <v/>
      </c>
      <c r="F125">
        <f>IF(OR(E125="1",E125="１",E125="男"),"男",IF(OR(E125="2",E125="２",E125="女"),"女",""))</f>
        <v/>
      </c>
      <c r="G125">
        <f>INDEX(データ入力!$B$5:$Q$41,C125,(B125-1)*4+3)</f>
        <v/>
      </c>
      <c r="H125">
        <f>IF(D125="","",IF($U$2,"混",F125))</f>
        <v/>
      </c>
      <c r="I125">
        <f>IF(AND(H125&lt;&gt;"",ISNUMBER(G125)),H125,"")</f>
        <v/>
      </c>
      <c r="J125">
        <f>IF(I125="","",COUNTIFS($I$2:$I$149,I125,$B$2:$B$149,B125,$G$2:$G$149,"&lt;"&amp;G125)+COUNTIFS($I$2:$I$149,I125,$B$2:$B$149,B125,$G$2:$G$149,G125,$A$2:$A$149,"&lt;"&amp;A125)+1)</f>
        <v/>
      </c>
      <c r="K125">
        <f>IF(I125="","",I125&amp;B125&amp;"-"&amp;J125)</f>
        <v/>
      </c>
      <c r="L125">
        <f>IF(I125="","",I125&amp;B125&amp;"|"&amp;D125)</f>
        <v/>
      </c>
      <c r="M125">
        <f>IF(I125="","",IF(I125="女",COUNTIF(手直し!$G$6:$J$42,D125),COUNTIF(手直し!$B$6:$E$42,D125)))</f>
        <v/>
      </c>
      <c r="N125">
        <f>IF(I125="","",IF(I125="女",COUNTIF(INDEX(手直し!$G$6:$J$42,0,B125),D125),COUNTIF(INDEX(手直し!$B$6:$E$42,0,B125),D125)))</f>
        <v/>
      </c>
      <c r="O125">
        <f>IF(AND(I125&lt;&gt;"",M125=0),1,0)</f>
        <v/>
      </c>
      <c r="P125">
        <f>IF(AND(O125=1,I125&lt;&gt;"女"),COUNTIFS($O$2:O125,1,$I$2:I125,"&lt;&gt;女"),"")</f>
        <v/>
      </c>
      <c r="Q125">
        <f>IF(AND(O125=1,I125="女"),COUNTIFS($O$2:O125,1,$I$2:I125,"女"),"")</f>
        <v/>
      </c>
      <c r="R125">
        <f>IF(AND(I125&lt;&gt;"",M125&gt;=1,N125=0),1,0)</f>
        <v/>
      </c>
      <c r="S125">
        <f>IF(AND(D125&lt;&gt;"",I125=""),1,0)</f>
        <v/>
      </c>
      <c r="V125">
        <f>IF(J125="",0,J125)</f>
        <v/>
      </c>
      <c r="W125">
        <f>IF(I125="","",I125&amp;D125)</f>
        <v/>
      </c>
    </row>
    <row r="126">
      <c r="A126" t="n">
        <v>125</v>
      </c>
      <c r="B126">
        <f>INT((A126-1)/37)+1</f>
        <v/>
      </c>
      <c r="C126">
        <f>MOD(A126-1,37)+1</f>
        <v/>
      </c>
      <c r="D126">
        <f>TRIM(INDEX(データ入力!$B$5:$Q$41,C126,(B126-1)*4+1)&amp;"")</f>
        <v/>
      </c>
      <c r="E126">
        <f>INDEX(データ入力!$B$5:$Q$41,C126,(B126-1)*4+2)&amp;""</f>
        <v/>
      </c>
      <c r="F126">
        <f>IF(OR(E126="1",E126="１",E126="男"),"男",IF(OR(E126="2",E126="２",E126="女"),"女",""))</f>
        <v/>
      </c>
      <c r="G126">
        <f>INDEX(データ入力!$B$5:$Q$41,C126,(B126-1)*4+3)</f>
        <v/>
      </c>
      <c r="H126">
        <f>IF(D126="","",IF($U$2,"混",F126))</f>
        <v/>
      </c>
      <c r="I126">
        <f>IF(AND(H126&lt;&gt;"",ISNUMBER(G126)),H126,"")</f>
        <v/>
      </c>
      <c r="J126">
        <f>IF(I126="","",COUNTIFS($I$2:$I$149,I126,$B$2:$B$149,B126,$G$2:$G$149,"&lt;"&amp;G126)+COUNTIFS($I$2:$I$149,I126,$B$2:$B$149,B126,$G$2:$G$149,G126,$A$2:$A$149,"&lt;"&amp;A126)+1)</f>
        <v/>
      </c>
      <c r="K126">
        <f>IF(I126="","",I126&amp;B126&amp;"-"&amp;J126)</f>
        <v/>
      </c>
      <c r="L126">
        <f>IF(I126="","",I126&amp;B126&amp;"|"&amp;D126)</f>
        <v/>
      </c>
      <c r="M126">
        <f>IF(I126="","",IF(I126="女",COUNTIF(手直し!$G$6:$J$42,D126),COUNTIF(手直し!$B$6:$E$42,D126)))</f>
        <v/>
      </c>
      <c r="N126">
        <f>IF(I126="","",IF(I126="女",COUNTIF(INDEX(手直し!$G$6:$J$42,0,B126),D126),COUNTIF(INDEX(手直し!$B$6:$E$42,0,B126),D126)))</f>
        <v/>
      </c>
      <c r="O126">
        <f>IF(AND(I126&lt;&gt;"",M126=0),1,0)</f>
        <v/>
      </c>
      <c r="P126">
        <f>IF(AND(O126=1,I126&lt;&gt;"女"),COUNTIFS($O$2:O126,1,$I$2:I126,"&lt;&gt;女"),"")</f>
        <v/>
      </c>
      <c r="Q126">
        <f>IF(AND(O126=1,I126="女"),COUNTIFS($O$2:O126,1,$I$2:I126,"女"),"")</f>
        <v/>
      </c>
      <c r="R126">
        <f>IF(AND(I126&lt;&gt;"",M126&gt;=1,N126=0),1,0)</f>
        <v/>
      </c>
      <c r="S126">
        <f>IF(AND(D126&lt;&gt;"",I126=""),1,0)</f>
        <v/>
      </c>
      <c r="V126">
        <f>IF(J126="",0,J126)</f>
        <v/>
      </c>
      <c r="W126">
        <f>IF(I126="","",I126&amp;D126)</f>
        <v/>
      </c>
    </row>
    <row r="127">
      <c r="A127" t="n">
        <v>126</v>
      </c>
      <c r="B127">
        <f>INT((A127-1)/37)+1</f>
        <v/>
      </c>
      <c r="C127">
        <f>MOD(A127-1,37)+1</f>
        <v/>
      </c>
      <c r="D127">
        <f>TRIM(INDEX(データ入力!$B$5:$Q$41,C127,(B127-1)*4+1)&amp;"")</f>
        <v/>
      </c>
      <c r="E127">
        <f>INDEX(データ入力!$B$5:$Q$41,C127,(B127-1)*4+2)&amp;""</f>
        <v/>
      </c>
      <c r="F127">
        <f>IF(OR(E127="1",E127="１",E127="男"),"男",IF(OR(E127="2",E127="２",E127="女"),"女",""))</f>
        <v/>
      </c>
      <c r="G127">
        <f>INDEX(データ入力!$B$5:$Q$41,C127,(B127-1)*4+3)</f>
        <v/>
      </c>
      <c r="H127">
        <f>IF(D127="","",IF($U$2,"混",F127))</f>
        <v/>
      </c>
      <c r="I127">
        <f>IF(AND(H127&lt;&gt;"",ISNUMBER(G127)),H127,"")</f>
        <v/>
      </c>
      <c r="J127">
        <f>IF(I127="","",COUNTIFS($I$2:$I$149,I127,$B$2:$B$149,B127,$G$2:$G$149,"&lt;"&amp;G127)+COUNTIFS($I$2:$I$149,I127,$B$2:$B$149,B127,$G$2:$G$149,G127,$A$2:$A$149,"&lt;"&amp;A127)+1)</f>
        <v/>
      </c>
      <c r="K127">
        <f>IF(I127="","",I127&amp;B127&amp;"-"&amp;J127)</f>
        <v/>
      </c>
      <c r="L127">
        <f>IF(I127="","",I127&amp;B127&amp;"|"&amp;D127)</f>
        <v/>
      </c>
      <c r="M127">
        <f>IF(I127="","",IF(I127="女",COUNTIF(手直し!$G$6:$J$42,D127),COUNTIF(手直し!$B$6:$E$42,D127)))</f>
        <v/>
      </c>
      <c r="N127">
        <f>IF(I127="","",IF(I127="女",COUNTIF(INDEX(手直し!$G$6:$J$42,0,B127),D127),COUNTIF(INDEX(手直し!$B$6:$E$42,0,B127),D127)))</f>
        <v/>
      </c>
      <c r="O127">
        <f>IF(AND(I127&lt;&gt;"",M127=0),1,0)</f>
        <v/>
      </c>
      <c r="P127">
        <f>IF(AND(O127=1,I127&lt;&gt;"女"),COUNTIFS($O$2:O127,1,$I$2:I127,"&lt;&gt;女"),"")</f>
        <v/>
      </c>
      <c r="Q127">
        <f>IF(AND(O127=1,I127="女"),COUNTIFS($O$2:O127,1,$I$2:I127,"女"),"")</f>
        <v/>
      </c>
      <c r="R127">
        <f>IF(AND(I127&lt;&gt;"",M127&gt;=1,N127=0),1,0)</f>
        <v/>
      </c>
      <c r="S127">
        <f>IF(AND(D127&lt;&gt;"",I127=""),1,0)</f>
        <v/>
      </c>
      <c r="V127">
        <f>IF(J127="",0,J127)</f>
        <v/>
      </c>
      <c r="W127">
        <f>IF(I127="","",I127&amp;D127)</f>
        <v/>
      </c>
    </row>
    <row r="128">
      <c r="A128" t="n">
        <v>127</v>
      </c>
      <c r="B128">
        <f>INT((A128-1)/37)+1</f>
        <v/>
      </c>
      <c r="C128">
        <f>MOD(A128-1,37)+1</f>
        <v/>
      </c>
      <c r="D128">
        <f>TRIM(INDEX(データ入力!$B$5:$Q$41,C128,(B128-1)*4+1)&amp;"")</f>
        <v/>
      </c>
      <c r="E128">
        <f>INDEX(データ入力!$B$5:$Q$41,C128,(B128-1)*4+2)&amp;""</f>
        <v/>
      </c>
      <c r="F128">
        <f>IF(OR(E128="1",E128="１",E128="男"),"男",IF(OR(E128="2",E128="２",E128="女"),"女",""))</f>
        <v/>
      </c>
      <c r="G128">
        <f>INDEX(データ入力!$B$5:$Q$41,C128,(B128-1)*4+3)</f>
        <v/>
      </c>
      <c r="H128">
        <f>IF(D128="","",IF($U$2,"混",F128))</f>
        <v/>
      </c>
      <c r="I128">
        <f>IF(AND(H128&lt;&gt;"",ISNUMBER(G128)),H128,"")</f>
        <v/>
      </c>
      <c r="J128">
        <f>IF(I128="","",COUNTIFS($I$2:$I$149,I128,$B$2:$B$149,B128,$G$2:$G$149,"&lt;"&amp;G128)+COUNTIFS($I$2:$I$149,I128,$B$2:$B$149,B128,$G$2:$G$149,G128,$A$2:$A$149,"&lt;"&amp;A128)+1)</f>
        <v/>
      </c>
      <c r="K128">
        <f>IF(I128="","",I128&amp;B128&amp;"-"&amp;J128)</f>
        <v/>
      </c>
      <c r="L128">
        <f>IF(I128="","",I128&amp;B128&amp;"|"&amp;D128)</f>
        <v/>
      </c>
      <c r="M128">
        <f>IF(I128="","",IF(I128="女",COUNTIF(手直し!$G$6:$J$42,D128),COUNTIF(手直し!$B$6:$E$42,D128)))</f>
        <v/>
      </c>
      <c r="N128">
        <f>IF(I128="","",IF(I128="女",COUNTIF(INDEX(手直し!$G$6:$J$42,0,B128),D128),COUNTIF(INDEX(手直し!$B$6:$E$42,0,B128),D128)))</f>
        <v/>
      </c>
      <c r="O128">
        <f>IF(AND(I128&lt;&gt;"",M128=0),1,0)</f>
        <v/>
      </c>
      <c r="P128">
        <f>IF(AND(O128=1,I128&lt;&gt;"女"),COUNTIFS($O$2:O128,1,$I$2:I128,"&lt;&gt;女"),"")</f>
        <v/>
      </c>
      <c r="Q128">
        <f>IF(AND(O128=1,I128="女"),COUNTIFS($O$2:O128,1,$I$2:I128,"女"),"")</f>
        <v/>
      </c>
      <c r="R128">
        <f>IF(AND(I128&lt;&gt;"",M128&gt;=1,N128=0),1,0)</f>
        <v/>
      </c>
      <c r="S128">
        <f>IF(AND(D128&lt;&gt;"",I128=""),1,0)</f>
        <v/>
      </c>
      <c r="V128">
        <f>IF(J128="",0,J128)</f>
        <v/>
      </c>
      <c r="W128">
        <f>IF(I128="","",I128&amp;D128)</f>
        <v/>
      </c>
    </row>
    <row r="129">
      <c r="A129" t="n">
        <v>128</v>
      </c>
      <c r="B129">
        <f>INT((A129-1)/37)+1</f>
        <v/>
      </c>
      <c r="C129">
        <f>MOD(A129-1,37)+1</f>
        <v/>
      </c>
      <c r="D129">
        <f>TRIM(INDEX(データ入力!$B$5:$Q$41,C129,(B129-1)*4+1)&amp;"")</f>
        <v/>
      </c>
      <c r="E129">
        <f>INDEX(データ入力!$B$5:$Q$41,C129,(B129-1)*4+2)&amp;""</f>
        <v/>
      </c>
      <c r="F129">
        <f>IF(OR(E129="1",E129="１",E129="男"),"男",IF(OR(E129="2",E129="２",E129="女"),"女",""))</f>
        <v/>
      </c>
      <c r="G129">
        <f>INDEX(データ入力!$B$5:$Q$41,C129,(B129-1)*4+3)</f>
        <v/>
      </c>
      <c r="H129">
        <f>IF(D129="","",IF($U$2,"混",F129))</f>
        <v/>
      </c>
      <c r="I129">
        <f>IF(AND(H129&lt;&gt;"",ISNUMBER(G129)),H129,"")</f>
        <v/>
      </c>
      <c r="J129">
        <f>IF(I129="","",COUNTIFS($I$2:$I$149,I129,$B$2:$B$149,B129,$G$2:$G$149,"&lt;"&amp;G129)+COUNTIFS($I$2:$I$149,I129,$B$2:$B$149,B129,$G$2:$G$149,G129,$A$2:$A$149,"&lt;"&amp;A129)+1)</f>
        <v/>
      </c>
      <c r="K129">
        <f>IF(I129="","",I129&amp;B129&amp;"-"&amp;J129)</f>
        <v/>
      </c>
      <c r="L129">
        <f>IF(I129="","",I129&amp;B129&amp;"|"&amp;D129)</f>
        <v/>
      </c>
      <c r="M129">
        <f>IF(I129="","",IF(I129="女",COUNTIF(手直し!$G$6:$J$42,D129),COUNTIF(手直し!$B$6:$E$42,D129)))</f>
        <v/>
      </c>
      <c r="N129">
        <f>IF(I129="","",IF(I129="女",COUNTIF(INDEX(手直し!$G$6:$J$42,0,B129),D129),COUNTIF(INDEX(手直し!$B$6:$E$42,0,B129),D129)))</f>
        <v/>
      </c>
      <c r="O129">
        <f>IF(AND(I129&lt;&gt;"",M129=0),1,0)</f>
        <v/>
      </c>
      <c r="P129">
        <f>IF(AND(O129=1,I129&lt;&gt;"女"),COUNTIFS($O$2:O129,1,$I$2:I129,"&lt;&gt;女"),"")</f>
        <v/>
      </c>
      <c r="Q129">
        <f>IF(AND(O129=1,I129="女"),COUNTIFS($O$2:O129,1,$I$2:I129,"女"),"")</f>
        <v/>
      </c>
      <c r="R129">
        <f>IF(AND(I129&lt;&gt;"",M129&gt;=1,N129=0),1,0)</f>
        <v/>
      </c>
      <c r="S129">
        <f>IF(AND(D129&lt;&gt;"",I129=""),1,0)</f>
        <v/>
      </c>
      <c r="V129">
        <f>IF(J129="",0,J129)</f>
        <v/>
      </c>
      <c r="W129">
        <f>IF(I129="","",I129&amp;D129)</f>
        <v/>
      </c>
    </row>
    <row r="130">
      <c r="A130" t="n">
        <v>129</v>
      </c>
      <c r="B130">
        <f>INT((A130-1)/37)+1</f>
        <v/>
      </c>
      <c r="C130">
        <f>MOD(A130-1,37)+1</f>
        <v/>
      </c>
      <c r="D130">
        <f>TRIM(INDEX(データ入力!$B$5:$Q$41,C130,(B130-1)*4+1)&amp;"")</f>
        <v/>
      </c>
      <c r="E130">
        <f>INDEX(データ入力!$B$5:$Q$41,C130,(B130-1)*4+2)&amp;""</f>
        <v/>
      </c>
      <c r="F130">
        <f>IF(OR(E130="1",E130="１",E130="男"),"男",IF(OR(E130="2",E130="２",E130="女"),"女",""))</f>
        <v/>
      </c>
      <c r="G130">
        <f>INDEX(データ入力!$B$5:$Q$41,C130,(B130-1)*4+3)</f>
        <v/>
      </c>
      <c r="H130">
        <f>IF(D130="","",IF($U$2,"混",F130))</f>
        <v/>
      </c>
      <c r="I130">
        <f>IF(AND(H130&lt;&gt;"",ISNUMBER(G130)),H130,"")</f>
        <v/>
      </c>
      <c r="J130">
        <f>IF(I130="","",COUNTIFS($I$2:$I$149,I130,$B$2:$B$149,B130,$G$2:$G$149,"&lt;"&amp;G130)+COUNTIFS($I$2:$I$149,I130,$B$2:$B$149,B130,$G$2:$G$149,G130,$A$2:$A$149,"&lt;"&amp;A130)+1)</f>
        <v/>
      </c>
      <c r="K130">
        <f>IF(I130="","",I130&amp;B130&amp;"-"&amp;J130)</f>
        <v/>
      </c>
      <c r="L130">
        <f>IF(I130="","",I130&amp;B130&amp;"|"&amp;D130)</f>
        <v/>
      </c>
      <c r="M130">
        <f>IF(I130="","",IF(I130="女",COUNTIF(手直し!$G$6:$J$42,D130),COUNTIF(手直し!$B$6:$E$42,D130)))</f>
        <v/>
      </c>
      <c r="N130">
        <f>IF(I130="","",IF(I130="女",COUNTIF(INDEX(手直し!$G$6:$J$42,0,B130),D130),COUNTIF(INDEX(手直し!$B$6:$E$42,0,B130),D130)))</f>
        <v/>
      </c>
      <c r="O130">
        <f>IF(AND(I130&lt;&gt;"",M130=0),1,0)</f>
        <v/>
      </c>
      <c r="P130">
        <f>IF(AND(O130=1,I130&lt;&gt;"女"),COUNTIFS($O$2:O130,1,$I$2:I130,"&lt;&gt;女"),"")</f>
        <v/>
      </c>
      <c r="Q130">
        <f>IF(AND(O130=1,I130="女"),COUNTIFS($O$2:O130,1,$I$2:I130,"女"),"")</f>
        <v/>
      </c>
      <c r="R130">
        <f>IF(AND(I130&lt;&gt;"",M130&gt;=1,N130=0),1,0)</f>
        <v/>
      </c>
      <c r="S130">
        <f>IF(AND(D130&lt;&gt;"",I130=""),1,0)</f>
        <v/>
      </c>
      <c r="V130">
        <f>IF(J130="",0,J130)</f>
        <v/>
      </c>
      <c r="W130">
        <f>IF(I130="","",I130&amp;D130)</f>
        <v/>
      </c>
    </row>
    <row r="131">
      <c r="A131" t="n">
        <v>130</v>
      </c>
      <c r="B131">
        <f>INT((A131-1)/37)+1</f>
        <v/>
      </c>
      <c r="C131">
        <f>MOD(A131-1,37)+1</f>
        <v/>
      </c>
      <c r="D131">
        <f>TRIM(INDEX(データ入力!$B$5:$Q$41,C131,(B131-1)*4+1)&amp;"")</f>
        <v/>
      </c>
      <c r="E131">
        <f>INDEX(データ入力!$B$5:$Q$41,C131,(B131-1)*4+2)&amp;""</f>
        <v/>
      </c>
      <c r="F131">
        <f>IF(OR(E131="1",E131="１",E131="男"),"男",IF(OR(E131="2",E131="２",E131="女"),"女",""))</f>
        <v/>
      </c>
      <c r="G131">
        <f>INDEX(データ入力!$B$5:$Q$41,C131,(B131-1)*4+3)</f>
        <v/>
      </c>
      <c r="H131">
        <f>IF(D131="","",IF($U$2,"混",F131))</f>
        <v/>
      </c>
      <c r="I131">
        <f>IF(AND(H131&lt;&gt;"",ISNUMBER(G131)),H131,"")</f>
        <v/>
      </c>
      <c r="J131">
        <f>IF(I131="","",COUNTIFS($I$2:$I$149,I131,$B$2:$B$149,B131,$G$2:$G$149,"&lt;"&amp;G131)+COUNTIFS($I$2:$I$149,I131,$B$2:$B$149,B131,$G$2:$G$149,G131,$A$2:$A$149,"&lt;"&amp;A131)+1)</f>
        <v/>
      </c>
      <c r="K131">
        <f>IF(I131="","",I131&amp;B131&amp;"-"&amp;J131)</f>
        <v/>
      </c>
      <c r="L131">
        <f>IF(I131="","",I131&amp;B131&amp;"|"&amp;D131)</f>
        <v/>
      </c>
      <c r="M131">
        <f>IF(I131="","",IF(I131="女",COUNTIF(手直し!$G$6:$J$42,D131),COUNTIF(手直し!$B$6:$E$42,D131)))</f>
        <v/>
      </c>
      <c r="N131">
        <f>IF(I131="","",IF(I131="女",COUNTIF(INDEX(手直し!$G$6:$J$42,0,B131),D131),COUNTIF(INDEX(手直し!$B$6:$E$42,0,B131),D131)))</f>
        <v/>
      </c>
      <c r="O131">
        <f>IF(AND(I131&lt;&gt;"",M131=0),1,0)</f>
        <v/>
      </c>
      <c r="P131">
        <f>IF(AND(O131=1,I131&lt;&gt;"女"),COUNTIFS($O$2:O131,1,$I$2:I131,"&lt;&gt;女"),"")</f>
        <v/>
      </c>
      <c r="Q131">
        <f>IF(AND(O131=1,I131="女"),COUNTIFS($O$2:O131,1,$I$2:I131,"女"),"")</f>
        <v/>
      </c>
      <c r="R131">
        <f>IF(AND(I131&lt;&gt;"",M131&gt;=1,N131=0),1,0)</f>
        <v/>
      </c>
      <c r="S131">
        <f>IF(AND(D131&lt;&gt;"",I131=""),1,0)</f>
        <v/>
      </c>
      <c r="V131">
        <f>IF(J131="",0,J131)</f>
        <v/>
      </c>
      <c r="W131">
        <f>IF(I131="","",I131&amp;D131)</f>
        <v/>
      </c>
    </row>
    <row r="132">
      <c r="A132" t="n">
        <v>131</v>
      </c>
      <c r="B132">
        <f>INT((A132-1)/37)+1</f>
        <v/>
      </c>
      <c r="C132">
        <f>MOD(A132-1,37)+1</f>
        <v/>
      </c>
      <c r="D132">
        <f>TRIM(INDEX(データ入力!$B$5:$Q$41,C132,(B132-1)*4+1)&amp;"")</f>
        <v/>
      </c>
      <c r="E132">
        <f>INDEX(データ入力!$B$5:$Q$41,C132,(B132-1)*4+2)&amp;""</f>
        <v/>
      </c>
      <c r="F132">
        <f>IF(OR(E132="1",E132="１",E132="男"),"男",IF(OR(E132="2",E132="２",E132="女"),"女",""))</f>
        <v/>
      </c>
      <c r="G132">
        <f>INDEX(データ入力!$B$5:$Q$41,C132,(B132-1)*4+3)</f>
        <v/>
      </c>
      <c r="H132">
        <f>IF(D132="","",IF($U$2,"混",F132))</f>
        <v/>
      </c>
      <c r="I132">
        <f>IF(AND(H132&lt;&gt;"",ISNUMBER(G132)),H132,"")</f>
        <v/>
      </c>
      <c r="J132">
        <f>IF(I132="","",COUNTIFS($I$2:$I$149,I132,$B$2:$B$149,B132,$G$2:$G$149,"&lt;"&amp;G132)+COUNTIFS($I$2:$I$149,I132,$B$2:$B$149,B132,$G$2:$G$149,G132,$A$2:$A$149,"&lt;"&amp;A132)+1)</f>
        <v/>
      </c>
      <c r="K132">
        <f>IF(I132="","",I132&amp;B132&amp;"-"&amp;J132)</f>
        <v/>
      </c>
      <c r="L132">
        <f>IF(I132="","",I132&amp;B132&amp;"|"&amp;D132)</f>
        <v/>
      </c>
      <c r="M132">
        <f>IF(I132="","",IF(I132="女",COUNTIF(手直し!$G$6:$J$42,D132),COUNTIF(手直し!$B$6:$E$42,D132)))</f>
        <v/>
      </c>
      <c r="N132">
        <f>IF(I132="","",IF(I132="女",COUNTIF(INDEX(手直し!$G$6:$J$42,0,B132),D132),COUNTIF(INDEX(手直し!$B$6:$E$42,0,B132),D132)))</f>
        <v/>
      </c>
      <c r="O132">
        <f>IF(AND(I132&lt;&gt;"",M132=0),1,0)</f>
        <v/>
      </c>
      <c r="P132">
        <f>IF(AND(O132=1,I132&lt;&gt;"女"),COUNTIFS($O$2:O132,1,$I$2:I132,"&lt;&gt;女"),"")</f>
        <v/>
      </c>
      <c r="Q132">
        <f>IF(AND(O132=1,I132="女"),COUNTIFS($O$2:O132,1,$I$2:I132,"女"),"")</f>
        <v/>
      </c>
      <c r="R132">
        <f>IF(AND(I132&lt;&gt;"",M132&gt;=1,N132=0),1,0)</f>
        <v/>
      </c>
      <c r="S132">
        <f>IF(AND(D132&lt;&gt;"",I132=""),1,0)</f>
        <v/>
      </c>
      <c r="V132">
        <f>IF(J132="",0,J132)</f>
        <v/>
      </c>
      <c r="W132">
        <f>IF(I132="","",I132&amp;D132)</f>
        <v/>
      </c>
    </row>
    <row r="133">
      <c r="A133" t="n">
        <v>132</v>
      </c>
      <c r="B133">
        <f>INT((A133-1)/37)+1</f>
        <v/>
      </c>
      <c r="C133">
        <f>MOD(A133-1,37)+1</f>
        <v/>
      </c>
      <c r="D133">
        <f>TRIM(INDEX(データ入力!$B$5:$Q$41,C133,(B133-1)*4+1)&amp;"")</f>
        <v/>
      </c>
      <c r="E133">
        <f>INDEX(データ入力!$B$5:$Q$41,C133,(B133-1)*4+2)&amp;""</f>
        <v/>
      </c>
      <c r="F133">
        <f>IF(OR(E133="1",E133="１",E133="男"),"男",IF(OR(E133="2",E133="２",E133="女"),"女",""))</f>
        <v/>
      </c>
      <c r="G133">
        <f>INDEX(データ入力!$B$5:$Q$41,C133,(B133-1)*4+3)</f>
        <v/>
      </c>
      <c r="H133">
        <f>IF(D133="","",IF($U$2,"混",F133))</f>
        <v/>
      </c>
      <c r="I133">
        <f>IF(AND(H133&lt;&gt;"",ISNUMBER(G133)),H133,"")</f>
        <v/>
      </c>
      <c r="J133">
        <f>IF(I133="","",COUNTIFS($I$2:$I$149,I133,$B$2:$B$149,B133,$G$2:$G$149,"&lt;"&amp;G133)+COUNTIFS($I$2:$I$149,I133,$B$2:$B$149,B133,$G$2:$G$149,G133,$A$2:$A$149,"&lt;"&amp;A133)+1)</f>
        <v/>
      </c>
      <c r="K133">
        <f>IF(I133="","",I133&amp;B133&amp;"-"&amp;J133)</f>
        <v/>
      </c>
      <c r="L133">
        <f>IF(I133="","",I133&amp;B133&amp;"|"&amp;D133)</f>
        <v/>
      </c>
      <c r="M133">
        <f>IF(I133="","",IF(I133="女",COUNTIF(手直し!$G$6:$J$42,D133),COUNTIF(手直し!$B$6:$E$42,D133)))</f>
        <v/>
      </c>
      <c r="N133">
        <f>IF(I133="","",IF(I133="女",COUNTIF(INDEX(手直し!$G$6:$J$42,0,B133),D133),COUNTIF(INDEX(手直し!$B$6:$E$42,0,B133),D133)))</f>
        <v/>
      </c>
      <c r="O133">
        <f>IF(AND(I133&lt;&gt;"",M133=0),1,0)</f>
        <v/>
      </c>
      <c r="P133">
        <f>IF(AND(O133=1,I133&lt;&gt;"女"),COUNTIFS($O$2:O133,1,$I$2:I133,"&lt;&gt;女"),"")</f>
        <v/>
      </c>
      <c r="Q133">
        <f>IF(AND(O133=1,I133="女"),COUNTIFS($O$2:O133,1,$I$2:I133,"女"),"")</f>
        <v/>
      </c>
      <c r="R133">
        <f>IF(AND(I133&lt;&gt;"",M133&gt;=1,N133=0),1,0)</f>
        <v/>
      </c>
      <c r="S133">
        <f>IF(AND(D133&lt;&gt;"",I133=""),1,0)</f>
        <v/>
      </c>
      <c r="V133">
        <f>IF(J133="",0,J133)</f>
        <v/>
      </c>
      <c r="W133">
        <f>IF(I133="","",I133&amp;D133)</f>
        <v/>
      </c>
    </row>
    <row r="134">
      <c r="A134" t="n">
        <v>133</v>
      </c>
      <c r="B134">
        <f>INT((A134-1)/37)+1</f>
        <v/>
      </c>
      <c r="C134">
        <f>MOD(A134-1,37)+1</f>
        <v/>
      </c>
      <c r="D134">
        <f>TRIM(INDEX(データ入力!$B$5:$Q$41,C134,(B134-1)*4+1)&amp;"")</f>
        <v/>
      </c>
      <c r="E134">
        <f>INDEX(データ入力!$B$5:$Q$41,C134,(B134-1)*4+2)&amp;""</f>
        <v/>
      </c>
      <c r="F134">
        <f>IF(OR(E134="1",E134="１",E134="男"),"男",IF(OR(E134="2",E134="２",E134="女"),"女",""))</f>
        <v/>
      </c>
      <c r="G134">
        <f>INDEX(データ入力!$B$5:$Q$41,C134,(B134-1)*4+3)</f>
        <v/>
      </c>
      <c r="H134">
        <f>IF(D134="","",IF($U$2,"混",F134))</f>
        <v/>
      </c>
      <c r="I134">
        <f>IF(AND(H134&lt;&gt;"",ISNUMBER(G134)),H134,"")</f>
        <v/>
      </c>
      <c r="J134">
        <f>IF(I134="","",COUNTIFS($I$2:$I$149,I134,$B$2:$B$149,B134,$G$2:$G$149,"&lt;"&amp;G134)+COUNTIFS($I$2:$I$149,I134,$B$2:$B$149,B134,$G$2:$G$149,G134,$A$2:$A$149,"&lt;"&amp;A134)+1)</f>
        <v/>
      </c>
      <c r="K134">
        <f>IF(I134="","",I134&amp;B134&amp;"-"&amp;J134)</f>
        <v/>
      </c>
      <c r="L134">
        <f>IF(I134="","",I134&amp;B134&amp;"|"&amp;D134)</f>
        <v/>
      </c>
      <c r="M134">
        <f>IF(I134="","",IF(I134="女",COUNTIF(手直し!$G$6:$J$42,D134),COUNTIF(手直し!$B$6:$E$42,D134)))</f>
        <v/>
      </c>
      <c r="N134">
        <f>IF(I134="","",IF(I134="女",COUNTIF(INDEX(手直し!$G$6:$J$42,0,B134),D134),COUNTIF(INDEX(手直し!$B$6:$E$42,0,B134),D134)))</f>
        <v/>
      </c>
      <c r="O134">
        <f>IF(AND(I134&lt;&gt;"",M134=0),1,0)</f>
        <v/>
      </c>
      <c r="P134">
        <f>IF(AND(O134=1,I134&lt;&gt;"女"),COUNTIFS($O$2:O134,1,$I$2:I134,"&lt;&gt;女"),"")</f>
        <v/>
      </c>
      <c r="Q134">
        <f>IF(AND(O134=1,I134="女"),COUNTIFS($O$2:O134,1,$I$2:I134,"女"),"")</f>
        <v/>
      </c>
      <c r="R134">
        <f>IF(AND(I134&lt;&gt;"",M134&gt;=1,N134=0),1,0)</f>
        <v/>
      </c>
      <c r="S134">
        <f>IF(AND(D134&lt;&gt;"",I134=""),1,0)</f>
        <v/>
      </c>
      <c r="V134">
        <f>IF(J134="",0,J134)</f>
        <v/>
      </c>
      <c r="W134">
        <f>IF(I134="","",I134&amp;D134)</f>
        <v/>
      </c>
    </row>
    <row r="135">
      <c r="A135" t="n">
        <v>134</v>
      </c>
      <c r="B135">
        <f>INT((A135-1)/37)+1</f>
        <v/>
      </c>
      <c r="C135">
        <f>MOD(A135-1,37)+1</f>
        <v/>
      </c>
      <c r="D135">
        <f>TRIM(INDEX(データ入力!$B$5:$Q$41,C135,(B135-1)*4+1)&amp;"")</f>
        <v/>
      </c>
      <c r="E135">
        <f>INDEX(データ入力!$B$5:$Q$41,C135,(B135-1)*4+2)&amp;""</f>
        <v/>
      </c>
      <c r="F135">
        <f>IF(OR(E135="1",E135="１",E135="男"),"男",IF(OR(E135="2",E135="２",E135="女"),"女",""))</f>
        <v/>
      </c>
      <c r="G135">
        <f>INDEX(データ入力!$B$5:$Q$41,C135,(B135-1)*4+3)</f>
        <v/>
      </c>
      <c r="H135">
        <f>IF(D135="","",IF($U$2,"混",F135))</f>
        <v/>
      </c>
      <c r="I135">
        <f>IF(AND(H135&lt;&gt;"",ISNUMBER(G135)),H135,"")</f>
        <v/>
      </c>
      <c r="J135">
        <f>IF(I135="","",COUNTIFS($I$2:$I$149,I135,$B$2:$B$149,B135,$G$2:$G$149,"&lt;"&amp;G135)+COUNTIFS($I$2:$I$149,I135,$B$2:$B$149,B135,$G$2:$G$149,G135,$A$2:$A$149,"&lt;"&amp;A135)+1)</f>
        <v/>
      </c>
      <c r="K135">
        <f>IF(I135="","",I135&amp;B135&amp;"-"&amp;J135)</f>
        <v/>
      </c>
      <c r="L135">
        <f>IF(I135="","",I135&amp;B135&amp;"|"&amp;D135)</f>
        <v/>
      </c>
      <c r="M135">
        <f>IF(I135="","",IF(I135="女",COUNTIF(手直し!$G$6:$J$42,D135),COUNTIF(手直し!$B$6:$E$42,D135)))</f>
        <v/>
      </c>
      <c r="N135">
        <f>IF(I135="","",IF(I135="女",COUNTIF(INDEX(手直し!$G$6:$J$42,0,B135),D135),COUNTIF(INDEX(手直し!$B$6:$E$42,0,B135),D135)))</f>
        <v/>
      </c>
      <c r="O135">
        <f>IF(AND(I135&lt;&gt;"",M135=0),1,0)</f>
        <v/>
      </c>
      <c r="P135">
        <f>IF(AND(O135=1,I135&lt;&gt;"女"),COUNTIFS($O$2:O135,1,$I$2:I135,"&lt;&gt;女"),"")</f>
        <v/>
      </c>
      <c r="Q135">
        <f>IF(AND(O135=1,I135="女"),COUNTIFS($O$2:O135,1,$I$2:I135,"女"),"")</f>
        <v/>
      </c>
      <c r="R135">
        <f>IF(AND(I135&lt;&gt;"",M135&gt;=1,N135=0),1,0)</f>
        <v/>
      </c>
      <c r="S135">
        <f>IF(AND(D135&lt;&gt;"",I135=""),1,0)</f>
        <v/>
      </c>
      <c r="V135">
        <f>IF(J135="",0,J135)</f>
        <v/>
      </c>
      <c r="W135">
        <f>IF(I135="","",I135&amp;D135)</f>
        <v/>
      </c>
    </row>
    <row r="136">
      <c r="A136" t="n">
        <v>135</v>
      </c>
      <c r="B136">
        <f>INT((A136-1)/37)+1</f>
        <v/>
      </c>
      <c r="C136">
        <f>MOD(A136-1,37)+1</f>
        <v/>
      </c>
      <c r="D136">
        <f>TRIM(INDEX(データ入力!$B$5:$Q$41,C136,(B136-1)*4+1)&amp;"")</f>
        <v/>
      </c>
      <c r="E136">
        <f>INDEX(データ入力!$B$5:$Q$41,C136,(B136-1)*4+2)&amp;""</f>
        <v/>
      </c>
      <c r="F136">
        <f>IF(OR(E136="1",E136="１",E136="男"),"男",IF(OR(E136="2",E136="２",E136="女"),"女",""))</f>
        <v/>
      </c>
      <c r="G136">
        <f>INDEX(データ入力!$B$5:$Q$41,C136,(B136-1)*4+3)</f>
        <v/>
      </c>
      <c r="H136">
        <f>IF(D136="","",IF($U$2,"混",F136))</f>
        <v/>
      </c>
      <c r="I136">
        <f>IF(AND(H136&lt;&gt;"",ISNUMBER(G136)),H136,"")</f>
        <v/>
      </c>
      <c r="J136">
        <f>IF(I136="","",COUNTIFS($I$2:$I$149,I136,$B$2:$B$149,B136,$G$2:$G$149,"&lt;"&amp;G136)+COUNTIFS($I$2:$I$149,I136,$B$2:$B$149,B136,$G$2:$G$149,G136,$A$2:$A$149,"&lt;"&amp;A136)+1)</f>
        <v/>
      </c>
      <c r="K136">
        <f>IF(I136="","",I136&amp;B136&amp;"-"&amp;J136)</f>
        <v/>
      </c>
      <c r="L136">
        <f>IF(I136="","",I136&amp;B136&amp;"|"&amp;D136)</f>
        <v/>
      </c>
      <c r="M136">
        <f>IF(I136="","",IF(I136="女",COUNTIF(手直し!$G$6:$J$42,D136),COUNTIF(手直し!$B$6:$E$42,D136)))</f>
        <v/>
      </c>
      <c r="N136">
        <f>IF(I136="","",IF(I136="女",COUNTIF(INDEX(手直し!$G$6:$J$42,0,B136),D136),COUNTIF(INDEX(手直し!$B$6:$E$42,0,B136),D136)))</f>
        <v/>
      </c>
      <c r="O136">
        <f>IF(AND(I136&lt;&gt;"",M136=0),1,0)</f>
        <v/>
      </c>
      <c r="P136">
        <f>IF(AND(O136=1,I136&lt;&gt;"女"),COUNTIFS($O$2:O136,1,$I$2:I136,"&lt;&gt;女"),"")</f>
        <v/>
      </c>
      <c r="Q136">
        <f>IF(AND(O136=1,I136="女"),COUNTIFS($O$2:O136,1,$I$2:I136,"女"),"")</f>
        <v/>
      </c>
      <c r="R136">
        <f>IF(AND(I136&lt;&gt;"",M136&gt;=1,N136=0),1,0)</f>
        <v/>
      </c>
      <c r="S136">
        <f>IF(AND(D136&lt;&gt;"",I136=""),1,0)</f>
        <v/>
      </c>
      <c r="V136">
        <f>IF(J136="",0,J136)</f>
        <v/>
      </c>
      <c r="W136">
        <f>IF(I136="","",I136&amp;D136)</f>
        <v/>
      </c>
    </row>
    <row r="137">
      <c r="A137" t="n">
        <v>136</v>
      </c>
      <c r="B137">
        <f>INT((A137-1)/37)+1</f>
        <v/>
      </c>
      <c r="C137">
        <f>MOD(A137-1,37)+1</f>
        <v/>
      </c>
      <c r="D137">
        <f>TRIM(INDEX(データ入力!$B$5:$Q$41,C137,(B137-1)*4+1)&amp;"")</f>
        <v/>
      </c>
      <c r="E137">
        <f>INDEX(データ入力!$B$5:$Q$41,C137,(B137-1)*4+2)&amp;""</f>
        <v/>
      </c>
      <c r="F137">
        <f>IF(OR(E137="1",E137="１",E137="男"),"男",IF(OR(E137="2",E137="２",E137="女"),"女",""))</f>
        <v/>
      </c>
      <c r="G137">
        <f>INDEX(データ入力!$B$5:$Q$41,C137,(B137-1)*4+3)</f>
        <v/>
      </c>
      <c r="H137">
        <f>IF(D137="","",IF($U$2,"混",F137))</f>
        <v/>
      </c>
      <c r="I137">
        <f>IF(AND(H137&lt;&gt;"",ISNUMBER(G137)),H137,"")</f>
        <v/>
      </c>
      <c r="J137">
        <f>IF(I137="","",COUNTIFS($I$2:$I$149,I137,$B$2:$B$149,B137,$G$2:$G$149,"&lt;"&amp;G137)+COUNTIFS($I$2:$I$149,I137,$B$2:$B$149,B137,$G$2:$G$149,G137,$A$2:$A$149,"&lt;"&amp;A137)+1)</f>
        <v/>
      </c>
      <c r="K137">
        <f>IF(I137="","",I137&amp;B137&amp;"-"&amp;J137)</f>
        <v/>
      </c>
      <c r="L137">
        <f>IF(I137="","",I137&amp;B137&amp;"|"&amp;D137)</f>
        <v/>
      </c>
      <c r="M137">
        <f>IF(I137="","",IF(I137="女",COUNTIF(手直し!$G$6:$J$42,D137),COUNTIF(手直し!$B$6:$E$42,D137)))</f>
        <v/>
      </c>
      <c r="N137">
        <f>IF(I137="","",IF(I137="女",COUNTIF(INDEX(手直し!$G$6:$J$42,0,B137),D137),COUNTIF(INDEX(手直し!$B$6:$E$42,0,B137),D137)))</f>
        <v/>
      </c>
      <c r="O137">
        <f>IF(AND(I137&lt;&gt;"",M137=0),1,0)</f>
        <v/>
      </c>
      <c r="P137">
        <f>IF(AND(O137=1,I137&lt;&gt;"女"),COUNTIFS($O$2:O137,1,$I$2:I137,"&lt;&gt;女"),"")</f>
        <v/>
      </c>
      <c r="Q137">
        <f>IF(AND(O137=1,I137="女"),COUNTIFS($O$2:O137,1,$I$2:I137,"女"),"")</f>
        <v/>
      </c>
      <c r="R137">
        <f>IF(AND(I137&lt;&gt;"",M137&gt;=1,N137=0),1,0)</f>
        <v/>
      </c>
      <c r="S137">
        <f>IF(AND(D137&lt;&gt;"",I137=""),1,0)</f>
        <v/>
      </c>
      <c r="V137">
        <f>IF(J137="",0,J137)</f>
        <v/>
      </c>
      <c r="W137">
        <f>IF(I137="","",I137&amp;D137)</f>
        <v/>
      </c>
    </row>
    <row r="138">
      <c r="A138" t="n">
        <v>137</v>
      </c>
      <c r="B138">
        <f>INT((A138-1)/37)+1</f>
        <v/>
      </c>
      <c r="C138">
        <f>MOD(A138-1,37)+1</f>
        <v/>
      </c>
      <c r="D138">
        <f>TRIM(INDEX(データ入力!$B$5:$Q$41,C138,(B138-1)*4+1)&amp;"")</f>
        <v/>
      </c>
      <c r="E138">
        <f>INDEX(データ入力!$B$5:$Q$41,C138,(B138-1)*4+2)&amp;""</f>
        <v/>
      </c>
      <c r="F138">
        <f>IF(OR(E138="1",E138="１",E138="男"),"男",IF(OR(E138="2",E138="２",E138="女"),"女",""))</f>
        <v/>
      </c>
      <c r="G138">
        <f>INDEX(データ入力!$B$5:$Q$41,C138,(B138-1)*4+3)</f>
        <v/>
      </c>
      <c r="H138">
        <f>IF(D138="","",IF($U$2,"混",F138))</f>
        <v/>
      </c>
      <c r="I138">
        <f>IF(AND(H138&lt;&gt;"",ISNUMBER(G138)),H138,"")</f>
        <v/>
      </c>
      <c r="J138">
        <f>IF(I138="","",COUNTIFS($I$2:$I$149,I138,$B$2:$B$149,B138,$G$2:$G$149,"&lt;"&amp;G138)+COUNTIFS($I$2:$I$149,I138,$B$2:$B$149,B138,$G$2:$G$149,G138,$A$2:$A$149,"&lt;"&amp;A138)+1)</f>
        <v/>
      </c>
      <c r="K138">
        <f>IF(I138="","",I138&amp;B138&amp;"-"&amp;J138)</f>
        <v/>
      </c>
      <c r="L138">
        <f>IF(I138="","",I138&amp;B138&amp;"|"&amp;D138)</f>
        <v/>
      </c>
      <c r="M138">
        <f>IF(I138="","",IF(I138="女",COUNTIF(手直し!$G$6:$J$42,D138),COUNTIF(手直し!$B$6:$E$42,D138)))</f>
        <v/>
      </c>
      <c r="N138">
        <f>IF(I138="","",IF(I138="女",COUNTIF(INDEX(手直し!$G$6:$J$42,0,B138),D138),COUNTIF(INDEX(手直し!$B$6:$E$42,0,B138),D138)))</f>
        <v/>
      </c>
      <c r="O138">
        <f>IF(AND(I138&lt;&gt;"",M138=0),1,0)</f>
        <v/>
      </c>
      <c r="P138">
        <f>IF(AND(O138=1,I138&lt;&gt;"女"),COUNTIFS($O$2:O138,1,$I$2:I138,"&lt;&gt;女"),"")</f>
        <v/>
      </c>
      <c r="Q138">
        <f>IF(AND(O138=1,I138="女"),COUNTIFS($O$2:O138,1,$I$2:I138,"女"),"")</f>
        <v/>
      </c>
      <c r="R138">
        <f>IF(AND(I138&lt;&gt;"",M138&gt;=1,N138=0),1,0)</f>
        <v/>
      </c>
      <c r="S138">
        <f>IF(AND(D138&lt;&gt;"",I138=""),1,0)</f>
        <v/>
      </c>
      <c r="V138">
        <f>IF(J138="",0,J138)</f>
        <v/>
      </c>
      <c r="W138">
        <f>IF(I138="","",I138&amp;D138)</f>
        <v/>
      </c>
    </row>
    <row r="139">
      <c r="A139" t="n">
        <v>138</v>
      </c>
      <c r="B139">
        <f>INT((A139-1)/37)+1</f>
        <v/>
      </c>
      <c r="C139">
        <f>MOD(A139-1,37)+1</f>
        <v/>
      </c>
      <c r="D139">
        <f>TRIM(INDEX(データ入力!$B$5:$Q$41,C139,(B139-1)*4+1)&amp;"")</f>
        <v/>
      </c>
      <c r="E139">
        <f>INDEX(データ入力!$B$5:$Q$41,C139,(B139-1)*4+2)&amp;""</f>
        <v/>
      </c>
      <c r="F139">
        <f>IF(OR(E139="1",E139="１",E139="男"),"男",IF(OR(E139="2",E139="２",E139="女"),"女",""))</f>
        <v/>
      </c>
      <c r="G139">
        <f>INDEX(データ入力!$B$5:$Q$41,C139,(B139-1)*4+3)</f>
        <v/>
      </c>
      <c r="H139">
        <f>IF(D139="","",IF($U$2,"混",F139))</f>
        <v/>
      </c>
      <c r="I139">
        <f>IF(AND(H139&lt;&gt;"",ISNUMBER(G139)),H139,"")</f>
        <v/>
      </c>
      <c r="J139">
        <f>IF(I139="","",COUNTIFS($I$2:$I$149,I139,$B$2:$B$149,B139,$G$2:$G$149,"&lt;"&amp;G139)+COUNTIFS($I$2:$I$149,I139,$B$2:$B$149,B139,$G$2:$G$149,G139,$A$2:$A$149,"&lt;"&amp;A139)+1)</f>
        <v/>
      </c>
      <c r="K139">
        <f>IF(I139="","",I139&amp;B139&amp;"-"&amp;J139)</f>
        <v/>
      </c>
      <c r="L139">
        <f>IF(I139="","",I139&amp;B139&amp;"|"&amp;D139)</f>
        <v/>
      </c>
      <c r="M139">
        <f>IF(I139="","",IF(I139="女",COUNTIF(手直し!$G$6:$J$42,D139),COUNTIF(手直し!$B$6:$E$42,D139)))</f>
        <v/>
      </c>
      <c r="N139">
        <f>IF(I139="","",IF(I139="女",COUNTIF(INDEX(手直し!$G$6:$J$42,0,B139),D139),COUNTIF(INDEX(手直し!$B$6:$E$42,0,B139),D139)))</f>
        <v/>
      </c>
      <c r="O139">
        <f>IF(AND(I139&lt;&gt;"",M139=0),1,0)</f>
        <v/>
      </c>
      <c r="P139">
        <f>IF(AND(O139=1,I139&lt;&gt;"女"),COUNTIFS($O$2:O139,1,$I$2:I139,"&lt;&gt;女"),"")</f>
        <v/>
      </c>
      <c r="Q139">
        <f>IF(AND(O139=1,I139="女"),COUNTIFS($O$2:O139,1,$I$2:I139,"女"),"")</f>
        <v/>
      </c>
      <c r="R139">
        <f>IF(AND(I139&lt;&gt;"",M139&gt;=1,N139=0),1,0)</f>
        <v/>
      </c>
      <c r="S139">
        <f>IF(AND(D139&lt;&gt;"",I139=""),1,0)</f>
        <v/>
      </c>
      <c r="V139">
        <f>IF(J139="",0,J139)</f>
        <v/>
      </c>
      <c r="W139">
        <f>IF(I139="","",I139&amp;D139)</f>
        <v/>
      </c>
    </row>
    <row r="140">
      <c r="A140" t="n">
        <v>139</v>
      </c>
      <c r="B140">
        <f>INT((A140-1)/37)+1</f>
        <v/>
      </c>
      <c r="C140">
        <f>MOD(A140-1,37)+1</f>
        <v/>
      </c>
      <c r="D140">
        <f>TRIM(INDEX(データ入力!$B$5:$Q$41,C140,(B140-1)*4+1)&amp;"")</f>
        <v/>
      </c>
      <c r="E140">
        <f>INDEX(データ入力!$B$5:$Q$41,C140,(B140-1)*4+2)&amp;""</f>
        <v/>
      </c>
      <c r="F140">
        <f>IF(OR(E140="1",E140="１",E140="男"),"男",IF(OR(E140="2",E140="２",E140="女"),"女",""))</f>
        <v/>
      </c>
      <c r="G140">
        <f>INDEX(データ入力!$B$5:$Q$41,C140,(B140-1)*4+3)</f>
        <v/>
      </c>
      <c r="H140">
        <f>IF(D140="","",IF($U$2,"混",F140))</f>
        <v/>
      </c>
      <c r="I140">
        <f>IF(AND(H140&lt;&gt;"",ISNUMBER(G140)),H140,"")</f>
        <v/>
      </c>
      <c r="J140">
        <f>IF(I140="","",COUNTIFS($I$2:$I$149,I140,$B$2:$B$149,B140,$G$2:$G$149,"&lt;"&amp;G140)+COUNTIFS($I$2:$I$149,I140,$B$2:$B$149,B140,$G$2:$G$149,G140,$A$2:$A$149,"&lt;"&amp;A140)+1)</f>
        <v/>
      </c>
      <c r="K140">
        <f>IF(I140="","",I140&amp;B140&amp;"-"&amp;J140)</f>
        <v/>
      </c>
      <c r="L140">
        <f>IF(I140="","",I140&amp;B140&amp;"|"&amp;D140)</f>
        <v/>
      </c>
      <c r="M140">
        <f>IF(I140="","",IF(I140="女",COUNTIF(手直し!$G$6:$J$42,D140),COUNTIF(手直し!$B$6:$E$42,D140)))</f>
        <v/>
      </c>
      <c r="N140">
        <f>IF(I140="","",IF(I140="女",COUNTIF(INDEX(手直し!$G$6:$J$42,0,B140),D140),COUNTIF(INDEX(手直し!$B$6:$E$42,0,B140),D140)))</f>
        <v/>
      </c>
      <c r="O140">
        <f>IF(AND(I140&lt;&gt;"",M140=0),1,0)</f>
        <v/>
      </c>
      <c r="P140">
        <f>IF(AND(O140=1,I140&lt;&gt;"女"),COUNTIFS($O$2:O140,1,$I$2:I140,"&lt;&gt;女"),"")</f>
        <v/>
      </c>
      <c r="Q140">
        <f>IF(AND(O140=1,I140="女"),COUNTIFS($O$2:O140,1,$I$2:I140,"女"),"")</f>
        <v/>
      </c>
      <c r="R140">
        <f>IF(AND(I140&lt;&gt;"",M140&gt;=1,N140=0),1,0)</f>
        <v/>
      </c>
      <c r="S140">
        <f>IF(AND(D140&lt;&gt;"",I140=""),1,0)</f>
        <v/>
      </c>
      <c r="V140">
        <f>IF(J140="",0,J140)</f>
        <v/>
      </c>
      <c r="W140">
        <f>IF(I140="","",I140&amp;D140)</f>
        <v/>
      </c>
    </row>
    <row r="141">
      <c r="A141" t="n">
        <v>140</v>
      </c>
      <c r="B141">
        <f>INT((A141-1)/37)+1</f>
        <v/>
      </c>
      <c r="C141">
        <f>MOD(A141-1,37)+1</f>
        <v/>
      </c>
      <c r="D141">
        <f>TRIM(INDEX(データ入力!$B$5:$Q$41,C141,(B141-1)*4+1)&amp;"")</f>
        <v/>
      </c>
      <c r="E141">
        <f>INDEX(データ入力!$B$5:$Q$41,C141,(B141-1)*4+2)&amp;""</f>
        <v/>
      </c>
      <c r="F141">
        <f>IF(OR(E141="1",E141="１",E141="男"),"男",IF(OR(E141="2",E141="２",E141="女"),"女",""))</f>
        <v/>
      </c>
      <c r="G141">
        <f>INDEX(データ入力!$B$5:$Q$41,C141,(B141-1)*4+3)</f>
        <v/>
      </c>
      <c r="H141">
        <f>IF(D141="","",IF($U$2,"混",F141))</f>
        <v/>
      </c>
      <c r="I141">
        <f>IF(AND(H141&lt;&gt;"",ISNUMBER(G141)),H141,"")</f>
        <v/>
      </c>
      <c r="J141">
        <f>IF(I141="","",COUNTIFS($I$2:$I$149,I141,$B$2:$B$149,B141,$G$2:$G$149,"&lt;"&amp;G141)+COUNTIFS($I$2:$I$149,I141,$B$2:$B$149,B141,$G$2:$G$149,G141,$A$2:$A$149,"&lt;"&amp;A141)+1)</f>
        <v/>
      </c>
      <c r="K141">
        <f>IF(I141="","",I141&amp;B141&amp;"-"&amp;J141)</f>
        <v/>
      </c>
      <c r="L141">
        <f>IF(I141="","",I141&amp;B141&amp;"|"&amp;D141)</f>
        <v/>
      </c>
      <c r="M141">
        <f>IF(I141="","",IF(I141="女",COUNTIF(手直し!$G$6:$J$42,D141),COUNTIF(手直し!$B$6:$E$42,D141)))</f>
        <v/>
      </c>
      <c r="N141">
        <f>IF(I141="","",IF(I141="女",COUNTIF(INDEX(手直し!$G$6:$J$42,0,B141),D141),COUNTIF(INDEX(手直し!$B$6:$E$42,0,B141),D141)))</f>
        <v/>
      </c>
      <c r="O141">
        <f>IF(AND(I141&lt;&gt;"",M141=0),1,0)</f>
        <v/>
      </c>
      <c r="P141">
        <f>IF(AND(O141=1,I141&lt;&gt;"女"),COUNTIFS($O$2:O141,1,$I$2:I141,"&lt;&gt;女"),"")</f>
        <v/>
      </c>
      <c r="Q141">
        <f>IF(AND(O141=1,I141="女"),COUNTIFS($O$2:O141,1,$I$2:I141,"女"),"")</f>
        <v/>
      </c>
      <c r="R141">
        <f>IF(AND(I141&lt;&gt;"",M141&gt;=1,N141=0),1,0)</f>
        <v/>
      </c>
      <c r="S141">
        <f>IF(AND(D141&lt;&gt;"",I141=""),1,0)</f>
        <v/>
      </c>
      <c r="V141">
        <f>IF(J141="",0,J141)</f>
        <v/>
      </c>
      <c r="W141">
        <f>IF(I141="","",I141&amp;D141)</f>
        <v/>
      </c>
    </row>
    <row r="142">
      <c r="A142" t="n">
        <v>141</v>
      </c>
      <c r="B142">
        <f>INT((A142-1)/37)+1</f>
        <v/>
      </c>
      <c r="C142">
        <f>MOD(A142-1,37)+1</f>
        <v/>
      </c>
      <c r="D142">
        <f>TRIM(INDEX(データ入力!$B$5:$Q$41,C142,(B142-1)*4+1)&amp;"")</f>
        <v/>
      </c>
      <c r="E142">
        <f>INDEX(データ入力!$B$5:$Q$41,C142,(B142-1)*4+2)&amp;""</f>
        <v/>
      </c>
      <c r="F142">
        <f>IF(OR(E142="1",E142="１",E142="男"),"男",IF(OR(E142="2",E142="２",E142="女"),"女",""))</f>
        <v/>
      </c>
      <c r="G142">
        <f>INDEX(データ入力!$B$5:$Q$41,C142,(B142-1)*4+3)</f>
        <v/>
      </c>
      <c r="H142">
        <f>IF(D142="","",IF($U$2,"混",F142))</f>
        <v/>
      </c>
      <c r="I142">
        <f>IF(AND(H142&lt;&gt;"",ISNUMBER(G142)),H142,"")</f>
        <v/>
      </c>
      <c r="J142">
        <f>IF(I142="","",COUNTIFS($I$2:$I$149,I142,$B$2:$B$149,B142,$G$2:$G$149,"&lt;"&amp;G142)+COUNTIFS($I$2:$I$149,I142,$B$2:$B$149,B142,$G$2:$G$149,G142,$A$2:$A$149,"&lt;"&amp;A142)+1)</f>
        <v/>
      </c>
      <c r="K142">
        <f>IF(I142="","",I142&amp;B142&amp;"-"&amp;J142)</f>
        <v/>
      </c>
      <c r="L142">
        <f>IF(I142="","",I142&amp;B142&amp;"|"&amp;D142)</f>
        <v/>
      </c>
      <c r="M142">
        <f>IF(I142="","",IF(I142="女",COUNTIF(手直し!$G$6:$J$42,D142),COUNTIF(手直し!$B$6:$E$42,D142)))</f>
        <v/>
      </c>
      <c r="N142">
        <f>IF(I142="","",IF(I142="女",COUNTIF(INDEX(手直し!$G$6:$J$42,0,B142),D142),COUNTIF(INDEX(手直し!$B$6:$E$42,0,B142),D142)))</f>
        <v/>
      </c>
      <c r="O142">
        <f>IF(AND(I142&lt;&gt;"",M142=0),1,0)</f>
        <v/>
      </c>
      <c r="P142">
        <f>IF(AND(O142=1,I142&lt;&gt;"女"),COUNTIFS($O$2:O142,1,$I$2:I142,"&lt;&gt;女"),"")</f>
        <v/>
      </c>
      <c r="Q142">
        <f>IF(AND(O142=1,I142="女"),COUNTIFS($O$2:O142,1,$I$2:I142,"女"),"")</f>
        <v/>
      </c>
      <c r="R142">
        <f>IF(AND(I142&lt;&gt;"",M142&gt;=1,N142=0),1,0)</f>
        <v/>
      </c>
      <c r="S142">
        <f>IF(AND(D142&lt;&gt;"",I142=""),1,0)</f>
        <v/>
      </c>
      <c r="V142">
        <f>IF(J142="",0,J142)</f>
        <v/>
      </c>
      <c r="W142">
        <f>IF(I142="","",I142&amp;D142)</f>
        <v/>
      </c>
    </row>
    <row r="143">
      <c r="A143" t="n">
        <v>142</v>
      </c>
      <c r="B143">
        <f>INT((A143-1)/37)+1</f>
        <v/>
      </c>
      <c r="C143">
        <f>MOD(A143-1,37)+1</f>
        <v/>
      </c>
      <c r="D143">
        <f>TRIM(INDEX(データ入力!$B$5:$Q$41,C143,(B143-1)*4+1)&amp;"")</f>
        <v/>
      </c>
      <c r="E143">
        <f>INDEX(データ入力!$B$5:$Q$41,C143,(B143-1)*4+2)&amp;""</f>
        <v/>
      </c>
      <c r="F143">
        <f>IF(OR(E143="1",E143="１",E143="男"),"男",IF(OR(E143="2",E143="２",E143="女"),"女",""))</f>
        <v/>
      </c>
      <c r="G143">
        <f>INDEX(データ入力!$B$5:$Q$41,C143,(B143-1)*4+3)</f>
        <v/>
      </c>
      <c r="H143">
        <f>IF(D143="","",IF($U$2,"混",F143))</f>
        <v/>
      </c>
      <c r="I143">
        <f>IF(AND(H143&lt;&gt;"",ISNUMBER(G143)),H143,"")</f>
        <v/>
      </c>
      <c r="J143">
        <f>IF(I143="","",COUNTIFS($I$2:$I$149,I143,$B$2:$B$149,B143,$G$2:$G$149,"&lt;"&amp;G143)+COUNTIFS($I$2:$I$149,I143,$B$2:$B$149,B143,$G$2:$G$149,G143,$A$2:$A$149,"&lt;"&amp;A143)+1)</f>
        <v/>
      </c>
      <c r="K143">
        <f>IF(I143="","",I143&amp;B143&amp;"-"&amp;J143)</f>
        <v/>
      </c>
      <c r="L143">
        <f>IF(I143="","",I143&amp;B143&amp;"|"&amp;D143)</f>
        <v/>
      </c>
      <c r="M143">
        <f>IF(I143="","",IF(I143="女",COUNTIF(手直し!$G$6:$J$42,D143),COUNTIF(手直し!$B$6:$E$42,D143)))</f>
        <v/>
      </c>
      <c r="N143">
        <f>IF(I143="","",IF(I143="女",COUNTIF(INDEX(手直し!$G$6:$J$42,0,B143),D143),COUNTIF(INDEX(手直し!$B$6:$E$42,0,B143),D143)))</f>
        <v/>
      </c>
      <c r="O143">
        <f>IF(AND(I143&lt;&gt;"",M143=0),1,0)</f>
        <v/>
      </c>
      <c r="P143">
        <f>IF(AND(O143=1,I143&lt;&gt;"女"),COUNTIFS($O$2:O143,1,$I$2:I143,"&lt;&gt;女"),"")</f>
        <v/>
      </c>
      <c r="Q143">
        <f>IF(AND(O143=1,I143="女"),COUNTIFS($O$2:O143,1,$I$2:I143,"女"),"")</f>
        <v/>
      </c>
      <c r="R143">
        <f>IF(AND(I143&lt;&gt;"",M143&gt;=1,N143=0),1,0)</f>
        <v/>
      </c>
      <c r="S143">
        <f>IF(AND(D143&lt;&gt;"",I143=""),1,0)</f>
        <v/>
      </c>
      <c r="V143">
        <f>IF(J143="",0,J143)</f>
        <v/>
      </c>
      <c r="W143">
        <f>IF(I143="","",I143&amp;D143)</f>
        <v/>
      </c>
    </row>
    <row r="144">
      <c r="A144" t="n">
        <v>143</v>
      </c>
      <c r="B144">
        <f>INT((A144-1)/37)+1</f>
        <v/>
      </c>
      <c r="C144">
        <f>MOD(A144-1,37)+1</f>
        <v/>
      </c>
      <c r="D144">
        <f>TRIM(INDEX(データ入力!$B$5:$Q$41,C144,(B144-1)*4+1)&amp;"")</f>
        <v/>
      </c>
      <c r="E144">
        <f>INDEX(データ入力!$B$5:$Q$41,C144,(B144-1)*4+2)&amp;""</f>
        <v/>
      </c>
      <c r="F144">
        <f>IF(OR(E144="1",E144="１",E144="男"),"男",IF(OR(E144="2",E144="２",E144="女"),"女",""))</f>
        <v/>
      </c>
      <c r="G144">
        <f>INDEX(データ入力!$B$5:$Q$41,C144,(B144-1)*4+3)</f>
        <v/>
      </c>
      <c r="H144">
        <f>IF(D144="","",IF($U$2,"混",F144))</f>
        <v/>
      </c>
      <c r="I144">
        <f>IF(AND(H144&lt;&gt;"",ISNUMBER(G144)),H144,"")</f>
        <v/>
      </c>
      <c r="J144">
        <f>IF(I144="","",COUNTIFS($I$2:$I$149,I144,$B$2:$B$149,B144,$G$2:$G$149,"&lt;"&amp;G144)+COUNTIFS($I$2:$I$149,I144,$B$2:$B$149,B144,$G$2:$G$149,G144,$A$2:$A$149,"&lt;"&amp;A144)+1)</f>
        <v/>
      </c>
      <c r="K144">
        <f>IF(I144="","",I144&amp;B144&amp;"-"&amp;J144)</f>
        <v/>
      </c>
      <c r="L144">
        <f>IF(I144="","",I144&amp;B144&amp;"|"&amp;D144)</f>
        <v/>
      </c>
      <c r="M144">
        <f>IF(I144="","",IF(I144="女",COUNTIF(手直し!$G$6:$J$42,D144),COUNTIF(手直し!$B$6:$E$42,D144)))</f>
        <v/>
      </c>
      <c r="N144">
        <f>IF(I144="","",IF(I144="女",COUNTIF(INDEX(手直し!$G$6:$J$42,0,B144),D144),COUNTIF(INDEX(手直し!$B$6:$E$42,0,B144),D144)))</f>
        <v/>
      </c>
      <c r="O144">
        <f>IF(AND(I144&lt;&gt;"",M144=0),1,0)</f>
        <v/>
      </c>
      <c r="P144">
        <f>IF(AND(O144=1,I144&lt;&gt;"女"),COUNTIFS($O$2:O144,1,$I$2:I144,"&lt;&gt;女"),"")</f>
        <v/>
      </c>
      <c r="Q144">
        <f>IF(AND(O144=1,I144="女"),COUNTIFS($O$2:O144,1,$I$2:I144,"女"),"")</f>
        <v/>
      </c>
      <c r="R144">
        <f>IF(AND(I144&lt;&gt;"",M144&gt;=1,N144=0),1,0)</f>
        <v/>
      </c>
      <c r="S144">
        <f>IF(AND(D144&lt;&gt;"",I144=""),1,0)</f>
        <v/>
      </c>
      <c r="V144">
        <f>IF(J144="",0,J144)</f>
        <v/>
      </c>
      <c r="W144">
        <f>IF(I144="","",I144&amp;D144)</f>
        <v/>
      </c>
    </row>
    <row r="145">
      <c r="A145" t="n">
        <v>144</v>
      </c>
      <c r="B145">
        <f>INT((A145-1)/37)+1</f>
        <v/>
      </c>
      <c r="C145">
        <f>MOD(A145-1,37)+1</f>
        <v/>
      </c>
      <c r="D145">
        <f>TRIM(INDEX(データ入力!$B$5:$Q$41,C145,(B145-1)*4+1)&amp;"")</f>
        <v/>
      </c>
      <c r="E145">
        <f>INDEX(データ入力!$B$5:$Q$41,C145,(B145-1)*4+2)&amp;""</f>
        <v/>
      </c>
      <c r="F145">
        <f>IF(OR(E145="1",E145="１",E145="男"),"男",IF(OR(E145="2",E145="２",E145="女"),"女",""))</f>
        <v/>
      </c>
      <c r="G145">
        <f>INDEX(データ入力!$B$5:$Q$41,C145,(B145-1)*4+3)</f>
        <v/>
      </c>
      <c r="H145">
        <f>IF(D145="","",IF($U$2,"混",F145))</f>
        <v/>
      </c>
      <c r="I145">
        <f>IF(AND(H145&lt;&gt;"",ISNUMBER(G145)),H145,"")</f>
        <v/>
      </c>
      <c r="J145">
        <f>IF(I145="","",COUNTIFS($I$2:$I$149,I145,$B$2:$B$149,B145,$G$2:$G$149,"&lt;"&amp;G145)+COUNTIFS($I$2:$I$149,I145,$B$2:$B$149,B145,$G$2:$G$149,G145,$A$2:$A$149,"&lt;"&amp;A145)+1)</f>
        <v/>
      </c>
      <c r="K145">
        <f>IF(I145="","",I145&amp;B145&amp;"-"&amp;J145)</f>
        <v/>
      </c>
      <c r="L145">
        <f>IF(I145="","",I145&amp;B145&amp;"|"&amp;D145)</f>
        <v/>
      </c>
      <c r="M145">
        <f>IF(I145="","",IF(I145="女",COUNTIF(手直し!$G$6:$J$42,D145),COUNTIF(手直し!$B$6:$E$42,D145)))</f>
        <v/>
      </c>
      <c r="N145">
        <f>IF(I145="","",IF(I145="女",COUNTIF(INDEX(手直し!$G$6:$J$42,0,B145),D145),COUNTIF(INDEX(手直し!$B$6:$E$42,0,B145),D145)))</f>
        <v/>
      </c>
      <c r="O145">
        <f>IF(AND(I145&lt;&gt;"",M145=0),1,0)</f>
        <v/>
      </c>
      <c r="P145">
        <f>IF(AND(O145=1,I145&lt;&gt;"女"),COUNTIFS($O$2:O145,1,$I$2:I145,"&lt;&gt;女"),"")</f>
        <v/>
      </c>
      <c r="Q145">
        <f>IF(AND(O145=1,I145="女"),COUNTIFS($O$2:O145,1,$I$2:I145,"女"),"")</f>
        <v/>
      </c>
      <c r="R145">
        <f>IF(AND(I145&lt;&gt;"",M145&gt;=1,N145=0),1,0)</f>
        <v/>
      </c>
      <c r="S145">
        <f>IF(AND(D145&lt;&gt;"",I145=""),1,0)</f>
        <v/>
      </c>
      <c r="V145">
        <f>IF(J145="",0,J145)</f>
        <v/>
      </c>
      <c r="W145">
        <f>IF(I145="","",I145&amp;D145)</f>
        <v/>
      </c>
    </row>
    <row r="146">
      <c r="A146" t="n">
        <v>145</v>
      </c>
      <c r="B146">
        <f>INT((A146-1)/37)+1</f>
        <v/>
      </c>
      <c r="C146">
        <f>MOD(A146-1,37)+1</f>
        <v/>
      </c>
      <c r="D146">
        <f>TRIM(INDEX(データ入力!$B$5:$Q$41,C146,(B146-1)*4+1)&amp;"")</f>
        <v/>
      </c>
      <c r="E146">
        <f>INDEX(データ入力!$B$5:$Q$41,C146,(B146-1)*4+2)&amp;""</f>
        <v/>
      </c>
      <c r="F146">
        <f>IF(OR(E146="1",E146="１",E146="男"),"男",IF(OR(E146="2",E146="２",E146="女"),"女",""))</f>
        <v/>
      </c>
      <c r="G146">
        <f>INDEX(データ入力!$B$5:$Q$41,C146,(B146-1)*4+3)</f>
        <v/>
      </c>
      <c r="H146">
        <f>IF(D146="","",IF($U$2,"混",F146))</f>
        <v/>
      </c>
      <c r="I146">
        <f>IF(AND(H146&lt;&gt;"",ISNUMBER(G146)),H146,"")</f>
        <v/>
      </c>
      <c r="J146">
        <f>IF(I146="","",COUNTIFS($I$2:$I$149,I146,$B$2:$B$149,B146,$G$2:$G$149,"&lt;"&amp;G146)+COUNTIFS($I$2:$I$149,I146,$B$2:$B$149,B146,$G$2:$G$149,G146,$A$2:$A$149,"&lt;"&amp;A146)+1)</f>
        <v/>
      </c>
      <c r="K146">
        <f>IF(I146="","",I146&amp;B146&amp;"-"&amp;J146)</f>
        <v/>
      </c>
      <c r="L146">
        <f>IF(I146="","",I146&amp;B146&amp;"|"&amp;D146)</f>
        <v/>
      </c>
      <c r="M146">
        <f>IF(I146="","",IF(I146="女",COUNTIF(手直し!$G$6:$J$42,D146),COUNTIF(手直し!$B$6:$E$42,D146)))</f>
        <v/>
      </c>
      <c r="N146">
        <f>IF(I146="","",IF(I146="女",COUNTIF(INDEX(手直し!$G$6:$J$42,0,B146),D146),COUNTIF(INDEX(手直し!$B$6:$E$42,0,B146),D146)))</f>
        <v/>
      </c>
      <c r="O146">
        <f>IF(AND(I146&lt;&gt;"",M146=0),1,0)</f>
        <v/>
      </c>
      <c r="P146">
        <f>IF(AND(O146=1,I146&lt;&gt;"女"),COUNTIFS($O$2:O146,1,$I$2:I146,"&lt;&gt;女"),"")</f>
        <v/>
      </c>
      <c r="Q146">
        <f>IF(AND(O146=1,I146="女"),COUNTIFS($O$2:O146,1,$I$2:I146,"女"),"")</f>
        <v/>
      </c>
      <c r="R146">
        <f>IF(AND(I146&lt;&gt;"",M146&gt;=1,N146=0),1,0)</f>
        <v/>
      </c>
      <c r="S146">
        <f>IF(AND(D146&lt;&gt;"",I146=""),1,0)</f>
        <v/>
      </c>
      <c r="V146">
        <f>IF(J146="",0,J146)</f>
        <v/>
      </c>
      <c r="W146">
        <f>IF(I146="","",I146&amp;D146)</f>
        <v/>
      </c>
    </row>
    <row r="147">
      <c r="A147" t="n">
        <v>146</v>
      </c>
      <c r="B147">
        <f>INT((A147-1)/37)+1</f>
        <v/>
      </c>
      <c r="C147">
        <f>MOD(A147-1,37)+1</f>
        <v/>
      </c>
      <c r="D147">
        <f>TRIM(INDEX(データ入力!$B$5:$Q$41,C147,(B147-1)*4+1)&amp;"")</f>
        <v/>
      </c>
      <c r="E147">
        <f>INDEX(データ入力!$B$5:$Q$41,C147,(B147-1)*4+2)&amp;""</f>
        <v/>
      </c>
      <c r="F147">
        <f>IF(OR(E147="1",E147="１",E147="男"),"男",IF(OR(E147="2",E147="２",E147="女"),"女",""))</f>
        <v/>
      </c>
      <c r="G147">
        <f>INDEX(データ入力!$B$5:$Q$41,C147,(B147-1)*4+3)</f>
        <v/>
      </c>
      <c r="H147">
        <f>IF(D147="","",IF($U$2,"混",F147))</f>
        <v/>
      </c>
      <c r="I147">
        <f>IF(AND(H147&lt;&gt;"",ISNUMBER(G147)),H147,"")</f>
        <v/>
      </c>
      <c r="J147">
        <f>IF(I147="","",COUNTIFS($I$2:$I$149,I147,$B$2:$B$149,B147,$G$2:$G$149,"&lt;"&amp;G147)+COUNTIFS($I$2:$I$149,I147,$B$2:$B$149,B147,$G$2:$G$149,G147,$A$2:$A$149,"&lt;"&amp;A147)+1)</f>
        <v/>
      </c>
      <c r="K147">
        <f>IF(I147="","",I147&amp;B147&amp;"-"&amp;J147)</f>
        <v/>
      </c>
      <c r="L147">
        <f>IF(I147="","",I147&amp;B147&amp;"|"&amp;D147)</f>
        <v/>
      </c>
      <c r="M147">
        <f>IF(I147="","",IF(I147="女",COUNTIF(手直し!$G$6:$J$42,D147),COUNTIF(手直し!$B$6:$E$42,D147)))</f>
        <v/>
      </c>
      <c r="N147">
        <f>IF(I147="","",IF(I147="女",COUNTIF(INDEX(手直し!$G$6:$J$42,0,B147),D147),COUNTIF(INDEX(手直し!$B$6:$E$42,0,B147),D147)))</f>
        <v/>
      </c>
      <c r="O147">
        <f>IF(AND(I147&lt;&gt;"",M147=0),1,0)</f>
        <v/>
      </c>
      <c r="P147">
        <f>IF(AND(O147=1,I147&lt;&gt;"女"),COUNTIFS($O$2:O147,1,$I$2:I147,"&lt;&gt;女"),"")</f>
        <v/>
      </c>
      <c r="Q147">
        <f>IF(AND(O147=1,I147="女"),COUNTIFS($O$2:O147,1,$I$2:I147,"女"),"")</f>
        <v/>
      </c>
      <c r="R147">
        <f>IF(AND(I147&lt;&gt;"",M147&gt;=1,N147=0),1,0)</f>
        <v/>
      </c>
      <c r="S147">
        <f>IF(AND(D147&lt;&gt;"",I147=""),1,0)</f>
        <v/>
      </c>
      <c r="V147">
        <f>IF(J147="",0,J147)</f>
        <v/>
      </c>
      <c r="W147">
        <f>IF(I147="","",I147&amp;D147)</f>
        <v/>
      </c>
    </row>
    <row r="148">
      <c r="A148" t="n">
        <v>147</v>
      </c>
      <c r="B148">
        <f>INT((A148-1)/37)+1</f>
        <v/>
      </c>
      <c r="C148">
        <f>MOD(A148-1,37)+1</f>
        <v/>
      </c>
      <c r="D148">
        <f>TRIM(INDEX(データ入力!$B$5:$Q$41,C148,(B148-1)*4+1)&amp;"")</f>
        <v/>
      </c>
      <c r="E148">
        <f>INDEX(データ入力!$B$5:$Q$41,C148,(B148-1)*4+2)&amp;""</f>
        <v/>
      </c>
      <c r="F148">
        <f>IF(OR(E148="1",E148="１",E148="男"),"男",IF(OR(E148="2",E148="２",E148="女"),"女",""))</f>
        <v/>
      </c>
      <c r="G148">
        <f>INDEX(データ入力!$B$5:$Q$41,C148,(B148-1)*4+3)</f>
        <v/>
      </c>
      <c r="H148">
        <f>IF(D148="","",IF($U$2,"混",F148))</f>
        <v/>
      </c>
      <c r="I148">
        <f>IF(AND(H148&lt;&gt;"",ISNUMBER(G148)),H148,"")</f>
        <v/>
      </c>
      <c r="J148">
        <f>IF(I148="","",COUNTIFS($I$2:$I$149,I148,$B$2:$B$149,B148,$G$2:$G$149,"&lt;"&amp;G148)+COUNTIFS($I$2:$I$149,I148,$B$2:$B$149,B148,$G$2:$G$149,G148,$A$2:$A$149,"&lt;"&amp;A148)+1)</f>
        <v/>
      </c>
      <c r="K148">
        <f>IF(I148="","",I148&amp;B148&amp;"-"&amp;J148)</f>
        <v/>
      </c>
      <c r="L148">
        <f>IF(I148="","",I148&amp;B148&amp;"|"&amp;D148)</f>
        <v/>
      </c>
      <c r="M148">
        <f>IF(I148="","",IF(I148="女",COUNTIF(手直し!$G$6:$J$42,D148),COUNTIF(手直し!$B$6:$E$42,D148)))</f>
        <v/>
      </c>
      <c r="N148">
        <f>IF(I148="","",IF(I148="女",COUNTIF(INDEX(手直し!$G$6:$J$42,0,B148),D148),COUNTIF(INDEX(手直し!$B$6:$E$42,0,B148),D148)))</f>
        <v/>
      </c>
      <c r="O148">
        <f>IF(AND(I148&lt;&gt;"",M148=0),1,0)</f>
        <v/>
      </c>
      <c r="P148">
        <f>IF(AND(O148=1,I148&lt;&gt;"女"),COUNTIFS($O$2:O148,1,$I$2:I148,"&lt;&gt;女"),"")</f>
        <v/>
      </c>
      <c r="Q148">
        <f>IF(AND(O148=1,I148="女"),COUNTIFS($O$2:O148,1,$I$2:I148,"女"),"")</f>
        <v/>
      </c>
      <c r="R148">
        <f>IF(AND(I148&lt;&gt;"",M148&gt;=1,N148=0),1,0)</f>
        <v/>
      </c>
      <c r="S148">
        <f>IF(AND(D148&lt;&gt;"",I148=""),1,0)</f>
        <v/>
      </c>
      <c r="V148">
        <f>IF(J148="",0,J148)</f>
        <v/>
      </c>
      <c r="W148">
        <f>IF(I148="","",I148&amp;D148)</f>
        <v/>
      </c>
    </row>
    <row r="149">
      <c r="A149" t="n">
        <v>148</v>
      </c>
      <c r="B149">
        <f>INT((A149-1)/37)+1</f>
        <v/>
      </c>
      <c r="C149">
        <f>MOD(A149-1,37)+1</f>
        <v/>
      </c>
      <c r="D149">
        <f>TRIM(INDEX(データ入力!$B$5:$Q$41,C149,(B149-1)*4+1)&amp;"")</f>
        <v/>
      </c>
      <c r="E149">
        <f>INDEX(データ入力!$B$5:$Q$41,C149,(B149-1)*4+2)&amp;""</f>
        <v/>
      </c>
      <c r="F149">
        <f>IF(OR(E149="1",E149="１",E149="男"),"男",IF(OR(E149="2",E149="２",E149="女"),"女",""))</f>
        <v/>
      </c>
      <c r="G149">
        <f>INDEX(データ入力!$B$5:$Q$41,C149,(B149-1)*4+3)</f>
        <v/>
      </c>
      <c r="H149">
        <f>IF(D149="","",IF($U$2,"混",F149))</f>
        <v/>
      </c>
      <c r="I149">
        <f>IF(AND(H149&lt;&gt;"",ISNUMBER(G149)),H149,"")</f>
        <v/>
      </c>
      <c r="J149">
        <f>IF(I149="","",COUNTIFS($I$2:$I$149,I149,$B$2:$B$149,B149,$G$2:$G$149,"&lt;"&amp;G149)+COUNTIFS($I$2:$I$149,I149,$B$2:$B$149,B149,$G$2:$G$149,G149,$A$2:$A$149,"&lt;"&amp;A149)+1)</f>
        <v/>
      </c>
      <c r="K149">
        <f>IF(I149="","",I149&amp;B149&amp;"-"&amp;J149)</f>
        <v/>
      </c>
      <c r="L149">
        <f>IF(I149="","",I149&amp;B149&amp;"|"&amp;D149)</f>
        <v/>
      </c>
      <c r="M149">
        <f>IF(I149="","",IF(I149="女",COUNTIF(手直し!$G$6:$J$42,D149),COUNTIF(手直し!$B$6:$E$42,D149)))</f>
        <v/>
      </c>
      <c r="N149">
        <f>IF(I149="","",IF(I149="女",COUNTIF(INDEX(手直し!$G$6:$J$42,0,B149),D149),COUNTIF(INDEX(手直し!$B$6:$E$42,0,B149),D149)))</f>
        <v/>
      </c>
      <c r="O149">
        <f>IF(AND(I149&lt;&gt;"",M149=0),1,0)</f>
        <v/>
      </c>
      <c r="P149">
        <f>IF(AND(O149=1,I149&lt;&gt;"女"),COUNTIFS($O$2:O149,1,$I$2:I149,"&lt;&gt;女"),"")</f>
        <v/>
      </c>
      <c r="Q149">
        <f>IF(AND(O149=1,I149="女"),COUNTIFS($O$2:O149,1,$I$2:I149,"女"),"")</f>
        <v/>
      </c>
      <c r="R149">
        <f>IF(AND(I149&lt;&gt;"",M149&gt;=1,N149=0),1,0)</f>
        <v/>
      </c>
      <c r="S149">
        <f>IF(AND(D149&lt;&gt;"",I149=""),1,0)</f>
        <v/>
      </c>
      <c r="V149">
        <f>IF(J149="",0,J149)</f>
        <v/>
      </c>
      <c r="W149">
        <f>IF(I149="","",I149&amp;D149)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2026-10-06T02:33:40Z</dcterms:created>
  <dcterms:modified xsi:type="dcterms:W3CDTF">2026-10-06T02:33:40Z</dcterms:modified>
</cp:coreProperties>
</file>