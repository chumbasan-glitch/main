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組分け" sheetId="3" state="visible" r:id="rId3"/>
    <sheet name="手直し" sheetId="4" state="visible" r:id="rId4"/>
    <sheet name="決定版" sheetId="5" state="visible" r:id="rId5"/>
    <sheet name="走順" sheetId="6" state="visible" r:id="rId6"/>
    <sheet name="印刷用" sheetId="7" state="visible" r:id="rId7"/>
    <sheet name="計算用" sheetId="8" state="hidden" r:id="rId8"/>
  </sheets>
  <definedNames>
    <definedName name="_xlnm.Print_Area" localSheetId="1">OFFSET(組ごとタイム順!$A$1,0,0,3+MAX(計算用!$Q$2:$Q$5),17)</definedName>
    <definedName name="_xlnm.Print_Area" localSheetId="2">OFFSET(組分け!$A$1,0,0,3+MAX(計算用!$Q$9,計算用!$Q$11),37)</definedName>
    <definedName name="_xlnm.Print_Area" localSheetId="3">手直し!$A$1:$S$55</definedName>
    <definedName name="_xlnm.Print_Area" localSheetId="4">OFFSET(決定版!$A$1,0,0,3+MAX(計算用!$Q$13,計算用!$Q$14),37)</definedName>
    <definedName name="_xlnm.Print_Area" localSheetId="5">OFFSET(走順!$A$1,0,0,5+計算用!$Q$30,1+3*計算用!$Q$34)</definedName>
    <definedName name="_xlnm.Print_Area" localSheetId="6">OFFSET(印刷用!$A$1,0,0,1+計算用!$Q$30,1+計算用!$Q$34)</definedName>
    <definedName name="_xlnm.Print_Titles" localSheetId="1">'組ごとタイム順'!$1:$3</definedName>
    <definedName name="_xlnm.Print_Titles" localSheetId="2">'組分け'!$1:$3</definedName>
    <definedName name="_xlnm.Print_Titles" localSheetId="4">'決定版'!$1:$3</definedName>
    <definedName name="_xlnm.Print_Titles" localSheetId="5">'走順'!$4:$5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4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sz val="12"/>
    </font>
    <font>
      <b val="1"/>
      <color rgb="FFFF0000"/>
    </font>
    <font>
      <b val="1"/>
      <sz val="14"/>
    </font>
    <font>
      <sz val="14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 shrinkToFit="1"/>
    </xf>
    <xf numFmtId="0" fontId="10" fillId="2" borderId="9" applyAlignment="1" pivotButton="0" quotePrefix="0" xfId="0">
      <alignment horizontal="center" vertical="center"/>
    </xf>
    <xf numFmtId="0" fontId="9" fillId="0" borderId="0" pivotButton="0" quotePrefix="0" xfId="0"/>
    <xf numFmtId="0" fontId="11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3" borderId="9" applyAlignment="1" pivotButton="0" quotePrefix="0" xfId="0">
      <alignment horizontal="center" vertical="center"/>
    </xf>
    <xf numFmtId="0" fontId="0" fillId="0" borderId="9" pivotButton="0" quotePrefix="0" xfId="0"/>
    <xf numFmtId="164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2">
    <cellStyle name="標準" xfId="0" builtinId="0"/>
    <cellStyle name="標準 4" xfId="1"/>
  </cellStyles>
  <dxfs count="19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</font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  <sz val="14"/>
      </font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 ht="22" customHeight="1" s="11">
      <c r="A1" s="6" t="n"/>
      <c r="B1" s="23" t="inlineStr">
        <is>
          <t>1組の人数 男子</t>
        </is>
      </c>
      <c r="C1" s="24" t="n">
        <v>4</v>
      </c>
      <c r="D1" s="23" t="inlineStr">
        <is>
          <t>女子</t>
        </is>
      </c>
      <c r="E1" s="24" t="n">
        <v>4</v>
      </c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n"/>
      <c r="C3" s="2" t="n"/>
      <c r="D3" s="8" t="n"/>
      <c r="E3" s="8" t="n"/>
      <c r="G3" s="4" t="n"/>
      <c r="H3" s="2" t="n"/>
      <c r="I3" s="8" t="n"/>
      <c r="J3" s="8" t="n"/>
      <c r="L3" s="4" t="n"/>
      <c r="M3" s="2" t="n"/>
      <c r="N3" s="8" t="n"/>
      <c r="O3" s="8" t="n"/>
      <c r="Q3" s="4" t="n"/>
      <c r="R3" s="2" t="n"/>
      <c r="S3" s="8" t="n"/>
      <c r="T3" s="8" t="n"/>
      <c r="V3" s="4" t="n"/>
      <c r="W3" s="2" t="n"/>
      <c r="X3" s="8" t="n"/>
      <c r="Y3" s="8" t="n"/>
    </row>
    <row r="4" ht="15" customHeight="1" s="11">
      <c r="A4" s="2" t="n">
        <v>2</v>
      </c>
      <c r="B4" s="4" t="n"/>
      <c r="C4" s="2" t="n"/>
      <c r="D4" s="8" t="n"/>
      <c r="E4" s="8" t="n"/>
      <c r="G4" s="4" t="n"/>
      <c r="H4" s="2" t="n"/>
      <c r="I4" s="8" t="n"/>
      <c r="J4" s="8" t="n"/>
      <c r="L4" s="4" t="n"/>
      <c r="M4" s="2" t="n"/>
      <c r="N4" s="8" t="n"/>
      <c r="O4" s="8" t="n"/>
      <c r="Q4" s="4" t="n"/>
      <c r="R4" s="2" t="n"/>
      <c r="S4" s="8" t="n"/>
      <c r="T4" s="8" t="n"/>
      <c r="V4" s="4" t="n"/>
      <c r="W4" s="2" t="n"/>
      <c r="X4" s="8" t="n"/>
      <c r="Y4" s="8" t="n"/>
    </row>
    <row r="5" ht="15" customHeight="1" s="11">
      <c r="A5" s="2" t="n">
        <v>3</v>
      </c>
      <c r="B5" s="4" t="n"/>
      <c r="C5" s="2" t="n"/>
      <c r="D5" s="8" t="n"/>
      <c r="E5" s="8" t="n"/>
      <c r="G5" s="4" t="n"/>
      <c r="H5" s="2" t="n"/>
      <c r="I5" s="8" t="n"/>
      <c r="J5" s="8" t="n"/>
      <c r="L5" s="4" t="n"/>
      <c r="M5" s="2" t="n"/>
      <c r="N5" s="8" t="n"/>
      <c r="O5" s="8" t="n"/>
      <c r="Q5" s="4" t="n"/>
      <c r="R5" s="2" t="n"/>
      <c r="S5" s="8" t="n"/>
      <c r="T5" s="8" t="n"/>
      <c r="V5" s="4" t="n"/>
      <c r="W5" s="2" t="n"/>
      <c r="X5" s="8" t="n"/>
      <c r="Y5" s="8" t="n"/>
    </row>
    <row r="6" ht="15" customHeight="1" s="11">
      <c r="A6" s="2" t="n">
        <v>4</v>
      </c>
      <c r="B6" s="4" t="n"/>
      <c r="C6" s="2" t="n"/>
      <c r="D6" s="8" t="n"/>
      <c r="E6" s="8" t="n"/>
      <c r="G6" s="4" t="n"/>
      <c r="H6" s="2" t="n"/>
      <c r="I6" s="8" t="n"/>
      <c r="J6" s="8" t="n"/>
      <c r="L6" s="4" t="n"/>
      <c r="M6" s="2" t="n"/>
      <c r="N6" s="8" t="n"/>
      <c r="O6" s="8" t="n"/>
      <c r="Q6" s="4" t="n"/>
      <c r="R6" s="2" t="n"/>
      <c r="S6" s="8" t="n"/>
      <c r="T6" s="8" t="n"/>
      <c r="V6" s="4" t="n"/>
      <c r="W6" s="2" t="n"/>
      <c r="X6" s="8" t="n"/>
      <c r="Y6" s="8" t="n"/>
    </row>
    <row r="7" ht="15" customHeight="1" s="11">
      <c r="A7" s="2" t="n">
        <v>5</v>
      </c>
      <c r="B7" s="4" t="n"/>
      <c r="C7" s="2" t="n"/>
      <c r="D7" s="8" t="n"/>
      <c r="E7" s="8" t="n"/>
      <c r="G7" s="4" t="n"/>
      <c r="H7" s="2" t="n"/>
      <c r="I7" s="8" t="n"/>
      <c r="J7" s="8" t="n"/>
      <c r="L7" s="4" t="n"/>
      <c r="M7" s="2" t="n"/>
      <c r="N7" s="8" t="n"/>
      <c r="O7" s="8" t="n"/>
      <c r="Q7" s="4" t="n"/>
      <c r="R7" s="2" t="n"/>
      <c r="S7" s="8" t="n"/>
      <c r="T7" s="8" t="n"/>
      <c r="V7" s="4" t="n"/>
      <c r="W7" s="2" t="n"/>
      <c r="X7" s="8" t="n"/>
      <c r="Y7" s="8" t="n"/>
    </row>
    <row r="8" ht="15" customHeight="1" s="11">
      <c r="A8" s="2" t="n">
        <v>6</v>
      </c>
      <c r="B8" s="4" t="n"/>
      <c r="C8" s="2" t="n"/>
      <c r="D8" s="8" t="n"/>
      <c r="E8" s="8" t="n"/>
      <c r="G8" s="4" t="n"/>
      <c r="H8" s="2" t="n"/>
      <c r="I8" s="8" t="n"/>
      <c r="J8" s="8" t="n"/>
      <c r="L8" s="4" t="n"/>
      <c r="M8" s="2" t="n"/>
      <c r="N8" s="8" t="n"/>
      <c r="O8" s="8" t="n"/>
      <c r="Q8" s="4" t="n"/>
      <c r="R8" s="2" t="n"/>
      <c r="S8" s="8" t="n"/>
      <c r="T8" s="8" t="n"/>
      <c r="V8" s="4" t="n"/>
      <c r="W8" s="2" t="n"/>
      <c r="X8" s="8" t="n"/>
      <c r="Y8" s="8" t="n"/>
    </row>
    <row r="9" ht="15" customHeight="1" s="11">
      <c r="A9" s="2" t="n">
        <v>7</v>
      </c>
      <c r="B9" s="4" t="n"/>
      <c r="C9" s="2" t="n"/>
      <c r="D9" s="8" t="n"/>
      <c r="E9" s="8" t="n"/>
      <c r="G9" s="4" t="n"/>
      <c r="H9" s="2" t="n"/>
      <c r="I9" s="8" t="n"/>
      <c r="J9" s="8" t="n"/>
      <c r="L9" s="4" t="n"/>
      <c r="M9" s="2" t="n"/>
      <c r="N9" s="8" t="n"/>
      <c r="O9" s="8" t="n"/>
      <c r="Q9" s="4" t="n"/>
      <c r="R9" s="2" t="n"/>
      <c r="S9" s="8" t="n"/>
      <c r="T9" s="8" t="n"/>
      <c r="V9" s="4" t="n"/>
      <c r="W9" s="2" t="n"/>
      <c r="X9" s="8" t="n"/>
      <c r="Y9" s="8" t="n"/>
    </row>
    <row r="10" ht="15" customHeight="1" s="11">
      <c r="A10" s="2" t="n">
        <v>8</v>
      </c>
      <c r="B10" s="4" t="n"/>
      <c r="C10" s="2" t="n"/>
      <c r="D10" s="8" t="n"/>
      <c r="E10" s="8" t="n"/>
      <c r="G10" s="4" t="n"/>
      <c r="H10" s="2" t="n"/>
      <c r="I10" s="8" t="n"/>
      <c r="J10" s="8" t="n"/>
      <c r="L10" s="4" t="n"/>
      <c r="M10" s="2" t="n"/>
      <c r="N10" s="8" t="n"/>
      <c r="O10" s="8" t="n"/>
      <c r="Q10" s="4" t="n"/>
      <c r="R10" s="2" t="n"/>
      <c r="S10" s="8" t="n"/>
      <c r="T10" s="8" t="n"/>
      <c r="V10" s="4" t="n"/>
      <c r="W10" s="2" t="n"/>
      <c r="X10" s="8" t="n"/>
      <c r="Y10" s="8" t="n"/>
    </row>
    <row r="11" ht="15" customHeight="1" s="11">
      <c r="A11" s="2" t="n">
        <v>9</v>
      </c>
      <c r="B11" s="4" t="n"/>
      <c r="C11" s="2" t="n"/>
      <c r="D11" s="8" t="n"/>
      <c r="E11" s="8" t="n"/>
      <c r="G11" s="4" t="n"/>
      <c r="H11" s="2" t="n"/>
      <c r="I11" s="8" t="n"/>
      <c r="J11" s="8" t="n"/>
      <c r="L11" s="4" t="n"/>
      <c r="M11" s="2" t="n"/>
      <c r="N11" s="8" t="n"/>
      <c r="O11" s="8" t="n"/>
      <c r="Q11" s="4" t="n"/>
      <c r="R11" s="2" t="n"/>
      <c r="S11" s="8" t="n"/>
      <c r="T11" s="8" t="n"/>
      <c r="V11" s="4" t="n"/>
      <c r="W11" s="2" t="n"/>
      <c r="X11" s="8" t="n"/>
      <c r="Y11" s="8" t="n"/>
    </row>
    <row r="12" ht="15" customHeight="1" s="11">
      <c r="A12" s="2" t="n">
        <v>10</v>
      </c>
      <c r="B12" s="4" t="n"/>
      <c r="C12" s="2" t="n"/>
      <c r="D12" s="8" t="n"/>
      <c r="E12" s="8" t="n"/>
      <c r="G12" s="4" t="n"/>
      <c r="H12" s="2" t="n"/>
      <c r="I12" s="8" t="n"/>
      <c r="J12" s="8" t="n"/>
      <c r="L12" s="4" t="n"/>
      <c r="M12" s="2" t="n"/>
      <c r="N12" s="8" t="n"/>
      <c r="O12" s="8" t="n"/>
      <c r="Q12" s="4" t="n"/>
      <c r="R12" s="2" t="n"/>
      <c r="S12" s="8" t="n"/>
      <c r="T12" s="8" t="n"/>
      <c r="V12" s="4" t="n"/>
      <c r="W12" s="2" t="n"/>
      <c r="X12" s="8" t="n"/>
      <c r="Y12" s="8" t="n"/>
    </row>
    <row r="13" ht="15" customHeight="1" s="11">
      <c r="A13" s="2" t="n">
        <v>11</v>
      </c>
      <c r="B13" s="4" t="n"/>
      <c r="C13" s="2" t="n"/>
      <c r="D13" s="8" t="n"/>
      <c r="E13" s="8" t="n"/>
      <c r="G13" s="4" t="n"/>
      <c r="H13" s="2" t="n"/>
      <c r="I13" s="8" t="n"/>
      <c r="J13" s="8" t="n"/>
      <c r="L13" s="4" t="n"/>
      <c r="M13" s="2" t="n"/>
      <c r="N13" s="8" t="n"/>
      <c r="O13" s="8" t="n"/>
      <c r="Q13" s="4" t="n"/>
      <c r="R13" s="2" t="n"/>
      <c r="S13" s="8" t="n"/>
      <c r="T13" s="8" t="n"/>
      <c r="V13" s="4" t="n"/>
      <c r="W13" s="2" t="n"/>
      <c r="X13" s="8" t="n"/>
      <c r="Y13" s="8" t="n"/>
    </row>
    <row r="14" ht="15" customHeight="1" s="11">
      <c r="A14" s="2" t="n">
        <v>12</v>
      </c>
      <c r="B14" s="4" t="n"/>
      <c r="C14" s="2" t="n"/>
      <c r="D14" s="8" t="n"/>
      <c r="E14" s="8" t="n"/>
      <c r="G14" s="4" t="n"/>
      <c r="H14" s="2" t="n"/>
      <c r="I14" s="8" t="n"/>
      <c r="J14" s="8" t="n"/>
      <c r="L14" s="4" t="n"/>
      <c r="M14" s="2" t="n"/>
      <c r="N14" s="8" t="n"/>
      <c r="O14" s="8" t="n"/>
      <c r="Q14" s="4" t="n"/>
      <c r="R14" s="2" t="n"/>
      <c r="S14" s="8" t="n"/>
      <c r="T14" s="8" t="n"/>
      <c r="V14" s="4" t="n"/>
      <c r="W14" s="2" t="n"/>
      <c r="X14" s="8" t="n"/>
      <c r="Y14" s="8" t="n"/>
    </row>
    <row r="15" ht="15" customHeight="1" s="11">
      <c r="A15" s="2" t="n">
        <v>13</v>
      </c>
      <c r="B15" s="4" t="n"/>
      <c r="C15" s="2" t="n"/>
      <c r="D15" s="8" t="n"/>
      <c r="E15" s="8" t="n"/>
      <c r="G15" s="4" t="n"/>
      <c r="H15" s="2" t="n"/>
      <c r="I15" s="8" t="n"/>
      <c r="J15" s="8" t="n"/>
      <c r="L15" s="4" t="n"/>
      <c r="M15" s="2" t="n"/>
      <c r="N15" s="8" t="n"/>
      <c r="O15" s="8" t="n"/>
      <c r="Q15" s="4" t="n"/>
      <c r="R15" s="2" t="n"/>
      <c r="S15" s="8" t="n"/>
      <c r="T15" s="8" t="n"/>
      <c r="V15" s="4" t="n"/>
      <c r="W15" s="2" t="n"/>
      <c r="X15" s="8" t="n"/>
      <c r="Y15" s="8" t="n"/>
    </row>
    <row r="16" ht="15" customHeight="1" s="11">
      <c r="A16" s="2" t="n">
        <v>14</v>
      </c>
      <c r="B16" s="4" t="n"/>
      <c r="C16" s="2" t="n"/>
      <c r="D16" s="8" t="n"/>
      <c r="E16" s="8" t="n"/>
      <c r="G16" s="4" t="n"/>
      <c r="H16" s="2" t="n"/>
      <c r="I16" s="8" t="n"/>
      <c r="J16" s="8" t="n"/>
      <c r="L16" s="4" t="n"/>
      <c r="M16" s="2" t="n"/>
      <c r="N16" s="8" t="n"/>
      <c r="O16" s="8" t="n"/>
      <c r="Q16" s="4" t="n"/>
      <c r="R16" s="2" t="n"/>
      <c r="S16" s="8" t="n"/>
      <c r="T16" s="8" t="n"/>
      <c r="V16" s="4" t="n"/>
      <c r="W16" s="2" t="n"/>
      <c r="X16" s="8" t="n"/>
      <c r="Y16" s="8" t="n"/>
    </row>
    <row r="17" ht="15" customHeight="1" s="11">
      <c r="A17" s="2" t="n">
        <v>15</v>
      </c>
      <c r="B17" s="4" t="n"/>
      <c r="C17" s="2" t="n"/>
      <c r="D17" s="8" t="n"/>
      <c r="E17" s="8" t="n"/>
      <c r="G17" s="4" t="n"/>
      <c r="H17" s="2" t="n"/>
      <c r="I17" s="8" t="n"/>
      <c r="J17" s="8" t="n"/>
      <c r="L17" s="4" t="n"/>
      <c r="M17" s="2" t="n"/>
      <c r="N17" s="8" t="n"/>
      <c r="O17" s="8" t="n"/>
      <c r="Q17" s="4" t="n"/>
      <c r="R17" s="2" t="n"/>
      <c r="S17" s="8" t="n"/>
      <c r="T17" s="8" t="n"/>
      <c r="V17" s="4" t="n"/>
      <c r="W17" s="2" t="n"/>
      <c r="X17" s="8" t="n"/>
      <c r="Y17" s="8" t="n"/>
    </row>
    <row r="18" ht="15" customHeight="1" s="11">
      <c r="A18" s="2" t="n">
        <v>16</v>
      </c>
      <c r="B18" s="4" t="n"/>
      <c r="C18" s="2" t="n"/>
      <c r="D18" s="8" t="n"/>
      <c r="E18" s="8" t="n"/>
      <c r="G18" s="4" t="n"/>
      <c r="H18" s="2" t="n"/>
      <c r="I18" s="8" t="n"/>
      <c r="J18" s="8" t="n"/>
      <c r="L18" s="4" t="n"/>
      <c r="M18" s="2" t="n"/>
      <c r="N18" s="8" t="n"/>
      <c r="O18" s="8" t="n"/>
      <c r="Q18" s="4" t="n"/>
      <c r="R18" s="2" t="n"/>
      <c r="S18" s="8" t="n"/>
      <c r="T18" s="8" t="n"/>
      <c r="V18" s="4" t="n"/>
      <c r="W18" s="2" t="n"/>
      <c r="X18" s="8" t="n"/>
      <c r="Y18" s="8" t="n"/>
    </row>
    <row r="19" ht="15" customHeight="1" s="11">
      <c r="A19" s="2" t="n">
        <v>17</v>
      </c>
      <c r="B19" s="4" t="n"/>
      <c r="C19" s="2" t="n"/>
      <c r="D19" s="8" t="n"/>
      <c r="E19" s="8" t="n"/>
      <c r="G19" s="4" t="n"/>
      <c r="H19" s="2" t="n"/>
      <c r="I19" s="8" t="n"/>
      <c r="J19" s="8" t="n"/>
      <c r="L19" s="4" t="n"/>
      <c r="M19" s="2" t="n"/>
      <c r="N19" s="8" t="n"/>
      <c r="O19" s="8" t="n"/>
      <c r="Q19" s="4" t="n"/>
      <c r="R19" s="2" t="n"/>
      <c r="S19" s="8" t="n"/>
      <c r="T19" s="8" t="n"/>
      <c r="V19" s="4" t="n"/>
      <c r="W19" s="2" t="n"/>
      <c r="X19" s="8" t="n"/>
      <c r="Y19" s="8" t="n"/>
    </row>
    <row r="20" ht="15" customHeight="1" s="11">
      <c r="A20" s="2" t="n">
        <v>18</v>
      </c>
      <c r="B20" s="4" t="n"/>
      <c r="C20" s="2" t="n"/>
      <c r="D20" s="8" t="n"/>
      <c r="E20" s="8" t="n"/>
      <c r="G20" s="4" t="n"/>
      <c r="H20" s="2" t="n"/>
      <c r="I20" s="8" t="n"/>
      <c r="J20" s="8" t="n"/>
      <c r="L20" s="4" t="n"/>
      <c r="M20" s="2" t="n"/>
      <c r="N20" s="8" t="n"/>
      <c r="O20" s="8" t="n"/>
      <c r="Q20" s="4" t="n"/>
      <c r="R20" s="2" t="n"/>
      <c r="S20" s="8" t="n"/>
      <c r="T20" s="8" t="n"/>
      <c r="V20" s="4" t="n"/>
      <c r="W20" s="2" t="n"/>
      <c r="X20" s="8" t="n"/>
      <c r="Y20" s="8" t="n"/>
    </row>
    <row r="21" ht="15" customHeight="1" s="11">
      <c r="A21" s="2" t="n">
        <v>19</v>
      </c>
      <c r="B21" s="4" t="n"/>
      <c r="C21" s="2" t="n"/>
      <c r="D21" s="8" t="n"/>
      <c r="E21" s="8" t="n"/>
      <c r="G21" s="4" t="n"/>
      <c r="H21" s="2" t="n"/>
      <c r="I21" s="8" t="n"/>
      <c r="J21" s="8" t="n"/>
      <c r="L21" s="4" t="n"/>
      <c r="M21" s="2" t="n"/>
      <c r="N21" s="8" t="n"/>
      <c r="O21" s="8" t="n"/>
      <c r="Q21" s="4" t="n"/>
      <c r="R21" s="2" t="n"/>
      <c r="S21" s="8" t="n"/>
      <c r="T21" s="8" t="n"/>
      <c r="V21" s="4" t="n"/>
      <c r="W21" s="2" t="n"/>
      <c r="X21" s="8" t="n"/>
      <c r="Y21" s="8" t="n"/>
    </row>
    <row r="22" ht="15" customHeight="1" s="11">
      <c r="A22" s="2" t="n">
        <v>20</v>
      </c>
      <c r="B22" s="4" t="n"/>
      <c r="C22" s="2" t="n"/>
      <c r="D22" s="8" t="n"/>
      <c r="E22" s="8" t="n"/>
      <c r="G22" s="4" t="n"/>
      <c r="H22" s="2" t="n"/>
      <c r="I22" s="8" t="n"/>
      <c r="J22" s="8" t="n"/>
      <c r="L22" s="4" t="n"/>
      <c r="M22" s="2" t="n"/>
      <c r="N22" s="8" t="n"/>
      <c r="O22" s="8" t="n"/>
      <c r="Q22" s="4" t="n"/>
      <c r="R22" s="2" t="n"/>
      <c r="S22" s="8" t="n"/>
      <c r="T22" s="8" t="n"/>
      <c r="V22" s="4" t="n"/>
      <c r="W22" s="2" t="n"/>
      <c r="X22" s="8" t="n"/>
      <c r="Y22" s="8" t="n"/>
    </row>
    <row r="23" ht="15" customHeight="1" s="11">
      <c r="A23" s="2" t="n">
        <v>21</v>
      </c>
      <c r="B23" s="4" t="n"/>
      <c r="C23" s="2" t="n"/>
      <c r="D23" s="8" t="n"/>
      <c r="E23" s="8" t="n"/>
      <c r="G23" s="4" t="n"/>
      <c r="H23" s="2" t="n"/>
      <c r="I23" s="8" t="n"/>
      <c r="J23" s="8" t="n"/>
      <c r="L23" s="4" t="n"/>
      <c r="M23" s="2" t="n"/>
      <c r="N23" s="8" t="n"/>
      <c r="O23" s="8" t="n"/>
      <c r="Q23" s="4" t="n"/>
      <c r="R23" s="2" t="n"/>
      <c r="S23" s="8" t="n"/>
      <c r="T23" s="8" t="n"/>
      <c r="V23" s="4" t="n"/>
      <c r="W23" s="2" t="n"/>
      <c r="X23" s="8" t="n"/>
      <c r="Y23" s="8" t="n"/>
    </row>
    <row r="24" ht="15" customHeight="1" s="11">
      <c r="A24" s="2" t="n">
        <v>22</v>
      </c>
      <c r="B24" s="4" t="n"/>
      <c r="C24" s="2" t="n"/>
      <c r="D24" s="8" t="n"/>
      <c r="E24" s="8" t="n"/>
      <c r="G24" s="4" t="n"/>
      <c r="H24" s="2" t="n"/>
      <c r="I24" s="8" t="n"/>
      <c r="J24" s="8" t="n"/>
      <c r="L24" s="4" t="n"/>
      <c r="M24" s="2" t="n"/>
      <c r="N24" s="8" t="n"/>
      <c r="O24" s="8" t="n"/>
      <c r="Q24" s="4" t="n"/>
      <c r="R24" s="2" t="n"/>
      <c r="S24" s="8" t="n"/>
      <c r="T24" s="8" t="n"/>
      <c r="V24" s="4" t="n"/>
      <c r="W24" s="2" t="n"/>
      <c r="X24" s="8" t="n"/>
      <c r="Y24" s="8" t="n"/>
    </row>
    <row r="25" ht="15" customHeight="1" s="11">
      <c r="A25" s="2" t="n">
        <v>23</v>
      </c>
      <c r="B25" s="4" t="n"/>
      <c r="C25" s="2" t="n"/>
      <c r="D25" s="8" t="n"/>
      <c r="E25" s="8" t="n"/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n"/>
      <c r="C26" s="2" t="n"/>
      <c r="D26" s="8" t="n"/>
      <c r="E26" s="8" t="n"/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3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  <dataValidation sqref="C1 E1" showDropDown="0" showInputMessage="0" showErrorMessage="1" allowBlank="0" errorTitle="1組の人数" error="4か5を選んでください" type="list">
      <formula1>"4,5"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13" customWidth="1" style="11" min="16" max="16"/>
    <col width="5" customWidth="1" style="11" min="17" max="17"/>
    <col width="4" customWidth="1" style="11" min="18" max="18"/>
    <col width="2" customWidth="1" style="11" min="19" max="19"/>
    <col width="5" customWidth="1" style="11" min="20" max="20"/>
    <col width="5" customWidth="1" style="11" min="21" max="21"/>
    <col width="9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  <col width="13" customWidth="1" style="11" min="32" max="32"/>
    <col width="5" customWidth="1" style="11" min="33" max="33"/>
    <col width="4" customWidth="1" style="11" min="34" max="34"/>
    <col width="13" customWidth="1" style="11" min="35" max="35"/>
    <col width="5" customWidth="1" style="11" min="36" max="36"/>
    <col width="4" customWidth="1" style="11" min="37" max="37"/>
  </cols>
  <sheetData>
    <row r="1">
      <c r="A1" s="25" t="inlineStr">
        <is>
          <t>男子</t>
        </is>
      </c>
      <c r="D1" s="26">
        <f>IF(SUMPRODUCT((計算用!$T$2:$T$51&gt;0)*(((計算用!$T$2:$T$51&lt;&gt;計算用!$Q$32)+(ABS(計算用!$W$2:$W$51-計算用!$X$2:$X$51)&gt;1))&gt;0))&gt;0,"※黄色の組は、人数の都合で調整した組です","")</f>
        <v/>
      </c>
      <c r="O1" s="25">
        <f>"1組 "&amp;計算用!$Q$32&amp;"人"</f>
        <v/>
      </c>
      <c r="T1" s="25" t="inlineStr">
        <is>
          <t>女子</t>
        </is>
      </c>
      <c r="W1" s="26">
        <f>IF(SUMPRODUCT((計算用!$AC$2:$AC$51&gt;0)*(((計算用!$AC$2:$AC$51&lt;&gt;計算用!$Q$33)+(ABS(計算用!$AF$2:$AF$51-計算用!$AG$2:$AG$51)&gt;1))&gt;0))&gt;0,"※黄色の組は、人数の都合で調整した組です","")</f>
        <v/>
      </c>
      <c r="AH1" s="25">
        <f>"1組 "&amp;計算用!$Q$33&amp;"人"</f>
        <v/>
      </c>
    </row>
    <row r="2">
      <c r="A2" s="27" t="inlineStr">
        <is>
          <t>組</t>
        </is>
      </c>
      <c r="B2" s="27" t="inlineStr">
        <is>
          <t>人数</t>
        </is>
      </c>
      <c r="C2" s="27" t="inlineStr">
        <is>
          <t>内訳</t>
        </is>
      </c>
      <c r="D2" s="27" t="inlineStr">
        <is>
          <t>1人目</t>
        </is>
      </c>
      <c r="E2" s="27" t="n"/>
      <c r="F2" s="27" t="n"/>
      <c r="G2" s="27" t="inlineStr">
        <is>
          <t>2人目</t>
        </is>
      </c>
      <c r="H2" s="27" t="n"/>
      <c r="I2" s="27" t="n"/>
      <c r="J2" s="27" t="inlineStr">
        <is>
          <t>3人目</t>
        </is>
      </c>
      <c r="K2" s="27" t="n"/>
      <c r="L2" s="27" t="n"/>
      <c r="M2" s="27" t="inlineStr">
        <is>
          <t>4人目</t>
        </is>
      </c>
      <c r="N2" s="27" t="n"/>
      <c r="O2" s="27" t="n"/>
      <c r="P2" s="27" t="inlineStr">
        <is>
          <t>5人目</t>
        </is>
      </c>
      <c r="Q2" s="27" t="n"/>
      <c r="R2" s="27" t="n"/>
      <c r="T2" s="27" t="inlineStr">
        <is>
          <t>組</t>
        </is>
      </c>
      <c r="U2" s="27" t="inlineStr">
        <is>
          <t>人数</t>
        </is>
      </c>
      <c r="V2" s="27" t="inlineStr">
        <is>
          <t>内訳</t>
        </is>
      </c>
      <c r="W2" s="27" t="inlineStr">
        <is>
          <t>1人目</t>
        </is>
      </c>
      <c r="X2" s="27" t="n"/>
      <c r="Y2" s="27" t="n"/>
      <c r="Z2" s="27" t="inlineStr">
        <is>
          <t>2人目</t>
        </is>
      </c>
      <c r="AA2" s="27" t="n"/>
      <c r="AB2" s="27" t="n"/>
      <c r="AC2" s="27" t="inlineStr">
        <is>
          <t>3人目</t>
        </is>
      </c>
      <c r="AD2" s="27" t="n"/>
      <c r="AE2" s="27" t="n"/>
      <c r="AF2" s="27" t="inlineStr">
        <is>
          <t>4人目</t>
        </is>
      </c>
      <c r="AG2" s="27" t="n"/>
      <c r="AH2" s="27" t="n"/>
      <c r="AI2" s="27" t="inlineStr">
        <is>
          <t>5人目</t>
        </is>
      </c>
      <c r="AJ2" s="27" t="n"/>
      <c r="AK2" s="27" t="n"/>
    </row>
    <row r="3">
      <c r="A3" s="27" t="n"/>
      <c r="B3" s="27" t="n"/>
      <c r="C3" s="27" t="n"/>
      <c r="D3" s="27" t="inlineStr">
        <is>
          <t>名前</t>
        </is>
      </c>
      <c r="E3" s="27" t="inlineStr">
        <is>
          <t>クラス</t>
        </is>
      </c>
      <c r="F3" s="27" t="inlineStr">
        <is>
          <t>色</t>
        </is>
      </c>
      <c r="G3" s="27" t="inlineStr">
        <is>
          <t>名前</t>
        </is>
      </c>
      <c r="H3" s="27" t="inlineStr">
        <is>
          <t>クラス</t>
        </is>
      </c>
      <c r="I3" s="27" t="inlineStr">
        <is>
          <t>色</t>
        </is>
      </c>
      <c r="J3" s="27" t="inlineStr">
        <is>
          <t>名前</t>
        </is>
      </c>
      <c r="K3" s="27" t="inlineStr">
        <is>
          <t>クラス</t>
        </is>
      </c>
      <c r="L3" s="27" t="inlineStr">
        <is>
          <t>色</t>
        </is>
      </c>
      <c r="M3" s="27" t="inlineStr">
        <is>
          <t>名前</t>
        </is>
      </c>
      <c r="N3" s="27" t="inlineStr">
        <is>
          <t>クラス</t>
        </is>
      </c>
      <c r="O3" s="27" t="inlineStr">
        <is>
          <t>色</t>
        </is>
      </c>
      <c r="P3" s="27" t="inlineStr">
        <is>
          <t>名前</t>
        </is>
      </c>
      <c r="Q3" s="27" t="inlineStr">
        <is>
          <t>クラス</t>
        </is>
      </c>
      <c r="R3" s="27" t="inlineStr">
        <is>
          <t>色</t>
        </is>
      </c>
      <c r="T3" s="27" t="n"/>
      <c r="U3" s="27" t="n"/>
      <c r="V3" s="27" t="n"/>
      <c r="W3" s="27" t="inlineStr">
        <is>
          <t>名前</t>
        </is>
      </c>
      <c r="X3" s="27" t="inlineStr">
        <is>
          <t>クラス</t>
        </is>
      </c>
      <c r="Y3" s="27" t="inlineStr">
        <is>
          <t>色</t>
        </is>
      </c>
      <c r="Z3" s="27" t="inlineStr">
        <is>
          <t>名前</t>
        </is>
      </c>
      <c r="AA3" s="27" t="inlineStr">
        <is>
          <t>クラス</t>
        </is>
      </c>
      <c r="AB3" s="27" t="inlineStr">
        <is>
          <t>色</t>
        </is>
      </c>
      <c r="AC3" s="27" t="inlineStr">
        <is>
          <t>名前</t>
        </is>
      </c>
      <c r="AD3" s="27" t="inlineStr">
        <is>
          <t>クラス</t>
        </is>
      </c>
      <c r="AE3" s="27" t="inlineStr">
        <is>
          <t>色</t>
        </is>
      </c>
      <c r="AF3" s="27" t="inlineStr">
        <is>
          <t>名前</t>
        </is>
      </c>
      <c r="AG3" s="27" t="inlineStr">
        <is>
          <t>クラス</t>
        </is>
      </c>
      <c r="AH3" s="27" t="inlineStr">
        <is>
          <t>色</t>
        </is>
      </c>
      <c r="AI3" s="27" t="inlineStr">
        <is>
          <t>名前</t>
        </is>
      </c>
      <c r="AJ3" s="27" t="inlineStr">
        <is>
          <t>クラス</t>
        </is>
      </c>
      <c r="AK3" s="27" t="inlineStr">
        <is>
          <t>色</t>
        </is>
      </c>
    </row>
    <row r="4">
      <c r="A4" s="28">
        <f>IF(ROW()-3&lt;=計算用!$Q$9,ROW()-3,"")</f>
        <v/>
      </c>
      <c r="B4" s="28">
        <f>IF($A4="","",INDEX(計算用!$T$2:$T$51,$A4))</f>
        <v/>
      </c>
      <c r="C4" s="28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8">
        <f>IF($A4="","",IFERROR(INDEX(計算用!$M$2:$M$186,MATCH("男"&amp;$A4&amp;"-1",計算用!$AN$2:$AN$186,0)),""))</f>
        <v/>
      </c>
      <c r="F4" s="28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8">
        <f>IF($A4="","",IFERROR(INDEX(計算用!$M$2:$M$186,MATCH("男"&amp;$A4&amp;"-2",計算用!$AN$2:$AN$186,0)),""))</f>
        <v/>
      </c>
      <c r="I4" s="28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8">
        <f>IF($A4="","",IFERROR(INDEX(計算用!$M$2:$M$186,MATCH("男"&amp;$A4&amp;"-3",計算用!$AN$2:$AN$186,0)),""))</f>
        <v/>
      </c>
      <c r="L4" s="28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8">
        <f>IF($A4="","",IFERROR(INDEX(計算用!$M$2:$M$186,MATCH("男"&amp;$A4&amp;"-4",計算用!$AN$2:$AN$186,0)),""))</f>
        <v/>
      </c>
      <c r="O4" s="28">
        <f>IF($A4="","",IFERROR(INDEX(計算用!$I$2:$I$186,MATCH("男"&amp;$A4&amp;"-4",計算用!$AN$2:$AN$186,0)),""))</f>
        <v/>
      </c>
      <c r="P4">
        <f>IF($A4="","",IFERROR(INDEX(計算用!$D$2:$D$186,MATCH("男"&amp;$A4&amp;"-5",計算用!$AN$2:$AN$186,0)),""))</f>
        <v/>
      </c>
      <c r="Q4" s="28">
        <f>IF($A4="","",IFERROR(INDEX(計算用!$M$2:$M$186,MATCH("男"&amp;$A4&amp;"-5",計算用!$AN$2:$AN$186,0)),""))</f>
        <v/>
      </c>
      <c r="R4" s="28">
        <f>IF($A4="","",IFERROR(INDEX(計算用!$I$2:$I$186,MATCH("男"&amp;$A4&amp;"-5",計算用!$AN$2:$AN$186,0)),""))</f>
        <v/>
      </c>
      <c r="T4" s="28">
        <f>IF(ROW()-3&lt;=計算用!$Q$11,ROW()-3,"")</f>
        <v/>
      </c>
      <c r="U4" s="28">
        <f>IF($T4="","",INDEX(計算用!$AC$2:$AC$51,$T4))</f>
        <v/>
      </c>
      <c r="V4" s="28">
        <f>IF($T4="","","赤"&amp;INDEX(計算用!$AF$2:$AF$51,$T4)&amp;"白"&amp;INDEX(計算用!$AG$2:$AG$51,$T4))</f>
        <v/>
      </c>
      <c r="W4">
        <f>IF($T4="","",IFERROR(INDEX(計算用!$D$2:$D$186,MATCH("女"&amp;$T4&amp;"-1",計算用!$AN$2:$AN$186,0)),""))</f>
        <v/>
      </c>
      <c r="X4" s="28">
        <f>IF($T4="","",IFERROR(INDEX(計算用!$M$2:$M$186,MATCH("女"&amp;$T4&amp;"-1",計算用!$AN$2:$AN$186,0)),""))</f>
        <v/>
      </c>
      <c r="Y4" s="28">
        <f>IF($T4="","",IFERROR(INDEX(計算用!$I$2:$I$186,MATCH("女"&amp;$T4&amp;"-1",計算用!$AN$2:$AN$186,0)),""))</f>
        <v/>
      </c>
      <c r="Z4">
        <f>IF($T4="","",IFERROR(INDEX(計算用!$D$2:$D$186,MATCH("女"&amp;$T4&amp;"-2",計算用!$AN$2:$AN$186,0)),""))</f>
        <v/>
      </c>
      <c r="AA4" s="28">
        <f>IF($T4="","",IFERROR(INDEX(計算用!$M$2:$M$186,MATCH("女"&amp;$T4&amp;"-2",計算用!$AN$2:$AN$186,0)),""))</f>
        <v/>
      </c>
      <c r="AB4" s="28">
        <f>IF($T4="","",IFERROR(INDEX(計算用!$I$2:$I$186,MATCH("女"&amp;$T4&amp;"-2",計算用!$AN$2:$AN$186,0)),""))</f>
        <v/>
      </c>
      <c r="AC4">
        <f>IF($T4="","",IFERROR(INDEX(計算用!$D$2:$D$186,MATCH("女"&amp;$T4&amp;"-3",計算用!$AN$2:$AN$186,0)),""))</f>
        <v/>
      </c>
      <c r="AD4" s="28">
        <f>IF($T4="","",IFERROR(INDEX(計算用!$M$2:$M$186,MATCH("女"&amp;$T4&amp;"-3",計算用!$AN$2:$AN$186,0)),""))</f>
        <v/>
      </c>
      <c r="AE4" s="28">
        <f>IF($T4="","",IFERROR(INDEX(計算用!$I$2:$I$186,MATCH("女"&amp;$T4&amp;"-3",計算用!$AN$2:$AN$186,0)),""))</f>
        <v/>
      </c>
      <c r="AF4">
        <f>IF($T4="","",IFERROR(INDEX(計算用!$D$2:$D$186,MATCH("女"&amp;$T4&amp;"-4",計算用!$AN$2:$AN$186,0)),""))</f>
        <v/>
      </c>
      <c r="AG4" s="28">
        <f>IF($T4="","",IFERROR(INDEX(計算用!$M$2:$M$186,MATCH("女"&amp;$T4&amp;"-4",計算用!$AN$2:$AN$186,0)),""))</f>
        <v/>
      </c>
      <c r="AH4" s="28">
        <f>IF($T4="","",IFERROR(INDEX(計算用!$I$2:$I$186,MATCH("女"&amp;$T4&amp;"-4",計算用!$AN$2:$AN$186,0)),""))</f>
        <v/>
      </c>
      <c r="AI4">
        <f>IF($T4="","",IFERROR(INDEX(計算用!$D$2:$D$186,MATCH("女"&amp;$T4&amp;"-5",計算用!$AN$2:$AN$186,0)),""))</f>
        <v/>
      </c>
      <c r="AJ4" s="28">
        <f>IF($T4="","",IFERROR(INDEX(計算用!$M$2:$M$186,MATCH("女"&amp;$T4&amp;"-5",計算用!$AN$2:$AN$186,0)),""))</f>
        <v/>
      </c>
      <c r="AK4" s="28">
        <f>IF($T4="","",IFERROR(INDEX(計算用!$I$2:$I$186,MATCH("女"&amp;$T4&amp;"-5",計算用!$AN$2:$AN$186,0)),""))</f>
        <v/>
      </c>
    </row>
    <row r="5">
      <c r="A5" s="28">
        <f>IF(ROW()-3&lt;=計算用!$Q$9,ROW()-3,"")</f>
        <v/>
      </c>
      <c r="B5" s="28">
        <f>IF($A5="","",INDEX(計算用!$T$2:$T$51,$A5))</f>
        <v/>
      </c>
      <c r="C5" s="28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8">
        <f>IF($A5="","",IFERROR(INDEX(計算用!$M$2:$M$186,MATCH("男"&amp;$A5&amp;"-1",計算用!$AN$2:$AN$186,0)),""))</f>
        <v/>
      </c>
      <c r="F5" s="28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8">
        <f>IF($A5="","",IFERROR(INDEX(計算用!$M$2:$M$186,MATCH("男"&amp;$A5&amp;"-2",計算用!$AN$2:$AN$186,0)),""))</f>
        <v/>
      </c>
      <c r="I5" s="28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8">
        <f>IF($A5="","",IFERROR(INDEX(計算用!$M$2:$M$186,MATCH("男"&amp;$A5&amp;"-3",計算用!$AN$2:$AN$186,0)),""))</f>
        <v/>
      </c>
      <c r="L5" s="28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8">
        <f>IF($A5="","",IFERROR(INDEX(計算用!$M$2:$M$186,MATCH("男"&amp;$A5&amp;"-4",計算用!$AN$2:$AN$186,0)),""))</f>
        <v/>
      </c>
      <c r="O5" s="28">
        <f>IF($A5="","",IFERROR(INDEX(計算用!$I$2:$I$186,MATCH("男"&amp;$A5&amp;"-4",計算用!$AN$2:$AN$186,0)),""))</f>
        <v/>
      </c>
      <c r="P5">
        <f>IF($A5="","",IFERROR(INDEX(計算用!$D$2:$D$186,MATCH("男"&amp;$A5&amp;"-5",計算用!$AN$2:$AN$186,0)),""))</f>
        <v/>
      </c>
      <c r="Q5" s="28">
        <f>IF($A5="","",IFERROR(INDEX(計算用!$M$2:$M$186,MATCH("男"&amp;$A5&amp;"-5",計算用!$AN$2:$AN$186,0)),""))</f>
        <v/>
      </c>
      <c r="R5" s="28">
        <f>IF($A5="","",IFERROR(INDEX(計算用!$I$2:$I$186,MATCH("男"&amp;$A5&amp;"-5",計算用!$AN$2:$AN$186,0)),""))</f>
        <v/>
      </c>
      <c r="T5" s="28">
        <f>IF(ROW()-3&lt;=計算用!$Q$11,ROW()-3,"")</f>
        <v/>
      </c>
      <c r="U5" s="28">
        <f>IF($T5="","",INDEX(計算用!$AC$2:$AC$51,$T5))</f>
        <v/>
      </c>
      <c r="V5" s="28">
        <f>IF($T5="","","赤"&amp;INDEX(計算用!$AF$2:$AF$51,$T5)&amp;"白"&amp;INDEX(計算用!$AG$2:$AG$51,$T5))</f>
        <v/>
      </c>
      <c r="W5">
        <f>IF($T5="","",IFERROR(INDEX(計算用!$D$2:$D$186,MATCH("女"&amp;$T5&amp;"-1",計算用!$AN$2:$AN$186,0)),""))</f>
        <v/>
      </c>
      <c r="X5" s="28">
        <f>IF($T5="","",IFERROR(INDEX(計算用!$M$2:$M$186,MATCH("女"&amp;$T5&amp;"-1",計算用!$AN$2:$AN$186,0)),""))</f>
        <v/>
      </c>
      <c r="Y5" s="28">
        <f>IF($T5="","",IFERROR(INDEX(計算用!$I$2:$I$186,MATCH("女"&amp;$T5&amp;"-1",計算用!$AN$2:$AN$186,0)),""))</f>
        <v/>
      </c>
      <c r="Z5">
        <f>IF($T5="","",IFERROR(INDEX(計算用!$D$2:$D$186,MATCH("女"&amp;$T5&amp;"-2",計算用!$AN$2:$AN$186,0)),""))</f>
        <v/>
      </c>
      <c r="AA5" s="28">
        <f>IF($T5="","",IFERROR(INDEX(計算用!$M$2:$M$186,MATCH("女"&amp;$T5&amp;"-2",計算用!$AN$2:$AN$186,0)),""))</f>
        <v/>
      </c>
      <c r="AB5" s="28">
        <f>IF($T5="","",IFERROR(INDEX(計算用!$I$2:$I$186,MATCH("女"&amp;$T5&amp;"-2",計算用!$AN$2:$AN$186,0)),""))</f>
        <v/>
      </c>
      <c r="AC5">
        <f>IF($T5="","",IFERROR(INDEX(計算用!$D$2:$D$186,MATCH("女"&amp;$T5&amp;"-3",計算用!$AN$2:$AN$186,0)),""))</f>
        <v/>
      </c>
      <c r="AD5" s="28">
        <f>IF($T5="","",IFERROR(INDEX(計算用!$M$2:$M$186,MATCH("女"&amp;$T5&amp;"-3",計算用!$AN$2:$AN$186,0)),""))</f>
        <v/>
      </c>
      <c r="AE5" s="28">
        <f>IF($T5="","",IFERROR(INDEX(計算用!$I$2:$I$186,MATCH("女"&amp;$T5&amp;"-3",計算用!$AN$2:$AN$186,0)),""))</f>
        <v/>
      </c>
      <c r="AF5">
        <f>IF($T5="","",IFERROR(INDEX(計算用!$D$2:$D$186,MATCH("女"&amp;$T5&amp;"-4",計算用!$AN$2:$AN$186,0)),""))</f>
        <v/>
      </c>
      <c r="AG5" s="28">
        <f>IF($T5="","",IFERROR(INDEX(計算用!$M$2:$M$186,MATCH("女"&amp;$T5&amp;"-4",計算用!$AN$2:$AN$186,0)),""))</f>
        <v/>
      </c>
      <c r="AH5" s="28">
        <f>IF($T5="","",IFERROR(INDEX(計算用!$I$2:$I$186,MATCH("女"&amp;$T5&amp;"-4",計算用!$AN$2:$AN$186,0)),""))</f>
        <v/>
      </c>
      <c r="AI5">
        <f>IF($T5="","",IFERROR(INDEX(計算用!$D$2:$D$186,MATCH("女"&amp;$T5&amp;"-5",計算用!$AN$2:$AN$186,0)),""))</f>
        <v/>
      </c>
      <c r="AJ5" s="28">
        <f>IF($T5="","",IFERROR(INDEX(計算用!$M$2:$M$186,MATCH("女"&amp;$T5&amp;"-5",計算用!$AN$2:$AN$186,0)),""))</f>
        <v/>
      </c>
      <c r="AK5" s="28">
        <f>IF($T5="","",IFERROR(INDEX(計算用!$I$2:$I$186,MATCH("女"&amp;$T5&amp;"-5",計算用!$AN$2:$AN$186,0)),""))</f>
        <v/>
      </c>
    </row>
    <row r="6">
      <c r="A6" s="28">
        <f>IF(ROW()-3&lt;=計算用!$Q$9,ROW()-3,"")</f>
        <v/>
      </c>
      <c r="B6" s="28">
        <f>IF($A6="","",INDEX(計算用!$T$2:$T$51,$A6))</f>
        <v/>
      </c>
      <c r="C6" s="28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8">
        <f>IF($A6="","",IFERROR(INDEX(計算用!$M$2:$M$186,MATCH("男"&amp;$A6&amp;"-1",計算用!$AN$2:$AN$186,0)),""))</f>
        <v/>
      </c>
      <c r="F6" s="28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8">
        <f>IF($A6="","",IFERROR(INDEX(計算用!$M$2:$M$186,MATCH("男"&amp;$A6&amp;"-2",計算用!$AN$2:$AN$186,0)),""))</f>
        <v/>
      </c>
      <c r="I6" s="28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8">
        <f>IF($A6="","",IFERROR(INDEX(計算用!$M$2:$M$186,MATCH("男"&amp;$A6&amp;"-3",計算用!$AN$2:$AN$186,0)),""))</f>
        <v/>
      </c>
      <c r="L6" s="28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8">
        <f>IF($A6="","",IFERROR(INDEX(計算用!$M$2:$M$186,MATCH("男"&amp;$A6&amp;"-4",計算用!$AN$2:$AN$186,0)),""))</f>
        <v/>
      </c>
      <c r="O6" s="28">
        <f>IF($A6="","",IFERROR(INDEX(計算用!$I$2:$I$186,MATCH("男"&amp;$A6&amp;"-4",計算用!$AN$2:$AN$186,0)),""))</f>
        <v/>
      </c>
      <c r="P6">
        <f>IF($A6="","",IFERROR(INDEX(計算用!$D$2:$D$186,MATCH("男"&amp;$A6&amp;"-5",計算用!$AN$2:$AN$186,0)),""))</f>
        <v/>
      </c>
      <c r="Q6" s="28">
        <f>IF($A6="","",IFERROR(INDEX(計算用!$M$2:$M$186,MATCH("男"&amp;$A6&amp;"-5",計算用!$AN$2:$AN$186,0)),""))</f>
        <v/>
      </c>
      <c r="R6" s="28">
        <f>IF($A6="","",IFERROR(INDEX(計算用!$I$2:$I$186,MATCH("男"&amp;$A6&amp;"-5",計算用!$AN$2:$AN$186,0)),""))</f>
        <v/>
      </c>
      <c r="T6" s="28">
        <f>IF(ROW()-3&lt;=計算用!$Q$11,ROW()-3,"")</f>
        <v/>
      </c>
      <c r="U6" s="28">
        <f>IF($T6="","",INDEX(計算用!$AC$2:$AC$51,$T6))</f>
        <v/>
      </c>
      <c r="V6" s="28">
        <f>IF($T6="","","赤"&amp;INDEX(計算用!$AF$2:$AF$51,$T6)&amp;"白"&amp;INDEX(計算用!$AG$2:$AG$51,$T6))</f>
        <v/>
      </c>
      <c r="W6">
        <f>IF($T6="","",IFERROR(INDEX(計算用!$D$2:$D$186,MATCH("女"&amp;$T6&amp;"-1",計算用!$AN$2:$AN$186,0)),""))</f>
        <v/>
      </c>
      <c r="X6" s="28">
        <f>IF($T6="","",IFERROR(INDEX(計算用!$M$2:$M$186,MATCH("女"&amp;$T6&amp;"-1",計算用!$AN$2:$AN$186,0)),""))</f>
        <v/>
      </c>
      <c r="Y6" s="28">
        <f>IF($T6="","",IFERROR(INDEX(計算用!$I$2:$I$186,MATCH("女"&amp;$T6&amp;"-1",計算用!$AN$2:$AN$186,0)),""))</f>
        <v/>
      </c>
      <c r="Z6">
        <f>IF($T6="","",IFERROR(INDEX(計算用!$D$2:$D$186,MATCH("女"&amp;$T6&amp;"-2",計算用!$AN$2:$AN$186,0)),""))</f>
        <v/>
      </c>
      <c r="AA6" s="28">
        <f>IF($T6="","",IFERROR(INDEX(計算用!$M$2:$M$186,MATCH("女"&amp;$T6&amp;"-2",計算用!$AN$2:$AN$186,0)),""))</f>
        <v/>
      </c>
      <c r="AB6" s="28">
        <f>IF($T6="","",IFERROR(INDEX(計算用!$I$2:$I$186,MATCH("女"&amp;$T6&amp;"-2",計算用!$AN$2:$AN$186,0)),""))</f>
        <v/>
      </c>
      <c r="AC6">
        <f>IF($T6="","",IFERROR(INDEX(計算用!$D$2:$D$186,MATCH("女"&amp;$T6&amp;"-3",計算用!$AN$2:$AN$186,0)),""))</f>
        <v/>
      </c>
      <c r="AD6" s="28">
        <f>IF($T6="","",IFERROR(INDEX(計算用!$M$2:$M$186,MATCH("女"&amp;$T6&amp;"-3",計算用!$AN$2:$AN$186,0)),""))</f>
        <v/>
      </c>
      <c r="AE6" s="28">
        <f>IF($T6="","",IFERROR(INDEX(計算用!$I$2:$I$186,MATCH("女"&amp;$T6&amp;"-3",計算用!$AN$2:$AN$186,0)),""))</f>
        <v/>
      </c>
      <c r="AF6">
        <f>IF($T6="","",IFERROR(INDEX(計算用!$D$2:$D$186,MATCH("女"&amp;$T6&amp;"-4",計算用!$AN$2:$AN$186,0)),""))</f>
        <v/>
      </c>
      <c r="AG6" s="28">
        <f>IF($T6="","",IFERROR(INDEX(計算用!$M$2:$M$186,MATCH("女"&amp;$T6&amp;"-4",計算用!$AN$2:$AN$186,0)),""))</f>
        <v/>
      </c>
      <c r="AH6" s="28">
        <f>IF($T6="","",IFERROR(INDEX(計算用!$I$2:$I$186,MATCH("女"&amp;$T6&amp;"-4",計算用!$AN$2:$AN$186,0)),""))</f>
        <v/>
      </c>
      <c r="AI6">
        <f>IF($T6="","",IFERROR(INDEX(計算用!$D$2:$D$186,MATCH("女"&amp;$T6&amp;"-5",計算用!$AN$2:$AN$186,0)),""))</f>
        <v/>
      </c>
      <c r="AJ6" s="28">
        <f>IF($T6="","",IFERROR(INDEX(計算用!$M$2:$M$186,MATCH("女"&amp;$T6&amp;"-5",計算用!$AN$2:$AN$186,0)),""))</f>
        <v/>
      </c>
      <c r="AK6" s="28">
        <f>IF($T6="","",IFERROR(INDEX(計算用!$I$2:$I$186,MATCH("女"&amp;$T6&amp;"-5",計算用!$AN$2:$AN$186,0)),""))</f>
        <v/>
      </c>
    </row>
    <row r="7">
      <c r="A7" s="28">
        <f>IF(ROW()-3&lt;=計算用!$Q$9,ROW()-3,"")</f>
        <v/>
      </c>
      <c r="B7" s="28">
        <f>IF($A7="","",INDEX(計算用!$T$2:$T$51,$A7))</f>
        <v/>
      </c>
      <c r="C7" s="28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8">
        <f>IF($A7="","",IFERROR(INDEX(計算用!$M$2:$M$186,MATCH("男"&amp;$A7&amp;"-1",計算用!$AN$2:$AN$186,0)),""))</f>
        <v/>
      </c>
      <c r="F7" s="28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8">
        <f>IF($A7="","",IFERROR(INDEX(計算用!$M$2:$M$186,MATCH("男"&amp;$A7&amp;"-2",計算用!$AN$2:$AN$186,0)),""))</f>
        <v/>
      </c>
      <c r="I7" s="28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8">
        <f>IF($A7="","",IFERROR(INDEX(計算用!$M$2:$M$186,MATCH("男"&amp;$A7&amp;"-3",計算用!$AN$2:$AN$186,0)),""))</f>
        <v/>
      </c>
      <c r="L7" s="28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8">
        <f>IF($A7="","",IFERROR(INDEX(計算用!$M$2:$M$186,MATCH("男"&amp;$A7&amp;"-4",計算用!$AN$2:$AN$186,0)),""))</f>
        <v/>
      </c>
      <c r="O7" s="28">
        <f>IF($A7="","",IFERROR(INDEX(計算用!$I$2:$I$186,MATCH("男"&amp;$A7&amp;"-4",計算用!$AN$2:$AN$186,0)),""))</f>
        <v/>
      </c>
      <c r="P7">
        <f>IF($A7="","",IFERROR(INDEX(計算用!$D$2:$D$186,MATCH("男"&amp;$A7&amp;"-5",計算用!$AN$2:$AN$186,0)),""))</f>
        <v/>
      </c>
      <c r="Q7" s="28">
        <f>IF($A7="","",IFERROR(INDEX(計算用!$M$2:$M$186,MATCH("男"&amp;$A7&amp;"-5",計算用!$AN$2:$AN$186,0)),""))</f>
        <v/>
      </c>
      <c r="R7" s="28">
        <f>IF($A7="","",IFERROR(INDEX(計算用!$I$2:$I$186,MATCH("男"&amp;$A7&amp;"-5",計算用!$AN$2:$AN$186,0)),""))</f>
        <v/>
      </c>
      <c r="T7" s="28">
        <f>IF(ROW()-3&lt;=計算用!$Q$11,ROW()-3,"")</f>
        <v/>
      </c>
      <c r="U7" s="28">
        <f>IF($T7="","",INDEX(計算用!$AC$2:$AC$51,$T7))</f>
        <v/>
      </c>
      <c r="V7" s="28">
        <f>IF($T7="","","赤"&amp;INDEX(計算用!$AF$2:$AF$51,$T7)&amp;"白"&amp;INDEX(計算用!$AG$2:$AG$51,$T7))</f>
        <v/>
      </c>
      <c r="W7">
        <f>IF($T7="","",IFERROR(INDEX(計算用!$D$2:$D$186,MATCH("女"&amp;$T7&amp;"-1",計算用!$AN$2:$AN$186,0)),""))</f>
        <v/>
      </c>
      <c r="X7" s="28">
        <f>IF($T7="","",IFERROR(INDEX(計算用!$M$2:$M$186,MATCH("女"&amp;$T7&amp;"-1",計算用!$AN$2:$AN$186,0)),""))</f>
        <v/>
      </c>
      <c r="Y7" s="28">
        <f>IF($T7="","",IFERROR(INDEX(計算用!$I$2:$I$186,MATCH("女"&amp;$T7&amp;"-1",計算用!$AN$2:$AN$186,0)),""))</f>
        <v/>
      </c>
      <c r="Z7">
        <f>IF($T7="","",IFERROR(INDEX(計算用!$D$2:$D$186,MATCH("女"&amp;$T7&amp;"-2",計算用!$AN$2:$AN$186,0)),""))</f>
        <v/>
      </c>
      <c r="AA7" s="28">
        <f>IF($T7="","",IFERROR(INDEX(計算用!$M$2:$M$186,MATCH("女"&amp;$T7&amp;"-2",計算用!$AN$2:$AN$186,0)),""))</f>
        <v/>
      </c>
      <c r="AB7" s="28">
        <f>IF($T7="","",IFERROR(INDEX(計算用!$I$2:$I$186,MATCH("女"&amp;$T7&amp;"-2",計算用!$AN$2:$AN$186,0)),""))</f>
        <v/>
      </c>
      <c r="AC7">
        <f>IF($T7="","",IFERROR(INDEX(計算用!$D$2:$D$186,MATCH("女"&amp;$T7&amp;"-3",計算用!$AN$2:$AN$186,0)),""))</f>
        <v/>
      </c>
      <c r="AD7" s="28">
        <f>IF($T7="","",IFERROR(INDEX(計算用!$M$2:$M$186,MATCH("女"&amp;$T7&amp;"-3",計算用!$AN$2:$AN$186,0)),""))</f>
        <v/>
      </c>
      <c r="AE7" s="28">
        <f>IF($T7="","",IFERROR(INDEX(計算用!$I$2:$I$186,MATCH("女"&amp;$T7&amp;"-3",計算用!$AN$2:$AN$186,0)),""))</f>
        <v/>
      </c>
      <c r="AF7">
        <f>IF($T7="","",IFERROR(INDEX(計算用!$D$2:$D$186,MATCH("女"&amp;$T7&amp;"-4",計算用!$AN$2:$AN$186,0)),""))</f>
        <v/>
      </c>
      <c r="AG7" s="28">
        <f>IF($T7="","",IFERROR(INDEX(計算用!$M$2:$M$186,MATCH("女"&amp;$T7&amp;"-4",計算用!$AN$2:$AN$186,0)),""))</f>
        <v/>
      </c>
      <c r="AH7" s="28">
        <f>IF($T7="","",IFERROR(INDEX(計算用!$I$2:$I$186,MATCH("女"&amp;$T7&amp;"-4",計算用!$AN$2:$AN$186,0)),""))</f>
        <v/>
      </c>
      <c r="AI7">
        <f>IF($T7="","",IFERROR(INDEX(計算用!$D$2:$D$186,MATCH("女"&amp;$T7&amp;"-5",計算用!$AN$2:$AN$186,0)),""))</f>
        <v/>
      </c>
      <c r="AJ7" s="28">
        <f>IF($T7="","",IFERROR(INDEX(計算用!$M$2:$M$186,MATCH("女"&amp;$T7&amp;"-5",計算用!$AN$2:$AN$186,0)),""))</f>
        <v/>
      </c>
      <c r="AK7" s="28">
        <f>IF($T7="","",IFERROR(INDEX(計算用!$I$2:$I$186,MATCH("女"&amp;$T7&amp;"-5",計算用!$AN$2:$AN$186,0)),""))</f>
        <v/>
      </c>
    </row>
    <row r="8">
      <c r="A8" s="28">
        <f>IF(ROW()-3&lt;=計算用!$Q$9,ROW()-3,"")</f>
        <v/>
      </c>
      <c r="B8" s="28">
        <f>IF($A8="","",INDEX(計算用!$T$2:$T$51,$A8))</f>
        <v/>
      </c>
      <c r="C8" s="28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8">
        <f>IF($A8="","",IFERROR(INDEX(計算用!$M$2:$M$186,MATCH("男"&amp;$A8&amp;"-1",計算用!$AN$2:$AN$186,0)),""))</f>
        <v/>
      </c>
      <c r="F8" s="28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8">
        <f>IF($A8="","",IFERROR(INDEX(計算用!$M$2:$M$186,MATCH("男"&amp;$A8&amp;"-2",計算用!$AN$2:$AN$186,0)),""))</f>
        <v/>
      </c>
      <c r="I8" s="28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8">
        <f>IF($A8="","",IFERROR(INDEX(計算用!$M$2:$M$186,MATCH("男"&amp;$A8&amp;"-3",計算用!$AN$2:$AN$186,0)),""))</f>
        <v/>
      </c>
      <c r="L8" s="28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8">
        <f>IF($A8="","",IFERROR(INDEX(計算用!$M$2:$M$186,MATCH("男"&amp;$A8&amp;"-4",計算用!$AN$2:$AN$186,0)),""))</f>
        <v/>
      </c>
      <c r="O8" s="28">
        <f>IF($A8="","",IFERROR(INDEX(計算用!$I$2:$I$186,MATCH("男"&amp;$A8&amp;"-4",計算用!$AN$2:$AN$186,0)),""))</f>
        <v/>
      </c>
      <c r="P8">
        <f>IF($A8="","",IFERROR(INDEX(計算用!$D$2:$D$186,MATCH("男"&amp;$A8&amp;"-5",計算用!$AN$2:$AN$186,0)),""))</f>
        <v/>
      </c>
      <c r="Q8" s="28">
        <f>IF($A8="","",IFERROR(INDEX(計算用!$M$2:$M$186,MATCH("男"&amp;$A8&amp;"-5",計算用!$AN$2:$AN$186,0)),""))</f>
        <v/>
      </c>
      <c r="R8" s="28">
        <f>IF($A8="","",IFERROR(INDEX(計算用!$I$2:$I$186,MATCH("男"&amp;$A8&amp;"-5",計算用!$AN$2:$AN$186,0)),""))</f>
        <v/>
      </c>
      <c r="T8" s="28">
        <f>IF(ROW()-3&lt;=計算用!$Q$11,ROW()-3,"")</f>
        <v/>
      </c>
      <c r="U8" s="28">
        <f>IF($T8="","",INDEX(計算用!$AC$2:$AC$51,$T8))</f>
        <v/>
      </c>
      <c r="V8" s="28">
        <f>IF($T8="","","赤"&amp;INDEX(計算用!$AF$2:$AF$51,$T8)&amp;"白"&amp;INDEX(計算用!$AG$2:$AG$51,$T8))</f>
        <v/>
      </c>
      <c r="W8">
        <f>IF($T8="","",IFERROR(INDEX(計算用!$D$2:$D$186,MATCH("女"&amp;$T8&amp;"-1",計算用!$AN$2:$AN$186,0)),""))</f>
        <v/>
      </c>
      <c r="X8" s="28">
        <f>IF($T8="","",IFERROR(INDEX(計算用!$M$2:$M$186,MATCH("女"&amp;$T8&amp;"-1",計算用!$AN$2:$AN$186,0)),""))</f>
        <v/>
      </c>
      <c r="Y8" s="28">
        <f>IF($T8="","",IFERROR(INDEX(計算用!$I$2:$I$186,MATCH("女"&amp;$T8&amp;"-1",計算用!$AN$2:$AN$186,0)),""))</f>
        <v/>
      </c>
      <c r="Z8">
        <f>IF($T8="","",IFERROR(INDEX(計算用!$D$2:$D$186,MATCH("女"&amp;$T8&amp;"-2",計算用!$AN$2:$AN$186,0)),""))</f>
        <v/>
      </c>
      <c r="AA8" s="28">
        <f>IF($T8="","",IFERROR(INDEX(計算用!$M$2:$M$186,MATCH("女"&amp;$T8&amp;"-2",計算用!$AN$2:$AN$186,0)),""))</f>
        <v/>
      </c>
      <c r="AB8" s="28">
        <f>IF($T8="","",IFERROR(INDEX(計算用!$I$2:$I$186,MATCH("女"&amp;$T8&amp;"-2",計算用!$AN$2:$AN$186,0)),""))</f>
        <v/>
      </c>
      <c r="AC8">
        <f>IF($T8="","",IFERROR(INDEX(計算用!$D$2:$D$186,MATCH("女"&amp;$T8&amp;"-3",計算用!$AN$2:$AN$186,0)),""))</f>
        <v/>
      </c>
      <c r="AD8" s="28">
        <f>IF($T8="","",IFERROR(INDEX(計算用!$M$2:$M$186,MATCH("女"&amp;$T8&amp;"-3",計算用!$AN$2:$AN$186,0)),""))</f>
        <v/>
      </c>
      <c r="AE8" s="28">
        <f>IF($T8="","",IFERROR(INDEX(計算用!$I$2:$I$186,MATCH("女"&amp;$T8&amp;"-3",計算用!$AN$2:$AN$186,0)),""))</f>
        <v/>
      </c>
      <c r="AF8">
        <f>IF($T8="","",IFERROR(INDEX(計算用!$D$2:$D$186,MATCH("女"&amp;$T8&amp;"-4",計算用!$AN$2:$AN$186,0)),""))</f>
        <v/>
      </c>
      <c r="AG8" s="28">
        <f>IF($T8="","",IFERROR(INDEX(計算用!$M$2:$M$186,MATCH("女"&amp;$T8&amp;"-4",計算用!$AN$2:$AN$186,0)),""))</f>
        <v/>
      </c>
      <c r="AH8" s="28">
        <f>IF($T8="","",IFERROR(INDEX(計算用!$I$2:$I$186,MATCH("女"&amp;$T8&amp;"-4",計算用!$AN$2:$AN$186,0)),""))</f>
        <v/>
      </c>
      <c r="AI8">
        <f>IF($T8="","",IFERROR(INDEX(計算用!$D$2:$D$186,MATCH("女"&amp;$T8&amp;"-5",計算用!$AN$2:$AN$186,0)),""))</f>
        <v/>
      </c>
      <c r="AJ8" s="28">
        <f>IF($T8="","",IFERROR(INDEX(計算用!$M$2:$M$186,MATCH("女"&amp;$T8&amp;"-5",計算用!$AN$2:$AN$186,0)),""))</f>
        <v/>
      </c>
      <c r="AK8" s="28">
        <f>IF($T8="","",IFERROR(INDEX(計算用!$I$2:$I$186,MATCH("女"&amp;$T8&amp;"-5",計算用!$AN$2:$AN$186,0)),""))</f>
        <v/>
      </c>
    </row>
    <row r="9">
      <c r="A9" s="28">
        <f>IF(ROW()-3&lt;=計算用!$Q$9,ROW()-3,"")</f>
        <v/>
      </c>
      <c r="B9" s="28">
        <f>IF($A9="","",INDEX(計算用!$T$2:$T$51,$A9))</f>
        <v/>
      </c>
      <c r="C9" s="28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8">
        <f>IF($A9="","",IFERROR(INDEX(計算用!$M$2:$M$186,MATCH("男"&amp;$A9&amp;"-1",計算用!$AN$2:$AN$186,0)),""))</f>
        <v/>
      </c>
      <c r="F9" s="28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8">
        <f>IF($A9="","",IFERROR(INDEX(計算用!$M$2:$M$186,MATCH("男"&amp;$A9&amp;"-2",計算用!$AN$2:$AN$186,0)),""))</f>
        <v/>
      </c>
      <c r="I9" s="28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8">
        <f>IF($A9="","",IFERROR(INDEX(計算用!$M$2:$M$186,MATCH("男"&amp;$A9&amp;"-3",計算用!$AN$2:$AN$186,0)),""))</f>
        <v/>
      </c>
      <c r="L9" s="28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8">
        <f>IF($A9="","",IFERROR(INDEX(計算用!$M$2:$M$186,MATCH("男"&amp;$A9&amp;"-4",計算用!$AN$2:$AN$186,0)),""))</f>
        <v/>
      </c>
      <c r="O9" s="28">
        <f>IF($A9="","",IFERROR(INDEX(計算用!$I$2:$I$186,MATCH("男"&amp;$A9&amp;"-4",計算用!$AN$2:$AN$186,0)),""))</f>
        <v/>
      </c>
      <c r="P9">
        <f>IF($A9="","",IFERROR(INDEX(計算用!$D$2:$D$186,MATCH("男"&amp;$A9&amp;"-5",計算用!$AN$2:$AN$186,0)),""))</f>
        <v/>
      </c>
      <c r="Q9" s="28">
        <f>IF($A9="","",IFERROR(INDEX(計算用!$M$2:$M$186,MATCH("男"&amp;$A9&amp;"-5",計算用!$AN$2:$AN$186,0)),""))</f>
        <v/>
      </c>
      <c r="R9" s="28">
        <f>IF($A9="","",IFERROR(INDEX(計算用!$I$2:$I$186,MATCH("男"&amp;$A9&amp;"-5",計算用!$AN$2:$AN$186,0)),""))</f>
        <v/>
      </c>
      <c r="T9" s="28">
        <f>IF(ROW()-3&lt;=計算用!$Q$11,ROW()-3,"")</f>
        <v/>
      </c>
      <c r="U9" s="28">
        <f>IF($T9="","",INDEX(計算用!$AC$2:$AC$51,$T9))</f>
        <v/>
      </c>
      <c r="V9" s="28">
        <f>IF($T9="","","赤"&amp;INDEX(計算用!$AF$2:$AF$51,$T9)&amp;"白"&amp;INDEX(計算用!$AG$2:$AG$51,$T9))</f>
        <v/>
      </c>
      <c r="W9">
        <f>IF($T9="","",IFERROR(INDEX(計算用!$D$2:$D$186,MATCH("女"&amp;$T9&amp;"-1",計算用!$AN$2:$AN$186,0)),""))</f>
        <v/>
      </c>
      <c r="X9" s="28">
        <f>IF($T9="","",IFERROR(INDEX(計算用!$M$2:$M$186,MATCH("女"&amp;$T9&amp;"-1",計算用!$AN$2:$AN$186,0)),""))</f>
        <v/>
      </c>
      <c r="Y9" s="28">
        <f>IF($T9="","",IFERROR(INDEX(計算用!$I$2:$I$186,MATCH("女"&amp;$T9&amp;"-1",計算用!$AN$2:$AN$186,0)),""))</f>
        <v/>
      </c>
      <c r="Z9">
        <f>IF($T9="","",IFERROR(INDEX(計算用!$D$2:$D$186,MATCH("女"&amp;$T9&amp;"-2",計算用!$AN$2:$AN$186,0)),""))</f>
        <v/>
      </c>
      <c r="AA9" s="28">
        <f>IF($T9="","",IFERROR(INDEX(計算用!$M$2:$M$186,MATCH("女"&amp;$T9&amp;"-2",計算用!$AN$2:$AN$186,0)),""))</f>
        <v/>
      </c>
      <c r="AB9" s="28">
        <f>IF($T9="","",IFERROR(INDEX(計算用!$I$2:$I$186,MATCH("女"&amp;$T9&amp;"-2",計算用!$AN$2:$AN$186,0)),""))</f>
        <v/>
      </c>
      <c r="AC9">
        <f>IF($T9="","",IFERROR(INDEX(計算用!$D$2:$D$186,MATCH("女"&amp;$T9&amp;"-3",計算用!$AN$2:$AN$186,0)),""))</f>
        <v/>
      </c>
      <c r="AD9" s="28">
        <f>IF($T9="","",IFERROR(INDEX(計算用!$M$2:$M$186,MATCH("女"&amp;$T9&amp;"-3",計算用!$AN$2:$AN$186,0)),""))</f>
        <v/>
      </c>
      <c r="AE9" s="28">
        <f>IF($T9="","",IFERROR(INDEX(計算用!$I$2:$I$186,MATCH("女"&amp;$T9&amp;"-3",計算用!$AN$2:$AN$186,0)),""))</f>
        <v/>
      </c>
      <c r="AF9">
        <f>IF($T9="","",IFERROR(INDEX(計算用!$D$2:$D$186,MATCH("女"&amp;$T9&amp;"-4",計算用!$AN$2:$AN$186,0)),""))</f>
        <v/>
      </c>
      <c r="AG9" s="28">
        <f>IF($T9="","",IFERROR(INDEX(計算用!$M$2:$M$186,MATCH("女"&amp;$T9&amp;"-4",計算用!$AN$2:$AN$186,0)),""))</f>
        <v/>
      </c>
      <c r="AH9" s="28">
        <f>IF($T9="","",IFERROR(INDEX(計算用!$I$2:$I$186,MATCH("女"&amp;$T9&amp;"-4",計算用!$AN$2:$AN$186,0)),""))</f>
        <v/>
      </c>
      <c r="AI9">
        <f>IF($T9="","",IFERROR(INDEX(計算用!$D$2:$D$186,MATCH("女"&amp;$T9&amp;"-5",計算用!$AN$2:$AN$186,0)),""))</f>
        <v/>
      </c>
      <c r="AJ9" s="28">
        <f>IF($T9="","",IFERROR(INDEX(計算用!$M$2:$M$186,MATCH("女"&amp;$T9&amp;"-5",計算用!$AN$2:$AN$186,0)),""))</f>
        <v/>
      </c>
      <c r="AK9" s="28">
        <f>IF($T9="","",IFERROR(INDEX(計算用!$I$2:$I$186,MATCH("女"&amp;$T9&amp;"-5",計算用!$AN$2:$AN$186,0)),""))</f>
        <v/>
      </c>
    </row>
    <row r="10">
      <c r="A10" s="28">
        <f>IF(ROW()-3&lt;=計算用!$Q$9,ROW()-3,"")</f>
        <v/>
      </c>
      <c r="B10" s="28">
        <f>IF($A10="","",INDEX(計算用!$T$2:$T$51,$A10))</f>
        <v/>
      </c>
      <c r="C10" s="28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8">
        <f>IF($A10="","",IFERROR(INDEX(計算用!$M$2:$M$186,MATCH("男"&amp;$A10&amp;"-1",計算用!$AN$2:$AN$186,0)),""))</f>
        <v/>
      </c>
      <c r="F10" s="28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8">
        <f>IF($A10="","",IFERROR(INDEX(計算用!$M$2:$M$186,MATCH("男"&amp;$A10&amp;"-2",計算用!$AN$2:$AN$186,0)),""))</f>
        <v/>
      </c>
      <c r="I10" s="28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8">
        <f>IF($A10="","",IFERROR(INDEX(計算用!$M$2:$M$186,MATCH("男"&amp;$A10&amp;"-3",計算用!$AN$2:$AN$186,0)),""))</f>
        <v/>
      </c>
      <c r="L10" s="28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8">
        <f>IF($A10="","",IFERROR(INDEX(計算用!$M$2:$M$186,MATCH("男"&amp;$A10&amp;"-4",計算用!$AN$2:$AN$186,0)),""))</f>
        <v/>
      </c>
      <c r="O10" s="28">
        <f>IF($A10="","",IFERROR(INDEX(計算用!$I$2:$I$186,MATCH("男"&amp;$A10&amp;"-4",計算用!$AN$2:$AN$186,0)),""))</f>
        <v/>
      </c>
      <c r="P10">
        <f>IF($A10="","",IFERROR(INDEX(計算用!$D$2:$D$186,MATCH("男"&amp;$A10&amp;"-5",計算用!$AN$2:$AN$186,0)),""))</f>
        <v/>
      </c>
      <c r="Q10" s="28">
        <f>IF($A10="","",IFERROR(INDEX(計算用!$M$2:$M$186,MATCH("男"&amp;$A10&amp;"-5",計算用!$AN$2:$AN$186,0)),""))</f>
        <v/>
      </c>
      <c r="R10" s="28">
        <f>IF($A10="","",IFERROR(INDEX(計算用!$I$2:$I$186,MATCH("男"&amp;$A10&amp;"-5",計算用!$AN$2:$AN$186,0)),""))</f>
        <v/>
      </c>
      <c r="T10" s="28">
        <f>IF(ROW()-3&lt;=計算用!$Q$11,ROW()-3,"")</f>
        <v/>
      </c>
      <c r="U10" s="28">
        <f>IF($T10="","",INDEX(計算用!$AC$2:$AC$51,$T10))</f>
        <v/>
      </c>
      <c r="V10" s="28">
        <f>IF($T10="","","赤"&amp;INDEX(計算用!$AF$2:$AF$51,$T10)&amp;"白"&amp;INDEX(計算用!$AG$2:$AG$51,$T10))</f>
        <v/>
      </c>
      <c r="W10">
        <f>IF($T10="","",IFERROR(INDEX(計算用!$D$2:$D$186,MATCH("女"&amp;$T10&amp;"-1",計算用!$AN$2:$AN$186,0)),""))</f>
        <v/>
      </c>
      <c r="X10" s="28">
        <f>IF($T10="","",IFERROR(INDEX(計算用!$M$2:$M$186,MATCH("女"&amp;$T10&amp;"-1",計算用!$AN$2:$AN$186,0)),""))</f>
        <v/>
      </c>
      <c r="Y10" s="28">
        <f>IF($T10="","",IFERROR(INDEX(計算用!$I$2:$I$186,MATCH("女"&amp;$T10&amp;"-1",計算用!$AN$2:$AN$186,0)),""))</f>
        <v/>
      </c>
      <c r="Z10">
        <f>IF($T10="","",IFERROR(INDEX(計算用!$D$2:$D$186,MATCH("女"&amp;$T10&amp;"-2",計算用!$AN$2:$AN$186,0)),""))</f>
        <v/>
      </c>
      <c r="AA10" s="28">
        <f>IF($T10="","",IFERROR(INDEX(計算用!$M$2:$M$186,MATCH("女"&amp;$T10&amp;"-2",計算用!$AN$2:$AN$186,0)),""))</f>
        <v/>
      </c>
      <c r="AB10" s="28">
        <f>IF($T10="","",IFERROR(INDEX(計算用!$I$2:$I$186,MATCH("女"&amp;$T10&amp;"-2",計算用!$AN$2:$AN$186,0)),""))</f>
        <v/>
      </c>
      <c r="AC10">
        <f>IF($T10="","",IFERROR(INDEX(計算用!$D$2:$D$186,MATCH("女"&amp;$T10&amp;"-3",計算用!$AN$2:$AN$186,0)),""))</f>
        <v/>
      </c>
      <c r="AD10" s="28">
        <f>IF($T10="","",IFERROR(INDEX(計算用!$M$2:$M$186,MATCH("女"&amp;$T10&amp;"-3",計算用!$AN$2:$AN$186,0)),""))</f>
        <v/>
      </c>
      <c r="AE10" s="28">
        <f>IF($T10="","",IFERROR(INDEX(計算用!$I$2:$I$186,MATCH("女"&amp;$T10&amp;"-3",計算用!$AN$2:$AN$186,0)),""))</f>
        <v/>
      </c>
      <c r="AF10">
        <f>IF($T10="","",IFERROR(INDEX(計算用!$D$2:$D$186,MATCH("女"&amp;$T10&amp;"-4",計算用!$AN$2:$AN$186,0)),""))</f>
        <v/>
      </c>
      <c r="AG10" s="28">
        <f>IF($T10="","",IFERROR(INDEX(計算用!$M$2:$M$186,MATCH("女"&amp;$T10&amp;"-4",計算用!$AN$2:$AN$186,0)),""))</f>
        <v/>
      </c>
      <c r="AH10" s="28">
        <f>IF($T10="","",IFERROR(INDEX(計算用!$I$2:$I$186,MATCH("女"&amp;$T10&amp;"-4",計算用!$AN$2:$AN$186,0)),""))</f>
        <v/>
      </c>
      <c r="AI10">
        <f>IF($T10="","",IFERROR(INDEX(計算用!$D$2:$D$186,MATCH("女"&amp;$T10&amp;"-5",計算用!$AN$2:$AN$186,0)),""))</f>
        <v/>
      </c>
      <c r="AJ10" s="28">
        <f>IF($T10="","",IFERROR(INDEX(計算用!$M$2:$M$186,MATCH("女"&amp;$T10&amp;"-5",計算用!$AN$2:$AN$186,0)),""))</f>
        <v/>
      </c>
      <c r="AK10" s="28">
        <f>IF($T10="","",IFERROR(INDEX(計算用!$I$2:$I$186,MATCH("女"&amp;$T10&amp;"-5",計算用!$AN$2:$AN$186,0)),""))</f>
        <v/>
      </c>
    </row>
    <row r="11">
      <c r="A11" s="28">
        <f>IF(ROW()-3&lt;=計算用!$Q$9,ROW()-3,"")</f>
        <v/>
      </c>
      <c r="B11" s="28">
        <f>IF($A11="","",INDEX(計算用!$T$2:$T$51,$A11))</f>
        <v/>
      </c>
      <c r="C11" s="28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8">
        <f>IF($A11="","",IFERROR(INDEX(計算用!$M$2:$M$186,MATCH("男"&amp;$A11&amp;"-1",計算用!$AN$2:$AN$186,0)),""))</f>
        <v/>
      </c>
      <c r="F11" s="28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8">
        <f>IF($A11="","",IFERROR(INDEX(計算用!$M$2:$M$186,MATCH("男"&amp;$A11&amp;"-2",計算用!$AN$2:$AN$186,0)),""))</f>
        <v/>
      </c>
      <c r="I11" s="28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8">
        <f>IF($A11="","",IFERROR(INDEX(計算用!$M$2:$M$186,MATCH("男"&amp;$A11&amp;"-3",計算用!$AN$2:$AN$186,0)),""))</f>
        <v/>
      </c>
      <c r="L11" s="28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8">
        <f>IF($A11="","",IFERROR(INDEX(計算用!$M$2:$M$186,MATCH("男"&amp;$A11&amp;"-4",計算用!$AN$2:$AN$186,0)),""))</f>
        <v/>
      </c>
      <c r="O11" s="28">
        <f>IF($A11="","",IFERROR(INDEX(計算用!$I$2:$I$186,MATCH("男"&amp;$A11&amp;"-4",計算用!$AN$2:$AN$186,0)),""))</f>
        <v/>
      </c>
      <c r="P11">
        <f>IF($A11="","",IFERROR(INDEX(計算用!$D$2:$D$186,MATCH("男"&amp;$A11&amp;"-5",計算用!$AN$2:$AN$186,0)),""))</f>
        <v/>
      </c>
      <c r="Q11" s="28">
        <f>IF($A11="","",IFERROR(INDEX(計算用!$M$2:$M$186,MATCH("男"&amp;$A11&amp;"-5",計算用!$AN$2:$AN$186,0)),""))</f>
        <v/>
      </c>
      <c r="R11" s="28">
        <f>IF($A11="","",IFERROR(INDEX(計算用!$I$2:$I$186,MATCH("男"&amp;$A11&amp;"-5",計算用!$AN$2:$AN$186,0)),""))</f>
        <v/>
      </c>
      <c r="T11" s="28">
        <f>IF(ROW()-3&lt;=計算用!$Q$11,ROW()-3,"")</f>
        <v/>
      </c>
      <c r="U11" s="28">
        <f>IF($T11="","",INDEX(計算用!$AC$2:$AC$51,$T11))</f>
        <v/>
      </c>
      <c r="V11" s="28">
        <f>IF($T11="","","赤"&amp;INDEX(計算用!$AF$2:$AF$51,$T11)&amp;"白"&amp;INDEX(計算用!$AG$2:$AG$51,$T11))</f>
        <v/>
      </c>
      <c r="W11">
        <f>IF($T11="","",IFERROR(INDEX(計算用!$D$2:$D$186,MATCH("女"&amp;$T11&amp;"-1",計算用!$AN$2:$AN$186,0)),""))</f>
        <v/>
      </c>
      <c r="X11" s="28">
        <f>IF($T11="","",IFERROR(INDEX(計算用!$M$2:$M$186,MATCH("女"&amp;$T11&amp;"-1",計算用!$AN$2:$AN$186,0)),""))</f>
        <v/>
      </c>
      <c r="Y11" s="28">
        <f>IF($T11="","",IFERROR(INDEX(計算用!$I$2:$I$186,MATCH("女"&amp;$T11&amp;"-1",計算用!$AN$2:$AN$186,0)),""))</f>
        <v/>
      </c>
      <c r="Z11">
        <f>IF($T11="","",IFERROR(INDEX(計算用!$D$2:$D$186,MATCH("女"&amp;$T11&amp;"-2",計算用!$AN$2:$AN$186,0)),""))</f>
        <v/>
      </c>
      <c r="AA11" s="28">
        <f>IF($T11="","",IFERROR(INDEX(計算用!$M$2:$M$186,MATCH("女"&amp;$T11&amp;"-2",計算用!$AN$2:$AN$186,0)),""))</f>
        <v/>
      </c>
      <c r="AB11" s="28">
        <f>IF($T11="","",IFERROR(INDEX(計算用!$I$2:$I$186,MATCH("女"&amp;$T11&amp;"-2",計算用!$AN$2:$AN$186,0)),""))</f>
        <v/>
      </c>
      <c r="AC11">
        <f>IF($T11="","",IFERROR(INDEX(計算用!$D$2:$D$186,MATCH("女"&amp;$T11&amp;"-3",計算用!$AN$2:$AN$186,0)),""))</f>
        <v/>
      </c>
      <c r="AD11" s="28">
        <f>IF($T11="","",IFERROR(INDEX(計算用!$M$2:$M$186,MATCH("女"&amp;$T11&amp;"-3",計算用!$AN$2:$AN$186,0)),""))</f>
        <v/>
      </c>
      <c r="AE11" s="28">
        <f>IF($T11="","",IFERROR(INDEX(計算用!$I$2:$I$186,MATCH("女"&amp;$T11&amp;"-3",計算用!$AN$2:$AN$186,0)),""))</f>
        <v/>
      </c>
      <c r="AF11">
        <f>IF($T11="","",IFERROR(INDEX(計算用!$D$2:$D$186,MATCH("女"&amp;$T11&amp;"-4",計算用!$AN$2:$AN$186,0)),""))</f>
        <v/>
      </c>
      <c r="AG11" s="28">
        <f>IF($T11="","",IFERROR(INDEX(計算用!$M$2:$M$186,MATCH("女"&amp;$T11&amp;"-4",計算用!$AN$2:$AN$186,0)),""))</f>
        <v/>
      </c>
      <c r="AH11" s="28">
        <f>IF($T11="","",IFERROR(INDEX(計算用!$I$2:$I$186,MATCH("女"&amp;$T11&amp;"-4",計算用!$AN$2:$AN$186,0)),""))</f>
        <v/>
      </c>
      <c r="AI11">
        <f>IF($T11="","",IFERROR(INDEX(計算用!$D$2:$D$186,MATCH("女"&amp;$T11&amp;"-5",計算用!$AN$2:$AN$186,0)),""))</f>
        <v/>
      </c>
      <c r="AJ11" s="28">
        <f>IF($T11="","",IFERROR(INDEX(計算用!$M$2:$M$186,MATCH("女"&amp;$T11&amp;"-5",計算用!$AN$2:$AN$186,0)),""))</f>
        <v/>
      </c>
      <c r="AK11" s="28">
        <f>IF($T11="","",IFERROR(INDEX(計算用!$I$2:$I$186,MATCH("女"&amp;$T11&amp;"-5",計算用!$AN$2:$AN$186,0)),""))</f>
        <v/>
      </c>
    </row>
    <row r="12">
      <c r="A12" s="28">
        <f>IF(ROW()-3&lt;=計算用!$Q$9,ROW()-3,"")</f>
        <v/>
      </c>
      <c r="B12" s="28">
        <f>IF($A12="","",INDEX(計算用!$T$2:$T$51,$A12))</f>
        <v/>
      </c>
      <c r="C12" s="28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8">
        <f>IF($A12="","",IFERROR(INDEX(計算用!$M$2:$M$186,MATCH("男"&amp;$A12&amp;"-1",計算用!$AN$2:$AN$186,0)),""))</f>
        <v/>
      </c>
      <c r="F12" s="28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8">
        <f>IF($A12="","",IFERROR(INDEX(計算用!$M$2:$M$186,MATCH("男"&amp;$A12&amp;"-2",計算用!$AN$2:$AN$186,0)),""))</f>
        <v/>
      </c>
      <c r="I12" s="28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8">
        <f>IF($A12="","",IFERROR(INDEX(計算用!$M$2:$M$186,MATCH("男"&amp;$A12&amp;"-3",計算用!$AN$2:$AN$186,0)),""))</f>
        <v/>
      </c>
      <c r="L12" s="28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8">
        <f>IF($A12="","",IFERROR(INDEX(計算用!$M$2:$M$186,MATCH("男"&amp;$A12&amp;"-4",計算用!$AN$2:$AN$186,0)),""))</f>
        <v/>
      </c>
      <c r="O12" s="28">
        <f>IF($A12="","",IFERROR(INDEX(計算用!$I$2:$I$186,MATCH("男"&amp;$A12&amp;"-4",計算用!$AN$2:$AN$186,0)),""))</f>
        <v/>
      </c>
      <c r="P12">
        <f>IF($A12="","",IFERROR(INDEX(計算用!$D$2:$D$186,MATCH("男"&amp;$A12&amp;"-5",計算用!$AN$2:$AN$186,0)),""))</f>
        <v/>
      </c>
      <c r="Q12" s="28">
        <f>IF($A12="","",IFERROR(INDEX(計算用!$M$2:$M$186,MATCH("男"&amp;$A12&amp;"-5",計算用!$AN$2:$AN$186,0)),""))</f>
        <v/>
      </c>
      <c r="R12" s="28">
        <f>IF($A12="","",IFERROR(INDEX(計算用!$I$2:$I$186,MATCH("男"&amp;$A12&amp;"-5",計算用!$AN$2:$AN$186,0)),""))</f>
        <v/>
      </c>
      <c r="T12" s="28">
        <f>IF(ROW()-3&lt;=計算用!$Q$11,ROW()-3,"")</f>
        <v/>
      </c>
      <c r="U12" s="28">
        <f>IF($T12="","",INDEX(計算用!$AC$2:$AC$51,$T12))</f>
        <v/>
      </c>
      <c r="V12" s="28">
        <f>IF($T12="","","赤"&amp;INDEX(計算用!$AF$2:$AF$51,$T12)&amp;"白"&amp;INDEX(計算用!$AG$2:$AG$51,$T12))</f>
        <v/>
      </c>
      <c r="W12">
        <f>IF($T12="","",IFERROR(INDEX(計算用!$D$2:$D$186,MATCH("女"&amp;$T12&amp;"-1",計算用!$AN$2:$AN$186,0)),""))</f>
        <v/>
      </c>
      <c r="X12" s="28">
        <f>IF($T12="","",IFERROR(INDEX(計算用!$M$2:$M$186,MATCH("女"&amp;$T12&amp;"-1",計算用!$AN$2:$AN$186,0)),""))</f>
        <v/>
      </c>
      <c r="Y12" s="28">
        <f>IF($T12="","",IFERROR(INDEX(計算用!$I$2:$I$186,MATCH("女"&amp;$T12&amp;"-1",計算用!$AN$2:$AN$186,0)),""))</f>
        <v/>
      </c>
      <c r="Z12">
        <f>IF($T12="","",IFERROR(INDEX(計算用!$D$2:$D$186,MATCH("女"&amp;$T12&amp;"-2",計算用!$AN$2:$AN$186,0)),""))</f>
        <v/>
      </c>
      <c r="AA12" s="28">
        <f>IF($T12="","",IFERROR(INDEX(計算用!$M$2:$M$186,MATCH("女"&amp;$T12&amp;"-2",計算用!$AN$2:$AN$186,0)),""))</f>
        <v/>
      </c>
      <c r="AB12" s="28">
        <f>IF($T12="","",IFERROR(INDEX(計算用!$I$2:$I$186,MATCH("女"&amp;$T12&amp;"-2",計算用!$AN$2:$AN$186,0)),""))</f>
        <v/>
      </c>
      <c r="AC12">
        <f>IF($T12="","",IFERROR(INDEX(計算用!$D$2:$D$186,MATCH("女"&amp;$T12&amp;"-3",計算用!$AN$2:$AN$186,0)),""))</f>
        <v/>
      </c>
      <c r="AD12" s="28">
        <f>IF($T12="","",IFERROR(INDEX(計算用!$M$2:$M$186,MATCH("女"&amp;$T12&amp;"-3",計算用!$AN$2:$AN$186,0)),""))</f>
        <v/>
      </c>
      <c r="AE12" s="28">
        <f>IF($T12="","",IFERROR(INDEX(計算用!$I$2:$I$186,MATCH("女"&amp;$T12&amp;"-3",計算用!$AN$2:$AN$186,0)),""))</f>
        <v/>
      </c>
      <c r="AF12">
        <f>IF($T12="","",IFERROR(INDEX(計算用!$D$2:$D$186,MATCH("女"&amp;$T12&amp;"-4",計算用!$AN$2:$AN$186,0)),""))</f>
        <v/>
      </c>
      <c r="AG12" s="28">
        <f>IF($T12="","",IFERROR(INDEX(計算用!$M$2:$M$186,MATCH("女"&amp;$T12&amp;"-4",計算用!$AN$2:$AN$186,0)),""))</f>
        <v/>
      </c>
      <c r="AH12" s="28">
        <f>IF($T12="","",IFERROR(INDEX(計算用!$I$2:$I$186,MATCH("女"&amp;$T12&amp;"-4",計算用!$AN$2:$AN$186,0)),""))</f>
        <v/>
      </c>
      <c r="AI12">
        <f>IF($T12="","",IFERROR(INDEX(計算用!$D$2:$D$186,MATCH("女"&amp;$T12&amp;"-5",計算用!$AN$2:$AN$186,0)),""))</f>
        <v/>
      </c>
      <c r="AJ12" s="28">
        <f>IF($T12="","",IFERROR(INDEX(計算用!$M$2:$M$186,MATCH("女"&amp;$T12&amp;"-5",計算用!$AN$2:$AN$186,0)),""))</f>
        <v/>
      </c>
      <c r="AK12" s="28">
        <f>IF($T12="","",IFERROR(INDEX(計算用!$I$2:$I$186,MATCH("女"&amp;$T12&amp;"-5",計算用!$AN$2:$AN$186,0)),""))</f>
        <v/>
      </c>
    </row>
    <row r="13">
      <c r="A13" s="28">
        <f>IF(ROW()-3&lt;=計算用!$Q$9,ROW()-3,"")</f>
        <v/>
      </c>
      <c r="B13" s="28">
        <f>IF($A13="","",INDEX(計算用!$T$2:$T$51,$A13))</f>
        <v/>
      </c>
      <c r="C13" s="28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8">
        <f>IF($A13="","",IFERROR(INDEX(計算用!$M$2:$M$186,MATCH("男"&amp;$A13&amp;"-1",計算用!$AN$2:$AN$186,0)),""))</f>
        <v/>
      </c>
      <c r="F13" s="28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8">
        <f>IF($A13="","",IFERROR(INDEX(計算用!$M$2:$M$186,MATCH("男"&amp;$A13&amp;"-2",計算用!$AN$2:$AN$186,0)),""))</f>
        <v/>
      </c>
      <c r="I13" s="28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8">
        <f>IF($A13="","",IFERROR(INDEX(計算用!$M$2:$M$186,MATCH("男"&amp;$A13&amp;"-3",計算用!$AN$2:$AN$186,0)),""))</f>
        <v/>
      </c>
      <c r="L13" s="28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8">
        <f>IF($A13="","",IFERROR(INDEX(計算用!$M$2:$M$186,MATCH("男"&amp;$A13&amp;"-4",計算用!$AN$2:$AN$186,0)),""))</f>
        <v/>
      </c>
      <c r="O13" s="28">
        <f>IF($A13="","",IFERROR(INDEX(計算用!$I$2:$I$186,MATCH("男"&amp;$A13&amp;"-4",計算用!$AN$2:$AN$186,0)),""))</f>
        <v/>
      </c>
      <c r="P13">
        <f>IF($A13="","",IFERROR(INDEX(計算用!$D$2:$D$186,MATCH("男"&amp;$A13&amp;"-5",計算用!$AN$2:$AN$186,0)),""))</f>
        <v/>
      </c>
      <c r="Q13" s="28">
        <f>IF($A13="","",IFERROR(INDEX(計算用!$M$2:$M$186,MATCH("男"&amp;$A13&amp;"-5",計算用!$AN$2:$AN$186,0)),""))</f>
        <v/>
      </c>
      <c r="R13" s="28">
        <f>IF($A13="","",IFERROR(INDEX(計算用!$I$2:$I$186,MATCH("男"&amp;$A13&amp;"-5",計算用!$AN$2:$AN$186,0)),""))</f>
        <v/>
      </c>
      <c r="T13" s="28">
        <f>IF(ROW()-3&lt;=計算用!$Q$11,ROW()-3,"")</f>
        <v/>
      </c>
      <c r="U13" s="28">
        <f>IF($T13="","",INDEX(計算用!$AC$2:$AC$51,$T13))</f>
        <v/>
      </c>
      <c r="V13" s="28">
        <f>IF($T13="","","赤"&amp;INDEX(計算用!$AF$2:$AF$51,$T13)&amp;"白"&amp;INDEX(計算用!$AG$2:$AG$51,$T13))</f>
        <v/>
      </c>
      <c r="W13">
        <f>IF($T13="","",IFERROR(INDEX(計算用!$D$2:$D$186,MATCH("女"&amp;$T13&amp;"-1",計算用!$AN$2:$AN$186,0)),""))</f>
        <v/>
      </c>
      <c r="X13" s="28">
        <f>IF($T13="","",IFERROR(INDEX(計算用!$M$2:$M$186,MATCH("女"&amp;$T13&amp;"-1",計算用!$AN$2:$AN$186,0)),""))</f>
        <v/>
      </c>
      <c r="Y13" s="28">
        <f>IF($T13="","",IFERROR(INDEX(計算用!$I$2:$I$186,MATCH("女"&amp;$T13&amp;"-1",計算用!$AN$2:$AN$186,0)),""))</f>
        <v/>
      </c>
      <c r="Z13">
        <f>IF($T13="","",IFERROR(INDEX(計算用!$D$2:$D$186,MATCH("女"&amp;$T13&amp;"-2",計算用!$AN$2:$AN$186,0)),""))</f>
        <v/>
      </c>
      <c r="AA13" s="28">
        <f>IF($T13="","",IFERROR(INDEX(計算用!$M$2:$M$186,MATCH("女"&amp;$T13&amp;"-2",計算用!$AN$2:$AN$186,0)),""))</f>
        <v/>
      </c>
      <c r="AB13" s="28">
        <f>IF($T13="","",IFERROR(INDEX(計算用!$I$2:$I$186,MATCH("女"&amp;$T13&amp;"-2",計算用!$AN$2:$AN$186,0)),""))</f>
        <v/>
      </c>
      <c r="AC13">
        <f>IF($T13="","",IFERROR(INDEX(計算用!$D$2:$D$186,MATCH("女"&amp;$T13&amp;"-3",計算用!$AN$2:$AN$186,0)),""))</f>
        <v/>
      </c>
      <c r="AD13" s="28">
        <f>IF($T13="","",IFERROR(INDEX(計算用!$M$2:$M$186,MATCH("女"&amp;$T13&amp;"-3",計算用!$AN$2:$AN$186,0)),""))</f>
        <v/>
      </c>
      <c r="AE13" s="28">
        <f>IF($T13="","",IFERROR(INDEX(計算用!$I$2:$I$186,MATCH("女"&amp;$T13&amp;"-3",計算用!$AN$2:$AN$186,0)),""))</f>
        <v/>
      </c>
      <c r="AF13">
        <f>IF($T13="","",IFERROR(INDEX(計算用!$D$2:$D$186,MATCH("女"&amp;$T13&amp;"-4",計算用!$AN$2:$AN$186,0)),""))</f>
        <v/>
      </c>
      <c r="AG13" s="28">
        <f>IF($T13="","",IFERROR(INDEX(計算用!$M$2:$M$186,MATCH("女"&amp;$T13&amp;"-4",計算用!$AN$2:$AN$186,0)),""))</f>
        <v/>
      </c>
      <c r="AH13" s="28">
        <f>IF($T13="","",IFERROR(INDEX(計算用!$I$2:$I$186,MATCH("女"&amp;$T13&amp;"-4",計算用!$AN$2:$AN$186,0)),""))</f>
        <v/>
      </c>
      <c r="AI13">
        <f>IF($T13="","",IFERROR(INDEX(計算用!$D$2:$D$186,MATCH("女"&amp;$T13&amp;"-5",計算用!$AN$2:$AN$186,0)),""))</f>
        <v/>
      </c>
      <c r="AJ13" s="28">
        <f>IF($T13="","",IFERROR(INDEX(計算用!$M$2:$M$186,MATCH("女"&amp;$T13&amp;"-5",計算用!$AN$2:$AN$186,0)),""))</f>
        <v/>
      </c>
      <c r="AK13" s="28">
        <f>IF($T13="","",IFERROR(INDEX(計算用!$I$2:$I$186,MATCH("女"&amp;$T13&amp;"-5",計算用!$AN$2:$AN$186,0)),""))</f>
        <v/>
      </c>
    </row>
    <row r="14">
      <c r="A14" s="28">
        <f>IF(ROW()-3&lt;=計算用!$Q$9,ROW()-3,"")</f>
        <v/>
      </c>
      <c r="B14" s="28">
        <f>IF($A14="","",INDEX(計算用!$T$2:$T$51,$A14))</f>
        <v/>
      </c>
      <c r="C14" s="28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8">
        <f>IF($A14="","",IFERROR(INDEX(計算用!$M$2:$M$186,MATCH("男"&amp;$A14&amp;"-1",計算用!$AN$2:$AN$186,0)),""))</f>
        <v/>
      </c>
      <c r="F14" s="28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8">
        <f>IF($A14="","",IFERROR(INDEX(計算用!$M$2:$M$186,MATCH("男"&amp;$A14&amp;"-2",計算用!$AN$2:$AN$186,0)),""))</f>
        <v/>
      </c>
      <c r="I14" s="28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8">
        <f>IF($A14="","",IFERROR(INDEX(計算用!$M$2:$M$186,MATCH("男"&amp;$A14&amp;"-3",計算用!$AN$2:$AN$186,0)),""))</f>
        <v/>
      </c>
      <c r="L14" s="28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8">
        <f>IF($A14="","",IFERROR(INDEX(計算用!$M$2:$M$186,MATCH("男"&amp;$A14&amp;"-4",計算用!$AN$2:$AN$186,0)),""))</f>
        <v/>
      </c>
      <c r="O14" s="28">
        <f>IF($A14="","",IFERROR(INDEX(計算用!$I$2:$I$186,MATCH("男"&amp;$A14&amp;"-4",計算用!$AN$2:$AN$186,0)),""))</f>
        <v/>
      </c>
      <c r="P14">
        <f>IF($A14="","",IFERROR(INDEX(計算用!$D$2:$D$186,MATCH("男"&amp;$A14&amp;"-5",計算用!$AN$2:$AN$186,0)),""))</f>
        <v/>
      </c>
      <c r="Q14" s="28">
        <f>IF($A14="","",IFERROR(INDEX(計算用!$M$2:$M$186,MATCH("男"&amp;$A14&amp;"-5",計算用!$AN$2:$AN$186,0)),""))</f>
        <v/>
      </c>
      <c r="R14" s="28">
        <f>IF($A14="","",IFERROR(INDEX(計算用!$I$2:$I$186,MATCH("男"&amp;$A14&amp;"-5",計算用!$AN$2:$AN$186,0)),""))</f>
        <v/>
      </c>
      <c r="T14" s="28">
        <f>IF(ROW()-3&lt;=計算用!$Q$11,ROW()-3,"")</f>
        <v/>
      </c>
      <c r="U14" s="28">
        <f>IF($T14="","",INDEX(計算用!$AC$2:$AC$51,$T14))</f>
        <v/>
      </c>
      <c r="V14" s="28">
        <f>IF($T14="","","赤"&amp;INDEX(計算用!$AF$2:$AF$51,$T14)&amp;"白"&amp;INDEX(計算用!$AG$2:$AG$51,$T14))</f>
        <v/>
      </c>
      <c r="W14">
        <f>IF($T14="","",IFERROR(INDEX(計算用!$D$2:$D$186,MATCH("女"&amp;$T14&amp;"-1",計算用!$AN$2:$AN$186,0)),""))</f>
        <v/>
      </c>
      <c r="X14" s="28">
        <f>IF($T14="","",IFERROR(INDEX(計算用!$M$2:$M$186,MATCH("女"&amp;$T14&amp;"-1",計算用!$AN$2:$AN$186,0)),""))</f>
        <v/>
      </c>
      <c r="Y14" s="28">
        <f>IF($T14="","",IFERROR(INDEX(計算用!$I$2:$I$186,MATCH("女"&amp;$T14&amp;"-1",計算用!$AN$2:$AN$186,0)),""))</f>
        <v/>
      </c>
      <c r="Z14">
        <f>IF($T14="","",IFERROR(INDEX(計算用!$D$2:$D$186,MATCH("女"&amp;$T14&amp;"-2",計算用!$AN$2:$AN$186,0)),""))</f>
        <v/>
      </c>
      <c r="AA14" s="28">
        <f>IF($T14="","",IFERROR(INDEX(計算用!$M$2:$M$186,MATCH("女"&amp;$T14&amp;"-2",計算用!$AN$2:$AN$186,0)),""))</f>
        <v/>
      </c>
      <c r="AB14" s="28">
        <f>IF($T14="","",IFERROR(INDEX(計算用!$I$2:$I$186,MATCH("女"&amp;$T14&amp;"-2",計算用!$AN$2:$AN$186,0)),""))</f>
        <v/>
      </c>
      <c r="AC14">
        <f>IF($T14="","",IFERROR(INDEX(計算用!$D$2:$D$186,MATCH("女"&amp;$T14&amp;"-3",計算用!$AN$2:$AN$186,0)),""))</f>
        <v/>
      </c>
      <c r="AD14" s="28">
        <f>IF($T14="","",IFERROR(INDEX(計算用!$M$2:$M$186,MATCH("女"&amp;$T14&amp;"-3",計算用!$AN$2:$AN$186,0)),""))</f>
        <v/>
      </c>
      <c r="AE14" s="28">
        <f>IF($T14="","",IFERROR(INDEX(計算用!$I$2:$I$186,MATCH("女"&amp;$T14&amp;"-3",計算用!$AN$2:$AN$186,0)),""))</f>
        <v/>
      </c>
      <c r="AF14">
        <f>IF($T14="","",IFERROR(INDEX(計算用!$D$2:$D$186,MATCH("女"&amp;$T14&amp;"-4",計算用!$AN$2:$AN$186,0)),""))</f>
        <v/>
      </c>
      <c r="AG14" s="28">
        <f>IF($T14="","",IFERROR(INDEX(計算用!$M$2:$M$186,MATCH("女"&amp;$T14&amp;"-4",計算用!$AN$2:$AN$186,0)),""))</f>
        <v/>
      </c>
      <c r="AH14" s="28">
        <f>IF($T14="","",IFERROR(INDEX(計算用!$I$2:$I$186,MATCH("女"&amp;$T14&amp;"-4",計算用!$AN$2:$AN$186,0)),""))</f>
        <v/>
      </c>
      <c r="AI14">
        <f>IF($T14="","",IFERROR(INDEX(計算用!$D$2:$D$186,MATCH("女"&amp;$T14&amp;"-5",計算用!$AN$2:$AN$186,0)),""))</f>
        <v/>
      </c>
      <c r="AJ14" s="28">
        <f>IF($T14="","",IFERROR(INDEX(計算用!$M$2:$M$186,MATCH("女"&amp;$T14&amp;"-5",計算用!$AN$2:$AN$186,0)),""))</f>
        <v/>
      </c>
      <c r="AK14" s="28">
        <f>IF($T14="","",IFERROR(INDEX(計算用!$I$2:$I$186,MATCH("女"&amp;$T14&amp;"-5",計算用!$AN$2:$AN$186,0)),""))</f>
        <v/>
      </c>
    </row>
    <row r="15">
      <c r="A15" s="28">
        <f>IF(ROW()-3&lt;=計算用!$Q$9,ROW()-3,"")</f>
        <v/>
      </c>
      <c r="B15" s="28">
        <f>IF($A15="","",INDEX(計算用!$T$2:$T$51,$A15))</f>
        <v/>
      </c>
      <c r="C15" s="28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8">
        <f>IF($A15="","",IFERROR(INDEX(計算用!$M$2:$M$186,MATCH("男"&amp;$A15&amp;"-1",計算用!$AN$2:$AN$186,0)),""))</f>
        <v/>
      </c>
      <c r="F15" s="28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8">
        <f>IF($A15="","",IFERROR(INDEX(計算用!$M$2:$M$186,MATCH("男"&amp;$A15&amp;"-2",計算用!$AN$2:$AN$186,0)),""))</f>
        <v/>
      </c>
      <c r="I15" s="28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8">
        <f>IF($A15="","",IFERROR(INDEX(計算用!$M$2:$M$186,MATCH("男"&amp;$A15&amp;"-3",計算用!$AN$2:$AN$186,0)),""))</f>
        <v/>
      </c>
      <c r="L15" s="28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8">
        <f>IF($A15="","",IFERROR(INDEX(計算用!$M$2:$M$186,MATCH("男"&amp;$A15&amp;"-4",計算用!$AN$2:$AN$186,0)),""))</f>
        <v/>
      </c>
      <c r="O15" s="28">
        <f>IF($A15="","",IFERROR(INDEX(計算用!$I$2:$I$186,MATCH("男"&amp;$A15&amp;"-4",計算用!$AN$2:$AN$186,0)),""))</f>
        <v/>
      </c>
      <c r="P15">
        <f>IF($A15="","",IFERROR(INDEX(計算用!$D$2:$D$186,MATCH("男"&amp;$A15&amp;"-5",計算用!$AN$2:$AN$186,0)),""))</f>
        <v/>
      </c>
      <c r="Q15" s="28">
        <f>IF($A15="","",IFERROR(INDEX(計算用!$M$2:$M$186,MATCH("男"&amp;$A15&amp;"-5",計算用!$AN$2:$AN$186,0)),""))</f>
        <v/>
      </c>
      <c r="R15" s="28">
        <f>IF($A15="","",IFERROR(INDEX(計算用!$I$2:$I$186,MATCH("男"&amp;$A15&amp;"-5",計算用!$AN$2:$AN$186,0)),""))</f>
        <v/>
      </c>
      <c r="T15" s="28">
        <f>IF(ROW()-3&lt;=計算用!$Q$11,ROW()-3,"")</f>
        <v/>
      </c>
      <c r="U15" s="28">
        <f>IF($T15="","",INDEX(計算用!$AC$2:$AC$51,$T15))</f>
        <v/>
      </c>
      <c r="V15" s="28">
        <f>IF($T15="","","赤"&amp;INDEX(計算用!$AF$2:$AF$51,$T15)&amp;"白"&amp;INDEX(計算用!$AG$2:$AG$51,$T15))</f>
        <v/>
      </c>
      <c r="W15">
        <f>IF($T15="","",IFERROR(INDEX(計算用!$D$2:$D$186,MATCH("女"&amp;$T15&amp;"-1",計算用!$AN$2:$AN$186,0)),""))</f>
        <v/>
      </c>
      <c r="X15" s="28">
        <f>IF($T15="","",IFERROR(INDEX(計算用!$M$2:$M$186,MATCH("女"&amp;$T15&amp;"-1",計算用!$AN$2:$AN$186,0)),""))</f>
        <v/>
      </c>
      <c r="Y15" s="28">
        <f>IF($T15="","",IFERROR(INDEX(計算用!$I$2:$I$186,MATCH("女"&amp;$T15&amp;"-1",計算用!$AN$2:$AN$186,0)),""))</f>
        <v/>
      </c>
      <c r="Z15">
        <f>IF($T15="","",IFERROR(INDEX(計算用!$D$2:$D$186,MATCH("女"&amp;$T15&amp;"-2",計算用!$AN$2:$AN$186,0)),""))</f>
        <v/>
      </c>
      <c r="AA15" s="28">
        <f>IF($T15="","",IFERROR(INDEX(計算用!$M$2:$M$186,MATCH("女"&amp;$T15&amp;"-2",計算用!$AN$2:$AN$186,0)),""))</f>
        <v/>
      </c>
      <c r="AB15" s="28">
        <f>IF($T15="","",IFERROR(INDEX(計算用!$I$2:$I$186,MATCH("女"&amp;$T15&amp;"-2",計算用!$AN$2:$AN$186,0)),""))</f>
        <v/>
      </c>
      <c r="AC15">
        <f>IF($T15="","",IFERROR(INDEX(計算用!$D$2:$D$186,MATCH("女"&amp;$T15&amp;"-3",計算用!$AN$2:$AN$186,0)),""))</f>
        <v/>
      </c>
      <c r="AD15" s="28">
        <f>IF($T15="","",IFERROR(INDEX(計算用!$M$2:$M$186,MATCH("女"&amp;$T15&amp;"-3",計算用!$AN$2:$AN$186,0)),""))</f>
        <v/>
      </c>
      <c r="AE15" s="28">
        <f>IF($T15="","",IFERROR(INDEX(計算用!$I$2:$I$186,MATCH("女"&amp;$T15&amp;"-3",計算用!$AN$2:$AN$186,0)),""))</f>
        <v/>
      </c>
      <c r="AF15">
        <f>IF($T15="","",IFERROR(INDEX(計算用!$D$2:$D$186,MATCH("女"&amp;$T15&amp;"-4",計算用!$AN$2:$AN$186,0)),""))</f>
        <v/>
      </c>
      <c r="AG15" s="28">
        <f>IF($T15="","",IFERROR(INDEX(計算用!$M$2:$M$186,MATCH("女"&amp;$T15&amp;"-4",計算用!$AN$2:$AN$186,0)),""))</f>
        <v/>
      </c>
      <c r="AH15" s="28">
        <f>IF($T15="","",IFERROR(INDEX(計算用!$I$2:$I$186,MATCH("女"&amp;$T15&amp;"-4",計算用!$AN$2:$AN$186,0)),""))</f>
        <v/>
      </c>
      <c r="AI15">
        <f>IF($T15="","",IFERROR(INDEX(計算用!$D$2:$D$186,MATCH("女"&amp;$T15&amp;"-5",計算用!$AN$2:$AN$186,0)),""))</f>
        <v/>
      </c>
      <c r="AJ15" s="28">
        <f>IF($T15="","",IFERROR(INDEX(計算用!$M$2:$M$186,MATCH("女"&amp;$T15&amp;"-5",計算用!$AN$2:$AN$186,0)),""))</f>
        <v/>
      </c>
      <c r="AK15" s="28">
        <f>IF($T15="","",IFERROR(INDEX(計算用!$I$2:$I$186,MATCH("女"&amp;$T15&amp;"-5",計算用!$AN$2:$AN$186,0)),""))</f>
        <v/>
      </c>
    </row>
    <row r="16">
      <c r="A16" s="28">
        <f>IF(ROW()-3&lt;=計算用!$Q$9,ROW()-3,"")</f>
        <v/>
      </c>
      <c r="B16" s="28">
        <f>IF($A16="","",INDEX(計算用!$T$2:$T$51,$A16))</f>
        <v/>
      </c>
      <c r="C16" s="28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8">
        <f>IF($A16="","",IFERROR(INDEX(計算用!$M$2:$M$186,MATCH("男"&amp;$A16&amp;"-1",計算用!$AN$2:$AN$186,0)),""))</f>
        <v/>
      </c>
      <c r="F16" s="28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8">
        <f>IF($A16="","",IFERROR(INDEX(計算用!$M$2:$M$186,MATCH("男"&amp;$A16&amp;"-2",計算用!$AN$2:$AN$186,0)),""))</f>
        <v/>
      </c>
      <c r="I16" s="28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8">
        <f>IF($A16="","",IFERROR(INDEX(計算用!$M$2:$M$186,MATCH("男"&amp;$A16&amp;"-3",計算用!$AN$2:$AN$186,0)),""))</f>
        <v/>
      </c>
      <c r="L16" s="28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8">
        <f>IF($A16="","",IFERROR(INDEX(計算用!$M$2:$M$186,MATCH("男"&amp;$A16&amp;"-4",計算用!$AN$2:$AN$186,0)),""))</f>
        <v/>
      </c>
      <c r="O16" s="28">
        <f>IF($A16="","",IFERROR(INDEX(計算用!$I$2:$I$186,MATCH("男"&amp;$A16&amp;"-4",計算用!$AN$2:$AN$186,0)),""))</f>
        <v/>
      </c>
      <c r="P16">
        <f>IF($A16="","",IFERROR(INDEX(計算用!$D$2:$D$186,MATCH("男"&amp;$A16&amp;"-5",計算用!$AN$2:$AN$186,0)),""))</f>
        <v/>
      </c>
      <c r="Q16" s="28">
        <f>IF($A16="","",IFERROR(INDEX(計算用!$M$2:$M$186,MATCH("男"&amp;$A16&amp;"-5",計算用!$AN$2:$AN$186,0)),""))</f>
        <v/>
      </c>
      <c r="R16" s="28">
        <f>IF($A16="","",IFERROR(INDEX(計算用!$I$2:$I$186,MATCH("男"&amp;$A16&amp;"-5",計算用!$AN$2:$AN$186,0)),""))</f>
        <v/>
      </c>
      <c r="T16" s="28">
        <f>IF(ROW()-3&lt;=計算用!$Q$11,ROW()-3,"")</f>
        <v/>
      </c>
      <c r="U16" s="28">
        <f>IF($T16="","",INDEX(計算用!$AC$2:$AC$51,$T16))</f>
        <v/>
      </c>
      <c r="V16" s="28">
        <f>IF($T16="","","赤"&amp;INDEX(計算用!$AF$2:$AF$51,$T16)&amp;"白"&amp;INDEX(計算用!$AG$2:$AG$51,$T16))</f>
        <v/>
      </c>
      <c r="W16">
        <f>IF($T16="","",IFERROR(INDEX(計算用!$D$2:$D$186,MATCH("女"&amp;$T16&amp;"-1",計算用!$AN$2:$AN$186,0)),""))</f>
        <v/>
      </c>
      <c r="X16" s="28">
        <f>IF($T16="","",IFERROR(INDEX(計算用!$M$2:$M$186,MATCH("女"&amp;$T16&amp;"-1",計算用!$AN$2:$AN$186,0)),""))</f>
        <v/>
      </c>
      <c r="Y16" s="28">
        <f>IF($T16="","",IFERROR(INDEX(計算用!$I$2:$I$186,MATCH("女"&amp;$T16&amp;"-1",計算用!$AN$2:$AN$186,0)),""))</f>
        <v/>
      </c>
      <c r="Z16">
        <f>IF($T16="","",IFERROR(INDEX(計算用!$D$2:$D$186,MATCH("女"&amp;$T16&amp;"-2",計算用!$AN$2:$AN$186,0)),""))</f>
        <v/>
      </c>
      <c r="AA16" s="28">
        <f>IF($T16="","",IFERROR(INDEX(計算用!$M$2:$M$186,MATCH("女"&amp;$T16&amp;"-2",計算用!$AN$2:$AN$186,0)),""))</f>
        <v/>
      </c>
      <c r="AB16" s="28">
        <f>IF($T16="","",IFERROR(INDEX(計算用!$I$2:$I$186,MATCH("女"&amp;$T16&amp;"-2",計算用!$AN$2:$AN$186,0)),""))</f>
        <v/>
      </c>
      <c r="AC16">
        <f>IF($T16="","",IFERROR(INDEX(計算用!$D$2:$D$186,MATCH("女"&amp;$T16&amp;"-3",計算用!$AN$2:$AN$186,0)),""))</f>
        <v/>
      </c>
      <c r="AD16" s="28">
        <f>IF($T16="","",IFERROR(INDEX(計算用!$M$2:$M$186,MATCH("女"&amp;$T16&amp;"-3",計算用!$AN$2:$AN$186,0)),""))</f>
        <v/>
      </c>
      <c r="AE16" s="28">
        <f>IF($T16="","",IFERROR(INDEX(計算用!$I$2:$I$186,MATCH("女"&amp;$T16&amp;"-3",計算用!$AN$2:$AN$186,0)),""))</f>
        <v/>
      </c>
      <c r="AF16">
        <f>IF($T16="","",IFERROR(INDEX(計算用!$D$2:$D$186,MATCH("女"&amp;$T16&amp;"-4",計算用!$AN$2:$AN$186,0)),""))</f>
        <v/>
      </c>
      <c r="AG16" s="28">
        <f>IF($T16="","",IFERROR(INDEX(計算用!$M$2:$M$186,MATCH("女"&amp;$T16&amp;"-4",計算用!$AN$2:$AN$186,0)),""))</f>
        <v/>
      </c>
      <c r="AH16" s="28">
        <f>IF($T16="","",IFERROR(INDEX(計算用!$I$2:$I$186,MATCH("女"&amp;$T16&amp;"-4",計算用!$AN$2:$AN$186,0)),""))</f>
        <v/>
      </c>
      <c r="AI16">
        <f>IF($T16="","",IFERROR(INDEX(計算用!$D$2:$D$186,MATCH("女"&amp;$T16&amp;"-5",計算用!$AN$2:$AN$186,0)),""))</f>
        <v/>
      </c>
      <c r="AJ16" s="28">
        <f>IF($T16="","",IFERROR(INDEX(計算用!$M$2:$M$186,MATCH("女"&amp;$T16&amp;"-5",計算用!$AN$2:$AN$186,0)),""))</f>
        <v/>
      </c>
      <c r="AK16" s="28">
        <f>IF($T16="","",IFERROR(INDEX(計算用!$I$2:$I$186,MATCH("女"&amp;$T16&amp;"-5",計算用!$AN$2:$AN$186,0)),""))</f>
        <v/>
      </c>
    </row>
    <row r="17">
      <c r="A17" s="28">
        <f>IF(ROW()-3&lt;=計算用!$Q$9,ROW()-3,"")</f>
        <v/>
      </c>
      <c r="B17" s="28">
        <f>IF($A17="","",INDEX(計算用!$T$2:$T$51,$A17))</f>
        <v/>
      </c>
      <c r="C17" s="28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8">
        <f>IF($A17="","",IFERROR(INDEX(計算用!$M$2:$M$186,MATCH("男"&amp;$A17&amp;"-1",計算用!$AN$2:$AN$186,0)),""))</f>
        <v/>
      </c>
      <c r="F17" s="28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8">
        <f>IF($A17="","",IFERROR(INDEX(計算用!$M$2:$M$186,MATCH("男"&amp;$A17&amp;"-2",計算用!$AN$2:$AN$186,0)),""))</f>
        <v/>
      </c>
      <c r="I17" s="28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8">
        <f>IF($A17="","",IFERROR(INDEX(計算用!$M$2:$M$186,MATCH("男"&amp;$A17&amp;"-3",計算用!$AN$2:$AN$186,0)),""))</f>
        <v/>
      </c>
      <c r="L17" s="28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8">
        <f>IF($A17="","",IFERROR(INDEX(計算用!$M$2:$M$186,MATCH("男"&amp;$A17&amp;"-4",計算用!$AN$2:$AN$186,0)),""))</f>
        <v/>
      </c>
      <c r="O17" s="28">
        <f>IF($A17="","",IFERROR(INDEX(計算用!$I$2:$I$186,MATCH("男"&amp;$A17&amp;"-4",計算用!$AN$2:$AN$186,0)),""))</f>
        <v/>
      </c>
      <c r="P17">
        <f>IF($A17="","",IFERROR(INDEX(計算用!$D$2:$D$186,MATCH("男"&amp;$A17&amp;"-5",計算用!$AN$2:$AN$186,0)),""))</f>
        <v/>
      </c>
      <c r="Q17" s="28">
        <f>IF($A17="","",IFERROR(INDEX(計算用!$M$2:$M$186,MATCH("男"&amp;$A17&amp;"-5",計算用!$AN$2:$AN$186,0)),""))</f>
        <v/>
      </c>
      <c r="R17" s="28">
        <f>IF($A17="","",IFERROR(INDEX(計算用!$I$2:$I$186,MATCH("男"&amp;$A17&amp;"-5",計算用!$AN$2:$AN$186,0)),""))</f>
        <v/>
      </c>
      <c r="T17" s="28">
        <f>IF(ROW()-3&lt;=計算用!$Q$11,ROW()-3,"")</f>
        <v/>
      </c>
      <c r="U17" s="28">
        <f>IF($T17="","",INDEX(計算用!$AC$2:$AC$51,$T17))</f>
        <v/>
      </c>
      <c r="V17" s="28">
        <f>IF($T17="","","赤"&amp;INDEX(計算用!$AF$2:$AF$51,$T17)&amp;"白"&amp;INDEX(計算用!$AG$2:$AG$51,$T17))</f>
        <v/>
      </c>
      <c r="W17">
        <f>IF($T17="","",IFERROR(INDEX(計算用!$D$2:$D$186,MATCH("女"&amp;$T17&amp;"-1",計算用!$AN$2:$AN$186,0)),""))</f>
        <v/>
      </c>
      <c r="X17" s="28">
        <f>IF($T17="","",IFERROR(INDEX(計算用!$M$2:$M$186,MATCH("女"&amp;$T17&amp;"-1",計算用!$AN$2:$AN$186,0)),""))</f>
        <v/>
      </c>
      <c r="Y17" s="28">
        <f>IF($T17="","",IFERROR(INDEX(計算用!$I$2:$I$186,MATCH("女"&amp;$T17&amp;"-1",計算用!$AN$2:$AN$186,0)),""))</f>
        <v/>
      </c>
      <c r="Z17">
        <f>IF($T17="","",IFERROR(INDEX(計算用!$D$2:$D$186,MATCH("女"&amp;$T17&amp;"-2",計算用!$AN$2:$AN$186,0)),""))</f>
        <v/>
      </c>
      <c r="AA17" s="28">
        <f>IF($T17="","",IFERROR(INDEX(計算用!$M$2:$M$186,MATCH("女"&amp;$T17&amp;"-2",計算用!$AN$2:$AN$186,0)),""))</f>
        <v/>
      </c>
      <c r="AB17" s="28">
        <f>IF($T17="","",IFERROR(INDEX(計算用!$I$2:$I$186,MATCH("女"&amp;$T17&amp;"-2",計算用!$AN$2:$AN$186,0)),""))</f>
        <v/>
      </c>
      <c r="AC17">
        <f>IF($T17="","",IFERROR(INDEX(計算用!$D$2:$D$186,MATCH("女"&amp;$T17&amp;"-3",計算用!$AN$2:$AN$186,0)),""))</f>
        <v/>
      </c>
      <c r="AD17" s="28">
        <f>IF($T17="","",IFERROR(INDEX(計算用!$M$2:$M$186,MATCH("女"&amp;$T17&amp;"-3",計算用!$AN$2:$AN$186,0)),""))</f>
        <v/>
      </c>
      <c r="AE17" s="28">
        <f>IF($T17="","",IFERROR(INDEX(計算用!$I$2:$I$186,MATCH("女"&amp;$T17&amp;"-3",計算用!$AN$2:$AN$186,0)),""))</f>
        <v/>
      </c>
      <c r="AF17">
        <f>IF($T17="","",IFERROR(INDEX(計算用!$D$2:$D$186,MATCH("女"&amp;$T17&amp;"-4",計算用!$AN$2:$AN$186,0)),""))</f>
        <v/>
      </c>
      <c r="AG17" s="28">
        <f>IF($T17="","",IFERROR(INDEX(計算用!$M$2:$M$186,MATCH("女"&amp;$T17&amp;"-4",計算用!$AN$2:$AN$186,0)),""))</f>
        <v/>
      </c>
      <c r="AH17" s="28">
        <f>IF($T17="","",IFERROR(INDEX(計算用!$I$2:$I$186,MATCH("女"&amp;$T17&amp;"-4",計算用!$AN$2:$AN$186,0)),""))</f>
        <v/>
      </c>
      <c r="AI17">
        <f>IF($T17="","",IFERROR(INDEX(計算用!$D$2:$D$186,MATCH("女"&amp;$T17&amp;"-5",計算用!$AN$2:$AN$186,0)),""))</f>
        <v/>
      </c>
      <c r="AJ17" s="28">
        <f>IF($T17="","",IFERROR(INDEX(計算用!$M$2:$M$186,MATCH("女"&amp;$T17&amp;"-5",計算用!$AN$2:$AN$186,0)),""))</f>
        <v/>
      </c>
      <c r="AK17" s="28">
        <f>IF($T17="","",IFERROR(INDEX(計算用!$I$2:$I$186,MATCH("女"&amp;$T17&amp;"-5",計算用!$AN$2:$AN$186,0)),""))</f>
        <v/>
      </c>
    </row>
    <row r="18">
      <c r="A18" s="28">
        <f>IF(ROW()-3&lt;=計算用!$Q$9,ROW()-3,"")</f>
        <v/>
      </c>
      <c r="B18" s="28">
        <f>IF($A18="","",INDEX(計算用!$T$2:$T$51,$A18))</f>
        <v/>
      </c>
      <c r="C18" s="28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8">
        <f>IF($A18="","",IFERROR(INDEX(計算用!$M$2:$M$186,MATCH("男"&amp;$A18&amp;"-1",計算用!$AN$2:$AN$186,0)),""))</f>
        <v/>
      </c>
      <c r="F18" s="28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8">
        <f>IF($A18="","",IFERROR(INDEX(計算用!$M$2:$M$186,MATCH("男"&amp;$A18&amp;"-2",計算用!$AN$2:$AN$186,0)),""))</f>
        <v/>
      </c>
      <c r="I18" s="28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8">
        <f>IF($A18="","",IFERROR(INDEX(計算用!$M$2:$M$186,MATCH("男"&amp;$A18&amp;"-3",計算用!$AN$2:$AN$186,0)),""))</f>
        <v/>
      </c>
      <c r="L18" s="28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8">
        <f>IF($A18="","",IFERROR(INDEX(計算用!$M$2:$M$186,MATCH("男"&amp;$A18&amp;"-4",計算用!$AN$2:$AN$186,0)),""))</f>
        <v/>
      </c>
      <c r="O18" s="28">
        <f>IF($A18="","",IFERROR(INDEX(計算用!$I$2:$I$186,MATCH("男"&amp;$A18&amp;"-4",計算用!$AN$2:$AN$186,0)),""))</f>
        <v/>
      </c>
      <c r="P18">
        <f>IF($A18="","",IFERROR(INDEX(計算用!$D$2:$D$186,MATCH("男"&amp;$A18&amp;"-5",計算用!$AN$2:$AN$186,0)),""))</f>
        <v/>
      </c>
      <c r="Q18" s="28">
        <f>IF($A18="","",IFERROR(INDEX(計算用!$M$2:$M$186,MATCH("男"&amp;$A18&amp;"-5",計算用!$AN$2:$AN$186,0)),""))</f>
        <v/>
      </c>
      <c r="R18" s="28">
        <f>IF($A18="","",IFERROR(INDEX(計算用!$I$2:$I$186,MATCH("男"&amp;$A18&amp;"-5",計算用!$AN$2:$AN$186,0)),""))</f>
        <v/>
      </c>
      <c r="T18" s="28">
        <f>IF(ROW()-3&lt;=計算用!$Q$11,ROW()-3,"")</f>
        <v/>
      </c>
      <c r="U18" s="28">
        <f>IF($T18="","",INDEX(計算用!$AC$2:$AC$51,$T18))</f>
        <v/>
      </c>
      <c r="V18" s="28">
        <f>IF($T18="","","赤"&amp;INDEX(計算用!$AF$2:$AF$51,$T18)&amp;"白"&amp;INDEX(計算用!$AG$2:$AG$51,$T18))</f>
        <v/>
      </c>
      <c r="W18">
        <f>IF($T18="","",IFERROR(INDEX(計算用!$D$2:$D$186,MATCH("女"&amp;$T18&amp;"-1",計算用!$AN$2:$AN$186,0)),""))</f>
        <v/>
      </c>
      <c r="X18" s="28">
        <f>IF($T18="","",IFERROR(INDEX(計算用!$M$2:$M$186,MATCH("女"&amp;$T18&amp;"-1",計算用!$AN$2:$AN$186,0)),""))</f>
        <v/>
      </c>
      <c r="Y18" s="28">
        <f>IF($T18="","",IFERROR(INDEX(計算用!$I$2:$I$186,MATCH("女"&amp;$T18&amp;"-1",計算用!$AN$2:$AN$186,0)),""))</f>
        <v/>
      </c>
      <c r="Z18">
        <f>IF($T18="","",IFERROR(INDEX(計算用!$D$2:$D$186,MATCH("女"&amp;$T18&amp;"-2",計算用!$AN$2:$AN$186,0)),""))</f>
        <v/>
      </c>
      <c r="AA18" s="28">
        <f>IF($T18="","",IFERROR(INDEX(計算用!$M$2:$M$186,MATCH("女"&amp;$T18&amp;"-2",計算用!$AN$2:$AN$186,0)),""))</f>
        <v/>
      </c>
      <c r="AB18" s="28">
        <f>IF($T18="","",IFERROR(INDEX(計算用!$I$2:$I$186,MATCH("女"&amp;$T18&amp;"-2",計算用!$AN$2:$AN$186,0)),""))</f>
        <v/>
      </c>
      <c r="AC18">
        <f>IF($T18="","",IFERROR(INDEX(計算用!$D$2:$D$186,MATCH("女"&amp;$T18&amp;"-3",計算用!$AN$2:$AN$186,0)),""))</f>
        <v/>
      </c>
      <c r="AD18" s="28">
        <f>IF($T18="","",IFERROR(INDEX(計算用!$M$2:$M$186,MATCH("女"&amp;$T18&amp;"-3",計算用!$AN$2:$AN$186,0)),""))</f>
        <v/>
      </c>
      <c r="AE18" s="28">
        <f>IF($T18="","",IFERROR(INDEX(計算用!$I$2:$I$186,MATCH("女"&amp;$T18&amp;"-3",計算用!$AN$2:$AN$186,0)),""))</f>
        <v/>
      </c>
      <c r="AF18">
        <f>IF($T18="","",IFERROR(INDEX(計算用!$D$2:$D$186,MATCH("女"&amp;$T18&amp;"-4",計算用!$AN$2:$AN$186,0)),""))</f>
        <v/>
      </c>
      <c r="AG18" s="28">
        <f>IF($T18="","",IFERROR(INDEX(計算用!$M$2:$M$186,MATCH("女"&amp;$T18&amp;"-4",計算用!$AN$2:$AN$186,0)),""))</f>
        <v/>
      </c>
      <c r="AH18" s="28">
        <f>IF($T18="","",IFERROR(INDEX(計算用!$I$2:$I$186,MATCH("女"&amp;$T18&amp;"-4",計算用!$AN$2:$AN$186,0)),""))</f>
        <v/>
      </c>
      <c r="AI18">
        <f>IF($T18="","",IFERROR(INDEX(計算用!$D$2:$D$186,MATCH("女"&amp;$T18&amp;"-5",計算用!$AN$2:$AN$186,0)),""))</f>
        <v/>
      </c>
      <c r="AJ18" s="28">
        <f>IF($T18="","",IFERROR(INDEX(計算用!$M$2:$M$186,MATCH("女"&amp;$T18&amp;"-5",計算用!$AN$2:$AN$186,0)),""))</f>
        <v/>
      </c>
      <c r="AK18" s="28">
        <f>IF($T18="","",IFERROR(INDEX(計算用!$I$2:$I$186,MATCH("女"&amp;$T18&amp;"-5",計算用!$AN$2:$AN$186,0)),""))</f>
        <v/>
      </c>
    </row>
    <row r="19">
      <c r="A19" s="28">
        <f>IF(ROW()-3&lt;=計算用!$Q$9,ROW()-3,"")</f>
        <v/>
      </c>
      <c r="B19" s="28">
        <f>IF($A19="","",INDEX(計算用!$T$2:$T$51,$A19))</f>
        <v/>
      </c>
      <c r="C19" s="28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8">
        <f>IF($A19="","",IFERROR(INDEX(計算用!$M$2:$M$186,MATCH("男"&amp;$A19&amp;"-1",計算用!$AN$2:$AN$186,0)),""))</f>
        <v/>
      </c>
      <c r="F19" s="28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8">
        <f>IF($A19="","",IFERROR(INDEX(計算用!$M$2:$M$186,MATCH("男"&amp;$A19&amp;"-2",計算用!$AN$2:$AN$186,0)),""))</f>
        <v/>
      </c>
      <c r="I19" s="28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8">
        <f>IF($A19="","",IFERROR(INDEX(計算用!$M$2:$M$186,MATCH("男"&amp;$A19&amp;"-3",計算用!$AN$2:$AN$186,0)),""))</f>
        <v/>
      </c>
      <c r="L19" s="28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8">
        <f>IF($A19="","",IFERROR(INDEX(計算用!$M$2:$M$186,MATCH("男"&amp;$A19&amp;"-4",計算用!$AN$2:$AN$186,0)),""))</f>
        <v/>
      </c>
      <c r="O19" s="28">
        <f>IF($A19="","",IFERROR(INDEX(計算用!$I$2:$I$186,MATCH("男"&amp;$A19&amp;"-4",計算用!$AN$2:$AN$186,0)),""))</f>
        <v/>
      </c>
      <c r="P19">
        <f>IF($A19="","",IFERROR(INDEX(計算用!$D$2:$D$186,MATCH("男"&amp;$A19&amp;"-5",計算用!$AN$2:$AN$186,0)),""))</f>
        <v/>
      </c>
      <c r="Q19" s="28">
        <f>IF($A19="","",IFERROR(INDEX(計算用!$M$2:$M$186,MATCH("男"&amp;$A19&amp;"-5",計算用!$AN$2:$AN$186,0)),""))</f>
        <v/>
      </c>
      <c r="R19" s="28">
        <f>IF($A19="","",IFERROR(INDEX(計算用!$I$2:$I$186,MATCH("男"&amp;$A19&amp;"-5",計算用!$AN$2:$AN$186,0)),""))</f>
        <v/>
      </c>
      <c r="T19" s="28">
        <f>IF(ROW()-3&lt;=計算用!$Q$11,ROW()-3,"")</f>
        <v/>
      </c>
      <c r="U19" s="28">
        <f>IF($T19="","",INDEX(計算用!$AC$2:$AC$51,$T19))</f>
        <v/>
      </c>
      <c r="V19" s="28">
        <f>IF($T19="","","赤"&amp;INDEX(計算用!$AF$2:$AF$51,$T19)&amp;"白"&amp;INDEX(計算用!$AG$2:$AG$51,$T19))</f>
        <v/>
      </c>
      <c r="W19">
        <f>IF($T19="","",IFERROR(INDEX(計算用!$D$2:$D$186,MATCH("女"&amp;$T19&amp;"-1",計算用!$AN$2:$AN$186,0)),""))</f>
        <v/>
      </c>
      <c r="X19" s="28">
        <f>IF($T19="","",IFERROR(INDEX(計算用!$M$2:$M$186,MATCH("女"&amp;$T19&amp;"-1",計算用!$AN$2:$AN$186,0)),""))</f>
        <v/>
      </c>
      <c r="Y19" s="28">
        <f>IF($T19="","",IFERROR(INDEX(計算用!$I$2:$I$186,MATCH("女"&amp;$T19&amp;"-1",計算用!$AN$2:$AN$186,0)),""))</f>
        <v/>
      </c>
      <c r="Z19">
        <f>IF($T19="","",IFERROR(INDEX(計算用!$D$2:$D$186,MATCH("女"&amp;$T19&amp;"-2",計算用!$AN$2:$AN$186,0)),""))</f>
        <v/>
      </c>
      <c r="AA19" s="28">
        <f>IF($T19="","",IFERROR(INDEX(計算用!$M$2:$M$186,MATCH("女"&amp;$T19&amp;"-2",計算用!$AN$2:$AN$186,0)),""))</f>
        <v/>
      </c>
      <c r="AB19" s="28">
        <f>IF($T19="","",IFERROR(INDEX(計算用!$I$2:$I$186,MATCH("女"&amp;$T19&amp;"-2",計算用!$AN$2:$AN$186,0)),""))</f>
        <v/>
      </c>
      <c r="AC19">
        <f>IF($T19="","",IFERROR(INDEX(計算用!$D$2:$D$186,MATCH("女"&amp;$T19&amp;"-3",計算用!$AN$2:$AN$186,0)),""))</f>
        <v/>
      </c>
      <c r="AD19" s="28">
        <f>IF($T19="","",IFERROR(INDEX(計算用!$M$2:$M$186,MATCH("女"&amp;$T19&amp;"-3",計算用!$AN$2:$AN$186,0)),""))</f>
        <v/>
      </c>
      <c r="AE19" s="28">
        <f>IF($T19="","",IFERROR(INDEX(計算用!$I$2:$I$186,MATCH("女"&amp;$T19&amp;"-3",計算用!$AN$2:$AN$186,0)),""))</f>
        <v/>
      </c>
      <c r="AF19">
        <f>IF($T19="","",IFERROR(INDEX(計算用!$D$2:$D$186,MATCH("女"&amp;$T19&amp;"-4",計算用!$AN$2:$AN$186,0)),""))</f>
        <v/>
      </c>
      <c r="AG19" s="28">
        <f>IF($T19="","",IFERROR(INDEX(計算用!$M$2:$M$186,MATCH("女"&amp;$T19&amp;"-4",計算用!$AN$2:$AN$186,0)),""))</f>
        <v/>
      </c>
      <c r="AH19" s="28">
        <f>IF($T19="","",IFERROR(INDEX(計算用!$I$2:$I$186,MATCH("女"&amp;$T19&amp;"-4",計算用!$AN$2:$AN$186,0)),""))</f>
        <v/>
      </c>
      <c r="AI19">
        <f>IF($T19="","",IFERROR(INDEX(計算用!$D$2:$D$186,MATCH("女"&amp;$T19&amp;"-5",計算用!$AN$2:$AN$186,0)),""))</f>
        <v/>
      </c>
      <c r="AJ19" s="28">
        <f>IF($T19="","",IFERROR(INDEX(計算用!$M$2:$M$186,MATCH("女"&amp;$T19&amp;"-5",計算用!$AN$2:$AN$186,0)),""))</f>
        <v/>
      </c>
      <c r="AK19" s="28">
        <f>IF($T19="","",IFERROR(INDEX(計算用!$I$2:$I$186,MATCH("女"&amp;$T19&amp;"-5",計算用!$AN$2:$AN$186,0)),""))</f>
        <v/>
      </c>
    </row>
    <row r="20">
      <c r="A20" s="28">
        <f>IF(ROW()-3&lt;=計算用!$Q$9,ROW()-3,"")</f>
        <v/>
      </c>
      <c r="B20" s="28">
        <f>IF($A20="","",INDEX(計算用!$T$2:$T$51,$A20))</f>
        <v/>
      </c>
      <c r="C20" s="28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8">
        <f>IF($A20="","",IFERROR(INDEX(計算用!$M$2:$M$186,MATCH("男"&amp;$A20&amp;"-1",計算用!$AN$2:$AN$186,0)),""))</f>
        <v/>
      </c>
      <c r="F20" s="28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8">
        <f>IF($A20="","",IFERROR(INDEX(計算用!$M$2:$M$186,MATCH("男"&amp;$A20&amp;"-2",計算用!$AN$2:$AN$186,0)),""))</f>
        <v/>
      </c>
      <c r="I20" s="28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8">
        <f>IF($A20="","",IFERROR(INDEX(計算用!$M$2:$M$186,MATCH("男"&amp;$A20&amp;"-3",計算用!$AN$2:$AN$186,0)),""))</f>
        <v/>
      </c>
      <c r="L20" s="28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8">
        <f>IF($A20="","",IFERROR(INDEX(計算用!$M$2:$M$186,MATCH("男"&amp;$A20&amp;"-4",計算用!$AN$2:$AN$186,0)),""))</f>
        <v/>
      </c>
      <c r="O20" s="28">
        <f>IF($A20="","",IFERROR(INDEX(計算用!$I$2:$I$186,MATCH("男"&amp;$A20&amp;"-4",計算用!$AN$2:$AN$186,0)),""))</f>
        <v/>
      </c>
      <c r="P20">
        <f>IF($A20="","",IFERROR(INDEX(計算用!$D$2:$D$186,MATCH("男"&amp;$A20&amp;"-5",計算用!$AN$2:$AN$186,0)),""))</f>
        <v/>
      </c>
      <c r="Q20" s="28">
        <f>IF($A20="","",IFERROR(INDEX(計算用!$M$2:$M$186,MATCH("男"&amp;$A20&amp;"-5",計算用!$AN$2:$AN$186,0)),""))</f>
        <v/>
      </c>
      <c r="R20" s="28">
        <f>IF($A20="","",IFERROR(INDEX(計算用!$I$2:$I$186,MATCH("男"&amp;$A20&amp;"-5",計算用!$AN$2:$AN$186,0)),""))</f>
        <v/>
      </c>
      <c r="T20" s="28">
        <f>IF(ROW()-3&lt;=計算用!$Q$11,ROW()-3,"")</f>
        <v/>
      </c>
      <c r="U20" s="28">
        <f>IF($T20="","",INDEX(計算用!$AC$2:$AC$51,$T20))</f>
        <v/>
      </c>
      <c r="V20" s="28">
        <f>IF($T20="","","赤"&amp;INDEX(計算用!$AF$2:$AF$51,$T20)&amp;"白"&amp;INDEX(計算用!$AG$2:$AG$51,$T20))</f>
        <v/>
      </c>
      <c r="W20">
        <f>IF($T20="","",IFERROR(INDEX(計算用!$D$2:$D$186,MATCH("女"&amp;$T20&amp;"-1",計算用!$AN$2:$AN$186,0)),""))</f>
        <v/>
      </c>
      <c r="X20" s="28">
        <f>IF($T20="","",IFERROR(INDEX(計算用!$M$2:$M$186,MATCH("女"&amp;$T20&amp;"-1",計算用!$AN$2:$AN$186,0)),""))</f>
        <v/>
      </c>
      <c r="Y20" s="28">
        <f>IF($T20="","",IFERROR(INDEX(計算用!$I$2:$I$186,MATCH("女"&amp;$T20&amp;"-1",計算用!$AN$2:$AN$186,0)),""))</f>
        <v/>
      </c>
      <c r="Z20">
        <f>IF($T20="","",IFERROR(INDEX(計算用!$D$2:$D$186,MATCH("女"&amp;$T20&amp;"-2",計算用!$AN$2:$AN$186,0)),""))</f>
        <v/>
      </c>
      <c r="AA20" s="28">
        <f>IF($T20="","",IFERROR(INDEX(計算用!$M$2:$M$186,MATCH("女"&amp;$T20&amp;"-2",計算用!$AN$2:$AN$186,0)),""))</f>
        <v/>
      </c>
      <c r="AB20" s="28">
        <f>IF($T20="","",IFERROR(INDEX(計算用!$I$2:$I$186,MATCH("女"&amp;$T20&amp;"-2",計算用!$AN$2:$AN$186,0)),""))</f>
        <v/>
      </c>
      <c r="AC20">
        <f>IF($T20="","",IFERROR(INDEX(計算用!$D$2:$D$186,MATCH("女"&amp;$T20&amp;"-3",計算用!$AN$2:$AN$186,0)),""))</f>
        <v/>
      </c>
      <c r="AD20" s="28">
        <f>IF($T20="","",IFERROR(INDEX(計算用!$M$2:$M$186,MATCH("女"&amp;$T20&amp;"-3",計算用!$AN$2:$AN$186,0)),""))</f>
        <v/>
      </c>
      <c r="AE20" s="28">
        <f>IF($T20="","",IFERROR(INDEX(計算用!$I$2:$I$186,MATCH("女"&amp;$T20&amp;"-3",計算用!$AN$2:$AN$186,0)),""))</f>
        <v/>
      </c>
      <c r="AF20">
        <f>IF($T20="","",IFERROR(INDEX(計算用!$D$2:$D$186,MATCH("女"&amp;$T20&amp;"-4",計算用!$AN$2:$AN$186,0)),""))</f>
        <v/>
      </c>
      <c r="AG20" s="28">
        <f>IF($T20="","",IFERROR(INDEX(計算用!$M$2:$M$186,MATCH("女"&amp;$T20&amp;"-4",計算用!$AN$2:$AN$186,0)),""))</f>
        <v/>
      </c>
      <c r="AH20" s="28">
        <f>IF($T20="","",IFERROR(INDEX(計算用!$I$2:$I$186,MATCH("女"&amp;$T20&amp;"-4",計算用!$AN$2:$AN$186,0)),""))</f>
        <v/>
      </c>
      <c r="AI20">
        <f>IF($T20="","",IFERROR(INDEX(計算用!$D$2:$D$186,MATCH("女"&amp;$T20&amp;"-5",計算用!$AN$2:$AN$186,0)),""))</f>
        <v/>
      </c>
      <c r="AJ20" s="28">
        <f>IF($T20="","",IFERROR(INDEX(計算用!$M$2:$M$186,MATCH("女"&amp;$T20&amp;"-5",計算用!$AN$2:$AN$186,0)),""))</f>
        <v/>
      </c>
      <c r="AK20" s="28">
        <f>IF($T20="","",IFERROR(INDEX(計算用!$I$2:$I$186,MATCH("女"&amp;$T20&amp;"-5",計算用!$AN$2:$AN$186,0)),""))</f>
        <v/>
      </c>
    </row>
    <row r="21">
      <c r="A21" s="28">
        <f>IF(ROW()-3&lt;=計算用!$Q$9,ROW()-3,"")</f>
        <v/>
      </c>
      <c r="B21" s="28">
        <f>IF($A21="","",INDEX(計算用!$T$2:$T$51,$A21))</f>
        <v/>
      </c>
      <c r="C21" s="28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8">
        <f>IF($A21="","",IFERROR(INDEX(計算用!$M$2:$M$186,MATCH("男"&amp;$A21&amp;"-1",計算用!$AN$2:$AN$186,0)),""))</f>
        <v/>
      </c>
      <c r="F21" s="28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8">
        <f>IF($A21="","",IFERROR(INDEX(計算用!$M$2:$M$186,MATCH("男"&amp;$A21&amp;"-2",計算用!$AN$2:$AN$186,0)),""))</f>
        <v/>
      </c>
      <c r="I21" s="28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8">
        <f>IF($A21="","",IFERROR(INDEX(計算用!$M$2:$M$186,MATCH("男"&amp;$A21&amp;"-3",計算用!$AN$2:$AN$186,0)),""))</f>
        <v/>
      </c>
      <c r="L21" s="28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8">
        <f>IF($A21="","",IFERROR(INDEX(計算用!$M$2:$M$186,MATCH("男"&amp;$A21&amp;"-4",計算用!$AN$2:$AN$186,0)),""))</f>
        <v/>
      </c>
      <c r="O21" s="28">
        <f>IF($A21="","",IFERROR(INDEX(計算用!$I$2:$I$186,MATCH("男"&amp;$A21&amp;"-4",計算用!$AN$2:$AN$186,0)),""))</f>
        <v/>
      </c>
      <c r="P21">
        <f>IF($A21="","",IFERROR(INDEX(計算用!$D$2:$D$186,MATCH("男"&amp;$A21&amp;"-5",計算用!$AN$2:$AN$186,0)),""))</f>
        <v/>
      </c>
      <c r="Q21" s="28">
        <f>IF($A21="","",IFERROR(INDEX(計算用!$M$2:$M$186,MATCH("男"&amp;$A21&amp;"-5",計算用!$AN$2:$AN$186,0)),""))</f>
        <v/>
      </c>
      <c r="R21" s="28">
        <f>IF($A21="","",IFERROR(INDEX(計算用!$I$2:$I$186,MATCH("男"&amp;$A21&amp;"-5",計算用!$AN$2:$AN$186,0)),""))</f>
        <v/>
      </c>
      <c r="T21" s="28">
        <f>IF(ROW()-3&lt;=計算用!$Q$11,ROW()-3,"")</f>
        <v/>
      </c>
      <c r="U21" s="28">
        <f>IF($T21="","",INDEX(計算用!$AC$2:$AC$51,$T21))</f>
        <v/>
      </c>
      <c r="V21" s="28">
        <f>IF($T21="","","赤"&amp;INDEX(計算用!$AF$2:$AF$51,$T21)&amp;"白"&amp;INDEX(計算用!$AG$2:$AG$51,$T21))</f>
        <v/>
      </c>
      <c r="W21">
        <f>IF($T21="","",IFERROR(INDEX(計算用!$D$2:$D$186,MATCH("女"&amp;$T21&amp;"-1",計算用!$AN$2:$AN$186,0)),""))</f>
        <v/>
      </c>
      <c r="X21" s="28">
        <f>IF($T21="","",IFERROR(INDEX(計算用!$M$2:$M$186,MATCH("女"&amp;$T21&amp;"-1",計算用!$AN$2:$AN$186,0)),""))</f>
        <v/>
      </c>
      <c r="Y21" s="28">
        <f>IF($T21="","",IFERROR(INDEX(計算用!$I$2:$I$186,MATCH("女"&amp;$T21&amp;"-1",計算用!$AN$2:$AN$186,0)),""))</f>
        <v/>
      </c>
      <c r="Z21">
        <f>IF($T21="","",IFERROR(INDEX(計算用!$D$2:$D$186,MATCH("女"&amp;$T21&amp;"-2",計算用!$AN$2:$AN$186,0)),""))</f>
        <v/>
      </c>
      <c r="AA21" s="28">
        <f>IF($T21="","",IFERROR(INDEX(計算用!$M$2:$M$186,MATCH("女"&amp;$T21&amp;"-2",計算用!$AN$2:$AN$186,0)),""))</f>
        <v/>
      </c>
      <c r="AB21" s="28">
        <f>IF($T21="","",IFERROR(INDEX(計算用!$I$2:$I$186,MATCH("女"&amp;$T21&amp;"-2",計算用!$AN$2:$AN$186,0)),""))</f>
        <v/>
      </c>
      <c r="AC21">
        <f>IF($T21="","",IFERROR(INDEX(計算用!$D$2:$D$186,MATCH("女"&amp;$T21&amp;"-3",計算用!$AN$2:$AN$186,0)),""))</f>
        <v/>
      </c>
      <c r="AD21" s="28">
        <f>IF($T21="","",IFERROR(INDEX(計算用!$M$2:$M$186,MATCH("女"&amp;$T21&amp;"-3",計算用!$AN$2:$AN$186,0)),""))</f>
        <v/>
      </c>
      <c r="AE21" s="28">
        <f>IF($T21="","",IFERROR(INDEX(計算用!$I$2:$I$186,MATCH("女"&amp;$T21&amp;"-3",計算用!$AN$2:$AN$186,0)),""))</f>
        <v/>
      </c>
      <c r="AF21">
        <f>IF($T21="","",IFERROR(INDEX(計算用!$D$2:$D$186,MATCH("女"&amp;$T21&amp;"-4",計算用!$AN$2:$AN$186,0)),""))</f>
        <v/>
      </c>
      <c r="AG21" s="28">
        <f>IF($T21="","",IFERROR(INDEX(計算用!$M$2:$M$186,MATCH("女"&amp;$T21&amp;"-4",計算用!$AN$2:$AN$186,0)),""))</f>
        <v/>
      </c>
      <c r="AH21" s="28">
        <f>IF($T21="","",IFERROR(INDEX(計算用!$I$2:$I$186,MATCH("女"&amp;$T21&amp;"-4",計算用!$AN$2:$AN$186,0)),""))</f>
        <v/>
      </c>
      <c r="AI21">
        <f>IF($T21="","",IFERROR(INDEX(計算用!$D$2:$D$186,MATCH("女"&amp;$T21&amp;"-5",計算用!$AN$2:$AN$186,0)),""))</f>
        <v/>
      </c>
      <c r="AJ21" s="28">
        <f>IF($T21="","",IFERROR(INDEX(計算用!$M$2:$M$186,MATCH("女"&amp;$T21&amp;"-5",計算用!$AN$2:$AN$186,0)),""))</f>
        <v/>
      </c>
      <c r="AK21" s="28">
        <f>IF($T21="","",IFERROR(INDEX(計算用!$I$2:$I$186,MATCH("女"&amp;$T21&amp;"-5",計算用!$AN$2:$AN$186,0)),""))</f>
        <v/>
      </c>
    </row>
    <row r="22">
      <c r="A22" s="28">
        <f>IF(ROW()-3&lt;=計算用!$Q$9,ROW()-3,"")</f>
        <v/>
      </c>
      <c r="B22" s="28">
        <f>IF($A22="","",INDEX(計算用!$T$2:$T$51,$A22))</f>
        <v/>
      </c>
      <c r="C22" s="28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8">
        <f>IF($A22="","",IFERROR(INDEX(計算用!$M$2:$M$186,MATCH("男"&amp;$A22&amp;"-1",計算用!$AN$2:$AN$186,0)),""))</f>
        <v/>
      </c>
      <c r="F22" s="28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8">
        <f>IF($A22="","",IFERROR(INDEX(計算用!$M$2:$M$186,MATCH("男"&amp;$A22&amp;"-2",計算用!$AN$2:$AN$186,0)),""))</f>
        <v/>
      </c>
      <c r="I22" s="28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8">
        <f>IF($A22="","",IFERROR(INDEX(計算用!$M$2:$M$186,MATCH("男"&amp;$A22&amp;"-3",計算用!$AN$2:$AN$186,0)),""))</f>
        <v/>
      </c>
      <c r="L22" s="28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8">
        <f>IF($A22="","",IFERROR(INDEX(計算用!$M$2:$M$186,MATCH("男"&amp;$A22&amp;"-4",計算用!$AN$2:$AN$186,0)),""))</f>
        <v/>
      </c>
      <c r="O22" s="28">
        <f>IF($A22="","",IFERROR(INDEX(計算用!$I$2:$I$186,MATCH("男"&amp;$A22&amp;"-4",計算用!$AN$2:$AN$186,0)),""))</f>
        <v/>
      </c>
      <c r="P22">
        <f>IF($A22="","",IFERROR(INDEX(計算用!$D$2:$D$186,MATCH("男"&amp;$A22&amp;"-5",計算用!$AN$2:$AN$186,0)),""))</f>
        <v/>
      </c>
      <c r="Q22" s="28">
        <f>IF($A22="","",IFERROR(INDEX(計算用!$M$2:$M$186,MATCH("男"&amp;$A22&amp;"-5",計算用!$AN$2:$AN$186,0)),""))</f>
        <v/>
      </c>
      <c r="R22" s="28">
        <f>IF($A22="","",IFERROR(INDEX(計算用!$I$2:$I$186,MATCH("男"&amp;$A22&amp;"-5",計算用!$AN$2:$AN$186,0)),""))</f>
        <v/>
      </c>
      <c r="T22" s="28">
        <f>IF(ROW()-3&lt;=計算用!$Q$11,ROW()-3,"")</f>
        <v/>
      </c>
      <c r="U22" s="28">
        <f>IF($T22="","",INDEX(計算用!$AC$2:$AC$51,$T22))</f>
        <v/>
      </c>
      <c r="V22" s="28">
        <f>IF($T22="","","赤"&amp;INDEX(計算用!$AF$2:$AF$51,$T22)&amp;"白"&amp;INDEX(計算用!$AG$2:$AG$51,$T22))</f>
        <v/>
      </c>
      <c r="W22">
        <f>IF($T22="","",IFERROR(INDEX(計算用!$D$2:$D$186,MATCH("女"&amp;$T22&amp;"-1",計算用!$AN$2:$AN$186,0)),""))</f>
        <v/>
      </c>
      <c r="X22" s="28">
        <f>IF($T22="","",IFERROR(INDEX(計算用!$M$2:$M$186,MATCH("女"&amp;$T22&amp;"-1",計算用!$AN$2:$AN$186,0)),""))</f>
        <v/>
      </c>
      <c r="Y22" s="28">
        <f>IF($T22="","",IFERROR(INDEX(計算用!$I$2:$I$186,MATCH("女"&amp;$T22&amp;"-1",計算用!$AN$2:$AN$186,0)),""))</f>
        <v/>
      </c>
      <c r="Z22">
        <f>IF($T22="","",IFERROR(INDEX(計算用!$D$2:$D$186,MATCH("女"&amp;$T22&amp;"-2",計算用!$AN$2:$AN$186,0)),""))</f>
        <v/>
      </c>
      <c r="AA22" s="28">
        <f>IF($T22="","",IFERROR(INDEX(計算用!$M$2:$M$186,MATCH("女"&amp;$T22&amp;"-2",計算用!$AN$2:$AN$186,0)),""))</f>
        <v/>
      </c>
      <c r="AB22" s="28">
        <f>IF($T22="","",IFERROR(INDEX(計算用!$I$2:$I$186,MATCH("女"&amp;$T22&amp;"-2",計算用!$AN$2:$AN$186,0)),""))</f>
        <v/>
      </c>
      <c r="AC22">
        <f>IF($T22="","",IFERROR(INDEX(計算用!$D$2:$D$186,MATCH("女"&amp;$T22&amp;"-3",計算用!$AN$2:$AN$186,0)),""))</f>
        <v/>
      </c>
      <c r="AD22" s="28">
        <f>IF($T22="","",IFERROR(INDEX(計算用!$M$2:$M$186,MATCH("女"&amp;$T22&amp;"-3",計算用!$AN$2:$AN$186,0)),""))</f>
        <v/>
      </c>
      <c r="AE22" s="28">
        <f>IF($T22="","",IFERROR(INDEX(計算用!$I$2:$I$186,MATCH("女"&amp;$T22&amp;"-3",計算用!$AN$2:$AN$186,0)),""))</f>
        <v/>
      </c>
      <c r="AF22">
        <f>IF($T22="","",IFERROR(INDEX(計算用!$D$2:$D$186,MATCH("女"&amp;$T22&amp;"-4",計算用!$AN$2:$AN$186,0)),""))</f>
        <v/>
      </c>
      <c r="AG22" s="28">
        <f>IF($T22="","",IFERROR(INDEX(計算用!$M$2:$M$186,MATCH("女"&amp;$T22&amp;"-4",計算用!$AN$2:$AN$186,0)),""))</f>
        <v/>
      </c>
      <c r="AH22" s="28">
        <f>IF($T22="","",IFERROR(INDEX(計算用!$I$2:$I$186,MATCH("女"&amp;$T22&amp;"-4",計算用!$AN$2:$AN$186,0)),""))</f>
        <v/>
      </c>
      <c r="AI22">
        <f>IF($T22="","",IFERROR(INDEX(計算用!$D$2:$D$186,MATCH("女"&amp;$T22&amp;"-5",計算用!$AN$2:$AN$186,0)),""))</f>
        <v/>
      </c>
      <c r="AJ22" s="28">
        <f>IF($T22="","",IFERROR(INDEX(計算用!$M$2:$M$186,MATCH("女"&amp;$T22&amp;"-5",計算用!$AN$2:$AN$186,0)),""))</f>
        <v/>
      </c>
      <c r="AK22" s="28">
        <f>IF($T22="","",IFERROR(INDEX(計算用!$I$2:$I$186,MATCH("女"&amp;$T22&amp;"-5",計算用!$AN$2:$AN$186,0)),""))</f>
        <v/>
      </c>
    </row>
    <row r="23">
      <c r="A23" s="28">
        <f>IF(ROW()-3&lt;=計算用!$Q$9,ROW()-3,"")</f>
        <v/>
      </c>
      <c r="B23" s="28">
        <f>IF($A23="","",INDEX(計算用!$T$2:$T$51,$A23))</f>
        <v/>
      </c>
      <c r="C23" s="28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8">
        <f>IF($A23="","",IFERROR(INDEX(計算用!$M$2:$M$186,MATCH("男"&amp;$A23&amp;"-1",計算用!$AN$2:$AN$186,0)),""))</f>
        <v/>
      </c>
      <c r="F23" s="28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8">
        <f>IF($A23="","",IFERROR(INDEX(計算用!$M$2:$M$186,MATCH("男"&amp;$A23&amp;"-2",計算用!$AN$2:$AN$186,0)),""))</f>
        <v/>
      </c>
      <c r="I23" s="28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8">
        <f>IF($A23="","",IFERROR(INDEX(計算用!$M$2:$M$186,MATCH("男"&amp;$A23&amp;"-3",計算用!$AN$2:$AN$186,0)),""))</f>
        <v/>
      </c>
      <c r="L23" s="28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8">
        <f>IF($A23="","",IFERROR(INDEX(計算用!$M$2:$M$186,MATCH("男"&amp;$A23&amp;"-4",計算用!$AN$2:$AN$186,0)),""))</f>
        <v/>
      </c>
      <c r="O23" s="28">
        <f>IF($A23="","",IFERROR(INDEX(計算用!$I$2:$I$186,MATCH("男"&amp;$A23&amp;"-4",計算用!$AN$2:$AN$186,0)),""))</f>
        <v/>
      </c>
      <c r="P23">
        <f>IF($A23="","",IFERROR(INDEX(計算用!$D$2:$D$186,MATCH("男"&amp;$A23&amp;"-5",計算用!$AN$2:$AN$186,0)),""))</f>
        <v/>
      </c>
      <c r="Q23" s="28">
        <f>IF($A23="","",IFERROR(INDEX(計算用!$M$2:$M$186,MATCH("男"&amp;$A23&amp;"-5",計算用!$AN$2:$AN$186,0)),""))</f>
        <v/>
      </c>
      <c r="R23" s="28">
        <f>IF($A23="","",IFERROR(INDEX(計算用!$I$2:$I$186,MATCH("男"&amp;$A23&amp;"-5",計算用!$AN$2:$AN$186,0)),""))</f>
        <v/>
      </c>
      <c r="T23" s="28">
        <f>IF(ROW()-3&lt;=計算用!$Q$11,ROW()-3,"")</f>
        <v/>
      </c>
      <c r="U23" s="28">
        <f>IF($T23="","",INDEX(計算用!$AC$2:$AC$51,$T23))</f>
        <v/>
      </c>
      <c r="V23" s="28">
        <f>IF($T23="","","赤"&amp;INDEX(計算用!$AF$2:$AF$51,$T23)&amp;"白"&amp;INDEX(計算用!$AG$2:$AG$51,$T23))</f>
        <v/>
      </c>
      <c r="W23">
        <f>IF($T23="","",IFERROR(INDEX(計算用!$D$2:$D$186,MATCH("女"&amp;$T23&amp;"-1",計算用!$AN$2:$AN$186,0)),""))</f>
        <v/>
      </c>
      <c r="X23" s="28">
        <f>IF($T23="","",IFERROR(INDEX(計算用!$M$2:$M$186,MATCH("女"&amp;$T23&amp;"-1",計算用!$AN$2:$AN$186,0)),""))</f>
        <v/>
      </c>
      <c r="Y23" s="28">
        <f>IF($T23="","",IFERROR(INDEX(計算用!$I$2:$I$186,MATCH("女"&amp;$T23&amp;"-1",計算用!$AN$2:$AN$186,0)),""))</f>
        <v/>
      </c>
      <c r="Z23">
        <f>IF($T23="","",IFERROR(INDEX(計算用!$D$2:$D$186,MATCH("女"&amp;$T23&amp;"-2",計算用!$AN$2:$AN$186,0)),""))</f>
        <v/>
      </c>
      <c r="AA23" s="28">
        <f>IF($T23="","",IFERROR(INDEX(計算用!$M$2:$M$186,MATCH("女"&amp;$T23&amp;"-2",計算用!$AN$2:$AN$186,0)),""))</f>
        <v/>
      </c>
      <c r="AB23" s="28">
        <f>IF($T23="","",IFERROR(INDEX(計算用!$I$2:$I$186,MATCH("女"&amp;$T23&amp;"-2",計算用!$AN$2:$AN$186,0)),""))</f>
        <v/>
      </c>
      <c r="AC23">
        <f>IF($T23="","",IFERROR(INDEX(計算用!$D$2:$D$186,MATCH("女"&amp;$T23&amp;"-3",計算用!$AN$2:$AN$186,0)),""))</f>
        <v/>
      </c>
      <c r="AD23" s="28">
        <f>IF($T23="","",IFERROR(INDEX(計算用!$M$2:$M$186,MATCH("女"&amp;$T23&amp;"-3",計算用!$AN$2:$AN$186,0)),""))</f>
        <v/>
      </c>
      <c r="AE23" s="28">
        <f>IF($T23="","",IFERROR(INDEX(計算用!$I$2:$I$186,MATCH("女"&amp;$T23&amp;"-3",計算用!$AN$2:$AN$186,0)),""))</f>
        <v/>
      </c>
      <c r="AF23">
        <f>IF($T23="","",IFERROR(INDEX(計算用!$D$2:$D$186,MATCH("女"&amp;$T23&amp;"-4",計算用!$AN$2:$AN$186,0)),""))</f>
        <v/>
      </c>
      <c r="AG23" s="28">
        <f>IF($T23="","",IFERROR(INDEX(計算用!$M$2:$M$186,MATCH("女"&amp;$T23&amp;"-4",計算用!$AN$2:$AN$186,0)),""))</f>
        <v/>
      </c>
      <c r="AH23" s="28">
        <f>IF($T23="","",IFERROR(INDEX(計算用!$I$2:$I$186,MATCH("女"&amp;$T23&amp;"-4",計算用!$AN$2:$AN$186,0)),""))</f>
        <v/>
      </c>
      <c r="AI23">
        <f>IF($T23="","",IFERROR(INDEX(計算用!$D$2:$D$186,MATCH("女"&amp;$T23&amp;"-5",計算用!$AN$2:$AN$186,0)),""))</f>
        <v/>
      </c>
      <c r="AJ23" s="28">
        <f>IF($T23="","",IFERROR(INDEX(計算用!$M$2:$M$186,MATCH("女"&amp;$T23&amp;"-5",計算用!$AN$2:$AN$186,0)),""))</f>
        <v/>
      </c>
      <c r="AK23" s="28">
        <f>IF($T23="","",IFERROR(INDEX(計算用!$I$2:$I$186,MATCH("女"&amp;$T23&amp;"-5",計算用!$AN$2:$AN$186,0)),""))</f>
        <v/>
      </c>
    </row>
    <row r="24">
      <c r="A24" s="28">
        <f>IF(ROW()-3&lt;=計算用!$Q$9,ROW()-3,"")</f>
        <v/>
      </c>
      <c r="B24" s="28">
        <f>IF($A24="","",INDEX(計算用!$T$2:$T$51,$A24))</f>
        <v/>
      </c>
      <c r="C24" s="28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8">
        <f>IF($A24="","",IFERROR(INDEX(計算用!$M$2:$M$186,MATCH("男"&amp;$A24&amp;"-1",計算用!$AN$2:$AN$186,0)),""))</f>
        <v/>
      </c>
      <c r="F24" s="28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8">
        <f>IF($A24="","",IFERROR(INDEX(計算用!$M$2:$M$186,MATCH("男"&amp;$A24&amp;"-2",計算用!$AN$2:$AN$186,0)),""))</f>
        <v/>
      </c>
      <c r="I24" s="28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8">
        <f>IF($A24="","",IFERROR(INDEX(計算用!$M$2:$M$186,MATCH("男"&amp;$A24&amp;"-3",計算用!$AN$2:$AN$186,0)),""))</f>
        <v/>
      </c>
      <c r="L24" s="28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8">
        <f>IF($A24="","",IFERROR(INDEX(計算用!$M$2:$M$186,MATCH("男"&amp;$A24&amp;"-4",計算用!$AN$2:$AN$186,0)),""))</f>
        <v/>
      </c>
      <c r="O24" s="28">
        <f>IF($A24="","",IFERROR(INDEX(計算用!$I$2:$I$186,MATCH("男"&amp;$A24&amp;"-4",計算用!$AN$2:$AN$186,0)),""))</f>
        <v/>
      </c>
      <c r="P24">
        <f>IF($A24="","",IFERROR(INDEX(計算用!$D$2:$D$186,MATCH("男"&amp;$A24&amp;"-5",計算用!$AN$2:$AN$186,0)),""))</f>
        <v/>
      </c>
      <c r="Q24" s="28">
        <f>IF($A24="","",IFERROR(INDEX(計算用!$M$2:$M$186,MATCH("男"&amp;$A24&amp;"-5",計算用!$AN$2:$AN$186,0)),""))</f>
        <v/>
      </c>
      <c r="R24" s="28">
        <f>IF($A24="","",IFERROR(INDEX(計算用!$I$2:$I$186,MATCH("男"&amp;$A24&amp;"-5",計算用!$AN$2:$AN$186,0)),""))</f>
        <v/>
      </c>
      <c r="T24" s="28">
        <f>IF(ROW()-3&lt;=計算用!$Q$11,ROW()-3,"")</f>
        <v/>
      </c>
      <c r="U24" s="28">
        <f>IF($T24="","",INDEX(計算用!$AC$2:$AC$51,$T24))</f>
        <v/>
      </c>
      <c r="V24" s="28">
        <f>IF($T24="","","赤"&amp;INDEX(計算用!$AF$2:$AF$51,$T24)&amp;"白"&amp;INDEX(計算用!$AG$2:$AG$51,$T24))</f>
        <v/>
      </c>
      <c r="W24">
        <f>IF($T24="","",IFERROR(INDEX(計算用!$D$2:$D$186,MATCH("女"&amp;$T24&amp;"-1",計算用!$AN$2:$AN$186,0)),""))</f>
        <v/>
      </c>
      <c r="X24" s="28">
        <f>IF($T24="","",IFERROR(INDEX(計算用!$M$2:$M$186,MATCH("女"&amp;$T24&amp;"-1",計算用!$AN$2:$AN$186,0)),""))</f>
        <v/>
      </c>
      <c r="Y24" s="28">
        <f>IF($T24="","",IFERROR(INDEX(計算用!$I$2:$I$186,MATCH("女"&amp;$T24&amp;"-1",計算用!$AN$2:$AN$186,0)),""))</f>
        <v/>
      </c>
      <c r="Z24">
        <f>IF($T24="","",IFERROR(INDEX(計算用!$D$2:$D$186,MATCH("女"&amp;$T24&amp;"-2",計算用!$AN$2:$AN$186,0)),""))</f>
        <v/>
      </c>
      <c r="AA24" s="28">
        <f>IF($T24="","",IFERROR(INDEX(計算用!$M$2:$M$186,MATCH("女"&amp;$T24&amp;"-2",計算用!$AN$2:$AN$186,0)),""))</f>
        <v/>
      </c>
      <c r="AB24" s="28">
        <f>IF($T24="","",IFERROR(INDEX(計算用!$I$2:$I$186,MATCH("女"&amp;$T24&amp;"-2",計算用!$AN$2:$AN$186,0)),""))</f>
        <v/>
      </c>
      <c r="AC24">
        <f>IF($T24="","",IFERROR(INDEX(計算用!$D$2:$D$186,MATCH("女"&amp;$T24&amp;"-3",計算用!$AN$2:$AN$186,0)),""))</f>
        <v/>
      </c>
      <c r="AD24" s="28">
        <f>IF($T24="","",IFERROR(INDEX(計算用!$M$2:$M$186,MATCH("女"&amp;$T24&amp;"-3",計算用!$AN$2:$AN$186,0)),""))</f>
        <v/>
      </c>
      <c r="AE24" s="28">
        <f>IF($T24="","",IFERROR(INDEX(計算用!$I$2:$I$186,MATCH("女"&amp;$T24&amp;"-3",計算用!$AN$2:$AN$186,0)),""))</f>
        <v/>
      </c>
      <c r="AF24">
        <f>IF($T24="","",IFERROR(INDEX(計算用!$D$2:$D$186,MATCH("女"&amp;$T24&amp;"-4",計算用!$AN$2:$AN$186,0)),""))</f>
        <v/>
      </c>
      <c r="AG24" s="28">
        <f>IF($T24="","",IFERROR(INDEX(計算用!$M$2:$M$186,MATCH("女"&amp;$T24&amp;"-4",計算用!$AN$2:$AN$186,0)),""))</f>
        <v/>
      </c>
      <c r="AH24" s="28">
        <f>IF($T24="","",IFERROR(INDEX(計算用!$I$2:$I$186,MATCH("女"&amp;$T24&amp;"-4",計算用!$AN$2:$AN$186,0)),""))</f>
        <v/>
      </c>
      <c r="AI24">
        <f>IF($T24="","",IFERROR(INDEX(計算用!$D$2:$D$186,MATCH("女"&amp;$T24&amp;"-5",計算用!$AN$2:$AN$186,0)),""))</f>
        <v/>
      </c>
      <c r="AJ24" s="28">
        <f>IF($T24="","",IFERROR(INDEX(計算用!$M$2:$M$186,MATCH("女"&amp;$T24&amp;"-5",計算用!$AN$2:$AN$186,0)),""))</f>
        <v/>
      </c>
      <c r="AK24" s="28">
        <f>IF($T24="","",IFERROR(INDEX(計算用!$I$2:$I$186,MATCH("女"&amp;$T24&amp;"-5",計算用!$AN$2:$AN$186,0)),""))</f>
        <v/>
      </c>
    </row>
    <row r="25">
      <c r="A25" s="28">
        <f>IF(ROW()-3&lt;=計算用!$Q$9,ROW()-3,"")</f>
        <v/>
      </c>
      <c r="B25" s="28">
        <f>IF($A25="","",INDEX(計算用!$T$2:$T$51,$A25))</f>
        <v/>
      </c>
      <c r="C25" s="28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8">
        <f>IF($A25="","",IFERROR(INDEX(計算用!$M$2:$M$186,MATCH("男"&amp;$A25&amp;"-1",計算用!$AN$2:$AN$186,0)),""))</f>
        <v/>
      </c>
      <c r="F25" s="28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8">
        <f>IF($A25="","",IFERROR(INDEX(計算用!$M$2:$M$186,MATCH("男"&amp;$A25&amp;"-2",計算用!$AN$2:$AN$186,0)),""))</f>
        <v/>
      </c>
      <c r="I25" s="28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8">
        <f>IF($A25="","",IFERROR(INDEX(計算用!$M$2:$M$186,MATCH("男"&amp;$A25&amp;"-3",計算用!$AN$2:$AN$186,0)),""))</f>
        <v/>
      </c>
      <c r="L25" s="28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8">
        <f>IF($A25="","",IFERROR(INDEX(計算用!$M$2:$M$186,MATCH("男"&amp;$A25&amp;"-4",計算用!$AN$2:$AN$186,0)),""))</f>
        <v/>
      </c>
      <c r="O25" s="28">
        <f>IF($A25="","",IFERROR(INDEX(計算用!$I$2:$I$186,MATCH("男"&amp;$A25&amp;"-4",計算用!$AN$2:$AN$186,0)),""))</f>
        <v/>
      </c>
      <c r="P25">
        <f>IF($A25="","",IFERROR(INDEX(計算用!$D$2:$D$186,MATCH("男"&amp;$A25&amp;"-5",計算用!$AN$2:$AN$186,0)),""))</f>
        <v/>
      </c>
      <c r="Q25" s="28">
        <f>IF($A25="","",IFERROR(INDEX(計算用!$M$2:$M$186,MATCH("男"&amp;$A25&amp;"-5",計算用!$AN$2:$AN$186,0)),""))</f>
        <v/>
      </c>
      <c r="R25" s="28">
        <f>IF($A25="","",IFERROR(INDEX(計算用!$I$2:$I$186,MATCH("男"&amp;$A25&amp;"-5",計算用!$AN$2:$AN$186,0)),""))</f>
        <v/>
      </c>
      <c r="T25" s="28">
        <f>IF(ROW()-3&lt;=計算用!$Q$11,ROW()-3,"")</f>
        <v/>
      </c>
      <c r="U25" s="28">
        <f>IF($T25="","",INDEX(計算用!$AC$2:$AC$51,$T25))</f>
        <v/>
      </c>
      <c r="V25" s="28">
        <f>IF($T25="","","赤"&amp;INDEX(計算用!$AF$2:$AF$51,$T25)&amp;"白"&amp;INDEX(計算用!$AG$2:$AG$51,$T25))</f>
        <v/>
      </c>
      <c r="W25">
        <f>IF($T25="","",IFERROR(INDEX(計算用!$D$2:$D$186,MATCH("女"&amp;$T25&amp;"-1",計算用!$AN$2:$AN$186,0)),""))</f>
        <v/>
      </c>
      <c r="X25" s="28">
        <f>IF($T25="","",IFERROR(INDEX(計算用!$M$2:$M$186,MATCH("女"&amp;$T25&amp;"-1",計算用!$AN$2:$AN$186,0)),""))</f>
        <v/>
      </c>
      <c r="Y25" s="28">
        <f>IF($T25="","",IFERROR(INDEX(計算用!$I$2:$I$186,MATCH("女"&amp;$T25&amp;"-1",計算用!$AN$2:$AN$186,0)),""))</f>
        <v/>
      </c>
      <c r="Z25">
        <f>IF($T25="","",IFERROR(INDEX(計算用!$D$2:$D$186,MATCH("女"&amp;$T25&amp;"-2",計算用!$AN$2:$AN$186,0)),""))</f>
        <v/>
      </c>
      <c r="AA25" s="28">
        <f>IF($T25="","",IFERROR(INDEX(計算用!$M$2:$M$186,MATCH("女"&amp;$T25&amp;"-2",計算用!$AN$2:$AN$186,0)),""))</f>
        <v/>
      </c>
      <c r="AB25" s="28">
        <f>IF($T25="","",IFERROR(INDEX(計算用!$I$2:$I$186,MATCH("女"&amp;$T25&amp;"-2",計算用!$AN$2:$AN$186,0)),""))</f>
        <v/>
      </c>
      <c r="AC25">
        <f>IF($T25="","",IFERROR(INDEX(計算用!$D$2:$D$186,MATCH("女"&amp;$T25&amp;"-3",計算用!$AN$2:$AN$186,0)),""))</f>
        <v/>
      </c>
      <c r="AD25" s="28">
        <f>IF($T25="","",IFERROR(INDEX(計算用!$M$2:$M$186,MATCH("女"&amp;$T25&amp;"-3",計算用!$AN$2:$AN$186,0)),""))</f>
        <v/>
      </c>
      <c r="AE25" s="28">
        <f>IF($T25="","",IFERROR(INDEX(計算用!$I$2:$I$186,MATCH("女"&amp;$T25&amp;"-3",計算用!$AN$2:$AN$186,0)),""))</f>
        <v/>
      </c>
      <c r="AF25">
        <f>IF($T25="","",IFERROR(INDEX(計算用!$D$2:$D$186,MATCH("女"&amp;$T25&amp;"-4",計算用!$AN$2:$AN$186,0)),""))</f>
        <v/>
      </c>
      <c r="AG25" s="28">
        <f>IF($T25="","",IFERROR(INDEX(計算用!$M$2:$M$186,MATCH("女"&amp;$T25&amp;"-4",計算用!$AN$2:$AN$186,0)),""))</f>
        <v/>
      </c>
      <c r="AH25" s="28">
        <f>IF($T25="","",IFERROR(INDEX(計算用!$I$2:$I$186,MATCH("女"&amp;$T25&amp;"-4",計算用!$AN$2:$AN$186,0)),""))</f>
        <v/>
      </c>
      <c r="AI25">
        <f>IF($T25="","",IFERROR(INDEX(計算用!$D$2:$D$186,MATCH("女"&amp;$T25&amp;"-5",計算用!$AN$2:$AN$186,0)),""))</f>
        <v/>
      </c>
      <c r="AJ25" s="28">
        <f>IF($T25="","",IFERROR(INDEX(計算用!$M$2:$M$186,MATCH("女"&amp;$T25&amp;"-5",計算用!$AN$2:$AN$186,0)),""))</f>
        <v/>
      </c>
      <c r="AK25" s="28">
        <f>IF($T25="","",IFERROR(INDEX(計算用!$I$2:$I$186,MATCH("女"&amp;$T25&amp;"-5",計算用!$AN$2:$AN$186,0)),""))</f>
        <v/>
      </c>
    </row>
    <row r="26">
      <c r="A26" s="28">
        <f>IF(ROW()-3&lt;=計算用!$Q$9,ROW()-3,"")</f>
        <v/>
      </c>
      <c r="B26" s="28">
        <f>IF($A26="","",INDEX(計算用!$T$2:$T$51,$A26))</f>
        <v/>
      </c>
      <c r="C26" s="28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8">
        <f>IF($A26="","",IFERROR(INDEX(計算用!$M$2:$M$186,MATCH("男"&amp;$A26&amp;"-1",計算用!$AN$2:$AN$186,0)),""))</f>
        <v/>
      </c>
      <c r="F26" s="28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8">
        <f>IF($A26="","",IFERROR(INDEX(計算用!$M$2:$M$186,MATCH("男"&amp;$A26&amp;"-2",計算用!$AN$2:$AN$186,0)),""))</f>
        <v/>
      </c>
      <c r="I26" s="28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8">
        <f>IF($A26="","",IFERROR(INDEX(計算用!$M$2:$M$186,MATCH("男"&amp;$A26&amp;"-3",計算用!$AN$2:$AN$186,0)),""))</f>
        <v/>
      </c>
      <c r="L26" s="28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8">
        <f>IF($A26="","",IFERROR(INDEX(計算用!$M$2:$M$186,MATCH("男"&amp;$A26&amp;"-4",計算用!$AN$2:$AN$186,0)),""))</f>
        <v/>
      </c>
      <c r="O26" s="28">
        <f>IF($A26="","",IFERROR(INDEX(計算用!$I$2:$I$186,MATCH("男"&amp;$A26&amp;"-4",計算用!$AN$2:$AN$186,0)),""))</f>
        <v/>
      </c>
      <c r="P26">
        <f>IF($A26="","",IFERROR(INDEX(計算用!$D$2:$D$186,MATCH("男"&amp;$A26&amp;"-5",計算用!$AN$2:$AN$186,0)),""))</f>
        <v/>
      </c>
      <c r="Q26" s="28">
        <f>IF($A26="","",IFERROR(INDEX(計算用!$M$2:$M$186,MATCH("男"&amp;$A26&amp;"-5",計算用!$AN$2:$AN$186,0)),""))</f>
        <v/>
      </c>
      <c r="R26" s="28">
        <f>IF($A26="","",IFERROR(INDEX(計算用!$I$2:$I$186,MATCH("男"&amp;$A26&amp;"-5",計算用!$AN$2:$AN$186,0)),""))</f>
        <v/>
      </c>
      <c r="T26" s="28">
        <f>IF(ROW()-3&lt;=計算用!$Q$11,ROW()-3,"")</f>
        <v/>
      </c>
      <c r="U26" s="28">
        <f>IF($T26="","",INDEX(計算用!$AC$2:$AC$51,$T26))</f>
        <v/>
      </c>
      <c r="V26" s="28">
        <f>IF($T26="","","赤"&amp;INDEX(計算用!$AF$2:$AF$51,$T26)&amp;"白"&amp;INDEX(計算用!$AG$2:$AG$51,$T26))</f>
        <v/>
      </c>
      <c r="W26">
        <f>IF($T26="","",IFERROR(INDEX(計算用!$D$2:$D$186,MATCH("女"&amp;$T26&amp;"-1",計算用!$AN$2:$AN$186,0)),""))</f>
        <v/>
      </c>
      <c r="X26" s="28">
        <f>IF($T26="","",IFERROR(INDEX(計算用!$M$2:$M$186,MATCH("女"&amp;$T26&amp;"-1",計算用!$AN$2:$AN$186,0)),""))</f>
        <v/>
      </c>
      <c r="Y26" s="28">
        <f>IF($T26="","",IFERROR(INDEX(計算用!$I$2:$I$186,MATCH("女"&amp;$T26&amp;"-1",計算用!$AN$2:$AN$186,0)),""))</f>
        <v/>
      </c>
      <c r="Z26">
        <f>IF($T26="","",IFERROR(INDEX(計算用!$D$2:$D$186,MATCH("女"&amp;$T26&amp;"-2",計算用!$AN$2:$AN$186,0)),""))</f>
        <v/>
      </c>
      <c r="AA26" s="28">
        <f>IF($T26="","",IFERROR(INDEX(計算用!$M$2:$M$186,MATCH("女"&amp;$T26&amp;"-2",計算用!$AN$2:$AN$186,0)),""))</f>
        <v/>
      </c>
      <c r="AB26" s="28">
        <f>IF($T26="","",IFERROR(INDEX(計算用!$I$2:$I$186,MATCH("女"&amp;$T26&amp;"-2",計算用!$AN$2:$AN$186,0)),""))</f>
        <v/>
      </c>
      <c r="AC26">
        <f>IF($T26="","",IFERROR(INDEX(計算用!$D$2:$D$186,MATCH("女"&amp;$T26&amp;"-3",計算用!$AN$2:$AN$186,0)),""))</f>
        <v/>
      </c>
      <c r="AD26" s="28">
        <f>IF($T26="","",IFERROR(INDEX(計算用!$M$2:$M$186,MATCH("女"&amp;$T26&amp;"-3",計算用!$AN$2:$AN$186,0)),""))</f>
        <v/>
      </c>
      <c r="AE26" s="28">
        <f>IF($T26="","",IFERROR(INDEX(計算用!$I$2:$I$186,MATCH("女"&amp;$T26&amp;"-3",計算用!$AN$2:$AN$186,0)),""))</f>
        <v/>
      </c>
      <c r="AF26">
        <f>IF($T26="","",IFERROR(INDEX(計算用!$D$2:$D$186,MATCH("女"&amp;$T26&amp;"-4",計算用!$AN$2:$AN$186,0)),""))</f>
        <v/>
      </c>
      <c r="AG26" s="28">
        <f>IF($T26="","",IFERROR(INDEX(計算用!$M$2:$M$186,MATCH("女"&amp;$T26&amp;"-4",計算用!$AN$2:$AN$186,0)),""))</f>
        <v/>
      </c>
      <c r="AH26" s="28">
        <f>IF($T26="","",IFERROR(INDEX(計算用!$I$2:$I$186,MATCH("女"&amp;$T26&amp;"-4",計算用!$AN$2:$AN$186,0)),""))</f>
        <v/>
      </c>
      <c r="AI26">
        <f>IF($T26="","",IFERROR(INDEX(計算用!$D$2:$D$186,MATCH("女"&amp;$T26&amp;"-5",計算用!$AN$2:$AN$186,0)),""))</f>
        <v/>
      </c>
      <c r="AJ26" s="28">
        <f>IF($T26="","",IFERROR(INDEX(計算用!$M$2:$M$186,MATCH("女"&amp;$T26&amp;"-5",計算用!$AN$2:$AN$186,0)),""))</f>
        <v/>
      </c>
      <c r="AK26" s="28">
        <f>IF($T26="","",IFERROR(INDEX(計算用!$I$2:$I$186,MATCH("女"&amp;$T26&amp;"-5",計算用!$AN$2:$AN$186,0)),""))</f>
        <v/>
      </c>
    </row>
    <row r="27">
      <c r="A27" s="28">
        <f>IF(ROW()-3&lt;=計算用!$Q$9,ROW()-3,"")</f>
        <v/>
      </c>
      <c r="B27" s="28">
        <f>IF($A27="","",INDEX(計算用!$T$2:$T$51,$A27))</f>
        <v/>
      </c>
      <c r="C27" s="28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8">
        <f>IF($A27="","",IFERROR(INDEX(計算用!$M$2:$M$186,MATCH("男"&amp;$A27&amp;"-1",計算用!$AN$2:$AN$186,0)),""))</f>
        <v/>
      </c>
      <c r="F27" s="28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8">
        <f>IF($A27="","",IFERROR(INDEX(計算用!$M$2:$M$186,MATCH("男"&amp;$A27&amp;"-2",計算用!$AN$2:$AN$186,0)),""))</f>
        <v/>
      </c>
      <c r="I27" s="28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8">
        <f>IF($A27="","",IFERROR(INDEX(計算用!$M$2:$M$186,MATCH("男"&amp;$A27&amp;"-3",計算用!$AN$2:$AN$186,0)),""))</f>
        <v/>
      </c>
      <c r="L27" s="28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8">
        <f>IF($A27="","",IFERROR(INDEX(計算用!$M$2:$M$186,MATCH("男"&amp;$A27&amp;"-4",計算用!$AN$2:$AN$186,0)),""))</f>
        <v/>
      </c>
      <c r="O27" s="28">
        <f>IF($A27="","",IFERROR(INDEX(計算用!$I$2:$I$186,MATCH("男"&amp;$A27&amp;"-4",計算用!$AN$2:$AN$186,0)),""))</f>
        <v/>
      </c>
      <c r="P27">
        <f>IF($A27="","",IFERROR(INDEX(計算用!$D$2:$D$186,MATCH("男"&amp;$A27&amp;"-5",計算用!$AN$2:$AN$186,0)),""))</f>
        <v/>
      </c>
      <c r="Q27" s="28">
        <f>IF($A27="","",IFERROR(INDEX(計算用!$M$2:$M$186,MATCH("男"&amp;$A27&amp;"-5",計算用!$AN$2:$AN$186,0)),""))</f>
        <v/>
      </c>
      <c r="R27" s="28">
        <f>IF($A27="","",IFERROR(INDEX(計算用!$I$2:$I$186,MATCH("男"&amp;$A27&amp;"-5",計算用!$AN$2:$AN$186,0)),""))</f>
        <v/>
      </c>
      <c r="T27" s="28">
        <f>IF(ROW()-3&lt;=計算用!$Q$11,ROW()-3,"")</f>
        <v/>
      </c>
      <c r="U27" s="28">
        <f>IF($T27="","",INDEX(計算用!$AC$2:$AC$51,$T27))</f>
        <v/>
      </c>
      <c r="V27" s="28">
        <f>IF($T27="","","赤"&amp;INDEX(計算用!$AF$2:$AF$51,$T27)&amp;"白"&amp;INDEX(計算用!$AG$2:$AG$51,$T27))</f>
        <v/>
      </c>
      <c r="W27">
        <f>IF($T27="","",IFERROR(INDEX(計算用!$D$2:$D$186,MATCH("女"&amp;$T27&amp;"-1",計算用!$AN$2:$AN$186,0)),""))</f>
        <v/>
      </c>
      <c r="X27" s="28">
        <f>IF($T27="","",IFERROR(INDEX(計算用!$M$2:$M$186,MATCH("女"&amp;$T27&amp;"-1",計算用!$AN$2:$AN$186,0)),""))</f>
        <v/>
      </c>
      <c r="Y27" s="28">
        <f>IF($T27="","",IFERROR(INDEX(計算用!$I$2:$I$186,MATCH("女"&amp;$T27&amp;"-1",計算用!$AN$2:$AN$186,0)),""))</f>
        <v/>
      </c>
      <c r="Z27">
        <f>IF($T27="","",IFERROR(INDEX(計算用!$D$2:$D$186,MATCH("女"&amp;$T27&amp;"-2",計算用!$AN$2:$AN$186,0)),""))</f>
        <v/>
      </c>
      <c r="AA27" s="28">
        <f>IF($T27="","",IFERROR(INDEX(計算用!$M$2:$M$186,MATCH("女"&amp;$T27&amp;"-2",計算用!$AN$2:$AN$186,0)),""))</f>
        <v/>
      </c>
      <c r="AB27" s="28">
        <f>IF($T27="","",IFERROR(INDEX(計算用!$I$2:$I$186,MATCH("女"&amp;$T27&amp;"-2",計算用!$AN$2:$AN$186,0)),""))</f>
        <v/>
      </c>
      <c r="AC27">
        <f>IF($T27="","",IFERROR(INDEX(計算用!$D$2:$D$186,MATCH("女"&amp;$T27&amp;"-3",計算用!$AN$2:$AN$186,0)),""))</f>
        <v/>
      </c>
      <c r="AD27" s="28">
        <f>IF($T27="","",IFERROR(INDEX(計算用!$M$2:$M$186,MATCH("女"&amp;$T27&amp;"-3",計算用!$AN$2:$AN$186,0)),""))</f>
        <v/>
      </c>
      <c r="AE27" s="28">
        <f>IF($T27="","",IFERROR(INDEX(計算用!$I$2:$I$186,MATCH("女"&amp;$T27&amp;"-3",計算用!$AN$2:$AN$186,0)),""))</f>
        <v/>
      </c>
      <c r="AF27">
        <f>IF($T27="","",IFERROR(INDEX(計算用!$D$2:$D$186,MATCH("女"&amp;$T27&amp;"-4",計算用!$AN$2:$AN$186,0)),""))</f>
        <v/>
      </c>
      <c r="AG27" s="28">
        <f>IF($T27="","",IFERROR(INDEX(計算用!$M$2:$M$186,MATCH("女"&amp;$T27&amp;"-4",計算用!$AN$2:$AN$186,0)),""))</f>
        <v/>
      </c>
      <c r="AH27" s="28">
        <f>IF($T27="","",IFERROR(INDEX(計算用!$I$2:$I$186,MATCH("女"&amp;$T27&amp;"-4",計算用!$AN$2:$AN$186,0)),""))</f>
        <v/>
      </c>
      <c r="AI27">
        <f>IF($T27="","",IFERROR(INDEX(計算用!$D$2:$D$186,MATCH("女"&amp;$T27&amp;"-5",計算用!$AN$2:$AN$186,0)),""))</f>
        <v/>
      </c>
      <c r="AJ27" s="28">
        <f>IF($T27="","",IFERROR(INDEX(計算用!$M$2:$M$186,MATCH("女"&amp;$T27&amp;"-5",計算用!$AN$2:$AN$186,0)),""))</f>
        <v/>
      </c>
      <c r="AK27" s="28">
        <f>IF($T27="","",IFERROR(INDEX(計算用!$I$2:$I$186,MATCH("女"&amp;$T27&amp;"-5",計算用!$AN$2:$AN$186,0)),""))</f>
        <v/>
      </c>
    </row>
    <row r="28">
      <c r="A28" s="28">
        <f>IF(ROW()-3&lt;=計算用!$Q$9,ROW()-3,"")</f>
        <v/>
      </c>
      <c r="B28" s="28">
        <f>IF($A28="","",INDEX(計算用!$T$2:$T$51,$A28))</f>
        <v/>
      </c>
      <c r="C28" s="28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8">
        <f>IF($A28="","",IFERROR(INDEX(計算用!$M$2:$M$186,MATCH("男"&amp;$A28&amp;"-1",計算用!$AN$2:$AN$186,0)),""))</f>
        <v/>
      </c>
      <c r="F28" s="28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8">
        <f>IF($A28="","",IFERROR(INDEX(計算用!$M$2:$M$186,MATCH("男"&amp;$A28&amp;"-2",計算用!$AN$2:$AN$186,0)),""))</f>
        <v/>
      </c>
      <c r="I28" s="28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8">
        <f>IF($A28="","",IFERROR(INDEX(計算用!$M$2:$M$186,MATCH("男"&amp;$A28&amp;"-3",計算用!$AN$2:$AN$186,0)),""))</f>
        <v/>
      </c>
      <c r="L28" s="28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8">
        <f>IF($A28="","",IFERROR(INDEX(計算用!$M$2:$M$186,MATCH("男"&amp;$A28&amp;"-4",計算用!$AN$2:$AN$186,0)),""))</f>
        <v/>
      </c>
      <c r="O28" s="28">
        <f>IF($A28="","",IFERROR(INDEX(計算用!$I$2:$I$186,MATCH("男"&amp;$A28&amp;"-4",計算用!$AN$2:$AN$186,0)),""))</f>
        <v/>
      </c>
      <c r="P28">
        <f>IF($A28="","",IFERROR(INDEX(計算用!$D$2:$D$186,MATCH("男"&amp;$A28&amp;"-5",計算用!$AN$2:$AN$186,0)),""))</f>
        <v/>
      </c>
      <c r="Q28" s="28">
        <f>IF($A28="","",IFERROR(INDEX(計算用!$M$2:$M$186,MATCH("男"&amp;$A28&amp;"-5",計算用!$AN$2:$AN$186,0)),""))</f>
        <v/>
      </c>
      <c r="R28" s="28">
        <f>IF($A28="","",IFERROR(INDEX(計算用!$I$2:$I$186,MATCH("男"&amp;$A28&amp;"-5",計算用!$AN$2:$AN$186,0)),""))</f>
        <v/>
      </c>
      <c r="T28" s="28">
        <f>IF(ROW()-3&lt;=計算用!$Q$11,ROW()-3,"")</f>
        <v/>
      </c>
      <c r="U28" s="28">
        <f>IF($T28="","",INDEX(計算用!$AC$2:$AC$51,$T28))</f>
        <v/>
      </c>
      <c r="V28" s="28">
        <f>IF($T28="","","赤"&amp;INDEX(計算用!$AF$2:$AF$51,$T28)&amp;"白"&amp;INDEX(計算用!$AG$2:$AG$51,$T28))</f>
        <v/>
      </c>
      <c r="W28">
        <f>IF($T28="","",IFERROR(INDEX(計算用!$D$2:$D$186,MATCH("女"&amp;$T28&amp;"-1",計算用!$AN$2:$AN$186,0)),""))</f>
        <v/>
      </c>
      <c r="X28" s="28">
        <f>IF($T28="","",IFERROR(INDEX(計算用!$M$2:$M$186,MATCH("女"&amp;$T28&amp;"-1",計算用!$AN$2:$AN$186,0)),""))</f>
        <v/>
      </c>
      <c r="Y28" s="28">
        <f>IF($T28="","",IFERROR(INDEX(計算用!$I$2:$I$186,MATCH("女"&amp;$T28&amp;"-1",計算用!$AN$2:$AN$186,0)),""))</f>
        <v/>
      </c>
      <c r="Z28">
        <f>IF($T28="","",IFERROR(INDEX(計算用!$D$2:$D$186,MATCH("女"&amp;$T28&amp;"-2",計算用!$AN$2:$AN$186,0)),""))</f>
        <v/>
      </c>
      <c r="AA28" s="28">
        <f>IF($T28="","",IFERROR(INDEX(計算用!$M$2:$M$186,MATCH("女"&amp;$T28&amp;"-2",計算用!$AN$2:$AN$186,0)),""))</f>
        <v/>
      </c>
      <c r="AB28" s="28">
        <f>IF($T28="","",IFERROR(INDEX(計算用!$I$2:$I$186,MATCH("女"&amp;$T28&amp;"-2",計算用!$AN$2:$AN$186,0)),""))</f>
        <v/>
      </c>
      <c r="AC28">
        <f>IF($T28="","",IFERROR(INDEX(計算用!$D$2:$D$186,MATCH("女"&amp;$T28&amp;"-3",計算用!$AN$2:$AN$186,0)),""))</f>
        <v/>
      </c>
      <c r="AD28" s="28">
        <f>IF($T28="","",IFERROR(INDEX(計算用!$M$2:$M$186,MATCH("女"&amp;$T28&amp;"-3",計算用!$AN$2:$AN$186,0)),""))</f>
        <v/>
      </c>
      <c r="AE28" s="28">
        <f>IF($T28="","",IFERROR(INDEX(計算用!$I$2:$I$186,MATCH("女"&amp;$T28&amp;"-3",計算用!$AN$2:$AN$186,0)),""))</f>
        <v/>
      </c>
      <c r="AF28">
        <f>IF($T28="","",IFERROR(INDEX(計算用!$D$2:$D$186,MATCH("女"&amp;$T28&amp;"-4",計算用!$AN$2:$AN$186,0)),""))</f>
        <v/>
      </c>
      <c r="AG28" s="28">
        <f>IF($T28="","",IFERROR(INDEX(計算用!$M$2:$M$186,MATCH("女"&amp;$T28&amp;"-4",計算用!$AN$2:$AN$186,0)),""))</f>
        <v/>
      </c>
      <c r="AH28" s="28">
        <f>IF($T28="","",IFERROR(INDEX(計算用!$I$2:$I$186,MATCH("女"&amp;$T28&amp;"-4",計算用!$AN$2:$AN$186,0)),""))</f>
        <v/>
      </c>
      <c r="AI28">
        <f>IF($T28="","",IFERROR(INDEX(計算用!$D$2:$D$186,MATCH("女"&amp;$T28&amp;"-5",計算用!$AN$2:$AN$186,0)),""))</f>
        <v/>
      </c>
      <c r="AJ28" s="28">
        <f>IF($T28="","",IFERROR(INDEX(計算用!$M$2:$M$186,MATCH("女"&amp;$T28&amp;"-5",計算用!$AN$2:$AN$186,0)),""))</f>
        <v/>
      </c>
      <c r="AK28" s="28">
        <f>IF($T28="","",IFERROR(INDEX(計算用!$I$2:$I$186,MATCH("女"&amp;$T28&amp;"-5",計算用!$AN$2:$AN$186,0)),""))</f>
        <v/>
      </c>
    </row>
    <row r="29">
      <c r="A29" s="28">
        <f>IF(ROW()-3&lt;=計算用!$Q$9,ROW()-3,"")</f>
        <v/>
      </c>
      <c r="B29" s="28">
        <f>IF($A29="","",INDEX(計算用!$T$2:$T$51,$A29))</f>
        <v/>
      </c>
      <c r="C29" s="28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8">
        <f>IF($A29="","",IFERROR(INDEX(計算用!$M$2:$M$186,MATCH("男"&amp;$A29&amp;"-1",計算用!$AN$2:$AN$186,0)),""))</f>
        <v/>
      </c>
      <c r="F29" s="28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8">
        <f>IF($A29="","",IFERROR(INDEX(計算用!$M$2:$M$186,MATCH("男"&amp;$A29&amp;"-2",計算用!$AN$2:$AN$186,0)),""))</f>
        <v/>
      </c>
      <c r="I29" s="28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8">
        <f>IF($A29="","",IFERROR(INDEX(計算用!$M$2:$M$186,MATCH("男"&amp;$A29&amp;"-3",計算用!$AN$2:$AN$186,0)),""))</f>
        <v/>
      </c>
      <c r="L29" s="28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8">
        <f>IF($A29="","",IFERROR(INDEX(計算用!$M$2:$M$186,MATCH("男"&amp;$A29&amp;"-4",計算用!$AN$2:$AN$186,0)),""))</f>
        <v/>
      </c>
      <c r="O29" s="28">
        <f>IF($A29="","",IFERROR(INDEX(計算用!$I$2:$I$186,MATCH("男"&amp;$A29&amp;"-4",計算用!$AN$2:$AN$186,0)),""))</f>
        <v/>
      </c>
      <c r="P29">
        <f>IF($A29="","",IFERROR(INDEX(計算用!$D$2:$D$186,MATCH("男"&amp;$A29&amp;"-5",計算用!$AN$2:$AN$186,0)),""))</f>
        <v/>
      </c>
      <c r="Q29" s="28">
        <f>IF($A29="","",IFERROR(INDEX(計算用!$M$2:$M$186,MATCH("男"&amp;$A29&amp;"-5",計算用!$AN$2:$AN$186,0)),""))</f>
        <v/>
      </c>
      <c r="R29" s="28">
        <f>IF($A29="","",IFERROR(INDEX(計算用!$I$2:$I$186,MATCH("男"&amp;$A29&amp;"-5",計算用!$AN$2:$AN$186,0)),""))</f>
        <v/>
      </c>
      <c r="T29" s="28">
        <f>IF(ROW()-3&lt;=計算用!$Q$11,ROW()-3,"")</f>
        <v/>
      </c>
      <c r="U29" s="28">
        <f>IF($T29="","",INDEX(計算用!$AC$2:$AC$51,$T29))</f>
        <v/>
      </c>
      <c r="V29" s="28">
        <f>IF($T29="","","赤"&amp;INDEX(計算用!$AF$2:$AF$51,$T29)&amp;"白"&amp;INDEX(計算用!$AG$2:$AG$51,$T29))</f>
        <v/>
      </c>
      <c r="W29">
        <f>IF($T29="","",IFERROR(INDEX(計算用!$D$2:$D$186,MATCH("女"&amp;$T29&amp;"-1",計算用!$AN$2:$AN$186,0)),""))</f>
        <v/>
      </c>
      <c r="X29" s="28">
        <f>IF($T29="","",IFERROR(INDEX(計算用!$M$2:$M$186,MATCH("女"&amp;$T29&amp;"-1",計算用!$AN$2:$AN$186,0)),""))</f>
        <v/>
      </c>
      <c r="Y29" s="28">
        <f>IF($T29="","",IFERROR(INDEX(計算用!$I$2:$I$186,MATCH("女"&amp;$T29&amp;"-1",計算用!$AN$2:$AN$186,0)),""))</f>
        <v/>
      </c>
      <c r="Z29">
        <f>IF($T29="","",IFERROR(INDEX(計算用!$D$2:$D$186,MATCH("女"&amp;$T29&amp;"-2",計算用!$AN$2:$AN$186,0)),""))</f>
        <v/>
      </c>
      <c r="AA29" s="28">
        <f>IF($T29="","",IFERROR(INDEX(計算用!$M$2:$M$186,MATCH("女"&amp;$T29&amp;"-2",計算用!$AN$2:$AN$186,0)),""))</f>
        <v/>
      </c>
      <c r="AB29" s="28">
        <f>IF($T29="","",IFERROR(INDEX(計算用!$I$2:$I$186,MATCH("女"&amp;$T29&amp;"-2",計算用!$AN$2:$AN$186,0)),""))</f>
        <v/>
      </c>
      <c r="AC29">
        <f>IF($T29="","",IFERROR(INDEX(計算用!$D$2:$D$186,MATCH("女"&amp;$T29&amp;"-3",計算用!$AN$2:$AN$186,0)),""))</f>
        <v/>
      </c>
      <c r="AD29" s="28">
        <f>IF($T29="","",IFERROR(INDEX(計算用!$M$2:$M$186,MATCH("女"&amp;$T29&amp;"-3",計算用!$AN$2:$AN$186,0)),""))</f>
        <v/>
      </c>
      <c r="AE29" s="28">
        <f>IF($T29="","",IFERROR(INDEX(計算用!$I$2:$I$186,MATCH("女"&amp;$T29&amp;"-3",計算用!$AN$2:$AN$186,0)),""))</f>
        <v/>
      </c>
      <c r="AF29">
        <f>IF($T29="","",IFERROR(INDEX(計算用!$D$2:$D$186,MATCH("女"&amp;$T29&amp;"-4",計算用!$AN$2:$AN$186,0)),""))</f>
        <v/>
      </c>
      <c r="AG29" s="28">
        <f>IF($T29="","",IFERROR(INDEX(計算用!$M$2:$M$186,MATCH("女"&amp;$T29&amp;"-4",計算用!$AN$2:$AN$186,0)),""))</f>
        <v/>
      </c>
      <c r="AH29" s="28">
        <f>IF($T29="","",IFERROR(INDEX(計算用!$I$2:$I$186,MATCH("女"&amp;$T29&amp;"-4",計算用!$AN$2:$AN$186,0)),""))</f>
        <v/>
      </c>
      <c r="AI29">
        <f>IF($T29="","",IFERROR(INDEX(計算用!$D$2:$D$186,MATCH("女"&amp;$T29&amp;"-5",計算用!$AN$2:$AN$186,0)),""))</f>
        <v/>
      </c>
      <c r="AJ29" s="28">
        <f>IF($T29="","",IFERROR(INDEX(計算用!$M$2:$M$186,MATCH("女"&amp;$T29&amp;"-5",計算用!$AN$2:$AN$186,0)),""))</f>
        <v/>
      </c>
      <c r="AK29" s="28">
        <f>IF($T29="","",IFERROR(INDEX(計算用!$I$2:$I$186,MATCH("女"&amp;$T29&amp;"-5",計算用!$AN$2:$AN$186,0)),""))</f>
        <v/>
      </c>
    </row>
    <row r="30">
      <c r="A30" s="28">
        <f>IF(ROW()-3&lt;=計算用!$Q$9,ROW()-3,"")</f>
        <v/>
      </c>
      <c r="B30" s="28">
        <f>IF($A30="","",INDEX(計算用!$T$2:$T$51,$A30))</f>
        <v/>
      </c>
      <c r="C30" s="28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8">
        <f>IF($A30="","",IFERROR(INDEX(計算用!$M$2:$M$186,MATCH("男"&amp;$A30&amp;"-1",計算用!$AN$2:$AN$186,0)),""))</f>
        <v/>
      </c>
      <c r="F30" s="28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8">
        <f>IF($A30="","",IFERROR(INDEX(計算用!$M$2:$M$186,MATCH("男"&amp;$A30&amp;"-2",計算用!$AN$2:$AN$186,0)),""))</f>
        <v/>
      </c>
      <c r="I30" s="28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8">
        <f>IF($A30="","",IFERROR(INDEX(計算用!$M$2:$M$186,MATCH("男"&amp;$A30&amp;"-3",計算用!$AN$2:$AN$186,0)),""))</f>
        <v/>
      </c>
      <c r="L30" s="28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8">
        <f>IF($A30="","",IFERROR(INDEX(計算用!$M$2:$M$186,MATCH("男"&amp;$A30&amp;"-4",計算用!$AN$2:$AN$186,0)),""))</f>
        <v/>
      </c>
      <c r="O30" s="28">
        <f>IF($A30="","",IFERROR(INDEX(計算用!$I$2:$I$186,MATCH("男"&amp;$A30&amp;"-4",計算用!$AN$2:$AN$186,0)),""))</f>
        <v/>
      </c>
      <c r="P30">
        <f>IF($A30="","",IFERROR(INDEX(計算用!$D$2:$D$186,MATCH("男"&amp;$A30&amp;"-5",計算用!$AN$2:$AN$186,0)),""))</f>
        <v/>
      </c>
      <c r="Q30" s="28">
        <f>IF($A30="","",IFERROR(INDEX(計算用!$M$2:$M$186,MATCH("男"&amp;$A30&amp;"-5",計算用!$AN$2:$AN$186,0)),""))</f>
        <v/>
      </c>
      <c r="R30" s="28">
        <f>IF($A30="","",IFERROR(INDEX(計算用!$I$2:$I$186,MATCH("男"&amp;$A30&amp;"-5",計算用!$AN$2:$AN$186,0)),""))</f>
        <v/>
      </c>
      <c r="T30" s="28">
        <f>IF(ROW()-3&lt;=計算用!$Q$11,ROW()-3,"")</f>
        <v/>
      </c>
      <c r="U30" s="28">
        <f>IF($T30="","",INDEX(計算用!$AC$2:$AC$51,$T30))</f>
        <v/>
      </c>
      <c r="V30" s="28">
        <f>IF($T30="","","赤"&amp;INDEX(計算用!$AF$2:$AF$51,$T30)&amp;"白"&amp;INDEX(計算用!$AG$2:$AG$51,$T30))</f>
        <v/>
      </c>
      <c r="W30">
        <f>IF($T30="","",IFERROR(INDEX(計算用!$D$2:$D$186,MATCH("女"&amp;$T30&amp;"-1",計算用!$AN$2:$AN$186,0)),""))</f>
        <v/>
      </c>
      <c r="X30" s="28">
        <f>IF($T30="","",IFERROR(INDEX(計算用!$M$2:$M$186,MATCH("女"&amp;$T30&amp;"-1",計算用!$AN$2:$AN$186,0)),""))</f>
        <v/>
      </c>
      <c r="Y30" s="28">
        <f>IF($T30="","",IFERROR(INDEX(計算用!$I$2:$I$186,MATCH("女"&amp;$T30&amp;"-1",計算用!$AN$2:$AN$186,0)),""))</f>
        <v/>
      </c>
      <c r="Z30">
        <f>IF($T30="","",IFERROR(INDEX(計算用!$D$2:$D$186,MATCH("女"&amp;$T30&amp;"-2",計算用!$AN$2:$AN$186,0)),""))</f>
        <v/>
      </c>
      <c r="AA30" s="28">
        <f>IF($T30="","",IFERROR(INDEX(計算用!$M$2:$M$186,MATCH("女"&amp;$T30&amp;"-2",計算用!$AN$2:$AN$186,0)),""))</f>
        <v/>
      </c>
      <c r="AB30" s="28">
        <f>IF($T30="","",IFERROR(INDEX(計算用!$I$2:$I$186,MATCH("女"&amp;$T30&amp;"-2",計算用!$AN$2:$AN$186,0)),""))</f>
        <v/>
      </c>
      <c r="AC30">
        <f>IF($T30="","",IFERROR(INDEX(計算用!$D$2:$D$186,MATCH("女"&amp;$T30&amp;"-3",計算用!$AN$2:$AN$186,0)),""))</f>
        <v/>
      </c>
      <c r="AD30" s="28">
        <f>IF($T30="","",IFERROR(INDEX(計算用!$M$2:$M$186,MATCH("女"&amp;$T30&amp;"-3",計算用!$AN$2:$AN$186,0)),""))</f>
        <v/>
      </c>
      <c r="AE30" s="28">
        <f>IF($T30="","",IFERROR(INDEX(計算用!$I$2:$I$186,MATCH("女"&amp;$T30&amp;"-3",計算用!$AN$2:$AN$186,0)),""))</f>
        <v/>
      </c>
      <c r="AF30">
        <f>IF($T30="","",IFERROR(INDEX(計算用!$D$2:$D$186,MATCH("女"&amp;$T30&amp;"-4",計算用!$AN$2:$AN$186,0)),""))</f>
        <v/>
      </c>
      <c r="AG30" s="28">
        <f>IF($T30="","",IFERROR(INDEX(計算用!$M$2:$M$186,MATCH("女"&amp;$T30&amp;"-4",計算用!$AN$2:$AN$186,0)),""))</f>
        <v/>
      </c>
      <c r="AH30" s="28">
        <f>IF($T30="","",IFERROR(INDEX(計算用!$I$2:$I$186,MATCH("女"&amp;$T30&amp;"-4",計算用!$AN$2:$AN$186,0)),""))</f>
        <v/>
      </c>
      <c r="AI30">
        <f>IF($T30="","",IFERROR(INDEX(計算用!$D$2:$D$186,MATCH("女"&amp;$T30&amp;"-5",計算用!$AN$2:$AN$186,0)),""))</f>
        <v/>
      </c>
      <c r="AJ30" s="28">
        <f>IF($T30="","",IFERROR(INDEX(計算用!$M$2:$M$186,MATCH("女"&amp;$T30&amp;"-5",計算用!$AN$2:$AN$186,0)),""))</f>
        <v/>
      </c>
      <c r="AK30" s="28">
        <f>IF($T30="","",IFERROR(INDEX(計算用!$I$2:$I$186,MATCH("女"&amp;$T30&amp;"-5",計算用!$AN$2:$AN$186,0)),""))</f>
        <v/>
      </c>
    </row>
    <row r="31">
      <c r="A31" s="28">
        <f>IF(ROW()-3&lt;=計算用!$Q$9,ROW()-3,"")</f>
        <v/>
      </c>
      <c r="B31" s="28">
        <f>IF($A31="","",INDEX(計算用!$T$2:$T$51,$A31))</f>
        <v/>
      </c>
      <c r="C31" s="28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8">
        <f>IF($A31="","",IFERROR(INDEX(計算用!$M$2:$M$186,MATCH("男"&amp;$A31&amp;"-1",計算用!$AN$2:$AN$186,0)),""))</f>
        <v/>
      </c>
      <c r="F31" s="28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8">
        <f>IF($A31="","",IFERROR(INDEX(計算用!$M$2:$M$186,MATCH("男"&amp;$A31&amp;"-2",計算用!$AN$2:$AN$186,0)),""))</f>
        <v/>
      </c>
      <c r="I31" s="28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8">
        <f>IF($A31="","",IFERROR(INDEX(計算用!$M$2:$M$186,MATCH("男"&amp;$A31&amp;"-3",計算用!$AN$2:$AN$186,0)),""))</f>
        <v/>
      </c>
      <c r="L31" s="28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8">
        <f>IF($A31="","",IFERROR(INDEX(計算用!$M$2:$M$186,MATCH("男"&amp;$A31&amp;"-4",計算用!$AN$2:$AN$186,0)),""))</f>
        <v/>
      </c>
      <c r="O31" s="28">
        <f>IF($A31="","",IFERROR(INDEX(計算用!$I$2:$I$186,MATCH("男"&amp;$A31&amp;"-4",計算用!$AN$2:$AN$186,0)),""))</f>
        <v/>
      </c>
      <c r="P31">
        <f>IF($A31="","",IFERROR(INDEX(計算用!$D$2:$D$186,MATCH("男"&amp;$A31&amp;"-5",計算用!$AN$2:$AN$186,0)),""))</f>
        <v/>
      </c>
      <c r="Q31" s="28">
        <f>IF($A31="","",IFERROR(INDEX(計算用!$M$2:$M$186,MATCH("男"&amp;$A31&amp;"-5",計算用!$AN$2:$AN$186,0)),""))</f>
        <v/>
      </c>
      <c r="R31" s="28">
        <f>IF($A31="","",IFERROR(INDEX(計算用!$I$2:$I$186,MATCH("男"&amp;$A31&amp;"-5",計算用!$AN$2:$AN$186,0)),""))</f>
        <v/>
      </c>
      <c r="T31" s="28">
        <f>IF(ROW()-3&lt;=計算用!$Q$11,ROW()-3,"")</f>
        <v/>
      </c>
      <c r="U31" s="28">
        <f>IF($T31="","",INDEX(計算用!$AC$2:$AC$51,$T31))</f>
        <v/>
      </c>
      <c r="V31" s="28">
        <f>IF($T31="","","赤"&amp;INDEX(計算用!$AF$2:$AF$51,$T31)&amp;"白"&amp;INDEX(計算用!$AG$2:$AG$51,$T31))</f>
        <v/>
      </c>
      <c r="W31">
        <f>IF($T31="","",IFERROR(INDEX(計算用!$D$2:$D$186,MATCH("女"&amp;$T31&amp;"-1",計算用!$AN$2:$AN$186,0)),""))</f>
        <v/>
      </c>
      <c r="X31" s="28">
        <f>IF($T31="","",IFERROR(INDEX(計算用!$M$2:$M$186,MATCH("女"&amp;$T31&amp;"-1",計算用!$AN$2:$AN$186,0)),""))</f>
        <v/>
      </c>
      <c r="Y31" s="28">
        <f>IF($T31="","",IFERROR(INDEX(計算用!$I$2:$I$186,MATCH("女"&amp;$T31&amp;"-1",計算用!$AN$2:$AN$186,0)),""))</f>
        <v/>
      </c>
      <c r="Z31">
        <f>IF($T31="","",IFERROR(INDEX(計算用!$D$2:$D$186,MATCH("女"&amp;$T31&amp;"-2",計算用!$AN$2:$AN$186,0)),""))</f>
        <v/>
      </c>
      <c r="AA31" s="28">
        <f>IF($T31="","",IFERROR(INDEX(計算用!$M$2:$M$186,MATCH("女"&amp;$T31&amp;"-2",計算用!$AN$2:$AN$186,0)),""))</f>
        <v/>
      </c>
      <c r="AB31" s="28">
        <f>IF($T31="","",IFERROR(INDEX(計算用!$I$2:$I$186,MATCH("女"&amp;$T31&amp;"-2",計算用!$AN$2:$AN$186,0)),""))</f>
        <v/>
      </c>
      <c r="AC31">
        <f>IF($T31="","",IFERROR(INDEX(計算用!$D$2:$D$186,MATCH("女"&amp;$T31&amp;"-3",計算用!$AN$2:$AN$186,0)),""))</f>
        <v/>
      </c>
      <c r="AD31" s="28">
        <f>IF($T31="","",IFERROR(INDEX(計算用!$M$2:$M$186,MATCH("女"&amp;$T31&amp;"-3",計算用!$AN$2:$AN$186,0)),""))</f>
        <v/>
      </c>
      <c r="AE31" s="28">
        <f>IF($T31="","",IFERROR(INDEX(計算用!$I$2:$I$186,MATCH("女"&amp;$T31&amp;"-3",計算用!$AN$2:$AN$186,0)),""))</f>
        <v/>
      </c>
      <c r="AF31">
        <f>IF($T31="","",IFERROR(INDEX(計算用!$D$2:$D$186,MATCH("女"&amp;$T31&amp;"-4",計算用!$AN$2:$AN$186,0)),""))</f>
        <v/>
      </c>
      <c r="AG31" s="28">
        <f>IF($T31="","",IFERROR(INDEX(計算用!$M$2:$M$186,MATCH("女"&amp;$T31&amp;"-4",計算用!$AN$2:$AN$186,0)),""))</f>
        <v/>
      </c>
      <c r="AH31" s="28">
        <f>IF($T31="","",IFERROR(INDEX(計算用!$I$2:$I$186,MATCH("女"&amp;$T31&amp;"-4",計算用!$AN$2:$AN$186,0)),""))</f>
        <v/>
      </c>
      <c r="AI31">
        <f>IF($T31="","",IFERROR(INDEX(計算用!$D$2:$D$186,MATCH("女"&amp;$T31&amp;"-5",計算用!$AN$2:$AN$186,0)),""))</f>
        <v/>
      </c>
      <c r="AJ31" s="28">
        <f>IF($T31="","",IFERROR(INDEX(計算用!$M$2:$M$186,MATCH("女"&amp;$T31&amp;"-5",計算用!$AN$2:$AN$186,0)),""))</f>
        <v/>
      </c>
      <c r="AK31" s="28">
        <f>IF($T31="","",IFERROR(INDEX(計算用!$I$2:$I$186,MATCH("女"&amp;$T31&amp;"-5",計算用!$AN$2:$AN$186,0)),""))</f>
        <v/>
      </c>
    </row>
    <row r="32">
      <c r="A32" s="28">
        <f>IF(ROW()-3&lt;=計算用!$Q$9,ROW()-3,"")</f>
        <v/>
      </c>
      <c r="B32" s="28">
        <f>IF($A32="","",INDEX(計算用!$T$2:$T$51,$A32))</f>
        <v/>
      </c>
      <c r="C32" s="28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8">
        <f>IF($A32="","",IFERROR(INDEX(計算用!$M$2:$M$186,MATCH("男"&amp;$A32&amp;"-1",計算用!$AN$2:$AN$186,0)),""))</f>
        <v/>
      </c>
      <c r="F32" s="28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8">
        <f>IF($A32="","",IFERROR(INDEX(計算用!$M$2:$M$186,MATCH("男"&amp;$A32&amp;"-2",計算用!$AN$2:$AN$186,0)),""))</f>
        <v/>
      </c>
      <c r="I32" s="28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8">
        <f>IF($A32="","",IFERROR(INDEX(計算用!$M$2:$M$186,MATCH("男"&amp;$A32&amp;"-3",計算用!$AN$2:$AN$186,0)),""))</f>
        <v/>
      </c>
      <c r="L32" s="28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8">
        <f>IF($A32="","",IFERROR(INDEX(計算用!$M$2:$M$186,MATCH("男"&amp;$A32&amp;"-4",計算用!$AN$2:$AN$186,0)),""))</f>
        <v/>
      </c>
      <c r="O32" s="28">
        <f>IF($A32="","",IFERROR(INDEX(計算用!$I$2:$I$186,MATCH("男"&amp;$A32&amp;"-4",計算用!$AN$2:$AN$186,0)),""))</f>
        <v/>
      </c>
      <c r="P32">
        <f>IF($A32="","",IFERROR(INDEX(計算用!$D$2:$D$186,MATCH("男"&amp;$A32&amp;"-5",計算用!$AN$2:$AN$186,0)),""))</f>
        <v/>
      </c>
      <c r="Q32" s="28">
        <f>IF($A32="","",IFERROR(INDEX(計算用!$M$2:$M$186,MATCH("男"&amp;$A32&amp;"-5",計算用!$AN$2:$AN$186,0)),""))</f>
        <v/>
      </c>
      <c r="R32" s="28">
        <f>IF($A32="","",IFERROR(INDEX(計算用!$I$2:$I$186,MATCH("男"&amp;$A32&amp;"-5",計算用!$AN$2:$AN$186,0)),""))</f>
        <v/>
      </c>
      <c r="T32" s="28">
        <f>IF(ROW()-3&lt;=計算用!$Q$11,ROW()-3,"")</f>
        <v/>
      </c>
      <c r="U32" s="28">
        <f>IF($T32="","",INDEX(計算用!$AC$2:$AC$51,$T32))</f>
        <v/>
      </c>
      <c r="V32" s="28">
        <f>IF($T32="","","赤"&amp;INDEX(計算用!$AF$2:$AF$51,$T32)&amp;"白"&amp;INDEX(計算用!$AG$2:$AG$51,$T32))</f>
        <v/>
      </c>
      <c r="W32">
        <f>IF($T32="","",IFERROR(INDEX(計算用!$D$2:$D$186,MATCH("女"&amp;$T32&amp;"-1",計算用!$AN$2:$AN$186,0)),""))</f>
        <v/>
      </c>
      <c r="X32" s="28">
        <f>IF($T32="","",IFERROR(INDEX(計算用!$M$2:$M$186,MATCH("女"&amp;$T32&amp;"-1",計算用!$AN$2:$AN$186,0)),""))</f>
        <v/>
      </c>
      <c r="Y32" s="28">
        <f>IF($T32="","",IFERROR(INDEX(計算用!$I$2:$I$186,MATCH("女"&amp;$T32&amp;"-1",計算用!$AN$2:$AN$186,0)),""))</f>
        <v/>
      </c>
      <c r="Z32">
        <f>IF($T32="","",IFERROR(INDEX(計算用!$D$2:$D$186,MATCH("女"&amp;$T32&amp;"-2",計算用!$AN$2:$AN$186,0)),""))</f>
        <v/>
      </c>
      <c r="AA32" s="28">
        <f>IF($T32="","",IFERROR(INDEX(計算用!$M$2:$M$186,MATCH("女"&amp;$T32&amp;"-2",計算用!$AN$2:$AN$186,0)),""))</f>
        <v/>
      </c>
      <c r="AB32" s="28">
        <f>IF($T32="","",IFERROR(INDEX(計算用!$I$2:$I$186,MATCH("女"&amp;$T32&amp;"-2",計算用!$AN$2:$AN$186,0)),""))</f>
        <v/>
      </c>
      <c r="AC32">
        <f>IF($T32="","",IFERROR(INDEX(計算用!$D$2:$D$186,MATCH("女"&amp;$T32&amp;"-3",計算用!$AN$2:$AN$186,0)),""))</f>
        <v/>
      </c>
      <c r="AD32" s="28">
        <f>IF($T32="","",IFERROR(INDEX(計算用!$M$2:$M$186,MATCH("女"&amp;$T32&amp;"-3",計算用!$AN$2:$AN$186,0)),""))</f>
        <v/>
      </c>
      <c r="AE32" s="28">
        <f>IF($T32="","",IFERROR(INDEX(計算用!$I$2:$I$186,MATCH("女"&amp;$T32&amp;"-3",計算用!$AN$2:$AN$186,0)),""))</f>
        <v/>
      </c>
      <c r="AF32">
        <f>IF($T32="","",IFERROR(INDEX(計算用!$D$2:$D$186,MATCH("女"&amp;$T32&amp;"-4",計算用!$AN$2:$AN$186,0)),""))</f>
        <v/>
      </c>
      <c r="AG32" s="28">
        <f>IF($T32="","",IFERROR(INDEX(計算用!$M$2:$M$186,MATCH("女"&amp;$T32&amp;"-4",計算用!$AN$2:$AN$186,0)),""))</f>
        <v/>
      </c>
      <c r="AH32" s="28">
        <f>IF($T32="","",IFERROR(INDEX(計算用!$I$2:$I$186,MATCH("女"&amp;$T32&amp;"-4",計算用!$AN$2:$AN$186,0)),""))</f>
        <v/>
      </c>
      <c r="AI32">
        <f>IF($T32="","",IFERROR(INDEX(計算用!$D$2:$D$186,MATCH("女"&amp;$T32&amp;"-5",計算用!$AN$2:$AN$186,0)),""))</f>
        <v/>
      </c>
      <c r="AJ32" s="28">
        <f>IF($T32="","",IFERROR(INDEX(計算用!$M$2:$M$186,MATCH("女"&amp;$T32&amp;"-5",計算用!$AN$2:$AN$186,0)),""))</f>
        <v/>
      </c>
      <c r="AK32" s="28">
        <f>IF($T32="","",IFERROR(INDEX(計算用!$I$2:$I$186,MATCH("女"&amp;$T32&amp;"-5",計算用!$AN$2:$AN$186,0)),""))</f>
        <v/>
      </c>
    </row>
    <row r="33">
      <c r="A33" s="28">
        <f>IF(ROW()-3&lt;=計算用!$Q$9,ROW()-3,"")</f>
        <v/>
      </c>
      <c r="B33" s="28">
        <f>IF($A33="","",INDEX(計算用!$T$2:$T$51,$A33))</f>
        <v/>
      </c>
      <c r="C33" s="28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8">
        <f>IF($A33="","",IFERROR(INDEX(計算用!$M$2:$M$186,MATCH("男"&amp;$A33&amp;"-1",計算用!$AN$2:$AN$186,0)),""))</f>
        <v/>
      </c>
      <c r="F33" s="28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8">
        <f>IF($A33="","",IFERROR(INDEX(計算用!$M$2:$M$186,MATCH("男"&amp;$A33&amp;"-2",計算用!$AN$2:$AN$186,0)),""))</f>
        <v/>
      </c>
      <c r="I33" s="28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8">
        <f>IF($A33="","",IFERROR(INDEX(計算用!$M$2:$M$186,MATCH("男"&amp;$A33&amp;"-3",計算用!$AN$2:$AN$186,0)),""))</f>
        <v/>
      </c>
      <c r="L33" s="28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8">
        <f>IF($A33="","",IFERROR(INDEX(計算用!$M$2:$M$186,MATCH("男"&amp;$A33&amp;"-4",計算用!$AN$2:$AN$186,0)),""))</f>
        <v/>
      </c>
      <c r="O33" s="28">
        <f>IF($A33="","",IFERROR(INDEX(計算用!$I$2:$I$186,MATCH("男"&amp;$A33&amp;"-4",計算用!$AN$2:$AN$186,0)),""))</f>
        <v/>
      </c>
      <c r="P33">
        <f>IF($A33="","",IFERROR(INDEX(計算用!$D$2:$D$186,MATCH("男"&amp;$A33&amp;"-5",計算用!$AN$2:$AN$186,0)),""))</f>
        <v/>
      </c>
      <c r="Q33" s="28">
        <f>IF($A33="","",IFERROR(INDEX(計算用!$M$2:$M$186,MATCH("男"&amp;$A33&amp;"-5",計算用!$AN$2:$AN$186,0)),""))</f>
        <v/>
      </c>
      <c r="R33" s="28">
        <f>IF($A33="","",IFERROR(INDEX(計算用!$I$2:$I$186,MATCH("男"&amp;$A33&amp;"-5",計算用!$AN$2:$AN$186,0)),""))</f>
        <v/>
      </c>
      <c r="T33" s="28">
        <f>IF(ROW()-3&lt;=計算用!$Q$11,ROW()-3,"")</f>
        <v/>
      </c>
      <c r="U33" s="28">
        <f>IF($T33="","",INDEX(計算用!$AC$2:$AC$51,$T33))</f>
        <v/>
      </c>
      <c r="V33" s="28">
        <f>IF($T33="","","赤"&amp;INDEX(計算用!$AF$2:$AF$51,$T33)&amp;"白"&amp;INDEX(計算用!$AG$2:$AG$51,$T33))</f>
        <v/>
      </c>
      <c r="W33">
        <f>IF($T33="","",IFERROR(INDEX(計算用!$D$2:$D$186,MATCH("女"&amp;$T33&amp;"-1",計算用!$AN$2:$AN$186,0)),""))</f>
        <v/>
      </c>
      <c r="X33" s="28">
        <f>IF($T33="","",IFERROR(INDEX(計算用!$M$2:$M$186,MATCH("女"&amp;$T33&amp;"-1",計算用!$AN$2:$AN$186,0)),""))</f>
        <v/>
      </c>
      <c r="Y33" s="28">
        <f>IF($T33="","",IFERROR(INDEX(計算用!$I$2:$I$186,MATCH("女"&amp;$T33&amp;"-1",計算用!$AN$2:$AN$186,0)),""))</f>
        <v/>
      </c>
      <c r="Z33">
        <f>IF($T33="","",IFERROR(INDEX(計算用!$D$2:$D$186,MATCH("女"&amp;$T33&amp;"-2",計算用!$AN$2:$AN$186,0)),""))</f>
        <v/>
      </c>
      <c r="AA33" s="28">
        <f>IF($T33="","",IFERROR(INDEX(計算用!$M$2:$M$186,MATCH("女"&amp;$T33&amp;"-2",計算用!$AN$2:$AN$186,0)),""))</f>
        <v/>
      </c>
      <c r="AB33" s="28">
        <f>IF($T33="","",IFERROR(INDEX(計算用!$I$2:$I$186,MATCH("女"&amp;$T33&amp;"-2",計算用!$AN$2:$AN$186,0)),""))</f>
        <v/>
      </c>
      <c r="AC33">
        <f>IF($T33="","",IFERROR(INDEX(計算用!$D$2:$D$186,MATCH("女"&amp;$T33&amp;"-3",計算用!$AN$2:$AN$186,0)),""))</f>
        <v/>
      </c>
      <c r="AD33" s="28">
        <f>IF($T33="","",IFERROR(INDEX(計算用!$M$2:$M$186,MATCH("女"&amp;$T33&amp;"-3",計算用!$AN$2:$AN$186,0)),""))</f>
        <v/>
      </c>
      <c r="AE33" s="28">
        <f>IF($T33="","",IFERROR(INDEX(計算用!$I$2:$I$186,MATCH("女"&amp;$T33&amp;"-3",計算用!$AN$2:$AN$186,0)),""))</f>
        <v/>
      </c>
      <c r="AF33">
        <f>IF($T33="","",IFERROR(INDEX(計算用!$D$2:$D$186,MATCH("女"&amp;$T33&amp;"-4",計算用!$AN$2:$AN$186,0)),""))</f>
        <v/>
      </c>
      <c r="AG33" s="28">
        <f>IF($T33="","",IFERROR(INDEX(計算用!$M$2:$M$186,MATCH("女"&amp;$T33&amp;"-4",計算用!$AN$2:$AN$186,0)),""))</f>
        <v/>
      </c>
      <c r="AH33" s="28">
        <f>IF($T33="","",IFERROR(INDEX(計算用!$I$2:$I$186,MATCH("女"&amp;$T33&amp;"-4",計算用!$AN$2:$AN$186,0)),""))</f>
        <v/>
      </c>
      <c r="AI33">
        <f>IF($T33="","",IFERROR(INDEX(計算用!$D$2:$D$186,MATCH("女"&amp;$T33&amp;"-5",計算用!$AN$2:$AN$186,0)),""))</f>
        <v/>
      </c>
      <c r="AJ33" s="28">
        <f>IF($T33="","",IFERROR(INDEX(計算用!$M$2:$M$186,MATCH("女"&amp;$T33&amp;"-5",計算用!$AN$2:$AN$186,0)),""))</f>
        <v/>
      </c>
      <c r="AK33" s="28">
        <f>IF($T33="","",IFERROR(INDEX(計算用!$I$2:$I$186,MATCH("女"&amp;$T33&amp;"-5",計算用!$AN$2:$AN$186,0)),""))</f>
        <v/>
      </c>
    </row>
    <row r="34">
      <c r="A34" s="28">
        <f>IF(ROW()-3&lt;=計算用!$Q$9,ROW()-3,"")</f>
        <v/>
      </c>
      <c r="B34" s="28">
        <f>IF($A34="","",INDEX(計算用!$T$2:$T$51,$A34))</f>
        <v/>
      </c>
      <c r="C34" s="28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8">
        <f>IF($A34="","",IFERROR(INDEX(計算用!$M$2:$M$186,MATCH("男"&amp;$A34&amp;"-1",計算用!$AN$2:$AN$186,0)),""))</f>
        <v/>
      </c>
      <c r="F34" s="28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8">
        <f>IF($A34="","",IFERROR(INDEX(計算用!$M$2:$M$186,MATCH("男"&amp;$A34&amp;"-2",計算用!$AN$2:$AN$186,0)),""))</f>
        <v/>
      </c>
      <c r="I34" s="28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8">
        <f>IF($A34="","",IFERROR(INDEX(計算用!$M$2:$M$186,MATCH("男"&amp;$A34&amp;"-3",計算用!$AN$2:$AN$186,0)),""))</f>
        <v/>
      </c>
      <c r="L34" s="28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8">
        <f>IF($A34="","",IFERROR(INDEX(計算用!$M$2:$M$186,MATCH("男"&amp;$A34&amp;"-4",計算用!$AN$2:$AN$186,0)),""))</f>
        <v/>
      </c>
      <c r="O34" s="28">
        <f>IF($A34="","",IFERROR(INDEX(計算用!$I$2:$I$186,MATCH("男"&amp;$A34&amp;"-4",計算用!$AN$2:$AN$186,0)),""))</f>
        <v/>
      </c>
      <c r="P34">
        <f>IF($A34="","",IFERROR(INDEX(計算用!$D$2:$D$186,MATCH("男"&amp;$A34&amp;"-5",計算用!$AN$2:$AN$186,0)),""))</f>
        <v/>
      </c>
      <c r="Q34" s="28">
        <f>IF($A34="","",IFERROR(INDEX(計算用!$M$2:$M$186,MATCH("男"&amp;$A34&amp;"-5",計算用!$AN$2:$AN$186,0)),""))</f>
        <v/>
      </c>
      <c r="R34" s="28">
        <f>IF($A34="","",IFERROR(INDEX(計算用!$I$2:$I$186,MATCH("男"&amp;$A34&amp;"-5",計算用!$AN$2:$AN$186,0)),""))</f>
        <v/>
      </c>
      <c r="T34" s="28">
        <f>IF(ROW()-3&lt;=計算用!$Q$11,ROW()-3,"")</f>
        <v/>
      </c>
      <c r="U34" s="28">
        <f>IF($T34="","",INDEX(計算用!$AC$2:$AC$51,$T34))</f>
        <v/>
      </c>
      <c r="V34" s="28">
        <f>IF($T34="","","赤"&amp;INDEX(計算用!$AF$2:$AF$51,$T34)&amp;"白"&amp;INDEX(計算用!$AG$2:$AG$51,$T34))</f>
        <v/>
      </c>
      <c r="W34">
        <f>IF($T34="","",IFERROR(INDEX(計算用!$D$2:$D$186,MATCH("女"&amp;$T34&amp;"-1",計算用!$AN$2:$AN$186,0)),""))</f>
        <v/>
      </c>
      <c r="X34" s="28">
        <f>IF($T34="","",IFERROR(INDEX(計算用!$M$2:$M$186,MATCH("女"&amp;$T34&amp;"-1",計算用!$AN$2:$AN$186,0)),""))</f>
        <v/>
      </c>
      <c r="Y34" s="28">
        <f>IF($T34="","",IFERROR(INDEX(計算用!$I$2:$I$186,MATCH("女"&amp;$T34&amp;"-1",計算用!$AN$2:$AN$186,0)),""))</f>
        <v/>
      </c>
      <c r="Z34">
        <f>IF($T34="","",IFERROR(INDEX(計算用!$D$2:$D$186,MATCH("女"&amp;$T34&amp;"-2",計算用!$AN$2:$AN$186,0)),""))</f>
        <v/>
      </c>
      <c r="AA34" s="28">
        <f>IF($T34="","",IFERROR(INDEX(計算用!$M$2:$M$186,MATCH("女"&amp;$T34&amp;"-2",計算用!$AN$2:$AN$186,0)),""))</f>
        <v/>
      </c>
      <c r="AB34" s="28">
        <f>IF($T34="","",IFERROR(INDEX(計算用!$I$2:$I$186,MATCH("女"&amp;$T34&amp;"-2",計算用!$AN$2:$AN$186,0)),""))</f>
        <v/>
      </c>
      <c r="AC34">
        <f>IF($T34="","",IFERROR(INDEX(計算用!$D$2:$D$186,MATCH("女"&amp;$T34&amp;"-3",計算用!$AN$2:$AN$186,0)),""))</f>
        <v/>
      </c>
      <c r="AD34" s="28">
        <f>IF($T34="","",IFERROR(INDEX(計算用!$M$2:$M$186,MATCH("女"&amp;$T34&amp;"-3",計算用!$AN$2:$AN$186,0)),""))</f>
        <v/>
      </c>
      <c r="AE34" s="28">
        <f>IF($T34="","",IFERROR(INDEX(計算用!$I$2:$I$186,MATCH("女"&amp;$T34&amp;"-3",計算用!$AN$2:$AN$186,0)),""))</f>
        <v/>
      </c>
      <c r="AF34">
        <f>IF($T34="","",IFERROR(INDEX(計算用!$D$2:$D$186,MATCH("女"&amp;$T34&amp;"-4",計算用!$AN$2:$AN$186,0)),""))</f>
        <v/>
      </c>
      <c r="AG34" s="28">
        <f>IF($T34="","",IFERROR(INDEX(計算用!$M$2:$M$186,MATCH("女"&amp;$T34&amp;"-4",計算用!$AN$2:$AN$186,0)),""))</f>
        <v/>
      </c>
      <c r="AH34" s="28">
        <f>IF($T34="","",IFERROR(INDEX(計算用!$I$2:$I$186,MATCH("女"&amp;$T34&amp;"-4",計算用!$AN$2:$AN$186,0)),""))</f>
        <v/>
      </c>
      <c r="AI34">
        <f>IF($T34="","",IFERROR(INDEX(計算用!$D$2:$D$186,MATCH("女"&amp;$T34&amp;"-5",計算用!$AN$2:$AN$186,0)),""))</f>
        <v/>
      </c>
      <c r="AJ34" s="28">
        <f>IF($T34="","",IFERROR(INDEX(計算用!$M$2:$M$186,MATCH("女"&amp;$T34&amp;"-5",計算用!$AN$2:$AN$186,0)),""))</f>
        <v/>
      </c>
      <c r="AK34" s="28">
        <f>IF($T34="","",IFERROR(INDEX(計算用!$I$2:$I$186,MATCH("女"&amp;$T34&amp;"-5",計算用!$AN$2:$AN$186,0)),""))</f>
        <v/>
      </c>
    </row>
    <row r="35">
      <c r="A35" s="28">
        <f>IF(ROW()-3&lt;=計算用!$Q$9,ROW()-3,"")</f>
        <v/>
      </c>
      <c r="B35" s="28">
        <f>IF($A35="","",INDEX(計算用!$T$2:$T$51,$A35))</f>
        <v/>
      </c>
      <c r="C35" s="28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8">
        <f>IF($A35="","",IFERROR(INDEX(計算用!$M$2:$M$186,MATCH("男"&amp;$A35&amp;"-1",計算用!$AN$2:$AN$186,0)),""))</f>
        <v/>
      </c>
      <c r="F35" s="28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8">
        <f>IF($A35="","",IFERROR(INDEX(計算用!$M$2:$M$186,MATCH("男"&amp;$A35&amp;"-2",計算用!$AN$2:$AN$186,0)),""))</f>
        <v/>
      </c>
      <c r="I35" s="28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8">
        <f>IF($A35="","",IFERROR(INDEX(計算用!$M$2:$M$186,MATCH("男"&amp;$A35&amp;"-3",計算用!$AN$2:$AN$186,0)),""))</f>
        <v/>
      </c>
      <c r="L35" s="28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8">
        <f>IF($A35="","",IFERROR(INDEX(計算用!$M$2:$M$186,MATCH("男"&amp;$A35&amp;"-4",計算用!$AN$2:$AN$186,0)),""))</f>
        <v/>
      </c>
      <c r="O35" s="28">
        <f>IF($A35="","",IFERROR(INDEX(計算用!$I$2:$I$186,MATCH("男"&amp;$A35&amp;"-4",計算用!$AN$2:$AN$186,0)),""))</f>
        <v/>
      </c>
      <c r="P35">
        <f>IF($A35="","",IFERROR(INDEX(計算用!$D$2:$D$186,MATCH("男"&amp;$A35&amp;"-5",計算用!$AN$2:$AN$186,0)),""))</f>
        <v/>
      </c>
      <c r="Q35" s="28">
        <f>IF($A35="","",IFERROR(INDEX(計算用!$M$2:$M$186,MATCH("男"&amp;$A35&amp;"-5",計算用!$AN$2:$AN$186,0)),""))</f>
        <v/>
      </c>
      <c r="R35" s="28">
        <f>IF($A35="","",IFERROR(INDEX(計算用!$I$2:$I$186,MATCH("男"&amp;$A35&amp;"-5",計算用!$AN$2:$AN$186,0)),""))</f>
        <v/>
      </c>
      <c r="T35" s="28">
        <f>IF(ROW()-3&lt;=計算用!$Q$11,ROW()-3,"")</f>
        <v/>
      </c>
      <c r="U35" s="28">
        <f>IF($T35="","",INDEX(計算用!$AC$2:$AC$51,$T35))</f>
        <v/>
      </c>
      <c r="V35" s="28">
        <f>IF($T35="","","赤"&amp;INDEX(計算用!$AF$2:$AF$51,$T35)&amp;"白"&amp;INDEX(計算用!$AG$2:$AG$51,$T35))</f>
        <v/>
      </c>
      <c r="W35">
        <f>IF($T35="","",IFERROR(INDEX(計算用!$D$2:$D$186,MATCH("女"&amp;$T35&amp;"-1",計算用!$AN$2:$AN$186,0)),""))</f>
        <v/>
      </c>
      <c r="X35" s="28">
        <f>IF($T35="","",IFERROR(INDEX(計算用!$M$2:$M$186,MATCH("女"&amp;$T35&amp;"-1",計算用!$AN$2:$AN$186,0)),""))</f>
        <v/>
      </c>
      <c r="Y35" s="28">
        <f>IF($T35="","",IFERROR(INDEX(計算用!$I$2:$I$186,MATCH("女"&amp;$T35&amp;"-1",計算用!$AN$2:$AN$186,0)),""))</f>
        <v/>
      </c>
      <c r="Z35">
        <f>IF($T35="","",IFERROR(INDEX(計算用!$D$2:$D$186,MATCH("女"&amp;$T35&amp;"-2",計算用!$AN$2:$AN$186,0)),""))</f>
        <v/>
      </c>
      <c r="AA35" s="28">
        <f>IF($T35="","",IFERROR(INDEX(計算用!$M$2:$M$186,MATCH("女"&amp;$T35&amp;"-2",計算用!$AN$2:$AN$186,0)),""))</f>
        <v/>
      </c>
      <c r="AB35" s="28">
        <f>IF($T35="","",IFERROR(INDEX(計算用!$I$2:$I$186,MATCH("女"&amp;$T35&amp;"-2",計算用!$AN$2:$AN$186,0)),""))</f>
        <v/>
      </c>
      <c r="AC35">
        <f>IF($T35="","",IFERROR(INDEX(計算用!$D$2:$D$186,MATCH("女"&amp;$T35&amp;"-3",計算用!$AN$2:$AN$186,0)),""))</f>
        <v/>
      </c>
      <c r="AD35" s="28">
        <f>IF($T35="","",IFERROR(INDEX(計算用!$M$2:$M$186,MATCH("女"&amp;$T35&amp;"-3",計算用!$AN$2:$AN$186,0)),""))</f>
        <v/>
      </c>
      <c r="AE35" s="28">
        <f>IF($T35="","",IFERROR(INDEX(計算用!$I$2:$I$186,MATCH("女"&amp;$T35&amp;"-3",計算用!$AN$2:$AN$186,0)),""))</f>
        <v/>
      </c>
      <c r="AF35">
        <f>IF($T35="","",IFERROR(INDEX(計算用!$D$2:$D$186,MATCH("女"&amp;$T35&amp;"-4",計算用!$AN$2:$AN$186,0)),""))</f>
        <v/>
      </c>
      <c r="AG35" s="28">
        <f>IF($T35="","",IFERROR(INDEX(計算用!$M$2:$M$186,MATCH("女"&amp;$T35&amp;"-4",計算用!$AN$2:$AN$186,0)),""))</f>
        <v/>
      </c>
      <c r="AH35" s="28">
        <f>IF($T35="","",IFERROR(INDEX(計算用!$I$2:$I$186,MATCH("女"&amp;$T35&amp;"-4",計算用!$AN$2:$AN$186,0)),""))</f>
        <v/>
      </c>
      <c r="AI35">
        <f>IF($T35="","",IFERROR(INDEX(計算用!$D$2:$D$186,MATCH("女"&amp;$T35&amp;"-5",計算用!$AN$2:$AN$186,0)),""))</f>
        <v/>
      </c>
      <c r="AJ35" s="28">
        <f>IF($T35="","",IFERROR(INDEX(計算用!$M$2:$M$186,MATCH("女"&amp;$T35&amp;"-5",計算用!$AN$2:$AN$186,0)),""))</f>
        <v/>
      </c>
      <c r="AK35" s="28">
        <f>IF($T35="","",IFERROR(INDEX(計算用!$I$2:$I$186,MATCH("女"&amp;$T35&amp;"-5",計算用!$AN$2:$AN$186,0)),""))</f>
        <v/>
      </c>
    </row>
    <row r="36">
      <c r="A36" s="28">
        <f>IF(ROW()-3&lt;=計算用!$Q$9,ROW()-3,"")</f>
        <v/>
      </c>
      <c r="B36" s="28">
        <f>IF($A36="","",INDEX(計算用!$T$2:$T$51,$A36))</f>
        <v/>
      </c>
      <c r="C36" s="28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8">
        <f>IF($A36="","",IFERROR(INDEX(計算用!$M$2:$M$186,MATCH("男"&amp;$A36&amp;"-1",計算用!$AN$2:$AN$186,0)),""))</f>
        <v/>
      </c>
      <c r="F36" s="28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8">
        <f>IF($A36="","",IFERROR(INDEX(計算用!$M$2:$M$186,MATCH("男"&amp;$A36&amp;"-2",計算用!$AN$2:$AN$186,0)),""))</f>
        <v/>
      </c>
      <c r="I36" s="28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8">
        <f>IF($A36="","",IFERROR(INDEX(計算用!$M$2:$M$186,MATCH("男"&amp;$A36&amp;"-3",計算用!$AN$2:$AN$186,0)),""))</f>
        <v/>
      </c>
      <c r="L36" s="28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8">
        <f>IF($A36="","",IFERROR(INDEX(計算用!$M$2:$M$186,MATCH("男"&amp;$A36&amp;"-4",計算用!$AN$2:$AN$186,0)),""))</f>
        <v/>
      </c>
      <c r="O36" s="28">
        <f>IF($A36="","",IFERROR(INDEX(計算用!$I$2:$I$186,MATCH("男"&amp;$A36&amp;"-4",計算用!$AN$2:$AN$186,0)),""))</f>
        <v/>
      </c>
      <c r="P36">
        <f>IF($A36="","",IFERROR(INDEX(計算用!$D$2:$D$186,MATCH("男"&amp;$A36&amp;"-5",計算用!$AN$2:$AN$186,0)),""))</f>
        <v/>
      </c>
      <c r="Q36" s="28">
        <f>IF($A36="","",IFERROR(INDEX(計算用!$M$2:$M$186,MATCH("男"&amp;$A36&amp;"-5",計算用!$AN$2:$AN$186,0)),""))</f>
        <v/>
      </c>
      <c r="R36" s="28">
        <f>IF($A36="","",IFERROR(INDEX(計算用!$I$2:$I$186,MATCH("男"&amp;$A36&amp;"-5",計算用!$AN$2:$AN$186,0)),""))</f>
        <v/>
      </c>
      <c r="T36" s="28">
        <f>IF(ROW()-3&lt;=計算用!$Q$11,ROW()-3,"")</f>
        <v/>
      </c>
      <c r="U36" s="28">
        <f>IF($T36="","",INDEX(計算用!$AC$2:$AC$51,$T36))</f>
        <v/>
      </c>
      <c r="V36" s="28">
        <f>IF($T36="","","赤"&amp;INDEX(計算用!$AF$2:$AF$51,$T36)&amp;"白"&amp;INDEX(計算用!$AG$2:$AG$51,$T36))</f>
        <v/>
      </c>
      <c r="W36">
        <f>IF($T36="","",IFERROR(INDEX(計算用!$D$2:$D$186,MATCH("女"&amp;$T36&amp;"-1",計算用!$AN$2:$AN$186,0)),""))</f>
        <v/>
      </c>
      <c r="X36" s="28">
        <f>IF($T36="","",IFERROR(INDEX(計算用!$M$2:$M$186,MATCH("女"&amp;$T36&amp;"-1",計算用!$AN$2:$AN$186,0)),""))</f>
        <v/>
      </c>
      <c r="Y36" s="28">
        <f>IF($T36="","",IFERROR(INDEX(計算用!$I$2:$I$186,MATCH("女"&amp;$T36&amp;"-1",計算用!$AN$2:$AN$186,0)),""))</f>
        <v/>
      </c>
      <c r="Z36">
        <f>IF($T36="","",IFERROR(INDEX(計算用!$D$2:$D$186,MATCH("女"&amp;$T36&amp;"-2",計算用!$AN$2:$AN$186,0)),""))</f>
        <v/>
      </c>
      <c r="AA36" s="28">
        <f>IF($T36="","",IFERROR(INDEX(計算用!$M$2:$M$186,MATCH("女"&amp;$T36&amp;"-2",計算用!$AN$2:$AN$186,0)),""))</f>
        <v/>
      </c>
      <c r="AB36" s="28">
        <f>IF($T36="","",IFERROR(INDEX(計算用!$I$2:$I$186,MATCH("女"&amp;$T36&amp;"-2",計算用!$AN$2:$AN$186,0)),""))</f>
        <v/>
      </c>
      <c r="AC36">
        <f>IF($T36="","",IFERROR(INDEX(計算用!$D$2:$D$186,MATCH("女"&amp;$T36&amp;"-3",計算用!$AN$2:$AN$186,0)),""))</f>
        <v/>
      </c>
      <c r="AD36" s="28">
        <f>IF($T36="","",IFERROR(INDEX(計算用!$M$2:$M$186,MATCH("女"&amp;$T36&amp;"-3",計算用!$AN$2:$AN$186,0)),""))</f>
        <v/>
      </c>
      <c r="AE36" s="28">
        <f>IF($T36="","",IFERROR(INDEX(計算用!$I$2:$I$186,MATCH("女"&amp;$T36&amp;"-3",計算用!$AN$2:$AN$186,0)),""))</f>
        <v/>
      </c>
      <c r="AF36">
        <f>IF($T36="","",IFERROR(INDEX(計算用!$D$2:$D$186,MATCH("女"&amp;$T36&amp;"-4",計算用!$AN$2:$AN$186,0)),""))</f>
        <v/>
      </c>
      <c r="AG36" s="28">
        <f>IF($T36="","",IFERROR(INDEX(計算用!$M$2:$M$186,MATCH("女"&amp;$T36&amp;"-4",計算用!$AN$2:$AN$186,0)),""))</f>
        <v/>
      </c>
      <c r="AH36" s="28">
        <f>IF($T36="","",IFERROR(INDEX(計算用!$I$2:$I$186,MATCH("女"&amp;$T36&amp;"-4",計算用!$AN$2:$AN$186,0)),""))</f>
        <v/>
      </c>
      <c r="AI36">
        <f>IF($T36="","",IFERROR(INDEX(計算用!$D$2:$D$186,MATCH("女"&amp;$T36&amp;"-5",計算用!$AN$2:$AN$186,0)),""))</f>
        <v/>
      </c>
      <c r="AJ36" s="28">
        <f>IF($T36="","",IFERROR(INDEX(計算用!$M$2:$M$186,MATCH("女"&amp;$T36&amp;"-5",計算用!$AN$2:$AN$186,0)),""))</f>
        <v/>
      </c>
      <c r="AK36" s="28">
        <f>IF($T36="","",IFERROR(INDEX(計算用!$I$2:$I$186,MATCH("女"&amp;$T36&amp;"-5",計算用!$AN$2:$AN$186,0)),""))</f>
        <v/>
      </c>
    </row>
    <row r="37">
      <c r="A37" s="28">
        <f>IF(ROW()-3&lt;=計算用!$Q$9,ROW()-3,"")</f>
        <v/>
      </c>
      <c r="B37" s="28">
        <f>IF($A37="","",INDEX(計算用!$T$2:$T$51,$A37))</f>
        <v/>
      </c>
      <c r="C37" s="28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8">
        <f>IF($A37="","",IFERROR(INDEX(計算用!$M$2:$M$186,MATCH("男"&amp;$A37&amp;"-1",計算用!$AN$2:$AN$186,0)),""))</f>
        <v/>
      </c>
      <c r="F37" s="28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8">
        <f>IF($A37="","",IFERROR(INDEX(計算用!$M$2:$M$186,MATCH("男"&amp;$A37&amp;"-2",計算用!$AN$2:$AN$186,0)),""))</f>
        <v/>
      </c>
      <c r="I37" s="28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8">
        <f>IF($A37="","",IFERROR(INDEX(計算用!$M$2:$M$186,MATCH("男"&amp;$A37&amp;"-3",計算用!$AN$2:$AN$186,0)),""))</f>
        <v/>
      </c>
      <c r="L37" s="28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8">
        <f>IF($A37="","",IFERROR(INDEX(計算用!$M$2:$M$186,MATCH("男"&amp;$A37&amp;"-4",計算用!$AN$2:$AN$186,0)),""))</f>
        <v/>
      </c>
      <c r="O37" s="28">
        <f>IF($A37="","",IFERROR(INDEX(計算用!$I$2:$I$186,MATCH("男"&amp;$A37&amp;"-4",計算用!$AN$2:$AN$186,0)),""))</f>
        <v/>
      </c>
      <c r="P37">
        <f>IF($A37="","",IFERROR(INDEX(計算用!$D$2:$D$186,MATCH("男"&amp;$A37&amp;"-5",計算用!$AN$2:$AN$186,0)),""))</f>
        <v/>
      </c>
      <c r="Q37" s="28">
        <f>IF($A37="","",IFERROR(INDEX(計算用!$M$2:$M$186,MATCH("男"&amp;$A37&amp;"-5",計算用!$AN$2:$AN$186,0)),""))</f>
        <v/>
      </c>
      <c r="R37" s="28">
        <f>IF($A37="","",IFERROR(INDEX(計算用!$I$2:$I$186,MATCH("男"&amp;$A37&amp;"-5",計算用!$AN$2:$AN$186,0)),""))</f>
        <v/>
      </c>
      <c r="T37" s="28">
        <f>IF(ROW()-3&lt;=計算用!$Q$11,ROW()-3,"")</f>
        <v/>
      </c>
      <c r="U37" s="28">
        <f>IF($T37="","",INDEX(計算用!$AC$2:$AC$51,$T37))</f>
        <v/>
      </c>
      <c r="V37" s="28">
        <f>IF($T37="","","赤"&amp;INDEX(計算用!$AF$2:$AF$51,$T37)&amp;"白"&amp;INDEX(計算用!$AG$2:$AG$51,$T37))</f>
        <v/>
      </c>
      <c r="W37">
        <f>IF($T37="","",IFERROR(INDEX(計算用!$D$2:$D$186,MATCH("女"&amp;$T37&amp;"-1",計算用!$AN$2:$AN$186,0)),""))</f>
        <v/>
      </c>
      <c r="X37" s="28">
        <f>IF($T37="","",IFERROR(INDEX(計算用!$M$2:$M$186,MATCH("女"&amp;$T37&amp;"-1",計算用!$AN$2:$AN$186,0)),""))</f>
        <v/>
      </c>
      <c r="Y37" s="28">
        <f>IF($T37="","",IFERROR(INDEX(計算用!$I$2:$I$186,MATCH("女"&amp;$T37&amp;"-1",計算用!$AN$2:$AN$186,0)),""))</f>
        <v/>
      </c>
      <c r="Z37">
        <f>IF($T37="","",IFERROR(INDEX(計算用!$D$2:$D$186,MATCH("女"&amp;$T37&amp;"-2",計算用!$AN$2:$AN$186,0)),""))</f>
        <v/>
      </c>
      <c r="AA37" s="28">
        <f>IF($T37="","",IFERROR(INDEX(計算用!$M$2:$M$186,MATCH("女"&amp;$T37&amp;"-2",計算用!$AN$2:$AN$186,0)),""))</f>
        <v/>
      </c>
      <c r="AB37" s="28">
        <f>IF($T37="","",IFERROR(INDEX(計算用!$I$2:$I$186,MATCH("女"&amp;$T37&amp;"-2",計算用!$AN$2:$AN$186,0)),""))</f>
        <v/>
      </c>
      <c r="AC37">
        <f>IF($T37="","",IFERROR(INDEX(計算用!$D$2:$D$186,MATCH("女"&amp;$T37&amp;"-3",計算用!$AN$2:$AN$186,0)),""))</f>
        <v/>
      </c>
      <c r="AD37" s="28">
        <f>IF($T37="","",IFERROR(INDEX(計算用!$M$2:$M$186,MATCH("女"&amp;$T37&amp;"-3",計算用!$AN$2:$AN$186,0)),""))</f>
        <v/>
      </c>
      <c r="AE37" s="28">
        <f>IF($T37="","",IFERROR(INDEX(計算用!$I$2:$I$186,MATCH("女"&amp;$T37&amp;"-3",計算用!$AN$2:$AN$186,0)),""))</f>
        <v/>
      </c>
      <c r="AF37">
        <f>IF($T37="","",IFERROR(INDEX(計算用!$D$2:$D$186,MATCH("女"&amp;$T37&amp;"-4",計算用!$AN$2:$AN$186,0)),""))</f>
        <v/>
      </c>
      <c r="AG37" s="28">
        <f>IF($T37="","",IFERROR(INDEX(計算用!$M$2:$M$186,MATCH("女"&amp;$T37&amp;"-4",計算用!$AN$2:$AN$186,0)),""))</f>
        <v/>
      </c>
      <c r="AH37" s="28">
        <f>IF($T37="","",IFERROR(INDEX(計算用!$I$2:$I$186,MATCH("女"&amp;$T37&amp;"-4",計算用!$AN$2:$AN$186,0)),""))</f>
        <v/>
      </c>
      <c r="AI37">
        <f>IF($T37="","",IFERROR(INDEX(計算用!$D$2:$D$186,MATCH("女"&amp;$T37&amp;"-5",計算用!$AN$2:$AN$186,0)),""))</f>
        <v/>
      </c>
      <c r="AJ37" s="28">
        <f>IF($T37="","",IFERROR(INDEX(計算用!$M$2:$M$186,MATCH("女"&amp;$T37&amp;"-5",計算用!$AN$2:$AN$186,0)),""))</f>
        <v/>
      </c>
      <c r="AK37" s="28">
        <f>IF($T37="","",IFERROR(INDEX(計算用!$I$2:$I$186,MATCH("女"&amp;$T37&amp;"-5",計算用!$AN$2:$AN$186,0)),""))</f>
        <v/>
      </c>
    </row>
    <row r="38">
      <c r="A38" s="28">
        <f>IF(ROW()-3&lt;=計算用!$Q$9,ROW()-3,"")</f>
        <v/>
      </c>
      <c r="B38" s="28">
        <f>IF($A38="","",INDEX(計算用!$T$2:$T$51,$A38))</f>
        <v/>
      </c>
      <c r="C38" s="28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8">
        <f>IF($A38="","",IFERROR(INDEX(計算用!$M$2:$M$186,MATCH("男"&amp;$A38&amp;"-1",計算用!$AN$2:$AN$186,0)),""))</f>
        <v/>
      </c>
      <c r="F38" s="28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8">
        <f>IF($A38="","",IFERROR(INDEX(計算用!$M$2:$M$186,MATCH("男"&amp;$A38&amp;"-2",計算用!$AN$2:$AN$186,0)),""))</f>
        <v/>
      </c>
      <c r="I38" s="28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8">
        <f>IF($A38="","",IFERROR(INDEX(計算用!$M$2:$M$186,MATCH("男"&amp;$A38&amp;"-3",計算用!$AN$2:$AN$186,0)),""))</f>
        <v/>
      </c>
      <c r="L38" s="28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8">
        <f>IF($A38="","",IFERROR(INDEX(計算用!$M$2:$M$186,MATCH("男"&amp;$A38&amp;"-4",計算用!$AN$2:$AN$186,0)),""))</f>
        <v/>
      </c>
      <c r="O38" s="28">
        <f>IF($A38="","",IFERROR(INDEX(計算用!$I$2:$I$186,MATCH("男"&amp;$A38&amp;"-4",計算用!$AN$2:$AN$186,0)),""))</f>
        <v/>
      </c>
      <c r="P38">
        <f>IF($A38="","",IFERROR(INDEX(計算用!$D$2:$D$186,MATCH("男"&amp;$A38&amp;"-5",計算用!$AN$2:$AN$186,0)),""))</f>
        <v/>
      </c>
      <c r="Q38" s="28">
        <f>IF($A38="","",IFERROR(INDEX(計算用!$M$2:$M$186,MATCH("男"&amp;$A38&amp;"-5",計算用!$AN$2:$AN$186,0)),""))</f>
        <v/>
      </c>
      <c r="R38" s="28">
        <f>IF($A38="","",IFERROR(INDEX(計算用!$I$2:$I$186,MATCH("男"&amp;$A38&amp;"-5",計算用!$AN$2:$AN$186,0)),""))</f>
        <v/>
      </c>
      <c r="T38" s="28">
        <f>IF(ROW()-3&lt;=計算用!$Q$11,ROW()-3,"")</f>
        <v/>
      </c>
      <c r="U38" s="28">
        <f>IF($T38="","",INDEX(計算用!$AC$2:$AC$51,$T38))</f>
        <v/>
      </c>
      <c r="V38" s="28">
        <f>IF($T38="","","赤"&amp;INDEX(計算用!$AF$2:$AF$51,$T38)&amp;"白"&amp;INDEX(計算用!$AG$2:$AG$51,$T38))</f>
        <v/>
      </c>
      <c r="W38">
        <f>IF($T38="","",IFERROR(INDEX(計算用!$D$2:$D$186,MATCH("女"&amp;$T38&amp;"-1",計算用!$AN$2:$AN$186,0)),""))</f>
        <v/>
      </c>
      <c r="X38" s="28">
        <f>IF($T38="","",IFERROR(INDEX(計算用!$M$2:$M$186,MATCH("女"&amp;$T38&amp;"-1",計算用!$AN$2:$AN$186,0)),""))</f>
        <v/>
      </c>
      <c r="Y38" s="28">
        <f>IF($T38="","",IFERROR(INDEX(計算用!$I$2:$I$186,MATCH("女"&amp;$T38&amp;"-1",計算用!$AN$2:$AN$186,0)),""))</f>
        <v/>
      </c>
      <c r="Z38">
        <f>IF($T38="","",IFERROR(INDEX(計算用!$D$2:$D$186,MATCH("女"&amp;$T38&amp;"-2",計算用!$AN$2:$AN$186,0)),""))</f>
        <v/>
      </c>
      <c r="AA38" s="28">
        <f>IF($T38="","",IFERROR(INDEX(計算用!$M$2:$M$186,MATCH("女"&amp;$T38&amp;"-2",計算用!$AN$2:$AN$186,0)),""))</f>
        <v/>
      </c>
      <c r="AB38" s="28">
        <f>IF($T38="","",IFERROR(INDEX(計算用!$I$2:$I$186,MATCH("女"&amp;$T38&amp;"-2",計算用!$AN$2:$AN$186,0)),""))</f>
        <v/>
      </c>
      <c r="AC38">
        <f>IF($T38="","",IFERROR(INDEX(計算用!$D$2:$D$186,MATCH("女"&amp;$T38&amp;"-3",計算用!$AN$2:$AN$186,0)),""))</f>
        <v/>
      </c>
      <c r="AD38" s="28">
        <f>IF($T38="","",IFERROR(INDEX(計算用!$M$2:$M$186,MATCH("女"&amp;$T38&amp;"-3",計算用!$AN$2:$AN$186,0)),""))</f>
        <v/>
      </c>
      <c r="AE38" s="28">
        <f>IF($T38="","",IFERROR(INDEX(計算用!$I$2:$I$186,MATCH("女"&amp;$T38&amp;"-3",計算用!$AN$2:$AN$186,0)),""))</f>
        <v/>
      </c>
      <c r="AF38">
        <f>IF($T38="","",IFERROR(INDEX(計算用!$D$2:$D$186,MATCH("女"&amp;$T38&amp;"-4",計算用!$AN$2:$AN$186,0)),""))</f>
        <v/>
      </c>
      <c r="AG38" s="28">
        <f>IF($T38="","",IFERROR(INDEX(計算用!$M$2:$M$186,MATCH("女"&amp;$T38&amp;"-4",計算用!$AN$2:$AN$186,0)),""))</f>
        <v/>
      </c>
      <c r="AH38" s="28">
        <f>IF($T38="","",IFERROR(INDEX(計算用!$I$2:$I$186,MATCH("女"&amp;$T38&amp;"-4",計算用!$AN$2:$AN$186,0)),""))</f>
        <v/>
      </c>
      <c r="AI38">
        <f>IF($T38="","",IFERROR(INDEX(計算用!$D$2:$D$186,MATCH("女"&amp;$T38&amp;"-5",計算用!$AN$2:$AN$186,0)),""))</f>
        <v/>
      </c>
      <c r="AJ38" s="28">
        <f>IF($T38="","",IFERROR(INDEX(計算用!$M$2:$M$186,MATCH("女"&amp;$T38&amp;"-5",計算用!$AN$2:$AN$186,0)),""))</f>
        <v/>
      </c>
      <c r="AK38" s="28">
        <f>IF($T38="","",IFERROR(INDEX(計算用!$I$2:$I$186,MATCH("女"&amp;$T38&amp;"-5",計算用!$AN$2:$AN$186,0)),""))</f>
        <v/>
      </c>
    </row>
    <row r="39">
      <c r="A39" s="28">
        <f>IF(ROW()-3&lt;=計算用!$Q$9,ROW()-3,"")</f>
        <v/>
      </c>
      <c r="B39" s="28">
        <f>IF($A39="","",INDEX(計算用!$T$2:$T$51,$A39))</f>
        <v/>
      </c>
      <c r="C39" s="28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8">
        <f>IF($A39="","",IFERROR(INDEX(計算用!$M$2:$M$186,MATCH("男"&amp;$A39&amp;"-1",計算用!$AN$2:$AN$186,0)),""))</f>
        <v/>
      </c>
      <c r="F39" s="28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8">
        <f>IF($A39="","",IFERROR(INDEX(計算用!$M$2:$M$186,MATCH("男"&amp;$A39&amp;"-2",計算用!$AN$2:$AN$186,0)),""))</f>
        <v/>
      </c>
      <c r="I39" s="28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8">
        <f>IF($A39="","",IFERROR(INDEX(計算用!$M$2:$M$186,MATCH("男"&amp;$A39&amp;"-3",計算用!$AN$2:$AN$186,0)),""))</f>
        <v/>
      </c>
      <c r="L39" s="28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8">
        <f>IF($A39="","",IFERROR(INDEX(計算用!$M$2:$M$186,MATCH("男"&amp;$A39&amp;"-4",計算用!$AN$2:$AN$186,0)),""))</f>
        <v/>
      </c>
      <c r="O39" s="28">
        <f>IF($A39="","",IFERROR(INDEX(計算用!$I$2:$I$186,MATCH("男"&amp;$A39&amp;"-4",計算用!$AN$2:$AN$186,0)),""))</f>
        <v/>
      </c>
      <c r="P39">
        <f>IF($A39="","",IFERROR(INDEX(計算用!$D$2:$D$186,MATCH("男"&amp;$A39&amp;"-5",計算用!$AN$2:$AN$186,0)),""))</f>
        <v/>
      </c>
      <c r="Q39" s="28">
        <f>IF($A39="","",IFERROR(INDEX(計算用!$M$2:$M$186,MATCH("男"&amp;$A39&amp;"-5",計算用!$AN$2:$AN$186,0)),""))</f>
        <v/>
      </c>
      <c r="R39" s="28">
        <f>IF($A39="","",IFERROR(INDEX(計算用!$I$2:$I$186,MATCH("男"&amp;$A39&amp;"-5",計算用!$AN$2:$AN$186,0)),""))</f>
        <v/>
      </c>
      <c r="T39" s="28">
        <f>IF(ROW()-3&lt;=計算用!$Q$11,ROW()-3,"")</f>
        <v/>
      </c>
      <c r="U39" s="28">
        <f>IF($T39="","",INDEX(計算用!$AC$2:$AC$51,$T39))</f>
        <v/>
      </c>
      <c r="V39" s="28">
        <f>IF($T39="","","赤"&amp;INDEX(計算用!$AF$2:$AF$51,$T39)&amp;"白"&amp;INDEX(計算用!$AG$2:$AG$51,$T39))</f>
        <v/>
      </c>
      <c r="W39">
        <f>IF($T39="","",IFERROR(INDEX(計算用!$D$2:$D$186,MATCH("女"&amp;$T39&amp;"-1",計算用!$AN$2:$AN$186,0)),""))</f>
        <v/>
      </c>
      <c r="X39" s="28">
        <f>IF($T39="","",IFERROR(INDEX(計算用!$M$2:$M$186,MATCH("女"&amp;$T39&amp;"-1",計算用!$AN$2:$AN$186,0)),""))</f>
        <v/>
      </c>
      <c r="Y39" s="28">
        <f>IF($T39="","",IFERROR(INDEX(計算用!$I$2:$I$186,MATCH("女"&amp;$T39&amp;"-1",計算用!$AN$2:$AN$186,0)),""))</f>
        <v/>
      </c>
      <c r="Z39">
        <f>IF($T39="","",IFERROR(INDEX(計算用!$D$2:$D$186,MATCH("女"&amp;$T39&amp;"-2",計算用!$AN$2:$AN$186,0)),""))</f>
        <v/>
      </c>
      <c r="AA39" s="28">
        <f>IF($T39="","",IFERROR(INDEX(計算用!$M$2:$M$186,MATCH("女"&amp;$T39&amp;"-2",計算用!$AN$2:$AN$186,0)),""))</f>
        <v/>
      </c>
      <c r="AB39" s="28">
        <f>IF($T39="","",IFERROR(INDEX(計算用!$I$2:$I$186,MATCH("女"&amp;$T39&amp;"-2",計算用!$AN$2:$AN$186,0)),""))</f>
        <v/>
      </c>
      <c r="AC39">
        <f>IF($T39="","",IFERROR(INDEX(計算用!$D$2:$D$186,MATCH("女"&amp;$T39&amp;"-3",計算用!$AN$2:$AN$186,0)),""))</f>
        <v/>
      </c>
      <c r="AD39" s="28">
        <f>IF($T39="","",IFERROR(INDEX(計算用!$M$2:$M$186,MATCH("女"&amp;$T39&amp;"-3",計算用!$AN$2:$AN$186,0)),""))</f>
        <v/>
      </c>
      <c r="AE39" s="28">
        <f>IF($T39="","",IFERROR(INDEX(計算用!$I$2:$I$186,MATCH("女"&amp;$T39&amp;"-3",計算用!$AN$2:$AN$186,0)),""))</f>
        <v/>
      </c>
      <c r="AF39">
        <f>IF($T39="","",IFERROR(INDEX(計算用!$D$2:$D$186,MATCH("女"&amp;$T39&amp;"-4",計算用!$AN$2:$AN$186,0)),""))</f>
        <v/>
      </c>
      <c r="AG39" s="28">
        <f>IF($T39="","",IFERROR(INDEX(計算用!$M$2:$M$186,MATCH("女"&amp;$T39&amp;"-4",計算用!$AN$2:$AN$186,0)),""))</f>
        <v/>
      </c>
      <c r="AH39" s="28">
        <f>IF($T39="","",IFERROR(INDEX(計算用!$I$2:$I$186,MATCH("女"&amp;$T39&amp;"-4",計算用!$AN$2:$AN$186,0)),""))</f>
        <v/>
      </c>
      <c r="AI39">
        <f>IF($T39="","",IFERROR(INDEX(計算用!$D$2:$D$186,MATCH("女"&amp;$T39&amp;"-5",計算用!$AN$2:$AN$186,0)),""))</f>
        <v/>
      </c>
      <c r="AJ39" s="28">
        <f>IF($T39="","",IFERROR(INDEX(計算用!$M$2:$M$186,MATCH("女"&amp;$T39&amp;"-5",計算用!$AN$2:$AN$186,0)),""))</f>
        <v/>
      </c>
      <c r="AK39" s="28">
        <f>IF($T39="","",IFERROR(INDEX(計算用!$I$2:$I$186,MATCH("女"&amp;$T39&amp;"-5",計算用!$AN$2:$AN$186,0)),""))</f>
        <v/>
      </c>
    </row>
    <row r="40">
      <c r="A40" s="28">
        <f>IF(ROW()-3&lt;=計算用!$Q$9,ROW()-3,"")</f>
        <v/>
      </c>
      <c r="B40" s="28">
        <f>IF($A40="","",INDEX(計算用!$T$2:$T$51,$A40))</f>
        <v/>
      </c>
      <c r="C40" s="28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8">
        <f>IF($A40="","",IFERROR(INDEX(計算用!$M$2:$M$186,MATCH("男"&amp;$A40&amp;"-1",計算用!$AN$2:$AN$186,0)),""))</f>
        <v/>
      </c>
      <c r="F40" s="28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8">
        <f>IF($A40="","",IFERROR(INDEX(計算用!$M$2:$M$186,MATCH("男"&amp;$A40&amp;"-2",計算用!$AN$2:$AN$186,0)),""))</f>
        <v/>
      </c>
      <c r="I40" s="28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8">
        <f>IF($A40="","",IFERROR(INDEX(計算用!$M$2:$M$186,MATCH("男"&amp;$A40&amp;"-3",計算用!$AN$2:$AN$186,0)),""))</f>
        <v/>
      </c>
      <c r="L40" s="28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8">
        <f>IF($A40="","",IFERROR(INDEX(計算用!$M$2:$M$186,MATCH("男"&amp;$A40&amp;"-4",計算用!$AN$2:$AN$186,0)),""))</f>
        <v/>
      </c>
      <c r="O40" s="28">
        <f>IF($A40="","",IFERROR(INDEX(計算用!$I$2:$I$186,MATCH("男"&amp;$A40&amp;"-4",計算用!$AN$2:$AN$186,0)),""))</f>
        <v/>
      </c>
      <c r="P40">
        <f>IF($A40="","",IFERROR(INDEX(計算用!$D$2:$D$186,MATCH("男"&amp;$A40&amp;"-5",計算用!$AN$2:$AN$186,0)),""))</f>
        <v/>
      </c>
      <c r="Q40" s="28">
        <f>IF($A40="","",IFERROR(INDEX(計算用!$M$2:$M$186,MATCH("男"&amp;$A40&amp;"-5",計算用!$AN$2:$AN$186,0)),""))</f>
        <v/>
      </c>
      <c r="R40" s="28">
        <f>IF($A40="","",IFERROR(INDEX(計算用!$I$2:$I$186,MATCH("男"&amp;$A40&amp;"-5",計算用!$AN$2:$AN$186,0)),""))</f>
        <v/>
      </c>
      <c r="T40" s="28">
        <f>IF(ROW()-3&lt;=計算用!$Q$11,ROW()-3,"")</f>
        <v/>
      </c>
      <c r="U40" s="28">
        <f>IF($T40="","",INDEX(計算用!$AC$2:$AC$51,$T40))</f>
        <v/>
      </c>
      <c r="V40" s="28">
        <f>IF($T40="","","赤"&amp;INDEX(計算用!$AF$2:$AF$51,$T40)&amp;"白"&amp;INDEX(計算用!$AG$2:$AG$51,$T40))</f>
        <v/>
      </c>
      <c r="W40">
        <f>IF($T40="","",IFERROR(INDEX(計算用!$D$2:$D$186,MATCH("女"&amp;$T40&amp;"-1",計算用!$AN$2:$AN$186,0)),""))</f>
        <v/>
      </c>
      <c r="X40" s="28">
        <f>IF($T40="","",IFERROR(INDEX(計算用!$M$2:$M$186,MATCH("女"&amp;$T40&amp;"-1",計算用!$AN$2:$AN$186,0)),""))</f>
        <v/>
      </c>
      <c r="Y40" s="28">
        <f>IF($T40="","",IFERROR(INDEX(計算用!$I$2:$I$186,MATCH("女"&amp;$T40&amp;"-1",計算用!$AN$2:$AN$186,0)),""))</f>
        <v/>
      </c>
      <c r="Z40">
        <f>IF($T40="","",IFERROR(INDEX(計算用!$D$2:$D$186,MATCH("女"&amp;$T40&amp;"-2",計算用!$AN$2:$AN$186,0)),""))</f>
        <v/>
      </c>
      <c r="AA40" s="28">
        <f>IF($T40="","",IFERROR(INDEX(計算用!$M$2:$M$186,MATCH("女"&amp;$T40&amp;"-2",計算用!$AN$2:$AN$186,0)),""))</f>
        <v/>
      </c>
      <c r="AB40" s="28">
        <f>IF($T40="","",IFERROR(INDEX(計算用!$I$2:$I$186,MATCH("女"&amp;$T40&amp;"-2",計算用!$AN$2:$AN$186,0)),""))</f>
        <v/>
      </c>
      <c r="AC40">
        <f>IF($T40="","",IFERROR(INDEX(計算用!$D$2:$D$186,MATCH("女"&amp;$T40&amp;"-3",計算用!$AN$2:$AN$186,0)),""))</f>
        <v/>
      </c>
      <c r="AD40" s="28">
        <f>IF($T40="","",IFERROR(INDEX(計算用!$M$2:$M$186,MATCH("女"&amp;$T40&amp;"-3",計算用!$AN$2:$AN$186,0)),""))</f>
        <v/>
      </c>
      <c r="AE40" s="28">
        <f>IF($T40="","",IFERROR(INDEX(計算用!$I$2:$I$186,MATCH("女"&amp;$T40&amp;"-3",計算用!$AN$2:$AN$186,0)),""))</f>
        <v/>
      </c>
      <c r="AF40">
        <f>IF($T40="","",IFERROR(INDEX(計算用!$D$2:$D$186,MATCH("女"&amp;$T40&amp;"-4",計算用!$AN$2:$AN$186,0)),""))</f>
        <v/>
      </c>
      <c r="AG40" s="28">
        <f>IF($T40="","",IFERROR(INDEX(計算用!$M$2:$M$186,MATCH("女"&amp;$T40&amp;"-4",計算用!$AN$2:$AN$186,0)),""))</f>
        <v/>
      </c>
      <c r="AH40" s="28">
        <f>IF($T40="","",IFERROR(INDEX(計算用!$I$2:$I$186,MATCH("女"&amp;$T40&amp;"-4",計算用!$AN$2:$AN$186,0)),""))</f>
        <v/>
      </c>
      <c r="AI40">
        <f>IF($T40="","",IFERROR(INDEX(計算用!$D$2:$D$186,MATCH("女"&amp;$T40&amp;"-5",計算用!$AN$2:$AN$186,0)),""))</f>
        <v/>
      </c>
      <c r="AJ40" s="28">
        <f>IF($T40="","",IFERROR(INDEX(計算用!$M$2:$M$186,MATCH("女"&amp;$T40&amp;"-5",計算用!$AN$2:$AN$186,0)),""))</f>
        <v/>
      </c>
      <c r="AK40" s="28">
        <f>IF($T40="","",IFERROR(INDEX(計算用!$I$2:$I$186,MATCH("女"&amp;$T40&amp;"-5",計算用!$AN$2:$AN$186,0)),""))</f>
        <v/>
      </c>
    </row>
    <row r="41">
      <c r="A41" s="28">
        <f>IF(ROW()-3&lt;=計算用!$Q$9,ROW()-3,"")</f>
        <v/>
      </c>
      <c r="B41" s="28">
        <f>IF($A41="","",INDEX(計算用!$T$2:$T$51,$A41))</f>
        <v/>
      </c>
      <c r="C41" s="28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8">
        <f>IF($A41="","",IFERROR(INDEX(計算用!$M$2:$M$186,MATCH("男"&amp;$A41&amp;"-1",計算用!$AN$2:$AN$186,0)),""))</f>
        <v/>
      </c>
      <c r="F41" s="28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8">
        <f>IF($A41="","",IFERROR(INDEX(計算用!$M$2:$M$186,MATCH("男"&amp;$A41&amp;"-2",計算用!$AN$2:$AN$186,0)),""))</f>
        <v/>
      </c>
      <c r="I41" s="28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8">
        <f>IF($A41="","",IFERROR(INDEX(計算用!$M$2:$M$186,MATCH("男"&amp;$A41&amp;"-3",計算用!$AN$2:$AN$186,0)),""))</f>
        <v/>
      </c>
      <c r="L41" s="28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8">
        <f>IF($A41="","",IFERROR(INDEX(計算用!$M$2:$M$186,MATCH("男"&amp;$A41&amp;"-4",計算用!$AN$2:$AN$186,0)),""))</f>
        <v/>
      </c>
      <c r="O41" s="28">
        <f>IF($A41="","",IFERROR(INDEX(計算用!$I$2:$I$186,MATCH("男"&amp;$A41&amp;"-4",計算用!$AN$2:$AN$186,0)),""))</f>
        <v/>
      </c>
      <c r="P41">
        <f>IF($A41="","",IFERROR(INDEX(計算用!$D$2:$D$186,MATCH("男"&amp;$A41&amp;"-5",計算用!$AN$2:$AN$186,0)),""))</f>
        <v/>
      </c>
      <c r="Q41" s="28">
        <f>IF($A41="","",IFERROR(INDEX(計算用!$M$2:$M$186,MATCH("男"&amp;$A41&amp;"-5",計算用!$AN$2:$AN$186,0)),""))</f>
        <v/>
      </c>
      <c r="R41" s="28">
        <f>IF($A41="","",IFERROR(INDEX(計算用!$I$2:$I$186,MATCH("男"&amp;$A41&amp;"-5",計算用!$AN$2:$AN$186,0)),""))</f>
        <v/>
      </c>
      <c r="T41" s="28">
        <f>IF(ROW()-3&lt;=計算用!$Q$11,ROW()-3,"")</f>
        <v/>
      </c>
      <c r="U41" s="28">
        <f>IF($T41="","",INDEX(計算用!$AC$2:$AC$51,$T41))</f>
        <v/>
      </c>
      <c r="V41" s="28">
        <f>IF($T41="","","赤"&amp;INDEX(計算用!$AF$2:$AF$51,$T41)&amp;"白"&amp;INDEX(計算用!$AG$2:$AG$51,$T41))</f>
        <v/>
      </c>
      <c r="W41">
        <f>IF($T41="","",IFERROR(INDEX(計算用!$D$2:$D$186,MATCH("女"&amp;$T41&amp;"-1",計算用!$AN$2:$AN$186,0)),""))</f>
        <v/>
      </c>
      <c r="X41" s="28">
        <f>IF($T41="","",IFERROR(INDEX(計算用!$M$2:$M$186,MATCH("女"&amp;$T41&amp;"-1",計算用!$AN$2:$AN$186,0)),""))</f>
        <v/>
      </c>
      <c r="Y41" s="28">
        <f>IF($T41="","",IFERROR(INDEX(計算用!$I$2:$I$186,MATCH("女"&amp;$T41&amp;"-1",計算用!$AN$2:$AN$186,0)),""))</f>
        <v/>
      </c>
      <c r="Z41">
        <f>IF($T41="","",IFERROR(INDEX(計算用!$D$2:$D$186,MATCH("女"&amp;$T41&amp;"-2",計算用!$AN$2:$AN$186,0)),""))</f>
        <v/>
      </c>
      <c r="AA41" s="28">
        <f>IF($T41="","",IFERROR(INDEX(計算用!$M$2:$M$186,MATCH("女"&amp;$T41&amp;"-2",計算用!$AN$2:$AN$186,0)),""))</f>
        <v/>
      </c>
      <c r="AB41" s="28">
        <f>IF($T41="","",IFERROR(INDEX(計算用!$I$2:$I$186,MATCH("女"&amp;$T41&amp;"-2",計算用!$AN$2:$AN$186,0)),""))</f>
        <v/>
      </c>
      <c r="AC41">
        <f>IF($T41="","",IFERROR(INDEX(計算用!$D$2:$D$186,MATCH("女"&amp;$T41&amp;"-3",計算用!$AN$2:$AN$186,0)),""))</f>
        <v/>
      </c>
      <c r="AD41" s="28">
        <f>IF($T41="","",IFERROR(INDEX(計算用!$M$2:$M$186,MATCH("女"&amp;$T41&amp;"-3",計算用!$AN$2:$AN$186,0)),""))</f>
        <v/>
      </c>
      <c r="AE41" s="28">
        <f>IF($T41="","",IFERROR(INDEX(計算用!$I$2:$I$186,MATCH("女"&amp;$T41&amp;"-3",計算用!$AN$2:$AN$186,0)),""))</f>
        <v/>
      </c>
      <c r="AF41">
        <f>IF($T41="","",IFERROR(INDEX(計算用!$D$2:$D$186,MATCH("女"&amp;$T41&amp;"-4",計算用!$AN$2:$AN$186,0)),""))</f>
        <v/>
      </c>
      <c r="AG41" s="28">
        <f>IF($T41="","",IFERROR(INDEX(計算用!$M$2:$M$186,MATCH("女"&amp;$T41&amp;"-4",計算用!$AN$2:$AN$186,0)),""))</f>
        <v/>
      </c>
      <c r="AH41" s="28">
        <f>IF($T41="","",IFERROR(INDEX(計算用!$I$2:$I$186,MATCH("女"&amp;$T41&amp;"-4",計算用!$AN$2:$AN$186,0)),""))</f>
        <v/>
      </c>
      <c r="AI41">
        <f>IF($T41="","",IFERROR(INDEX(計算用!$D$2:$D$186,MATCH("女"&amp;$T41&amp;"-5",計算用!$AN$2:$AN$186,0)),""))</f>
        <v/>
      </c>
      <c r="AJ41" s="28">
        <f>IF($T41="","",IFERROR(INDEX(計算用!$M$2:$M$186,MATCH("女"&amp;$T41&amp;"-5",計算用!$AN$2:$AN$186,0)),""))</f>
        <v/>
      </c>
      <c r="AK41" s="28">
        <f>IF($T41="","",IFERROR(INDEX(計算用!$I$2:$I$186,MATCH("女"&amp;$T41&amp;"-5",計算用!$AN$2:$AN$186,0)),""))</f>
        <v/>
      </c>
    </row>
    <row r="42">
      <c r="A42" s="28">
        <f>IF(ROW()-3&lt;=計算用!$Q$9,ROW()-3,"")</f>
        <v/>
      </c>
      <c r="B42" s="28">
        <f>IF($A42="","",INDEX(計算用!$T$2:$T$51,$A42))</f>
        <v/>
      </c>
      <c r="C42" s="28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8">
        <f>IF($A42="","",IFERROR(INDEX(計算用!$M$2:$M$186,MATCH("男"&amp;$A42&amp;"-1",計算用!$AN$2:$AN$186,0)),""))</f>
        <v/>
      </c>
      <c r="F42" s="28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8">
        <f>IF($A42="","",IFERROR(INDEX(計算用!$M$2:$M$186,MATCH("男"&amp;$A42&amp;"-2",計算用!$AN$2:$AN$186,0)),""))</f>
        <v/>
      </c>
      <c r="I42" s="28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8">
        <f>IF($A42="","",IFERROR(INDEX(計算用!$M$2:$M$186,MATCH("男"&amp;$A42&amp;"-3",計算用!$AN$2:$AN$186,0)),""))</f>
        <v/>
      </c>
      <c r="L42" s="28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8">
        <f>IF($A42="","",IFERROR(INDEX(計算用!$M$2:$M$186,MATCH("男"&amp;$A42&amp;"-4",計算用!$AN$2:$AN$186,0)),""))</f>
        <v/>
      </c>
      <c r="O42" s="28">
        <f>IF($A42="","",IFERROR(INDEX(計算用!$I$2:$I$186,MATCH("男"&amp;$A42&amp;"-4",計算用!$AN$2:$AN$186,0)),""))</f>
        <v/>
      </c>
      <c r="P42">
        <f>IF($A42="","",IFERROR(INDEX(計算用!$D$2:$D$186,MATCH("男"&amp;$A42&amp;"-5",計算用!$AN$2:$AN$186,0)),""))</f>
        <v/>
      </c>
      <c r="Q42" s="28">
        <f>IF($A42="","",IFERROR(INDEX(計算用!$M$2:$M$186,MATCH("男"&amp;$A42&amp;"-5",計算用!$AN$2:$AN$186,0)),""))</f>
        <v/>
      </c>
      <c r="R42" s="28">
        <f>IF($A42="","",IFERROR(INDEX(計算用!$I$2:$I$186,MATCH("男"&amp;$A42&amp;"-5",計算用!$AN$2:$AN$186,0)),""))</f>
        <v/>
      </c>
      <c r="T42" s="28">
        <f>IF(ROW()-3&lt;=計算用!$Q$11,ROW()-3,"")</f>
        <v/>
      </c>
      <c r="U42" s="28">
        <f>IF($T42="","",INDEX(計算用!$AC$2:$AC$51,$T42))</f>
        <v/>
      </c>
      <c r="V42" s="28">
        <f>IF($T42="","","赤"&amp;INDEX(計算用!$AF$2:$AF$51,$T42)&amp;"白"&amp;INDEX(計算用!$AG$2:$AG$51,$T42))</f>
        <v/>
      </c>
      <c r="W42">
        <f>IF($T42="","",IFERROR(INDEX(計算用!$D$2:$D$186,MATCH("女"&amp;$T42&amp;"-1",計算用!$AN$2:$AN$186,0)),""))</f>
        <v/>
      </c>
      <c r="X42" s="28">
        <f>IF($T42="","",IFERROR(INDEX(計算用!$M$2:$M$186,MATCH("女"&amp;$T42&amp;"-1",計算用!$AN$2:$AN$186,0)),""))</f>
        <v/>
      </c>
      <c r="Y42" s="28">
        <f>IF($T42="","",IFERROR(INDEX(計算用!$I$2:$I$186,MATCH("女"&amp;$T42&amp;"-1",計算用!$AN$2:$AN$186,0)),""))</f>
        <v/>
      </c>
      <c r="Z42">
        <f>IF($T42="","",IFERROR(INDEX(計算用!$D$2:$D$186,MATCH("女"&amp;$T42&amp;"-2",計算用!$AN$2:$AN$186,0)),""))</f>
        <v/>
      </c>
      <c r="AA42" s="28">
        <f>IF($T42="","",IFERROR(INDEX(計算用!$M$2:$M$186,MATCH("女"&amp;$T42&amp;"-2",計算用!$AN$2:$AN$186,0)),""))</f>
        <v/>
      </c>
      <c r="AB42" s="28">
        <f>IF($T42="","",IFERROR(INDEX(計算用!$I$2:$I$186,MATCH("女"&amp;$T42&amp;"-2",計算用!$AN$2:$AN$186,0)),""))</f>
        <v/>
      </c>
      <c r="AC42">
        <f>IF($T42="","",IFERROR(INDEX(計算用!$D$2:$D$186,MATCH("女"&amp;$T42&amp;"-3",計算用!$AN$2:$AN$186,0)),""))</f>
        <v/>
      </c>
      <c r="AD42" s="28">
        <f>IF($T42="","",IFERROR(INDEX(計算用!$M$2:$M$186,MATCH("女"&amp;$T42&amp;"-3",計算用!$AN$2:$AN$186,0)),""))</f>
        <v/>
      </c>
      <c r="AE42" s="28">
        <f>IF($T42="","",IFERROR(INDEX(計算用!$I$2:$I$186,MATCH("女"&amp;$T42&amp;"-3",計算用!$AN$2:$AN$186,0)),""))</f>
        <v/>
      </c>
      <c r="AF42">
        <f>IF($T42="","",IFERROR(INDEX(計算用!$D$2:$D$186,MATCH("女"&amp;$T42&amp;"-4",計算用!$AN$2:$AN$186,0)),""))</f>
        <v/>
      </c>
      <c r="AG42" s="28">
        <f>IF($T42="","",IFERROR(INDEX(計算用!$M$2:$M$186,MATCH("女"&amp;$T42&amp;"-4",計算用!$AN$2:$AN$186,0)),""))</f>
        <v/>
      </c>
      <c r="AH42" s="28">
        <f>IF($T42="","",IFERROR(INDEX(計算用!$I$2:$I$186,MATCH("女"&amp;$T42&amp;"-4",計算用!$AN$2:$AN$186,0)),""))</f>
        <v/>
      </c>
      <c r="AI42">
        <f>IF($T42="","",IFERROR(INDEX(計算用!$D$2:$D$186,MATCH("女"&amp;$T42&amp;"-5",計算用!$AN$2:$AN$186,0)),""))</f>
        <v/>
      </c>
      <c r="AJ42" s="28">
        <f>IF($T42="","",IFERROR(INDEX(計算用!$M$2:$M$186,MATCH("女"&amp;$T42&amp;"-5",計算用!$AN$2:$AN$186,0)),""))</f>
        <v/>
      </c>
      <c r="AK42" s="28">
        <f>IF($T42="","",IFERROR(INDEX(計算用!$I$2:$I$186,MATCH("女"&amp;$T42&amp;"-5",計算用!$AN$2:$AN$186,0)),""))</f>
        <v/>
      </c>
    </row>
    <row r="43">
      <c r="A43" s="28">
        <f>IF(ROW()-3&lt;=計算用!$Q$9,ROW()-3,"")</f>
        <v/>
      </c>
      <c r="B43" s="28">
        <f>IF($A43="","",INDEX(計算用!$T$2:$T$51,$A43))</f>
        <v/>
      </c>
      <c r="C43" s="28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8">
        <f>IF($A43="","",IFERROR(INDEX(計算用!$M$2:$M$186,MATCH("男"&amp;$A43&amp;"-1",計算用!$AN$2:$AN$186,0)),""))</f>
        <v/>
      </c>
      <c r="F43" s="28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8">
        <f>IF($A43="","",IFERROR(INDEX(計算用!$M$2:$M$186,MATCH("男"&amp;$A43&amp;"-2",計算用!$AN$2:$AN$186,0)),""))</f>
        <v/>
      </c>
      <c r="I43" s="28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8">
        <f>IF($A43="","",IFERROR(INDEX(計算用!$M$2:$M$186,MATCH("男"&amp;$A43&amp;"-3",計算用!$AN$2:$AN$186,0)),""))</f>
        <v/>
      </c>
      <c r="L43" s="28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8">
        <f>IF($A43="","",IFERROR(INDEX(計算用!$M$2:$M$186,MATCH("男"&amp;$A43&amp;"-4",計算用!$AN$2:$AN$186,0)),""))</f>
        <v/>
      </c>
      <c r="O43" s="28">
        <f>IF($A43="","",IFERROR(INDEX(計算用!$I$2:$I$186,MATCH("男"&amp;$A43&amp;"-4",計算用!$AN$2:$AN$186,0)),""))</f>
        <v/>
      </c>
      <c r="P43">
        <f>IF($A43="","",IFERROR(INDEX(計算用!$D$2:$D$186,MATCH("男"&amp;$A43&amp;"-5",計算用!$AN$2:$AN$186,0)),""))</f>
        <v/>
      </c>
      <c r="Q43" s="28">
        <f>IF($A43="","",IFERROR(INDEX(計算用!$M$2:$M$186,MATCH("男"&amp;$A43&amp;"-5",計算用!$AN$2:$AN$186,0)),""))</f>
        <v/>
      </c>
      <c r="R43" s="28">
        <f>IF($A43="","",IFERROR(INDEX(計算用!$I$2:$I$186,MATCH("男"&amp;$A43&amp;"-5",計算用!$AN$2:$AN$186,0)),""))</f>
        <v/>
      </c>
      <c r="T43" s="28">
        <f>IF(ROW()-3&lt;=計算用!$Q$11,ROW()-3,"")</f>
        <v/>
      </c>
      <c r="U43" s="28">
        <f>IF($T43="","",INDEX(計算用!$AC$2:$AC$51,$T43))</f>
        <v/>
      </c>
      <c r="V43" s="28">
        <f>IF($T43="","","赤"&amp;INDEX(計算用!$AF$2:$AF$51,$T43)&amp;"白"&amp;INDEX(計算用!$AG$2:$AG$51,$T43))</f>
        <v/>
      </c>
      <c r="W43">
        <f>IF($T43="","",IFERROR(INDEX(計算用!$D$2:$D$186,MATCH("女"&amp;$T43&amp;"-1",計算用!$AN$2:$AN$186,0)),""))</f>
        <v/>
      </c>
      <c r="X43" s="28">
        <f>IF($T43="","",IFERROR(INDEX(計算用!$M$2:$M$186,MATCH("女"&amp;$T43&amp;"-1",計算用!$AN$2:$AN$186,0)),""))</f>
        <v/>
      </c>
      <c r="Y43" s="28">
        <f>IF($T43="","",IFERROR(INDEX(計算用!$I$2:$I$186,MATCH("女"&amp;$T43&amp;"-1",計算用!$AN$2:$AN$186,0)),""))</f>
        <v/>
      </c>
      <c r="Z43">
        <f>IF($T43="","",IFERROR(INDEX(計算用!$D$2:$D$186,MATCH("女"&amp;$T43&amp;"-2",計算用!$AN$2:$AN$186,0)),""))</f>
        <v/>
      </c>
      <c r="AA43" s="28">
        <f>IF($T43="","",IFERROR(INDEX(計算用!$M$2:$M$186,MATCH("女"&amp;$T43&amp;"-2",計算用!$AN$2:$AN$186,0)),""))</f>
        <v/>
      </c>
      <c r="AB43" s="28">
        <f>IF($T43="","",IFERROR(INDEX(計算用!$I$2:$I$186,MATCH("女"&amp;$T43&amp;"-2",計算用!$AN$2:$AN$186,0)),""))</f>
        <v/>
      </c>
      <c r="AC43">
        <f>IF($T43="","",IFERROR(INDEX(計算用!$D$2:$D$186,MATCH("女"&amp;$T43&amp;"-3",計算用!$AN$2:$AN$186,0)),""))</f>
        <v/>
      </c>
      <c r="AD43" s="28">
        <f>IF($T43="","",IFERROR(INDEX(計算用!$M$2:$M$186,MATCH("女"&amp;$T43&amp;"-3",計算用!$AN$2:$AN$186,0)),""))</f>
        <v/>
      </c>
      <c r="AE43" s="28">
        <f>IF($T43="","",IFERROR(INDEX(計算用!$I$2:$I$186,MATCH("女"&amp;$T43&amp;"-3",計算用!$AN$2:$AN$186,0)),""))</f>
        <v/>
      </c>
      <c r="AF43">
        <f>IF($T43="","",IFERROR(INDEX(計算用!$D$2:$D$186,MATCH("女"&amp;$T43&amp;"-4",計算用!$AN$2:$AN$186,0)),""))</f>
        <v/>
      </c>
      <c r="AG43" s="28">
        <f>IF($T43="","",IFERROR(INDEX(計算用!$M$2:$M$186,MATCH("女"&amp;$T43&amp;"-4",計算用!$AN$2:$AN$186,0)),""))</f>
        <v/>
      </c>
      <c r="AH43" s="28">
        <f>IF($T43="","",IFERROR(INDEX(計算用!$I$2:$I$186,MATCH("女"&amp;$T43&amp;"-4",計算用!$AN$2:$AN$186,0)),""))</f>
        <v/>
      </c>
      <c r="AI43">
        <f>IF($T43="","",IFERROR(INDEX(計算用!$D$2:$D$186,MATCH("女"&amp;$T43&amp;"-5",計算用!$AN$2:$AN$186,0)),""))</f>
        <v/>
      </c>
      <c r="AJ43" s="28">
        <f>IF($T43="","",IFERROR(INDEX(計算用!$M$2:$M$186,MATCH("女"&amp;$T43&amp;"-5",計算用!$AN$2:$AN$186,0)),""))</f>
        <v/>
      </c>
      <c r="AK43" s="28">
        <f>IF($T43="","",IFERROR(INDEX(計算用!$I$2:$I$186,MATCH("女"&amp;$T43&amp;"-5",計算用!$AN$2:$AN$186,0)),""))</f>
        <v/>
      </c>
    </row>
    <row r="44">
      <c r="A44" s="28">
        <f>IF(ROW()-3&lt;=計算用!$Q$9,ROW()-3,"")</f>
        <v/>
      </c>
      <c r="B44" s="28">
        <f>IF($A44="","",INDEX(計算用!$T$2:$T$51,$A44))</f>
        <v/>
      </c>
      <c r="C44" s="28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8">
        <f>IF($A44="","",IFERROR(INDEX(計算用!$M$2:$M$186,MATCH("男"&amp;$A44&amp;"-1",計算用!$AN$2:$AN$186,0)),""))</f>
        <v/>
      </c>
      <c r="F44" s="28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8">
        <f>IF($A44="","",IFERROR(INDEX(計算用!$M$2:$M$186,MATCH("男"&amp;$A44&amp;"-2",計算用!$AN$2:$AN$186,0)),""))</f>
        <v/>
      </c>
      <c r="I44" s="28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8">
        <f>IF($A44="","",IFERROR(INDEX(計算用!$M$2:$M$186,MATCH("男"&amp;$A44&amp;"-3",計算用!$AN$2:$AN$186,0)),""))</f>
        <v/>
      </c>
      <c r="L44" s="28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8">
        <f>IF($A44="","",IFERROR(INDEX(計算用!$M$2:$M$186,MATCH("男"&amp;$A44&amp;"-4",計算用!$AN$2:$AN$186,0)),""))</f>
        <v/>
      </c>
      <c r="O44" s="28">
        <f>IF($A44="","",IFERROR(INDEX(計算用!$I$2:$I$186,MATCH("男"&amp;$A44&amp;"-4",計算用!$AN$2:$AN$186,0)),""))</f>
        <v/>
      </c>
      <c r="P44">
        <f>IF($A44="","",IFERROR(INDEX(計算用!$D$2:$D$186,MATCH("男"&amp;$A44&amp;"-5",計算用!$AN$2:$AN$186,0)),""))</f>
        <v/>
      </c>
      <c r="Q44" s="28">
        <f>IF($A44="","",IFERROR(INDEX(計算用!$M$2:$M$186,MATCH("男"&amp;$A44&amp;"-5",計算用!$AN$2:$AN$186,0)),""))</f>
        <v/>
      </c>
      <c r="R44" s="28">
        <f>IF($A44="","",IFERROR(INDEX(計算用!$I$2:$I$186,MATCH("男"&amp;$A44&amp;"-5",計算用!$AN$2:$AN$186,0)),""))</f>
        <v/>
      </c>
      <c r="T44" s="28">
        <f>IF(ROW()-3&lt;=計算用!$Q$11,ROW()-3,"")</f>
        <v/>
      </c>
      <c r="U44" s="28">
        <f>IF($T44="","",INDEX(計算用!$AC$2:$AC$51,$T44))</f>
        <v/>
      </c>
      <c r="V44" s="28">
        <f>IF($T44="","","赤"&amp;INDEX(計算用!$AF$2:$AF$51,$T44)&amp;"白"&amp;INDEX(計算用!$AG$2:$AG$51,$T44))</f>
        <v/>
      </c>
      <c r="W44">
        <f>IF($T44="","",IFERROR(INDEX(計算用!$D$2:$D$186,MATCH("女"&amp;$T44&amp;"-1",計算用!$AN$2:$AN$186,0)),""))</f>
        <v/>
      </c>
      <c r="X44" s="28">
        <f>IF($T44="","",IFERROR(INDEX(計算用!$M$2:$M$186,MATCH("女"&amp;$T44&amp;"-1",計算用!$AN$2:$AN$186,0)),""))</f>
        <v/>
      </c>
      <c r="Y44" s="28">
        <f>IF($T44="","",IFERROR(INDEX(計算用!$I$2:$I$186,MATCH("女"&amp;$T44&amp;"-1",計算用!$AN$2:$AN$186,0)),""))</f>
        <v/>
      </c>
      <c r="Z44">
        <f>IF($T44="","",IFERROR(INDEX(計算用!$D$2:$D$186,MATCH("女"&amp;$T44&amp;"-2",計算用!$AN$2:$AN$186,0)),""))</f>
        <v/>
      </c>
      <c r="AA44" s="28">
        <f>IF($T44="","",IFERROR(INDEX(計算用!$M$2:$M$186,MATCH("女"&amp;$T44&amp;"-2",計算用!$AN$2:$AN$186,0)),""))</f>
        <v/>
      </c>
      <c r="AB44" s="28">
        <f>IF($T44="","",IFERROR(INDEX(計算用!$I$2:$I$186,MATCH("女"&amp;$T44&amp;"-2",計算用!$AN$2:$AN$186,0)),""))</f>
        <v/>
      </c>
      <c r="AC44">
        <f>IF($T44="","",IFERROR(INDEX(計算用!$D$2:$D$186,MATCH("女"&amp;$T44&amp;"-3",計算用!$AN$2:$AN$186,0)),""))</f>
        <v/>
      </c>
      <c r="AD44" s="28">
        <f>IF($T44="","",IFERROR(INDEX(計算用!$M$2:$M$186,MATCH("女"&amp;$T44&amp;"-3",計算用!$AN$2:$AN$186,0)),""))</f>
        <v/>
      </c>
      <c r="AE44" s="28">
        <f>IF($T44="","",IFERROR(INDEX(計算用!$I$2:$I$186,MATCH("女"&amp;$T44&amp;"-3",計算用!$AN$2:$AN$186,0)),""))</f>
        <v/>
      </c>
      <c r="AF44">
        <f>IF($T44="","",IFERROR(INDEX(計算用!$D$2:$D$186,MATCH("女"&amp;$T44&amp;"-4",計算用!$AN$2:$AN$186,0)),""))</f>
        <v/>
      </c>
      <c r="AG44" s="28">
        <f>IF($T44="","",IFERROR(INDEX(計算用!$M$2:$M$186,MATCH("女"&amp;$T44&amp;"-4",計算用!$AN$2:$AN$186,0)),""))</f>
        <v/>
      </c>
      <c r="AH44" s="28">
        <f>IF($T44="","",IFERROR(INDEX(計算用!$I$2:$I$186,MATCH("女"&amp;$T44&amp;"-4",計算用!$AN$2:$AN$186,0)),""))</f>
        <v/>
      </c>
      <c r="AI44">
        <f>IF($T44="","",IFERROR(INDEX(計算用!$D$2:$D$186,MATCH("女"&amp;$T44&amp;"-5",計算用!$AN$2:$AN$186,0)),""))</f>
        <v/>
      </c>
      <c r="AJ44" s="28">
        <f>IF($T44="","",IFERROR(INDEX(計算用!$M$2:$M$186,MATCH("女"&amp;$T44&amp;"-5",計算用!$AN$2:$AN$186,0)),""))</f>
        <v/>
      </c>
      <c r="AK44" s="28">
        <f>IF($T44="","",IFERROR(INDEX(計算用!$I$2:$I$186,MATCH("女"&amp;$T44&amp;"-5",計算用!$AN$2:$AN$186,0)),""))</f>
        <v/>
      </c>
    </row>
    <row r="45">
      <c r="A45" s="28">
        <f>IF(ROW()-3&lt;=計算用!$Q$9,ROW()-3,"")</f>
        <v/>
      </c>
      <c r="B45" s="28">
        <f>IF($A45="","",INDEX(計算用!$T$2:$T$51,$A45))</f>
        <v/>
      </c>
      <c r="C45" s="28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8">
        <f>IF($A45="","",IFERROR(INDEX(計算用!$M$2:$M$186,MATCH("男"&amp;$A45&amp;"-1",計算用!$AN$2:$AN$186,0)),""))</f>
        <v/>
      </c>
      <c r="F45" s="28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8">
        <f>IF($A45="","",IFERROR(INDEX(計算用!$M$2:$M$186,MATCH("男"&amp;$A45&amp;"-2",計算用!$AN$2:$AN$186,0)),""))</f>
        <v/>
      </c>
      <c r="I45" s="28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8">
        <f>IF($A45="","",IFERROR(INDEX(計算用!$M$2:$M$186,MATCH("男"&amp;$A45&amp;"-3",計算用!$AN$2:$AN$186,0)),""))</f>
        <v/>
      </c>
      <c r="L45" s="28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8">
        <f>IF($A45="","",IFERROR(INDEX(計算用!$M$2:$M$186,MATCH("男"&amp;$A45&amp;"-4",計算用!$AN$2:$AN$186,0)),""))</f>
        <v/>
      </c>
      <c r="O45" s="28">
        <f>IF($A45="","",IFERROR(INDEX(計算用!$I$2:$I$186,MATCH("男"&amp;$A45&amp;"-4",計算用!$AN$2:$AN$186,0)),""))</f>
        <v/>
      </c>
      <c r="P45">
        <f>IF($A45="","",IFERROR(INDEX(計算用!$D$2:$D$186,MATCH("男"&amp;$A45&amp;"-5",計算用!$AN$2:$AN$186,0)),""))</f>
        <v/>
      </c>
      <c r="Q45" s="28">
        <f>IF($A45="","",IFERROR(INDEX(計算用!$M$2:$M$186,MATCH("男"&amp;$A45&amp;"-5",計算用!$AN$2:$AN$186,0)),""))</f>
        <v/>
      </c>
      <c r="R45" s="28">
        <f>IF($A45="","",IFERROR(INDEX(計算用!$I$2:$I$186,MATCH("男"&amp;$A45&amp;"-5",計算用!$AN$2:$AN$186,0)),""))</f>
        <v/>
      </c>
      <c r="T45" s="28">
        <f>IF(ROW()-3&lt;=計算用!$Q$11,ROW()-3,"")</f>
        <v/>
      </c>
      <c r="U45" s="28">
        <f>IF($T45="","",INDEX(計算用!$AC$2:$AC$51,$T45))</f>
        <v/>
      </c>
      <c r="V45" s="28">
        <f>IF($T45="","","赤"&amp;INDEX(計算用!$AF$2:$AF$51,$T45)&amp;"白"&amp;INDEX(計算用!$AG$2:$AG$51,$T45))</f>
        <v/>
      </c>
      <c r="W45">
        <f>IF($T45="","",IFERROR(INDEX(計算用!$D$2:$D$186,MATCH("女"&amp;$T45&amp;"-1",計算用!$AN$2:$AN$186,0)),""))</f>
        <v/>
      </c>
      <c r="X45" s="28">
        <f>IF($T45="","",IFERROR(INDEX(計算用!$M$2:$M$186,MATCH("女"&amp;$T45&amp;"-1",計算用!$AN$2:$AN$186,0)),""))</f>
        <v/>
      </c>
      <c r="Y45" s="28">
        <f>IF($T45="","",IFERROR(INDEX(計算用!$I$2:$I$186,MATCH("女"&amp;$T45&amp;"-1",計算用!$AN$2:$AN$186,0)),""))</f>
        <v/>
      </c>
      <c r="Z45">
        <f>IF($T45="","",IFERROR(INDEX(計算用!$D$2:$D$186,MATCH("女"&amp;$T45&amp;"-2",計算用!$AN$2:$AN$186,0)),""))</f>
        <v/>
      </c>
      <c r="AA45" s="28">
        <f>IF($T45="","",IFERROR(INDEX(計算用!$M$2:$M$186,MATCH("女"&amp;$T45&amp;"-2",計算用!$AN$2:$AN$186,0)),""))</f>
        <v/>
      </c>
      <c r="AB45" s="28">
        <f>IF($T45="","",IFERROR(INDEX(計算用!$I$2:$I$186,MATCH("女"&amp;$T45&amp;"-2",計算用!$AN$2:$AN$186,0)),""))</f>
        <v/>
      </c>
      <c r="AC45">
        <f>IF($T45="","",IFERROR(INDEX(計算用!$D$2:$D$186,MATCH("女"&amp;$T45&amp;"-3",計算用!$AN$2:$AN$186,0)),""))</f>
        <v/>
      </c>
      <c r="AD45" s="28">
        <f>IF($T45="","",IFERROR(INDEX(計算用!$M$2:$M$186,MATCH("女"&amp;$T45&amp;"-3",計算用!$AN$2:$AN$186,0)),""))</f>
        <v/>
      </c>
      <c r="AE45" s="28">
        <f>IF($T45="","",IFERROR(INDEX(計算用!$I$2:$I$186,MATCH("女"&amp;$T45&amp;"-3",計算用!$AN$2:$AN$186,0)),""))</f>
        <v/>
      </c>
      <c r="AF45">
        <f>IF($T45="","",IFERROR(INDEX(計算用!$D$2:$D$186,MATCH("女"&amp;$T45&amp;"-4",計算用!$AN$2:$AN$186,0)),""))</f>
        <v/>
      </c>
      <c r="AG45" s="28">
        <f>IF($T45="","",IFERROR(INDEX(計算用!$M$2:$M$186,MATCH("女"&amp;$T45&amp;"-4",計算用!$AN$2:$AN$186,0)),""))</f>
        <v/>
      </c>
      <c r="AH45" s="28">
        <f>IF($T45="","",IFERROR(INDEX(計算用!$I$2:$I$186,MATCH("女"&amp;$T45&amp;"-4",計算用!$AN$2:$AN$186,0)),""))</f>
        <v/>
      </c>
      <c r="AI45">
        <f>IF($T45="","",IFERROR(INDEX(計算用!$D$2:$D$186,MATCH("女"&amp;$T45&amp;"-5",計算用!$AN$2:$AN$186,0)),""))</f>
        <v/>
      </c>
      <c r="AJ45" s="28">
        <f>IF($T45="","",IFERROR(INDEX(計算用!$M$2:$M$186,MATCH("女"&amp;$T45&amp;"-5",計算用!$AN$2:$AN$186,0)),""))</f>
        <v/>
      </c>
      <c r="AK45" s="28">
        <f>IF($T45="","",IFERROR(INDEX(計算用!$I$2:$I$186,MATCH("女"&amp;$T45&amp;"-5",計算用!$AN$2:$AN$186,0)),""))</f>
        <v/>
      </c>
    </row>
    <row r="46">
      <c r="A46" s="28">
        <f>IF(ROW()-3&lt;=計算用!$Q$9,ROW()-3,"")</f>
        <v/>
      </c>
      <c r="B46" s="28">
        <f>IF($A46="","",INDEX(計算用!$T$2:$T$51,$A46))</f>
        <v/>
      </c>
      <c r="C46" s="28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8">
        <f>IF($A46="","",IFERROR(INDEX(計算用!$M$2:$M$186,MATCH("男"&amp;$A46&amp;"-1",計算用!$AN$2:$AN$186,0)),""))</f>
        <v/>
      </c>
      <c r="F46" s="28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8">
        <f>IF($A46="","",IFERROR(INDEX(計算用!$M$2:$M$186,MATCH("男"&amp;$A46&amp;"-2",計算用!$AN$2:$AN$186,0)),""))</f>
        <v/>
      </c>
      <c r="I46" s="28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8">
        <f>IF($A46="","",IFERROR(INDEX(計算用!$M$2:$M$186,MATCH("男"&amp;$A46&amp;"-3",計算用!$AN$2:$AN$186,0)),""))</f>
        <v/>
      </c>
      <c r="L46" s="28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8">
        <f>IF($A46="","",IFERROR(INDEX(計算用!$M$2:$M$186,MATCH("男"&amp;$A46&amp;"-4",計算用!$AN$2:$AN$186,0)),""))</f>
        <v/>
      </c>
      <c r="O46" s="28">
        <f>IF($A46="","",IFERROR(INDEX(計算用!$I$2:$I$186,MATCH("男"&amp;$A46&amp;"-4",計算用!$AN$2:$AN$186,0)),""))</f>
        <v/>
      </c>
      <c r="P46">
        <f>IF($A46="","",IFERROR(INDEX(計算用!$D$2:$D$186,MATCH("男"&amp;$A46&amp;"-5",計算用!$AN$2:$AN$186,0)),""))</f>
        <v/>
      </c>
      <c r="Q46" s="28">
        <f>IF($A46="","",IFERROR(INDEX(計算用!$M$2:$M$186,MATCH("男"&amp;$A46&amp;"-5",計算用!$AN$2:$AN$186,0)),""))</f>
        <v/>
      </c>
      <c r="R46" s="28">
        <f>IF($A46="","",IFERROR(INDEX(計算用!$I$2:$I$186,MATCH("男"&amp;$A46&amp;"-5",計算用!$AN$2:$AN$186,0)),""))</f>
        <v/>
      </c>
      <c r="T46" s="28">
        <f>IF(ROW()-3&lt;=計算用!$Q$11,ROW()-3,"")</f>
        <v/>
      </c>
      <c r="U46" s="28">
        <f>IF($T46="","",INDEX(計算用!$AC$2:$AC$51,$T46))</f>
        <v/>
      </c>
      <c r="V46" s="28">
        <f>IF($T46="","","赤"&amp;INDEX(計算用!$AF$2:$AF$51,$T46)&amp;"白"&amp;INDEX(計算用!$AG$2:$AG$51,$T46))</f>
        <v/>
      </c>
      <c r="W46">
        <f>IF($T46="","",IFERROR(INDEX(計算用!$D$2:$D$186,MATCH("女"&amp;$T46&amp;"-1",計算用!$AN$2:$AN$186,0)),""))</f>
        <v/>
      </c>
      <c r="X46" s="28">
        <f>IF($T46="","",IFERROR(INDEX(計算用!$M$2:$M$186,MATCH("女"&amp;$T46&amp;"-1",計算用!$AN$2:$AN$186,0)),""))</f>
        <v/>
      </c>
      <c r="Y46" s="28">
        <f>IF($T46="","",IFERROR(INDEX(計算用!$I$2:$I$186,MATCH("女"&amp;$T46&amp;"-1",計算用!$AN$2:$AN$186,0)),""))</f>
        <v/>
      </c>
      <c r="Z46">
        <f>IF($T46="","",IFERROR(INDEX(計算用!$D$2:$D$186,MATCH("女"&amp;$T46&amp;"-2",計算用!$AN$2:$AN$186,0)),""))</f>
        <v/>
      </c>
      <c r="AA46" s="28">
        <f>IF($T46="","",IFERROR(INDEX(計算用!$M$2:$M$186,MATCH("女"&amp;$T46&amp;"-2",計算用!$AN$2:$AN$186,0)),""))</f>
        <v/>
      </c>
      <c r="AB46" s="28">
        <f>IF($T46="","",IFERROR(INDEX(計算用!$I$2:$I$186,MATCH("女"&amp;$T46&amp;"-2",計算用!$AN$2:$AN$186,0)),""))</f>
        <v/>
      </c>
      <c r="AC46">
        <f>IF($T46="","",IFERROR(INDEX(計算用!$D$2:$D$186,MATCH("女"&amp;$T46&amp;"-3",計算用!$AN$2:$AN$186,0)),""))</f>
        <v/>
      </c>
      <c r="AD46" s="28">
        <f>IF($T46="","",IFERROR(INDEX(計算用!$M$2:$M$186,MATCH("女"&amp;$T46&amp;"-3",計算用!$AN$2:$AN$186,0)),""))</f>
        <v/>
      </c>
      <c r="AE46" s="28">
        <f>IF($T46="","",IFERROR(INDEX(計算用!$I$2:$I$186,MATCH("女"&amp;$T46&amp;"-3",計算用!$AN$2:$AN$186,0)),""))</f>
        <v/>
      </c>
      <c r="AF46">
        <f>IF($T46="","",IFERROR(INDEX(計算用!$D$2:$D$186,MATCH("女"&amp;$T46&amp;"-4",計算用!$AN$2:$AN$186,0)),""))</f>
        <v/>
      </c>
      <c r="AG46" s="28">
        <f>IF($T46="","",IFERROR(INDEX(計算用!$M$2:$M$186,MATCH("女"&amp;$T46&amp;"-4",計算用!$AN$2:$AN$186,0)),""))</f>
        <v/>
      </c>
      <c r="AH46" s="28">
        <f>IF($T46="","",IFERROR(INDEX(計算用!$I$2:$I$186,MATCH("女"&amp;$T46&amp;"-4",計算用!$AN$2:$AN$186,0)),""))</f>
        <v/>
      </c>
      <c r="AI46">
        <f>IF($T46="","",IFERROR(INDEX(計算用!$D$2:$D$186,MATCH("女"&amp;$T46&amp;"-5",計算用!$AN$2:$AN$186,0)),""))</f>
        <v/>
      </c>
      <c r="AJ46" s="28">
        <f>IF($T46="","",IFERROR(INDEX(計算用!$M$2:$M$186,MATCH("女"&amp;$T46&amp;"-5",計算用!$AN$2:$AN$186,0)),""))</f>
        <v/>
      </c>
      <c r="AK46" s="28">
        <f>IF($T46="","",IFERROR(INDEX(計算用!$I$2:$I$186,MATCH("女"&amp;$T46&amp;"-5",計算用!$AN$2:$AN$186,0)),""))</f>
        <v/>
      </c>
    </row>
    <row r="47">
      <c r="A47" s="28">
        <f>IF(ROW()-3&lt;=計算用!$Q$9,ROW()-3,"")</f>
        <v/>
      </c>
      <c r="B47" s="28">
        <f>IF($A47="","",INDEX(計算用!$T$2:$T$51,$A47))</f>
        <v/>
      </c>
      <c r="C47" s="28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8">
        <f>IF($A47="","",IFERROR(INDEX(計算用!$M$2:$M$186,MATCH("男"&amp;$A47&amp;"-1",計算用!$AN$2:$AN$186,0)),""))</f>
        <v/>
      </c>
      <c r="F47" s="28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8">
        <f>IF($A47="","",IFERROR(INDEX(計算用!$M$2:$M$186,MATCH("男"&amp;$A47&amp;"-2",計算用!$AN$2:$AN$186,0)),""))</f>
        <v/>
      </c>
      <c r="I47" s="28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8">
        <f>IF($A47="","",IFERROR(INDEX(計算用!$M$2:$M$186,MATCH("男"&amp;$A47&amp;"-3",計算用!$AN$2:$AN$186,0)),""))</f>
        <v/>
      </c>
      <c r="L47" s="28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8">
        <f>IF($A47="","",IFERROR(INDEX(計算用!$M$2:$M$186,MATCH("男"&amp;$A47&amp;"-4",計算用!$AN$2:$AN$186,0)),""))</f>
        <v/>
      </c>
      <c r="O47" s="28">
        <f>IF($A47="","",IFERROR(INDEX(計算用!$I$2:$I$186,MATCH("男"&amp;$A47&amp;"-4",計算用!$AN$2:$AN$186,0)),""))</f>
        <v/>
      </c>
      <c r="P47">
        <f>IF($A47="","",IFERROR(INDEX(計算用!$D$2:$D$186,MATCH("男"&amp;$A47&amp;"-5",計算用!$AN$2:$AN$186,0)),""))</f>
        <v/>
      </c>
      <c r="Q47" s="28">
        <f>IF($A47="","",IFERROR(INDEX(計算用!$M$2:$M$186,MATCH("男"&amp;$A47&amp;"-5",計算用!$AN$2:$AN$186,0)),""))</f>
        <v/>
      </c>
      <c r="R47" s="28">
        <f>IF($A47="","",IFERROR(INDEX(計算用!$I$2:$I$186,MATCH("男"&amp;$A47&amp;"-5",計算用!$AN$2:$AN$186,0)),""))</f>
        <v/>
      </c>
      <c r="T47" s="28">
        <f>IF(ROW()-3&lt;=計算用!$Q$11,ROW()-3,"")</f>
        <v/>
      </c>
      <c r="U47" s="28">
        <f>IF($T47="","",INDEX(計算用!$AC$2:$AC$51,$T47))</f>
        <v/>
      </c>
      <c r="V47" s="28">
        <f>IF($T47="","","赤"&amp;INDEX(計算用!$AF$2:$AF$51,$T47)&amp;"白"&amp;INDEX(計算用!$AG$2:$AG$51,$T47))</f>
        <v/>
      </c>
      <c r="W47">
        <f>IF($T47="","",IFERROR(INDEX(計算用!$D$2:$D$186,MATCH("女"&amp;$T47&amp;"-1",計算用!$AN$2:$AN$186,0)),""))</f>
        <v/>
      </c>
      <c r="X47" s="28">
        <f>IF($T47="","",IFERROR(INDEX(計算用!$M$2:$M$186,MATCH("女"&amp;$T47&amp;"-1",計算用!$AN$2:$AN$186,0)),""))</f>
        <v/>
      </c>
      <c r="Y47" s="28">
        <f>IF($T47="","",IFERROR(INDEX(計算用!$I$2:$I$186,MATCH("女"&amp;$T47&amp;"-1",計算用!$AN$2:$AN$186,0)),""))</f>
        <v/>
      </c>
      <c r="Z47">
        <f>IF($T47="","",IFERROR(INDEX(計算用!$D$2:$D$186,MATCH("女"&amp;$T47&amp;"-2",計算用!$AN$2:$AN$186,0)),""))</f>
        <v/>
      </c>
      <c r="AA47" s="28">
        <f>IF($T47="","",IFERROR(INDEX(計算用!$M$2:$M$186,MATCH("女"&amp;$T47&amp;"-2",計算用!$AN$2:$AN$186,0)),""))</f>
        <v/>
      </c>
      <c r="AB47" s="28">
        <f>IF($T47="","",IFERROR(INDEX(計算用!$I$2:$I$186,MATCH("女"&amp;$T47&amp;"-2",計算用!$AN$2:$AN$186,0)),""))</f>
        <v/>
      </c>
      <c r="AC47">
        <f>IF($T47="","",IFERROR(INDEX(計算用!$D$2:$D$186,MATCH("女"&amp;$T47&amp;"-3",計算用!$AN$2:$AN$186,0)),""))</f>
        <v/>
      </c>
      <c r="AD47" s="28">
        <f>IF($T47="","",IFERROR(INDEX(計算用!$M$2:$M$186,MATCH("女"&amp;$T47&amp;"-3",計算用!$AN$2:$AN$186,0)),""))</f>
        <v/>
      </c>
      <c r="AE47" s="28">
        <f>IF($T47="","",IFERROR(INDEX(計算用!$I$2:$I$186,MATCH("女"&amp;$T47&amp;"-3",計算用!$AN$2:$AN$186,0)),""))</f>
        <v/>
      </c>
      <c r="AF47">
        <f>IF($T47="","",IFERROR(INDEX(計算用!$D$2:$D$186,MATCH("女"&amp;$T47&amp;"-4",計算用!$AN$2:$AN$186,0)),""))</f>
        <v/>
      </c>
      <c r="AG47" s="28">
        <f>IF($T47="","",IFERROR(INDEX(計算用!$M$2:$M$186,MATCH("女"&amp;$T47&amp;"-4",計算用!$AN$2:$AN$186,0)),""))</f>
        <v/>
      </c>
      <c r="AH47" s="28">
        <f>IF($T47="","",IFERROR(INDEX(計算用!$I$2:$I$186,MATCH("女"&amp;$T47&amp;"-4",計算用!$AN$2:$AN$186,0)),""))</f>
        <v/>
      </c>
      <c r="AI47">
        <f>IF($T47="","",IFERROR(INDEX(計算用!$D$2:$D$186,MATCH("女"&amp;$T47&amp;"-5",計算用!$AN$2:$AN$186,0)),""))</f>
        <v/>
      </c>
      <c r="AJ47" s="28">
        <f>IF($T47="","",IFERROR(INDEX(計算用!$M$2:$M$186,MATCH("女"&amp;$T47&amp;"-5",計算用!$AN$2:$AN$186,0)),""))</f>
        <v/>
      </c>
      <c r="AK47" s="28">
        <f>IF($T47="","",IFERROR(INDEX(計算用!$I$2:$I$186,MATCH("女"&amp;$T47&amp;"-5",計算用!$AN$2:$AN$186,0)),""))</f>
        <v/>
      </c>
    </row>
    <row r="48">
      <c r="A48" s="28">
        <f>IF(ROW()-3&lt;=計算用!$Q$9,ROW()-3,"")</f>
        <v/>
      </c>
      <c r="B48" s="28">
        <f>IF($A48="","",INDEX(計算用!$T$2:$T$51,$A48))</f>
        <v/>
      </c>
      <c r="C48" s="28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8">
        <f>IF($A48="","",IFERROR(INDEX(計算用!$M$2:$M$186,MATCH("男"&amp;$A48&amp;"-1",計算用!$AN$2:$AN$186,0)),""))</f>
        <v/>
      </c>
      <c r="F48" s="28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8">
        <f>IF($A48="","",IFERROR(INDEX(計算用!$M$2:$M$186,MATCH("男"&amp;$A48&amp;"-2",計算用!$AN$2:$AN$186,0)),""))</f>
        <v/>
      </c>
      <c r="I48" s="28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8">
        <f>IF($A48="","",IFERROR(INDEX(計算用!$M$2:$M$186,MATCH("男"&amp;$A48&amp;"-3",計算用!$AN$2:$AN$186,0)),""))</f>
        <v/>
      </c>
      <c r="L48" s="28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8">
        <f>IF($A48="","",IFERROR(INDEX(計算用!$M$2:$M$186,MATCH("男"&amp;$A48&amp;"-4",計算用!$AN$2:$AN$186,0)),""))</f>
        <v/>
      </c>
      <c r="O48" s="28">
        <f>IF($A48="","",IFERROR(INDEX(計算用!$I$2:$I$186,MATCH("男"&amp;$A48&amp;"-4",計算用!$AN$2:$AN$186,0)),""))</f>
        <v/>
      </c>
      <c r="P48">
        <f>IF($A48="","",IFERROR(INDEX(計算用!$D$2:$D$186,MATCH("男"&amp;$A48&amp;"-5",計算用!$AN$2:$AN$186,0)),""))</f>
        <v/>
      </c>
      <c r="Q48" s="28">
        <f>IF($A48="","",IFERROR(INDEX(計算用!$M$2:$M$186,MATCH("男"&amp;$A48&amp;"-5",計算用!$AN$2:$AN$186,0)),""))</f>
        <v/>
      </c>
      <c r="R48" s="28">
        <f>IF($A48="","",IFERROR(INDEX(計算用!$I$2:$I$186,MATCH("男"&amp;$A48&amp;"-5",計算用!$AN$2:$AN$186,0)),""))</f>
        <v/>
      </c>
      <c r="T48" s="28">
        <f>IF(ROW()-3&lt;=計算用!$Q$11,ROW()-3,"")</f>
        <v/>
      </c>
      <c r="U48" s="28">
        <f>IF($T48="","",INDEX(計算用!$AC$2:$AC$51,$T48))</f>
        <v/>
      </c>
      <c r="V48" s="28">
        <f>IF($T48="","","赤"&amp;INDEX(計算用!$AF$2:$AF$51,$T48)&amp;"白"&amp;INDEX(計算用!$AG$2:$AG$51,$T48))</f>
        <v/>
      </c>
      <c r="W48">
        <f>IF($T48="","",IFERROR(INDEX(計算用!$D$2:$D$186,MATCH("女"&amp;$T48&amp;"-1",計算用!$AN$2:$AN$186,0)),""))</f>
        <v/>
      </c>
      <c r="X48" s="28">
        <f>IF($T48="","",IFERROR(INDEX(計算用!$M$2:$M$186,MATCH("女"&amp;$T48&amp;"-1",計算用!$AN$2:$AN$186,0)),""))</f>
        <v/>
      </c>
      <c r="Y48" s="28">
        <f>IF($T48="","",IFERROR(INDEX(計算用!$I$2:$I$186,MATCH("女"&amp;$T48&amp;"-1",計算用!$AN$2:$AN$186,0)),""))</f>
        <v/>
      </c>
      <c r="Z48">
        <f>IF($T48="","",IFERROR(INDEX(計算用!$D$2:$D$186,MATCH("女"&amp;$T48&amp;"-2",計算用!$AN$2:$AN$186,0)),""))</f>
        <v/>
      </c>
      <c r="AA48" s="28">
        <f>IF($T48="","",IFERROR(INDEX(計算用!$M$2:$M$186,MATCH("女"&amp;$T48&amp;"-2",計算用!$AN$2:$AN$186,0)),""))</f>
        <v/>
      </c>
      <c r="AB48" s="28">
        <f>IF($T48="","",IFERROR(INDEX(計算用!$I$2:$I$186,MATCH("女"&amp;$T48&amp;"-2",計算用!$AN$2:$AN$186,0)),""))</f>
        <v/>
      </c>
      <c r="AC48">
        <f>IF($T48="","",IFERROR(INDEX(計算用!$D$2:$D$186,MATCH("女"&amp;$T48&amp;"-3",計算用!$AN$2:$AN$186,0)),""))</f>
        <v/>
      </c>
      <c r="AD48" s="28">
        <f>IF($T48="","",IFERROR(INDEX(計算用!$M$2:$M$186,MATCH("女"&amp;$T48&amp;"-3",計算用!$AN$2:$AN$186,0)),""))</f>
        <v/>
      </c>
      <c r="AE48" s="28">
        <f>IF($T48="","",IFERROR(INDEX(計算用!$I$2:$I$186,MATCH("女"&amp;$T48&amp;"-3",計算用!$AN$2:$AN$186,0)),""))</f>
        <v/>
      </c>
      <c r="AF48">
        <f>IF($T48="","",IFERROR(INDEX(計算用!$D$2:$D$186,MATCH("女"&amp;$T48&amp;"-4",計算用!$AN$2:$AN$186,0)),""))</f>
        <v/>
      </c>
      <c r="AG48" s="28">
        <f>IF($T48="","",IFERROR(INDEX(計算用!$M$2:$M$186,MATCH("女"&amp;$T48&amp;"-4",計算用!$AN$2:$AN$186,0)),""))</f>
        <v/>
      </c>
      <c r="AH48" s="28">
        <f>IF($T48="","",IFERROR(INDEX(計算用!$I$2:$I$186,MATCH("女"&amp;$T48&amp;"-4",計算用!$AN$2:$AN$186,0)),""))</f>
        <v/>
      </c>
      <c r="AI48">
        <f>IF($T48="","",IFERROR(INDEX(計算用!$D$2:$D$186,MATCH("女"&amp;$T48&amp;"-5",計算用!$AN$2:$AN$186,0)),""))</f>
        <v/>
      </c>
      <c r="AJ48" s="28">
        <f>IF($T48="","",IFERROR(INDEX(計算用!$M$2:$M$186,MATCH("女"&amp;$T48&amp;"-5",計算用!$AN$2:$AN$186,0)),""))</f>
        <v/>
      </c>
      <c r="AK48" s="28">
        <f>IF($T48="","",IFERROR(INDEX(計算用!$I$2:$I$186,MATCH("女"&amp;$T48&amp;"-5",計算用!$AN$2:$AN$186,0)),""))</f>
        <v/>
      </c>
    </row>
    <row r="49">
      <c r="A49" s="28">
        <f>IF(ROW()-3&lt;=計算用!$Q$9,ROW()-3,"")</f>
        <v/>
      </c>
      <c r="B49" s="28">
        <f>IF($A49="","",INDEX(計算用!$T$2:$T$51,$A49))</f>
        <v/>
      </c>
      <c r="C49" s="28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8">
        <f>IF($A49="","",IFERROR(INDEX(計算用!$M$2:$M$186,MATCH("男"&amp;$A49&amp;"-1",計算用!$AN$2:$AN$186,0)),""))</f>
        <v/>
      </c>
      <c r="F49" s="28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8">
        <f>IF($A49="","",IFERROR(INDEX(計算用!$M$2:$M$186,MATCH("男"&amp;$A49&amp;"-2",計算用!$AN$2:$AN$186,0)),""))</f>
        <v/>
      </c>
      <c r="I49" s="28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8">
        <f>IF($A49="","",IFERROR(INDEX(計算用!$M$2:$M$186,MATCH("男"&amp;$A49&amp;"-3",計算用!$AN$2:$AN$186,0)),""))</f>
        <v/>
      </c>
      <c r="L49" s="28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8">
        <f>IF($A49="","",IFERROR(INDEX(計算用!$M$2:$M$186,MATCH("男"&amp;$A49&amp;"-4",計算用!$AN$2:$AN$186,0)),""))</f>
        <v/>
      </c>
      <c r="O49" s="28">
        <f>IF($A49="","",IFERROR(INDEX(計算用!$I$2:$I$186,MATCH("男"&amp;$A49&amp;"-4",計算用!$AN$2:$AN$186,0)),""))</f>
        <v/>
      </c>
      <c r="P49">
        <f>IF($A49="","",IFERROR(INDEX(計算用!$D$2:$D$186,MATCH("男"&amp;$A49&amp;"-5",計算用!$AN$2:$AN$186,0)),""))</f>
        <v/>
      </c>
      <c r="Q49" s="28">
        <f>IF($A49="","",IFERROR(INDEX(計算用!$M$2:$M$186,MATCH("男"&amp;$A49&amp;"-5",計算用!$AN$2:$AN$186,0)),""))</f>
        <v/>
      </c>
      <c r="R49" s="28">
        <f>IF($A49="","",IFERROR(INDEX(計算用!$I$2:$I$186,MATCH("男"&amp;$A49&amp;"-5",計算用!$AN$2:$AN$186,0)),""))</f>
        <v/>
      </c>
      <c r="T49" s="28">
        <f>IF(ROW()-3&lt;=計算用!$Q$11,ROW()-3,"")</f>
        <v/>
      </c>
      <c r="U49" s="28">
        <f>IF($T49="","",INDEX(計算用!$AC$2:$AC$51,$T49))</f>
        <v/>
      </c>
      <c r="V49" s="28">
        <f>IF($T49="","","赤"&amp;INDEX(計算用!$AF$2:$AF$51,$T49)&amp;"白"&amp;INDEX(計算用!$AG$2:$AG$51,$T49))</f>
        <v/>
      </c>
      <c r="W49">
        <f>IF($T49="","",IFERROR(INDEX(計算用!$D$2:$D$186,MATCH("女"&amp;$T49&amp;"-1",計算用!$AN$2:$AN$186,0)),""))</f>
        <v/>
      </c>
      <c r="X49" s="28">
        <f>IF($T49="","",IFERROR(INDEX(計算用!$M$2:$M$186,MATCH("女"&amp;$T49&amp;"-1",計算用!$AN$2:$AN$186,0)),""))</f>
        <v/>
      </c>
      <c r="Y49" s="28">
        <f>IF($T49="","",IFERROR(INDEX(計算用!$I$2:$I$186,MATCH("女"&amp;$T49&amp;"-1",計算用!$AN$2:$AN$186,0)),""))</f>
        <v/>
      </c>
      <c r="Z49">
        <f>IF($T49="","",IFERROR(INDEX(計算用!$D$2:$D$186,MATCH("女"&amp;$T49&amp;"-2",計算用!$AN$2:$AN$186,0)),""))</f>
        <v/>
      </c>
      <c r="AA49" s="28">
        <f>IF($T49="","",IFERROR(INDEX(計算用!$M$2:$M$186,MATCH("女"&amp;$T49&amp;"-2",計算用!$AN$2:$AN$186,0)),""))</f>
        <v/>
      </c>
      <c r="AB49" s="28">
        <f>IF($T49="","",IFERROR(INDEX(計算用!$I$2:$I$186,MATCH("女"&amp;$T49&amp;"-2",計算用!$AN$2:$AN$186,0)),""))</f>
        <v/>
      </c>
      <c r="AC49">
        <f>IF($T49="","",IFERROR(INDEX(計算用!$D$2:$D$186,MATCH("女"&amp;$T49&amp;"-3",計算用!$AN$2:$AN$186,0)),""))</f>
        <v/>
      </c>
      <c r="AD49" s="28">
        <f>IF($T49="","",IFERROR(INDEX(計算用!$M$2:$M$186,MATCH("女"&amp;$T49&amp;"-3",計算用!$AN$2:$AN$186,0)),""))</f>
        <v/>
      </c>
      <c r="AE49" s="28">
        <f>IF($T49="","",IFERROR(INDEX(計算用!$I$2:$I$186,MATCH("女"&amp;$T49&amp;"-3",計算用!$AN$2:$AN$186,0)),""))</f>
        <v/>
      </c>
      <c r="AF49">
        <f>IF($T49="","",IFERROR(INDEX(計算用!$D$2:$D$186,MATCH("女"&amp;$T49&amp;"-4",計算用!$AN$2:$AN$186,0)),""))</f>
        <v/>
      </c>
      <c r="AG49" s="28">
        <f>IF($T49="","",IFERROR(INDEX(計算用!$M$2:$M$186,MATCH("女"&amp;$T49&amp;"-4",計算用!$AN$2:$AN$186,0)),""))</f>
        <v/>
      </c>
      <c r="AH49" s="28">
        <f>IF($T49="","",IFERROR(INDEX(計算用!$I$2:$I$186,MATCH("女"&amp;$T49&amp;"-4",計算用!$AN$2:$AN$186,0)),""))</f>
        <v/>
      </c>
      <c r="AI49">
        <f>IF($T49="","",IFERROR(INDEX(計算用!$D$2:$D$186,MATCH("女"&amp;$T49&amp;"-5",計算用!$AN$2:$AN$186,0)),""))</f>
        <v/>
      </c>
      <c r="AJ49" s="28">
        <f>IF($T49="","",IFERROR(INDEX(計算用!$M$2:$M$186,MATCH("女"&amp;$T49&amp;"-5",計算用!$AN$2:$AN$186,0)),""))</f>
        <v/>
      </c>
      <c r="AK49" s="28">
        <f>IF($T49="","",IFERROR(INDEX(計算用!$I$2:$I$186,MATCH("女"&amp;$T49&amp;"-5",計算用!$AN$2:$AN$186,0)),""))</f>
        <v/>
      </c>
    </row>
    <row r="50">
      <c r="A50" s="28">
        <f>IF(ROW()-3&lt;=計算用!$Q$9,ROW()-3,"")</f>
        <v/>
      </c>
      <c r="B50" s="28">
        <f>IF($A50="","",INDEX(計算用!$T$2:$T$51,$A50))</f>
        <v/>
      </c>
      <c r="C50" s="28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8">
        <f>IF($A50="","",IFERROR(INDEX(計算用!$M$2:$M$186,MATCH("男"&amp;$A50&amp;"-1",計算用!$AN$2:$AN$186,0)),""))</f>
        <v/>
      </c>
      <c r="F50" s="28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8">
        <f>IF($A50="","",IFERROR(INDEX(計算用!$M$2:$M$186,MATCH("男"&amp;$A50&amp;"-2",計算用!$AN$2:$AN$186,0)),""))</f>
        <v/>
      </c>
      <c r="I50" s="28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8">
        <f>IF($A50="","",IFERROR(INDEX(計算用!$M$2:$M$186,MATCH("男"&amp;$A50&amp;"-3",計算用!$AN$2:$AN$186,0)),""))</f>
        <v/>
      </c>
      <c r="L50" s="28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8">
        <f>IF($A50="","",IFERROR(INDEX(計算用!$M$2:$M$186,MATCH("男"&amp;$A50&amp;"-4",計算用!$AN$2:$AN$186,0)),""))</f>
        <v/>
      </c>
      <c r="O50" s="28">
        <f>IF($A50="","",IFERROR(INDEX(計算用!$I$2:$I$186,MATCH("男"&amp;$A50&amp;"-4",計算用!$AN$2:$AN$186,0)),""))</f>
        <v/>
      </c>
      <c r="P50">
        <f>IF($A50="","",IFERROR(INDEX(計算用!$D$2:$D$186,MATCH("男"&amp;$A50&amp;"-5",計算用!$AN$2:$AN$186,0)),""))</f>
        <v/>
      </c>
      <c r="Q50" s="28">
        <f>IF($A50="","",IFERROR(INDEX(計算用!$M$2:$M$186,MATCH("男"&amp;$A50&amp;"-5",計算用!$AN$2:$AN$186,0)),""))</f>
        <v/>
      </c>
      <c r="R50" s="28">
        <f>IF($A50="","",IFERROR(INDEX(計算用!$I$2:$I$186,MATCH("男"&amp;$A50&amp;"-5",計算用!$AN$2:$AN$186,0)),""))</f>
        <v/>
      </c>
      <c r="T50" s="28">
        <f>IF(ROW()-3&lt;=計算用!$Q$11,ROW()-3,"")</f>
        <v/>
      </c>
      <c r="U50" s="28">
        <f>IF($T50="","",INDEX(計算用!$AC$2:$AC$51,$T50))</f>
        <v/>
      </c>
      <c r="V50" s="28">
        <f>IF($T50="","","赤"&amp;INDEX(計算用!$AF$2:$AF$51,$T50)&amp;"白"&amp;INDEX(計算用!$AG$2:$AG$51,$T50))</f>
        <v/>
      </c>
      <c r="W50">
        <f>IF($T50="","",IFERROR(INDEX(計算用!$D$2:$D$186,MATCH("女"&amp;$T50&amp;"-1",計算用!$AN$2:$AN$186,0)),""))</f>
        <v/>
      </c>
      <c r="X50" s="28">
        <f>IF($T50="","",IFERROR(INDEX(計算用!$M$2:$M$186,MATCH("女"&amp;$T50&amp;"-1",計算用!$AN$2:$AN$186,0)),""))</f>
        <v/>
      </c>
      <c r="Y50" s="28">
        <f>IF($T50="","",IFERROR(INDEX(計算用!$I$2:$I$186,MATCH("女"&amp;$T50&amp;"-1",計算用!$AN$2:$AN$186,0)),""))</f>
        <v/>
      </c>
      <c r="Z50">
        <f>IF($T50="","",IFERROR(INDEX(計算用!$D$2:$D$186,MATCH("女"&amp;$T50&amp;"-2",計算用!$AN$2:$AN$186,0)),""))</f>
        <v/>
      </c>
      <c r="AA50" s="28">
        <f>IF($T50="","",IFERROR(INDEX(計算用!$M$2:$M$186,MATCH("女"&amp;$T50&amp;"-2",計算用!$AN$2:$AN$186,0)),""))</f>
        <v/>
      </c>
      <c r="AB50" s="28">
        <f>IF($T50="","",IFERROR(INDEX(計算用!$I$2:$I$186,MATCH("女"&amp;$T50&amp;"-2",計算用!$AN$2:$AN$186,0)),""))</f>
        <v/>
      </c>
      <c r="AC50">
        <f>IF($T50="","",IFERROR(INDEX(計算用!$D$2:$D$186,MATCH("女"&amp;$T50&amp;"-3",計算用!$AN$2:$AN$186,0)),""))</f>
        <v/>
      </c>
      <c r="AD50" s="28">
        <f>IF($T50="","",IFERROR(INDEX(計算用!$M$2:$M$186,MATCH("女"&amp;$T50&amp;"-3",計算用!$AN$2:$AN$186,0)),""))</f>
        <v/>
      </c>
      <c r="AE50" s="28">
        <f>IF($T50="","",IFERROR(INDEX(計算用!$I$2:$I$186,MATCH("女"&amp;$T50&amp;"-3",計算用!$AN$2:$AN$186,0)),""))</f>
        <v/>
      </c>
      <c r="AF50">
        <f>IF($T50="","",IFERROR(INDEX(計算用!$D$2:$D$186,MATCH("女"&amp;$T50&amp;"-4",計算用!$AN$2:$AN$186,0)),""))</f>
        <v/>
      </c>
      <c r="AG50" s="28">
        <f>IF($T50="","",IFERROR(INDEX(計算用!$M$2:$M$186,MATCH("女"&amp;$T50&amp;"-4",計算用!$AN$2:$AN$186,0)),""))</f>
        <v/>
      </c>
      <c r="AH50" s="28">
        <f>IF($T50="","",IFERROR(INDEX(計算用!$I$2:$I$186,MATCH("女"&amp;$T50&amp;"-4",計算用!$AN$2:$AN$186,0)),""))</f>
        <v/>
      </c>
      <c r="AI50">
        <f>IF($T50="","",IFERROR(INDEX(計算用!$D$2:$D$186,MATCH("女"&amp;$T50&amp;"-5",計算用!$AN$2:$AN$186,0)),""))</f>
        <v/>
      </c>
      <c r="AJ50" s="28">
        <f>IF($T50="","",IFERROR(INDEX(計算用!$M$2:$M$186,MATCH("女"&amp;$T50&amp;"-5",計算用!$AN$2:$AN$186,0)),""))</f>
        <v/>
      </c>
      <c r="AK50" s="28">
        <f>IF($T50="","",IFERROR(INDEX(計算用!$I$2:$I$186,MATCH("女"&amp;$T50&amp;"-5",計算用!$AN$2:$AN$186,0)),""))</f>
        <v/>
      </c>
    </row>
    <row r="51">
      <c r="A51" s="28">
        <f>IF(ROW()-3&lt;=計算用!$Q$9,ROW()-3,"")</f>
        <v/>
      </c>
      <c r="B51" s="28">
        <f>IF($A51="","",INDEX(計算用!$T$2:$T$51,$A51))</f>
        <v/>
      </c>
      <c r="C51" s="28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8">
        <f>IF($A51="","",IFERROR(INDEX(計算用!$M$2:$M$186,MATCH("男"&amp;$A51&amp;"-1",計算用!$AN$2:$AN$186,0)),""))</f>
        <v/>
      </c>
      <c r="F51" s="28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8">
        <f>IF($A51="","",IFERROR(INDEX(計算用!$M$2:$M$186,MATCH("男"&amp;$A51&amp;"-2",計算用!$AN$2:$AN$186,0)),""))</f>
        <v/>
      </c>
      <c r="I51" s="28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8">
        <f>IF($A51="","",IFERROR(INDEX(計算用!$M$2:$M$186,MATCH("男"&amp;$A51&amp;"-3",計算用!$AN$2:$AN$186,0)),""))</f>
        <v/>
      </c>
      <c r="L51" s="28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8">
        <f>IF($A51="","",IFERROR(INDEX(計算用!$M$2:$M$186,MATCH("男"&amp;$A51&amp;"-4",計算用!$AN$2:$AN$186,0)),""))</f>
        <v/>
      </c>
      <c r="O51" s="28">
        <f>IF($A51="","",IFERROR(INDEX(計算用!$I$2:$I$186,MATCH("男"&amp;$A51&amp;"-4",計算用!$AN$2:$AN$186,0)),""))</f>
        <v/>
      </c>
      <c r="P51">
        <f>IF($A51="","",IFERROR(INDEX(計算用!$D$2:$D$186,MATCH("男"&amp;$A51&amp;"-5",計算用!$AN$2:$AN$186,0)),""))</f>
        <v/>
      </c>
      <c r="Q51" s="28">
        <f>IF($A51="","",IFERROR(INDEX(計算用!$M$2:$M$186,MATCH("男"&amp;$A51&amp;"-5",計算用!$AN$2:$AN$186,0)),""))</f>
        <v/>
      </c>
      <c r="R51" s="28">
        <f>IF($A51="","",IFERROR(INDEX(計算用!$I$2:$I$186,MATCH("男"&amp;$A51&amp;"-5",計算用!$AN$2:$AN$186,0)),""))</f>
        <v/>
      </c>
      <c r="T51" s="28">
        <f>IF(ROW()-3&lt;=計算用!$Q$11,ROW()-3,"")</f>
        <v/>
      </c>
      <c r="U51" s="28">
        <f>IF($T51="","",INDEX(計算用!$AC$2:$AC$51,$T51))</f>
        <v/>
      </c>
      <c r="V51" s="28">
        <f>IF($T51="","","赤"&amp;INDEX(計算用!$AF$2:$AF$51,$T51)&amp;"白"&amp;INDEX(計算用!$AG$2:$AG$51,$T51))</f>
        <v/>
      </c>
      <c r="W51">
        <f>IF($T51="","",IFERROR(INDEX(計算用!$D$2:$D$186,MATCH("女"&amp;$T51&amp;"-1",計算用!$AN$2:$AN$186,0)),""))</f>
        <v/>
      </c>
      <c r="X51" s="28">
        <f>IF($T51="","",IFERROR(INDEX(計算用!$M$2:$M$186,MATCH("女"&amp;$T51&amp;"-1",計算用!$AN$2:$AN$186,0)),""))</f>
        <v/>
      </c>
      <c r="Y51" s="28">
        <f>IF($T51="","",IFERROR(INDEX(計算用!$I$2:$I$186,MATCH("女"&amp;$T51&amp;"-1",計算用!$AN$2:$AN$186,0)),""))</f>
        <v/>
      </c>
      <c r="Z51">
        <f>IF($T51="","",IFERROR(INDEX(計算用!$D$2:$D$186,MATCH("女"&amp;$T51&amp;"-2",計算用!$AN$2:$AN$186,0)),""))</f>
        <v/>
      </c>
      <c r="AA51" s="28">
        <f>IF($T51="","",IFERROR(INDEX(計算用!$M$2:$M$186,MATCH("女"&amp;$T51&amp;"-2",計算用!$AN$2:$AN$186,0)),""))</f>
        <v/>
      </c>
      <c r="AB51" s="28">
        <f>IF($T51="","",IFERROR(INDEX(計算用!$I$2:$I$186,MATCH("女"&amp;$T51&amp;"-2",計算用!$AN$2:$AN$186,0)),""))</f>
        <v/>
      </c>
      <c r="AC51">
        <f>IF($T51="","",IFERROR(INDEX(計算用!$D$2:$D$186,MATCH("女"&amp;$T51&amp;"-3",計算用!$AN$2:$AN$186,0)),""))</f>
        <v/>
      </c>
      <c r="AD51" s="28">
        <f>IF($T51="","",IFERROR(INDEX(計算用!$M$2:$M$186,MATCH("女"&amp;$T51&amp;"-3",計算用!$AN$2:$AN$186,0)),""))</f>
        <v/>
      </c>
      <c r="AE51" s="28">
        <f>IF($T51="","",IFERROR(INDEX(計算用!$I$2:$I$186,MATCH("女"&amp;$T51&amp;"-3",計算用!$AN$2:$AN$186,0)),""))</f>
        <v/>
      </c>
      <c r="AF51">
        <f>IF($T51="","",IFERROR(INDEX(計算用!$D$2:$D$186,MATCH("女"&amp;$T51&amp;"-4",計算用!$AN$2:$AN$186,0)),""))</f>
        <v/>
      </c>
      <c r="AG51" s="28">
        <f>IF($T51="","",IFERROR(INDEX(計算用!$M$2:$M$186,MATCH("女"&amp;$T51&amp;"-4",計算用!$AN$2:$AN$186,0)),""))</f>
        <v/>
      </c>
      <c r="AH51" s="28">
        <f>IF($T51="","",IFERROR(INDEX(計算用!$I$2:$I$186,MATCH("女"&amp;$T51&amp;"-4",計算用!$AN$2:$AN$186,0)),""))</f>
        <v/>
      </c>
      <c r="AI51">
        <f>IF($T51="","",IFERROR(INDEX(計算用!$D$2:$D$186,MATCH("女"&amp;$T51&amp;"-5",計算用!$AN$2:$AN$186,0)),""))</f>
        <v/>
      </c>
      <c r="AJ51" s="28">
        <f>IF($T51="","",IFERROR(INDEX(計算用!$M$2:$M$186,MATCH("女"&amp;$T51&amp;"-5",計算用!$AN$2:$AN$186,0)),""))</f>
        <v/>
      </c>
      <c r="AK51" s="28">
        <f>IF($T51="","",IFERROR(INDEX(計算用!$I$2:$I$186,MATCH("女"&amp;$T51&amp;"-5",計算用!$AN$2:$AN$186,0)),""))</f>
        <v/>
      </c>
    </row>
    <row r="52">
      <c r="A52" s="28">
        <f>IF(ROW()-3&lt;=計算用!$Q$9,ROW()-3,"")</f>
        <v/>
      </c>
      <c r="B52" s="28">
        <f>IF($A52="","",INDEX(計算用!$T$2:$T$51,$A52))</f>
        <v/>
      </c>
      <c r="C52" s="28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8">
        <f>IF($A52="","",IFERROR(INDEX(計算用!$M$2:$M$186,MATCH("男"&amp;$A52&amp;"-1",計算用!$AN$2:$AN$186,0)),""))</f>
        <v/>
      </c>
      <c r="F52" s="28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8">
        <f>IF($A52="","",IFERROR(INDEX(計算用!$M$2:$M$186,MATCH("男"&amp;$A52&amp;"-2",計算用!$AN$2:$AN$186,0)),""))</f>
        <v/>
      </c>
      <c r="I52" s="28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8">
        <f>IF($A52="","",IFERROR(INDEX(計算用!$M$2:$M$186,MATCH("男"&amp;$A52&amp;"-3",計算用!$AN$2:$AN$186,0)),""))</f>
        <v/>
      </c>
      <c r="L52" s="28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8">
        <f>IF($A52="","",IFERROR(INDEX(計算用!$M$2:$M$186,MATCH("男"&amp;$A52&amp;"-4",計算用!$AN$2:$AN$186,0)),""))</f>
        <v/>
      </c>
      <c r="O52" s="28">
        <f>IF($A52="","",IFERROR(INDEX(計算用!$I$2:$I$186,MATCH("男"&amp;$A52&amp;"-4",計算用!$AN$2:$AN$186,0)),""))</f>
        <v/>
      </c>
      <c r="P52">
        <f>IF($A52="","",IFERROR(INDEX(計算用!$D$2:$D$186,MATCH("男"&amp;$A52&amp;"-5",計算用!$AN$2:$AN$186,0)),""))</f>
        <v/>
      </c>
      <c r="Q52" s="28">
        <f>IF($A52="","",IFERROR(INDEX(計算用!$M$2:$M$186,MATCH("男"&amp;$A52&amp;"-5",計算用!$AN$2:$AN$186,0)),""))</f>
        <v/>
      </c>
      <c r="R52" s="28">
        <f>IF($A52="","",IFERROR(INDEX(計算用!$I$2:$I$186,MATCH("男"&amp;$A52&amp;"-5",計算用!$AN$2:$AN$186,0)),""))</f>
        <v/>
      </c>
      <c r="T52" s="28">
        <f>IF(ROW()-3&lt;=計算用!$Q$11,ROW()-3,"")</f>
        <v/>
      </c>
      <c r="U52" s="28">
        <f>IF($T52="","",INDEX(計算用!$AC$2:$AC$51,$T52))</f>
        <v/>
      </c>
      <c r="V52" s="28">
        <f>IF($T52="","","赤"&amp;INDEX(計算用!$AF$2:$AF$51,$T52)&amp;"白"&amp;INDEX(計算用!$AG$2:$AG$51,$T52))</f>
        <v/>
      </c>
      <c r="W52">
        <f>IF($T52="","",IFERROR(INDEX(計算用!$D$2:$D$186,MATCH("女"&amp;$T52&amp;"-1",計算用!$AN$2:$AN$186,0)),""))</f>
        <v/>
      </c>
      <c r="X52" s="28">
        <f>IF($T52="","",IFERROR(INDEX(計算用!$M$2:$M$186,MATCH("女"&amp;$T52&amp;"-1",計算用!$AN$2:$AN$186,0)),""))</f>
        <v/>
      </c>
      <c r="Y52" s="28">
        <f>IF($T52="","",IFERROR(INDEX(計算用!$I$2:$I$186,MATCH("女"&amp;$T52&amp;"-1",計算用!$AN$2:$AN$186,0)),""))</f>
        <v/>
      </c>
      <c r="Z52">
        <f>IF($T52="","",IFERROR(INDEX(計算用!$D$2:$D$186,MATCH("女"&amp;$T52&amp;"-2",計算用!$AN$2:$AN$186,0)),""))</f>
        <v/>
      </c>
      <c r="AA52" s="28">
        <f>IF($T52="","",IFERROR(INDEX(計算用!$M$2:$M$186,MATCH("女"&amp;$T52&amp;"-2",計算用!$AN$2:$AN$186,0)),""))</f>
        <v/>
      </c>
      <c r="AB52" s="28">
        <f>IF($T52="","",IFERROR(INDEX(計算用!$I$2:$I$186,MATCH("女"&amp;$T52&amp;"-2",計算用!$AN$2:$AN$186,0)),""))</f>
        <v/>
      </c>
      <c r="AC52">
        <f>IF($T52="","",IFERROR(INDEX(計算用!$D$2:$D$186,MATCH("女"&amp;$T52&amp;"-3",計算用!$AN$2:$AN$186,0)),""))</f>
        <v/>
      </c>
      <c r="AD52" s="28">
        <f>IF($T52="","",IFERROR(INDEX(計算用!$M$2:$M$186,MATCH("女"&amp;$T52&amp;"-3",計算用!$AN$2:$AN$186,0)),""))</f>
        <v/>
      </c>
      <c r="AE52" s="28">
        <f>IF($T52="","",IFERROR(INDEX(計算用!$I$2:$I$186,MATCH("女"&amp;$T52&amp;"-3",計算用!$AN$2:$AN$186,0)),""))</f>
        <v/>
      </c>
      <c r="AF52">
        <f>IF($T52="","",IFERROR(INDEX(計算用!$D$2:$D$186,MATCH("女"&amp;$T52&amp;"-4",計算用!$AN$2:$AN$186,0)),""))</f>
        <v/>
      </c>
      <c r="AG52" s="28">
        <f>IF($T52="","",IFERROR(INDEX(計算用!$M$2:$M$186,MATCH("女"&amp;$T52&amp;"-4",計算用!$AN$2:$AN$186,0)),""))</f>
        <v/>
      </c>
      <c r="AH52" s="28">
        <f>IF($T52="","",IFERROR(INDEX(計算用!$I$2:$I$186,MATCH("女"&amp;$T52&amp;"-4",計算用!$AN$2:$AN$186,0)),""))</f>
        <v/>
      </c>
      <c r="AI52">
        <f>IF($T52="","",IFERROR(INDEX(計算用!$D$2:$D$186,MATCH("女"&amp;$T52&amp;"-5",計算用!$AN$2:$AN$186,0)),""))</f>
        <v/>
      </c>
      <c r="AJ52" s="28">
        <f>IF($T52="","",IFERROR(INDEX(計算用!$M$2:$M$186,MATCH("女"&amp;$T52&amp;"-5",計算用!$AN$2:$AN$186,0)),""))</f>
        <v/>
      </c>
      <c r="AK52" s="28">
        <f>IF($T52="","",IFERROR(INDEX(計算用!$I$2:$I$186,MATCH("女"&amp;$T52&amp;"-5",計算用!$AN$2:$AN$186,0)),""))</f>
        <v/>
      </c>
    </row>
    <row r="53">
      <c r="A53" s="28">
        <f>IF(ROW()-3&lt;=計算用!$Q$9,ROW()-3,"")</f>
        <v/>
      </c>
      <c r="B53" s="28">
        <f>IF($A53="","",INDEX(計算用!$T$2:$T$51,$A53))</f>
        <v/>
      </c>
      <c r="C53" s="28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8">
        <f>IF($A53="","",IFERROR(INDEX(計算用!$M$2:$M$186,MATCH("男"&amp;$A53&amp;"-1",計算用!$AN$2:$AN$186,0)),""))</f>
        <v/>
      </c>
      <c r="F53" s="28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8">
        <f>IF($A53="","",IFERROR(INDEX(計算用!$M$2:$M$186,MATCH("男"&amp;$A53&amp;"-2",計算用!$AN$2:$AN$186,0)),""))</f>
        <v/>
      </c>
      <c r="I53" s="28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8">
        <f>IF($A53="","",IFERROR(INDEX(計算用!$M$2:$M$186,MATCH("男"&amp;$A53&amp;"-3",計算用!$AN$2:$AN$186,0)),""))</f>
        <v/>
      </c>
      <c r="L53" s="28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8">
        <f>IF($A53="","",IFERROR(INDEX(計算用!$M$2:$M$186,MATCH("男"&amp;$A53&amp;"-4",計算用!$AN$2:$AN$186,0)),""))</f>
        <v/>
      </c>
      <c r="O53" s="28">
        <f>IF($A53="","",IFERROR(INDEX(計算用!$I$2:$I$186,MATCH("男"&amp;$A53&amp;"-4",計算用!$AN$2:$AN$186,0)),""))</f>
        <v/>
      </c>
      <c r="P53">
        <f>IF($A53="","",IFERROR(INDEX(計算用!$D$2:$D$186,MATCH("男"&amp;$A53&amp;"-5",計算用!$AN$2:$AN$186,0)),""))</f>
        <v/>
      </c>
      <c r="Q53" s="28">
        <f>IF($A53="","",IFERROR(INDEX(計算用!$M$2:$M$186,MATCH("男"&amp;$A53&amp;"-5",計算用!$AN$2:$AN$186,0)),""))</f>
        <v/>
      </c>
      <c r="R53" s="28">
        <f>IF($A53="","",IFERROR(INDEX(計算用!$I$2:$I$186,MATCH("男"&amp;$A53&amp;"-5",計算用!$AN$2:$AN$186,0)),""))</f>
        <v/>
      </c>
      <c r="T53" s="28">
        <f>IF(ROW()-3&lt;=計算用!$Q$11,ROW()-3,"")</f>
        <v/>
      </c>
      <c r="U53" s="28">
        <f>IF($T53="","",INDEX(計算用!$AC$2:$AC$51,$T53))</f>
        <v/>
      </c>
      <c r="V53" s="28">
        <f>IF($T53="","","赤"&amp;INDEX(計算用!$AF$2:$AF$51,$T53)&amp;"白"&amp;INDEX(計算用!$AG$2:$AG$51,$T53))</f>
        <v/>
      </c>
      <c r="W53">
        <f>IF($T53="","",IFERROR(INDEX(計算用!$D$2:$D$186,MATCH("女"&amp;$T53&amp;"-1",計算用!$AN$2:$AN$186,0)),""))</f>
        <v/>
      </c>
      <c r="X53" s="28">
        <f>IF($T53="","",IFERROR(INDEX(計算用!$M$2:$M$186,MATCH("女"&amp;$T53&amp;"-1",計算用!$AN$2:$AN$186,0)),""))</f>
        <v/>
      </c>
      <c r="Y53" s="28">
        <f>IF($T53="","",IFERROR(INDEX(計算用!$I$2:$I$186,MATCH("女"&amp;$T53&amp;"-1",計算用!$AN$2:$AN$186,0)),""))</f>
        <v/>
      </c>
      <c r="Z53">
        <f>IF($T53="","",IFERROR(INDEX(計算用!$D$2:$D$186,MATCH("女"&amp;$T53&amp;"-2",計算用!$AN$2:$AN$186,0)),""))</f>
        <v/>
      </c>
      <c r="AA53" s="28">
        <f>IF($T53="","",IFERROR(INDEX(計算用!$M$2:$M$186,MATCH("女"&amp;$T53&amp;"-2",計算用!$AN$2:$AN$186,0)),""))</f>
        <v/>
      </c>
      <c r="AB53" s="28">
        <f>IF($T53="","",IFERROR(INDEX(計算用!$I$2:$I$186,MATCH("女"&amp;$T53&amp;"-2",計算用!$AN$2:$AN$186,0)),""))</f>
        <v/>
      </c>
      <c r="AC53">
        <f>IF($T53="","",IFERROR(INDEX(計算用!$D$2:$D$186,MATCH("女"&amp;$T53&amp;"-3",計算用!$AN$2:$AN$186,0)),""))</f>
        <v/>
      </c>
      <c r="AD53" s="28">
        <f>IF($T53="","",IFERROR(INDEX(計算用!$M$2:$M$186,MATCH("女"&amp;$T53&amp;"-3",計算用!$AN$2:$AN$186,0)),""))</f>
        <v/>
      </c>
      <c r="AE53" s="28">
        <f>IF($T53="","",IFERROR(INDEX(計算用!$I$2:$I$186,MATCH("女"&amp;$T53&amp;"-3",計算用!$AN$2:$AN$186,0)),""))</f>
        <v/>
      </c>
      <c r="AF53">
        <f>IF($T53="","",IFERROR(INDEX(計算用!$D$2:$D$186,MATCH("女"&amp;$T53&amp;"-4",計算用!$AN$2:$AN$186,0)),""))</f>
        <v/>
      </c>
      <c r="AG53" s="28">
        <f>IF($T53="","",IFERROR(INDEX(計算用!$M$2:$M$186,MATCH("女"&amp;$T53&amp;"-4",計算用!$AN$2:$AN$186,0)),""))</f>
        <v/>
      </c>
      <c r="AH53" s="28">
        <f>IF($T53="","",IFERROR(INDEX(計算用!$I$2:$I$186,MATCH("女"&amp;$T53&amp;"-4",計算用!$AN$2:$AN$186,0)),""))</f>
        <v/>
      </c>
      <c r="AI53">
        <f>IF($T53="","",IFERROR(INDEX(計算用!$D$2:$D$186,MATCH("女"&amp;$T53&amp;"-5",計算用!$AN$2:$AN$186,0)),""))</f>
        <v/>
      </c>
      <c r="AJ53" s="28">
        <f>IF($T53="","",IFERROR(INDEX(計算用!$M$2:$M$186,MATCH("女"&amp;$T53&amp;"-5",計算用!$AN$2:$AN$186,0)),""))</f>
        <v/>
      </c>
      <c r="AK53" s="28">
        <f>IF($T53="","",IFERROR(INDEX(計算用!$I$2:$I$186,MATCH("女"&amp;$T53&amp;"-5",計算用!$AN$2:$AN$186,0)),""))</f>
        <v/>
      </c>
    </row>
  </sheetData>
  <mergeCells count="16">
    <mergeCell ref="D2:F2"/>
    <mergeCell ref="Z2:AB2"/>
    <mergeCell ref="G2:I2"/>
    <mergeCell ref="T2:T3"/>
    <mergeCell ref="J2:L2"/>
    <mergeCell ref="AI2:AK2"/>
    <mergeCell ref="AC2:AE2"/>
    <mergeCell ref="P2:R2"/>
    <mergeCell ref="U2:U3"/>
    <mergeCell ref="AF2:AH2"/>
    <mergeCell ref="B2:B3"/>
    <mergeCell ref="A2:A3"/>
    <mergeCell ref="V2:V3"/>
    <mergeCell ref="C2:C3"/>
    <mergeCell ref="M2:O2"/>
    <mergeCell ref="W2:Y2"/>
  </mergeCells>
  <conditionalFormatting sqref="A4:C53">
    <cfRule type="expression" priority="1" dxfId="8" stopIfTrue="0">
      <formula>AND($A4&lt;&gt;"",OR($B4&lt;&gt;計算用!$Q$32,ABS(INDEX(計算用!$W$2:$W$51,$A4)-INDEX(計算用!$X$2:$X$51,$A4))&gt;1))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R4:R53">
    <cfRule type="expression" priority="6" dxfId="9">
      <formula>R4="赤"</formula>
    </cfRule>
  </conditionalFormatting>
  <conditionalFormatting sqref="A4:R53">
    <cfRule type="expression" priority="7" dxfId="10">
      <formula>$A4&lt;&gt;""</formula>
    </cfRule>
  </conditionalFormatting>
  <conditionalFormatting sqref="T4:V53">
    <cfRule type="expression" priority="8" dxfId="8" stopIfTrue="0">
      <formula>AND($T4&lt;&gt;"",OR($U4&lt;&gt;計算用!$Q$33,ABS(INDEX(計算用!$AF$2:$AF$51,$T4)-INDEX(計算用!$AG$2:$AG$51,$T4))&gt;1))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AH4:AH53">
    <cfRule type="expression" priority="12" dxfId="9">
      <formula>AH4="赤"</formula>
    </cfRule>
  </conditionalFormatting>
  <conditionalFormatting sqref="AK4:AK53">
    <cfRule type="expression" priority="13" dxfId="9">
      <formula>AK4="赤"</formula>
    </cfRule>
  </conditionalFormatting>
  <conditionalFormatting sqref="T4:AK53">
    <cfRule type="expression" priority="14" dxfId="10">
      <formula>$T4&lt;&gt;""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1" min="1" max="1"/>
    <col width="12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12" customWidth="1" style="11" min="8" max="8"/>
    <col width="12" customWidth="1" style="11" min="9" max="9"/>
    <col width="12" customWidth="1" style="11" min="10" max="10"/>
    <col width="12" customWidth="1" style="11" min="11" max="11"/>
    <col width="2" customWidth="1" style="11" min="12" max="12"/>
    <col width="5" customWidth="1" style="11" min="13" max="13"/>
    <col width="8" customWidth="1" style="11" min="14" max="14"/>
    <col width="5" customWidth="1" style="11" min="15" max="15"/>
    <col width="8" customWidth="1" style="11" min="16" max="16"/>
    <col width="2" customWidth="1" style="11" min="17" max="17"/>
    <col width="16" customWidth="1" style="11" min="18" max="18"/>
    <col width="16" customWidth="1" style="11" min="19" max="19"/>
    <col width="2" customWidth="1" style="11" min="20" max="20"/>
    <col width="12" customWidth="1" style="11" min="21" max="21"/>
    <col width="12" customWidth="1" style="11" min="22" max="22"/>
    <col width="12" customWidth="1" style="11" min="23" max="23"/>
    <col width="12" customWidth="1" style="11" min="24" max="24"/>
    <col width="12" customWidth="1" style="11" min="25" max="25"/>
    <col width="12" customWidth="1" style="11" min="26" max="26"/>
    <col width="12" customWidth="1" style="11" min="27" max="27"/>
    <col width="12" customWidth="1" style="11" min="28" max="28"/>
    <col width="12" customWidth="1" style="11" min="29" max="29"/>
    <col width="12" customWidth="1" style="11" min="30" max="30"/>
  </cols>
  <sheetData>
    <row r="1" ht="48" customHeight="1" s="11">
      <c r="A1" s="29" t="inlineStr">
        <is>
          <t>手直し</t>
        </is>
      </c>
      <c r="C1" s="30" t="inlineStr">
        <is>
          <t>① 右の「自動の組（コピー用）」U6:AD55 をコピーし、B6 に「値として貼り付け」します（右クリック →「貼り付けのオプション」の「値」）。
② 名前を切り取り・貼り付けして、組を直します。結果は「決定版」シートに出ます。
※名簿やタイムを直したときは、もう一度①からやり直してください。</t>
        </is>
      </c>
    </row>
    <row r="2">
      <c r="B2" s="25">
        <f>"男子：自動 "&amp;計算用!$Q$9&amp;"組 → 手直し "&amp;計算用!$Q$13&amp;"組"</f>
        <v/>
      </c>
      <c r="E2" s="26">
        <f>IF(計算用!$Q$15=0,IF(計算用!$Q$13=0,"","確認：問題なし"),"確認："&amp;IF(計算用!$Q$17&gt;0,"入っていない人 "&amp;計算用!$Q$17&amp;"人　","")&amp;IF(計算用!$Q$19&gt;0,"2回以上入っている人 "&amp;計算用!$Q$19&amp;"人　","")&amp;IF(計算用!$Q$21&gt;0,"名簿にない名前 "&amp;計算用!$Q$21&amp;"こ　","")&amp;IF(計算用!$Q$23&gt;0,"同じ名前の人がいます（区別できません）",""))</f>
        <v/>
      </c>
    </row>
    <row r="3">
      <c r="B3" s="25">
        <f>"女子：自動 "&amp;計算用!$Q$11&amp;"組 → 手直し "&amp;計算用!$Q$14&amp;"組"</f>
        <v/>
      </c>
      <c r="E3" s="26">
        <f>IF(計算用!$Q$16=0,IF(計算用!$Q$14=0,"","確認：問題なし"),"確認："&amp;IF(計算用!$Q$18&gt;0,"入っていない人 "&amp;計算用!$Q$18&amp;"人　","")&amp;IF(計算用!$Q$20&gt;0,"2回以上入っている人 "&amp;計算用!$Q$20&amp;"人　","")&amp;IF(計算用!$Q$22&gt;0,"名簿にない名前 "&amp;計算用!$Q$22&amp;"こ　","")&amp;IF(計算用!$Q$24&gt;0,"同じ名前の人がいます（区別できません）",""))</f>
        <v/>
      </c>
      <c r="U3" s="31" t="inlineStr">
        <is>
          <t>自動の組（コピー用）</t>
        </is>
      </c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</row>
    <row r="4">
      <c r="A4" s="27" t="inlineStr">
        <is>
          <t>組</t>
        </is>
      </c>
      <c r="B4" s="27" t="inlineStr">
        <is>
          <t>男子</t>
        </is>
      </c>
      <c r="C4" s="27" t="n"/>
      <c r="D4" s="27" t="n"/>
      <c r="E4" s="27" t="n"/>
      <c r="F4" s="27" t="n"/>
      <c r="G4" s="27" t="inlineStr">
        <is>
          <t>女子</t>
        </is>
      </c>
      <c r="H4" s="27" t="n"/>
      <c r="I4" s="27" t="n"/>
      <c r="J4" s="27" t="n"/>
      <c r="K4" s="27" t="n"/>
      <c r="M4" s="27" t="inlineStr">
        <is>
          <t>男子</t>
        </is>
      </c>
      <c r="N4" s="27" t="n"/>
      <c r="O4" s="27" t="inlineStr">
        <is>
          <t>女子</t>
        </is>
      </c>
      <c r="P4" s="27" t="n"/>
      <c r="R4" s="27" t="inlineStr">
        <is>
          <t>入っていない人</t>
        </is>
      </c>
      <c r="S4" s="27" t="n"/>
      <c r="U4" s="31" t="inlineStr">
        <is>
          <t>男子</t>
        </is>
      </c>
      <c r="V4" s="31" t="n"/>
      <c r="W4" s="31" t="n"/>
      <c r="X4" s="31" t="n"/>
      <c r="Y4" s="31" t="n"/>
      <c r="Z4" s="31" t="inlineStr">
        <is>
          <t>女子</t>
        </is>
      </c>
      <c r="AA4" s="31" t="n"/>
      <c r="AB4" s="31" t="n"/>
      <c r="AC4" s="31" t="n"/>
      <c r="AD4" s="31" t="n"/>
    </row>
    <row r="5">
      <c r="A5" s="27" t="n"/>
      <c r="B5" s="27" t="inlineStr">
        <is>
          <t>1人目</t>
        </is>
      </c>
      <c r="C5" s="27" t="inlineStr">
        <is>
          <t>2人目</t>
        </is>
      </c>
      <c r="D5" s="27" t="inlineStr">
        <is>
          <t>3人目</t>
        </is>
      </c>
      <c r="E5" s="27" t="inlineStr">
        <is>
          <t>4人目</t>
        </is>
      </c>
      <c r="F5" s="27" t="inlineStr">
        <is>
          <t>5人目</t>
        </is>
      </c>
      <c r="G5" s="27" t="inlineStr">
        <is>
          <t>1人目</t>
        </is>
      </c>
      <c r="H5" s="27" t="inlineStr">
        <is>
          <t>2人目</t>
        </is>
      </c>
      <c r="I5" s="27" t="inlineStr">
        <is>
          <t>3人目</t>
        </is>
      </c>
      <c r="J5" s="27" t="inlineStr">
        <is>
          <t>4人目</t>
        </is>
      </c>
      <c r="K5" s="27" t="inlineStr">
        <is>
          <t>5人目</t>
        </is>
      </c>
      <c r="M5" s="27" t="inlineStr">
        <is>
          <t>人数</t>
        </is>
      </c>
      <c r="N5" s="27" t="inlineStr">
        <is>
          <t>内訳</t>
        </is>
      </c>
      <c r="O5" s="27" t="inlineStr">
        <is>
          <t>人数</t>
        </is>
      </c>
      <c r="P5" s="27" t="inlineStr">
        <is>
          <t>内訳</t>
        </is>
      </c>
      <c r="R5" s="27" t="inlineStr">
        <is>
          <t>男子</t>
        </is>
      </c>
      <c r="S5" s="27" t="inlineStr">
        <is>
          <t>女子</t>
        </is>
      </c>
      <c r="U5" s="31" t="inlineStr">
        <is>
          <t>1人目</t>
        </is>
      </c>
      <c r="V5" s="31" t="inlineStr">
        <is>
          <t>2人目</t>
        </is>
      </c>
      <c r="W5" s="31" t="inlineStr">
        <is>
          <t>3人目</t>
        </is>
      </c>
      <c r="X5" s="31" t="inlineStr">
        <is>
          <t>4人目</t>
        </is>
      </c>
      <c r="Y5" s="31" t="inlineStr">
        <is>
          <t>5人目</t>
        </is>
      </c>
      <c r="Z5" s="31" t="inlineStr">
        <is>
          <t>1人目</t>
        </is>
      </c>
      <c r="AA5" s="31" t="inlineStr">
        <is>
          <t>2人目</t>
        </is>
      </c>
      <c r="AB5" s="31" t="inlineStr">
        <is>
          <t>3人目</t>
        </is>
      </c>
      <c r="AC5" s="31" t="inlineStr">
        <is>
          <t>4人目</t>
        </is>
      </c>
      <c r="AD5" s="31" t="inlineStr">
        <is>
          <t>5人目</t>
        </is>
      </c>
    </row>
    <row r="6">
      <c r="A6" s="28" t="n">
        <v>1</v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M6" s="33">
        <f>COUNTIF(B6:F6,"?*")</f>
        <v/>
      </c>
      <c r="N6" s="28">
        <f>IF(M6=0,"","赤"&amp;計算用!BG2&amp;"白"&amp;計算用!BH2)</f>
        <v/>
      </c>
      <c r="O6" s="33">
        <f>COUNTIF(G6:K6,"?*")</f>
        <v/>
      </c>
      <c r="P6" s="28">
        <f>IF(O6=0,"","赤"&amp;計算用!BI2&amp;"白"&amp;計算用!BJ2)</f>
        <v/>
      </c>
      <c r="R6">
        <f>IFERROR(INDEX(計算用!$D$2:$D$186,MATCH(1,計算用!$AR$2:$AR$186,0))&amp;"（"&amp;INDEX(計算用!$M$2:$M$186,MATCH(1,計算用!$AR$2:$AR$186,0))&amp;"）","")</f>
        <v/>
      </c>
      <c r="S6">
        <f>IFERROR(INDEX(計算用!$D$2:$D$186,MATCH(1,計算用!$AS$2:$AS$186,0))&amp;"（"&amp;INDEX(計算用!$M$2:$M$186,MATCH(1,計算用!$AS$2:$AS$186,0))&amp;"）","")</f>
        <v/>
      </c>
      <c r="U6" s="34">
        <f>組分け!D4&amp;""</f>
        <v/>
      </c>
      <c r="V6" s="34">
        <f>組分け!G4&amp;""</f>
        <v/>
      </c>
      <c r="W6" s="34">
        <f>組分け!J4&amp;""</f>
        <v/>
      </c>
      <c r="X6" s="34">
        <f>組分け!M4&amp;""</f>
        <v/>
      </c>
      <c r="Y6" s="34">
        <f>組分け!P4&amp;""</f>
        <v/>
      </c>
      <c r="Z6" s="34">
        <f>組分け!W4&amp;""</f>
        <v/>
      </c>
      <c r="AA6" s="34">
        <f>組分け!Z4&amp;""</f>
        <v/>
      </c>
      <c r="AB6" s="34">
        <f>組分け!AC4&amp;""</f>
        <v/>
      </c>
      <c r="AC6" s="34">
        <f>組分け!AF4&amp;""</f>
        <v/>
      </c>
      <c r="AD6" s="34">
        <f>組分け!AI4&amp;""</f>
        <v/>
      </c>
    </row>
    <row r="7">
      <c r="A7" s="28" t="n">
        <v>2</v>
      </c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M7" s="33">
        <f>COUNTIF(B7:F7,"?*")</f>
        <v/>
      </c>
      <c r="N7" s="28">
        <f>IF(M7=0,"","赤"&amp;計算用!BG3&amp;"白"&amp;計算用!BH3)</f>
        <v/>
      </c>
      <c r="O7" s="33">
        <f>COUNTIF(G7:K7,"?*")</f>
        <v/>
      </c>
      <c r="P7" s="28">
        <f>IF(O7=0,"","赤"&amp;計算用!BI3&amp;"白"&amp;計算用!BJ3)</f>
        <v/>
      </c>
      <c r="R7">
        <f>IFERROR(INDEX(計算用!$D$2:$D$186,MATCH(2,計算用!$AR$2:$AR$186,0))&amp;"（"&amp;INDEX(計算用!$M$2:$M$186,MATCH(2,計算用!$AR$2:$AR$186,0))&amp;"）","")</f>
        <v/>
      </c>
      <c r="S7">
        <f>IFERROR(INDEX(計算用!$D$2:$D$186,MATCH(2,計算用!$AS$2:$AS$186,0))&amp;"（"&amp;INDEX(計算用!$M$2:$M$186,MATCH(2,計算用!$AS$2:$AS$186,0))&amp;"）","")</f>
        <v/>
      </c>
      <c r="U7" s="34">
        <f>組分け!D5&amp;""</f>
        <v/>
      </c>
      <c r="V7" s="34">
        <f>組分け!G5&amp;""</f>
        <v/>
      </c>
      <c r="W7" s="34">
        <f>組分け!J5&amp;""</f>
        <v/>
      </c>
      <c r="X7" s="34">
        <f>組分け!M5&amp;""</f>
        <v/>
      </c>
      <c r="Y7" s="34">
        <f>組分け!P5&amp;""</f>
        <v/>
      </c>
      <c r="Z7" s="34">
        <f>組分け!W5&amp;""</f>
        <v/>
      </c>
      <c r="AA7" s="34">
        <f>組分け!Z5&amp;""</f>
        <v/>
      </c>
      <c r="AB7" s="34">
        <f>組分け!AC5&amp;""</f>
        <v/>
      </c>
      <c r="AC7" s="34">
        <f>組分け!AF5&amp;""</f>
        <v/>
      </c>
      <c r="AD7" s="34">
        <f>組分け!AI5&amp;""</f>
        <v/>
      </c>
    </row>
    <row r="8">
      <c r="A8" s="28" t="n">
        <v>3</v>
      </c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M8" s="33">
        <f>COUNTIF(B8:F8,"?*")</f>
        <v/>
      </c>
      <c r="N8" s="28">
        <f>IF(M8=0,"","赤"&amp;計算用!BG4&amp;"白"&amp;計算用!BH4)</f>
        <v/>
      </c>
      <c r="O8" s="33">
        <f>COUNTIF(G8:K8,"?*")</f>
        <v/>
      </c>
      <c r="P8" s="28">
        <f>IF(O8=0,"","赤"&amp;計算用!BI4&amp;"白"&amp;計算用!BJ4)</f>
        <v/>
      </c>
      <c r="R8">
        <f>IFERROR(INDEX(計算用!$D$2:$D$186,MATCH(3,計算用!$AR$2:$AR$186,0))&amp;"（"&amp;INDEX(計算用!$M$2:$M$186,MATCH(3,計算用!$AR$2:$AR$186,0))&amp;"）","")</f>
        <v/>
      </c>
      <c r="S8">
        <f>IFERROR(INDEX(計算用!$D$2:$D$186,MATCH(3,計算用!$AS$2:$AS$186,0))&amp;"（"&amp;INDEX(計算用!$M$2:$M$186,MATCH(3,計算用!$AS$2:$AS$186,0))&amp;"）","")</f>
        <v/>
      </c>
      <c r="U8" s="34">
        <f>組分け!D6&amp;""</f>
        <v/>
      </c>
      <c r="V8" s="34">
        <f>組分け!G6&amp;""</f>
        <v/>
      </c>
      <c r="W8" s="34">
        <f>組分け!J6&amp;""</f>
        <v/>
      </c>
      <c r="X8" s="34">
        <f>組分け!M6&amp;""</f>
        <v/>
      </c>
      <c r="Y8" s="34">
        <f>組分け!P6&amp;""</f>
        <v/>
      </c>
      <c r="Z8" s="34">
        <f>組分け!W6&amp;""</f>
        <v/>
      </c>
      <c r="AA8" s="34">
        <f>組分け!Z6&amp;""</f>
        <v/>
      </c>
      <c r="AB8" s="34">
        <f>組分け!AC6&amp;""</f>
        <v/>
      </c>
      <c r="AC8" s="34">
        <f>組分け!AF6&amp;""</f>
        <v/>
      </c>
      <c r="AD8" s="34">
        <f>組分け!AI6&amp;""</f>
        <v/>
      </c>
    </row>
    <row r="9">
      <c r="A9" s="28" t="n">
        <v>4</v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M9" s="33">
        <f>COUNTIF(B9:F9,"?*")</f>
        <v/>
      </c>
      <c r="N9" s="28">
        <f>IF(M9=0,"","赤"&amp;計算用!BG5&amp;"白"&amp;計算用!BH5)</f>
        <v/>
      </c>
      <c r="O9" s="33">
        <f>COUNTIF(G9:K9,"?*")</f>
        <v/>
      </c>
      <c r="P9" s="28">
        <f>IF(O9=0,"","赤"&amp;計算用!BI5&amp;"白"&amp;計算用!BJ5)</f>
        <v/>
      </c>
      <c r="R9">
        <f>IFERROR(INDEX(計算用!$D$2:$D$186,MATCH(4,計算用!$AR$2:$AR$186,0))&amp;"（"&amp;INDEX(計算用!$M$2:$M$186,MATCH(4,計算用!$AR$2:$AR$186,0))&amp;"）","")</f>
        <v/>
      </c>
      <c r="S9">
        <f>IFERROR(INDEX(計算用!$D$2:$D$186,MATCH(4,計算用!$AS$2:$AS$186,0))&amp;"（"&amp;INDEX(計算用!$M$2:$M$186,MATCH(4,計算用!$AS$2:$AS$186,0))&amp;"）","")</f>
        <v/>
      </c>
      <c r="U9" s="34">
        <f>組分け!D7&amp;""</f>
        <v/>
      </c>
      <c r="V9" s="34">
        <f>組分け!G7&amp;""</f>
        <v/>
      </c>
      <c r="W9" s="34">
        <f>組分け!J7&amp;""</f>
        <v/>
      </c>
      <c r="X9" s="34">
        <f>組分け!M7&amp;""</f>
        <v/>
      </c>
      <c r="Y9" s="34">
        <f>組分け!P7&amp;""</f>
        <v/>
      </c>
      <c r="Z9" s="34">
        <f>組分け!W7&amp;""</f>
        <v/>
      </c>
      <c r="AA9" s="34">
        <f>組分け!Z7&amp;""</f>
        <v/>
      </c>
      <c r="AB9" s="34">
        <f>組分け!AC7&amp;""</f>
        <v/>
      </c>
      <c r="AC9" s="34">
        <f>組分け!AF7&amp;""</f>
        <v/>
      </c>
      <c r="AD9" s="34">
        <f>組分け!AI7&amp;""</f>
        <v/>
      </c>
    </row>
    <row r="10">
      <c r="A10" s="28" t="n">
        <v>5</v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M10" s="33">
        <f>COUNTIF(B10:F10,"?*")</f>
        <v/>
      </c>
      <c r="N10" s="28">
        <f>IF(M10=0,"","赤"&amp;計算用!BG6&amp;"白"&amp;計算用!BH6)</f>
        <v/>
      </c>
      <c r="O10" s="33">
        <f>COUNTIF(G10:K10,"?*")</f>
        <v/>
      </c>
      <c r="P10" s="28">
        <f>IF(O10=0,"","赤"&amp;計算用!BI6&amp;"白"&amp;計算用!BJ6)</f>
        <v/>
      </c>
      <c r="R10">
        <f>IFERROR(INDEX(計算用!$D$2:$D$186,MATCH(5,計算用!$AR$2:$AR$186,0))&amp;"（"&amp;INDEX(計算用!$M$2:$M$186,MATCH(5,計算用!$AR$2:$AR$186,0))&amp;"）","")</f>
        <v/>
      </c>
      <c r="S10">
        <f>IFERROR(INDEX(計算用!$D$2:$D$186,MATCH(5,計算用!$AS$2:$AS$186,0))&amp;"（"&amp;INDEX(計算用!$M$2:$M$186,MATCH(5,計算用!$AS$2:$AS$186,0))&amp;"）","")</f>
        <v/>
      </c>
      <c r="U10" s="34">
        <f>組分け!D8&amp;""</f>
        <v/>
      </c>
      <c r="V10" s="34">
        <f>組分け!G8&amp;""</f>
        <v/>
      </c>
      <c r="W10" s="34">
        <f>組分け!J8&amp;""</f>
        <v/>
      </c>
      <c r="X10" s="34">
        <f>組分け!M8&amp;""</f>
        <v/>
      </c>
      <c r="Y10" s="34">
        <f>組分け!P8&amp;""</f>
        <v/>
      </c>
      <c r="Z10" s="34">
        <f>組分け!W8&amp;""</f>
        <v/>
      </c>
      <c r="AA10" s="34">
        <f>組分け!Z8&amp;""</f>
        <v/>
      </c>
      <c r="AB10" s="34">
        <f>組分け!AC8&amp;""</f>
        <v/>
      </c>
      <c r="AC10" s="34">
        <f>組分け!AF8&amp;""</f>
        <v/>
      </c>
      <c r="AD10" s="34">
        <f>組分け!AI8&amp;""</f>
        <v/>
      </c>
    </row>
    <row r="11">
      <c r="A11" s="28" t="n">
        <v>6</v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M11" s="33">
        <f>COUNTIF(B11:F11,"?*")</f>
        <v/>
      </c>
      <c r="N11" s="28">
        <f>IF(M11=0,"","赤"&amp;計算用!BG7&amp;"白"&amp;計算用!BH7)</f>
        <v/>
      </c>
      <c r="O11" s="33">
        <f>COUNTIF(G11:K11,"?*")</f>
        <v/>
      </c>
      <c r="P11" s="28">
        <f>IF(O11=0,"","赤"&amp;計算用!BI7&amp;"白"&amp;計算用!BJ7)</f>
        <v/>
      </c>
      <c r="R11">
        <f>IFERROR(INDEX(計算用!$D$2:$D$186,MATCH(6,計算用!$AR$2:$AR$186,0))&amp;"（"&amp;INDEX(計算用!$M$2:$M$186,MATCH(6,計算用!$AR$2:$AR$186,0))&amp;"）","")</f>
        <v/>
      </c>
      <c r="S11">
        <f>IFERROR(INDEX(計算用!$D$2:$D$186,MATCH(6,計算用!$AS$2:$AS$186,0))&amp;"（"&amp;INDEX(計算用!$M$2:$M$186,MATCH(6,計算用!$AS$2:$AS$186,0))&amp;"）","")</f>
        <v/>
      </c>
      <c r="U11" s="34">
        <f>組分け!D9&amp;""</f>
        <v/>
      </c>
      <c r="V11" s="34">
        <f>組分け!G9&amp;""</f>
        <v/>
      </c>
      <c r="W11" s="34">
        <f>組分け!J9&amp;""</f>
        <v/>
      </c>
      <c r="X11" s="34">
        <f>組分け!M9&amp;""</f>
        <v/>
      </c>
      <c r="Y11" s="34">
        <f>組分け!P9&amp;""</f>
        <v/>
      </c>
      <c r="Z11" s="34">
        <f>組分け!W9&amp;""</f>
        <v/>
      </c>
      <c r="AA11" s="34">
        <f>組分け!Z9&amp;""</f>
        <v/>
      </c>
      <c r="AB11" s="34">
        <f>組分け!AC9&amp;""</f>
        <v/>
      </c>
      <c r="AC11" s="34">
        <f>組分け!AF9&amp;""</f>
        <v/>
      </c>
      <c r="AD11" s="34">
        <f>組分け!AI9&amp;""</f>
        <v/>
      </c>
    </row>
    <row r="12">
      <c r="A12" s="28" t="n">
        <v>7</v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M12" s="33">
        <f>COUNTIF(B12:F12,"?*")</f>
        <v/>
      </c>
      <c r="N12" s="28">
        <f>IF(M12=0,"","赤"&amp;計算用!BG8&amp;"白"&amp;計算用!BH8)</f>
        <v/>
      </c>
      <c r="O12" s="33">
        <f>COUNTIF(G12:K12,"?*")</f>
        <v/>
      </c>
      <c r="P12" s="28">
        <f>IF(O12=0,"","赤"&amp;計算用!BI8&amp;"白"&amp;計算用!BJ8)</f>
        <v/>
      </c>
      <c r="R12">
        <f>IFERROR(INDEX(計算用!$D$2:$D$186,MATCH(7,計算用!$AR$2:$AR$186,0))&amp;"（"&amp;INDEX(計算用!$M$2:$M$186,MATCH(7,計算用!$AR$2:$AR$186,0))&amp;"）","")</f>
        <v/>
      </c>
      <c r="S12">
        <f>IFERROR(INDEX(計算用!$D$2:$D$186,MATCH(7,計算用!$AS$2:$AS$186,0))&amp;"（"&amp;INDEX(計算用!$M$2:$M$186,MATCH(7,計算用!$AS$2:$AS$186,0))&amp;"）","")</f>
        <v/>
      </c>
      <c r="U12" s="34">
        <f>組分け!D10&amp;""</f>
        <v/>
      </c>
      <c r="V12" s="34">
        <f>組分け!G10&amp;""</f>
        <v/>
      </c>
      <c r="W12" s="34">
        <f>組分け!J10&amp;""</f>
        <v/>
      </c>
      <c r="X12" s="34">
        <f>組分け!M10&amp;""</f>
        <v/>
      </c>
      <c r="Y12" s="34">
        <f>組分け!P10&amp;""</f>
        <v/>
      </c>
      <c r="Z12" s="34">
        <f>組分け!W10&amp;""</f>
        <v/>
      </c>
      <c r="AA12" s="34">
        <f>組分け!Z10&amp;""</f>
        <v/>
      </c>
      <c r="AB12" s="34">
        <f>組分け!AC10&amp;""</f>
        <v/>
      </c>
      <c r="AC12" s="34">
        <f>組分け!AF10&amp;""</f>
        <v/>
      </c>
      <c r="AD12" s="34">
        <f>組分け!AI10&amp;""</f>
        <v/>
      </c>
    </row>
    <row r="13">
      <c r="A13" s="28" t="n">
        <v>8</v>
      </c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M13" s="33">
        <f>COUNTIF(B13:F13,"?*")</f>
        <v/>
      </c>
      <c r="N13" s="28">
        <f>IF(M13=0,"","赤"&amp;計算用!BG9&amp;"白"&amp;計算用!BH9)</f>
        <v/>
      </c>
      <c r="O13" s="33">
        <f>COUNTIF(G13:K13,"?*")</f>
        <v/>
      </c>
      <c r="P13" s="28">
        <f>IF(O13=0,"","赤"&amp;計算用!BI9&amp;"白"&amp;計算用!BJ9)</f>
        <v/>
      </c>
      <c r="R13">
        <f>IFERROR(INDEX(計算用!$D$2:$D$186,MATCH(8,計算用!$AR$2:$AR$186,0))&amp;"（"&amp;INDEX(計算用!$M$2:$M$186,MATCH(8,計算用!$AR$2:$AR$186,0))&amp;"）","")</f>
        <v/>
      </c>
      <c r="S13">
        <f>IFERROR(INDEX(計算用!$D$2:$D$186,MATCH(8,計算用!$AS$2:$AS$186,0))&amp;"（"&amp;INDEX(計算用!$M$2:$M$186,MATCH(8,計算用!$AS$2:$AS$186,0))&amp;"）","")</f>
        <v/>
      </c>
      <c r="U13" s="34">
        <f>組分け!D11&amp;""</f>
        <v/>
      </c>
      <c r="V13" s="34">
        <f>組分け!G11&amp;""</f>
        <v/>
      </c>
      <c r="W13" s="34">
        <f>組分け!J11&amp;""</f>
        <v/>
      </c>
      <c r="X13" s="34">
        <f>組分け!M11&amp;""</f>
        <v/>
      </c>
      <c r="Y13" s="34">
        <f>組分け!P11&amp;""</f>
        <v/>
      </c>
      <c r="Z13" s="34">
        <f>組分け!W11&amp;""</f>
        <v/>
      </c>
      <c r="AA13" s="34">
        <f>組分け!Z11&amp;""</f>
        <v/>
      </c>
      <c r="AB13" s="34">
        <f>組分け!AC11&amp;""</f>
        <v/>
      </c>
      <c r="AC13" s="34">
        <f>組分け!AF11&amp;""</f>
        <v/>
      </c>
      <c r="AD13" s="34">
        <f>組分け!AI11&amp;""</f>
        <v/>
      </c>
    </row>
    <row r="14">
      <c r="A14" s="28" t="n">
        <v>9</v>
      </c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M14" s="33">
        <f>COUNTIF(B14:F14,"?*")</f>
        <v/>
      </c>
      <c r="N14" s="28">
        <f>IF(M14=0,"","赤"&amp;計算用!BG10&amp;"白"&amp;計算用!BH10)</f>
        <v/>
      </c>
      <c r="O14" s="33">
        <f>COUNTIF(G14:K14,"?*")</f>
        <v/>
      </c>
      <c r="P14" s="28">
        <f>IF(O14=0,"","赤"&amp;計算用!BI10&amp;"白"&amp;計算用!BJ10)</f>
        <v/>
      </c>
      <c r="R14">
        <f>IFERROR(INDEX(計算用!$D$2:$D$186,MATCH(9,計算用!$AR$2:$AR$186,0))&amp;"（"&amp;INDEX(計算用!$M$2:$M$186,MATCH(9,計算用!$AR$2:$AR$186,0))&amp;"）","")</f>
        <v/>
      </c>
      <c r="S14">
        <f>IFERROR(INDEX(計算用!$D$2:$D$186,MATCH(9,計算用!$AS$2:$AS$186,0))&amp;"（"&amp;INDEX(計算用!$M$2:$M$186,MATCH(9,計算用!$AS$2:$AS$186,0))&amp;"）","")</f>
        <v/>
      </c>
      <c r="U14" s="34">
        <f>組分け!D12&amp;""</f>
        <v/>
      </c>
      <c r="V14" s="34">
        <f>組分け!G12&amp;""</f>
        <v/>
      </c>
      <c r="W14" s="34">
        <f>組分け!J12&amp;""</f>
        <v/>
      </c>
      <c r="X14" s="34">
        <f>組分け!M12&amp;""</f>
        <v/>
      </c>
      <c r="Y14" s="34">
        <f>組分け!P12&amp;""</f>
        <v/>
      </c>
      <c r="Z14" s="34">
        <f>組分け!W12&amp;""</f>
        <v/>
      </c>
      <c r="AA14" s="34">
        <f>組分け!Z12&amp;""</f>
        <v/>
      </c>
      <c r="AB14" s="34">
        <f>組分け!AC12&amp;""</f>
        <v/>
      </c>
      <c r="AC14" s="34">
        <f>組分け!AF12&amp;""</f>
        <v/>
      </c>
      <c r="AD14" s="34">
        <f>組分け!AI12&amp;""</f>
        <v/>
      </c>
    </row>
    <row r="15">
      <c r="A15" s="28" t="n">
        <v>10</v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M15" s="33">
        <f>COUNTIF(B15:F15,"?*")</f>
        <v/>
      </c>
      <c r="N15" s="28">
        <f>IF(M15=0,"","赤"&amp;計算用!BG11&amp;"白"&amp;計算用!BH11)</f>
        <v/>
      </c>
      <c r="O15" s="33">
        <f>COUNTIF(G15:K15,"?*")</f>
        <v/>
      </c>
      <c r="P15" s="28">
        <f>IF(O15=0,"","赤"&amp;計算用!BI11&amp;"白"&amp;計算用!BJ11)</f>
        <v/>
      </c>
      <c r="R15">
        <f>IFERROR(INDEX(計算用!$D$2:$D$186,MATCH(10,計算用!$AR$2:$AR$186,0))&amp;"（"&amp;INDEX(計算用!$M$2:$M$186,MATCH(10,計算用!$AR$2:$AR$186,0))&amp;"）","")</f>
        <v/>
      </c>
      <c r="S15">
        <f>IFERROR(INDEX(計算用!$D$2:$D$186,MATCH(10,計算用!$AS$2:$AS$186,0))&amp;"（"&amp;INDEX(計算用!$M$2:$M$186,MATCH(10,計算用!$AS$2:$AS$186,0))&amp;"）","")</f>
        <v/>
      </c>
      <c r="U15" s="34">
        <f>組分け!D13&amp;""</f>
        <v/>
      </c>
      <c r="V15" s="34">
        <f>組分け!G13&amp;""</f>
        <v/>
      </c>
      <c r="W15" s="34">
        <f>組分け!J13&amp;""</f>
        <v/>
      </c>
      <c r="X15" s="34">
        <f>組分け!M13&amp;""</f>
        <v/>
      </c>
      <c r="Y15" s="34">
        <f>組分け!P13&amp;""</f>
        <v/>
      </c>
      <c r="Z15" s="34">
        <f>組分け!W13&amp;""</f>
        <v/>
      </c>
      <c r="AA15" s="34">
        <f>組分け!Z13&amp;""</f>
        <v/>
      </c>
      <c r="AB15" s="34">
        <f>組分け!AC13&amp;""</f>
        <v/>
      </c>
      <c r="AC15" s="34">
        <f>組分け!AF13&amp;""</f>
        <v/>
      </c>
      <c r="AD15" s="34">
        <f>組分け!AI13&amp;""</f>
        <v/>
      </c>
    </row>
    <row r="16">
      <c r="A16" s="28" t="n">
        <v>11</v>
      </c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M16" s="33">
        <f>COUNTIF(B16:F16,"?*")</f>
        <v/>
      </c>
      <c r="N16" s="28">
        <f>IF(M16=0,"","赤"&amp;計算用!BG12&amp;"白"&amp;計算用!BH12)</f>
        <v/>
      </c>
      <c r="O16" s="33">
        <f>COUNTIF(G16:K16,"?*")</f>
        <v/>
      </c>
      <c r="P16" s="28">
        <f>IF(O16=0,"","赤"&amp;計算用!BI12&amp;"白"&amp;計算用!BJ12)</f>
        <v/>
      </c>
      <c r="R16">
        <f>IFERROR(INDEX(計算用!$D$2:$D$186,MATCH(11,計算用!$AR$2:$AR$186,0))&amp;"（"&amp;INDEX(計算用!$M$2:$M$186,MATCH(11,計算用!$AR$2:$AR$186,0))&amp;"）","")</f>
        <v/>
      </c>
      <c r="S16">
        <f>IFERROR(INDEX(計算用!$D$2:$D$186,MATCH(11,計算用!$AS$2:$AS$186,0))&amp;"（"&amp;INDEX(計算用!$M$2:$M$186,MATCH(11,計算用!$AS$2:$AS$186,0))&amp;"）","")</f>
        <v/>
      </c>
      <c r="U16" s="34">
        <f>組分け!D14&amp;""</f>
        <v/>
      </c>
      <c r="V16" s="34">
        <f>組分け!G14&amp;""</f>
        <v/>
      </c>
      <c r="W16" s="34">
        <f>組分け!J14&amp;""</f>
        <v/>
      </c>
      <c r="X16" s="34">
        <f>組分け!M14&amp;""</f>
        <v/>
      </c>
      <c r="Y16" s="34">
        <f>組分け!P14&amp;""</f>
        <v/>
      </c>
      <c r="Z16" s="34">
        <f>組分け!W14&amp;""</f>
        <v/>
      </c>
      <c r="AA16" s="34">
        <f>組分け!Z14&amp;""</f>
        <v/>
      </c>
      <c r="AB16" s="34">
        <f>組分け!AC14&amp;""</f>
        <v/>
      </c>
      <c r="AC16" s="34">
        <f>組分け!AF14&amp;""</f>
        <v/>
      </c>
      <c r="AD16" s="34">
        <f>組分け!AI14&amp;""</f>
        <v/>
      </c>
    </row>
    <row r="17">
      <c r="A17" s="28" t="n">
        <v>12</v>
      </c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M17" s="33">
        <f>COUNTIF(B17:F17,"?*")</f>
        <v/>
      </c>
      <c r="N17" s="28">
        <f>IF(M17=0,"","赤"&amp;計算用!BG13&amp;"白"&amp;計算用!BH13)</f>
        <v/>
      </c>
      <c r="O17" s="33">
        <f>COUNTIF(G17:K17,"?*")</f>
        <v/>
      </c>
      <c r="P17" s="28">
        <f>IF(O17=0,"","赤"&amp;計算用!BI13&amp;"白"&amp;計算用!BJ13)</f>
        <v/>
      </c>
      <c r="R17">
        <f>IFERROR(INDEX(計算用!$D$2:$D$186,MATCH(12,計算用!$AR$2:$AR$186,0))&amp;"（"&amp;INDEX(計算用!$M$2:$M$186,MATCH(12,計算用!$AR$2:$AR$186,0))&amp;"）","")</f>
        <v/>
      </c>
      <c r="S17">
        <f>IFERROR(INDEX(計算用!$D$2:$D$186,MATCH(12,計算用!$AS$2:$AS$186,0))&amp;"（"&amp;INDEX(計算用!$M$2:$M$186,MATCH(12,計算用!$AS$2:$AS$186,0))&amp;"）","")</f>
        <v/>
      </c>
      <c r="U17" s="34">
        <f>組分け!D15&amp;""</f>
        <v/>
      </c>
      <c r="V17" s="34">
        <f>組分け!G15&amp;""</f>
        <v/>
      </c>
      <c r="W17" s="34">
        <f>組分け!J15&amp;""</f>
        <v/>
      </c>
      <c r="X17" s="34">
        <f>組分け!M15&amp;""</f>
        <v/>
      </c>
      <c r="Y17" s="34">
        <f>組分け!P15&amp;""</f>
        <v/>
      </c>
      <c r="Z17" s="34">
        <f>組分け!W15&amp;""</f>
        <v/>
      </c>
      <c r="AA17" s="34">
        <f>組分け!Z15&amp;""</f>
        <v/>
      </c>
      <c r="AB17" s="34">
        <f>組分け!AC15&amp;""</f>
        <v/>
      </c>
      <c r="AC17" s="34">
        <f>組分け!AF15&amp;""</f>
        <v/>
      </c>
      <c r="AD17" s="34">
        <f>組分け!AI15&amp;""</f>
        <v/>
      </c>
    </row>
    <row r="18">
      <c r="A18" s="28" t="n">
        <v>13</v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M18" s="33">
        <f>COUNTIF(B18:F18,"?*")</f>
        <v/>
      </c>
      <c r="N18" s="28">
        <f>IF(M18=0,"","赤"&amp;計算用!BG14&amp;"白"&amp;計算用!BH14)</f>
        <v/>
      </c>
      <c r="O18" s="33">
        <f>COUNTIF(G18:K18,"?*")</f>
        <v/>
      </c>
      <c r="P18" s="28">
        <f>IF(O18=0,"","赤"&amp;計算用!BI14&amp;"白"&amp;計算用!BJ14)</f>
        <v/>
      </c>
      <c r="R18">
        <f>IFERROR(INDEX(計算用!$D$2:$D$186,MATCH(13,計算用!$AR$2:$AR$186,0))&amp;"（"&amp;INDEX(計算用!$M$2:$M$186,MATCH(13,計算用!$AR$2:$AR$186,0))&amp;"）","")</f>
        <v/>
      </c>
      <c r="S18">
        <f>IFERROR(INDEX(計算用!$D$2:$D$186,MATCH(13,計算用!$AS$2:$AS$186,0))&amp;"（"&amp;INDEX(計算用!$M$2:$M$186,MATCH(13,計算用!$AS$2:$AS$186,0))&amp;"）","")</f>
        <v/>
      </c>
      <c r="U18" s="34">
        <f>組分け!D16&amp;""</f>
        <v/>
      </c>
      <c r="V18" s="34">
        <f>組分け!G16&amp;""</f>
        <v/>
      </c>
      <c r="W18" s="34">
        <f>組分け!J16&amp;""</f>
        <v/>
      </c>
      <c r="X18" s="34">
        <f>組分け!M16&amp;""</f>
        <v/>
      </c>
      <c r="Y18" s="34">
        <f>組分け!P16&amp;""</f>
        <v/>
      </c>
      <c r="Z18" s="34">
        <f>組分け!W16&amp;""</f>
        <v/>
      </c>
      <c r="AA18" s="34">
        <f>組分け!Z16&amp;""</f>
        <v/>
      </c>
      <c r="AB18" s="34">
        <f>組分け!AC16&amp;""</f>
        <v/>
      </c>
      <c r="AC18" s="34">
        <f>組分け!AF16&amp;""</f>
        <v/>
      </c>
      <c r="AD18" s="34">
        <f>組分け!AI16&amp;""</f>
        <v/>
      </c>
    </row>
    <row r="19">
      <c r="A19" s="28" t="n">
        <v>14</v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M19" s="33">
        <f>COUNTIF(B19:F19,"?*")</f>
        <v/>
      </c>
      <c r="N19" s="28">
        <f>IF(M19=0,"","赤"&amp;計算用!BG15&amp;"白"&amp;計算用!BH15)</f>
        <v/>
      </c>
      <c r="O19" s="33">
        <f>COUNTIF(G19:K19,"?*")</f>
        <v/>
      </c>
      <c r="P19" s="28">
        <f>IF(O19=0,"","赤"&amp;計算用!BI15&amp;"白"&amp;計算用!BJ15)</f>
        <v/>
      </c>
      <c r="R19">
        <f>IFERROR(INDEX(計算用!$D$2:$D$186,MATCH(14,計算用!$AR$2:$AR$186,0))&amp;"（"&amp;INDEX(計算用!$M$2:$M$186,MATCH(14,計算用!$AR$2:$AR$186,0))&amp;"）","")</f>
        <v/>
      </c>
      <c r="S19">
        <f>IFERROR(INDEX(計算用!$D$2:$D$186,MATCH(14,計算用!$AS$2:$AS$186,0))&amp;"（"&amp;INDEX(計算用!$M$2:$M$186,MATCH(14,計算用!$AS$2:$AS$186,0))&amp;"）","")</f>
        <v/>
      </c>
      <c r="U19" s="34">
        <f>組分け!D17&amp;""</f>
        <v/>
      </c>
      <c r="V19" s="34">
        <f>組分け!G17&amp;""</f>
        <v/>
      </c>
      <c r="W19" s="34">
        <f>組分け!J17&amp;""</f>
        <v/>
      </c>
      <c r="X19" s="34">
        <f>組分け!M17&amp;""</f>
        <v/>
      </c>
      <c r="Y19" s="34">
        <f>組分け!P17&amp;""</f>
        <v/>
      </c>
      <c r="Z19" s="34">
        <f>組分け!W17&amp;""</f>
        <v/>
      </c>
      <c r="AA19" s="34">
        <f>組分け!Z17&amp;""</f>
        <v/>
      </c>
      <c r="AB19" s="34">
        <f>組分け!AC17&amp;""</f>
        <v/>
      </c>
      <c r="AC19" s="34">
        <f>組分け!AF17&amp;""</f>
        <v/>
      </c>
      <c r="AD19" s="34">
        <f>組分け!AI17&amp;""</f>
        <v/>
      </c>
    </row>
    <row r="20">
      <c r="A20" s="28" t="n">
        <v>15</v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M20" s="33">
        <f>COUNTIF(B20:F20,"?*")</f>
        <v/>
      </c>
      <c r="N20" s="28">
        <f>IF(M20=0,"","赤"&amp;計算用!BG16&amp;"白"&amp;計算用!BH16)</f>
        <v/>
      </c>
      <c r="O20" s="33">
        <f>COUNTIF(G20:K20,"?*")</f>
        <v/>
      </c>
      <c r="P20" s="28">
        <f>IF(O20=0,"","赤"&amp;計算用!BI16&amp;"白"&amp;計算用!BJ16)</f>
        <v/>
      </c>
      <c r="R20">
        <f>IFERROR(INDEX(計算用!$D$2:$D$186,MATCH(15,計算用!$AR$2:$AR$186,0))&amp;"（"&amp;INDEX(計算用!$M$2:$M$186,MATCH(15,計算用!$AR$2:$AR$186,0))&amp;"）","")</f>
        <v/>
      </c>
      <c r="S20">
        <f>IFERROR(INDEX(計算用!$D$2:$D$186,MATCH(15,計算用!$AS$2:$AS$186,0))&amp;"（"&amp;INDEX(計算用!$M$2:$M$186,MATCH(15,計算用!$AS$2:$AS$186,0))&amp;"）","")</f>
        <v/>
      </c>
      <c r="U20" s="34">
        <f>組分け!D18&amp;""</f>
        <v/>
      </c>
      <c r="V20" s="34">
        <f>組分け!G18&amp;""</f>
        <v/>
      </c>
      <c r="W20" s="34">
        <f>組分け!J18&amp;""</f>
        <v/>
      </c>
      <c r="X20" s="34">
        <f>組分け!M18&amp;""</f>
        <v/>
      </c>
      <c r="Y20" s="34">
        <f>組分け!P18&amp;""</f>
        <v/>
      </c>
      <c r="Z20" s="34">
        <f>組分け!W18&amp;""</f>
        <v/>
      </c>
      <c r="AA20" s="34">
        <f>組分け!Z18&amp;""</f>
        <v/>
      </c>
      <c r="AB20" s="34">
        <f>組分け!AC18&amp;""</f>
        <v/>
      </c>
      <c r="AC20" s="34">
        <f>組分け!AF18&amp;""</f>
        <v/>
      </c>
      <c r="AD20" s="34">
        <f>組分け!AI18&amp;""</f>
        <v/>
      </c>
    </row>
    <row r="21">
      <c r="A21" s="28" t="n">
        <v>16</v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M21" s="33">
        <f>COUNTIF(B21:F21,"?*")</f>
        <v/>
      </c>
      <c r="N21" s="28">
        <f>IF(M21=0,"","赤"&amp;計算用!BG17&amp;"白"&amp;計算用!BH17)</f>
        <v/>
      </c>
      <c r="O21" s="33">
        <f>COUNTIF(G21:K21,"?*")</f>
        <v/>
      </c>
      <c r="P21" s="28">
        <f>IF(O21=0,"","赤"&amp;計算用!BI17&amp;"白"&amp;計算用!BJ17)</f>
        <v/>
      </c>
      <c r="R21">
        <f>IFERROR(INDEX(計算用!$D$2:$D$186,MATCH(16,計算用!$AR$2:$AR$186,0))&amp;"（"&amp;INDEX(計算用!$M$2:$M$186,MATCH(16,計算用!$AR$2:$AR$186,0))&amp;"）","")</f>
        <v/>
      </c>
      <c r="S21">
        <f>IFERROR(INDEX(計算用!$D$2:$D$186,MATCH(16,計算用!$AS$2:$AS$186,0))&amp;"（"&amp;INDEX(計算用!$M$2:$M$186,MATCH(16,計算用!$AS$2:$AS$186,0))&amp;"）","")</f>
        <v/>
      </c>
      <c r="U21" s="34">
        <f>組分け!D19&amp;""</f>
        <v/>
      </c>
      <c r="V21" s="34">
        <f>組分け!G19&amp;""</f>
        <v/>
      </c>
      <c r="W21" s="34">
        <f>組分け!J19&amp;""</f>
        <v/>
      </c>
      <c r="X21" s="34">
        <f>組分け!M19&amp;""</f>
        <v/>
      </c>
      <c r="Y21" s="34">
        <f>組分け!P19&amp;""</f>
        <v/>
      </c>
      <c r="Z21" s="34">
        <f>組分け!W19&amp;""</f>
        <v/>
      </c>
      <c r="AA21" s="34">
        <f>組分け!Z19&amp;""</f>
        <v/>
      </c>
      <c r="AB21" s="34">
        <f>組分け!AC19&amp;""</f>
        <v/>
      </c>
      <c r="AC21" s="34">
        <f>組分け!AF19&amp;""</f>
        <v/>
      </c>
      <c r="AD21" s="34">
        <f>組分け!AI19&amp;""</f>
        <v/>
      </c>
    </row>
    <row r="22">
      <c r="A22" s="28" t="n">
        <v>17</v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M22" s="33">
        <f>COUNTIF(B22:F22,"?*")</f>
        <v/>
      </c>
      <c r="N22" s="28">
        <f>IF(M22=0,"","赤"&amp;計算用!BG18&amp;"白"&amp;計算用!BH18)</f>
        <v/>
      </c>
      <c r="O22" s="33">
        <f>COUNTIF(G22:K22,"?*")</f>
        <v/>
      </c>
      <c r="P22" s="28">
        <f>IF(O22=0,"","赤"&amp;計算用!BI18&amp;"白"&amp;計算用!BJ18)</f>
        <v/>
      </c>
      <c r="R22">
        <f>IFERROR(INDEX(計算用!$D$2:$D$186,MATCH(17,計算用!$AR$2:$AR$186,0))&amp;"（"&amp;INDEX(計算用!$M$2:$M$186,MATCH(17,計算用!$AR$2:$AR$186,0))&amp;"）","")</f>
        <v/>
      </c>
      <c r="S22">
        <f>IFERROR(INDEX(計算用!$D$2:$D$186,MATCH(17,計算用!$AS$2:$AS$186,0))&amp;"（"&amp;INDEX(計算用!$M$2:$M$186,MATCH(17,計算用!$AS$2:$AS$186,0))&amp;"）","")</f>
        <v/>
      </c>
      <c r="U22" s="34">
        <f>組分け!D20&amp;""</f>
        <v/>
      </c>
      <c r="V22" s="34">
        <f>組分け!G20&amp;""</f>
        <v/>
      </c>
      <c r="W22" s="34">
        <f>組分け!J20&amp;""</f>
        <v/>
      </c>
      <c r="X22" s="34">
        <f>組分け!M20&amp;""</f>
        <v/>
      </c>
      <c r="Y22" s="34">
        <f>組分け!P20&amp;""</f>
        <v/>
      </c>
      <c r="Z22" s="34">
        <f>組分け!W20&amp;""</f>
        <v/>
      </c>
      <c r="AA22" s="34">
        <f>組分け!Z20&amp;""</f>
        <v/>
      </c>
      <c r="AB22" s="34">
        <f>組分け!AC20&amp;""</f>
        <v/>
      </c>
      <c r="AC22" s="34">
        <f>組分け!AF20&amp;""</f>
        <v/>
      </c>
      <c r="AD22" s="34">
        <f>組分け!AI20&amp;""</f>
        <v/>
      </c>
    </row>
    <row r="23">
      <c r="A23" s="28" t="n">
        <v>18</v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M23" s="33">
        <f>COUNTIF(B23:F23,"?*")</f>
        <v/>
      </c>
      <c r="N23" s="28">
        <f>IF(M23=0,"","赤"&amp;計算用!BG19&amp;"白"&amp;計算用!BH19)</f>
        <v/>
      </c>
      <c r="O23" s="33">
        <f>COUNTIF(G23:K23,"?*")</f>
        <v/>
      </c>
      <c r="P23" s="28">
        <f>IF(O23=0,"","赤"&amp;計算用!BI19&amp;"白"&amp;計算用!BJ19)</f>
        <v/>
      </c>
      <c r="R23">
        <f>IFERROR(INDEX(計算用!$D$2:$D$186,MATCH(18,計算用!$AR$2:$AR$186,0))&amp;"（"&amp;INDEX(計算用!$M$2:$M$186,MATCH(18,計算用!$AR$2:$AR$186,0))&amp;"）","")</f>
        <v/>
      </c>
      <c r="S23">
        <f>IFERROR(INDEX(計算用!$D$2:$D$186,MATCH(18,計算用!$AS$2:$AS$186,0))&amp;"（"&amp;INDEX(計算用!$M$2:$M$186,MATCH(18,計算用!$AS$2:$AS$186,0))&amp;"）","")</f>
        <v/>
      </c>
      <c r="U23" s="34">
        <f>組分け!D21&amp;""</f>
        <v/>
      </c>
      <c r="V23" s="34">
        <f>組分け!G21&amp;""</f>
        <v/>
      </c>
      <c r="W23" s="34">
        <f>組分け!J21&amp;""</f>
        <v/>
      </c>
      <c r="X23" s="34">
        <f>組分け!M21&amp;""</f>
        <v/>
      </c>
      <c r="Y23" s="34">
        <f>組分け!P21&amp;""</f>
        <v/>
      </c>
      <c r="Z23" s="34">
        <f>組分け!W21&amp;""</f>
        <v/>
      </c>
      <c r="AA23" s="34">
        <f>組分け!Z21&amp;""</f>
        <v/>
      </c>
      <c r="AB23" s="34">
        <f>組分け!AC21&amp;""</f>
        <v/>
      </c>
      <c r="AC23" s="34">
        <f>組分け!AF21&amp;""</f>
        <v/>
      </c>
      <c r="AD23" s="34">
        <f>組分け!AI21&amp;""</f>
        <v/>
      </c>
    </row>
    <row r="24">
      <c r="A24" s="28" t="n">
        <v>19</v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M24" s="33">
        <f>COUNTIF(B24:F24,"?*")</f>
        <v/>
      </c>
      <c r="N24" s="28">
        <f>IF(M24=0,"","赤"&amp;計算用!BG20&amp;"白"&amp;計算用!BH20)</f>
        <v/>
      </c>
      <c r="O24" s="33">
        <f>COUNTIF(G24:K24,"?*")</f>
        <v/>
      </c>
      <c r="P24" s="28">
        <f>IF(O24=0,"","赤"&amp;計算用!BI20&amp;"白"&amp;計算用!BJ20)</f>
        <v/>
      </c>
      <c r="R24">
        <f>IFERROR(INDEX(計算用!$D$2:$D$186,MATCH(19,計算用!$AR$2:$AR$186,0))&amp;"（"&amp;INDEX(計算用!$M$2:$M$186,MATCH(19,計算用!$AR$2:$AR$186,0))&amp;"）","")</f>
        <v/>
      </c>
      <c r="S24">
        <f>IFERROR(INDEX(計算用!$D$2:$D$186,MATCH(19,計算用!$AS$2:$AS$186,0))&amp;"（"&amp;INDEX(計算用!$M$2:$M$186,MATCH(19,計算用!$AS$2:$AS$186,0))&amp;"）","")</f>
        <v/>
      </c>
      <c r="U24" s="34">
        <f>組分け!D22&amp;""</f>
        <v/>
      </c>
      <c r="V24" s="34">
        <f>組分け!G22&amp;""</f>
        <v/>
      </c>
      <c r="W24" s="34">
        <f>組分け!J22&amp;""</f>
        <v/>
      </c>
      <c r="X24" s="34">
        <f>組分け!M22&amp;""</f>
        <v/>
      </c>
      <c r="Y24" s="34">
        <f>組分け!P22&amp;""</f>
        <v/>
      </c>
      <c r="Z24" s="34">
        <f>組分け!W22&amp;""</f>
        <v/>
      </c>
      <c r="AA24" s="34">
        <f>組分け!Z22&amp;""</f>
        <v/>
      </c>
      <c r="AB24" s="34">
        <f>組分け!AC22&amp;""</f>
        <v/>
      </c>
      <c r="AC24" s="34">
        <f>組分け!AF22&amp;""</f>
        <v/>
      </c>
      <c r="AD24" s="34">
        <f>組分け!AI22&amp;""</f>
        <v/>
      </c>
    </row>
    <row r="25">
      <c r="A25" s="28" t="n">
        <v>20</v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M25" s="33">
        <f>COUNTIF(B25:F25,"?*")</f>
        <v/>
      </c>
      <c r="N25" s="28">
        <f>IF(M25=0,"","赤"&amp;計算用!BG21&amp;"白"&amp;計算用!BH21)</f>
        <v/>
      </c>
      <c r="O25" s="33">
        <f>COUNTIF(G25:K25,"?*")</f>
        <v/>
      </c>
      <c r="P25" s="28">
        <f>IF(O25=0,"","赤"&amp;計算用!BI21&amp;"白"&amp;計算用!BJ21)</f>
        <v/>
      </c>
      <c r="R25">
        <f>IFERROR(INDEX(計算用!$D$2:$D$186,MATCH(20,計算用!$AR$2:$AR$186,0))&amp;"（"&amp;INDEX(計算用!$M$2:$M$186,MATCH(20,計算用!$AR$2:$AR$186,0))&amp;"）","")</f>
        <v/>
      </c>
      <c r="S25">
        <f>IFERROR(INDEX(計算用!$D$2:$D$186,MATCH(20,計算用!$AS$2:$AS$186,0))&amp;"（"&amp;INDEX(計算用!$M$2:$M$186,MATCH(20,計算用!$AS$2:$AS$186,0))&amp;"）","")</f>
        <v/>
      </c>
      <c r="U25" s="34">
        <f>組分け!D23&amp;""</f>
        <v/>
      </c>
      <c r="V25" s="34">
        <f>組分け!G23&amp;""</f>
        <v/>
      </c>
      <c r="W25" s="34">
        <f>組分け!J23&amp;""</f>
        <v/>
      </c>
      <c r="X25" s="34">
        <f>組分け!M23&amp;""</f>
        <v/>
      </c>
      <c r="Y25" s="34">
        <f>組分け!P23&amp;""</f>
        <v/>
      </c>
      <c r="Z25" s="34">
        <f>組分け!W23&amp;""</f>
        <v/>
      </c>
      <c r="AA25" s="34">
        <f>組分け!Z23&amp;""</f>
        <v/>
      </c>
      <c r="AB25" s="34">
        <f>組分け!AC23&amp;""</f>
        <v/>
      </c>
      <c r="AC25" s="34">
        <f>組分け!AF23&amp;""</f>
        <v/>
      </c>
      <c r="AD25" s="34">
        <f>組分け!AI23&amp;""</f>
        <v/>
      </c>
    </row>
    <row r="26">
      <c r="A26" s="28" t="n">
        <v>21</v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M26" s="33">
        <f>COUNTIF(B26:F26,"?*")</f>
        <v/>
      </c>
      <c r="N26" s="28">
        <f>IF(M26=0,"","赤"&amp;計算用!BG22&amp;"白"&amp;計算用!BH22)</f>
        <v/>
      </c>
      <c r="O26" s="33">
        <f>COUNTIF(G26:K26,"?*")</f>
        <v/>
      </c>
      <c r="P26" s="28">
        <f>IF(O26=0,"","赤"&amp;計算用!BI22&amp;"白"&amp;計算用!BJ22)</f>
        <v/>
      </c>
      <c r="R26">
        <f>IFERROR(INDEX(計算用!$D$2:$D$186,MATCH(21,計算用!$AR$2:$AR$186,0))&amp;"（"&amp;INDEX(計算用!$M$2:$M$186,MATCH(21,計算用!$AR$2:$AR$186,0))&amp;"）","")</f>
        <v/>
      </c>
      <c r="S26">
        <f>IFERROR(INDEX(計算用!$D$2:$D$186,MATCH(21,計算用!$AS$2:$AS$186,0))&amp;"（"&amp;INDEX(計算用!$M$2:$M$186,MATCH(21,計算用!$AS$2:$AS$186,0))&amp;"）","")</f>
        <v/>
      </c>
      <c r="U26" s="34">
        <f>組分け!D24&amp;""</f>
        <v/>
      </c>
      <c r="V26" s="34">
        <f>組分け!G24&amp;""</f>
        <v/>
      </c>
      <c r="W26" s="34">
        <f>組分け!J24&amp;""</f>
        <v/>
      </c>
      <c r="X26" s="34">
        <f>組分け!M24&amp;""</f>
        <v/>
      </c>
      <c r="Y26" s="34">
        <f>組分け!P24&amp;""</f>
        <v/>
      </c>
      <c r="Z26" s="34">
        <f>組分け!W24&amp;""</f>
        <v/>
      </c>
      <c r="AA26" s="34">
        <f>組分け!Z24&amp;""</f>
        <v/>
      </c>
      <c r="AB26" s="34">
        <f>組分け!AC24&amp;""</f>
        <v/>
      </c>
      <c r="AC26" s="34">
        <f>組分け!AF24&amp;""</f>
        <v/>
      </c>
      <c r="AD26" s="34">
        <f>組分け!AI24&amp;""</f>
        <v/>
      </c>
    </row>
    <row r="27">
      <c r="A27" s="28" t="n">
        <v>22</v>
      </c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M27" s="33">
        <f>COUNTIF(B27:F27,"?*")</f>
        <v/>
      </c>
      <c r="N27" s="28">
        <f>IF(M27=0,"","赤"&amp;計算用!BG23&amp;"白"&amp;計算用!BH23)</f>
        <v/>
      </c>
      <c r="O27" s="33">
        <f>COUNTIF(G27:K27,"?*")</f>
        <v/>
      </c>
      <c r="P27" s="28">
        <f>IF(O27=0,"","赤"&amp;計算用!BI23&amp;"白"&amp;計算用!BJ23)</f>
        <v/>
      </c>
      <c r="R27">
        <f>IFERROR(INDEX(計算用!$D$2:$D$186,MATCH(22,計算用!$AR$2:$AR$186,0))&amp;"（"&amp;INDEX(計算用!$M$2:$M$186,MATCH(22,計算用!$AR$2:$AR$186,0))&amp;"）","")</f>
        <v/>
      </c>
      <c r="S27">
        <f>IFERROR(INDEX(計算用!$D$2:$D$186,MATCH(22,計算用!$AS$2:$AS$186,0))&amp;"（"&amp;INDEX(計算用!$M$2:$M$186,MATCH(22,計算用!$AS$2:$AS$186,0))&amp;"）","")</f>
        <v/>
      </c>
      <c r="U27" s="34">
        <f>組分け!D25&amp;""</f>
        <v/>
      </c>
      <c r="V27" s="34">
        <f>組分け!G25&amp;""</f>
        <v/>
      </c>
      <c r="W27" s="34">
        <f>組分け!J25&amp;""</f>
        <v/>
      </c>
      <c r="X27" s="34">
        <f>組分け!M25&amp;""</f>
        <v/>
      </c>
      <c r="Y27" s="34">
        <f>組分け!P25&amp;""</f>
        <v/>
      </c>
      <c r="Z27" s="34">
        <f>組分け!W25&amp;""</f>
        <v/>
      </c>
      <c r="AA27" s="34">
        <f>組分け!Z25&amp;""</f>
        <v/>
      </c>
      <c r="AB27" s="34">
        <f>組分け!AC25&amp;""</f>
        <v/>
      </c>
      <c r="AC27" s="34">
        <f>組分け!AF25&amp;""</f>
        <v/>
      </c>
      <c r="AD27" s="34">
        <f>組分け!AI25&amp;""</f>
        <v/>
      </c>
    </row>
    <row r="28">
      <c r="A28" s="28" t="n">
        <v>23</v>
      </c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M28" s="33">
        <f>COUNTIF(B28:F28,"?*")</f>
        <v/>
      </c>
      <c r="N28" s="28">
        <f>IF(M28=0,"","赤"&amp;計算用!BG24&amp;"白"&amp;計算用!BH24)</f>
        <v/>
      </c>
      <c r="O28" s="33">
        <f>COUNTIF(G28:K28,"?*")</f>
        <v/>
      </c>
      <c r="P28" s="28">
        <f>IF(O28=0,"","赤"&amp;計算用!BI24&amp;"白"&amp;計算用!BJ24)</f>
        <v/>
      </c>
      <c r="R28">
        <f>IFERROR(INDEX(計算用!$D$2:$D$186,MATCH(23,計算用!$AR$2:$AR$186,0))&amp;"（"&amp;INDEX(計算用!$M$2:$M$186,MATCH(23,計算用!$AR$2:$AR$186,0))&amp;"）","")</f>
        <v/>
      </c>
      <c r="S28">
        <f>IFERROR(INDEX(計算用!$D$2:$D$186,MATCH(23,計算用!$AS$2:$AS$186,0))&amp;"（"&amp;INDEX(計算用!$M$2:$M$186,MATCH(23,計算用!$AS$2:$AS$186,0))&amp;"）","")</f>
        <v/>
      </c>
      <c r="U28" s="34">
        <f>組分け!D26&amp;""</f>
        <v/>
      </c>
      <c r="V28" s="34">
        <f>組分け!G26&amp;""</f>
        <v/>
      </c>
      <c r="W28" s="34">
        <f>組分け!J26&amp;""</f>
        <v/>
      </c>
      <c r="X28" s="34">
        <f>組分け!M26&amp;""</f>
        <v/>
      </c>
      <c r="Y28" s="34">
        <f>組分け!P26&amp;""</f>
        <v/>
      </c>
      <c r="Z28" s="34">
        <f>組分け!W26&amp;""</f>
        <v/>
      </c>
      <c r="AA28" s="34">
        <f>組分け!Z26&amp;""</f>
        <v/>
      </c>
      <c r="AB28" s="34">
        <f>組分け!AC26&amp;""</f>
        <v/>
      </c>
      <c r="AC28" s="34">
        <f>組分け!AF26&amp;""</f>
        <v/>
      </c>
      <c r="AD28" s="34">
        <f>組分け!AI26&amp;""</f>
        <v/>
      </c>
    </row>
    <row r="29">
      <c r="A29" s="28" t="n">
        <v>24</v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M29" s="33">
        <f>COUNTIF(B29:F29,"?*")</f>
        <v/>
      </c>
      <c r="N29" s="28">
        <f>IF(M29=0,"","赤"&amp;計算用!BG25&amp;"白"&amp;計算用!BH25)</f>
        <v/>
      </c>
      <c r="O29" s="33">
        <f>COUNTIF(G29:K29,"?*")</f>
        <v/>
      </c>
      <c r="P29" s="28">
        <f>IF(O29=0,"","赤"&amp;計算用!BI25&amp;"白"&amp;計算用!BJ25)</f>
        <v/>
      </c>
      <c r="R29">
        <f>IFERROR(INDEX(計算用!$D$2:$D$186,MATCH(24,計算用!$AR$2:$AR$186,0))&amp;"（"&amp;INDEX(計算用!$M$2:$M$186,MATCH(24,計算用!$AR$2:$AR$186,0))&amp;"）","")</f>
        <v/>
      </c>
      <c r="S29">
        <f>IFERROR(INDEX(計算用!$D$2:$D$186,MATCH(24,計算用!$AS$2:$AS$186,0))&amp;"（"&amp;INDEX(計算用!$M$2:$M$186,MATCH(24,計算用!$AS$2:$AS$186,0))&amp;"）","")</f>
        <v/>
      </c>
      <c r="U29" s="34">
        <f>組分け!D27&amp;""</f>
        <v/>
      </c>
      <c r="V29" s="34">
        <f>組分け!G27&amp;""</f>
        <v/>
      </c>
      <c r="W29" s="34">
        <f>組分け!J27&amp;""</f>
        <v/>
      </c>
      <c r="X29" s="34">
        <f>組分け!M27&amp;""</f>
        <v/>
      </c>
      <c r="Y29" s="34">
        <f>組分け!P27&amp;""</f>
        <v/>
      </c>
      <c r="Z29" s="34">
        <f>組分け!W27&amp;""</f>
        <v/>
      </c>
      <c r="AA29" s="34">
        <f>組分け!Z27&amp;""</f>
        <v/>
      </c>
      <c r="AB29" s="34">
        <f>組分け!AC27&amp;""</f>
        <v/>
      </c>
      <c r="AC29" s="34">
        <f>組分け!AF27&amp;""</f>
        <v/>
      </c>
      <c r="AD29" s="34">
        <f>組分け!AI27&amp;""</f>
        <v/>
      </c>
    </row>
    <row r="30">
      <c r="A30" s="28" t="n">
        <v>25</v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M30" s="33">
        <f>COUNTIF(B30:F30,"?*")</f>
        <v/>
      </c>
      <c r="N30" s="28">
        <f>IF(M30=0,"","赤"&amp;計算用!BG26&amp;"白"&amp;計算用!BH26)</f>
        <v/>
      </c>
      <c r="O30" s="33">
        <f>COUNTIF(G30:K30,"?*")</f>
        <v/>
      </c>
      <c r="P30" s="28">
        <f>IF(O30=0,"","赤"&amp;計算用!BI26&amp;"白"&amp;計算用!BJ26)</f>
        <v/>
      </c>
      <c r="R30">
        <f>IFERROR(INDEX(計算用!$D$2:$D$186,MATCH(25,計算用!$AR$2:$AR$186,0))&amp;"（"&amp;INDEX(計算用!$M$2:$M$186,MATCH(25,計算用!$AR$2:$AR$186,0))&amp;"）","")</f>
        <v/>
      </c>
      <c r="S30">
        <f>IFERROR(INDEX(計算用!$D$2:$D$186,MATCH(25,計算用!$AS$2:$AS$186,0))&amp;"（"&amp;INDEX(計算用!$M$2:$M$186,MATCH(25,計算用!$AS$2:$AS$186,0))&amp;"）","")</f>
        <v/>
      </c>
      <c r="U30" s="34">
        <f>組分け!D28&amp;""</f>
        <v/>
      </c>
      <c r="V30" s="34">
        <f>組分け!G28&amp;""</f>
        <v/>
      </c>
      <c r="W30" s="34">
        <f>組分け!J28&amp;""</f>
        <v/>
      </c>
      <c r="X30" s="34">
        <f>組分け!M28&amp;""</f>
        <v/>
      </c>
      <c r="Y30" s="34">
        <f>組分け!P28&amp;""</f>
        <v/>
      </c>
      <c r="Z30" s="34">
        <f>組分け!W28&amp;""</f>
        <v/>
      </c>
      <c r="AA30" s="34">
        <f>組分け!Z28&amp;""</f>
        <v/>
      </c>
      <c r="AB30" s="34">
        <f>組分け!AC28&amp;""</f>
        <v/>
      </c>
      <c r="AC30" s="34">
        <f>組分け!AF28&amp;""</f>
        <v/>
      </c>
      <c r="AD30" s="34">
        <f>組分け!AI28&amp;""</f>
        <v/>
      </c>
    </row>
    <row r="31">
      <c r="A31" s="28" t="n">
        <v>26</v>
      </c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M31" s="33">
        <f>COUNTIF(B31:F31,"?*")</f>
        <v/>
      </c>
      <c r="N31" s="28">
        <f>IF(M31=0,"","赤"&amp;計算用!BG27&amp;"白"&amp;計算用!BH27)</f>
        <v/>
      </c>
      <c r="O31" s="33">
        <f>COUNTIF(G31:K31,"?*")</f>
        <v/>
      </c>
      <c r="P31" s="28">
        <f>IF(O31=0,"","赤"&amp;計算用!BI27&amp;"白"&amp;計算用!BJ27)</f>
        <v/>
      </c>
      <c r="R31">
        <f>IFERROR(INDEX(計算用!$D$2:$D$186,MATCH(26,計算用!$AR$2:$AR$186,0))&amp;"（"&amp;INDEX(計算用!$M$2:$M$186,MATCH(26,計算用!$AR$2:$AR$186,0))&amp;"）","")</f>
        <v/>
      </c>
      <c r="S31">
        <f>IFERROR(INDEX(計算用!$D$2:$D$186,MATCH(26,計算用!$AS$2:$AS$186,0))&amp;"（"&amp;INDEX(計算用!$M$2:$M$186,MATCH(26,計算用!$AS$2:$AS$186,0))&amp;"）","")</f>
        <v/>
      </c>
      <c r="U31" s="34">
        <f>組分け!D29&amp;""</f>
        <v/>
      </c>
      <c r="V31" s="34">
        <f>組分け!G29&amp;""</f>
        <v/>
      </c>
      <c r="W31" s="34">
        <f>組分け!J29&amp;""</f>
        <v/>
      </c>
      <c r="X31" s="34">
        <f>組分け!M29&amp;""</f>
        <v/>
      </c>
      <c r="Y31" s="34">
        <f>組分け!P29&amp;""</f>
        <v/>
      </c>
      <c r="Z31" s="34">
        <f>組分け!W29&amp;""</f>
        <v/>
      </c>
      <c r="AA31" s="34">
        <f>組分け!Z29&amp;""</f>
        <v/>
      </c>
      <c r="AB31" s="34">
        <f>組分け!AC29&amp;""</f>
        <v/>
      </c>
      <c r="AC31" s="34">
        <f>組分け!AF29&amp;""</f>
        <v/>
      </c>
      <c r="AD31" s="34">
        <f>組分け!AI29&amp;""</f>
        <v/>
      </c>
    </row>
    <row r="32">
      <c r="A32" s="28" t="n">
        <v>27</v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M32" s="33">
        <f>COUNTIF(B32:F32,"?*")</f>
        <v/>
      </c>
      <c r="N32" s="28">
        <f>IF(M32=0,"","赤"&amp;計算用!BG28&amp;"白"&amp;計算用!BH28)</f>
        <v/>
      </c>
      <c r="O32" s="33">
        <f>COUNTIF(G32:K32,"?*")</f>
        <v/>
      </c>
      <c r="P32" s="28">
        <f>IF(O32=0,"","赤"&amp;計算用!BI28&amp;"白"&amp;計算用!BJ28)</f>
        <v/>
      </c>
      <c r="R32">
        <f>IFERROR(INDEX(計算用!$D$2:$D$186,MATCH(27,計算用!$AR$2:$AR$186,0))&amp;"（"&amp;INDEX(計算用!$M$2:$M$186,MATCH(27,計算用!$AR$2:$AR$186,0))&amp;"）","")</f>
        <v/>
      </c>
      <c r="S32">
        <f>IFERROR(INDEX(計算用!$D$2:$D$186,MATCH(27,計算用!$AS$2:$AS$186,0))&amp;"（"&amp;INDEX(計算用!$M$2:$M$186,MATCH(27,計算用!$AS$2:$AS$186,0))&amp;"）","")</f>
        <v/>
      </c>
      <c r="U32" s="34">
        <f>組分け!D30&amp;""</f>
        <v/>
      </c>
      <c r="V32" s="34">
        <f>組分け!G30&amp;""</f>
        <v/>
      </c>
      <c r="W32" s="34">
        <f>組分け!J30&amp;""</f>
        <v/>
      </c>
      <c r="X32" s="34">
        <f>組分け!M30&amp;""</f>
        <v/>
      </c>
      <c r="Y32" s="34">
        <f>組分け!P30&amp;""</f>
        <v/>
      </c>
      <c r="Z32" s="34">
        <f>組分け!W30&amp;""</f>
        <v/>
      </c>
      <c r="AA32" s="34">
        <f>組分け!Z30&amp;""</f>
        <v/>
      </c>
      <c r="AB32" s="34">
        <f>組分け!AC30&amp;""</f>
        <v/>
      </c>
      <c r="AC32" s="34">
        <f>組分け!AF30&amp;""</f>
        <v/>
      </c>
      <c r="AD32" s="34">
        <f>組分け!AI30&amp;""</f>
        <v/>
      </c>
    </row>
    <row r="33">
      <c r="A33" s="28" t="n">
        <v>28</v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M33" s="33">
        <f>COUNTIF(B33:F33,"?*")</f>
        <v/>
      </c>
      <c r="N33" s="28">
        <f>IF(M33=0,"","赤"&amp;計算用!BG29&amp;"白"&amp;計算用!BH29)</f>
        <v/>
      </c>
      <c r="O33" s="33">
        <f>COUNTIF(G33:K33,"?*")</f>
        <v/>
      </c>
      <c r="P33" s="28">
        <f>IF(O33=0,"","赤"&amp;計算用!BI29&amp;"白"&amp;計算用!BJ29)</f>
        <v/>
      </c>
      <c r="R33">
        <f>IFERROR(INDEX(計算用!$D$2:$D$186,MATCH(28,計算用!$AR$2:$AR$186,0))&amp;"（"&amp;INDEX(計算用!$M$2:$M$186,MATCH(28,計算用!$AR$2:$AR$186,0))&amp;"）","")</f>
        <v/>
      </c>
      <c r="S33">
        <f>IFERROR(INDEX(計算用!$D$2:$D$186,MATCH(28,計算用!$AS$2:$AS$186,0))&amp;"（"&amp;INDEX(計算用!$M$2:$M$186,MATCH(28,計算用!$AS$2:$AS$186,0))&amp;"）","")</f>
        <v/>
      </c>
      <c r="U33" s="34">
        <f>組分け!D31&amp;""</f>
        <v/>
      </c>
      <c r="V33" s="34">
        <f>組分け!G31&amp;""</f>
        <v/>
      </c>
      <c r="W33" s="34">
        <f>組分け!J31&amp;""</f>
        <v/>
      </c>
      <c r="X33" s="34">
        <f>組分け!M31&amp;""</f>
        <v/>
      </c>
      <c r="Y33" s="34">
        <f>組分け!P31&amp;""</f>
        <v/>
      </c>
      <c r="Z33" s="34">
        <f>組分け!W31&amp;""</f>
        <v/>
      </c>
      <c r="AA33" s="34">
        <f>組分け!Z31&amp;""</f>
        <v/>
      </c>
      <c r="AB33" s="34">
        <f>組分け!AC31&amp;""</f>
        <v/>
      </c>
      <c r="AC33" s="34">
        <f>組分け!AF31&amp;""</f>
        <v/>
      </c>
      <c r="AD33" s="34">
        <f>組分け!AI31&amp;""</f>
        <v/>
      </c>
    </row>
    <row r="34">
      <c r="A34" s="28" t="n">
        <v>29</v>
      </c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M34" s="33">
        <f>COUNTIF(B34:F34,"?*")</f>
        <v/>
      </c>
      <c r="N34" s="28">
        <f>IF(M34=0,"","赤"&amp;計算用!BG30&amp;"白"&amp;計算用!BH30)</f>
        <v/>
      </c>
      <c r="O34" s="33">
        <f>COUNTIF(G34:K34,"?*")</f>
        <v/>
      </c>
      <c r="P34" s="28">
        <f>IF(O34=0,"","赤"&amp;計算用!BI30&amp;"白"&amp;計算用!BJ30)</f>
        <v/>
      </c>
      <c r="R34">
        <f>IFERROR(INDEX(計算用!$D$2:$D$186,MATCH(29,計算用!$AR$2:$AR$186,0))&amp;"（"&amp;INDEX(計算用!$M$2:$M$186,MATCH(29,計算用!$AR$2:$AR$186,0))&amp;"）","")</f>
        <v/>
      </c>
      <c r="S34">
        <f>IFERROR(INDEX(計算用!$D$2:$D$186,MATCH(29,計算用!$AS$2:$AS$186,0))&amp;"（"&amp;INDEX(計算用!$M$2:$M$186,MATCH(29,計算用!$AS$2:$AS$186,0))&amp;"）","")</f>
        <v/>
      </c>
      <c r="U34" s="34">
        <f>組分け!D32&amp;""</f>
        <v/>
      </c>
      <c r="V34" s="34">
        <f>組分け!G32&amp;""</f>
        <v/>
      </c>
      <c r="W34" s="34">
        <f>組分け!J32&amp;""</f>
        <v/>
      </c>
      <c r="X34" s="34">
        <f>組分け!M32&amp;""</f>
        <v/>
      </c>
      <c r="Y34" s="34">
        <f>組分け!P32&amp;""</f>
        <v/>
      </c>
      <c r="Z34" s="34">
        <f>組分け!W32&amp;""</f>
        <v/>
      </c>
      <c r="AA34" s="34">
        <f>組分け!Z32&amp;""</f>
        <v/>
      </c>
      <c r="AB34" s="34">
        <f>組分け!AC32&amp;""</f>
        <v/>
      </c>
      <c r="AC34" s="34">
        <f>組分け!AF32&amp;""</f>
        <v/>
      </c>
      <c r="AD34" s="34">
        <f>組分け!AI32&amp;""</f>
        <v/>
      </c>
    </row>
    <row r="35">
      <c r="A35" s="28" t="n">
        <v>30</v>
      </c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M35" s="33">
        <f>COUNTIF(B35:F35,"?*")</f>
        <v/>
      </c>
      <c r="N35" s="28">
        <f>IF(M35=0,"","赤"&amp;計算用!BG31&amp;"白"&amp;計算用!BH31)</f>
        <v/>
      </c>
      <c r="O35" s="33">
        <f>COUNTIF(G35:K35,"?*")</f>
        <v/>
      </c>
      <c r="P35" s="28">
        <f>IF(O35=0,"","赤"&amp;計算用!BI31&amp;"白"&amp;計算用!BJ31)</f>
        <v/>
      </c>
      <c r="R35">
        <f>IFERROR(INDEX(計算用!$D$2:$D$186,MATCH(30,計算用!$AR$2:$AR$186,0))&amp;"（"&amp;INDEX(計算用!$M$2:$M$186,MATCH(30,計算用!$AR$2:$AR$186,0))&amp;"）","")</f>
        <v/>
      </c>
      <c r="S35">
        <f>IFERROR(INDEX(計算用!$D$2:$D$186,MATCH(30,計算用!$AS$2:$AS$186,0))&amp;"（"&amp;INDEX(計算用!$M$2:$M$186,MATCH(30,計算用!$AS$2:$AS$186,0))&amp;"）","")</f>
        <v/>
      </c>
      <c r="U35" s="34">
        <f>組分け!D33&amp;""</f>
        <v/>
      </c>
      <c r="V35" s="34">
        <f>組分け!G33&amp;""</f>
        <v/>
      </c>
      <c r="W35" s="34">
        <f>組分け!J33&amp;""</f>
        <v/>
      </c>
      <c r="X35" s="34">
        <f>組分け!M33&amp;""</f>
        <v/>
      </c>
      <c r="Y35" s="34">
        <f>組分け!P33&amp;""</f>
        <v/>
      </c>
      <c r="Z35" s="34">
        <f>組分け!W33&amp;""</f>
        <v/>
      </c>
      <c r="AA35" s="34">
        <f>組分け!Z33&amp;""</f>
        <v/>
      </c>
      <c r="AB35" s="34">
        <f>組分け!AC33&amp;""</f>
        <v/>
      </c>
      <c r="AC35" s="34">
        <f>組分け!AF33&amp;""</f>
        <v/>
      </c>
      <c r="AD35" s="34">
        <f>組分け!AI33&amp;""</f>
        <v/>
      </c>
    </row>
    <row r="36">
      <c r="A36" s="28" t="n">
        <v>31</v>
      </c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M36" s="33">
        <f>COUNTIF(B36:F36,"?*")</f>
        <v/>
      </c>
      <c r="N36" s="28">
        <f>IF(M36=0,"","赤"&amp;計算用!BG32&amp;"白"&amp;計算用!BH32)</f>
        <v/>
      </c>
      <c r="O36" s="33">
        <f>COUNTIF(G36:K36,"?*")</f>
        <v/>
      </c>
      <c r="P36" s="28">
        <f>IF(O36=0,"","赤"&amp;計算用!BI32&amp;"白"&amp;計算用!BJ32)</f>
        <v/>
      </c>
      <c r="R36">
        <f>IFERROR(INDEX(計算用!$D$2:$D$186,MATCH(31,計算用!$AR$2:$AR$186,0))&amp;"（"&amp;INDEX(計算用!$M$2:$M$186,MATCH(31,計算用!$AR$2:$AR$186,0))&amp;"）","")</f>
        <v/>
      </c>
      <c r="S36">
        <f>IFERROR(INDEX(計算用!$D$2:$D$186,MATCH(31,計算用!$AS$2:$AS$186,0))&amp;"（"&amp;INDEX(計算用!$M$2:$M$186,MATCH(31,計算用!$AS$2:$AS$186,0))&amp;"）","")</f>
        <v/>
      </c>
      <c r="U36" s="34">
        <f>組分け!D34&amp;""</f>
        <v/>
      </c>
      <c r="V36" s="34">
        <f>組分け!G34&amp;""</f>
        <v/>
      </c>
      <c r="W36" s="34">
        <f>組分け!J34&amp;""</f>
        <v/>
      </c>
      <c r="X36" s="34">
        <f>組分け!M34&amp;""</f>
        <v/>
      </c>
      <c r="Y36" s="34">
        <f>組分け!P34&amp;""</f>
        <v/>
      </c>
      <c r="Z36" s="34">
        <f>組分け!W34&amp;""</f>
        <v/>
      </c>
      <c r="AA36" s="34">
        <f>組分け!Z34&amp;""</f>
        <v/>
      </c>
      <c r="AB36" s="34">
        <f>組分け!AC34&amp;""</f>
        <v/>
      </c>
      <c r="AC36" s="34">
        <f>組分け!AF34&amp;""</f>
        <v/>
      </c>
      <c r="AD36" s="34">
        <f>組分け!AI34&amp;""</f>
        <v/>
      </c>
    </row>
    <row r="37">
      <c r="A37" s="28" t="n">
        <v>32</v>
      </c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M37" s="33">
        <f>COUNTIF(B37:F37,"?*")</f>
        <v/>
      </c>
      <c r="N37" s="28">
        <f>IF(M37=0,"","赤"&amp;計算用!BG33&amp;"白"&amp;計算用!BH33)</f>
        <v/>
      </c>
      <c r="O37" s="33">
        <f>COUNTIF(G37:K37,"?*")</f>
        <v/>
      </c>
      <c r="P37" s="28">
        <f>IF(O37=0,"","赤"&amp;計算用!BI33&amp;"白"&amp;計算用!BJ33)</f>
        <v/>
      </c>
      <c r="R37">
        <f>IFERROR(INDEX(計算用!$D$2:$D$186,MATCH(32,計算用!$AR$2:$AR$186,0))&amp;"（"&amp;INDEX(計算用!$M$2:$M$186,MATCH(32,計算用!$AR$2:$AR$186,0))&amp;"）","")</f>
        <v/>
      </c>
      <c r="S37">
        <f>IFERROR(INDEX(計算用!$D$2:$D$186,MATCH(32,計算用!$AS$2:$AS$186,0))&amp;"（"&amp;INDEX(計算用!$M$2:$M$186,MATCH(32,計算用!$AS$2:$AS$186,0))&amp;"）","")</f>
        <v/>
      </c>
      <c r="U37" s="34">
        <f>組分け!D35&amp;""</f>
        <v/>
      </c>
      <c r="V37" s="34">
        <f>組分け!G35&amp;""</f>
        <v/>
      </c>
      <c r="W37" s="34">
        <f>組分け!J35&amp;""</f>
        <v/>
      </c>
      <c r="X37" s="34">
        <f>組分け!M35&amp;""</f>
        <v/>
      </c>
      <c r="Y37" s="34">
        <f>組分け!P35&amp;""</f>
        <v/>
      </c>
      <c r="Z37" s="34">
        <f>組分け!W35&amp;""</f>
        <v/>
      </c>
      <c r="AA37" s="34">
        <f>組分け!Z35&amp;""</f>
        <v/>
      </c>
      <c r="AB37" s="34">
        <f>組分け!AC35&amp;""</f>
        <v/>
      </c>
      <c r="AC37" s="34">
        <f>組分け!AF35&amp;""</f>
        <v/>
      </c>
      <c r="AD37" s="34">
        <f>組分け!AI35&amp;""</f>
        <v/>
      </c>
    </row>
    <row r="38">
      <c r="A38" s="28" t="n">
        <v>33</v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M38" s="33">
        <f>COUNTIF(B38:F38,"?*")</f>
        <v/>
      </c>
      <c r="N38" s="28">
        <f>IF(M38=0,"","赤"&amp;計算用!BG34&amp;"白"&amp;計算用!BH34)</f>
        <v/>
      </c>
      <c r="O38" s="33">
        <f>COUNTIF(G38:K38,"?*")</f>
        <v/>
      </c>
      <c r="P38" s="28">
        <f>IF(O38=0,"","赤"&amp;計算用!BI34&amp;"白"&amp;計算用!BJ34)</f>
        <v/>
      </c>
      <c r="R38">
        <f>IFERROR(INDEX(計算用!$D$2:$D$186,MATCH(33,計算用!$AR$2:$AR$186,0))&amp;"（"&amp;INDEX(計算用!$M$2:$M$186,MATCH(33,計算用!$AR$2:$AR$186,0))&amp;"）","")</f>
        <v/>
      </c>
      <c r="S38">
        <f>IFERROR(INDEX(計算用!$D$2:$D$186,MATCH(33,計算用!$AS$2:$AS$186,0))&amp;"（"&amp;INDEX(計算用!$M$2:$M$186,MATCH(33,計算用!$AS$2:$AS$186,0))&amp;"）","")</f>
        <v/>
      </c>
      <c r="U38" s="34">
        <f>組分け!D36&amp;""</f>
        <v/>
      </c>
      <c r="V38" s="34">
        <f>組分け!G36&amp;""</f>
        <v/>
      </c>
      <c r="W38" s="34">
        <f>組分け!J36&amp;""</f>
        <v/>
      </c>
      <c r="X38" s="34">
        <f>組分け!M36&amp;""</f>
        <v/>
      </c>
      <c r="Y38" s="34">
        <f>組分け!P36&amp;""</f>
        <v/>
      </c>
      <c r="Z38" s="34">
        <f>組分け!W36&amp;""</f>
        <v/>
      </c>
      <c r="AA38" s="34">
        <f>組分け!Z36&amp;""</f>
        <v/>
      </c>
      <c r="AB38" s="34">
        <f>組分け!AC36&amp;""</f>
        <v/>
      </c>
      <c r="AC38" s="34">
        <f>組分け!AF36&amp;""</f>
        <v/>
      </c>
      <c r="AD38" s="34">
        <f>組分け!AI36&amp;""</f>
        <v/>
      </c>
    </row>
    <row r="39">
      <c r="A39" s="28" t="n">
        <v>34</v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M39" s="33">
        <f>COUNTIF(B39:F39,"?*")</f>
        <v/>
      </c>
      <c r="N39" s="28">
        <f>IF(M39=0,"","赤"&amp;計算用!BG35&amp;"白"&amp;計算用!BH35)</f>
        <v/>
      </c>
      <c r="O39" s="33">
        <f>COUNTIF(G39:K39,"?*")</f>
        <v/>
      </c>
      <c r="P39" s="28">
        <f>IF(O39=0,"","赤"&amp;計算用!BI35&amp;"白"&amp;計算用!BJ35)</f>
        <v/>
      </c>
      <c r="R39">
        <f>IFERROR(INDEX(計算用!$D$2:$D$186,MATCH(34,計算用!$AR$2:$AR$186,0))&amp;"（"&amp;INDEX(計算用!$M$2:$M$186,MATCH(34,計算用!$AR$2:$AR$186,0))&amp;"）","")</f>
        <v/>
      </c>
      <c r="S39">
        <f>IFERROR(INDEX(計算用!$D$2:$D$186,MATCH(34,計算用!$AS$2:$AS$186,0))&amp;"（"&amp;INDEX(計算用!$M$2:$M$186,MATCH(34,計算用!$AS$2:$AS$186,0))&amp;"）","")</f>
        <v/>
      </c>
      <c r="U39" s="34">
        <f>組分け!D37&amp;""</f>
        <v/>
      </c>
      <c r="V39" s="34">
        <f>組分け!G37&amp;""</f>
        <v/>
      </c>
      <c r="W39" s="34">
        <f>組分け!J37&amp;""</f>
        <v/>
      </c>
      <c r="X39" s="34">
        <f>組分け!M37&amp;""</f>
        <v/>
      </c>
      <c r="Y39" s="34">
        <f>組分け!P37&amp;""</f>
        <v/>
      </c>
      <c r="Z39" s="34">
        <f>組分け!W37&amp;""</f>
        <v/>
      </c>
      <c r="AA39" s="34">
        <f>組分け!Z37&amp;""</f>
        <v/>
      </c>
      <c r="AB39" s="34">
        <f>組分け!AC37&amp;""</f>
        <v/>
      </c>
      <c r="AC39" s="34">
        <f>組分け!AF37&amp;""</f>
        <v/>
      </c>
      <c r="AD39" s="34">
        <f>組分け!AI37&amp;""</f>
        <v/>
      </c>
    </row>
    <row r="40">
      <c r="A40" s="28" t="n">
        <v>35</v>
      </c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M40" s="33">
        <f>COUNTIF(B40:F40,"?*")</f>
        <v/>
      </c>
      <c r="N40" s="28">
        <f>IF(M40=0,"","赤"&amp;計算用!BG36&amp;"白"&amp;計算用!BH36)</f>
        <v/>
      </c>
      <c r="O40" s="33">
        <f>COUNTIF(G40:K40,"?*")</f>
        <v/>
      </c>
      <c r="P40" s="28">
        <f>IF(O40=0,"","赤"&amp;計算用!BI36&amp;"白"&amp;計算用!BJ36)</f>
        <v/>
      </c>
      <c r="R40">
        <f>IFERROR(INDEX(計算用!$D$2:$D$186,MATCH(35,計算用!$AR$2:$AR$186,0))&amp;"（"&amp;INDEX(計算用!$M$2:$M$186,MATCH(35,計算用!$AR$2:$AR$186,0))&amp;"）","")</f>
        <v/>
      </c>
      <c r="S40">
        <f>IFERROR(INDEX(計算用!$D$2:$D$186,MATCH(35,計算用!$AS$2:$AS$186,0))&amp;"（"&amp;INDEX(計算用!$M$2:$M$186,MATCH(35,計算用!$AS$2:$AS$186,0))&amp;"）","")</f>
        <v/>
      </c>
      <c r="U40" s="34">
        <f>組分け!D38&amp;""</f>
        <v/>
      </c>
      <c r="V40" s="34">
        <f>組分け!G38&amp;""</f>
        <v/>
      </c>
      <c r="W40" s="34">
        <f>組分け!J38&amp;""</f>
        <v/>
      </c>
      <c r="X40" s="34">
        <f>組分け!M38&amp;""</f>
        <v/>
      </c>
      <c r="Y40" s="34">
        <f>組分け!P38&amp;""</f>
        <v/>
      </c>
      <c r="Z40" s="34">
        <f>組分け!W38&amp;""</f>
        <v/>
      </c>
      <c r="AA40" s="34">
        <f>組分け!Z38&amp;""</f>
        <v/>
      </c>
      <c r="AB40" s="34">
        <f>組分け!AC38&amp;""</f>
        <v/>
      </c>
      <c r="AC40" s="34">
        <f>組分け!AF38&amp;""</f>
        <v/>
      </c>
      <c r="AD40" s="34">
        <f>組分け!AI38&amp;""</f>
        <v/>
      </c>
    </row>
    <row r="41">
      <c r="A41" s="28" t="n">
        <v>36</v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M41" s="33">
        <f>COUNTIF(B41:F41,"?*")</f>
        <v/>
      </c>
      <c r="N41" s="28">
        <f>IF(M41=0,"","赤"&amp;計算用!BG37&amp;"白"&amp;計算用!BH37)</f>
        <v/>
      </c>
      <c r="O41" s="33">
        <f>COUNTIF(G41:K41,"?*")</f>
        <v/>
      </c>
      <c r="P41" s="28">
        <f>IF(O41=0,"","赤"&amp;計算用!BI37&amp;"白"&amp;計算用!BJ37)</f>
        <v/>
      </c>
      <c r="R41">
        <f>IFERROR(INDEX(計算用!$D$2:$D$186,MATCH(36,計算用!$AR$2:$AR$186,0))&amp;"（"&amp;INDEX(計算用!$M$2:$M$186,MATCH(36,計算用!$AR$2:$AR$186,0))&amp;"）","")</f>
        <v/>
      </c>
      <c r="S41">
        <f>IFERROR(INDEX(計算用!$D$2:$D$186,MATCH(36,計算用!$AS$2:$AS$186,0))&amp;"（"&amp;INDEX(計算用!$M$2:$M$186,MATCH(36,計算用!$AS$2:$AS$186,0))&amp;"）","")</f>
        <v/>
      </c>
      <c r="U41" s="34">
        <f>組分け!D39&amp;""</f>
        <v/>
      </c>
      <c r="V41" s="34">
        <f>組分け!G39&amp;""</f>
        <v/>
      </c>
      <c r="W41" s="34">
        <f>組分け!J39&amp;""</f>
        <v/>
      </c>
      <c r="X41" s="34">
        <f>組分け!M39&amp;""</f>
        <v/>
      </c>
      <c r="Y41" s="34">
        <f>組分け!P39&amp;""</f>
        <v/>
      </c>
      <c r="Z41" s="34">
        <f>組分け!W39&amp;""</f>
        <v/>
      </c>
      <c r="AA41" s="34">
        <f>組分け!Z39&amp;""</f>
        <v/>
      </c>
      <c r="AB41" s="34">
        <f>組分け!AC39&amp;""</f>
        <v/>
      </c>
      <c r="AC41" s="34">
        <f>組分け!AF39&amp;""</f>
        <v/>
      </c>
      <c r="AD41" s="34">
        <f>組分け!AI39&amp;""</f>
        <v/>
      </c>
    </row>
    <row r="42">
      <c r="A42" s="28" t="n">
        <v>37</v>
      </c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M42" s="33">
        <f>COUNTIF(B42:F42,"?*")</f>
        <v/>
      </c>
      <c r="N42" s="28">
        <f>IF(M42=0,"","赤"&amp;計算用!BG38&amp;"白"&amp;計算用!BH38)</f>
        <v/>
      </c>
      <c r="O42" s="33">
        <f>COUNTIF(G42:K42,"?*")</f>
        <v/>
      </c>
      <c r="P42" s="28">
        <f>IF(O42=0,"","赤"&amp;計算用!BI38&amp;"白"&amp;計算用!BJ38)</f>
        <v/>
      </c>
      <c r="R42">
        <f>IFERROR(INDEX(計算用!$D$2:$D$186,MATCH(37,計算用!$AR$2:$AR$186,0))&amp;"（"&amp;INDEX(計算用!$M$2:$M$186,MATCH(37,計算用!$AR$2:$AR$186,0))&amp;"）","")</f>
        <v/>
      </c>
      <c r="S42">
        <f>IFERROR(INDEX(計算用!$D$2:$D$186,MATCH(37,計算用!$AS$2:$AS$186,0))&amp;"（"&amp;INDEX(計算用!$M$2:$M$186,MATCH(37,計算用!$AS$2:$AS$186,0))&amp;"）","")</f>
        <v/>
      </c>
      <c r="U42" s="34">
        <f>組分け!D40&amp;""</f>
        <v/>
      </c>
      <c r="V42" s="34">
        <f>組分け!G40&amp;""</f>
        <v/>
      </c>
      <c r="W42" s="34">
        <f>組分け!J40&amp;""</f>
        <v/>
      </c>
      <c r="X42" s="34">
        <f>組分け!M40&amp;""</f>
        <v/>
      </c>
      <c r="Y42" s="34">
        <f>組分け!P40&amp;""</f>
        <v/>
      </c>
      <c r="Z42" s="34">
        <f>組分け!W40&amp;""</f>
        <v/>
      </c>
      <c r="AA42" s="34">
        <f>組分け!Z40&amp;""</f>
        <v/>
      </c>
      <c r="AB42" s="34">
        <f>組分け!AC40&amp;""</f>
        <v/>
      </c>
      <c r="AC42" s="34">
        <f>組分け!AF40&amp;""</f>
        <v/>
      </c>
      <c r="AD42" s="34">
        <f>組分け!AI40&amp;""</f>
        <v/>
      </c>
    </row>
    <row r="43">
      <c r="A43" s="28" t="n">
        <v>38</v>
      </c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M43" s="33">
        <f>COUNTIF(B43:F43,"?*")</f>
        <v/>
      </c>
      <c r="N43" s="28">
        <f>IF(M43=0,"","赤"&amp;計算用!BG39&amp;"白"&amp;計算用!BH39)</f>
        <v/>
      </c>
      <c r="O43" s="33">
        <f>COUNTIF(G43:K43,"?*")</f>
        <v/>
      </c>
      <c r="P43" s="28">
        <f>IF(O43=0,"","赤"&amp;計算用!BI39&amp;"白"&amp;計算用!BJ39)</f>
        <v/>
      </c>
      <c r="R43">
        <f>IFERROR(INDEX(計算用!$D$2:$D$186,MATCH(38,計算用!$AR$2:$AR$186,0))&amp;"（"&amp;INDEX(計算用!$M$2:$M$186,MATCH(38,計算用!$AR$2:$AR$186,0))&amp;"）","")</f>
        <v/>
      </c>
      <c r="S43">
        <f>IFERROR(INDEX(計算用!$D$2:$D$186,MATCH(38,計算用!$AS$2:$AS$186,0))&amp;"（"&amp;INDEX(計算用!$M$2:$M$186,MATCH(38,計算用!$AS$2:$AS$186,0))&amp;"）","")</f>
        <v/>
      </c>
      <c r="U43" s="34">
        <f>組分け!D41&amp;""</f>
        <v/>
      </c>
      <c r="V43" s="34">
        <f>組分け!G41&amp;""</f>
        <v/>
      </c>
      <c r="W43" s="34">
        <f>組分け!J41&amp;""</f>
        <v/>
      </c>
      <c r="X43" s="34">
        <f>組分け!M41&amp;""</f>
        <v/>
      </c>
      <c r="Y43" s="34">
        <f>組分け!P41&amp;""</f>
        <v/>
      </c>
      <c r="Z43" s="34">
        <f>組分け!W41&amp;""</f>
        <v/>
      </c>
      <c r="AA43" s="34">
        <f>組分け!Z41&amp;""</f>
        <v/>
      </c>
      <c r="AB43" s="34">
        <f>組分け!AC41&amp;""</f>
        <v/>
      </c>
      <c r="AC43" s="34">
        <f>組分け!AF41&amp;""</f>
        <v/>
      </c>
      <c r="AD43" s="34">
        <f>組分け!AI41&amp;""</f>
        <v/>
      </c>
    </row>
    <row r="44">
      <c r="A44" s="28" t="n">
        <v>39</v>
      </c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M44" s="33">
        <f>COUNTIF(B44:F44,"?*")</f>
        <v/>
      </c>
      <c r="N44" s="28">
        <f>IF(M44=0,"","赤"&amp;計算用!BG40&amp;"白"&amp;計算用!BH40)</f>
        <v/>
      </c>
      <c r="O44" s="33">
        <f>COUNTIF(G44:K44,"?*")</f>
        <v/>
      </c>
      <c r="P44" s="28">
        <f>IF(O44=0,"","赤"&amp;計算用!BI40&amp;"白"&amp;計算用!BJ40)</f>
        <v/>
      </c>
      <c r="R44">
        <f>IFERROR(INDEX(計算用!$D$2:$D$186,MATCH(39,計算用!$AR$2:$AR$186,0))&amp;"（"&amp;INDEX(計算用!$M$2:$M$186,MATCH(39,計算用!$AR$2:$AR$186,0))&amp;"）","")</f>
        <v/>
      </c>
      <c r="S44">
        <f>IFERROR(INDEX(計算用!$D$2:$D$186,MATCH(39,計算用!$AS$2:$AS$186,0))&amp;"（"&amp;INDEX(計算用!$M$2:$M$186,MATCH(39,計算用!$AS$2:$AS$186,0))&amp;"）","")</f>
        <v/>
      </c>
      <c r="U44" s="34">
        <f>組分け!D42&amp;""</f>
        <v/>
      </c>
      <c r="V44" s="34">
        <f>組分け!G42&amp;""</f>
        <v/>
      </c>
      <c r="W44" s="34">
        <f>組分け!J42&amp;""</f>
        <v/>
      </c>
      <c r="X44" s="34">
        <f>組分け!M42&amp;""</f>
        <v/>
      </c>
      <c r="Y44" s="34">
        <f>組分け!P42&amp;""</f>
        <v/>
      </c>
      <c r="Z44" s="34">
        <f>組分け!W42&amp;""</f>
        <v/>
      </c>
      <c r="AA44" s="34">
        <f>組分け!Z42&amp;""</f>
        <v/>
      </c>
      <c r="AB44" s="34">
        <f>組分け!AC42&amp;""</f>
        <v/>
      </c>
      <c r="AC44" s="34">
        <f>組分け!AF42&amp;""</f>
        <v/>
      </c>
      <c r="AD44" s="34">
        <f>組分け!AI42&amp;""</f>
        <v/>
      </c>
    </row>
    <row r="45">
      <c r="A45" s="28" t="n">
        <v>40</v>
      </c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M45" s="33">
        <f>COUNTIF(B45:F45,"?*")</f>
        <v/>
      </c>
      <c r="N45" s="28">
        <f>IF(M45=0,"","赤"&amp;計算用!BG41&amp;"白"&amp;計算用!BH41)</f>
        <v/>
      </c>
      <c r="O45" s="33">
        <f>COUNTIF(G45:K45,"?*")</f>
        <v/>
      </c>
      <c r="P45" s="28">
        <f>IF(O45=0,"","赤"&amp;計算用!BI41&amp;"白"&amp;計算用!BJ41)</f>
        <v/>
      </c>
      <c r="R45">
        <f>IFERROR(INDEX(計算用!$D$2:$D$186,MATCH(40,計算用!$AR$2:$AR$186,0))&amp;"（"&amp;INDEX(計算用!$M$2:$M$186,MATCH(40,計算用!$AR$2:$AR$186,0))&amp;"）","")</f>
        <v/>
      </c>
      <c r="S45">
        <f>IFERROR(INDEX(計算用!$D$2:$D$186,MATCH(40,計算用!$AS$2:$AS$186,0))&amp;"（"&amp;INDEX(計算用!$M$2:$M$186,MATCH(40,計算用!$AS$2:$AS$186,0))&amp;"）","")</f>
        <v/>
      </c>
      <c r="U45" s="34">
        <f>組分け!D43&amp;""</f>
        <v/>
      </c>
      <c r="V45" s="34">
        <f>組分け!G43&amp;""</f>
        <v/>
      </c>
      <c r="W45" s="34">
        <f>組分け!J43&amp;""</f>
        <v/>
      </c>
      <c r="X45" s="34">
        <f>組分け!M43&amp;""</f>
        <v/>
      </c>
      <c r="Y45" s="34">
        <f>組分け!P43&amp;""</f>
        <v/>
      </c>
      <c r="Z45" s="34">
        <f>組分け!W43&amp;""</f>
        <v/>
      </c>
      <c r="AA45" s="34">
        <f>組分け!Z43&amp;""</f>
        <v/>
      </c>
      <c r="AB45" s="34">
        <f>組分け!AC43&amp;""</f>
        <v/>
      </c>
      <c r="AC45" s="34">
        <f>組分け!AF43&amp;""</f>
        <v/>
      </c>
      <c r="AD45" s="34">
        <f>組分け!AI43&amp;""</f>
        <v/>
      </c>
    </row>
    <row r="46">
      <c r="A46" s="28" t="n">
        <v>41</v>
      </c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M46" s="33">
        <f>COUNTIF(B46:F46,"?*")</f>
        <v/>
      </c>
      <c r="N46" s="28">
        <f>IF(M46=0,"","赤"&amp;計算用!BG42&amp;"白"&amp;計算用!BH42)</f>
        <v/>
      </c>
      <c r="O46" s="33">
        <f>COUNTIF(G46:K46,"?*")</f>
        <v/>
      </c>
      <c r="P46" s="28">
        <f>IF(O46=0,"","赤"&amp;計算用!BI42&amp;"白"&amp;計算用!BJ42)</f>
        <v/>
      </c>
      <c r="R46">
        <f>IFERROR(INDEX(計算用!$D$2:$D$186,MATCH(41,計算用!$AR$2:$AR$186,0))&amp;"（"&amp;INDEX(計算用!$M$2:$M$186,MATCH(41,計算用!$AR$2:$AR$186,0))&amp;"）","")</f>
        <v/>
      </c>
      <c r="S46">
        <f>IFERROR(INDEX(計算用!$D$2:$D$186,MATCH(41,計算用!$AS$2:$AS$186,0))&amp;"（"&amp;INDEX(計算用!$M$2:$M$186,MATCH(41,計算用!$AS$2:$AS$186,0))&amp;"）","")</f>
        <v/>
      </c>
      <c r="U46" s="34">
        <f>組分け!D44&amp;""</f>
        <v/>
      </c>
      <c r="V46" s="34">
        <f>組分け!G44&amp;""</f>
        <v/>
      </c>
      <c r="W46" s="34">
        <f>組分け!J44&amp;""</f>
        <v/>
      </c>
      <c r="X46" s="34">
        <f>組分け!M44&amp;""</f>
        <v/>
      </c>
      <c r="Y46" s="34">
        <f>組分け!P44&amp;""</f>
        <v/>
      </c>
      <c r="Z46" s="34">
        <f>組分け!W44&amp;""</f>
        <v/>
      </c>
      <c r="AA46" s="34">
        <f>組分け!Z44&amp;""</f>
        <v/>
      </c>
      <c r="AB46" s="34">
        <f>組分け!AC44&amp;""</f>
        <v/>
      </c>
      <c r="AC46" s="34">
        <f>組分け!AF44&amp;""</f>
        <v/>
      </c>
      <c r="AD46" s="34">
        <f>組分け!AI44&amp;""</f>
        <v/>
      </c>
    </row>
    <row r="47">
      <c r="A47" s="28" t="n">
        <v>42</v>
      </c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M47" s="33">
        <f>COUNTIF(B47:F47,"?*")</f>
        <v/>
      </c>
      <c r="N47" s="28">
        <f>IF(M47=0,"","赤"&amp;計算用!BG43&amp;"白"&amp;計算用!BH43)</f>
        <v/>
      </c>
      <c r="O47" s="33">
        <f>COUNTIF(G47:K47,"?*")</f>
        <v/>
      </c>
      <c r="P47" s="28">
        <f>IF(O47=0,"","赤"&amp;計算用!BI43&amp;"白"&amp;計算用!BJ43)</f>
        <v/>
      </c>
      <c r="R47">
        <f>IFERROR(INDEX(計算用!$D$2:$D$186,MATCH(42,計算用!$AR$2:$AR$186,0))&amp;"（"&amp;INDEX(計算用!$M$2:$M$186,MATCH(42,計算用!$AR$2:$AR$186,0))&amp;"）","")</f>
        <v/>
      </c>
      <c r="S47">
        <f>IFERROR(INDEX(計算用!$D$2:$D$186,MATCH(42,計算用!$AS$2:$AS$186,0))&amp;"（"&amp;INDEX(計算用!$M$2:$M$186,MATCH(42,計算用!$AS$2:$AS$186,0))&amp;"）","")</f>
        <v/>
      </c>
      <c r="U47" s="34">
        <f>組分け!D45&amp;""</f>
        <v/>
      </c>
      <c r="V47" s="34">
        <f>組分け!G45&amp;""</f>
        <v/>
      </c>
      <c r="W47" s="34">
        <f>組分け!J45&amp;""</f>
        <v/>
      </c>
      <c r="X47" s="34">
        <f>組分け!M45&amp;""</f>
        <v/>
      </c>
      <c r="Y47" s="34">
        <f>組分け!P45&amp;""</f>
        <v/>
      </c>
      <c r="Z47" s="34">
        <f>組分け!W45&amp;""</f>
        <v/>
      </c>
      <c r="AA47" s="34">
        <f>組分け!Z45&amp;""</f>
        <v/>
      </c>
      <c r="AB47" s="34">
        <f>組分け!AC45&amp;""</f>
        <v/>
      </c>
      <c r="AC47" s="34">
        <f>組分け!AF45&amp;""</f>
        <v/>
      </c>
      <c r="AD47" s="34">
        <f>組分け!AI45&amp;""</f>
        <v/>
      </c>
    </row>
    <row r="48">
      <c r="A48" s="28" t="n">
        <v>43</v>
      </c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M48" s="33">
        <f>COUNTIF(B48:F48,"?*")</f>
        <v/>
      </c>
      <c r="N48" s="28">
        <f>IF(M48=0,"","赤"&amp;計算用!BG44&amp;"白"&amp;計算用!BH44)</f>
        <v/>
      </c>
      <c r="O48" s="33">
        <f>COUNTIF(G48:K48,"?*")</f>
        <v/>
      </c>
      <c r="P48" s="28">
        <f>IF(O48=0,"","赤"&amp;計算用!BI44&amp;"白"&amp;計算用!BJ44)</f>
        <v/>
      </c>
      <c r="R48">
        <f>IFERROR(INDEX(計算用!$D$2:$D$186,MATCH(43,計算用!$AR$2:$AR$186,0))&amp;"（"&amp;INDEX(計算用!$M$2:$M$186,MATCH(43,計算用!$AR$2:$AR$186,0))&amp;"）","")</f>
        <v/>
      </c>
      <c r="S48">
        <f>IFERROR(INDEX(計算用!$D$2:$D$186,MATCH(43,計算用!$AS$2:$AS$186,0))&amp;"（"&amp;INDEX(計算用!$M$2:$M$186,MATCH(43,計算用!$AS$2:$AS$186,0))&amp;"）","")</f>
        <v/>
      </c>
      <c r="U48" s="34">
        <f>組分け!D46&amp;""</f>
        <v/>
      </c>
      <c r="V48" s="34">
        <f>組分け!G46&amp;""</f>
        <v/>
      </c>
      <c r="W48" s="34">
        <f>組分け!J46&amp;""</f>
        <v/>
      </c>
      <c r="X48" s="34">
        <f>組分け!M46&amp;""</f>
        <v/>
      </c>
      <c r="Y48" s="34">
        <f>組分け!P46&amp;""</f>
        <v/>
      </c>
      <c r="Z48" s="34">
        <f>組分け!W46&amp;""</f>
        <v/>
      </c>
      <c r="AA48" s="34">
        <f>組分け!Z46&amp;""</f>
        <v/>
      </c>
      <c r="AB48" s="34">
        <f>組分け!AC46&amp;""</f>
        <v/>
      </c>
      <c r="AC48" s="34">
        <f>組分け!AF46&amp;""</f>
        <v/>
      </c>
      <c r="AD48" s="34">
        <f>組分け!AI46&amp;""</f>
        <v/>
      </c>
    </row>
    <row r="49">
      <c r="A49" s="28" t="n">
        <v>44</v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M49" s="33">
        <f>COUNTIF(B49:F49,"?*")</f>
        <v/>
      </c>
      <c r="N49" s="28">
        <f>IF(M49=0,"","赤"&amp;計算用!BG45&amp;"白"&amp;計算用!BH45)</f>
        <v/>
      </c>
      <c r="O49" s="33">
        <f>COUNTIF(G49:K49,"?*")</f>
        <v/>
      </c>
      <c r="P49" s="28">
        <f>IF(O49=0,"","赤"&amp;計算用!BI45&amp;"白"&amp;計算用!BJ45)</f>
        <v/>
      </c>
      <c r="R49">
        <f>IFERROR(INDEX(計算用!$D$2:$D$186,MATCH(44,計算用!$AR$2:$AR$186,0))&amp;"（"&amp;INDEX(計算用!$M$2:$M$186,MATCH(44,計算用!$AR$2:$AR$186,0))&amp;"）","")</f>
        <v/>
      </c>
      <c r="S49">
        <f>IFERROR(INDEX(計算用!$D$2:$D$186,MATCH(44,計算用!$AS$2:$AS$186,0))&amp;"（"&amp;INDEX(計算用!$M$2:$M$186,MATCH(44,計算用!$AS$2:$AS$186,0))&amp;"）","")</f>
        <v/>
      </c>
      <c r="U49" s="34">
        <f>組分け!D47&amp;""</f>
        <v/>
      </c>
      <c r="V49" s="34">
        <f>組分け!G47&amp;""</f>
        <v/>
      </c>
      <c r="W49" s="34">
        <f>組分け!J47&amp;""</f>
        <v/>
      </c>
      <c r="X49" s="34">
        <f>組分け!M47&amp;""</f>
        <v/>
      </c>
      <c r="Y49" s="34">
        <f>組分け!P47&amp;""</f>
        <v/>
      </c>
      <c r="Z49" s="34">
        <f>組分け!W47&amp;""</f>
        <v/>
      </c>
      <c r="AA49" s="34">
        <f>組分け!Z47&amp;""</f>
        <v/>
      </c>
      <c r="AB49" s="34">
        <f>組分け!AC47&amp;""</f>
        <v/>
      </c>
      <c r="AC49" s="34">
        <f>組分け!AF47&amp;""</f>
        <v/>
      </c>
      <c r="AD49" s="34">
        <f>組分け!AI47&amp;""</f>
        <v/>
      </c>
    </row>
    <row r="50">
      <c r="A50" s="28" t="n">
        <v>45</v>
      </c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M50" s="33">
        <f>COUNTIF(B50:F50,"?*")</f>
        <v/>
      </c>
      <c r="N50" s="28">
        <f>IF(M50=0,"","赤"&amp;計算用!BG46&amp;"白"&amp;計算用!BH46)</f>
        <v/>
      </c>
      <c r="O50" s="33">
        <f>COUNTIF(G50:K50,"?*")</f>
        <v/>
      </c>
      <c r="P50" s="28">
        <f>IF(O50=0,"","赤"&amp;計算用!BI46&amp;"白"&amp;計算用!BJ46)</f>
        <v/>
      </c>
      <c r="R50">
        <f>IFERROR(INDEX(計算用!$D$2:$D$186,MATCH(45,計算用!$AR$2:$AR$186,0))&amp;"（"&amp;INDEX(計算用!$M$2:$M$186,MATCH(45,計算用!$AR$2:$AR$186,0))&amp;"）","")</f>
        <v/>
      </c>
      <c r="S50">
        <f>IFERROR(INDEX(計算用!$D$2:$D$186,MATCH(45,計算用!$AS$2:$AS$186,0))&amp;"（"&amp;INDEX(計算用!$M$2:$M$186,MATCH(45,計算用!$AS$2:$AS$186,0))&amp;"）","")</f>
        <v/>
      </c>
      <c r="U50" s="34">
        <f>組分け!D48&amp;""</f>
        <v/>
      </c>
      <c r="V50" s="34">
        <f>組分け!G48&amp;""</f>
        <v/>
      </c>
      <c r="W50" s="34">
        <f>組分け!J48&amp;""</f>
        <v/>
      </c>
      <c r="X50" s="34">
        <f>組分け!M48&amp;""</f>
        <v/>
      </c>
      <c r="Y50" s="34">
        <f>組分け!P48&amp;""</f>
        <v/>
      </c>
      <c r="Z50" s="34">
        <f>組分け!W48&amp;""</f>
        <v/>
      </c>
      <c r="AA50" s="34">
        <f>組分け!Z48&amp;""</f>
        <v/>
      </c>
      <c r="AB50" s="34">
        <f>組分け!AC48&amp;""</f>
        <v/>
      </c>
      <c r="AC50" s="34">
        <f>組分け!AF48&amp;""</f>
        <v/>
      </c>
      <c r="AD50" s="34">
        <f>組分け!AI48&amp;""</f>
        <v/>
      </c>
    </row>
    <row r="51">
      <c r="A51" s="28" t="n">
        <v>46</v>
      </c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M51" s="33">
        <f>COUNTIF(B51:F51,"?*")</f>
        <v/>
      </c>
      <c r="N51" s="28">
        <f>IF(M51=0,"","赤"&amp;計算用!BG47&amp;"白"&amp;計算用!BH47)</f>
        <v/>
      </c>
      <c r="O51" s="33">
        <f>COUNTIF(G51:K51,"?*")</f>
        <v/>
      </c>
      <c r="P51" s="28">
        <f>IF(O51=0,"","赤"&amp;計算用!BI47&amp;"白"&amp;計算用!BJ47)</f>
        <v/>
      </c>
      <c r="R51">
        <f>IFERROR(INDEX(計算用!$D$2:$D$186,MATCH(46,計算用!$AR$2:$AR$186,0))&amp;"（"&amp;INDEX(計算用!$M$2:$M$186,MATCH(46,計算用!$AR$2:$AR$186,0))&amp;"）","")</f>
        <v/>
      </c>
      <c r="S51">
        <f>IFERROR(INDEX(計算用!$D$2:$D$186,MATCH(46,計算用!$AS$2:$AS$186,0))&amp;"（"&amp;INDEX(計算用!$M$2:$M$186,MATCH(46,計算用!$AS$2:$AS$186,0))&amp;"）","")</f>
        <v/>
      </c>
      <c r="U51" s="34">
        <f>組分け!D49&amp;""</f>
        <v/>
      </c>
      <c r="V51" s="34">
        <f>組分け!G49&amp;""</f>
        <v/>
      </c>
      <c r="W51" s="34">
        <f>組分け!J49&amp;""</f>
        <v/>
      </c>
      <c r="X51" s="34">
        <f>組分け!M49&amp;""</f>
        <v/>
      </c>
      <c r="Y51" s="34">
        <f>組分け!P49&amp;""</f>
        <v/>
      </c>
      <c r="Z51" s="34">
        <f>組分け!W49&amp;""</f>
        <v/>
      </c>
      <c r="AA51" s="34">
        <f>組分け!Z49&amp;""</f>
        <v/>
      </c>
      <c r="AB51" s="34">
        <f>組分け!AC49&amp;""</f>
        <v/>
      </c>
      <c r="AC51" s="34">
        <f>組分け!AF49&amp;""</f>
        <v/>
      </c>
      <c r="AD51" s="34">
        <f>組分け!AI49&amp;""</f>
        <v/>
      </c>
    </row>
    <row r="52">
      <c r="A52" s="28" t="n">
        <v>47</v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M52" s="33">
        <f>COUNTIF(B52:F52,"?*")</f>
        <v/>
      </c>
      <c r="N52" s="28">
        <f>IF(M52=0,"","赤"&amp;計算用!BG48&amp;"白"&amp;計算用!BH48)</f>
        <v/>
      </c>
      <c r="O52" s="33">
        <f>COUNTIF(G52:K52,"?*")</f>
        <v/>
      </c>
      <c r="P52" s="28">
        <f>IF(O52=0,"","赤"&amp;計算用!BI48&amp;"白"&amp;計算用!BJ48)</f>
        <v/>
      </c>
      <c r="R52">
        <f>IFERROR(INDEX(計算用!$D$2:$D$186,MATCH(47,計算用!$AR$2:$AR$186,0))&amp;"（"&amp;INDEX(計算用!$M$2:$M$186,MATCH(47,計算用!$AR$2:$AR$186,0))&amp;"）","")</f>
        <v/>
      </c>
      <c r="S52">
        <f>IFERROR(INDEX(計算用!$D$2:$D$186,MATCH(47,計算用!$AS$2:$AS$186,0))&amp;"（"&amp;INDEX(計算用!$M$2:$M$186,MATCH(47,計算用!$AS$2:$AS$186,0))&amp;"）","")</f>
        <v/>
      </c>
      <c r="U52" s="34">
        <f>組分け!D50&amp;""</f>
        <v/>
      </c>
      <c r="V52" s="34">
        <f>組分け!G50&amp;""</f>
        <v/>
      </c>
      <c r="W52" s="34">
        <f>組分け!J50&amp;""</f>
        <v/>
      </c>
      <c r="X52" s="34">
        <f>組分け!M50&amp;""</f>
        <v/>
      </c>
      <c r="Y52" s="34">
        <f>組分け!P50&amp;""</f>
        <v/>
      </c>
      <c r="Z52" s="34">
        <f>組分け!W50&amp;""</f>
        <v/>
      </c>
      <c r="AA52" s="34">
        <f>組分け!Z50&amp;""</f>
        <v/>
      </c>
      <c r="AB52" s="34">
        <f>組分け!AC50&amp;""</f>
        <v/>
      </c>
      <c r="AC52" s="34">
        <f>組分け!AF50&amp;""</f>
        <v/>
      </c>
      <c r="AD52" s="34">
        <f>組分け!AI50&amp;""</f>
        <v/>
      </c>
    </row>
    <row r="53">
      <c r="A53" s="28" t="n">
        <v>48</v>
      </c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M53" s="33">
        <f>COUNTIF(B53:F53,"?*")</f>
        <v/>
      </c>
      <c r="N53" s="28">
        <f>IF(M53=0,"","赤"&amp;計算用!BG49&amp;"白"&amp;計算用!BH49)</f>
        <v/>
      </c>
      <c r="O53" s="33">
        <f>COUNTIF(G53:K53,"?*")</f>
        <v/>
      </c>
      <c r="P53" s="28">
        <f>IF(O53=0,"","赤"&amp;計算用!BI49&amp;"白"&amp;計算用!BJ49)</f>
        <v/>
      </c>
      <c r="R53">
        <f>IFERROR(INDEX(計算用!$D$2:$D$186,MATCH(48,計算用!$AR$2:$AR$186,0))&amp;"（"&amp;INDEX(計算用!$M$2:$M$186,MATCH(48,計算用!$AR$2:$AR$186,0))&amp;"）","")</f>
        <v/>
      </c>
      <c r="S53">
        <f>IFERROR(INDEX(計算用!$D$2:$D$186,MATCH(48,計算用!$AS$2:$AS$186,0))&amp;"（"&amp;INDEX(計算用!$M$2:$M$186,MATCH(48,計算用!$AS$2:$AS$186,0))&amp;"）","")</f>
        <v/>
      </c>
      <c r="U53" s="34">
        <f>組分け!D51&amp;""</f>
        <v/>
      </c>
      <c r="V53" s="34">
        <f>組分け!G51&amp;""</f>
        <v/>
      </c>
      <c r="W53" s="34">
        <f>組分け!J51&amp;""</f>
        <v/>
      </c>
      <c r="X53" s="34">
        <f>組分け!M51&amp;""</f>
        <v/>
      </c>
      <c r="Y53" s="34">
        <f>組分け!P51&amp;""</f>
        <v/>
      </c>
      <c r="Z53" s="34">
        <f>組分け!W51&amp;""</f>
        <v/>
      </c>
      <c r="AA53" s="34">
        <f>組分け!Z51&amp;""</f>
        <v/>
      </c>
      <c r="AB53" s="34">
        <f>組分け!AC51&amp;""</f>
        <v/>
      </c>
      <c r="AC53" s="34">
        <f>組分け!AF51&amp;""</f>
        <v/>
      </c>
      <c r="AD53" s="34">
        <f>組分け!AI51&amp;""</f>
        <v/>
      </c>
    </row>
    <row r="54">
      <c r="A54" s="28" t="n">
        <v>49</v>
      </c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M54" s="33">
        <f>COUNTIF(B54:F54,"?*")</f>
        <v/>
      </c>
      <c r="N54" s="28">
        <f>IF(M54=0,"","赤"&amp;計算用!BG50&amp;"白"&amp;計算用!BH50)</f>
        <v/>
      </c>
      <c r="O54" s="33">
        <f>COUNTIF(G54:K54,"?*")</f>
        <v/>
      </c>
      <c r="P54" s="28">
        <f>IF(O54=0,"","赤"&amp;計算用!BI50&amp;"白"&amp;計算用!BJ50)</f>
        <v/>
      </c>
      <c r="R54">
        <f>IFERROR(INDEX(計算用!$D$2:$D$186,MATCH(49,計算用!$AR$2:$AR$186,0))&amp;"（"&amp;INDEX(計算用!$M$2:$M$186,MATCH(49,計算用!$AR$2:$AR$186,0))&amp;"）","")</f>
        <v/>
      </c>
      <c r="S54">
        <f>IFERROR(INDEX(計算用!$D$2:$D$186,MATCH(49,計算用!$AS$2:$AS$186,0))&amp;"（"&amp;INDEX(計算用!$M$2:$M$186,MATCH(49,計算用!$AS$2:$AS$186,0))&amp;"）","")</f>
        <v/>
      </c>
      <c r="U54" s="34">
        <f>組分け!D52&amp;""</f>
        <v/>
      </c>
      <c r="V54" s="34">
        <f>組分け!G52&amp;""</f>
        <v/>
      </c>
      <c r="W54" s="34">
        <f>組分け!J52&amp;""</f>
        <v/>
      </c>
      <c r="X54" s="34">
        <f>組分け!M52&amp;""</f>
        <v/>
      </c>
      <c r="Y54" s="34">
        <f>組分け!P52&amp;""</f>
        <v/>
      </c>
      <c r="Z54" s="34">
        <f>組分け!W52&amp;""</f>
        <v/>
      </c>
      <c r="AA54" s="34">
        <f>組分け!Z52&amp;""</f>
        <v/>
      </c>
      <c r="AB54" s="34">
        <f>組分け!AC52&amp;""</f>
        <v/>
      </c>
      <c r="AC54" s="34">
        <f>組分け!AF52&amp;""</f>
        <v/>
      </c>
      <c r="AD54" s="34">
        <f>組分け!AI52&amp;""</f>
        <v/>
      </c>
    </row>
    <row r="55">
      <c r="A55" s="28" t="n">
        <v>50</v>
      </c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M55" s="33">
        <f>COUNTIF(B55:F55,"?*")</f>
        <v/>
      </c>
      <c r="N55" s="28">
        <f>IF(M55=0,"","赤"&amp;計算用!BG51&amp;"白"&amp;計算用!BH51)</f>
        <v/>
      </c>
      <c r="O55" s="33">
        <f>COUNTIF(G55:K55,"?*")</f>
        <v/>
      </c>
      <c r="P55" s="28">
        <f>IF(O55=0,"","赤"&amp;計算用!BI51&amp;"白"&amp;計算用!BJ51)</f>
        <v/>
      </c>
      <c r="R55">
        <f>IFERROR(INDEX(計算用!$D$2:$D$186,MATCH(50,計算用!$AR$2:$AR$186,0))&amp;"（"&amp;INDEX(計算用!$M$2:$M$186,MATCH(50,計算用!$AR$2:$AR$186,0))&amp;"）","")</f>
        <v/>
      </c>
      <c r="S55">
        <f>IFERROR(INDEX(計算用!$D$2:$D$186,MATCH(50,計算用!$AS$2:$AS$186,0))&amp;"（"&amp;INDEX(計算用!$M$2:$M$186,MATCH(50,計算用!$AS$2:$AS$186,0))&amp;"）","")</f>
        <v/>
      </c>
      <c r="U55" s="34">
        <f>組分け!D53&amp;""</f>
        <v/>
      </c>
      <c r="V55" s="34">
        <f>組分け!G53&amp;""</f>
        <v/>
      </c>
      <c r="W55" s="34">
        <f>組分け!J53&amp;""</f>
        <v/>
      </c>
      <c r="X55" s="34">
        <f>組分け!M53&amp;""</f>
        <v/>
      </c>
      <c r="Y55" s="34">
        <f>組分け!P53&amp;""</f>
        <v/>
      </c>
      <c r="Z55" s="34">
        <f>組分け!W53&amp;""</f>
        <v/>
      </c>
      <c r="AA55" s="34">
        <f>組分け!Z53&amp;""</f>
        <v/>
      </c>
      <c r="AB55" s="34">
        <f>組分け!AC53&amp;""</f>
        <v/>
      </c>
      <c r="AC55" s="34">
        <f>組分け!AF53&amp;""</f>
        <v/>
      </c>
      <c r="AD55" s="34">
        <f>組分け!AI53&amp;""</f>
        <v/>
      </c>
    </row>
  </sheetData>
  <mergeCells count="10">
    <mergeCell ref="B4:F4"/>
    <mergeCell ref="Z4:AD4"/>
    <mergeCell ref="C1:AD1"/>
    <mergeCell ref="A4:A5"/>
    <mergeCell ref="U3:AD3"/>
    <mergeCell ref="R4:S4"/>
    <mergeCell ref="O4:P4"/>
    <mergeCell ref="M4:N4"/>
    <mergeCell ref="U4:Y4"/>
    <mergeCell ref="G4:K4"/>
  </mergeCells>
  <conditionalFormatting sqref="B6:F55">
    <cfRule type="expression" priority="1" dxfId="11" stopIfTrue="1">
      <formula>AND(B6&lt;&gt;"",OR(COUNTIF(計算用!$AO$2:$AO$186,"男"&amp;B6)=0,COUNTIF($B$6:$F$55,B6)&gt;1))</formula>
    </cfRule>
    <cfRule type="expression" priority="2" dxfId="9">
      <formula>AND(B6&lt;&gt;"",IFERROR(INDEX(計算用!$I$2:$I$186,MATCH("男"&amp;B6,計算用!$AO$2:$AO$186,0))="赤",FALSE))</formula>
    </cfRule>
  </conditionalFormatting>
  <conditionalFormatting sqref="M6:N55">
    <cfRule type="expression" priority="3" dxfId="12" stopIfTrue="1">
      <formula>AND($M6=0,ROW()-5&lt;計算用!$Q$13)</formula>
    </cfRule>
    <cfRule type="expression" priority="4" dxfId="13">
      <formula>AND($M6&gt;0,OR($M6&lt;&gt;計算用!$Q$32,ABS(INDEX(計算用!$BG$2:$BG$51,ROW()-5)-INDEX(計算用!$BH$2:$BH$51,ROW()-5))&gt;1))</formula>
    </cfRule>
  </conditionalFormatting>
  <conditionalFormatting sqref="F6:F55">
    <cfRule type="expression" priority="5" dxfId="14">
      <formula>AND(F6="",計算用!$Q$32=4)</formula>
    </cfRule>
  </conditionalFormatting>
  <conditionalFormatting sqref="G6:K55">
    <cfRule type="expression" priority="6" dxfId="11" stopIfTrue="1">
      <formula>AND(G6&lt;&gt;"",OR(COUNTIF(計算用!$AO$2:$AO$186,"女"&amp;G6)=0,COUNTIF($G$6:$K$55,G6)&gt;1))</formula>
    </cfRule>
    <cfRule type="expression" priority="7" dxfId="9">
      <formula>AND(G6&lt;&gt;"",IFERROR(INDEX(計算用!$I$2:$I$186,MATCH("女"&amp;G6,計算用!$AO$2:$AO$186,0))="赤",FALSE))</formula>
    </cfRule>
  </conditionalFormatting>
  <conditionalFormatting sqref="O6:P55">
    <cfRule type="expression" priority="8" dxfId="12" stopIfTrue="1">
      <formula>AND($O6=0,ROW()-5&lt;計算用!$Q$14)</formula>
    </cfRule>
    <cfRule type="expression" priority="9" dxfId="13">
      <formula>AND($O6&gt;0,OR($O6&lt;&gt;計算用!$Q$33,ABS(INDEX(計算用!$BI$2:$BI$51,ROW()-5)-INDEX(計算用!$BJ$2:$BJ$51,ROW()-5))&gt;1))</formula>
    </cfRule>
  </conditionalFormatting>
  <conditionalFormatting sqref="K6:K55">
    <cfRule type="expression" priority="10" dxfId="14">
      <formula>AND(K6="",計算用!$Q$33=4)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13" customWidth="1" style="11" min="16" max="16"/>
    <col width="5" customWidth="1" style="11" min="17" max="17"/>
    <col width="4" customWidth="1" style="11" min="18" max="18"/>
    <col width="2" customWidth="1" style="11" min="19" max="19"/>
    <col width="5" customWidth="1" style="11" min="20" max="20"/>
    <col width="5" customWidth="1" style="11" min="21" max="21"/>
    <col width="9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  <col width="13" customWidth="1" style="11" min="32" max="32"/>
    <col width="5" customWidth="1" style="11" min="33" max="33"/>
    <col width="4" customWidth="1" style="11" min="34" max="34"/>
    <col width="13" customWidth="1" style="11" min="35" max="35"/>
    <col width="5" customWidth="1" style="11" min="36" max="36"/>
    <col width="4" customWidth="1" style="11" min="37" max="37"/>
  </cols>
  <sheetData>
    <row r="1">
      <c r="A1" s="25" t="inlineStr">
        <is>
          <t>男子</t>
        </is>
      </c>
      <c r="D1" s="26">
        <f>IF(計算用!$Q$15&gt;0,"※手直しシートに確認が必要なところがあります",IF(SUMPRODUCT((ROW(手直し!$M$6:$M$55)-5&lt;=計算用!$Q$13)*(手直し!$M$6:$M$55=0))&gt;0,"※だれもいない組があります（赤い組）",IF(SUMPRODUCT((ROW(手直し!$M$6:$M$55)-5&lt;=計算用!$Q$13)*(((手直し!$M$6:$M$55&lt;&gt;計算用!$Q$32)+(ABS(計算用!$BG$2:$BG$51-計算用!$BH$2:$BH$51)&gt;1))&gt;0))&gt;0,"※黄色の組は、人数の都合で調整した組です","")))</f>
        <v/>
      </c>
      <c r="O1" s="25">
        <f>"1組 "&amp;計算用!$Q$32&amp;"人"</f>
        <v/>
      </c>
      <c r="T1" s="25" t="inlineStr">
        <is>
          <t>女子</t>
        </is>
      </c>
      <c r="W1" s="26">
        <f>IF(計算用!$Q$16&gt;0,"※手直しシートに確認が必要なところがあります",IF(SUMPRODUCT((ROW(手直し!$O$6:$O$55)-5&lt;=計算用!$Q$14)*(手直し!$O$6:$O$55=0))&gt;0,"※だれもいない組があります（赤い組）",IF(SUMPRODUCT((ROW(手直し!$O$6:$O$55)-5&lt;=計算用!$Q$14)*(((手直し!$O$6:$O$55&lt;&gt;計算用!$Q$33)+(ABS(計算用!$BI$2:$BI$51-計算用!$BJ$2:$BJ$51)&gt;1))&gt;0))&gt;0,"※黄色の組は、人数の都合で調整した組です","")))</f>
        <v/>
      </c>
      <c r="AH1" s="25">
        <f>"1組 "&amp;計算用!$Q$33&amp;"人"</f>
        <v/>
      </c>
    </row>
    <row r="2">
      <c r="A2" s="27" t="inlineStr">
        <is>
          <t>組</t>
        </is>
      </c>
      <c r="B2" s="27" t="inlineStr">
        <is>
          <t>人数</t>
        </is>
      </c>
      <c r="C2" s="27" t="inlineStr">
        <is>
          <t>内訳</t>
        </is>
      </c>
      <c r="D2" s="27" t="inlineStr">
        <is>
          <t>1人目</t>
        </is>
      </c>
      <c r="E2" s="27" t="n"/>
      <c r="F2" s="27" t="n"/>
      <c r="G2" s="27" t="inlineStr">
        <is>
          <t>2人目</t>
        </is>
      </c>
      <c r="H2" s="27" t="n"/>
      <c r="I2" s="27" t="n"/>
      <c r="J2" s="27" t="inlineStr">
        <is>
          <t>3人目</t>
        </is>
      </c>
      <c r="K2" s="27" t="n"/>
      <c r="L2" s="27" t="n"/>
      <c r="M2" s="27" t="inlineStr">
        <is>
          <t>4人目</t>
        </is>
      </c>
      <c r="N2" s="27" t="n"/>
      <c r="O2" s="27" t="n"/>
      <c r="P2" s="27" t="inlineStr">
        <is>
          <t>5人目</t>
        </is>
      </c>
      <c r="Q2" s="27" t="n"/>
      <c r="R2" s="27" t="n"/>
      <c r="T2" s="27" t="inlineStr">
        <is>
          <t>組</t>
        </is>
      </c>
      <c r="U2" s="27" t="inlineStr">
        <is>
          <t>人数</t>
        </is>
      </c>
      <c r="V2" s="27" t="inlineStr">
        <is>
          <t>内訳</t>
        </is>
      </c>
      <c r="W2" s="27" t="inlineStr">
        <is>
          <t>1人目</t>
        </is>
      </c>
      <c r="X2" s="27" t="n"/>
      <c r="Y2" s="27" t="n"/>
      <c r="Z2" s="27" t="inlineStr">
        <is>
          <t>2人目</t>
        </is>
      </c>
      <c r="AA2" s="27" t="n"/>
      <c r="AB2" s="27" t="n"/>
      <c r="AC2" s="27" t="inlineStr">
        <is>
          <t>3人目</t>
        </is>
      </c>
      <c r="AD2" s="27" t="n"/>
      <c r="AE2" s="27" t="n"/>
      <c r="AF2" s="27" t="inlineStr">
        <is>
          <t>4人目</t>
        </is>
      </c>
      <c r="AG2" s="27" t="n"/>
      <c r="AH2" s="27" t="n"/>
      <c r="AI2" s="27" t="inlineStr">
        <is>
          <t>5人目</t>
        </is>
      </c>
      <c r="AJ2" s="27" t="n"/>
      <c r="AK2" s="27" t="n"/>
    </row>
    <row r="3">
      <c r="A3" s="27" t="n"/>
      <c r="B3" s="27" t="n"/>
      <c r="C3" s="27" t="n"/>
      <c r="D3" s="27" t="inlineStr">
        <is>
          <t>名前</t>
        </is>
      </c>
      <c r="E3" s="27" t="inlineStr">
        <is>
          <t>クラス</t>
        </is>
      </c>
      <c r="F3" s="27" t="inlineStr">
        <is>
          <t>色</t>
        </is>
      </c>
      <c r="G3" s="27" t="inlineStr">
        <is>
          <t>名前</t>
        </is>
      </c>
      <c r="H3" s="27" t="inlineStr">
        <is>
          <t>クラス</t>
        </is>
      </c>
      <c r="I3" s="27" t="inlineStr">
        <is>
          <t>色</t>
        </is>
      </c>
      <c r="J3" s="27" t="inlineStr">
        <is>
          <t>名前</t>
        </is>
      </c>
      <c r="K3" s="27" t="inlineStr">
        <is>
          <t>クラス</t>
        </is>
      </c>
      <c r="L3" s="27" t="inlineStr">
        <is>
          <t>色</t>
        </is>
      </c>
      <c r="M3" s="27" t="inlineStr">
        <is>
          <t>名前</t>
        </is>
      </c>
      <c r="N3" s="27" t="inlineStr">
        <is>
          <t>クラス</t>
        </is>
      </c>
      <c r="O3" s="27" t="inlineStr">
        <is>
          <t>色</t>
        </is>
      </c>
      <c r="P3" s="27" t="inlineStr">
        <is>
          <t>名前</t>
        </is>
      </c>
      <c r="Q3" s="27" t="inlineStr">
        <is>
          <t>クラス</t>
        </is>
      </c>
      <c r="R3" s="27" t="inlineStr">
        <is>
          <t>色</t>
        </is>
      </c>
      <c r="T3" s="27" t="n"/>
      <c r="U3" s="27" t="n"/>
      <c r="V3" s="27" t="n"/>
      <c r="W3" s="27" t="inlineStr">
        <is>
          <t>名前</t>
        </is>
      </c>
      <c r="X3" s="27" t="inlineStr">
        <is>
          <t>クラス</t>
        </is>
      </c>
      <c r="Y3" s="27" t="inlineStr">
        <is>
          <t>色</t>
        </is>
      </c>
      <c r="Z3" s="27" t="inlineStr">
        <is>
          <t>名前</t>
        </is>
      </c>
      <c r="AA3" s="27" t="inlineStr">
        <is>
          <t>クラス</t>
        </is>
      </c>
      <c r="AB3" s="27" t="inlineStr">
        <is>
          <t>色</t>
        </is>
      </c>
      <c r="AC3" s="27" t="inlineStr">
        <is>
          <t>名前</t>
        </is>
      </c>
      <c r="AD3" s="27" t="inlineStr">
        <is>
          <t>クラス</t>
        </is>
      </c>
      <c r="AE3" s="27" t="inlineStr">
        <is>
          <t>色</t>
        </is>
      </c>
      <c r="AF3" s="27" t="inlineStr">
        <is>
          <t>名前</t>
        </is>
      </c>
      <c r="AG3" s="27" t="inlineStr">
        <is>
          <t>クラス</t>
        </is>
      </c>
      <c r="AH3" s="27" t="inlineStr">
        <is>
          <t>色</t>
        </is>
      </c>
      <c r="AI3" s="27" t="inlineStr">
        <is>
          <t>名前</t>
        </is>
      </c>
      <c r="AJ3" s="27" t="inlineStr">
        <is>
          <t>クラス</t>
        </is>
      </c>
      <c r="AK3" s="27" t="inlineStr">
        <is>
          <t>色</t>
        </is>
      </c>
    </row>
    <row r="4">
      <c r="A4" s="28">
        <f>IF(ROW()-3&lt;=計算用!$Q$13,ROW()-3,"")</f>
        <v/>
      </c>
      <c r="B4" s="28">
        <f>IF($A4="","",手直し!M6)</f>
        <v/>
      </c>
      <c r="C4" s="28">
        <f>IF($A4="","",手直し!N6)</f>
        <v/>
      </c>
      <c r="D4">
        <f>IF($A4="","",手直し!B6&amp;"")</f>
        <v/>
      </c>
      <c r="E4" s="28">
        <f>IF(OR($A4="",手直し!B6=""),"",IFERROR(INDEX(計算用!$M$2:$M$186,MATCH("男"&amp;手直し!B6,計算用!$AO$2:$AO$186,0)),"？"))</f>
        <v/>
      </c>
      <c r="F4" s="28">
        <f>IF(OR($A4="",手直し!B6=""),"",IFERROR(INDEX(計算用!$I$2:$I$186,MATCH("男"&amp;手直し!B6,計算用!$AO$2:$AO$186,0)),"？"))</f>
        <v/>
      </c>
      <c r="G4">
        <f>IF($A4="","",手直し!C6&amp;"")</f>
        <v/>
      </c>
      <c r="H4" s="28">
        <f>IF(OR($A4="",手直し!C6=""),"",IFERROR(INDEX(計算用!$M$2:$M$186,MATCH("男"&amp;手直し!C6,計算用!$AO$2:$AO$186,0)),"？"))</f>
        <v/>
      </c>
      <c r="I4" s="28">
        <f>IF(OR($A4="",手直し!C6=""),"",IFERROR(INDEX(計算用!$I$2:$I$186,MATCH("男"&amp;手直し!C6,計算用!$AO$2:$AO$186,0)),"？"))</f>
        <v/>
      </c>
      <c r="J4">
        <f>IF($A4="","",手直し!D6&amp;"")</f>
        <v/>
      </c>
      <c r="K4" s="28">
        <f>IF(OR($A4="",手直し!D6=""),"",IFERROR(INDEX(計算用!$M$2:$M$186,MATCH("男"&amp;手直し!D6,計算用!$AO$2:$AO$186,0)),"？"))</f>
        <v/>
      </c>
      <c r="L4" s="28">
        <f>IF(OR($A4="",手直し!D6=""),"",IFERROR(INDEX(計算用!$I$2:$I$186,MATCH("男"&amp;手直し!D6,計算用!$AO$2:$AO$186,0)),"？"))</f>
        <v/>
      </c>
      <c r="M4">
        <f>IF($A4="","",手直し!E6&amp;"")</f>
        <v/>
      </c>
      <c r="N4" s="28">
        <f>IF(OR($A4="",手直し!E6=""),"",IFERROR(INDEX(計算用!$M$2:$M$186,MATCH("男"&amp;手直し!E6,計算用!$AO$2:$AO$186,0)),"？"))</f>
        <v/>
      </c>
      <c r="O4" s="28">
        <f>IF(OR($A4="",手直し!E6=""),"",IFERROR(INDEX(計算用!$I$2:$I$186,MATCH("男"&amp;手直し!E6,計算用!$AO$2:$AO$186,0)),"？"))</f>
        <v/>
      </c>
      <c r="P4">
        <f>IF($A4="","",手直し!F6&amp;"")</f>
        <v/>
      </c>
      <c r="Q4" s="28">
        <f>IF(OR($A4="",手直し!F6=""),"",IFERROR(INDEX(計算用!$M$2:$M$186,MATCH("男"&amp;手直し!F6,計算用!$AO$2:$AO$186,0)),"？"))</f>
        <v/>
      </c>
      <c r="R4" s="28">
        <f>IF(OR($A4="",手直し!F6=""),"",IFERROR(INDEX(計算用!$I$2:$I$186,MATCH("男"&amp;手直し!F6,計算用!$AO$2:$AO$186,0)),"？"))</f>
        <v/>
      </c>
      <c r="T4" s="28">
        <f>IF(ROW()-3&lt;=計算用!$Q$14,ROW()-3,"")</f>
        <v/>
      </c>
      <c r="U4" s="28">
        <f>IF($T4="","",手直し!O6)</f>
        <v/>
      </c>
      <c r="V4" s="28">
        <f>IF($T4="","",手直し!P6)</f>
        <v/>
      </c>
      <c r="W4">
        <f>IF($T4="","",手直し!G6&amp;"")</f>
        <v/>
      </c>
      <c r="X4" s="28">
        <f>IF(OR($T4="",手直し!G6=""),"",IFERROR(INDEX(計算用!$M$2:$M$186,MATCH("女"&amp;手直し!G6,計算用!$AO$2:$AO$186,0)),"？"))</f>
        <v/>
      </c>
      <c r="Y4" s="28">
        <f>IF(OR($T4="",手直し!G6=""),"",IFERROR(INDEX(計算用!$I$2:$I$186,MATCH("女"&amp;手直し!G6,計算用!$AO$2:$AO$186,0)),"？"))</f>
        <v/>
      </c>
      <c r="Z4">
        <f>IF($T4="","",手直し!H6&amp;"")</f>
        <v/>
      </c>
      <c r="AA4" s="28">
        <f>IF(OR($T4="",手直し!H6=""),"",IFERROR(INDEX(計算用!$M$2:$M$186,MATCH("女"&amp;手直し!H6,計算用!$AO$2:$AO$186,0)),"？"))</f>
        <v/>
      </c>
      <c r="AB4" s="28">
        <f>IF(OR($T4="",手直し!H6=""),"",IFERROR(INDEX(計算用!$I$2:$I$186,MATCH("女"&amp;手直し!H6,計算用!$AO$2:$AO$186,0)),"？"))</f>
        <v/>
      </c>
      <c r="AC4">
        <f>IF($T4="","",手直し!I6&amp;"")</f>
        <v/>
      </c>
      <c r="AD4" s="28">
        <f>IF(OR($T4="",手直し!I6=""),"",IFERROR(INDEX(計算用!$M$2:$M$186,MATCH("女"&amp;手直し!I6,計算用!$AO$2:$AO$186,0)),"？"))</f>
        <v/>
      </c>
      <c r="AE4" s="28">
        <f>IF(OR($T4="",手直し!I6=""),"",IFERROR(INDEX(計算用!$I$2:$I$186,MATCH("女"&amp;手直し!I6,計算用!$AO$2:$AO$186,0)),"？"))</f>
        <v/>
      </c>
      <c r="AF4">
        <f>IF($T4="","",手直し!J6&amp;"")</f>
        <v/>
      </c>
      <c r="AG4" s="28">
        <f>IF(OR($T4="",手直し!J6=""),"",IFERROR(INDEX(計算用!$M$2:$M$186,MATCH("女"&amp;手直し!J6,計算用!$AO$2:$AO$186,0)),"？"))</f>
        <v/>
      </c>
      <c r="AH4" s="28">
        <f>IF(OR($T4="",手直し!J6=""),"",IFERROR(INDEX(計算用!$I$2:$I$186,MATCH("女"&amp;手直し!J6,計算用!$AO$2:$AO$186,0)),"？"))</f>
        <v/>
      </c>
      <c r="AI4">
        <f>IF($T4="","",手直し!K6&amp;"")</f>
        <v/>
      </c>
      <c r="AJ4" s="28">
        <f>IF(OR($T4="",手直し!K6=""),"",IFERROR(INDEX(計算用!$M$2:$M$186,MATCH("女"&amp;手直し!K6,計算用!$AO$2:$AO$186,0)),"？"))</f>
        <v/>
      </c>
      <c r="AK4" s="28">
        <f>IF(OR($T4="",手直し!K6=""),"",IFERROR(INDEX(計算用!$I$2:$I$186,MATCH("女"&amp;手直し!K6,計算用!$AO$2:$AO$186,0)),"？"))</f>
        <v/>
      </c>
    </row>
    <row r="5">
      <c r="A5" s="28">
        <f>IF(ROW()-3&lt;=計算用!$Q$13,ROW()-3,"")</f>
        <v/>
      </c>
      <c r="B5" s="28">
        <f>IF($A5="","",手直し!M7)</f>
        <v/>
      </c>
      <c r="C5" s="28">
        <f>IF($A5="","",手直し!N7)</f>
        <v/>
      </c>
      <c r="D5">
        <f>IF($A5="","",手直し!B7&amp;"")</f>
        <v/>
      </c>
      <c r="E5" s="28">
        <f>IF(OR($A5="",手直し!B7=""),"",IFERROR(INDEX(計算用!$M$2:$M$186,MATCH("男"&amp;手直し!B7,計算用!$AO$2:$AO$186,0)),"？"))</f>
        <v/>
      </c>
      <c r="F5" s="28">
        <f>IF(OR($A5="",手直し!B7=""),"",IFERROR(INDEX(計算用!$I$2:$I$186,MATCH("男"&amp;手直し!B7,計算用!$AO$2:$AO$186,0)),"？"))</f>
        <v/>
      </c>
      <c r="G5">
        <f>IF($A5="","",手直し!C7&amp;"")</f>
        <v/>
      </c>
      <c r="H5" s="28">
        <f>IF(OR($A5="",手直し!C7=""),"",IFERROR(INDEX(計算用!$M$2:$M$186,MATCH("男"&amp;手直し!C7,計算用!$AO$2:$AO$186,0)),"？"))</f>
        <v/>
      </c>
      <c r="I5" s="28">
        <f>IF(OR($A5="",手直し!C7=""),"",IFERROR(INDEX(計算用!$I$2:$I$186,MATCH("男"&amp;手直し!C7,計算用!$AO$2:$AO$186,0)),"？"))</f>
        <v/>
      </c>
      <c r="J5">
        <f>IF($A5="","",手直し!D7&amp;"")</f>
        <v/>
      </c>
      <c r="K5" s="28">
        <f>IF(OR($A5="",手直し!D7=""),"",IFERROR(INDEX(計算用!$M$2:$M$186,MATCH("男"&amp;手直し!D7,計算用!$AO$2:$AO$186,0)),"？"))</f>
        <v/>
      </c>
      <c r="L5" s="28">
        <f>IF(OR($A5="",手直し!D7=""),"",IFERROR(INDEX(計算用!$I$2:$I$186,MATCH("男"&amp;手直し!D7,計算用!$AO$2:$AO$186,0)),"？"))</f>
        <v/>
      </c>
      <c r="M5">
        <f>IF($A5="","",手直し!E7&amp;"")</f>
        <v/>
      </c>
      <c r="N5" s="28">
        <f>IF(OR($A5="",手直し!E7=""),"",IFERROR(INDEX(計算用!$M$2:$M$186,MATCH("男"&amp;手直し!E7,計算用!$AO$2:$AO$186,0)),"？"))</f>
        <v/>
      </c>
      <c r="O5" s="28">
        <f>IF(OR($A5="",手直し!E7=""),"",IFERROR(INDEX(計算用!$I$2:$I$186,MATCH("男"&amp;手直し!E7,計算用!$AO$2:$AO$186,0)),"？"))</f>
        <v/>
      </c>
      <c r="P5">
        <f>IF($A5="","",手直し!F7&amp;"")</f>
        <v/>
      </c>
      <c r="Q5" s="28">
        <f>IF(OR($A5="",手直し!F7=""),"",IFERROR(INDEX(計算用!$M$2:$M$186,MATCH("男"&amp;手直し!F7,計算用!$AO$2:$AO$186,0)),"？"))</f>
        <v/>
      </c>
      <c r="R5" s="28">
        <f>IF(OR($A5="",手直し!F7=""),"",IFERROR(INDEX(計算用!$I$2:$I$186,MATCH("男"&amp;手直し!F7,計算用!$AO$2:$AO$186,0)),"？"))</f>
        <v/>
      </c>
      <c r="T5" s="28">
        <f>IF(ROW()-3&lt;=計算用!$Q$14,ROW()-3,"")</f>
        <v/>
      </c>
      <c r="U5" s="28">
        <f>IF($T5="","",手直し!O7)</f>
        <v/>
      </c>
      <c r="V5" s="28">
        <f>IF($T5="","",手直し!P7)</f>
        <v/>
      </c>
      <c r="W5">
        <f>IF($T5="","",手直し!G7&amp;"")</f>
        <v/>
      </c>
      <c r="X5" s="28">
        <f>IF(OR($T5="",手直し!G7=""),"",IFERROR(INDEX(計算用!$M$2:$M$186,MATCH("女"&amp;手直し!G7,計算用!$AO$2:$AO$186,0)),"？"))</f>
        <v/>
      </c>
      <c r="Y5" s="28">
        <f>IF(OR($T5="",手直し!G7=""),"",IFERROR(INDEX(計算用!$I$2:$I$186,MATCH("女"&amp;手直し!G7,計算用!$AO$2:$AO$186,0)),"？"))</f>
        <v/>
      </c>
      <c r="Z5">
        <f>IF($T5="","",手直し!H7&amp;"")</f>
        <v/>
      </c>
      <c r="AA5" s="28">
        <f>IF(OR($T5="",手直し!H7=""),"",IFERROR(INDEX(計算用!$M$2:$M$186,MATCH("女"&amp;手直し!H7,計算用!$AO$2:$AO$186,0)),"？"))</f>
        <v/>
      </c>
      <c r="AB5" s="28">
        <f>IF(OR($T5="",手直し!H7=""),"",IFERROR(INDEX(計算用!$I$2:$I$186,MATCH("女"&amp;手直し!H7,計算用!$AO$2:$AO$186,0)),"？"))</f>
        <v/>
      </c>
      <c r="AC5">
        <f>IF($T5="","",手直し!I7&amp;"")</f>
        <v/>
      </c>
      <c r="AD5" s="28">
        <f>IF(OR($T5="",手直し!I7=""),"",IFERROR(INDEX(計算用!$M$2:$M$186,MATCH("女"&amp;手直し!I7,計算用!$AO$2:$AO$186,0)),"？"))</f>
        <v/>
      </c>
      <c r="AE5" s="28">
        <f>IF(OR($T5="",手直し!I7=""),"",IFERROR(INDEX(計算用!$I$2:$I$186,MATCH("女"&amp;手直し!I7,計算用!$AO$2:$AO$186,0)),"？"))</f>
        <v/>
      </c>
      <c r="AF5">
        <f>IF($T5="","",手直し!J7&amp;"")</f>
        <v/>
      </c>
      <c r="AG5" s="28">
        <f>IF(OR($T5="",手直し!J7=""),"",IFERROR(INDEX(計算用!$M$2:$M$186,MATCH("女"&amp;手直し!J7,計算用!$AO$2:$AO$186,0)),"？"))</f>
        <v/>
      </c>
      <c r="AH5" s="28">
        <f>IF(OR($T5="",手直し!J7=""),"",IFERROR(INDEX(計算用!$I$2:$I$186,MATCH("女"&amp;手直し!J7,計算用!$AO$2:$AO$186,0)),"？"))</f>
        <v/>
      </c>
      <c r="AI5">
        <f>IF($T5="","",手直し!K7&amp;"")</f>
        <v/>
      </c>
      <c r="AJ5" s="28">
        <f>IF(OR($T5="",手直し!K7=""),"",IFERROR(INDEX(計算用!$M$2:$M$186,MATCH("女"&amp;手直し!K7,計算用!$AO$2:$AO$186,0)),"？"))</f>
        <v/>
      </c>
      <c r="AK5" s="28">
        <f>IF(OR($T5="",手直し!K7=""),"",IFERROR(INDEX(計算用!$I$2:$I$186,MATCH("女"&amp;手直し!K7,計算用!$AO$2:$AO$186,0)),"？"))</f>
        <v/>
      </c>
    </row>
    <row r="6">
      <c r="A6" s="28">
        <f>IF(ROW()-3&lt;=計算用!$Q$13,ROW()-3,"")</f>
        <v/>
      </c>
      <c r="B6" s="28">
        <f>IF($A6="","",手直し!M8)</f>
        <v/>
      </c>
      <c r="C6" s="28">
        <f>IF($A6="","",手直し!N8)</f>
        <v/>
      </c>
      <c r="D6">
        <f>IF($A6="","",手直し!B8&amp;"")</f>
        <v/>
      </c>
      <c r="E6" s="28">
        <f>IF(OR($A6="",手直し!B8=""),"",IFERROR(INDEX(計算用!$M$2:$M$186,MATCH("男"&amp;手直し!B8,計算用!$AO$2:$AO$186,0)),"？"))</f>
        <v/>
      </c>
      <c r="F6" s="28">
        <f>IF(OR($A6="",手直し!B8=""),"",IFERROR(INDEX(計算用!$I$2:$I$186,MATCH("男"&amp;手直し!B8,計算用!$AO$2:$AO$186,0)),"？"))</f>
        <v/>
      </c>
      <c r="G6">
        <f>IF($A6="","",手直し!C8&amp;"")</f>
        <v/>
      </c>
      <c r="H6" s="28">
        <f>IF(OR($A6="",手直し!C8=""),"",IFERROR(INDEX(計算用!$M$2:$M$186,MATCH("男"&amp;手直し!C8,計算用!$AO$2:$AO$186,0)),"？"))</f>
        <v/>
      </c>
      <c r="I6" s="28">
        <f>IF(OR($A6="",手直し!C8=""),"",IFERROR(INDEX(計算用!$I$2:$I$186,MATCH("男"&amp;手直し!C8,計算用!$AO$2:$AO$186,0)),"？"))</f>
        <v/>
      </c>
      <c r="J6">
        <f>IF($A6="","",手直し!D8&amp;"")</f>
        <v/>
      </c>
      <c r="K6" s="28">
        <f>IF(OR($A6="",手直し!D8=""),"",IFERROR(INDEX(計算用!$M$2:$M$186,MATCH("男"&amp;手直し!D8,計算用!$AO$2:$AO$186,0)),"？"))</f>
        <v/>
      </c>
      <c r="L6" s="28">
        <f>IF(OR($A6="",手直し!D8=""),"",IFERROR(INDEX(計算用!$I$2:$I$186,MATCH("男"&amp;手直し!D8,計算用!$AO$2:$AO$186,0)),"？"))</f>
        <v/>
      </c>
      <c r="M6">
        <f>IF($A6="","",手直し!E8&amp;"")</f>
        <v/>
      </c>
      <c r="N6" s="28">
        <f>IF(OR($A6="",手直し!E8=""),"",IFERROR(INDEX(計算用!$M$2:$M$186,MATCH("男"&amp;手直し!E8,計算用!$AO$2:$AO$186,0)),"？"))</f>
        <v/>
      </c>
      <c r="O6" s="28">
        <f>IF(OR($A6="",手直し!E8=""),"",IFERROR(INDEX(計算用!$I$2:$I$186,MATCH("男"&amp;手直し!E8,計算用!$AO$2:$AO$186,0)),"？"))</f>
        <v/>
      </c>
      <c r="P6">
        <f>IF($A6="","",手直し!F8&amp;"")</f>
        <v/>
      </c>
      <c r="Q6" s="28">
        <f>IF(OR($A6="",手直し!F8=""),"",IFERROR(INDEX(計算用!$M$2:$M$186,MATCH("男"&amp;手直し!F8,計算用!$AO$2:$AO$186,0)),"？"))</f>
        <v/>
      </c>
      <c r="R6" s="28">
        <f>IF(OR($A6="",手直し!F8=""),"",IFERROR(INDEX(計算用!$I$2:$I$186,MATCH("男"&amp;手直し!F8,計算用!$AO$2:$AO$186,0)),"？"))</f>
        <v/>
      </c>
      <c r="T6" s="28">
        <f>IF(ROW()-3&lt;=計算用!$Q$14,ROW()-3,"")</f>
        <v/>
      </c>
      <c r="U6" s="28">
        <f>IF($T6="","",手直し!O8)</f>
        <v/>
      </c>
      <c r="V6" s="28">
        <f>IF($T6="","",手直し!P8)</f>
        <v/>
      </c>
      <c r="W6">
        <f>IF($T6="","",手直し!G8&amp;"")</f>
        <v/>
      </c>
      <c r="X6" s="28">
        <f>IF(OR($T6="",手直し!G8=""),"",IFERROR(INDEX(計算用!$M$2:$M$186,MATCH("女"&amp;手直し!G8,計算用!$AO$2:$AO$186,0)),"？"))</f>
        <v/>
      </c>
      <c r="Y6" s="28">
        <f>IF(OR($T6="",手直し!G8=""),"",IFERROR(INDEX(計算用!$I$2:$I$186,MATCH("女"&amp;手直し!G8,計算用!$AO$2:$AO$186,0)),"？"))</f>
        <v/>
      </c>
      <c r="Z6">
        <f>IF($T6="","",手直し!H8&amp;"")</f>
        <v/>
      </c>
      <c r="AA6" s="28">
        <f>IF(OR($T6="",手直し!H8=""),"",IFERROR(INDEX(計算用!$M$2:$M$186,MATCH("女"&amp;手直し!H8,計算用!$AO$2:$AO$186,0)),"？"))</f>
        <v/>
      </c>
      <c r="AB6" s="28">
        <f>IF(OR($T6="",手直し!H8=""),"",IFERROR(INDEX(計算用!$I$2:$I$186,MATCH("女"&amp;手直し!H8,計算用!$AO$2:$AO$186,0)),"？"))</f>
        <v/>
      </c>
      <c r="AC6">
        <f>IF($T6="","",手直し!I8&amp;"")</f>
        <v/>
      </c>
      <c r="AD6" s="28">
        <f>IF(OR($T6="",手直し!I8=""),"",IFERROR(INDEX(計算用!$M$2:$M$186,MATCH("女"&amp;手直し!I8,計算用!$AO$2:$AO$186,0)),"？"))</f>
        <v/>
      </c>
      <c r="AE6" s="28">
        <f>IF(OR($T6="",手直し!I8=""),"",IFERROR(INDEX(計算用!$I$2:$I$186,MATCH("女"&amp;手直し!I8,計算用!$AO$2:$AO$186,0)),"？"))</f>
        <v/>
      </c>
      <c r="AF6">
        <f>IF($T6="","",手直し!J8&amp;"")</f>
        <v/>
      </c>
      <c r="AG6" s="28">
        <f>IF(OR($T6="",手直し!J8=""),"",IFERROR(INDEX(計算用!$M$2:$M$186,MATCH("女"&amp;手直し!J8,計算用!$AO$2:$AO$186,0)),"？"))</f>
        <v/>
      </c>
      <c r="AH6" s="28">
        <f>IF(OR($T6="",手直し!J8=""),"",IFERROR(INDEX(計算用!$I$2:$I$186,MATCH("女"&amp;手直し!J8,計算用!$AO$2:$AO$186,0)),"？"))</f>
        <v/>
      </c>
      <c r="AI6">
        <f>IF($T6="","",手直し!K8&amp;"")</f>
        <v/>
      </c>
      <c r="AJ6" s="28">
        <f>IF(OR($T6="",手直し!K8=""),"",IFERROR(INDEX(計算用!$M$2:$M$186,MATCH("女"&amp;手直し!K8,計算用!$AO$2:$AO$186,0)),"？"))</f>
        <v/>
      </c>
      <c r="AK6" s="28">
        <f>IF(OR($T6="",手直し!K8=""),"",IFERROR(INDEX(計算用!$I$2:$I$186,MATCH("女"&amp;手直し!K8,計算用!$AO$2:$AO$186,0)),"？"))</f>
        <v/>
      </c>
    </row>
    <row r="7">
      <c r="A7" s="28">
        <f>IF(ROW()-3&lt;=計算用!$Q$13,ROW()-3,"")</f>
        <v/>
      </c>
      <c r="B7" s="28">
        <f>IF($A7="","",手直し!M9)</f>
        <v/>
      </c>
      <c r="C7" s="28">
        <f>IF($A7="","",手直し!N9)</f>
        <v/>
      </c>
      <c r="D7">
        <f>IF($A7="","",手直し!B9&amp;"")</f>
        <v/>
      </c>
      <c r="E7" s="28">
        <f>IF(OR($A7="",手直し!B9=""),"",IFERROR(INDEX(計算用!$M$2:$M$186,MATCH("男"&amp;手直し!B9,計算用!$AO$2:$AO$186,0)),"？"))</f>
        <v/>
      </c>
      <c r="F7" s="28">
        <f>IF(OR($A7="",手直し!B9=""),"",IFERROR(INDEX(計算用!$I$2:$I$186,MATCH("男"&amp;手直し!B9,計算用!$AO$2:$AO$186,0)),"？"))</f>
        <v/>
      </c>
      <c r="G7">
        <f>IF($A7="","",手直し!C9&amp;"")</f>
        <v/>
      </c>
      <c r="H7" s="28">
        <f>IF(OR($A7="",手直し!C9=""),"",IFERROR(INDEX(計算用!$M$2:$M$186,MATCH("男"&amp;手直し!C9,計算用!$AO$2:$AO$186,0)),"？"))</f>
        <v/>
      </c>
      <c r="I7" s="28">
        <f>IF(OR($A7="",手直し!C9=""),"",IFERROR(INDEX(計算用!$I$2:$I$186,MATCH("男"&amp;手直し!C9,計算用!$AO$2:$AO$186,0)),"？"))</f>
        <v/>
      </c>
      <c r="J7">
        <f>IF($A7="","",手直し!D9&amp;"")</f>
        <v/>
      </c>
      <c r="K7" s="28">
        <f>IF(OR($A7="",手直し!D9=""),"",IFERROR(INDEX(計算用!$M$2:$M$186,MATCH("男"&amp;手直し!D9,計算用!$AO$2:$AO$186,0)),"？"))</f>
        <v/>
      </c>
      <c r="L7" s="28">
        <f>IF(OR($A7="",手直し!D9=""),"",IFERROR(INDEX(計算用!$I$2:$I$186,MATCH("男"&amp;手直し!D9,計算用!$AO$2:$AO$186,0)),"？"))</f>
        <v/>
      </c>
      <c r="M7">
        <f>IF($A7="","",手直し!E9&amp;"")</f>
        <v/>
      </c>
      <c r="N7" s="28">
        <f>IF(OR($A7="",手直し!E9=""),"",IFERROR(INDEX(計算用!$M$2:$M$186,MATCH("男"&amp;手直し!E9,計算用!$AO$2:$AO$186,0)),"？"))</f>
        <v/>
      </c>
      <c r="O7" s="28">
        <f>IF(OR($A7="",手直し!E9=""),"",IFERROR(INDEX(計算用!$I$2:$I$186,MATCH("男"&amp;手直し!E9,計算用!$AO$2:$AO$186,0)),"？"))</f>
        <v/>
      </c>
      <c r="P7">
        <f>IF($A7="","",手直し!F9&amp;"")</f>
        <v/>
      </c>
      <c r="Q7" s="28">
        <f>IF(OR($A7="",手直し!F9=""),"",IFERROR(INDEX(計算用!$M$2:$M$186,MATCH("男"&amp;手直し!F9,計算用!$AO$2:$AO$186,0)),"？"))</f>
        <v/>
      </c>
      <c r="R7" s="28">
        <f>IF(OR($A7="",手直し!F9=""),"",IFERROR(INDEX(計算用!$I$2:$I$186,MATCH("男"&amp;手直し!F9,計算用!$AO$2:$AO$186,0)),"？"))</f>
        <v/>
      </c>
      <c r="T7" s="28">
        <f>IF(ROW()-3&lt;=計算用!$Q$14,ROW()-3,"")</f>
        <v/>
      </c>
      <c r="U7" s="28">
        <f>IF($T7="","",手直し!O9)</f>
        <v/>
      </c>
      <c r="V7" s="28">
        <f>IF($T7="","",手直し!P9)</f>
        <v/>
      </c>
      <c r="W7">
        <f>IF($T7="","",手直し!G9&amp;"")</f>
        <v/>
      </c>
      <c r="X7" s="28">
        <f>IF(OR($T7="",手直し!G9=""),"",IFERROR(INDEX(計算用!$M$2:$M$186,MATCH("女"&amp;手直し!G9,計算用!$AO$2:$AO$186,0)),"？"))</f>
        <v/>
      </c>
      <c r="Y7" s="28">
        <f>IF(OR($T7="",手直し!G9=""),"",IFERROR(INDEX(計算用!$I$2:$I$186,MATCH("女"&amp;手直し!G9,計算用!$AO$2:$AO$186,0)),"？"))</f>
        <v/>
      </c>
      <c r="Z7">
        <f>IF($T7="","",手直し!H9&amp;"")</f>
        <v/>
      </c>
      <c r="AA7" s="28">
        <f>IF(OR($T7="",手直し!H9=""),"",IFERROR(INDEX(計算用!$M$2:$M$186,MATCH("女"&amp;手直し!H9,計算用!$AO$2:$AO$186,0)),"？"))</f>
        <v/>
      </c>
      <c r="AB7" s="28">
        <f>IF(OR($T7="",手直し!H9=""),"",IFERROR(INDEX(計算用!$I$2:$I$186,MATCH("女"&amp;手直し!H9,計算用!$AO$2:$AO$186,0)),"？"))</f>
        <v/>
      </c>
      <c r="AC7">
        <f>IF($T7="","",手直し!I9&amp;"")</f>
        <v/>
      </c>
      <c r="AD7" s="28">
        <f>IF(OR($T7="",手直し!I9=""),"",IFERROR(INDEX(計算用!$M$2:$M$186,MATCH("女"&amp;手直し!I9,計算用!$AO$2:$AO$186,0)),"？"))</f>
        <v/>
      </c>
      <c r="AE7" s="28">
        <f>IF(OR($T7="",手直し!I9=""),"",IFERROR(INDEX(計算用!$I$2:$I$186,MATCH("女"&amp;手直し!I9,計算用!$AO$2:$AO$186,0)),"？"))</f>
        <v/>
      </c>
      <c r="AF7">
        <f>IF($T7="","",手直し!J9&amp;"")</f>
        <v/>
      </c>
      <c r="AG7" s="28">
        <f>IF(OR($T7="",手直し!J9=""),"",IFERROR(INDEX(計算用!$M$2:$M$186,MATCH("女"&amp;手直し!J9,計算用!$AO$2:$AO$186,0)),"？"))</f>
        <v/>
      </c>
      <c r="AH7" s="28">
        <f>IF(OR($T7="",手直し!J9=""),"",IFERROR(INDEX(計算用!$I$2:$I$186,MATCH("女"&amp;手直し!J9,計算用!$AO$2:$AO$186,0)),"？"))</f>
        <v/>
      </c>
      <c r="AI7">
        <f>IF($T7="","",手直し!K9&amp;"")</f>
        <v/>
      </c>
      <c r="AJ7" s="28">
        <f>IF(OR($T7="",手直し!K9=""),"",IFERROR(INDEX(計算用!$M$2:$M$186,MATCH("女"&amp;手直し!K9,計算用!$AO$2:$AO$186,0)),"？"))</f>
        <v/>
      </c>
      <c r="AK7" s="28">
        <f>IF(OR($T7="",手直し!K9=""),"",IFERROR(INDEX(計算用!$I$2:$I$186,MATCH("女"&amp;手直し!K9,計算用!$AO$2:$AO$186,0)),"？"))</f>
        <v/>
      </c>
    </row>
    <row r="8">
      <c r="A8" s="28">
        <f>IF(ROW()-3&lt;=計算用!$Q$13,ROW()-3,"")</f>
        <v/>
      </c>
      <c r="B8" s="28">
        <f>IF($A8="","",手直し!M10)</f>
        <v/>
      </c>
      <c r="C8" s="28">
        <f>IF($A8="","",手直し!N10)</f>
        <v/>
      </c>
      <c r="D8">
        <f>IF($A8="","",手直し!B10&amp;"")</f>
        <v/>
      </c>
      <c r="E8" s="28">
        <f>IF(OR($A8="",手直し!B10=""),"",IFERROR(INDEX(計算用!$M$2:$M$186,MATCH("男"&amp;手直し!B10,計算用!$AO$2:$AO$186,0)),"？"))</f>
        <v/>
      </c>
      <c r="F8" s="28">
        <f>IF(OR($A8="",手直し!B10=""),"",IFERROR(INDEX(計算用!$I$2:$I$186,MATCH("男"&amp;手直し!B10,計算用!$AO$2:$AO$186,0)),"？"))</f>
        <v/>
      </c>
      <c r="G8">
        <f>IF($A8="","",手直し!C10&amp;"")</f>
        <v/>
      </c>
      <c r="H8" s="28">
        <f>IF(OR($A8="",手直し!C10=""),"",IFERROR(INDEX(計算用!$M$2:$M$186,MATCH("男"&amp;手直し!C10,計算用!$AO$2:$AO$186,0)),"？"))</f>
        <v/>
      </c>
      <c r="I8" s="28">
        <f>IF(OR($A8="",手直し!C10=""),"",IFERROR(INDEX(計算用!$I$2:$I$186,MATCH("男"&amp;手直し!C10,計算用!$AO$2:$AO$186,0)),"？"))</f>
        <v/>
      </c>
      <c r="J8">
        <f>IF($A8="","",手直し!D10&amp;"")</f>
        <v/>
      </c>
      <c r="K8" s="28">
        <f>IF(OR($A8="",手直し!D10=""),"",IFERROR(INDEX(計算用!$M$2:$M$186,MATCH("男"&amp;手直し!D10,計算用!$AO$2:$AO$186,0)),"？"))</f>
        <v/>
      </c>
      <c r="L8" s="28">
        <f>IF(OR($A8="",手直し!D10=""),"",IFERROR(INDEX(計算用!$I$2:$I$186,MATCH("男"&amp;手直し!D10,計算用!$AO$2:$AO$186,0)),"？"))</f>
        <v/>
      </c>
      <c r="M8">
        <f>IF($A8="","",手直し!E10&amp;"")</f>
        <v/>
      </c>
      <c r="N8" s="28">
        <f>IF(OR($A8="",手直し!E10=""),"",IFERROR(INDEX(計算用!$M$2:$M$186,MATCH("男"&amp;手直し!E10,計算用!$AO$2:$AO$186,0)),"？"))</f>
        <v/>
      </c>
      <c r="O8" s="28">
        <f>IF(OR($A8="",手直し!E10=""),"",IFERROR(INDEX(計算用!$I$2:$I$186,MATCH("男"&amp;手直し!E10,計算用!$AO$2:$AO$186,0)),"？"))</f>
        <v/>
      </c>
      <c r="P8">
        <f>IF($A8="","",手直し!F10&amp;"")</f>
        <v/>
      </c>
      <c r="Q8" s="28">
        <f>IF(OR($A8="",手直し!F10=""),"",IFERROR(INDEX(計算用!$M$2:$M$186,MATCH("男"&amp;手直し!F10,計算用!$AO$2:$AO$186,0)),"？"))</f>
        <v/>
      </c>
      <c r="R8" s="28">
        <f>IF(OR($A8="",手直し!F10=""),"",IFERROR(INDEX(計算用!$I$2:$I$186,MATCH("男"&amp;手直し!F10,計算用!$AO$2:$AO$186,0)),"？"))</f>
        <v/>
      </c>
      <c r="T8" s="28">
        <f>IF(ROW()-3&lt;=計算用!$Q$14,ROW()-3,"")</f>
        <v/>
      </c>
      <c r="U8" s="28">
        <f>IF($T8="","",手直し!O10)</f>
        <v/>
      </c>
      <c r="V8" s="28">
        <f>IF($T8="","",手直し!P10)</f>
        <v/>
      </c>
      <c r="W8">
        <f>IF($T8="","",手直し!G10&amp;"")</f>
        <v/>
      </c>
      <c r="X8" s="28">
        <f>IF(OR($T8="",手直し!G10=""),"",IFERROR(INDEX(計算用!$M$2:$M$186,MATCH("女"&amp;手直し!G10,計算用!$AO$2:$AO$186,0)),"？"))</f>
        <v/>
      </c>
      <c r="Y8" s="28">
        <f>IF(OR($T8="",手直し!G10=""),"",IFERROR(INDEX(計算用!$I$2:$I$186,MATCH("女"&amp;手直し!G10,計算用!$AO$2:$AO$186,0)),"？"))</f>
        <v/>
      </c>
      <c r="Z8">
        <f>IF($T8="","",手直し!H10&amp;"")</f>
        <v/>
      </c>
      <c r="AA8" s="28">
        <f>IF(OR($T8="",手直し!H10=""),"",IFERROR(INDEX(計算用!$M$2:$M$186,MATCH("女"&amp;手直し!H10,計算用!$AO$2:$AO$186,0)),"？"))</f>
        <v/>
      </c>
      <c r="AB8" s="28">
        <f>IF(OR($T8="",手直し!H10=""),"",IFERROR(INDEX(計算用!$I$2:$I$186,MATCH("女"&amp;手直し!H10,計算用!$AO$2:$AO$186,0)),"？"))</f>
        <v/>
      </c>
      <c r="AC8">
        <f>IF($T8="","",手直し!I10&amp;"")</f>
        <v/>
      </c>
      <c r="AD8" s="28">
        <f>IF(OR($T8="",手直し!I10=""),"",IFERROR(INDEX(計算用!$M$2:$M$186,MATCH("女"&amp;手直し!I10,計算用!$AO$2:$AO$186,0)),"？"))</f>
        <v/>
      </c>
      <c r="AE8" s="28">
        <f>IF(OR($T8="",手直し!I10=""),"",IFERROR(INDEX(計算用!$I$2:$I$186,MATCH("女"&amp;手直し!I10,計算用!$AO$2:$AO$186,0)),"？"))</f>
        <v/>
      </c>
      <c r="AF8">
        <f>IF($T8="","",手直し!J10&amp;"")</f>
        <v/>
      </c>
      <c r="AG8" s="28">
        <f>IF(OR($T8="",手直し!J10=""),"",IFERROR(INDEX(計算用!$M$2:$M$186,MATCH("女"&amp;手直し!J10,計算用!$AO$2:$AO$186,0)),"？"))</f>
        <v/>
      </c>
      <c r="AH8" s="28">
        <f>IF(OR($T8="",手直し!J10=""),"",IFERROR(INDEX(計算用!$I$2:$I$186,MATCH("女"&amp;手直し!J10,計算用!$AO$2:$AO$186,0)),"？"))</f>
        <v/>
      </c>
      <c r="AI8">
        <f>IF($T8="","",手直し!K10&amp;"")</f>
        <v/>
      </c>
      <c r="AJ8" s="28">
        <f>IF(OR($T8="",手直し!K10=""),"",IFERROR(INDEX(計算用!$M$2:$M$186,MATCH("女"&amp;手直し!K10,計算用!$AO$2:$AO$186,0)),"？"))</f>
        <v/>
      </c>
      <c r="AK8" s="28">
        <f>IF(OR($T8="",手直し!K10=""),"",IFERROR(INDEX(計算用!$I$2:$I$186,MATCH("女"&amp;手直し!K10,計算用!$AO$2:$AO$186,0)),"？"))</f>
        <v/>
      </c>
    </row>
    <row r="9">
      <c r="A9" s="28">
        <f>IF(ROW()-3&lt;=計算用!$Q$13,ROW()-3,"")</f>
        <v/>
      </c>
      <c r="B9" s="28">
        <f>IF($A9="","",手直し!M11)</f>
        <v/>
      </c>
      <c r="C9" s="28">
        <f>IF($A9="","",手直し!N11)</f>
        <v/>
      </c>
      <c r="D9">
        <f>IF($A9="","",手直し!B11&amp;"")</f>
        <v/>
      </c>
      <c r="E9" s="28">
        <f>IF(OR($A9="",手直し!B11=""),"",IFERROR(INDEX(計算用!$M$2:$M$186,MATCH("男"&amp;手直し!B11,計算用!$AO$2:$AO$186,0)),"？"))</f>
        <v/>
      </c>
      <c r="F9" s="28">
        <f>IF(OR($A9="",手直し!B11=""),"",IFERROR(INDEX(計算用!$I$2:$I$186,MATCH("男"&amp;手直し!B11,計算用!$AO$2:$AO$186,0)),"？"))</f>
        <v/>
      </c>
      <c r="G9">
        <f>IF($A9="","",手直し!C11&amp;"")</f>
        <v/>
      </c>
      <c r="H9" s="28">
        <f>IF(OR($A9="",手直し!C11=""),"",IFERROR(INDEX(計算用!$M$2:$M$186,MATCH("男"&amp;手直し!C11,計算用!$AO$2:$AO$186,0)),"？"))</f>
        <v/>
      </c>
      <c r="I9" s="28">
        <f>IF(OR($A9="",手直し!C11=""),"",IFERROR(INDEX(計算用!$I$2:$I$186,MATCH("男"&amp;手直し!C11,計算用!$AO$2:$AO$186,0)),"？"))</f>
        <v/>
      </c>
      <c r="J9">
        <f>IF($A9="","",手直し!D11&amp;"")</f>
        <v/>
      </c>
      <c r="K9" s="28">
        <f>IF(OR($A9="",手直し!D11=""),"",IFERROR(INDEX(計算用!$M$2:$M$186,MATCH("男"&amp;手直し!D11,計算用!$AO$2:$AO$186,0)),"？"))</f>
        <v/>
      </c>
      <c r="L9" s="28">
        <f>IF(OR($A9="",手直し!D11=""),"",IFERROR(INDEX(計算用!$I$2:$I$186,MATCH("男"&amp;手直し!D11,計算用!$AO$2:$AO$186,0)),"？"))</f>
        <v/>
      </c>
      <c r="M9">
        <f>IF($A9="","",手直し!E11&amp;"")</f>
        <v/>
      </c>
      <c r="N9" s="28">
        <f>IF(OR($A9="",手直し!E11=""),"",IFERROR(INDEX(計算用!$M$2:$M$186,MATCH("男"&amp;手直し!E11,計算用!$AO$2:$AO$186,0)),"？"))</f>
        <v/>
      </c>
      <c r="O9" s="28">
        <f>IF(OR($A9="",手直し!E11=""),"",IFERROR(INDEX(計算用!$I$2:$I$186,MATCH("男"&amp;手直し!E11,計算用!$AO$2:$AO$186,0)),"？"))</f>
        <v/>
      </c>
      <c r="P9">
        <f>IF($A9="","",手直し!F11&amp;"")</f>
        <v/>
      </c>
      <c r="Q9" s="28">
        <f>IF(OR($A9="",手直し!F11=""),"",IFERROR(INDEX(計算用!$M$2:$M$186,MATCH("男"&amp;手直し!F11,計算用!$AO$2:$AO$186,0)),"？"))</f>
        <v/>
      </c>
      <c r="R9" s="28">
        <f>IF(OR($A9="",手直し!F11=""),"",IFERROR(INDEX(計算用!$I$2:$I$186,MATCH("男"&amp;手直し!F11,計算用!$AO$2:$AO$186,0)),"？"))</f>
        <v/>
      </c>
      <c r="T9" s="28">
        <f>IF(ROW()-3&lt;=計算用!$Q$14,ROW()-3,"")</f>
        <v/>
      </c>
      <c r="U9" s="28">
        <f>IF($T9="","",手直し!O11)</f>
        <v/>
      </c>
      <c r="V9" s="28">
        <f>IF($T9="","",手直し!P11)</f>
        <v/>
      </c>
      <c r="W9">
        <f>IF($T9="","",手直し!G11&amp;"")</f>
        <v/>
      </c>
      <c r="X9" s="28">
        <f>IF(OR($T9="",手直し!G11=""),"",IFERROR(INDEX(計算用!$M$2:$M$186,MATCH("女"&amp;手直し!G11,計算用!$AO$2:$AO$186,0)),"？"))</f>
        <v/>
      </c>
      <c r="Y9" s="28">
        <f>IF(OR($T9="",手直し!G11=""),"",IFERROR(INDEX(計算用!$I$2:$I$186,MATCH("女"&amp;手直し!G11,計算用!$AO$2:$AO$186,0)),"？"))</f>
        <v/>
      </c>
      <c r="Z9">
        <f>IF($T9="","",手直し!H11&amp;"")</f>
        <v/>
      </c>
      <c r="AA9" s="28">
        <f>IF(OR($T9="",手直し!H11=""),"",IFERROR(INDEX(計算用!$M$2:$M$186,MATCH("女"&amp;手直し!H11,計算用!$AO$2:$AO$186,0)),"？"))</f>
        <v/>
      </c>
      <c r="AB9" s="28">
        <f>IF(OR($T9="",手直し!H11=""),"",IFERROR(INDEX(計算用!$I$2:$I$186,MATCH("女"&amp;手直し!H11,計算用!$AO$2:$AO$186,0)),"？"))</f>
        <v/>
      </c>
      <c r="AC9">
        <f>IF($T9="","",手直し!I11&amp;"")</f>
        <v/>
      </c>
      <c r="AD9" s="28">
        <f>IF(OR($T9="",手直し!I11=""),"",IFERROR(INDEX(計算用!$M$2:$M$186,MATCH("女"&amp;手直し!I11,計算用!$AO$2:$AO$186,0)),"？"))</f>
        <v/>
      </c>
      <c r="AE9" s="28">
        <f>IF(OR($T9="",手直し!I11=""),"",IFERROR(INDEX(計算用!$I$2:$I$186,MATCH("女"&amp;手直し!I11,計算用!$AO$2:$AO$186,0)),"？"))</f>
        <v/>
      </c>
      <c r="AF9">
        <f>IF($T9="","",手直し!J11&amp;"")</f>
        <v/>
      </c>
      <c r="AG9" s="28">
        <f>IF(OR($T9="",手直し!J11=""),"",IFERROR(INDEX(計算用!$M$2:$M$186,MATCH("女"&amp;手直し!J11,計算用!$AO$2:$AO$186,0)),"？"))</f>
        <v/>
      </c>
      <c r="AH9" s="28">
        <f>IF(OR($T9="",手直し!J11=""),"",IFERROR(INDEX(計算用!$I$2:$I$186,MATCH("女"&amp;手直し!J11,計算用!$AO$2:$AO$186,0)),"？"))</f>
        <v/>
      </c>
      <c r="AI9">
        <f>IF($T9="","",手直し!K11&amp;"")</f>
        <v/>
      </c>
      <c r="AJ9" s="28">
        <f>IF(OR($T9="",手直し!K11=""),"",IFERROR(INDEX(計算用!$M$2:$M$186,MATCH("女"&amp;手直し!K11,計算用!$AO$2:$AO$186,0)),"？"))</f>
        <v/>
      </c>
      <c r="AK9" s="28">
        <f>IF(OR($T9="",手直し!K11=""),"",IFERROR(INDEX(計算用!$I$2:$I$186,MATCH("女"&amp;手直し!K11,計算用!$AO$2:$AO$186,0)),"？"))</f>
        <v/>
      </c>
    </row>
    <row r="10">
      <c r="A10" s="28">
        <f>IF(ROW()-3&lt;=計算用!$Q$13,ROW()-3,"")</f>
        <v/>
      </c>
      <c r="B10" s="28">
        <f>IF($A10="","",手直し!M12)</f>
        <v/>
      </c>
      <c r="C10" s="28">
        <f>IF($A10="","",手直し!N12)</f>
        <v/>
      </c>
      <c r="D10">
        <f>IF($A10="","",手直し!B12&amp;"")</f>
        <v/>
      </c>
      <c r="E10" s="28">
        <f>IF(OR($A10="",手直し!B12=""),"",IFERROR(INDEX(計算用!$M$2:$M$186,MATCH("男"&amp;手直し!B12,計算用!$AO$2:$AO$186,0)),"？"))</f>
        <v/>
      </c>
      <c r="F10" s="28">
        <f>IF(OR($A10="",手直し!B12=""),"",IFERROR(INDEX(計算用!$I$2:$I$186,MATCH("男"&amp;手直し!B12,計算用!$AO$2:$AO$186,0)),"？"))</f>
        <v/>
      </c>
      <c r="G10">
        <f>IF($A10="","",手直し!C12&amp;"")</f>
        <v/>
      </c>
      <c r="H10" s="28">
        <f>IF(OR($A10="",手直し!C12=""),"",IFERROR(INDEX(計算用!$M$2:$M$186,MATCH("男"&amp;手直し!C12,計算用!$AO$2:$AO$186,0)),"？"))</f>
        <v/>
      </c>
      <c r="I10" s="28">
        <f>IF(OR($A10="",手直し!C12=""),"",IFERROR(INDEX(計算用!$I$2:$I$186,MATCH("男"&amp;手直し!C12,計算用!$AO$2:$AO$186,0)),"？"))</f>
        <v/>
      </c>
      <c r="J10">
        <f>IF($A10="","",手直し!D12&amp;"")</f>
        <v/>
      </c>
      <c r="K10" s="28">
        <f>IF(OR($A10="",手直し!D12=""),"",IFERROR(INDEX(計算用!$M$2:$M$186,MATCH("男"&amp;手直し!D12,計算用!$AO$2:$AO$186,0)),"？"))</f>
        <v/>
      </c>
      <c r="L10" s="28">
        <f>IF(OR($A10="",手直し!D12=""),"",IFERROR(INDEX(計算用!$I$2:$I$186,MATCH("男"&amp;手直し!D12,計算用!$AO$2:$AO$186,0)),"？"))</f>
        <v/>
      </c>
      <c r="M10">
        <f>IF($A10="","",手直し!E12&amp;"")</f>
        <v/>
      </c>
      <c r="N10" s="28">
        <f>IF(OR($A10="",手直し!E12=""),"",IFERROR(INDEX(計算用!$M$2:$M$186,MATCH("男"&amp;手直し!E12,計算用!$AO$2:$AO$186,0)),"？"))</f>
        <v/>
      </c>
      <c r="O10" s="28">
        <f>IF(OR($A10="",手直し!E12=""),"",IFERROR(INDEX(計算用!$I$2:$I$186,MATCH("男"&amp;手直し!E12,計算用!$AO$2:$AO$186,0)),"？"))</f>
        <v/>
      </c>
      <c r="P10">
        <f>IF($A10="","",手直し!F12&amp;"")</f>
        <v/>
      </c>
      <c r="Q10" s="28">
        <f>IF(OR($A10="",手直し!F12=""),"",IFERROR(INDEX(計算用!$M$2:$M$186,MATCH("男"&amp;手直し!F12,計算用!$AO$2:$AO$186,0)),"？"))</f>
        <v/>
      </c>
      <c r="R10" s="28">
        <f>IF(OR($A10="",手直し!F12=""),"",IFERROR(INDEX(計算用!$I$2:$I$186,MATCH("男"&amp;手直し!F12,計算用!$AO$2:$AO$186,0)),"？"))</f>
        <v/>
      </c>
      <c r="T10" s="28">
        <f>IF(ROW()-3&lt;=計算用!$Q$14,ROW()-3,"")</f>
        <v/>
      </c>
      <c r="U10" s="28">
        <f>IF($T10="","",手直し!O12)</f>
        <v/>
      </c>
      <c r="V10" s="28">
        <f>IF($T10="","",手直し!P12)</f>
        <v/>
      </c>
      <c r="W10">
        <f>IF($T10="","",手直し!G12&amp;"")</f>
        <v/>
      </c>
      <c r="X10" s="28">
        <f>IF(OR($T10="",手直し!G12=""),"",IFERROR(INDEX(計算用!$M$2:$M$186,MATCH("女"&amp;手直し!G12,計算用!$AO$2:$AO$186,0)),"？"))</f>
        <v/>
      </c>
      <c r="Y10" s="28">
        <f>IF(OR($T10="",手直し!G12=""),"",IFERROR(INDEX(計算用!$I$2:$I$186,MATCH("女"&amp;手直し!G12,計算用!$AO$2:$AO$186,0)),"？"))</f>
        <v/>
      </c>
      <c r="Z10">
        <f>IF($T10="","",手直し!H12&amp;"")</f>
        <v/>
      </c>
      <c r="AA10" s="28">
        <f>IF(OR($T10="",手直し!H12=""),"",IFERROR(INDEX(計算用!$M$2:$M$186,MATCH("女"&amp;手直し!H12,計算用!$AO$2:$AO$186,0)),"？"))</f>
        <v/>
      </c>
      <c r="AB10" s="28">
        <f>IF(OR($T10="",手直し!H12=""),"",IFERROR(INDEX(計算用!$I$2:$I$186,MATCH("女"&amp;手直し!H12,計算用!$AO$2:$AO$186,0)),"？"))</f>
        <v/>
      </c>
      <c r="AC10">
        <f>IF($T10="","",手直し!I12&amp;"")</f>
        <v/>
      </c>
      <c r="AD10" s="28">
        <f>IF(OR($T10="",手直し!I12=""),"",IFERROR(INDEX(計算用!$M$2:$M$186,MATCH("女"&amp;手直し!I12,計算用!$AO$2:$AO$186,0)),"？"))</f>
        <v/>
      </c>
      <c r="AE10" s="28">
        <f>IF(OR($T10="",手直し!I12=""),"",IFERROR(INDEX(計算用!$I$2:$I$186,MATCH("女"&amp;手直し!I12,計算用!$AO$2:$AO$186,0)),"？"))</f>
        <v/>
      </c>
      <c r="AF10">
        <f>IF($T10="","",手直し!J12&amp;"")</f>
        <v/>
      </c>
      <c r="AG10" s="28">
        <f>IF(OR($T10="",手直し!J12=""),"",IFERROR(INDEX(計算用!$M$2:$M$186,MATCH("女"&amp;手直し!J12,計算用!$AO$2:$AO$186,0)),"？"))</f>
        <v/>
      </c>
      <c r="AH10" s="28">
        <f>IF(OR($T10="",手直し!J12=""),"",IFERROR(INDEX(計算用!$I$2:$I$186,MATCH("女"&amp;手直し!J12,計算用!$AO$2:$AO$186,0)),"？"))</f>
        <v/>
      </c>
      <c r="AI10">
        <f>IF($T10="","",手直し!K12&amp;"")</f>
        <v/>
      </c>
      <c r="AJ10" s="28">
        <f>IF(OR($T10="",手直し!K12=""),"",IFERROR(INDEX(計算用!$M$2:$M$186,MATCH("女"&amp;手直し!K12,計算用!$AO$2:$AO$186,0)),"？"))</f>
        <v/>
      </c>
      <c r="AK10" s="28">
        <f>IF(OR($T10="",手直し!K12=""),"",IFERROR(INDEX(計算用!$I$2:$I$186,MATCH("女"&amp;手直し!K12,計算用!$AO$2:$AO$186,0)),"？"))</f>
        <v/>
      </c>
    </row>
    <row r="11">
      <c r="A11" s="28">
        <f>IF(ROW()-3&lt;=計算用!$Q$13,ROW()-3,"")</f>
        <v/>
      </c>
      <c r="B11" s="28">
        <f>IF($A11="","",手直し!M13)</f>
        <v/>
      </c>
      <c r="C11" s="28">
        <f>IF($A11="","",手直し!N13)</f>
        <v/>
      </c>
      <c r="D11">
        <f>IF($A11="","",手直し!B13&amp;"")</f>
        <v/>
      </c>
      <c r="E11" s="28">
        <f>IF(OR($A11="",手直し!B13=""),"",IFERROR(INDEX(計算用!$M$2:$M$186,MATCH("男"&amp;手直し!B13,計算用!$AO$2:$AO$186,0)),"？"))</f>
        <v/>
      </c>
      <c r="F11" s="28">
        <f>IF(OR($A11="",手直し!B13=""),"",IFERROR(INDEX(計算用!$I$2:$I$186,MATCH("男"&amp;手直し!B13,計算用!$AO$2:$AO$186,0)),"？"))</f>
        <v/>
      </c>
      <c r="G11">
        <f>IF($A11="","",手直し!C13&amp;"")</f>
        <v/>
      </c>
      <c r="H11" s="28">
        <f>IF(OR($A11="",手直し!C13=""),"",IFERROR(INDEX(計算用!$M$2:$M$186,MATCH("男"&amp;手直し!C13,計算用!$AO$2:$AO$186,0)),"？"))</f>
        <v/>
      </c>
      <c r="I11" s="28">
        <f>IF(OR($A11="",手直し!C13=""),"",IFERROR(INDEX(計算用!$I$2:$I$186,MATCH("男"&amp;手直し!C13,計算用!$AO$2:$AO$186,0)),"？"))</f>
        <v/>
      </c>
      <c r="J11">
        <f>IF($A11="","",手直し!D13&amp;"")</f>
        <v/>
      </c>
      <c r="K11" s="28">
        <f>IF(OR($A11="",手直し!D13=""),"",IFERROR(INDEX(計算用!$M$2:$M$186,MATCH("男"&amp;手直し!D13,計算用!$AO$2:$AO$186,0)),"？"))</f>
        <v/>
      </c>
      <c r="L11" s="28">
        <f>IF(OR($A11="",手直し!D13=""),"",IFERROR(INDEX(計算用!$I$2:$I$186,MATCH("男"&amp;手直し!D13,計算用!$AO$2:$AO$186,0)),"？"))</f>
        <v/>
      </c>
      <c r="M11">
        <f>IF($A11="","",手直し!E13&amp;"")</f>
        <v/>
      </c>
      <c r="N11" s="28">
        <f>IF(OR($A11="",手直し!E13=""),"",IFERROR(INDEX(計算用!$M$2:$M$186,MATCH("男"&amp;手直し!E13,計算用!$AO$2:$AO$186,0)),"？"))</f>
        <v/>
      </c>
      <c r="O11" s="28">
        <f>IF(OR($A11="",手直し!E13=""),"",IFERROR(INDEX(計算用!$I$2:$I$186,MATCH("男"&amp;手直し!E13,計算用!$AO$2:$AO$186,0)),"？"))</f>
        <v/>
      </c>
      <c r="P11">
        <f>IF($A11="","",手直し!F13&amp;"")</f>
        <v/>
      </c>
      <c r="Q11" s="28">
        <f>IF(OR($A11="",手直し!F13=""),"",IFERROR(INDEX(計算用!$M$2:$M$186,MATCH("男"&amp;手直し!F13,計算用!$AO$2:$AO$186,0)),"？"))</f>
        <v/>
      </c>
      <c r="R11" s="28">
        <f>IF(OR($A11="",手直し!F13=""),"",IFERROR(INDEX(計算用!$I$2:$I$186,MATCH("男"&amp;手直し!F13,計算用!$AO$2:$AO$186,0)),"？"))</f>
        <v/>
      </c>
      <c r="T11" s="28">
        <f>IF(ROW()-3&lt;=計算用!$Q$14,ROW()-3,"")</f>
        <v/>
      </c>
      <c r="U11" s="28">
        <f>IF($T11="","",手直し!O13)</f>
        <v/>
      </c>
      <c r="V11" s="28">
        <f>IF($T11="","",手直し!P13)</f>
        <v/>
      </c>
      <c r="W11">
        <f>IF($T11="","",手直し!G13&amp;"")</f>
        <v/>
      </c>
      <c r="X11" s="28">
        <f>IF(OR($T11="",手直し!G13=""),"",IFERROR(INDEX(計算用!$M$2:$M$186,MATCH("女"&amp;手直し!G13,計算用!$AO$2:$AO$186,0)),"？"))</f>
        <v/>
      </c>
      <c r="Y11" s="28">
        <f>IF(OR($T11="",手直し!G13=""),"",IFERROR(INDEX(計算用!$I$2:$I$186,MATCH("女"&amp;手直し!G13,計算用!$AO$2:$AO$186,0)),"？"))</f>
        <v/>
      </c>
      <c r="Z11">
        <f>IF($T11="","",手直し!H13&amp;"")</f>
        <v/>
      </c>
      <c r="AA11" s="28">
        <f>IF(OR($T11="",手直し!H13=""),"",IFERROR(INDEX(計算用!$M$2:$M$186,MATCH("女"&amp;手直し!H13,計算用!$AO$2:$AO$186,0)),"？"))</f>
        <v/>
      </c>
      <c r="AB11" s="28">
        <f>IF(OR($T11="",手直し!H13=""),"",IFERROR(INDEX(計算用!$I$2:$I$186,MATCH("女"&amp;手直し!H13,計算用!$AO$2:$AO$186,0)),"？"))</f>
        <v/>
      </c>
      <c r="AC11">
        <f>IF($T11="","",手直し!I13&amp;"")</f>
        <v/>
      </c>
      <c r="AD11" s="28">
        <f>IF(OR($T11="",手直し!I13=""),"",IFERROR(INDEX(計算用!$M$2:$M$186,MATCH("女"&amp;手直し!I13,計算用!$AO$2:$AO$186,0)),"？"))</f>
        <v/>
      </c>
      <c r="AE11" s="28">
        <f>IF(OR($T11="",手直し!I13=""),"",IFERROR(INDEX(計算用!$I$2:$I$186,MATCH("女"&amp;手直し!I13,計算用!$AO$2:$AO$186,0)),"？"))</f>
        <v/>
      </c>
      <c r="AF11">
        <f>IF($T11="","",手直し!J13&amp;"")</f>
        <v/>
      </c>
      <c r="AG11" s="28">
        <f>IF(OR($T11="",手直し!J13=""),"",IFERROR(INDEX(計算用!$M$2:$M$186,MATCH("女"&amp;手直し!J13,計算用!$AO$2:$AO$186,0)),"？"))</f>
        <v/>
      </c>
      <c r="AH11" s="28">
        <f>IF(OR($T11="",手直し!J13=""),"",IFERROR(INDEX(計算用!$I$2:$I$186,MATCH("女"&amp;手直し!J13,計算用!$AO$2:$AO$186,0)),"？"))</f>
        <v/>
      </c>
      <c r="AI11">
        <f>IF($T11="","",手直し!K13&amp;"")</f>
        <v/>
      </c>
      <c r="AJ11" s="28">
        <f>IF(OR($T11="",手直し!K13=""),"",IFERROR(INDEX(計算用!$M$2:$M$186,MATCH("女"&amp;手直し!K13,計算用!$AO$2:$AO$186,0)),"？"))</f>
        <v/>
      </c>
      <c r="AK11" s="28">
        <f>IF(OR($T11="",手直し!K13=""),"",IFERROR(INDEX(計算用!$I$2:$I$186,MATCH("女"&amp;手直し!K13,計算用!$AO$2:$AO$186,0)),"？"))</f>
        <v/>
      </c>
    </row>
    <row r="12">
      <c r="A12" s="28">
        <f>IF(ROW()-3&lt;=計算用!$Q$13,ROW()-3,"")</f>
        <v/>
      </c>
      <c r="B12" s="28">
        <f>IF($A12="","",手直し!M14)</f>
        <v/>
      </c>
      <c r="C12" s="28">
        <f>IF($A12="","",手直し!N14)</f>
        <v/>
      </c>
      <c r="D12">
        <f>IF($A12="","",手直し!B14&amp;"")</f>
        <v/>
      </c>
      <c r="E12" s="28">
        <f>IF(OR($A12="",手直し!B14=""),"",IFERROR(INDEX(計算用!$M$2:$M$186,MATCH("男"&amp;手直し!B14,計算用!$AO$2:$AO$186,0)),"？"))</f>
        <v/>
      </c>
      <c r="F12" s="28">
        <f>IF(OR($A12="",手直し!B14=""),"",IFERROR(INDEX(計算用!$I$2:$I$186,MATCH("男"&amp;手直し!B14,計算用!$AO$2:$AO$186,0)),"？"))</f>
        <v/>
      </c>
      <c r="G12">
        <f>IF($A12="","",手直し!C14&amp;"")</f>
        <v/>
      </c>
      <c r="H12" s="28">
        <f>IF(OR($A12="",手直し!C14=""),"",IFERROR(INDEX(計算用!$M$2:$M$186,MATCH("男"&amp;手直し!C14,計算用!$AO$2:$AO$186,0)),"？"))</f>
        <v/>
      </c>
      <c r="I12" s="28">
        <f>IF(OR($A12="",手直し!C14=""),"",IFERROR(INDEX(計算用!$I$2:$I$186,MATCH("男"&amp;手直し!C14,計算用!$AO$2:$AO$186,0)),"？"))</f>
        <v/>
      </c>
      <c r="J12">
        <f>IF($A12="","",手直し!D14&amp;"")</f>
        <v/>
      </c>
      <c r="K12" s="28">
        <f>IF(OR($A12="",手直し!D14=""),"",IFERROR(INDEX(計算用!$M$2:$M$186,MATCH("男"&amp;手直し!D14,計算用!$AO$2:$AO$186,0)),"？"))</f>
        <v/>
      </c>
      <c r="L12" s="28">
        <f>IF(OR($A12="",手直し!D14=""),"",IFERROR(INDEX(計算用!$I$2:$I$186,MATCH("男"&amp;手直し!D14,計算用!$AO$2:$AO$186,0)),"？"))</f>
        <v/>
      </c>
      <c r="M12">
        <f>IF($A12="","",手直し!E14&amp;"")</f>
        <v/>
      </c>
      <c r="N12" s="28">
        <f>IF(OR($A12="",手直し!E14=""),"",IFERROR(INDEX(計算用!$M$2:$M$186,MATCH("男"&amp;手直し!E14,計算用!$AO$2:$AO$186,0)),"？"))</f>
        <v/>
      </c>
      <c r="O12" s="28">
        <f>IF(OR($A12="",手直し!E14=""),"",IFERROR(INDEX(計算用!$I$2:$I$186,MATCH("男"&amp;手直し!E14,計算用!$AO$2:$AO$186,0)),"？"))</f>
        <v/>
      </c>
      <c r="P12">
        <f>IF($A12="","",手直し!F14&amp;"")</f>
        <v/>
      </c>
      <c r="Q12" s="28">
        <f>IF(OR($A12="",手直し!F14=""),"",IFERROR(INDEX(計算用!$M$2:$M$186,MATCH("男"&amp;手直し!F14,計算用!$AO$2:$AO$186,0)),"？"))</f>
        <v/>
      </c>
      <c r="R12" s="28">
        <f>IF(OR($A12="",手直し!F14=""),"",IFERROR(INDEX(計算用!$I$2:$I$186,MATCH("男"&amp;手直し!F14,計算用!$AO$2:$AO$186,0)),"？"))</f>
        <v/>
      </c>
      <c r="T12" s="28">
        <f>IF(ROW()-3&lt;=計算用!$Q$14,ROW()-3,"")</f>
        <v/>
      </c>
      <c r="U12" s="28">
        <f>IF($T12="","",手直し!O14)</f>
        <v/>
      </c>
      <c r="V12" s="28">
        <f>IF($T12="","",手直し!P14)</f>
        <v/>
      </c>
      <c r="W12">
        <f>IF($T12="","",手直し!G14&amp;"")</f>
        <v/>
      </c>
      <c r="X12" s="28">
        <f>IF(OR($T12="",手直し!G14=""),"",IFERROR(INDEX(計算用!$M$2:$M$186,MATCH("女"&amp;手直し!G14,計算用!$AO$2:$AO$186,0)),"？"))</f>
        <v/>
      </c>
      <c r="Y12" s="28">
        <f>IF(OR($T12="",手直し!G14=""),"",IFERROR(INDEX(計算用!$I$2:$I$186,MATCH("女"&amp;手直し!G14,計算用!$AO$2:$AO$186,0)),"？"))</f>
        <v/>
      </c>
      <c r="Z12">
        <f>IF($T12="","",手直し!H14&amp;"")</f>
        <v/>
      </c>
      <c r="AA12" s="28">
        <f>IF(OR($T12="",手直し!H14=""),"",IFERROR(INDEX(計算用!$M$2:$M$186,MATCH("女"&amp;手直し!H14,計算用!$AO$2:$AO$186,0)),"？"))</f>
        <v/>
      </c>
      <c r="AB12" s="28">
        <f>IF(OR($T12="",手直し!H14=""),"",IFERROR(INDEX(計算用!$I$2:$I$186,MATCH("女"&amp;手直し!H14,計算用!$AO$2:$AO$186,0)),"？"))</f>
        <v/>
      </c>
      <c r="AC12">
        <f>IF($T12="","",手直し!I14&amp;"")</f>
        <v/>
      </c>
      <c r="AD12" s="28">
        <f>IF(OR($T12="",手直し!I14=""),"",IFERROR(INDEX(計算用!$M$2:$M$186,MATCH("女"&amp;手直し!I14,計算用!$AO$2:$AO$186,0)),"？"))</f>
        <v/>
      </c>
      <c r="AE12" s="28">
        <f>IF(OR($T12="",手直し!I14=""),"",IFERROR(INDEX(計算用!$I$2:$I$186,MATCH("女"&amp;手直し!I14,計算用!$AO$2:$AO$186,0)),"？"))</f>
        <v/>
      </c>
      <c r="AF12">
        <f>IF($T12="","",手直し!J14&amp;"")</f>
        <v/>
      </c>
      <c r="AG12" s="28">
        <f>IF(OR($T12="",手直し!J14=""),"",IFERROR(INDEX(計算用!$M$2:$M$186,MATCH("女"&amp;手直し!J14,計算用!$AO$2:$AO$186,0)),"？"))</f>
        <v/>
      </c>
      <c r="AH12" s="28">
        <f>IF(OR($T12="",手直し!J14=""),"",IFERROR(INDEX(計算用!$I$2:$I$186,MATCH("女"&amp;手直し!J14,計算用!$AO$2:$AO$186,0)),"？"))</f>
        <v/>
      </c>
      <c r="AI12">
        <f>IF($T12="","",手直し!K14&amp;"")</f>
        <v/>
      </c>
      <c r="AJ12" s="28">
        <f>IF(OR($T12="",手直し!K14=""),"",IFERROR(INDEX(計算用!$M$2:$M$186,MATCH("女"&amp;手直し!K14,計算用!$AO$2:$AO$186,0)),"？"))</f>
        <v/>
      </c>
      <c r="AK12" s="28">
        <f>IF(OR($T12="",手直し!K14=""),"",IFERROR(INDEX(計算用!$I$2:$I$186,MATCH("女"&amp;手直し!K14,計算用!$AO$2:$AO$186,0)),"？"))</f>
        <v/>
      </c>
    </row>
    <row r="13">
      <c r="A13" s="28">
        <f>IF(ROW()-3&lt;=計算用!$Q$13,ROW()-3,"")</f>
        <v/>
      </c>
      <c r="B13" s="28">
        <f>IF($A13="","",手直し!M15)</f>
        <v/>
      </c>
      <c r="C13" s="28">
        <f>IF($A13="","",手直し!N15)</f>
        <v/>
      </c>
      <c r="D13">
        <f>IF($A13="","",手直し!B15&amp;"")</f>
        <v/>
      </c>
      <c r="E13" s="28">
        <f>IF(OR($A13="",手直し!B15=""),"",IFERROR(INDEX(計算用!$M$2:$M$186,MATCH("男"&amp;手直し!B15,計算用!$AO$2:$AO$186,0)),"？"))</f>
        <v/>
      </c>
      <c r="F13" s="28">
        <f>IF(OR($A13="",手直し!B15=""),"",IFERROR(INDEX(計算用!$I$2:$I$186,MATCH("男"&amp;手直し!B15,計算用!$AO$2:$AO$186,0)),"？"))</f>
        <v/>
      </c>
      <c r="G13">
        <f>IF($A13="","",手直し!C15&amp;"")</f>
        <v/>
      </c>
      <c r="H13" s="28">
        <f>IF(OR($A13="",手直し!C15=""),"",IFERROR(INDEX(計算用!$M$2:$M$186,MATCH("男"&amp;手直し!C15,計算用!$AO$2:$AO$186,0)),"？"))</f>
        <v/>
      </c>
      <c r="I13" s="28">
        <f>IF(OR($A13="",手直し!C15=""),"",IFERROR(INDEX(計算用!$I$2:$I$186,MATCH("男"&amp;手直し!C15,計算用!$AO$2:$AO$186,0)),"？"))</f>
        <v/>
      </c>
      <c r="J13">
        <f>IF($A13="","",手直し!D15&amp;"")</f>
        <v/>
      </c>
      <c r="K13" s="28">
        <f>IF(OR($A13="",手直し!D15=""),"",IFERROR(INDEX(計算用!$M$2:$M$186,MATCH("男"&amp;手直し!D15,計算用!$AO$2:$AO$186,0)),"？"))</f>
        <v/>
      </c>
      <c r="L13" s="28">
        <f>IF(OR($A13="",手直し!D15=""),"",IFERROR(INDEX(計算用!$I$2:$I$186,MATCH("男"&amp;手直し!D15,計算用!$AO$2:$AO$186,0)),"？"))</f>
        <v/>
      </c>
      <c r="M13">
        <f>IF($A13="","",手直し!E15&amp;"")</f>
        <v/>
      </c>
      <c r="N13" s="28">
        <f>IF(OR($A13="",手直し!E15=""),"",IFERROR(INDEX(計算用!$M$2:$M$186,MATCH("男"&amp;手直し!E15,計算用!$AO$2:$AO$186,0)),"？"))</f>
        <v/>
      </c>
      <c r="O13" s="28">
        <f>IF(OR($A13="",手直し!E15=""),"",IFERROR(INDEX(計算用!$I$2:$I$186,MATCH("男"&amp;手直し!E15,計算用!$AO$2:$AO$186,0)),"？"))</f>
        <v/>
      </c>
      <c r="P13">
        <f>IF($A13="","",手直し!F15&amp;"")</f>
        <v/>
      </c>
      <c r="Q13" s="28">
        <f>IF(OR($A13="",手直し!F15=""),"",IFERROR(INDEX(計算用!$M$2:$M$186,MATCH("男"&amp;手直し!F15,計算用!$AO$2:$AO$186,0)),"？"))</f>
        <v/>
      </c>
      <c r="R13" s="28">
        <f>IF(OR($A13="",手直し!F15=""),"",IFERROR(INDEX(計算用!$I$2:$I$186,MATCH("男"&amp;手直し!F15,計算用!$AO$2:$AO$186,0)),"？"))</f>
        <v/>
      </c>
      <c r="T13" s="28">
        <f>IF(ROW()-3&lt;=計算用!$Q$14,ROW()-3,"")</f>
        <v/>
      </c>
      <c r="U13" s="28">
        <f>IF($T13="","",手直し!O15)</f>
        <v/>
      </c>
      <c r="V13" s="28">
        <f>IF($T13="","",手直し!P15)</f>
        <v/>
      </c>
      <c r="W13">
        <f>IF($T13="","",手直し!G15&amp;"")</f>
        <v/>
      </c>
      <c r="X13" s="28">
        <f>IF(OR($T13="",手直し!G15=""),"",IFERROR(INDEX(計算用!$M$2:$M$186,MATCH("女"&amp;手直し!G15,計算用!$AO$2:$AO$186,0)),"？"))</f>
        <v/>
      </c>
      <c r="Y13" s="28">
        <f>IF(OR($T13="",手直し!G15=""),"",IFERROR(INDEX(計算用!$I$2:$I$186,MATCH("女"&amp;手直し!G15,計算用!$AO$2:$AO$186,0)),"？"))</f>
        <v/>
      </c>
      <c r="Z13">
        <f>IF($T13="","",手直し!H15&amp;"")</f>
        <v/>
      </c>
      <c r="AA13" s="28">
        <f>IF(OR($T13="",手直し!H15=""),"",IFERROR(INDEX(計算用!$M$2:$M$186,MATCH("女"&amp;手直し!H15,計算用!$AO$2:$AO$186,0)),"？"))</f>
        <v/>
      </c>
      <c r="AB13" s="28">
        <f>IF(OR($T13="",手直し!H15=""),"",IFERROR(INDEX(計算用!$I$2:$I$186,MATCH("女"&amp;手直し!H15,計算用!$AO$2:$AO$186,0)),"？"))</f>
        <v/>
      </c>
      <c r="AC13">
        <f>IF($T13="","",手直し!I15&amp;"")</f>
        <v/>
      </c>
      <c r="AD13" s="28">
        <f>IF(OR($T13="",手直し!I15=""),"",IFERROR(INDEX(計算用!$M$2:$M$186,MATCH("女"&amp;手直し!I15,計算用!$AO$2:$AO$186,0)),"？"))</f>
        <v/>
      </c>
      <c r="AE13" s="28">
        <f>IF(OR($T13="",手直し!I15=""),"",IFERROR(INDEX(計算用!$I$2:$I$186,MATCH("女"&amp;手直し!I15,計算用!$AO$2:$AO$186,0)),"？"))</f>
        <v/>
      </c>
      <c r="AF13">
        <f>IF($T13="","",手直し!J15&amp;"")</f>
        <v/>
      </c>
      <c r="AG13" s="28">
        <f>IF(OR($T13="",手直し!J15=""),"",IFERROR(INDEX(計算用!$M$2:$M$186,MATCH("女"&amp;手直し!J15,計算用!$AO$2:$AO$186,0)),"？"))</f>
        <v/>
      </c>
      <c r="AH13" s="28">
        <f>IF(OR($T13="",手直し!J15=""),"",IFERROR(INDEX(計算用!$I$2:$I$186,MATCH("女"&amp;手直し!J15,計算用!$AO$2:$AO$186,0)),"？"))</f>
        <v/>
      </c>
      <c r="AI13">
        <f>IF($T13="","",手直し!K15&amp;"")</f>
        <v/>
      </c>
      <c r="AJ13" s="28">
        <f>IF(OR($T13="",手直し!K15=""),"",IFERROR(INDEX(計算用!$M$2:$M$186,MATCH("女"&amp;手直し!K15,計算用!$AO$2:$AO$186,0)),"？"))</f>
        <v/>
      </c>
      <c r="AK13" s="28">
        <f>IF(OR($T13="",手直し!K15=""),"",IFERROR(INDEX(計算用!$I$2:$I$186,MATCH("女"&amp;手直し!K15,計算用!$AO$2:$AO$186,0)),"？"))</f>
        <v/>
      </c>
    </row>
    <row r="14">
      <c r="A14" s="28">
        <f>IF(ROW()-3&lt;=計算用!$Q$13,ROW()-3,"")</f>
        <v/>
      </c>
      <c r="B14" s="28">
        <f>IF($A14="","",手直し!M16)</f>
        <v/>
      </c>
      <c r="C14" s="28">
        <f>IF($A14="","",手直し!N16)</f>
        <v/>
      </c>
      <c r="D14">
        <f>IF($A14="","",手直し!B16&amp;"")</f>
        <v/>
      </c>
      <c r="E14" s="28">
        <f>IF(OR($A14="",手直し!B16=""),"",IFERROR(INDEX(計算用!$M$2:$M$186,MATCH("男"&amp;手直し!B16,計算用!$AO$2:$AO$186,0)),"？"))</f>
        <v/>
      </c>
      <c r="F14" s="28">
        <f>IF(OR($A14="",手直し!B16=""),"",IFERROR(INDEX(計算用!$I$2:$I$186,MATCH("男"&amp;手直し!B16,計算用!$AO$2:$AO$186,0)),"？"))</f>
        <v/>
      </c>
      <c r="G14">
        <f>IF($A14="","",手直し!C16&amp;"")</f>
        <v/>
      </c>
      <c r="H14" s="28">
        <f>IF(OR($A14="",手直し!C16=""),"",IFERROR(INDEX(計算用!$M$2:$M$186,MATCH("男"&amp;手直し!C16,計算用!$AO$2:$AO$186,0)),"？"))</f>
        <v/>
      </c>
      <c r="I14" s="28">
        <f>IF(OR($A14="",手直し!C16=""),"",IFERROR(INDEX(計算用!$I$2:$I$186,MATCH("男"&amp;手直し!C16,計算用!$AO$2:$AO$186,0)),"？"))</f>
        <v/>
      </c>
      <c r="J14">
        <f>IF($A14="","",手直し!D16&amp;"")</f>
        <v/>
      </c>
      <c r="K14" s="28">
        <f>IF(OR($A14="",手直し!D16=""),"",IFERROR(INDEX(計算用!$M$2:$M$186,MATCH("男"&amp;手直し!D16,計算用!$AO$2:$AO$186,0)),"？"))</f>
        <v/>
      </c>
      <c r="L14" s="28">
        <f>IF(OR($A14="",手直し!D16=""),"",IFERROR(INDEX(計算用!$I$2:$I$186,MATCH("男"&amp;手直し!D16,計算用!$AO$2:$AO$186,0)),"？"))</f>
        <v/>
      </c>
      <c r="M14">
        <f>IF($A14="","",手直し!E16&amp;"")</f>
        <v/>
      </c>
      <c r="N14" s="28">
        <f>IF(OR($A14="",手直し!E16=""),"",IFERROR(INDEX(計算用!$M$2:$M$186,MATCH("男"&amp;手直し!E16,計算用!$AO$2:$AO$186,0)),"？"))</f>
        <v/>
      </c>
      <c r="O14" s="28">
        <f>IF(OR($A14="",手直し!E16=""),"",IFERROR(INDEX(計算用!$I$2:$I$186,MATCH("男"&amp;手直し!E16,計算用!$AO$2:$AO$186,0)),"？"))</f>
        <v/>
      </c>
      <c r="P14">
        <f>IF($A14="","",手直し!F16&amp;"")</f>
        <v/>
      </c>
      <c r="Q14" s="28">
        <f>IF(OR($A14="",手直し!F16=""),"",IFERROR(INDEX(計算用!$M$2:$M$186,MATCH("男"&amp;手直し!F16,計算用!$AO$2:$AO$186,0)),"？"))</f>
        <v/>
      </c>
      <c r="R14" s="28">
        <f>IF(OR($A14="",手直し!F16=""),"",IFERROR(INDEX(計算用!$I$2:$I$186,MATCH("男"&amp;手直し!F16,計算用!$AO$2:$AO$186,0)),"？"))</f>
        <v/>
      </c>
      <c r="T14" s="28">
        <f>IF(ROW()-3&lt;=計算用!$Q$14,ROW()-3,"")</f>
        <v/>
      </c>
      <c r="U14" s="28">
        <f>IF($T14="","",手直し!O16)</f>
        <v/>
      </c>
      <c r="V14" s="28">
        <f>IF($T14="","",手直し!P16)</f>
        <v/>
      </c>
      <c r="W14">
        <f>IF($T14="","",手直し!G16&amp;"")</f>
        <v/>
      </c>
      <c r="X14" s="28">
        <f>IF(OR($T14="",手直し!G16=""),"",IFERROR(INDEX(計算用!$M$2:$M$186,MATCH("女"&amp;手直し!G16,計算用!$AO$2:$AO$186,0)),"？"))</f>
        <v/>
      </c>
      <c r="Y14" s="28">
        <f>IF(OR($T14="",手直し!G16=""),"",IFERROR(INDEX(計算用!$I$2:$I$186,MATCH("女"&amp;手直し!G16,計算用!$AO$2:$AO$186,0)),"？"))</f>
        <v/>
      </c>
      <c r="Z14">
        <f>IF($T14="","",手直し!H16&amp;"")</f>
        <v/>
      </c>
      <c r="AA14" s="28">
        <f>IF(OR($T14="",手直し!H16=""),"",IFERROR(INDEX(計算用!$M$2:$M$186,MATCH("女"&amp;手直し!H16,計算用!$AO$2:$AO$186,0)),"？"))</f>
        <v/>
      </c>
      <c r="AB14" s="28">
        <f>IF(OR($T14="",手直し!H16=""),"",IFERROR(INDEX(計算用!$I$2:$I$186,MATCH("女"&amp;手直し!H16,計算用!$AO$2:$AO$186,0)),"？"))</f>
        <v/>
      </c>
      <c r="AC14">
        <f>IF($T14="","",手直し!I16&amp;"")</f>
        <v/>
      </c>
      <c r="AD14" s="28">
        <f>IF(OR($T14="",手直し!I16=""),"",IFERROR(INDEX(計算用!$M$2:$M$186,MATCH("女"&amp;手直し!I16,計算用!$AO$2:$AO$186,0)),"？"))</f>
        <v/>
      </c>
      <c r="AE14" s="28">
        <f>IF(OR($T14="",手直し!I16=""),"",IFERROR(INDEX(計算用!$I$2:$I$186,MATCH("女"&amp;手直し!I16,計算用!$AO$2:$AO$186,0)),"？"))</f>
        <v/>
      </c>
      <c r="AF14">
        <f>IF($T14="","",手直し!J16&amp;"")</f>
        <v/>
      </c>
      <c r="AG14" s="28">
        <f>IF(OR($T14="",手直し!J16=""),"",IFERROR(INDEX(計算用!$M$2:$M$186,MATCH("女"&amp;手直し!J16,計算用!$AO$2:$AO$186,0)),"？"))</f>
        <v/>
      </c>
      <c r="AH14" s="28">
        <f>IF(OR($T14="",手直し!J16=""),"",IFERROR(INDEX(計算用!$I$2:$I$186,MATCH("女"&amp;手直し!J16,計算用!$AO$2:$AO$186,0)),"？"))</f>
        <v/>
      </c>
      <c r="AI14">
        <f>IF($T14="","",手直し!K16&amp;"")</f>
        <v/>
      </c>
      <c r="AJ14" s="28">
        <f>IF(OR($T14="",手直し!K16=""),"",IFERROR(INDEX(計算用!$M$2:$M$186,MATCH("女"&amp;手直し!K16,計算用!$AO$2:$AO$186,0)),"？"))</f>
        <v/>
      </c>
      <c r="AK14" s="28">
        <f>IF(OR($T14="",手直し!K16=""),"",IFERROR(INDEX(計算用!$I$2:$I$186,MATCH("女"&amp;手直し!K16,計算用!$AO$2:$AO$186,0)),"？"))</f>
        <v/>
      </c>
    </row>
    <row r="15">
      <c r="A15" s="28">
        <f>IF(ROW()-3&lt;=計算用!$Q$13,ROW()-3,"")</f>
        <v/>
      </c>
      <c r="B15" s="28">
        <f>IF($A15="","",手直し!M17)</f>
        <v/>
      </c>
      <c r="C15" s="28">
        <f>IF($A15="","",手直し!N17)</f>
        <v/>
      </c>
      <c r="D15">
        <f>IF($A15="","",手直し!B17&amp;"")</f>
        <v/>
      </c>
      <c r="E15" s="28">
        <f>IF(OR($A15="",手直し!B17=""),"",IFERROR(INDEX(計算用!$M$2:$M$186,MATCH("男"&amp;手直し!B17,計算用!$AO$2:$AO$186,0)),"？"))</f>
        <v/>
      </c>
      <c r="F15" s="28">
        <f>IF(OR($A15="",手直し!B17=""),"",IFERROR(INDEX(計算用!$I$2:$I$186,MATCH("男"&amp;手直し!B17,計算用!$AO$2:$AO$186,0)),"？"))</f>
        <v/>
      </c>
      <c r="G15">
        <f>IF($A15="","",手直し!C17&amp;"")</f>
        <v/>
      </c>
      <c r="H15" s="28">
        <f>IF(OR($A15="",手直し!C17=""),"",IFERROR(INDEX(計算用!$M$2:$M$186,MATCH("男"&amp;手直し!C17,計算用!$AO$2:$AO$186,0)),"？"))</f>
        <v/>
      </c>
      <c r="I15" s="28">
        <f>IF(OR($A15="",手直し!C17=""),"",IFERROR(INDEX(計算用!$I$2:$I$186,MATCH("男"&amp;手直し!C17,計算用!$AO$2:$AO$186,0)),"？"))</f>
        <v/>
      </c>
      <c r="J15">
        <f>IF($A15="","",手直し!D17&amp;"")</f>
        <v/>
      </c>
      <c r="K15" s="28">
        <f>IF(OR($A15="",手直し!D17=""),"",IFERROR(INDEX(計算用!$M$2:$M$186,MATCH("男"&amp;手直し!D17,計算用!$AO$2:$AO$186,0)),"？"))</f>
        <v/>
      </c>
      <c r="L15" s="28">
        <f>IF(OR($A15="",手直し!D17=""),"",IFERROR(INDEX(計算用!$I$2:$I$186,MATCH("男"&amp;手直し!D17,計算用!$AO$2:$AO$186,0)),"？"))</f>
        <v/>
      </c>
      <c r="M15">
        <f>IF($A15="","",手直し!E17&amp;"")</f>
        <v/>
      </c>
      <c r="N15" s="28">
        <f>IF(OR($A15="",手直し!E17=""),"",IFERROR(INDEX(計算用!$M$2:$M$186,MATCH("男"&amp;手直し!E17,計算用!$AO$2:$AO$186,0)),"？"))</f>
        <v/>
      </c>
      <c r="O15" s="28">
        <f>IF(OR($A15="",手直し!E17=""),"",IFERROR(INDEX(計算用!$I$2:$I$186,MATCH("男"&amp;手直し!E17,計算用!$AO$2:$AO$186,0)),"？"))</f>
        <v/>
      </c>
      <c r="P15">
        <f>IF($A15="","",手直し!F17&amp;"")</f>
        <v/>
      </c>
      <c r="Q15" s="28">
        <f>IF(OR($A15="",手直し!F17=""),"",IFERROR(INDEX(計算用!$M$2:$M$186,MATCH("男"&amp;手直し!F17,計算用!$AO$2:$AO$186,0)),"？"))</f>
        <v/>
      </c>
      <c r="R15" s="28">
        <f>IF(OR($A15="",手直し!F17=""),"",IFERROR(INDEX(計算用!$I$2:$I$186,MATCH("男"&amp;手直し!F17,計算用!$AO$2:$AO$186,0)),"？"))</f>
        <v/>
      </c>
      <c r="T15" s="28">
        <f>IF(ROW()-3&lt;=計算用!$Q$14,ROW()-3,"")</f>
        <v/>
      </c>
      <c r="U15" s="28">
        <f>IF($T15="","",手直し!O17)</f>
        <v/>
      </c>
      <c r="V15" s="28">
        <f>IF($T15="","",手直し!P17)</f>
        <v/>
      </c>
      <c r="W15">
        <f>IF($T15="","",手直し!G17&amp;"")</f>
        <v/>
      </c>
      <c r="X15" s="28">
        <f>IF(OR($T15="",手直し!G17=""),"",IFERROR(INDEX(計算用!$M$2:$M$186,MATCH("女"&amp;手直し!G17,計算用!$AO$2:$AO$186,0)),"？"))</f>
        <v/>
      </c>
      <c r="Y15" s="28">
        <f>IF(OR($T15="",手直し!G17=""),"",IFERROR(INDEX(計算用!$I$2:$I$186,MATCH("女"&amp;手直し!G17,計算用!$AO$2:$AO$186,0)),"？"))</f>
        <v/>
      </c>
      <c r="Z15">
        <f>IF($T15="","",手直し!H17&amp;"")</f>
        <v/>
      </c>
      <c r="AA15" s="28">
        <f>IF(OR($T15="",手直し!H17=""),"",IFERROR(INDEX(計算用!$M$2:$M$186,MATCH("女"&amp;手直し!H17,計算用!$AO$2:$AO$186,0)),"？"))</f>
        <v/>
      </c>
      <c r="AB15" s="28">
        <f>IF(OR($T15="",手直し!H17=""),"",IFERROR(INDEX(計算用!$I$2:$I$186,MATCH("女"&amp;手直し!H17,計算用!$AO$2:$AO$186,0)),"？"))</f>
        <v/>
      </c>
      <c r="AC15">
        <f>IF($T15="","",手直し!I17&amp;"")</f>
        <v/>
      </c>
      <c r="AD15" s="28">
        <f>IF(OR($T15="",手直し!I17=""),"",IFERROR(INDEX(計算用!$M$2:$M$186,MATCH("女"&amp;手直し!I17,計算用!$AO$2:$AO$186,0)),"？"))</f>
        <v/>
      </c>
      <c r="AE15" s="28">
        <f>IF(OR($T15="",手直し!I17=""),"",IFERROR(INDEX(計算用!$I$2:$I$186,MATCH("女"&amp;手直し!I17,計算用!$AO$2:$AO$186,0)),"？"))</f>
        <v/>
      </c>
      <c r="AF15">
        <f>IF($T15="","",手直し!J17&amp;"")</f>
        <v/>
      </c>
      <c r="AG15" s="28">
        <f>IF(OR($T15="",手直し!J17=""),"",IFERROR(INDEX(計算用!$M$2:$M$186,MATCH("女"&amp;手直し!J17,計算用!$AO$2:$AO$186,0)),"？"))</f>
        <v/>
      </c>
      <c r="AH15" s="28">
        <f>IF(OR($T15="",手直し!J17=""),"",IFERROR(INDEX(計算用!$I$2:$I$186,MATCH("女"&amp;手直し!J17,計算用!$AO$2:$AO$186,0)),"？"))</f>
        <v/>
      </c>
      <c r="AI15">
        <f>IF($T15="","",手直し!K17&amp;"")</f>
        <v/>
      </c>
      <c r="AJ15" s="28">
        <f>IF(OR($T15="",手直し!K17=""),"",IFERROR(INDEX(計算用!$M$2:$M$186,MATCH("女"&amp;手直し!K17,計算用!$AO$2:$AO$186,0)),"？"))</f>
        <v/>
      </c>
      <c r="AK15" s="28">
        <f>IF(OR($T15="",手直し!K17=""),"",IFERROR(INDEX(計算用!$I$2:$I$186,MATCH("女"&amp;手直し!K17,計算用!$AO$2:$AO$186,0)),"？"))</f>
        <v/>
      </c>
    </row>
    <row r="16">
      <c r="A16" s="28">
        <f>IF(ROW()-3&lt;=計算用!$Q$13,ROW()-3,"")</f>
        <v/>
      </c>
      <c r="B16" s="28">
        <f>IF($A16="","",手直し!M18)</f>
        <v/>
      </c>
      <c r="C16" s="28">
        <f>IF($A16="","",手直し!N18)</f>
        <v/>
      </c>
      <c r="D16">
        <f>IF($A16="","",手直し!B18&amp;"")</f>
        <v/>
      </c>
      <c r="E16" s="28">
        <f>IF(OR($A16="",手直し!B18=""),"",IFERROR(INDEX(計算用!$M$2:$M$186,MATCH("男"&amp;手直し!B18,計算用!$AO$2:$AO$186,0)),"？"))</f>
        <v/>
      </c>
      <c r="F16" s="28">
        <f>IF(OR($A16="",手直し!B18=""),"",IFERROR(INDEX(計算用!$I$2:$I$186,MATCH("男"&amp;手直し!B18,計算用!$AO$2:$AO$186,0)),"？"))</f>
        <v/>
      </c>
      <c r="G16">
        <f>IF($A16="","",手直し!C18&amp;"")</f>
        <v/>
      </c>
      <c r="H16" s="28">
        <f>IF(OR($A16="",手直し!C18=""),"",IFERROR(INDEX(計算用!$M$2:$M$186,MATCH("男"&amp;手直し!C18,計算用!$AO$2:$AO$186,0)),"？"))</f>
        <v/>
      </c>
      <c r="I16" s="28">
        <f>IF(OR($A16="",手直し!C18=""),"",IFERROR(INDEX(計算用!$I$2:$I$186,MATCH("男"&amp;手直し!C18,計算用!$AO$2:$AO$186,0)),"？"))</f>
        <v/>
      </c>
      <c r="J16">
        <f>IF($A16="","",手直し!D18&amp;"")</f>
        <v/>
      </c>
      <c r="K16" s="28">
        <f>IF(OR($A16="",手直し!D18=""),"",IFERROR(INDEX(計算用!$M$2:$M$186,MATCH("男"&amp;手直し!D18,計算用!$AO$2:$AO$186,0)),"？"))</f>
        <v/>
      </c>
      <c r="L16" s="28">
        <f>IF(OR($A16="",手直し!D18=""),"",IFERROR(INDEX(計算用!$I$2:$I$186,MATCH("男"&amp;手直し!D18,計算用!$AO$2:$AO$186,0)),"？"))</f>
        <v/>
      </c>
      <c r="M16">
        <f>IF($A16="","",手直し!E18&amp;"")</f>
        <v/>
      </c>
      <c r="N16" s="28">
        <f>IF(OR($A16="",手直し!E18=""),"",IFERROR(INDEX(計算用!$M$2:$M$186,MATCH("男"&amp;手直し!E18,計算用!$AO$2:$AO$186,0)),"？"))</f>
        <v/>
      </c>
      <c r="O16" s="28">
        <f>IF(OR($A16="",手直し!E18=""),"",IFERROR(INDEX(計算用!$I$2:$I$186,MATCH("男"&amp;手直し!E18,計算用!$AO$2:$AO$186,0)),"？"))</f>
        <v/>
      </c>
      <c r="P16">
        <f>IF($A16="","",手直し!F18&amp;"")</f>
        <v/>
      </c>
      <c r="Q16" s="28">
        <f>IF(OR($A16="",手直し!F18=""),"",IFERROR(INDEX(計算用!$M$2:$M$186,MATCH("男"&amp;手直し!F18,計算用!$AO$2:$AO$186,0)),"？"))</f>
        <v/>
      </c>
      <c r="R16" s="28">
        <f>IF(OR($A16="",手直し!F18=""),"",IFERROR(INDEX(計算用!$I$2:$I$186,MATCH("男"&amp;手直し!F18,計算用!$AO$2:$AO$186,0)),"？"))</f>
        <v/>
      </c>
      <c r="T16" s="28">
        <f>IF(ROW()-3&lt;=計算用!$Q$14,ROW()-3,"")</f>
        <v/>
      </c>
      <c r="U16" s="28">
        <f>IF($T16="","",手直し!O18)</f>
        <v/>
      </c>
      <c r="V16" s="28">
        <f>IF($T16="","",手直し!P18)</f>
        <v/>
      </c>
      <c r="W16">
        <f>IF($T16="","",手直し!G18&amp;"")</f>
        <v/>
      </c>
      <c r="X16" s="28">
        <f>IF(OR($T16="",手直し!G18=""),"",IFERROR(INDEX(計算用!$M$2:$M$186,MATCH("女"&amp;手直し!G18,計算用!$AO$2:$AO$186,0)),"？"))</f>
        <v/>
      </c>
      <c r="Y16" s="28">
        <f>IF(OR($T16="",手直し!G18=""),"",IFERROR(INDEX(計算用!$I$2:$I$186,MATCH("女"&amp;手直し!G18,計算用!$AO$2:$AO$186,0)),"？"))</f>
        <v/>
      </c>
      <c r="Z16">
        <f>IF($T16="","",手直し!H18&amp;"")</f>
        <v/>
      </c>
      <c r="AA16" s="28">
        <f>IF(OR($T16="",手直し!H18=""),"",IFERROR(INDEX(計算用!$M$2:$M$186,MATCH("女"&amp;手直し!H18,計算用!$AO$2:$AO$186,0)),"？"))</f>
        <v/>
      </c>
      <c r="AB16" s="28">
        <f>IF(OR($T16="",手直し!H18=""),"",IFERROR(INDEX(計算用!$I$2:$I$186,MATCH("女"&amp;手直し!H18,計算用!$AO$2:$AO$186,0)),"？"))</f>
        <v/>
      </c>
      <c r="AC16">
        <f>IF($T16="","",手直し!I18&amp;"")</f>
        <v/>
      </c>
      <c r="AD16" s="28">
        <f>IF(OR($T16="",手直し!I18=""),"",IFERROR(INDEX(計算用!$M$2:$M$186,MATCH("女"&amp;手直し!I18,計算用!$AO$2:$AO$186,0)),"？"))</f>
        <v/>
      </c>
      <c r="AE16" s="28">
        <f>IF(OR($T16="",手直し!I18=""),"",IFERROR(INDEX(計算用!$I$2:$I$186,MATCH("女"&amp;手直し!I18,計算用!$AO$2:$AO$186,0)),"？"))</f>
        <v/>
      </c>
      <c r="AF16">
        <f>IF($T16="","",手直し!J18&amp;"")</f>
        <v/>
      </c>
      <c r="AG16" s="28">
        <f>IF(OR($T16="",手直し!J18=""),"",IFERROR(INDEX(計算用!$M$2:$M$186,MATCH("女"&amp;手直し!J18,計算用!$AO$2:$AO$186,0)),"？"))</f>
        <v/>
      </c>
      <c r="AH16" s="28">
        <f>IF(OR($T16="",手直し!J18=""),"",IFERROR(INDEX(計算用!$I$2:$I$186,MATCH("女"&amp;手直し!J18,計算用!$AO$2:$AO$186,0)),"？"))</f>
        <v/>
      </c>
      <c r="AI16">
        <f>IF($T16="","",手直し!K18&amp;"")</f>
        <v/>
      </c>
      <c r="AJ16" s="28">
        <f>IF(OR($T16="",手直し!K18=""),"",IFERROR(INDEX(計算用!$M$2:$M$186,MATCH("女"&amp;手直し!K18,計算用!$AO$2:$AO$186,0)),"？"))</f>
        <v/>
      </c>
      <c r="AK16" s="28">
        <f>IF(OR($T16="",手直し!K18=""),"",IFERROR(INDEX(計算用!$I$2:$I$186,MATCH("女"&amp;手直し!K18,計算用!$AO$2:$AO$186,0)),"？"))</f>
        <v/>
      </c>
    </row>
    <row r="17">
      <c r="A17" s="28">
        <f>IF(ROW()-3&lt;=計算用!$Q$13,ROW()-3,"")</f>
        <v/>
      </c>
      <c r="B17" s="28">
        <f>IF($A17="","",手直し!M19)</f>
        <v/>
      </c>
      <c r="C17" s="28">
        <f>IF($A17="","",手直し!N19)</f>
        <v/>
      </c>
      <c r="D17">
        <f>IF($A17="","",手直し!B19&amp;"")</f>
        <v/>
      </c>
      <c r="E17" s="28">
        <f>IF(OR($A17="",手直し!B19=""),"",IFERROR(INDEX(計算用!$M$2:$M$186,MATCH("男"&amp;手直し!B19,計算用!$AO$2:$AO$186,0)),"？"))</f>
        <v/>
      </c>
      <c r="F17" s="28">
        <f>IF(OR($A17="",手直し!B19=""),"",IFERROR(INDEX(計算用!$I$2:$I$186,MATCH("男"&amp;手直し!B19,計算用!$AO$2:$AO$186,0)),"？"))</f>
        <v/>
      </c>
      <c r="G17">
        <f>IF($A17="","",手直し!C19&amp;"")</f>
        <v/>
      </c>
      <c r="H17" s="28">
        <f>IF(OR($A17="",手直し!C19=""),"",IFERROR(INDEX(計算用!$M$2:$M$186,MATCH("男"&amp;手直し!C19,計算用!$AO$2:$AO$186,0)),"？"))</f>
        <v/>
      </c>
      <c r="I17" s="28">
        <f>IF(OR($A17="",手直し!C19=""),"",IFERROR(INDEX(計算用!$I$2:$I$186,MATCH("男"&amp;手直し!C19,計算用!$AO$2:$AO$186,0)),"？"))</f>
        <v/>
      </c>
      <c r="J17">
        <f>IF($A17="","",手直し!D19&amp;"")</f>
        <v/>
      </c>
      <c r="K17" s="28">
        <f>IF(OR($A17="",手直し!D19=""),"",IFERROR(INDEX(計算用!$M$2:$M$186,MATCH("男"&amp;手直し!D19,計算用!$AO$2:$AO$186,0)),"？"))</f>
        <v/>
      </c>
      <c r="L17" s="28">
        <f>IF(OR($A17="",手直し!D19=""),"",IFERROR(INDEX(計算用!$I$2:$I$186,MATCH("男"&amp;手直し!D19,計算用!$AO$2:$AO$186,0)),"？"))</f>
        <v/>
      </c>
      <c r="M17">
        <f>IF($A17="","",手直し!E19&amp;"")</f>
        <v/>
      </c>
      <c r="N17" s="28">
        <f>IF(OR($A17="",手直し!E19=""),"",IFERROR(INDEX(計算用!$M$2:$M$186,MATCH("男"&amp;手直し!E19,計算用!$AO$2:$AO$186,0)),"？"))</f>
        <v/>
      </c>
      <c r="O17" s="28">
        <f>IF(OR($A17="",手直し!E19=""),"",IFERROR(INDEX(計算用!$I$2:$I$186,MATCH("男"&amp;手直し!E19,計算用!$AO$2:$AO$186,0)),"？"))</f>
        <v/>
      </c>
      <c r="P17">
        <f>IF($A17="","",手直し!F19&amp;"")</f>
        <v/>
      </c>
      <c r="Q17" s="28">
        <f>IF(OR($A17="",手直し!F19=""),"",IFERROR(INDEX(計算用!$M$2:$M$186,MATCH("男"&amp;手直し!F19,計算用!$AO$2:$AO$186,0)),"？"))</f>
        <v/>
      </c>
      <c r="R17" s="28">
        <f>IF(OR($A17="",手直し!F19=""),"",IFERROR(INDEX(計算用!$I$2:$I$186,MATCH("男"&amp;手直し!F19,計算用!$AO$2:$AO$186,0)),"？"))</f>
        <v/>
      </c>
      <c r="T17" s="28">
        <f>IF(ROW()-3&lt;=計算用!$Q$14,ROW()-3,"")</f>
        <v/>
      </c>
      <c r="U17" s="28">
        <f>IF($T17="","",手直し!O19)</f>
        <v/>
      </c>
      <c r="V17" s="28">
        <f>IF($T17="","",手直し!P19)</f>
        <v/>
      </c>
      <c r="W17">
        <f>IF($T17="","",手直し!G19&amp;"")</f>
        <v/>
      </c>
      <c r="X17" s="28">
        <f>IF(OR($T17="",手直し!G19=""),"",IFERROR(INDEX(計算用!$M$2:$M$186,MATCH("女"&amp;手直し!G19,計算用!$AO$2:$AO$186,0)),"？"))</f>
        <v/>
      </c>
      <c r="Y17" s="28">
        <f>IF(OR($T17="",手直し!G19=""),"",IFERROR(INDEX(計算用!$I$2:$I$186,MATCH("女"&amp;手直し!G19,計算用!$AO$2:$AO$186,0)),"？"))</f>
        <v/>
      </c>
      <c r="Z17">
        <f>IF($T17="","",手直し!H19&amp;"")</f>
        <v/>
      </c>
      <c r="AA17" s="28">
        <f>IF(OR($T17="",手直し!H19=""),"",IFERROR(INDEX(計算用!$M$2:$M$186,MATCH("女"&amp;手直し!H19,計算用!$AO$2:$AO$186,0)),"？"))</f>
        <v/>
      </c>
      <c r="AB17" s="28">
        <f>IF(OR($T17="",手直し!H19=""),"",IFERROR(INDEX(計算用!$I$2:$I$186,MATCH("女"&amp;手直し!H19,計算用!$AO$2:$AO$186,0)),"？"))</f>
        <v/>
      </c>
      <c r="AC17">
        <f>IF($T17="","",手直し!I19&amp;"")</f>
        <v/>
      </c>
      <c r="AD17" s="28">
        <f>IF(OR($T17="",手直し!I19=""),"",IFERROR(INDEX(計算用!$M$2:$M$186,MATCH("女"&amp;手直し!I19,計算用!$AO$2:$AO$186,0)),"？"))</f>
        <v/>
      </c>
      <c r="AE17" s="28">
        <f>IF(OR($T17="",手直し!I19=""),"",IFERROR(INDEX(計算用!$I$2:$I$186,MATCH("女"&amp;手直し!I19,計算用!$AO$2:$AO$186,0)),"？"))</f>
        <v/>
      </c>
      <c r="AF17">
        <f>IF($T17="","",手直し!J19&amp;"")</f>
        <v/>
      </c>
      <c r="AG17" s="28">
        <f>IF(OR($T17="",手直し!J19=""),"",IFERROR(INDEX(計算用!$M$2:$M$186,MATCH("女"&amp;手直し!J19,計算用!$AO$2:$AO$186,0)),"？"))</f>
        <v/>
      </c>
      <c r="AH17" s="28">
        <f>IF(OR($T17="",手直し!J19=""),"",IFERROR(INDEX(計算用!$I$2:$I$186,MATCH("女"&amp;手直し!J19,計算用!$AO$2:$AO$186,0)),"？"))</f>
        <v/>
      </c>
      <c r="AI17">
        <f>IF($T17="","",手直し!K19&amp;"")</f>
        <v/>
      </c>
      <c r="AJ17" s="28">
        <f>IF(OR($T17="",手直し!K19=""),"",IFERROR(INDEX(計算用!$M$2:$M$186,MATCH("女"&amp;手直し!K19,計算用!$AO$2:$AO$186,0)),"？"))</f>
        <v/>
      </c>
      <c r="AK17" s="28">
        <f>IF(OR($T17="",手直し!K19=""),"",IFERROR(INDEX(計算用!$I$2:$I$186,MATCH("女"&amp;手直し!K19,計算用!$AO$2:$AO$186,0)),"？"))</f>
        <v/>
      </c>
    </row>
    <row r="18">
      <c r="A18" s="28">
        <f>IF(ROW()-3&lt;=計算用!$Q$13,ROW()-3,"")</f>
        <v/>
      </c>
      <c r="B18" s="28">
        <f>IF($A18="","",手直し!M20)</f>
        <v/>
      </c>
      <c r="C18" s="28">
        <f>IF($A18="","",手直し!N20)</f>
        <v/>
      </c>
      <c r="D18">
        <f>IF($A18="","",手直し!B20&amp;"")</f>
        <v/>
      </c>
      <c r="E18" s="28">
        <f>IF(OR($A18="",手直し!B20=""),"",IFERROR(INDEX(計算用!$M$2:$M$186,MATCH("男"&amp;手直し!B20,計算用!$AO$2:$AO$186,0)),"？"))</f>
        <v/>
      </c>
      <c r="F18" s="28">
        <f>IF(OR($A18="",手直し!B20=""),"",IFERROR(INDEX(計算用!$I$2:$I$186,MATCH("男"&amp;手直し!B20,計算用!$AO$2:$AO$186,0)),"？"))</f>
        <v/>
      </c>
      <c r="G18">
        <f>IF($A18="","",手直し!C20&amp;"")</f>
        <v/>
      </c>
      <c r="H18" s="28">
        <f>IF(OR($A18="",手直し!C20=""),"",IFERROR(INDEX(計算用!$M$2:$M$186,MATCH("男"&amp;手直し!C20,計算用!$AO$2:$AO$186,0)),"？"))</f>
        <v/>
      </c>
      <c r="I18" s="28">
        <f>IF(OR($A18="",手直し!C20=""),"",IFERROR(INDEX(計算用!$I$2:$I$186,MATCH("男"&amp;手直し!C20,計算用!$AO$2:$AO$186,0)),"？"))</f>
        <v/>
      </c>
      <c r="J18">
        <f>IF($A18="","",手直し!D20&amp;"")</f>
        <v/>
      </c>
      <c r="K18" s="28">
        <f>IF(OR($A18="",手直し!D20=""),"",IFERROR(INDEX(計算用!$M$2:$M$186,MATCH("男"&amp;手直し!D20,計算用!$AO$2:$AO$186,0)),"？"))</f>
        <v/>
      </c>
      <c r="L18" s="28">
        <f>IF(OR($A18="",手直し!D20=""),"",IFERROR(INDEX(計算用!$I$2:$I$186,MATCH("男"&amp;手直し!D20,計算用!$AO$2:$AO$186,0)),"？"))</f>
        <v/>
      </c>
      <c r="M18">
        <f>IF($A18="","",手直し!E20&amp;"")</f>
        <v/>
      </c>
      <c r="N18" s="28">
        <f>IF(OR($A18="",手直し!E20=""),"",IFERROR(INDEX(計算用!$M$2:$M$186,MATCH("男"&amp;手直し!E20,計算用!$AO$2:$AO$186,0)),"？"))</f>
        <v/>
      </c>
      <c r="O18" s="28">
        <f>IF(OR($A18="",手直し!E20=""),"",IFERROR(INDEX(計算用!$I$2:$I$186,MATCH("男"&amp;手直し!E20,計算用!$AO$2:$AO$186,0)),"？"))</f>
        <v/>
      </c>
      <c r="P18">
        <f>IF($A18="","",手直し!F20&amp;"")</f>
        <v/>
      </c>
      <c r="Q18" s="28">
        <f>IF(OR($A18="",手直し!F20=""),"",IFERROR(INDEX(計算用!$M$2:$M$186,MATCH("男"&amp;手直し!F20,計算用!$AO$2:$AO$186,0)),"？"))</f>
        <v/>
      </c>
      <c r="R18" s="28">
        <f>IF(OR($A18="",手直し!F20=""),"",IFERROR(INDEX(計算用!$I$2:$I$186,MATCH("男"&amp;手直し!F20,計算用!$AO$2:$AO$186,0)),"？"))</f>
        <v/>
      </c>
      <c r="T18" s="28">
        <f>IF(ROW()-3&lt;=計算用!$Q$14,ROW()-3,"")</f>
        <v/>
      </c>
      <c r="U18" s="28">
        <f>IF($T18="","",手直し!O20)</f>
        <v/>
      </c>
      <c r="V18" s="28">
        <f>IF($T18="","",手直し!P20)</f>
        <v/>
      </c>
      <c r="W18">
        <f>IF($T18="","",手直し!G20&amp;"")</f>
        <v/>
      </c>
      <c r="X18" s="28">
        <f>IF(OR($T18="",手直し!G20=""),"",IFERROR(INDEX(計算用!$M$2:$M$186,MATCH("女"&amp;手直し!G20,計算用!$AO$2:$AO$186,0)),"？"))</f>
        <v/>
      </c>
      <c r="Y18" s="28">
        <f>IF(OR($T18="",手直し!G20=""),"",IFERROR(INDEX(計算用!$I$2:$I$186,MATCH("女"&amp;手直し!G20,計算用!$AO$2:$AO$186,0)),"？"))</f>
        <v/>
      </c>
      <c r="Z18">
        <f>IF($T18="","",手直し!H20&amp;"")</f>
        <v/>
      </c>
      <c r="AA18" s="28">
        <f>IF(OR($T18="",手直し!H20=""),"",IFERROR(INDEX(計算用!$M$2:$M$186,MATCH("女"&amp;手直し!H20,計算用!$AO$2:$AO$186,0)),"？"))</f>
        <v/>
      </c>
      <c r="AB18" s="28">
        <f>IF(OR($T18="",手直し!H20=""),"",IFERROR(INDEX(計算用!$I$2:$I$186,MATCH("女"&amp;手直し!H20,計算用!$AO$2:$AO$186,0)),"？"))</f>
        <v/>
      </c>
      <c r="AC18">
        <f>IF($T18="","",手直し!I20&amp;"")</f>
        <v/>
      </c>
      <c r="AD18" s="28">
        <f>IF(OR($T18="",手直し!I20=""),"",IFERROR(INDEX(計算用!$M$2:$M$186,MATCH("女"&amp;手直し!I20,計算用!$AO$2:$AO$186,0)),"？"))</f>
        <v/>
      </c>
      <c r="AE18" s="28">
        <f>IF(OR($T18="",手直し!I20=""),"",IFERROR(INDEX(計算用!$I$2:$I$186,MATCH("女"&amp;手直し!I20,計算用!$AO$2:$AO$186,0)),"？"))</f>
        <v/>
      </c>
      <c r="AF18">
        <f>IF($T18="","",手直し!J20&amp;"")</f>
        <v/>
      </c>
      <c r="AG18" s="28">
        <f>IF(OR($T18="",手直し!J20=""),"",IFERROR(INDEX(計算用!$M$2:$M$186,MATCH("女"&amp;手直し!J20,計算用!$AO$2:$AO$186,0)),"？"))</f>
        <v/>
      </c>
      <c r="AH18" s="28">
        <f>IF(OR($T18="",手直し!J20=""),"",IFERROR(INDEX(計算用!$I$2:$I$186,MATCH("女"&amp;手直し!J20,計算用!$AO$2:$AO$186,0)),"？"))</f>
        <v/>
      </c>
      <c r="AI18">
        <f>IF($T18="","",手直し!K20&amp;"")</f>
        <v/>
      </c>
      <c r="AJ18" s="28">
        <f>IF(OR($T18="",手直し!K20=""),"",IFERROR(INDEX(計算用!$M$2:$M$186,MATCH("女"&amp;手直し!K20,計算用!$AO$2:$AO$186,0)),"？"))</f>
        <v/>
      </c>
      <c r="AK18" s="28">
        <f>IF(OR($T18="",手直し!K20=""),"",IFERROR(INDEX(計算用!$I$2:$I$186,MATCH("女"&amp;手直し!K20,計算用!$AO$2:$AO$186,0)),"？"))</f>
        <v/>
      </c>
    </row>
    <row r="19">
      <c r="A19" s="28">
        <f>IF(ROW()-3&lt;=計算用!$Q$13,ROW()-3,"")</f>
        <v/>
      </c>
      <c r="B19" s="28">
        <f>IF($A19="","",手直し!M21)</f>
        <v/>
      </c>
      <c r="C19" s="28">
        <f>IF($A19="","",手直し!N21)</f>
        <v/>
      </c>
      <c r="D19">
        <f>IF($A19="","",手直し!B21&amp;"")</f>
        <v/>
      </c>
      <c r="E19" s="28">
        <f>IF(OR($A19="",手直し!B21=""),"",IFERROR(INDEX(計算用!$M$2:$M$186,MATCH("男"&amp;手直し!B21,計算用!$AO$2:$AO$186,0)),"？"))</f>
        <v/>
      </c>
      <c r="F19" s="28">
        <f>IF(OR($A19="",手直し!B21=""),"",IFERROR(INDEX(計算用!$I$2:$I$186,MATCH("男"&amp;手直し!B21,計算用!$AO$2:$AO$186,0)),"？"))</f>
        <v/>
      </c>
      <c r="G19">
        <f>IF($A19="","",手直し!C21&amp;"")</f>
        <v/>
      </c>
      <c r="H19" s="28">
        <f>IF(OR($A19="",手直し!C21=""),"",IFERROR(INDEX(計算用!$M$2:$M$186,MATCH("男"&amp;手直し!C21,計算用!$AO$2:$AO$186,0)),"？"))</f>
        <v/>
      </c>
      <c r="I19" s="28">
        <f>IF(OR($A19="",手直し!C21=""),"",IFERROR(INDEX(計算用!$I$2:$I$186,MATCH("男"&amp;手直し!C21,計算用!$AO$2:$AO$186,0)),"？"))</f>
        <v/>
      </c>
      <c r="J19">
        <f>IF($A19="","",手直し!D21&amp;"")</f>
        <v/>
      </c>
      <c r="K19" s="28">
        <f>IF(OR($A19="",手直し!D21=""),"",IFERROR(INDEX(計算用!$M$2:$M$186,MATCH("男"&amp;手直し!D21,計算用!$AO$2:$AO$186,0)),"？"))</f>
        <v/>
      </c>
      <c r="L19" s="28">
        <f>IF(OR($A19="",手直し!D21=""),"",IFERROR(INDEX(計算用!$I$2:$I$186,MATCH("男"&amp;手直し!D21,計算用!$AO$2:$AO$186,0)),"？"))</f>
        <v/>
      </c>
      <c r="M19">
        <f>IF($A19="","",手直し!E21&amp;"")</f>
        <v/>
      </c>
      <c r="N19" s="28">
        <f>IF(OR($A19="",手直し!E21=""),"",IFERROR(INDEX(計算用!$M$2:$M$186,MATCH("男"&amp;手直し!E21,計算用!$AO$2:$AO$186,0)),"？"))</f>
        <v/>
      </c>
      <c r="O19" s="28">
        <f>IF(OR($A19="",手直し!E21=""),"",IFERROR(INDEX(計算用!$I$2:$I$186,MATCH("男"&amp;手直し!E21,計算用!$AO$2:$AO$186,0)),"？"))</f>
        <v/>
      </c>
      <c r="P19">
        <f>IF($A19="","",手直し!F21&amp;"")</f>
        <v/>
      </c>
      <c r="Q19" s="28">
        <f>IF(OR($A19="",手直し!F21=""),"",IFERROR(INDEX(計算用!$M$2:$M$186,MATCH("男"&amp;手直し!F21,計算用!$AO$2:$AO$186,0)),"？"))</f>
        <v/>
      </c>
      <c r="R19" s="28">
        <f>IF(OR($A19="",手直し!F21=""),"",IFERROR(INDEX(計算用!$I$2:$I$186,MATCH("男"&amp;手直し!F21,計算用!$AO$2:$AO$186,0)),"？"))</f>
        <v/>
      </c>
      <c r="T19" s="28">
        <f>IF(ROW()-3&lt;=計算用!$Q$14,ROW()-3,"")</f>
        <v/>
      </c>
      <c r="U19" s="28">
        <f>IF($T19="","",手直し!O21)</f>
        <v/>
      </c>
      <c r="V19" s="28">
        <f>IF($T19="","",手直し!P21)</f>
        <v/>
      </c>
      <c r="W19">
        <f>IF($T19="","",手直し!G21&amp;"")</f>
        <v/>
      </c>
      <c r="X19" s="28">
        <f>IF(OR($T19="",手直し!G21=""),"",IFERROR(INDEX(計算用!$M$2:$M$186,MATCH("女"&amp;手直し!G21,計算用!$AO$2:$AO$186,0)),"？"))</f>
        <v/>
      </c>
      <c r="Y19" s="28">
        <f>IF(OR($T19="",手直し!G21=""),"",IFERROR(INDEX(計算用!$I$2:$I$186,MATCH("女"&amp;手直し!G21,計算用!$AO$2:$AO$186,0)),"？"))</f>
        <v/>
      </c>
      <c r="Z19">
        <f>IF($T19="","",手直し!H21&amp;"")</f>
        <v/>
      </c>
      <c r="AA19" s="28">
        <f>IF(OR($T19="",手直し!H21=""),"",IFERROR(INDEX(計算用!$M$2:$M$186,MATCH("女"&amp;手直し!H21,計算用!$AO$2:$AO$186,0)),"？"))</f>
        <v/>
      </c>
      <c r="AB19" s="28">
        <f>IF(OR($T19="",手直し!H21=""),"",IFERROR(INDEX(計算用!$I$2:$I$186,MATCH("女"&amp;手直し!H21,計算用!$AO$2:$AO$186,0)),"？"))</f>
        <v/>
      </c>
      <c r="AC19">
        <f>IF($T19="","",手直し!I21&amp;"")</f>
        <v/>
      </c>
      <c r="AD19" s="28">
        <f>IF(OR($T19="",手直し!I21=""),"",IFERROR(INDEX(計算用!$M$2:$M$186,MATCH("女"&amp;手直し!I21,計算用!$AO$2:$AO$186,0)),"？"))</f>
        <v/>
      </c>
      <c r="AE19" s="28">
        <f>IF(OR($T19="",手直し!I21=""),"",IFERROR(INDEX(計算用!$I$2:$I$186,MATCH("女"&amp;手直し!I21,計算用!$AO$2:$AO$186,0)),"？"))</f>
        <v/>
      </c>
      <c r="AF19">
        <f>IF($T19="","",手直し!J21&amp;"")</f>
        <v/>
      </c>
      <c r="AG19" s="28">
        <f>IF(OR($T19="",手直し!J21=""),"",IFERROR(INDEX(計算用!$M$2:$M$186,MATCH("女"&amp;手直し!J21,計算用!$AO$2:$AO$186,0)),"？"))</f>
        <v/>
      </c>
      <c r="AH19" s="28">
        <f>IF(OR($T19="",手直し!J21=""),"",IFERROR(INDEX(計算用!$I$2:$I$186,MATCH("女"&amp;手直し!J21,計算用!$AO$2:$AO$186,0)),"？"))</f>
        <v/>
      </c>
      <c r="AI19">
        <f>IF($T19="","",手直し!K21&amp;"")</f>
        <v/>
      </c>
      <c r="AJ19" s="28">
        <f>IF(OR($T19="",手直し!K21=""),"",IFERROR(INDEX(計算用!$M$2:$M$186,MATCH("女"&amp;手直し!K21,計算用!$AO$2:$AO$186,0)),"？"))</f>
        <v/>
      </c>
      <c r="AK19" s="28">
        <f>IF(OR($T19="",手直し!K21=""),"",IFERROR(INDEX(計算用!$I$2:$I$186,MATCH("女"&amp;手直し!K21,計算用!$AO$2:$AO$186,0)),"？"))</f>
        <v/>
      </c>
    </row>
    <row r="20">
      <c r="A20" s="28">
        <f>IF(ROW()-3&lt;=計算用!$Q$13,ROW()-3,"")</f>
        <v/>
      </c>
      <c r="B20" s="28">
        <f>IF($A20="","",手直し!M22)</f>
        <v/>
      </c>
      <c r="C20" s="28">
        <f>IF($A20="","",手直し!N22)</f>
        <v/>
      </c>
      <c r="D20">
        <f>IF($A20="","",手直し!B22&amp;"")</f>
        <v/>
      </c>
      <c r="E20" s="28">
        <f>IF(OR($A20="",手直し!B22=""),"",IFERROR(INDEX(計算用!$M$2:$M$186,MATCH("男"&amp;手直し!B22,計算用!$AO$2:$AO$186,0)),"？"))</f>
        <v/>
      </c>
      <c r="F20" s="28">
        <f>IF(OR($A20="",手直し!B22=""),"",IFERROR(INDEX(計算用!$I$2:$I$186,MATCH("男"&amp;手直し!B22,計算用!$AO$2:$AO$186,0)),"？"))</f>
        <v/>
      </c>
      <c r="G20">
        <f>IF($A20="","",手直し!C22&amp;"")</f>
        <v/>
      </c>
      <c r="H20" s="28">
        <f>IF(OR($A20="",手直し!C22=""),"",IFERROR(INDEX(計算用!$M$2:$M$186,MATCH("男"&amp;手直し!C22,計算用!$AO$2:$AO$186,0)),"？"))</f>
        <v/>
      </c>
      <c r="I20" s="28">
        <f>IF(OR($A20="",手直し!C22=""),"",IFERROR(INDEX(計算用!$I$2:$I$186,MATCH("男"&amp;手直し!C22,計算用!$AO$2:$AO$186,0)),"？"))</f>
        <v/>
      </c>
      <c r="J20">
        <f>IF($A20="","",手直し!D22&amp;"")</f>
        <v/>
      </c>
      <c r="K20" s="28">
        <f>IF(OR($A20="",手直し!D22=""),"",IFERROR(INDEX(計算用!$M$2:$M$186,MATCH("男"&amp;手直し!D22,計算用!$AO$2:$AO$186,0)),"？"))</f>
        <v/>
      </c>
      <c r="L20" s="28">
        <f>IF(OR($A20="",手直し!D22=""),"",IFERROR(INDEX(計算用!$I$2:$I$186,MATCH("男"&amp;手直し!D22,計算用!$AO$2:$AO$186,0)),"？"))</f>
        <v/>
      </c>
      <c r="M20">
        <f>IF($A20="","",手直し!E22&amp;"")</f>
        <v/>
      </c>
      <c r="N20" s="28">
        <f>IF(OR($A20="",手直し!E22=""),"",IFERROR(INDEX(計算用!$M$2:$M$186,MATCH("男"&amp;手直し!E22,計算用!$AO$2:$AO$186,0)),"？"))</f>
        <v/>
      </c>
      <c r="O20" s="28">
        <f>IF(OR($A20="",手直し!E22=""),"",IFERROR(INDEX(計算用!$I$2:$I$186,MATCH("男"&amp;手直し!E22,計算用!$AO$2:$AO$186,0)),"？"))</f>
        <v/>
      </c>
      <c r="P20">
        <f>IF($A20="","",手直し!F22&amp;"")</f>
        <v/>
      </c>
      <c r="Q20" s="28">
        <f>IF(OR($A20="",手直し!F22=""),"",IFERROR(INDEX(計算用!$M$2:$M$186,MATCH("男"&amp;手直し!F22,計算用!$AO$2:$AO$186,0)),"？"))</f>
        <v/>
      </c>
      <c r="R20" s="28">
        <f>IF(OR($A20="",手直し!F22=""),"",IFERROR(INDEX(計算用!$I$2:$I$186,MATCH("男"&amp;手直し!F22,計算用!$AO$2:$AO$186,0)),"？"))</f>
        <v/>
      </c>
      <c r="T20" s="28">
        <f>IF(ROW()-3&lt;=計算用!$Q$14,ROW()-3,"")</f>
        <v/>
      </c>
      <c r="U20" s="28">
        <f>IF($T20="","",手直し!O22)</f>
        <v/>
      </c>
      <c r="V20" s="28">
        <f>IF($T20="","",手直し!P22)</f>
        <v/>
      </c>
      <c r="W20">
        <f>IF($T20="","",手直し!G22&amp;"")</f>
        <v/>
      </c>
      <c r="X20" s="28">
        <f>IF(OR($T20="",手直し!G22=""),"",IFERROR(INDEX(計算用!$M$2:$M$186,MATCH("女"&amp;手直し!G22,計算用!$AO$2:$AO$186,0)),"？"))</f>
        <v/>
      </c>
      <c r="Y20" s="28">
        <f>IF(OR($T20="",手直し!G22=""),"",IFERROR(INDEX(計算用!$I$2:$I$186,MATCH("女"&amp;手直し!G22,計算用!$AO$2:$AO$186,0)),"？"))</f>
        <v/>
      </c>
      <c r="Z20">
        <f>IF($T20="","",手直し!H22&amp;"")</f>
        <v/>
      </c>
      <c r="AA20" s="28">
        <f>IF(OR($T20="",手直し!H22=""),"",IFERROR(INDEX(計算用!$M$2:$M$186,MATCH("女"&amp;手直し!H22,計算用!$AO$2:$AO$186,0)),"？"))</f>
        <v/>
      </c>
      <c r="AB20" s="28">
        <f>IF(OR($T20="",手直し!H22=""),"",IFERROR(INDEX(計算用!$I$2:$I$186,MATCH("女"&amp;手直し!H22,計算用!$AO$2:$AO$186,0)),"？"))</f>
        <v/>
      </c>
      <c r="AC20">
        <f>IF($T20="","",手直し!I22&amp;"")</f>
        <v/>
      </c>
      <c r="AD20" s="28">
        <f>IF(OR($T20="",手直し!I22=""),"",IFERROR(INDEX(計算用!$M$2:$M$186,MATCH("女"&amp;手直し!I22,計算用!$AO$2:$AO$186,0)),"？"))</f>
        <v/>
      </c>
      <c r="AE20" s="28">
        <f>IF(OR($T20="",手直し!I22=""),"",IFERROR(INDEX(計算用!$I$2:$I$186,MATCH("女"&amp;手直し!I22,計算用!$AO$2:$AO$186,0)),"？"))</f>
        <v/>
      </c>
      <c r="AF20">
        <f>IF($T20="","",手直し!J22&amp;"")</f>
        <v/>
      </c>
      <c r="AG20" s="28">
        <f>IF(OR($T20="",手直し!J22=""),"",IFERROR(INDEX(計算用!$M$2:$M$186,MATCH("女"&amp;手直し!J22,計算用!$AO$2:$AO$186,0)),"？"))</f>
        <v/>
      </c>
      <c r="AH20" s="28">
        <f>IF(OR($T20="",手直し!J22=""),"",IFERROR(INDEX(計算用!$I$2:$I$186,MATCH("女"&amp;手直し!J22,計算用!$AO$2:$AO$186,0)),"？"))</f>
        <v/>
      </c>
      <c r="AI20">
        <f>IF($T20="","",手直し!K22&amp;"")</f>
        <v/>
      </c>
      <c r="AJ20" s="28">
        <f>IF(OR($T20="",手直し!K22=""),"",IFERROR(INDEX(計算用!$M$2:$M$186,MATCH("女"&amp;手直し!K22,計算用!$AO$2:$AO$186,0)),"？"))</f>
        <v/>
      </c>
      <c r="AK20" s="28">
        <f>IF(OR($T20="",手直し!K22=""),"",IFERROR(INDEX(計算用!$I$2:$I$186,MATCH("女"&amp;手直し!K22,計算用!$AO$2:$AO$186,0)),"？"))</f>
        <v/>
      </c>
    </row>
    <row r="21">
      <c r="A21" s="28">
        <f>IF(ROW()-3&lt;=計算用!$Q$13,ROW()-3,"")</f>
        <v/>
      </c>
      <c r="B21" s="28">
        <f>IF($A21="","",手直し!M23)</f>
        <v/>
      </c>
      <c r="C21" s="28">
        <f>IF($A21="","",手直し!N23)</f>
        <v/>
      </c>
      <c r="D21">
        <f>IF($A21="","",手直し!B23&amp;"")</f>
        <v/>
      </c>
      <c r="E21" s="28">
        <f>IF(OR($A21="",手直し!B23=""),"",IFERROR(INDEX(計算用!$M$2:$M$186,MATCH("男"&amp;手直し!B23,計算用!$AO$2:$AO$186,0)),"？"))</f>
        <v/>
      </c>
      <c r="F21" s="28">
        <f>IF(OR($A21="",手直し!B23=""),"",IFERROR(INDEX(計算用!$I$2:$I$186,MATCH("男"&amp;手直し!B23,計算用!$AO$2:$AO$186,0)),"？"))</f>
        <v/>
      </c>
      <c r="G21">
        <f>IF($A21="","",手直し!C23&amp;"")</f>
        <v/>
      </c>
      <c r="H21" s="28">
        <f>IF(OR($A21="",手直し!C23=""),"",IFERROR(INDEX(計算用!$M$2:$M$186,MATCH("男"&amp;手直し!C23,計算用!$AO$2:$AO$186,0)),"？"))</f>
        <v/>
      </c>
      <c r="I21" s="28">
        <f>IF(OR($A21="",手直し!C23=""),"",IFERROR(INDEX(計算用!$I$2:$I$186,MATCH("男"&amp;手直し!C23,計算用!$AO$2:$AO$186,0)),"？"))</f>
        <v/>
      </c>
      <c r="J21">
        <f>IF($A21="","",手直し!D23&amp;"")</f>
        <v/>
      </c>
      <c r="K21" s="28">
        <f>IF(OR($A21="",手直し!D23=""),"",IFERROR(INDEX(計算用!$M$2:$M$186,MATCH("男"&amp;手直し!D23,計算用!$AO$2:$AO$186,0)),"？"))</f>
        <v/>
      </c>
      <c r="L21" s="28">
        <f>IF(OR($A21="",手直し!D23=""),"",IFERROR(INDEX(計算用!$I$2:$I$186,MATCH("男"&amp;手直し!D23,計算用!$AO$2:$AO$186,0)),"？"))</f>
        <v/>
      </c>
      <c r="M21">
        <f>IF($A21="","",手直し!E23&amp;"")</f>
        <v/>
      </c>
      <c r="N21" s="28">
        <f>IF(OR($A21="",手直し!E23=""),"",IFERROR(INDEX(計算用!$M$2:$M$186,MATCH("男"&amp;手直し!E23,計算用!$AO$2:$AO$186,0)),"？"))</f>
        <v/>
      </c>
      <c r="O21" s="28">
        <f>IF(OR($A21="",手直し!E23=""),"",IFERROR(INDEX(計算用!$I$2:$I$186,MATCH("男"&amp;手直し!E23,計算用!$AO$2:$AO$186,0)),"？"))</f>
        <v/>
      </c>
      <c r="P21">
        <f>IF($A21="","",手直し!F23&amp;"")</f>
        <v/>
      </c>
      <c r="Q21" s="28">
        <f>IF(OR($A21="",手直し!F23=""),"",IFERROR(INDEX(計算用!$M$2:$M$186,MATCH("男"&amp;手直し!F23,計算用!$AO$2:$AO$186,0)),"？"))</f>
        <v/>
      </c>
      <c r="R21" s="28">
        <f>IF(OR($A21="",手直し!F23=""),"",IFERROR(INDEX(計算用!$I$2:$I$186,MATCH("男"&amp;手直し!F23,計算用!$AO$2:$AO$186,0)),"？"))</f>
        <v/>
      </c>
      <c r="T21" s="28">
        <f>IF(ROW()-3&lt;=計算用!$Q$14,ROW()-3,"")</f>
        <v/>
      </c>
      <c r="U21" s="28">
        <f>IF($T21="","",手直し!O23)</f>
        <v/>
      </c>
      <c r="V21" s="28">
        <f>IF($T21="","",手直し!P23)</f>
        <v/>
      </c>
      <c r="W21">
        <f>IF($T21="","",手直し!G23&amp;"")</f>
        <v/>
      </c>
      <c r="X21" s="28">
        <f>IF(OR($T21="",手直し!G23=""),"",IFERROR(INDEX(計算用!$M$2:$M$186,MATCH("女"&amp;手直し!G23,計算用!$AO$2:$AO$186,0)),"？"))</f>
        <v/>
      </c>
      <c r="Y21" s="28">
        <f>IF(OR($T21="",手直し!G23=""),"",IFERROR(INDEX(計算用!$I$2:$I$186,MATCH("女"&amp;手直し!G23,計算用!$AO$2:$AO$186,0)),"？"))</f>
        <v/>
      </c>
      <c r="Z21">
        <f>IF($T21="","",手直し!H23&amp;"")</f>
        <v/>
      </c>
      <c r="AA21" s="28">
        <f>IF(OR($T21="",手直し!H23=""),"",IFERROR(INDEX(計算用!$M$2:$M$186,MATCH("女"&amp;手直し!H23,計算用!$AO$2:$AO$186,0)),"？"))</f>
        <v/>
      </c>
      <c r="AB21" s="28">
        <f>IF(OR($T21="",手直し!H23=""),"",IFERROR(INDEX(計算用!$I$2:$I$186,MATCH("女"&amp;手直し!H23,計算用!$AO$2:$AO$186,0)),"？"))</f>
        <v/>
      </c>
      <c r="AC21">
        <f>IF($T21="","",手直し!I23&amp;"")</f>
        <v/>
      </c>
      <c r="AD21" s="28">
        <f>IF(OR($T21="",手直し!I23=""),"",IFERROR(INDEX(計算用!$M$2:$M$186,MATCH("女"&amp;手直し!I23,計算用!$AO$2:$AO$186,0)),"？"))</f>
        <v/>
      </c>
      <c r="AE21" s="28">
        <f>IF(OR($T21="",手直し!I23=""),"",IFERROR(INDEX(計算用!$I$2:$I$186,MATCH("女"&amp;手直し!I23,計算用!$AO$2:$AO$186,0)),"？"))</f>
        <v/>
      </c>
      <c r="AF21">
        <f>IF($T21="","",手直し!J23&amp;"")</f>
        <v/>
      </c>
      <c r="AG21" s="28">
        <f>IF(OR($T21="",手直し!J23=""),"",IFERROR(INDEX(計算用!$M$2:$M$186,MATCH("女"&amp;手直し!J23,計算用!$AO$2:$AO$186,0)),"？"))</f>
        <v/>
      </c>
      <c r="AH21" s="28">
        <f>IF(OR($T21="",手直し!J23=""),"",IFERROR(INDEX(計算用!$I$2:$I$186,MATCH("女"&amp;手直し!J23,計算用!$AO$2:$AO$186,0)),"？"))</f>
        <v/>
      </c>
      <c r="AI21">
        <f>IF($T21="","",手直し!K23&amp;"")</f>
        <v/>
      </c>
      <c r="AJ21" s="28">
        <f>IF(OR($T21="",手直し!K23=""),"",IFERROR(INDEX(計算用!$M$2:$M$186,MATCH("女"&amp;手直し!K23,計算用!$AO$2:$AO$186,0)),"？"))</f>
        <v/>
      </c>
      <c r="AK21" s="28">
        <f>IF(OR($T21="",手直し!K23=""),"",IFERROR(INDEX(計算用!$I$2:$I$186,MATCH("女"&amp;手直し!K23,計算用!$AO$2:$AO$186,0)),"？"))</f>
        <v/>
      </c>
    </row>
    <row r="22">
      <c r="A22" s="28">
        <f>IF(ROW()-3&lt;=計算用!$Q$13,ROW()-3,"")</f>
        <v/>
      </c>
      <c r="B22" s="28">
        <f>IF($A22="","",手直し!M24)</f>
        <v/>
      </c>
      <c r="C22" s="28">
        <f>IF($A22="","",手直し!N24)</f>
        <v/>
      </c>
      <c r="D22">
        <f>IF($A22="","",手直し!B24&amp;"")</f>
        <v/>
      </c>
      <c r="E22" s="28">
        <f>IF(OR($A22="",手直し!B24=""),"",IFERROR(INDEX(計算用!$M$2:$M$186,MATCH("男"&amp;手直し!B24,計算用!$AO$2:$AO$186,0)),"？"))</f>
        <v/>
      </c>
      <c r="F22" s="28">
        <f>IF(OR($A22="",手直し!B24=""),"",IFERROR(INDEX(計算用!$I$2:$I$186,MATCH("男"&amp;手直し!B24,計算用!$AO$2:$AO$186,0)),"？"))</f>
        <v/>
      </c>
      <c r="G22">
        <f>IF($A22="","",手直し!C24&amp;"")</f>
        <v/>
      </c>
      <c r="H22" s="28">
        <f>IF(OR($A22="",手直し!C24=""),"",IFERROR(INDEX(計算用!$M$2:$M$186,MATCH("男"&amp;手直し!C24,計算用!$AO$2:$AO$186,0)),"？"))</f>
        <v/>
      </c>
      <c r="I22" s="28">
        <f>IF(OR($A22="",手直し!C24=""),"",IFERROR(INDEX(計算用!$I$2:$I$186,MATCH("男"&amp;手直し!C24,計算用!$AO$2:$AO$186,0)),"？"))</f>
        <v/>
      </c>
      <c r="J22">
        <f>IF($A22="","",手直し!D24&amp;"")</f>
        <v/>
      </c>
      <c r="K22" s="28">
        <f>IF(OR($A22="",手直し!D24=""),"",IFERROR(INDEX(計算用!$M$2:$M$186,MATCH("男"&amp;手直し!D24,計算用!$AO$2:$AO$186,0)),"？"))</f>
        <v/>
      </c>
      <c r="L22" s="28">
        <f>IF(OR($A22="",手直し!D24=""),"",IFERROR(INDEX(計算用!$I$2:$I$186,MATCH("男"&amp;手直し!D24,計算用!$AO$2:$AO$186,0)),"？"))</f>
        <v/>
      </c>
      <c r="M22">
        <f>IF($A22="","",手直し!E24&amp;"")</f>
        <v/>
      </c>
      <c r="N22" s="28">
        <f>IF(OR($A22="",手直し!E24=""),"",IFERROR(INDEX(計算用!$M$2:$M$186,MATCH("男"&amp;手直し!E24,計算用!$AO$2:$AO$186,0)),"？"))</f>
        <v/>
      </c>
      <c r="O22" s="28">
        <f>IF(OR($A22="",手直し!E24=""),"",IFERROR(INDEX(計算用!$I$2:$I$186,MATCH("男"&amp;手直し!E24,計算用!$AO$2:$AO$186,0)),"？"))</f>
        <v/>
      </c>
      <c r="P22">
        <f>IF($A22="","",手直し!F24&amp;"")</f>
        <v/>
      </c>
      <c r="Q22" s="28">
        <f>IF(OR($A22="",手直し!F24=""),"",IFERROR(INDEX(計算用!$M$2:$M$186,MATCH("男"&amp;手直し!F24,計算用!$AO$2:$AO$186,0)),"？"))</f>
        <v/>
      </c>
      <c r="R22" s="28">
        <f>IF(OR($A22="",手直し!F24=""),"",IFERROR(INDEX(計算用!$I$2:$I$186,MATCH("男"&amp;手直し!F24,計算用!$AO$2:$AO$186,0)),"？"))</f>
        <v/>
      </c>
      <c r="T22" s="28">
        <f>IF(ROW()-3&lt;=計算用!$Q$14,ROW()-3,"")</f>
        <v/>
      </c>
      <c r="U22" s="28">
        <f>IF($T22="","",手直し!O24)</f>
        <v/>
      </c>
      <c r="V22" s="28">
        <f>IF($T22="","",手直し!P24)</f>
        <v/>
      </c>
      <c r="W22">
        <f>IF($T22="","",手直し!G24&amp;"")</f>
        <v/>
      </c>
      <c r="X22" s="28">
        <f>IF(OR($T22="",手直し!G24=""),"",IFERROR(INDEX(計算用!$M$2:$M$186,MATCH("女"&amp;手直し!G24,計算用!$AO$2:$AO$186,0)),"？"))</f>
        <v/>
      </c>
      <c r="Y22" s="28">
        <f>IF(OR($T22="",手直し!G24=""),"",IFERROR(INDEX(計算用!$I$2:$I$186,MATCH("女"&amp;手直し!G24,計算用!$AO$2:$AO$186,0)),"？"))</f>
        <v/>
      </c>
      <c r="Z22">
        <f>IF($T22="","",手直し!H24&amp;"")</f>
        <v/>
      </c>
      <c r="AA22" s="28">
        <f>IF(OR($T22="",手直し!H24=""),"",IFERROR(INDEX(計算用!$M$2:$M$186,MATCH("女"&amp;手直し!H24,計算用!$AO$2:$AO$186,0)),"？"))</f>
        <v/>
      </c>
      <c r="AB22" s="28">
        <f>IF(OR($T22="",手直し!H24=""),"",IFERROR(INDEX(計算用!$I$2:$I$186,MATCH("女"&amp;手直し!H24,計算用!$AO$2:$AO$186,0)),"？"))</f>
        <v/>
      </c>
      <c r="AC22">
        <f>IF($T22="","",手直し!I24&amp;"")</f>
        <v/>
      </c>
      <c r="AD22" s="28">
        <f>IF(OR($T22="",手直し!I24=""),"",IFERROR(INDEX(計算用!$M$2:$M$186,MATCH("女"&amp;手直し!I24,計算用!$AO$2:$AO$186,0)),"？"))</f>
        <v/>
      </c>
      <c r="AE22" s="28">
        <f>IF(OR($T22="",手直し!I24=""),"",IFERROR(INDEX(計算用!$I$2:$I$186,MATCH("女"&amp;手直し!I24,計算用!$AO$2:$AO$186,0)),"？"))</f>
        <v/>
      </c>
      <c r="AF22">
        <f>IF($T22="","",手直し!J24&amp;"")</f>
        <v/>
      </c>
      <c r="AG22" s="28">
        <f>IF(OR($T22="",手直し!J24=""),"",IFERROR(INDEX(計算用!$M$2:$M$186,MATCH("女"&amp;手直し!J24,計算用!$AO$2:$AO$186,0)),"？"))</f>
        <v/>
      </c>
      <c r="AH22" s="28">
        <f>IF(OR($T22="",手直し!J24=""),"",IFERROR(INDEX(計算用!$I$2:$I$186,MATCH("女"&amp;手直し!J24,計算用!$AO$2:$AO$186,0)),"？"))</f>
        <v/>
      </c>
      <c r="AI22">
        <f>IF($T22="","",手直し!K24&amp;"")</f>
        <v/>
      </c>
      <c r="AJ22" s="28">
        <f>IF(OR($T22="",手直し!K24=""),"",IFERROR(INDEX(計算用!$M$2:$M$186,MATCH("女"&amp;手直し!K24,計算用!$AO$2:$AO$186,0)),"？"))</f>
        <v/>
      </c>
      <c r="AK22" s="28">
        <f>IF(OR($T22="",手直し!K24=""),"",IFERROR(INDEX(計算用!$I$2:$I$186,MATCH("女"&amp;手直し!K24,計算用!$AO$2:$AO$186,0)),"？"))</f>
        <v/>
      </c>
    </row>
    <row r="23">
      <c r="A23" s="28">
        <f>IF(ROW()-3&lt;=計算用!$Q$13,ROW()-3,"")</f>
        <v/>
      </c>
      <c r="B23" s="28">
        <f>IF($A23="","",手直し!M25)</f>
        <v/>
      </c>
      <c r="C23" s="28">
        <f>IF($A23="","",手直し!N25)</f>
        <v/>
      </c>
      <c r="D23">
        <f>IF($A23="","",手直し!B25&amp;"")</f>
        <v/>
      </c>
      <c r="E23" s="28">
        <f>IF(OR($A23="",手直し!B25=""),"",IFERROR(INDEX(計算用!$M$2:$M$186,MATCH("男"&amp;手直し!B25,計算用!$AO$2:$AO$186,0)),"？"))</f>
        <v/>
      </c>
      <c r="F23" s="28">
        <f>IF(OR($A23="",手直し!B25=""),"",IFERROR(INDEX(計算用!$I$2:$I$186,MATCH("男"&amp;手直し!B25,計算用!$AO$2:$AO$186,0)),"？"))</f>
        <v/>
      </c>
      <c r="G23">
        <f>IF($A23="","",手直し!C25&amp;"")</f>
        <v/>
      </c>
      <c r="H23" s="28">
        <f>IF(OR($A23="",手直し!C25=""),"",IFERROR(INDEX(計算用!$M$2:$M$186,MATCH("男"&amp;手直し!C25,計算用!$AO$2:$AO$186,0)),"？"))</f>
        <v/>
      </c>
      <c r="I23" s="28">
        <f>IF(OR($A23="",手直し!C25=""),"",IFERROR(INDEX(計算用!$I$2:$I$186,MATCH("男"&amp;手直し!C25,計算用!$AO$2:$AO$186,0)),"？"))</f>
        <v/>
      </c>
      <c r="J23">
        <f>IF($A23="","",手直し!D25&amp;"")</f>
        <v/>
      </c>
      <c r="K23" s="28">
        <f>IF(OR($A23="",手直し!D25=""),"",IFERROR(INDEX(計算用!$M$2:$M$186,MATCH("男"&amp;手直し!D25,計算用!$AO$2:$AO$186,0)),"？"))</f>
        <v/>
      </c>
      <c r="L23" s="28">
        <f>IF(OR($A23="",手直し!D25=""),"",IFERROR(INDEX(計算用!$I$2:$I$186,MATCH("男"&amp;手直し!D25,計算用!$AO$2:$AO$186,0)),"？"))</f>
        <v/>
      </c>
      <c r="M23">
        <f>IF($A23="","",手直し!E25&amp;"")</f>
        <v/>
      </c>
      <c r="N23" s="28">
        <f>IF(OR($A23="",手直し!E25=""),"",IFERROR(INDEX(計算用!$M$2:$M$186,MATCH("男"&amp;手直し!E25,計算用!$AO$2:$AO$186,0)),"？"))</f>
        <v/>
      </c>
      <c r="O23" s="28">
        <f>IF(OR($A23="",手直し!E25=""),"",IFERROR(INDEX(計算用!$I$2:$I$186,MATCH("男"&amp;手直し!E25,計算用!$AO$2:$AO$186,0)),"？"))</f>
        <v/>
      </c>
      <c r="P23">
        <f>IF($A23="","",手直し!F25&amp;"")</f>
        <v/>
      </c>
      <c r="Q23" s="28">
        <f>IF(OR($A23="",手直し!F25=""),"",IFERROR(INDEX(計算用!$M$2:$M$186,MATCH("男"&amp;手直し!F25,計算用!$AO$2:$AO$186,0)),"？"))</f>
        <v/>
      </c>
      <c r="R23" s="28">
        <f>IF(OR($A23="",手直し!F25=""),"",IFERROR(INDEX(計算用!$I$2:$I$186,MATCH("男"&amp;手直し!F25,計算用!$AO$2:$AO$186,0)),"？"))</f>
        <v/>
      </c>
      <c r="T23" s="28">
        <f>IF(ROW()-3&lt;=計算用!$Q$14,ROW()-3,"")</f>
        <v/>
      </c>
      <c r="U23" s="28">
        <f>IF($T23="","",手直し!O25)</f>
        <v/>
      </c>
      <c r="V23" s="28">
        <f>IF($T23="","",手直し!P25)</f>
        <v/>
      </c>
      <c r="W23">
        <f>IF($T23="","",手直し!G25&amp;"")</f>
        <v/>
      </c>
      <c r="X23" s="28">
        <f>IF(OR($T23="",手直し!G25=""),"",IFERROR(INDEX(計算用!$M$2:$M$186,MATCH("女"&amp;手直し!G25,計算用!$AO$2:$AO$186,0)),"？"))</f>
        <v/>
      </c>
      <c r="Y23" s="28">
        <f>IF(OR($T23="",手直し!G25=""),"",IFERROR(INDEX(計算用!$I$2:$I$186,MATCH("女"&amp;手直し!G25,計算用!$AO$2:$AO$186,0)),"？"))</f>
        <v/>
      </c>
      <c r="Z23">
        <f>IF($T23="","",手直し!H25&amp;"")</f>
        <v/>
      </c>
      <c r="AA23" s="28">
        <f>IF(OR($T23="",手直し!H25=""),"",IFERROR(INDEX(計算用!$M$2:$M$186,MATCH("女"&amp;手直し!H25,計算用!$AO$2:$AO$186,0)),"？"))</f>
        <v/>
      </c>
      <c r="AB23" s="28">
        <f>IF(OR($T23="",手直し!H25=""),"",IFERROR(INDEX(計算用!$I$2:$I$186,MATCH("女"&amp;手直し!H25,計算用!$AO$2:$AO$186,0)),"？"))</f>
        <v/>
      </c>
      <c r="AC23">
        <f>IF($T23="","",手直し!I25&amp;"")</f>
        <v/>
      </c>
      <c r="AD23" s="28">
        <f>IF(OR($T23="",手直し!I25=""),"",IFERROR(INDEX(計算用!$M$2:$M$186,MATCH("女"&amp;手直し!I25,計算用!$AO$2:$AO$186,0)),"？"))</f>
        <v/>
      </c>
      <c r="AE23" s="28">
        <f>IF(OR($T23="",手直し!I25=""),"",IFERROR(INDEX(計算用!$I$2:$I$186,MATCH("女"&amp;手直し!I25,計算用!$AO$2:$AO$186,0)),"？"))</f>
        <v/>
      </c>
      <c r="AF23">
        <f>IF($T23="","",手直し!J25&amp;"")</f>
        <v/>
      </c>
      <c r="AG23" s="28">
        <f>IF(OR($T23="",手直し!J25=""),"",IFERROR(INDEX(計算用!$M$2:$M$186,MATCH("女"&amp;手直し!J25,計算用!$AO$2:$AO$186,0)),"？"))</f>
        <v/>
      </c>
      <c r="AH23" s="28">
        <f>IF(OR($T23="",手直し!J25=""),"",IFERROR(INDEX(計算用!$I$2:$I$186,MATCH("女"&amp;手直し!J25,計算用!$AO$2:$AO$186,0)),"？"))</f>
        <v/>
      </c>
      <c r="AI23">
        <f>IF($T23="","",手直し!K25&amp;"")</f>
        <v/>
      </c>
      <c r="AJ23" s="28">
        <f>IF(OR($T23="",手直し!K25=""),"",IFERROR(INDEX(計算用!$M$2:$M$186,MATCH("女"&amp;手直し!K25,計算用!$AO$2:$AO$186,0)),"？"))</f>
        <v/>
      </c>
      <c r="AK23" s="28">
        <f>IF(OR($T23="",手直し!K25=""),"",IFERROR(INDEX(計算用!$I$2:$I$186,MATCH("女"&amp;手直し!K25,計算用!$AO$2:$AO$186,0)),"？"))</f>
        <v/>
      </c>
    </row>
    <row r="24">
      <c r="A24" s="28">
        <f>IF(ROW()-3&lt;=計算用!$Q$13,ROW()-3,"")</f>
        <v/>
      </c>
      <c r="B24" s="28">
        <f>IF($A24="","",手直し!M26)</f>
        <v/>
      </c>
      <c r="C24" s="28">
        <f>IF($A24="","",手直し!N26)</f>
        <v/>
      </c>
      <c r="D24">
        <f>IF($A24="","",手直し!B26&amp;"")</f>
        <v/>
      </c>
      <c r="E24" s="28">
        <f>IF(OR($A24="",手直し!B26=""),"",IFERROR(INDEX(計算用!$M$2:$M$186,MATCH("男"&amp;手直し!B26,計算用!$AO$2:$AO$186,0)),"？"))</f>
        <v/>
      </c>
      <c r="F24" s="28">
        <f>IF(OR($A24="",手直し!B26=""),"",IFERROR(INDEX(計算用!$I$2:$I$186,MATCH("男"&amp;手直し!B26,計算用!$AO$2:$AO$186,0)),"？"))</f>
        <v/>
      </c>
      <c r="G24">
        <f>IF($A24="","",手直し!C26&amp;"")</f>
        <v/>
      </c>
      <c r="H24" s="28">
        <f>IF(OR($A24="",手直し!C26=""),"",IFERROR(INDEX(計算用!$M$2:$M$186,MATCH("男"&amp;手直し!C26,計算用!$AO$2:$AO$186,0)),"？"))</f>
        <v/>
      </c>
      <c r="I24" s="28">
        <f>IF(OR($A24="",手直し!C26=""),"",IFERROR(INDEX(計算用!$I$2:$I$186,MATCH("男"&amp;手直し!C26,計算用!$AO$2:$AO$186,0)),"？"))</f>
        <v/>
      </c>
      <c r="J24">
        <f>IF($A24="","",手直し!D26&amp;"")</f>
        <v/>
      </c>
      <c r="K24" s="28">
        <f>IF(OR($A24="",手直し!D26=""),"",IFERROR(INDEX(計算用!$M$2:$M$186,MATCH("男"&amp;手直し!D26,計算用!$AO$2:$AO$186,0)),"？"))</f>
        <v/>
      </c>
      <c r="L24" s="28">
        <f>IF(OR($A24="",手直し!D26=""),"",IFERROR(INDEX(計算用!$I$2:$I$186,MATCH("男"&amp;手直し!D26,計算用!$AO$2:$AO$186,0)),"？"))</f>
        <v/>
      </c>
      <c r="M24">
        <f>IF($A24="","",手直し!E26&amp;"")</f>
        <v/>
      </c>
      <c r="N24" s="28">
        <f>IF(OR($A24="",手直し!E26=""),"",IFERROR(INDEX(計算用!$M$2:$M$186,MATCH("男"&amp;手直し!E26,計算用!$AO$2:$AO$186,0)),"？"))</f>
        <v/>
      </c>
      <c r="O24" s="28">
        <f>IF(OR($A24="",手直し!E26=""),"",IFERROR(INDEX(計算用!$I$2:$I$186,MATCH("男"&amp;手直し!E26,計算用!$AO$2:$AO$186,0)),"？"))</f>
        <v/>
      </c>
      <c r="P24">
        <f>IF($A24="","",手直し!F26&amp;"")</f>
        <v/>
      </c>
      <c r="Q24" s="28">
        <f>IF(OR($A24="",手直し!F26=""),"",IFERROR(INDEX(計算用!$M$2:$M$186,MATCH("男"&amp;手直し!F26,計算用!$AO$2:$AO$186,0)),"？"))</f>
        <v/>
      </c>
      <c r="R24" s="28">
        <f>IF(OR($A24="",手直し!F26=""),"",IFERROR(INDEX(計算用!$I$2:$I$186,MATCH("男"&amp;手直し!F26,計算用!$AO$2:$AO$186,0)),"？"))</f>
        <v/>
      </c>
      <c r="T24" s="28">
        <f>IF(ROW()-3&lt;=計算用!$Q$14,ROW()-3,"")</f>
        <v/>
      </c>
      <c r="U24" s="28">
        <f>IF($T24="","",手直し!O26)</f>
        <v/>
      </c>
      <c r="V24" s="28">
        <f>IF($T24="","",手直し!P26)</f>
        <v/>
      </c>
      <c r="W24">
        <f>IF($T24="","",手直し!G26&amp;"")</f>
        <v/>
      </c>
      <c r="X24" s="28">
        <f>IF(OR($T24="",手直し!G26=""),"",IFERROR(INDEX(計算用!$M$2:$M$186,MATCH("女"&amp;手直し!G26,計算用!$AO$2:$AO$186,0)),"？"))</f>
        <v/>
      </c>
      <c r="Y24" s="28">
        <f>IF(OR($T24="",手直し!G26=""),"",IFERROR(INDEX(計算用!$I$2:$I$186,MATCH("女"&amp;手直し!G26,計算用!$AO$2:$AO$186,0)),"？"))</f>
        <v/>
      </c>
      <c r="Z24">
        <f>IF($T24="","",手直し!H26&amp;"")</f>
        <v/>
      </c>
      <c r="AA24" s="28">
        <f>IF(OR($T24="",手直し!H26=""),"",IFERROR(INDEX(計算用!$M$2:$M$186,MATCH("女"&amp;手直し!H26,計算用!$AO$2:$AO$186,0)),"？"))</f>
        <v/>
      </c>
      <c r="AB24" s="28">
        <f>IF(OR($T24="",手直し!H26=""),"",IFERROR(INDEX(計算用!$I$2:$I$186,MATCH("女"&amp;手直し!H26,計算用!$AO$2:$AO$186,0)),"？"))</f>
        <v/>
      </c>
      <c r="AC24">
        <f>IF($T24="","",手直し!I26&amp;"")</f>
        <v/>
      </c>
      <c r="AD24" s="28">
        <f>IF(OR($T24="",手直し!I26=""),"",IFERROR(INDEX(計算用!$M$2:$M$186,MATCH("女"&amp;手直し!I26,計算用!$AO$2:$AO$186,0)),"？"))</f>
        <v/>
      </c>
      <c r="AE24" s="28">
        <f>IF(OR($T24="",手直し!I26=""),"",IFERROR(INDEX(計算用!$I$2:$I$186,MATCH("女"&amp;手直し!I26,計算用!$AO$2:$AO$186,0)),"？"))</f>
        <v/>
      </c>
      <c r="AF24">
        <f>IF($T24="","",手直し!J26&amp;"")</f>
        <v/>
      </c>
      <c r="AG24" s="28">
        <f>IF(OR($T24="",手直し!J26=""),"",IFERROR(INDEX(計算用!$M$2:$M$186,MATCH("女"&amp;手直し!J26,計算用!$AO$2:$AO$186,0)),"？"))</f>
        <v/>
      </c>
      <c r="AH24" s="28">
        <f>IF(OR($T24="",手直し!J26=""),"",IFERROR(INDEX(計算用!$I$2:$I$186,MATCH("女"&amp;手直し!J26,計算用!$AO$2:$AO$186,0)),"？"))</f>
        <v/>
      </c>
      <c r="AI24">
        <f>IF($T24="","",手直し!K26&amp;"")</f>
        <v/>
      </c>
      <c r="AJ24" s="28">
        <f>IF(OR($T24="",手直し!K26=""),"",IFERROR(INDEX(計算用!$M$2:$M$186,MATCH("女"&amp;手直し!K26,計算用!$AO$2:$AO$186,0)),"？"))</f>
        <v/>
      </c>
      <c r="AK24" s="28">
        <f>IF(OR($T24="",手直し!K26=""),"",IFERROR(INDEX(計算用!$I$2:$I$186,MATCH("女"&amp;手直し!K26,計算用!$AO$2:$AO$186,0)),"？"))</f>
        <v/>
      </c>
    </row>
    <row r="25">
      <c r="A25" s="28">
        <f>IF(ROW()-3&lt;=計算用!$Q$13,ROW()-3,"")</f>
        <v/>
      </c>
      <c r="B25" s="28">
        <f>IF($A25="","",手直し!M27)</f>
        <v/>
      </c>
      <c r="C25" s="28">
        <f>IF($A25="","",手直し!N27)</f>
        <v/>
      </c>
      <c r="D25">
        <f>IF($A25="","",手直し!B27&amp;"")</f>
        <v/>
      </c>
      <c r="E25" s="28">
        <f>IF(OR($A25="",手直し!B27=""),"",IFERROR(INDEX(計算用!$M$2:$M$186,MATCH("男"&amp;手直し!B27,計算用!$AO$2:$AO$186,0)),"？"))</f>
        <v/>
      </c>
      <c r="F25" s="28">
        <f>IF(OR($A25="",手直し!B27=""),"",IFERROR(INDEX(計算用!$I$2:$I$186,MATCH("男"&amp;手直し!B27,計算用!$AO$2:$AO$186,0)),"？"))</f>
        <v/>
      </c>
      <c r="G25">
        <f>IF($A25="","",手直し!C27&amp;"")</f>
        <v/>
      </c>
      <c r="H25" s="28">
        <f>IF(OR($A25="",手直し!C27=""),"",IFERROR(INDEX(計算用!$M$2:$M$186,MATCH("男"&amp;手直し!C27,計算用!$AO$2:$AO$186,0)),"？"))</f>
        <v/>
      </c>
      <c r="I25" s="28">
        <f>IF(OR($A25="",手直し!C27=""),"",IFERROR(INDEX(計算用!$I$2:$I$186,MATCH("男"&amp;手直し!C27,計算用!$AO$2:$AO$186,0)),"？"))</f>
        <v/>
      </c>
      <c r="J25">
        <f>IF($A25="","",手直し!D27&amp;"")</f>
        <v/>
      </c>
      <c r="K25" s="28">
        <f>IF(OR($A25="",手直し!D27=""),"",IFERROR(INDEX(計算用!$M$2:$M$186,MATCH("男"&amp;手直し!D27,計算用!$AO$2:$AO$186,0)),"？"))</f>
        <v/>
      </c>
      <c r="L25" s="28">
        <f>IF(OR($A25="",手直し!D27=""),"",IFERROR(INDEX(計算用!$I$2:$I$186,MATCH("男"&amp;手直し!D27,計算用!$AO$2:$AO$186,0)),"？"))</f>
        <v/>
      </c>
      <c r="M25">
        <f>IF($A25="","",手直し!E27&amp;"")</f>
        <v/>
      </c>
      <c r="N25" s="28">
        <f>IF(OR($A25="",手直し!E27=""),"",IFERROR(INDEX(計算用!$M$2:$M$186,MATCH("男"&amp;手直し!E27,計算用!$AO$2:$AO$186,0)),"？"))</f>
        <v/>
      </c>
      <c r="O25" s="28">
        <f>IF(OR($A25="",手直し!E27=""),"",IFERROR(INDEX(計算用!$I$2:$I$186,MATCH("男"&amp;手直し!E27,計算用!$AO$2:$AO$186,0)),"？"))</f>
        <v/>
      </c>
      <c r="P25">
        <f>IF($A25="","",手直し!F27&amp;"")</f>
        <v/>
      </c>
      <c r="Q25" s="28">
        <f>IF(OR($A25="",手直し!F27=""),"",IFERROR(INDEX(計算用!$M$2:$M$186,MATCH("男"&amp;手直し!F27,計算用!$AO$2:$AO$186,0)),"？"))</f>
        <v/>
      </c>
      <c r="R25" s="28">
        <f>IF(OR($A25="",手直し!F27=""),"",IFERROR(INDEX(計算用!$I$2:$I$186,MATCH("男"&amp;手直し!F27,計算用!$AO$2:$AO$186,0)),"？"))</f>
        <v/>
      </c>
      <c r="T25" s="28">
        <f>IF(ROW()-3&lt;=計算用!$Q$14,ROW()-3,"")</f>
        <v/>
      </c>
      <c r="U25" s="28">
        <f>IF($T25="","",手直し!O27)</f>
        <v/>
      </c>
      <c r="V25" s="28">
        <f>IF($T25="","",手直し!P27)</f>
        <v/>
      </c>
      <c r="W25">
        <f>IF($T25="","",手直し!G27&amp;"")</f>
        <v/>
      </c>
      <c r="X25" s="28">
        <f>IF(OR($T25="",手直し!G27=""),"",IFERROR(INDEX(計算用!$M$2:$M$186,MATCH("女"&amp;手直し!G27,計算用!$AO$2:$AO$186,0)),"？"))</f>
        <v/>
      </c>
      <c r="Y25" s="28">
        <f>IF(OR($T25="",手直し!G27=""),"",IFERROR(INDEX(計算用!$I$2:$I$186,MATCH("女"&amp;手直し!G27,計算用!$AO$2:$AO$186,0)),"？"))</f>
        <v/>
      </c>
      <c r="Z25">
        <f>IF($T25="","",手直し!H27&amp;"")</f>
        <v/>
      </c>
      <c r="AA25" s="28">
        <f>IF(OR($T25="",手直し!H27=""),"",IFERROR(INDEX(計算用!$M$2:$M$186,MATCH("女"&amp;手直し!H27,計算用!$AO$2:$AO$186,0)),"？"))</f>
        <v/>
      </c>
      <c r="AB25" s="28">
        <f>IF(OR($T25="",手直し!H27=""),"",IFERROR(INDEX(計算用!$I$2:$I$186,MATCH("女"&amp;手直し!H27,計算用!$AO$2:$AO$186,0)),"？"))</f>
        <v/>
      </c>
      <c r="AC25">
        <f>IF($T25="","",手直し!I27&amp;"")</f>
        <v/>
      </c>
      <c r="AD25" s="28">
        <f>IF(OR($T25="",手直し!I27=""),"",IFERROR(INDEX(計算用!$M$2:$M$186,MATCH("女"&amp;手直し!I27,計算用!$AO$2:$AO$186,0)),"？"))</f>
        <v/>
      </c>
      <c r="AE25" s="28">
        <f>IF(OR($T25="",手直し!I27=""),"",IFERROR(INDEX(計算用!$I$2:$I$186,MATCH("女"&amp;手直し!I27,計算用!$AO$2:$AO$186,0)),"？"))</f>
        <v/>
      </c>
      <c r="AF25">
        <f>IF($T25="","",手直し!J27&amp;"")</f>
        <v/>
      </c>
      <c r="AG25" s="28">
        <f>IF(OR($T25="",手直し!J27=""),"",IFERROR(INDEX(計算用!$M$2:$M$186,MATCH("女"&amp;手直し!J27,計算用!$AO$2:$AO$186,0)),"？"))</f>
        <v/>
      </c>
      <c r="AH25" s="28">
        <f>IF(OR($T25="",手直し!J27=""),"",IFERROR(INDEX(計算用!$I$2:$I$186,MATCH("女"&amp;手直し!J27,計算用!$AO$2:$AO$186,0)),"？"))</f>
        <v/>
      </c>
      <c r="AI25">
        <f>IF($T25="","",手直し!K27&amp;"")</f>
        <v/>
      </c>
      <c r="AJ25" s="28">
        <f>IF(OR($T25="",手直し!K27=""),"",IFERROR(INDEX(計算用!$M$2:$M$186,MATCH("女"&amp;手直し!K27,計算用!$AO$2:$AO$186,0)),"？"))</f>
        <v/>
      </c>
      <c r="AK25" s="28">
        <f>IF(OR($T25="",手直し!K27=""),"",IFERROR(INDEX(計算用!$I$2:$I$186,MATCH("女"&amp;手直し!K27,計算用!$AO$2:$AO$186,0)),"？"))</f>
        <v/>
      </c>
    </row>
    <row r="26">
      <c r="A26" s="28">
        <f>IF(ROW()-3&lt;=計算用!$Q$13,ROW()-3,"")</f>
        <v/>
      </c>
      <c r="B26" s="28">
        <f>IF($A26="","",手直し!M28)</f>
        <v/>
      </c>
      <c r="C26" s="28">
        <f>IF($A26="","",手直し!N28)</f>
        <v/>
      </c>
      <c r="D26">
        <f>IF($A26="","",手直し!B28&amp;"")</f>
        <v/>
      </c>
      <c r="E26" s="28">
        <f>IF(OR($A26="",手直し!B28=""),"",IFERROR(INDEX(計算用!$M$2:$M$186,MATCH("男"&amp;手直し!B28,計算用!$AO$2:$AO$186,0)),"？"))</f>
        <v/>
      </c>
      <c r="F26" s="28">
        <f>IF(OR($A26="",手直し!B28=""),"",IFERROR(INDEX(計算用!$I$2:$I$186,MATCH("男"&amp;手直し!B28,計算用!$AO$2:$AO$186,0)),"？"))</f>
        <v/>
      </c>
      <c r="G26">
        <f>IF($A26="","",手直し!C28&amp;"")</f>
        <v/>
      </c>
      <c r="H26" s="28">
        <f>IF(OR($A26="",手直し!C28=""),"",IFERROR(INDEX(計算用!$M$2:$M$186,MATCH("男"&amp;手直し!C28,計算用!$AO$2:$AO$186,0)),"？"))</f>
        <v/>
      </c>
      <c r="I26" s="28">
        <f>IF(OR($A26="",手直し!C28=""),"",IFERROR(INDEX(計算用!$I$2:$I$186,MATCH("男"&amp;手直し!C28,計算用!$AO$2:$AO$186,0)),"？"))</f>
        <v/>
      </c>
      <c r="J26">
        <f>IF($A26="","",手直し!D28&amp;"")</f>
        <v/>
      </c>
      <c r="K26" s="28">
        <f>IF(OR($A26="",手直し!D28=""),"",IFERROR(INDEX(計算用!$M$2:$M$186,MATCH("男"&amp;手直し!D28,計算用!$AO$2:$AO$186,0)),"？"))</f>
        <v/>
      </c>
      <c r="L26" s="28">
        <f>IF(OR($A26="",手直し!D28=""),"",IFERROR(INDEX(計算用!$I$2:$I$186,MATCH("男"&amp;手直し!D28,計算用!$AO$2:$AO$186,0)),"？"))</f>
        <v/>
      </c>
      <c r="M26">
        <f>IF($A26="","",手直し!E28&amp;"")</f>
        <v/>
      </c>
      <c r="N26" s="28">
        <f>IF(OR($A26="",手直し!E28=""),"",IFERROR(INDEX(計算用!$M$2:$M$186,MATCH("男"&amp;手直し!E28,計算用!$AO$2:$AO$186,0)),"？"))</f>
        <v/>
      </c>
      <c r="O26" s="28">
        <f>IF(OR($A26="",手直し!E28=""),"",IFERROR(INDEX(計算用!$I$2:$I$186,MATCH("男"&amp;手直し!E28,計算用!$AO$2:$AO$186,0)),"？"))</f>
        <v/>
      </c>
      <c r="P26">
        <f>IF($A26="","",手直し!F28&amp;"")</f>
        <v/>
      </c>
      <c r="Q26" s="28">
        <f>IF(OR($A26="",手直し!F28=""),"",IFERROR(INDEX(計算用!$M$2:$M$186,MATCH("男"&amp;手直し!F28,計算用!$AO$2:$AO$186,0)),"？"))</f>
        <v/>
      </c>
      <c r="R26" s="28">
        <f>IF(OR($A26="",手直し!F28=""),"",IFERROR(INDEX(計算用!$I$2:$I$186,MATCH("男"&amp;手直し!F28,計算用!$AO$2:$AO$186,0)),"？"))</f>
        <v/>
      </c>
      <c r="T26" s="28">
        <f>IF(ROW()-3&lt;=計算用!$Q$14,ROW()-3,"")</f>
        <v/>
      </c>
      <c r="U26" s="28">
        <f>IF($T26="","",手直し!O28)</f>
        <v/>
      </c>
      <c r="V26" s="28">
        <f>IF($T26="","",手直し!P28)</f>
        <v/>
      </c>
      <c r="W26">
        <f>IF($T26="","",手直し!G28&amp;"")</f>
        <v/>
      </c>
      <c r="X26" s="28">
        <f>IF(OR($T26="",手直し!G28=""),"",IFERROR(INDEX(計算用!$M$2:$M$186,MATCH("女"&amp;手直し!G28,計算用!$AO$2:$AO$186,0)),"？"))</f>
        <v/>
      </c>
      <c r="Y26" s="28">
        <f>IF(OR($T26="",手直し!G28=""),"",IFERROR(INDEX(計算用!$I$2:$I$186,MATCH("女"&amp;手直し!G28,計算用!$AO$2:$AO$186,0)),"？"))</f>
        <v/>
      </c>
      <c r="Z26">
        <f>IF($T26="","",手直し!H28&amp;"")</f>
        <v/>
      </c>
      <c r="AA26" s="28">
        <f>IF(OR($T26="",手直し!H28=""),"",IFERROR(INDEX(計算用!$M$2:$M$186,MATCH("女"&amp;手直し!H28,計算用!$AO$2:$AO$186,0)),"？"))</f>
        <v/>
      </c>
      <c r="AB26" s="28">
        <f>IF(OR($T26="",手直し!H28=""),"",IFERROR(INDEX(計算用!$I$2:$I$186,MATCH("女"&amp;手直し!H28,計算用!$AO$2:$AO$186,0)),"？"))</f>
        <v/>
      </c>
      <c r="AC26">
        <f>IF($T26="","",手直し!I28&amp;"")</f>
        <v/>
      </c>
      <c r="AD26" s="28">
        <f>IF(OR($T26="",手直し!I28=""),"",IFERROR(INDEX(計算用!$M$2:$M$186,MATCH("女"&amp;手直し!I28,計算用!$AO$2:$AO$186,0)),"？"))</f>
        <v/>
      </c>
      <c r="AE26" s="28">
        <f>IF(OR($T26="",手直し!I28=""),"",IFERROR(INDEX(計算用!$I$2:$I$186,MATCH("女"&amp;手直し!I28,計算用!$AO$2:$AO$186,0)),"？"))</f>
        <v/>
      </c>
      <c r="AF26">
        <f>IF($T26="","",手直し!J28&amp;"")</f>
        <v/>
      </c>
      <c r="AG26" s="28">
        <f>IF(OR($T26="",手直し!J28=""),"",IFERROR(INDEX(計算用!$M$2:$M$186,MATCH("女"&amp;手直し!J28,計算用!$AO$2:$AO$186,0)),"？"))</f>
        <v/>
      </c>
      <c r="AH26" s="28">
        <f>IF(OR($T26="",手直し!J28=""),"",IFERROR(INDEX(計算用!$I$2:$I$186,MATCH("女"&amp;手直し!J28,計算用!$AO$2:$AO$186,0)),"？"))</f>
        <v/>
      </c>
      <c r="AI26">
        <f>IF($T26="","",手直し!K28&amp;"")</f>
        <v/>
      </c>
      <c r="AJ26" s="28">
        <f>IF(OR($T26="",手直し!K28=""),"",IFERROR(INDEX(計算用!$M$2:$M$186,MATCH("女"&amp;手直し!K28,計算用!$AO$2:$AO$186,0)),"？"))</f>
        <v/>
      </c>
      <c r="AK26" s="28">
        <f>IF(OR($T26="",手直し!K28=""),"",IFERROR(INDEX(計算用!$I$2:$I$186,MATCH("女"&amp;手直し!K28,計算用!$AO$2:$AO$186,0)),"？"))</f>
        <v/>
      </c>
    </row>
    <row r="27">
      <c r="A27" s="28">
        <f>IF(ROW()-3&lt;=計算用!$Q$13,ROW()-3,"")</f>
        <v/>
      </c>
      <c r="B27" s="28">
        <f>IF($A27="","",手直し!M29)</f>
        <v/>
      </c>
      <c r="C27" s="28">
        <f>IF($A27="","",手直し!N29)</f>
        <v/>
      </c>
      <c r="D27">
        <f>IF($A27="","",手直し!B29&amp;"")</f>
        <v/>
      </c>
      <c r="E27" s="28">
        <f>IF(OR($A27="",手直し!B29=""),"",IFERROR(INDEX(計算用!$M$2:$M$186,MATCH("男"&amp;手直し!B29,計算用!$AO$2:$AO$186,0)),"？"))</f>
        <v/>
      </c>
      <c r="F27" s="28">
        <f>IF(OR($A27="",手直し!B29=""),"",IFERROR(INDEX(計算用!$I$2:$I$186,MATCH("男"&amp;手直し!B29,計算用!$AO$2:$AO$186,0)),"？"))</f>
        <v/>
      </c>
      <c r="G27">
        <f>IF($A27="","",手直し!C29&amp;"")</f>
        <v/>
      </c>
      <c r="H27" s="28">
        <f>IF(OR($A27="",手直し!C29=""),"",IFERROR(INDEX(計算用!$M$2:$M$186,MATCH("男"&amp;手直し!C29,計算用!$AO$2:$AO$186,0)),"？"))</f>
        <v/>
      </c>
      <c r="I27" s="28">
        <f>IF(OR($A27="",手直し!C29=""),"",IFERROR(INDEX(計算用!$I$2:$I$186,MATCH("男"&amp;手直し!C29,計算用!$AO$2:$AO$186,0)),"？"))</f>
        <v/>
      </c>
      <c r="J27">
        <f>IF($A27="","",手直し!D29&amp;"")</f>
        <v/>
      </c>
      <c r="K27" s="28">
        <f>IF(OR($A27="",手直し!D29=""),"",IFERROR(INDEX(計算用!$M$2:$M$186,MATCH("男"&amp;手直し!D29,計算用!$AO$2:$AO$186,0)),"？"))</f>
        <v/>
      </c>
      <c r="L27" s="28">
        <f>IF(OR($A27="",手直し!D29=""),"",IFERROR(INDEX(計算用!$I$2:$I$186,MATCH("男"&amp;手直し!D29,計算用!$AO$2:$AO$186,0)),"？"))</f>
        <v/>
      </c>
      <c r="M27">
        <f>IF($A27="","",手直し!E29&amp;"")</f>
        <v/>
      </c>
      <c r="N27" s="28">
        <f>IF(OR($A27="",手直し!E29=""),"",IFERROR(INDEX(計算用!$M$2:$M$186,MATCH("男"&amp;手直し!E29,計算用!$AO$2:$AO$186,0)),"？"))</f>
        <v/>
      </c>
      <c r="O27" s="28">
        <f>IF(OR($A27="",手直し!E29=""),"",IFERROR(INDEX(計算用!$I$2:$I$186,MATCH("男"&amp;手直し!E29,計算用!$AO$2:$AO$186,0)),"？"))</f>
        <v/>
      </c>
      <c r="P27">
        <f>IF($A27="","",手直し!F29&amp;"")</f>
        <v/>
      </c>
      <c r="Q27" s="28">
        <f>IF(OR($A27="",手直し!F29=""),"",IFERROR(INDEX(計算用!$M$2:$M$186,MATCH("男"&amp;手直し!F29,計算用!$AO$2:$AO$186,0)),"？"))</f>
        <v/>
      </c>
      <c r="R27" s="28">
        <f>IF(OR($A27="",手直し!F29=""),"",IFERROR(INDEX(計算用!$I$2:$I$186,MATCH("男"&amp;手直し!F29,計算用!$AO$2:$AO$186,0)),"？"))</f>
        <v/>
      </c>
      <c r="T27" s="28">
        <f>IF(ROW()-3&lt;=計算用!$Q$14,ROW()-3,"")</f>
        <v/>
      </c>
      <c r="U27" s="28">
        <f>IF($T27="","",手直し!O29)</f>
        <v/>
      </c>
      <c r="V27" s="28">
        <f>IF($T27="","",手直し!P29)</f>
        <v/>
      </c>
      <c r="W27">
        <f>IF($T27="","",手直し!G29&amp;"")</f>
        <v/>
      </c>
      <c r="X27" s="28">
        <f>IF(OR($T27="",手直し!G29=""),"",IFERROR(INDEX(計算用!$M$2:$M$186,MATCH("女"&amp;手直し!G29,計算用!$AO$2:$AO$186,0)),"？"))</f>
        <v/>
      </c>
      <c r="Y27" s="28">
        <f>IF(OR($T27="",手直し!G29=""),"",IFERROR(INDEX(計算用!$I$2:$I$186,MATCH("女"&amp;手直し!G29,計算用!$AO$2:$AO$186,0)),"？"))</f>
        <v/>
      </c>
      <c r="Z27">
        <f>IF($T27="","",手直し!H29&amp;"")</f>
        <v/>
      </c>
      <c r="AA27" s="28">
        <f>IF(OR($T27="",手直し!H29=""),"",IFERROR(INDEX(計算用!$M$2:$M$186,MATCH("女"&amp;手直し!H29,計算用!$AO$2:$AO$186,0)),"？"))</f>
        <v/>
      </c>
      <c r="AB27" s="28">
        <f>IF(OR($T27="",手直し!H29=""),"",IFERROR(INDEX(計算用!$I$2:$I$186,MATCH("女"&amp;手直し!H29,計算用!$AO$2:$AO$186,0)),"？"))</f>
        <v/>
      </c>
      <c r="AC27">
        <f>IF($T27="","",手直し!I29&amp;"")</f>
        <v/>
      </c>
      <c r="AD27" s="28">
        <f>IF(OR($T27="",手直し!I29=""),"",IFERROR(INDEX(計算用!$M$2:$M$186,MATCH("女"&amp;手直し!I29,計算用!$AO$2:$AO$186,0)),"？"))</f>
        <v/>
      </c>
      <c r="AE27" s="28">
        <f>IF(OR($T27="",手直し!I29=""),"",IFERROR(INDEX(計算用!$I$2:$I$186,MATCH("女"&amp;手直し!I29,計算用!$AO$2:$AO$186,0)),"？"))</f>
        <v/>
      </c>
      <c r="AF27">
        <f>IF($T27="","",手直し!J29&amp;"")</f>
        <v/>
      </c>
      <c r="AG27" s="28">
        <f>IF(OR($T27="",手直し!J29=""),"",IFERROR(INDEX(計算用!$M$2:$M$186,MATCH("女"&amp;手直し!J29,計算用!$AO$2:$AO$186,0)),"？"))</f>
        <v/>
      </c>
      <c r="AH27" s="28">
        <f>IF(OR($T27="",手直し!J29=""),"",IFERROR(INDEX(計算用!$I$2:$I$186,MATCH("女"&amp;手直し!J29,計算用!$AO$2:$AO$186,0)),"？"))</f>
        <v/>
      </c>
      <c r="AI27">
        <f>IF($T27="","",手直し!K29&amp;"")</f>
        <v/>
      </c>
      <c r="AJ27" s="28">
        <f>IF(OR($T27="",手直し!K29=""),"",IFERROR(INDEX(計算用!$M$2:$M$186,MATCH("女"&amp;手直し!K29,計算用!$AO$2:$AO$186,0)),"？"))</f>
        <v/>
      </c>
      <c r="AK27" s="28">
        <f>IF(OR($T27="",手直し!K29=""),"",IFERROR(INDEX(計算用!$I$2:$I$186,MATCH("女"&amp;手直し!K29,計算用!$AO$2:$AO$186,0)),"？"))</f>
        <v/>
      </c>
    </row>
    <row r="28">
      <c r="A28" s="28">
        <f>IF(ROW()-3&lt;=計算用!$Q$13,ROW()-3,"")</f>
        <v/>
      </c>
      <c r="B28" s="28">
        <f>IF($A28="","",手直し!M30)</f>
        <v/>
      </c>
      <c r="C28" s="28">
        <f>IF($A28="","",手直し!N30)</f>
        <v/>
      </c>
      <c r="D28">
        <f>IF($A28="","",手直し!B30&amp;"")</f>
        <v/>
      </c>
      <c r="E28" s="28">
        <f>IF(OR($A28="",手直し!B30=""),"",IFERROR(INDEX(計算用!$M$2:$M$186,MATCH("男"&amp;手直し!B30,計算用!$AO$2:$AO$186,0)),"？"))</f>
        <v/>
      </c>
      <c r="F28" s="28">
        <f>IF(OR($A28="",手直し!B30=""),"",IFERROR(INDEX(計算用!$I$2:$I$186,MATCH("男"&amp;手直し!B30,計算用!$AO$2:$AO$186,0)),"？"))</f>
        <v/>
      </c>
      <c r="G28">
        <f>IF($A28="","",手直し!C30&amp;"")</f>
        <v/>
      </c>
      <c r="H28" s="28">
        <f>IF(OR($A28="",手直し!C30=""),"",IFERROR(INDEX(計算用!$M$2:$M$186,MATCH("男"&amp;手直し!C30,計算用!$AO$2:$AO$186,0)),"？"))</f>
        <v/>
      </c>
      <c r="I28" s="28">
        <f>IF(OR($A28="",手直し!C30=""),"",IFERROR(INDEX(計算用!$I$2:$I$186,MATCH("男"&amp;手直し!C30,計算用!$AO$2:$AO$186,0)),"？"))</f>
        <v/>
      </c>
      <c r="J28">
        <f>IF($A28="","",手直し!D30&amp;"")</f>
        <v/>
      </c>
      <c r="K28" s="28">
        <f>IF(OR($A28="",手直し!D30=""),"",IFERROR(INDEX(計算用!$M$2:$M$186,MATCH("男"&amp;手直し!D30,計算用!$AO$2:$AO$186,0)),"？"))</f>
        <v/>
      </c>
      <c r="L28" s="28">
        <f>IF(OR($A28="",手直し!D30=""),"",IFERROR(INDEX(計算用!$I$2:$I$186,MATCH("男"&amp;手直し!D30,計算用!$AO$2:$AO$186,0)),"？"))</f>
        <v/>
      </c>
      <c r="M28">
        <f>IF($A28="","",手直し!E30&amp;"")</f>
        <v/>
      </c>
      <c r="N28" s="28">
        <f>IF(OR($A28="",手直し!E30=""),"",IFERROR(INDEX(計算用!$M$2:$M$186,MATCH("男"&amp;手直し!E30,計算用!$AO$2:$AO$186,0)),"？"))</f>
        <v/>
      </c>
      <c r="O28" s="28">
        <f>IF(OR($A28="",手直し!E30=""),"",IFERROR(INDEX(計算用!$I$2:$I$186,MATCH("男"&amp;手直し!E30,計算用!$AO$2:$AO$186,0)),"？"))</f>
        <v/>
      </c>
      <c r="P28">
        <f>IF($A28="","",手直し!F30&amp;"")</f>
        <v/>
      </c>
      <c r="Q28" s="28">
        <f>IF(OR($A28="",手直し!F30=""),"",IFERROR(INDEX(計算用!$M$2:$M$186,MATCH("男"&amp;手直し!F30,計算用!$AO$2:$AO$186,0)),"？"))</f>
        <v/>
      </c>
      <c r="R28" s="28">
        <f>IF(OR($A28="",手直し!F30=""),"",IFERROR(INDEX(計算用!$I$2:$I$186,MATCH("男"&amp;手直し!F30,計算用!$AO$2:$AO$186,0)),"？"))</f>
        <v/>
      </c>
      <c r="T28" s="28">
        <f>IF(ROW()-3&lt;=計算用!$Q$14,ROW()-3,"")</f>
        <v/>
      </c>
      <c r="U28" s="28">
        <f>IF($T28="","",手直し!O30)</f>
        <v/>
      </c>
      <c r="V28" s="28">
        <f>IF($T28="","",手直し!P30)</f>
        <v/>
      </c>
      <c r="W28">
        <f>IF($T28="","",手直し!G30&amp;"")</f>
        <v/>
      </c>
      <c r="X28" s="28">
        <f>IF(OR($T28="",手直し!G30=""),"",IFERROR(INDEX(計算用!$M$2:$M$186,MATCH("女"&amp;手直し!G30,計算用!$AO$2:$AO$186,0)),"？"))</f>
        <v/>
      </c>
      <c r="Y28" s="28">
        <f>IF(OR($T28="",手直し!G30=""),"",IFERROR(INDEX(計算用!$I$2:$I$186,MATCH("女"&amp;手直し!G30,計算用!$AO$2:$AO$186,0)),"？"))</f>
        <v/>
      </c>
      <c r="Z28">
        <f>IF($T28="","",手直し!H30&amp;"")</f>
        <v/>
      </c>
      <c r="AA28" s="28">
        <f>IF(OR($T28="",手直し!H30=""),"",IFERROR(INDEX(計算用!$M$2:$M$186,MATCH("女"&amp;手直し!H30,計算用!$AO$2:$AO$186,0)),"？"))</f>
        <v/>
      </c>
      <c r="AB28" s="28">
        <f>IF(OR($T28="",手直し!H30=""),"",IFERROR(INDEX(計算用!$I$2:$I$186,MATCH("女"&amp;手直し!H30,計算用!$AO$2:$AO$186,0)),"？"))</f>
        <v/>
      </c>
      <c r="AC28">
        <f>IF($T28="","",手直し!I30&amp;"")</f>
        <v/>
      </c>
      <c r="AD28" s="28">
        <f>IF(OR($T28="",手直し!I30=""),"",IFERROR(INDEX(計算用!$M$2:$M$186,MATCH("女"&amp;手直し!I30,計算用!$AO$2:$AO$186,0)),"？"))</f>
        <v/>
      </c>
      <c r="AE28" s="28">
        <f>IF(OR($T28="",手直し!I30=""),"",IFERROR(INDEX(計算用!$I$2:$I$186,MATCH("女"&amp;手直し!I30,計算用!$AO$2:$AO$186,0)),"？"))</f>
        <v/>
      </c>
      <c r="AF28">
        <f>IF($T28="","",手直し!J30&amp;"")</f>
        <v/>
      </c>
      <c r="AG28" s="28">
        <f>IF(OR($T28="",手直し!J30=""),"",IFERROR(INDEX(計算用!$M$2:$M$186,MATCH("女"&amp;手直し!J30,計算用!$AO$2:$AO$186,0)),"？"))</f>
        <v/>
      </c>
      <c r="AH28" s="28">
        <f>IF(OR($T28="",手直し!J30=""),"",IFERROR(INDEX(計算用!$I$2:$I$186,MATCH("女"&amp;手直し!J30,計算用!$AO$2:$AO$186,0)),"？"))</f>
        <v/>
      </c>
      <c r="AI28">
        <f>IF($T28="","",手直し!K30&amp;"")</f>
        <v/>
      </c>
      <c r="AJ28" s="28">
        <f>IF(OR($T28="",手直し!K30=""),"",IFERROR(INDEX(計算用!$M$2:$M$186,MATCH("女"&amp;手直し!K30,計算用!$AO$2:$AO$186,0)),"？"))</f>
        <v/>
      </c>
      <c r="AK28" s="28">
        <f>IF(OR($T28="",手直し!K30=""),"",IFERROR(INDEX(計算用!$I$2:$I$186,MATCH("女"&amp;手直し!K30,計算用!$AO$2:$AO$186,0)),"？"))</f>
        <v/>
      </c>
    </row>
    <row r="29">
      <c r="A29" s="28">
        <f>IF(ROW()-3&lt;=計算用!$Q$13,ROW()-3,"")</f>
        <v/>
      </c>
      <c r="B29" s="28">
        <f>IF($A29="","",手直し!M31)</f>
        <v/>
      </c>
      <c r="C29" s="28">
        <f>IF($A29="","",手直し!N31)</f>
        <v/>
      </c>
      <c r="D29">
        <f>IF($A29="","",手直し!B31&amp;"")</f>
        <v/>
      </c>
      <c r="E29" s="28">
        <f>IF(OR($A29="",手直し!B31=""),"",IFERROR(INDEX(計算用!$M$2:$M$186,MATCH("男"&amp;手直し!B31,計算用!$AO$2:$AO$186,0)),"？"))</f>
        <v/>
      </c>
      <c r="F29" s="28">
        <f>IF(OR($A29="",手直し!B31=""),"",IFERROR(INDEX(計算用!$I$2:$I$186,MATCH("男"&amp;手直し!B31,計算用!$AO$2:$AO$186,0)),"？"))</f>
        <v/>
      </c>
      <c r="G29">
        <f>IF($A29="","",手直し!C31&amp;"")</f>
        <v/>
      </c>
      <c r="H29" s="28">
        <f>IF(OR($A29="",手直し!C31=""),"",IFERROR(INDEX(計算用!$M$2:$M$186,MATCH("男"&amp;手直し!C31,計算用!$AO$2:$AO$186,0)),"？"))</f>
        <v/>
      </c>
      <c r="I29" s="28">
        <f>IF(OR($A29="",手直し!C31=""),"",IFERROR(INDEX(計算用!$I$2:$I$186,MATCH("男"&amp;手直し!C31,計算用!$AO$2:$AO$186,0)),"？"))</f>
        <v/>
      </c>
      <c r="J29">
        <f>IF($A29="","",手直し!D31&amp;"")</f>
        <v/>
      </c>
      <c r="K29" s="28">
        <f>IF(OR($A29="",手直し!D31=""),"",IFERROR(INDEX(計算用!$M$2:$M$186,MATCH("男"&amp;手直し!D31,計算用!$AO$2:$AO$186,0)),"？"))</f>
        <v/>
      </c>
      <c r="L29" s="28">
        <f>IF(OR($A29="",手直し!D31=""),"",IFERROR(INDEX(計算用!$I$2:$I$186,MATCH("男"&amp;手直し!D31,計算用!$AO$2:$AO$186,0)),"？"))</f>
        <v/>
      </c>
      <c r="M29">
        <f>IF($A29="","",手直し!E31&amp;"")</f>
        <v/>
      </c>
      <c r="N29" s="28">
        <f>IF(OR($A29="",手直し!E31=""),"",IFERROR(INDEX(計算用!$M$2:$M$186,MATCH("男"&amp;手直し!E31,計算用!$AO$2:$AO$186,0)),"？"))</f>
        <v/>
      </c>
      <c r="O29" s="28">
        <f>IF(OR($A29="",手直し!E31=""),"",IFERROR(INDEX(計算用!$I$2:$I$186,MATCH("男"&amp;手直し!E31,計算用!$AO$2:$AO$186,0)),"？"))</f>
        <v/>
      </c>
      <c r="P29">
        <f>IF($A29="","",手直し!F31&amp;"")</f>
        <v/>
      </c>
      <c r="Q29" s="28">
        <f>IF(OR($A29="",手直し!F31=""),"",IFERROR(INDEX(計算用!$M$2:$M$186,MATCH("男"&amp;手直し!F31,計算用!$AO$2:$AO$186,0)),"？"))</f>
        <v/>
      </c>
      <c r="R29" s="28">
        <f>IF(OR($A29="",手直し!F31=""),"",IFERROR(INDEX(計算用!$I$2:$I$186,MATCH("男"&amp;手直し!F31,計算用!$AO$2:$AO$186,0)),"？"))</f>
        <v/>
      </c>
      <c r="T29" s="28">
        <f>IF(ROW()-3&lt;=計算用!$Q$14,ROW()-3,"")</f>
        <v/>
      </c>
      <c r="U29" s="28">
        <f>IF($T29="","",手直し!O31)</f>
        <v/>
      </c>
      <c r="V29" s="28">
        <f>IF($T29="","",手直し!P31)</f>
        <v/>
      </c>
      <c r="W29">
        <f>IF($T29="","",手直し!G31&amp;"")</f>
        <v/>
      </c>
      <c r="X29" s="28">
        <f>IF(OR($T29="",手直し!G31=""),"",IFERROR(INDEX(計算用!$M$2:$M$186,MATCH("女"&amp;手直し!G31,計算用!$AO$2:$AO$186,0)),"？"))</f>
        <v/>
      </c>
      <c r="Y29" s="28">
        <f>IF(OR($T29="",手直し!G31=""),"",IFERROR(INDEX(計算用!$I$2:$I$186,MATCH("女"&amp;手直し!G31,計算用!$AO$2:$AO$186,0)),"？"))</f>
        <v/>
      </c>
      <c r="Z29">
        <f>IF($T29="","",手直し!H31&amp;"")</f>
        <v/>
      </c>
      <c r="AA29" s="28">
        <f>IF(OR($T29="",手直し!H31=""),"",IFERROR(INDEX(計算用!$M$2:$M$186,MATCH("女"&amp;手直し!H31,計算用!$AO$2:$AO$186,0)),"？"))</f>
        <v/>
      </c>
      <c r="AB29" s="28">
        <f>IF(OR($T29="",手直し!H31=""),"",IFERROR(INDEX(計算用!$I$2:$I$186,MATCH("女"&amp;手直し!H31,計算用!$AO$2:$AO$186,0)),"？"))</f>
        <v/>
      </c>
      <c r="AC29">
        <f>IF($T29="","",手直し!I31&amp;"")</f>
        <v/>
      </c>
      <c r="AD29" s="28">
        <f>IF(OR($T29="",手直し!I31=""),"",IFERROR(INDEX(計算用!$M$2:$M$186,MATCH("女"&amp;手直し!I31,計算用!$AO$2:$AO$186,0)),"？"))</f>
        <v/>
      </c>
      <c r="AE29" s="28">
        <f>IF(OR($T29="",手直し!I31=""),"",IFERROR(INDEX(計算用!$I$2:$I$186,MATCH("女"&amp;手直し!I31,計算用!$AO$2:$AO$186,0)),"？"))</f>
        <v/>
      </c>
      <c r="AF29">
        <f>IF($T29="","",手直し!J31&amp;"")</f>
        <v/>
      </c>
      <c r="AG29" s="28">
        <f>IF(OR($T29="",手直し!J31=""),"",IFERROR(INDEX(計算用!$M$2:$M$186,MATCH("女"&amp;手直し!J31,計算用!$AO$2:$AO$186,0)),"？"))</f>
        <v/>
      </c>
      <c r="AH29" s="28">
        <f>IF(OR($T29="",手直し!J31=""),"",IFERROR(INDEX(計算用!$I$2:$I$186,MATCH("女"&amp;手直し!J31,計算用!$AO$2:$AO$186,0)),"？"))</f>
        <v/>
      </c>
      <c r="AI29">
        <f>IF($T29="","",手直し!K31&amp;"")</f>
        <v/>
      </c>
      <c r="AJ29" s="28">
        <f>IF(OR($T29="",手直し!K31=""),"",IFERROR(INDEX(計算用!$M$2:$M$186,MATCH("女"&amp;手直し!K31,計算用!$AO$2:$AO$186,0)),"？"))</f>
        <v/>
      </c>
      <c r="AK29" s="28">
        <f>IF(OR($T29="",手直し!K31=""),"",IFERROR(INDEX(計算用!$I$2:$I$186,MATCH("女"&amp;手直し!K31,計算用!$AO$2:$AO$186,0)),"？"))</f>
        <v/>
      </c>
    </row>
    <row r="30">
      <c r="A30" s="28">
        <f>IF(ROW()-3&lt;=計算用!$Q$13,ROW()-3,"")</f>
        <v/>
      </c>
      <c r="B30" s="28">
        <f>IF($A30="","",手直し!M32)</f>
        <v/>
      </c>
      <c r="C30" s="28">
        <f>IF($A30="","",手直し!N32)</f>
        <v/>
      </c>
      <c r="D30">
        <f>IF($A30="","",手直し!B32&amp;"")</f>
        <v/>
      </c>
      <c r="E30" s="28">
        <f>IF(OR($A30="",手直し!B32=""),"",IFERROR(INDEX(計算用!$M$2:$M$186,MATCH("男"&amp;手直し!B32,計算用!$AO$2:$AO$186,0)),"？"))</f>
        <v/>
      </c>
      <c r="F30" s="28">
        <f>IF(OR($A30="",手直し!B32=""),"",IFERROR(INDEX(計算用!$I$2:$I$186,MATCH("男"&amp;手直し!B32,計算用!$AO$2:$AO$186,0)),"？"))</f>
        <v/>
      </c>
      <c r="G30">
        <f>IF($A30="","",手直し!C32&amp;"")</f>
        <v/>
      </c>
      <c r="H30" s="28">
        <f>IF(OR($A30="",手直し!C32=""),"",IFERROR(INDEX(計算用!$M$2:$M$186,MATCH("男"&amp;手直し!C32,計算用!$AO$2:$AO$186,0)),"？"))</f>
        <v/>
      </c>
      <c r="I30" s="28">
        <f>IF(OR($A30="",手直し!C32=""),"",IFERROR(INDEX(計算用!$I$2:$I$186,MATCH("男"&amp;手直し!C32,計算用!$AO$2:$AO$186,0)),"？"))</f>
        <v/>
      </c>
      <c r="J30">
        <f>IF($A30="","",手直し!D32&amp;"")</f>
        <v/>
      </c>
      <c r="K30" s="28">
        <f>IF(OR($A30="",手直し!D32=""),"",IFERROR(INDEX(計算用!$M$2:$M$186,MATCH("男"&amp;手直し!D32,計算用!$AO$2:$AO$186,0)),"？"))</f>
        <v/>
      </c>
      <c r="L30" s="28">
        <f>IF(OR($A30="",手直し!D32=""),"",IFERROR(INDEX(計算用!$I$2:$I$186,MATCH("男"&amp;手直し!D32,計算用!$AO$2:$AO$186,0)),"？"))</f>
        <v/>
      </c>
      <c r="M30">
        <f>IF($A30="","",手直し!E32&amp;"")</f>
        <v/>
      </c>
      <c r="N30" s="28">
        <f>IF(OR($A30="",手直し!E32=""),"",IFERROR(INDEX(計算用!$M$2:$M$186,MATCH("男"&amp;手直し!E32,計算用!$AO$2:$AO$186,0)),"？"))</f>
        <v/>
      </c>
      <c r="O30" s="28">
        <f>IF(OR($A30="",手直し!E32=""),"",IFERROR(INDEX(計算用!$I$2:$I$186,MATCH("男"&amp;手直し!E32,計算用!$AO$2:$AO$186,0)),"？"))</f>
        <v/>
      </c>
      <c r="P30">
        <f>IF($A30="","",手直し!F32&amp;"")</f>
        <v/>
      </c>
      <c r="Q30" s="28">
        <f>IF(OR($A30="",手直し!F32=""),"",IFERROR(INDEX(計算用!$M$2:$M$186,MATCH("男"&amp;手直し!F32,計算用!$AO$2:$AO$186,0)),"？"))</f>
        <v/>
      </c>
      <c r="R30" s="28">
        <f>IF(OR($A30="",手直し!F32=""),"",IFERROR(INDEX(計算用!$I$2:$I$186,MATCH("男"&amp;手直し!F32,計算用!$AO$2:$AO$186,0)),"？"))</f>
        <v/>
      </c>
      <c r="T30" s="28">
        <f>IF(ROW()-3&lt;=計算用!$Q$14,ROW()-3,"")</f>
        <v/>
      </c>
      <c r="U30" s="28">
        <f>IF($T30="","",手直し!O32)</f>
        <v/>
      </c>
      <c r="V30" s="28">
        <f>IF($T30="","",手直し!P32)</f>
        <v/>
      </c>
      <c r="W30">
        <f>IF($T30="","",手直し!G32&amp;"")</f>
        <v/>
      </c>
      <c r="X30" s="28">
        <f>IF(OR($T30="",手直し!G32=""),"",IFERROR(INDEX(計算用!$M$2:$M$186,MATCH("女"&amp;手直し!G32,計算用!$AO$2:$AO$186,0)),"？"))</f>
        <v/>
      </c>
      <c r="Y30" s="28">
        <f>IF(OR($T30="",手直し!G32=""),"",IFERROR(INDEX(計算用!$I$2:$I$186,MATCH("女"&amp;手直し!G32,計算用!$AO$2:$AO$186,0)),"？"))</f>
        <v/>
      </c>
      <c r="Z30">
        <f>IF($T30="","",手直し!H32&amp;"")</f>
        <v/>
      </c>
      <c r="AA30" s="28">
        <f>IF(OR($T30="",手直し!H32=""),"",IFERROR(INDEX(計算用!$M$2:$M$186,MATCH("女"&amp;手直し!H32,計算用!$AO$2:$AO$186,0)),"？"))</f>
        <v/>
      </c>
      <c r="AB30" s="28">
        <f>IF(OR($T30="",手直し!H32=""),"",IFERROR(INDEX(計算用!$I$2:$I$186,MATCH("女"&amp;手直し!H32,計算用!$AO$2:$AO$186,0)),"？"))</f>
        <v/>
      </c>
      <c r="AC30">
        <f>IF($T30="","",手直し!I32&amp;"")</f>
        <v/>
      </c>
      <c r="AD30" s="28">
        <f>IF(OR($T30="",手直し!I32=""),"",IFERROR(INDEX(計算用!$M$2:$M$186,MATCH("女"&amp;手直し!I32,計算用!$AO$2:$AO$186,0)),"？"))</f>
        <v/>
      </c>
      <c r="AE30" s="28">
        <f>IF(OR($T30="",手直し!I32=""),"",IFERROR(INDEX(計算用!$I$2:$I$186,MATCH("女"&amp;手直し!I32,計算用!$AO$2:$AO$186,0)),"？"))</f>
        <v/>
      </c>
      <c r="AF30">
        <f>IF($T30="","",手直し!J32&amp;"")</f>
        <v/>
      </c>
      <c r="AG30" s="28">
        <f>IF(OR($T30="",手直し!J32=""),"",IFERROR(INDEX(計算用!$M$2:$M$186,MATCH("女"&amp;手直し!J32,計算用!$AO$2:$AO$186,0)),"？"))</f>
        <v/>
      </c>
      <c r="AH30" s="28">
        <f>IF(OR($T30="",手直し!J32=""),"",IFERROR(INDEX(計算用!$I$2:$I$186,MATCH("女"&amp;手直し!J32,計算用!$AO$2:$AO$186,0)),"？"))</f>
        <v/>
      </c>
      <c r="AI30">
        <f>IF($T30="","",手直し!K32&amp;"")</f>
        <v/>
      </c>
      <c r="AJ30" s="28">
        <f>IF(OR($T30="",手直し!K32=""),"",IFERROR(INDEX(計算用!$M$2:$M$186,MATCH("女"&amp;手直し!K32,計算用!$AO$2:$AO$186,0)),"？"))</f>
        <v/>
      </c>
      <c r="AK30" s="28">
        <f>IF(OR($T30="",手直し!K32=""),"",IFERROR(INDEX(計算用!$I$2:$I$186,MATCH("女"&amp;手直し!K32,計算用!$AO$2:$AO$186,0)),"？"))</f>
        <v/>
      </c>
    </row>
    <row r="31">
      <c r="A31" s="28">
        <f>IF(ROW()-3&lt;=計算用!$Q$13,ROW()-3,"")</f>
        <v/>
      </c>
      <c r="B31" s="28">
        <f>IF($A31="","",手直し!M33)</f>
        <v/>
      </c>
      <c r="C31" s="28">
        <f>IF($A31="","",手直し!N33)</f>
        <v/>
      </c>
      <c r="D31">
        <f>IF($A31="","",手直し!B33&amp;"")</f>
        <v/>
      </c>
      <c r="E31" s="28">
        <f>IF(OR($A31="",手直し!B33=""),"",IFERROR(INDEX(計算用!$M$2:$M$186,MATCH("男"&amp;手直し!B33,計算用!$AO$2:$AO$186,0)),"？"))</f>
        <v/>
      </c>
      <c r="F31" s="28">
        <f>IF(OR($A31="",手直し!B33=""),"",IFERROR(INDEX(計算用!$I$2:$I$186,MATCH("男"&amp;手直し!B33,計算用!$AO$2:$AO$186,0)),"？"))</f>
        <v/>
      </c>
      <c r="G31">
        <f>IF($A31="","",手直し!C33&amp;"")</f>
        <v/>
      </c>
      <c r="H31" s="28">
        <f>IF(OR($A31="",手直し!C33=""),"",IFERROR(INDEX(計算用!$M$2:$M$186,MATCH("男"&amp;手直し!C33,計算用!$AO$2:$AO$186,0)),"？"))</f>
        <v/>
      </c>
      <c r="I31" s="28">
        <f>IF(OR($A31="",手直し!C33=""),"",IFERROR(INDEX(計算用!$I$2:$I$186,MATCH("男"&amp;手直し!C33,計算用!$AO$2:$AO$186,0)),"？"))</f>
        <v/>
      </c>
      <c r="J31">
        <f>IF($A31="","",手直し!D33&amp;"")</f>
        <v/>
      </c>
      <c r="K31" s="28">
        <f>IF(OR($A31="",手直し!D33=""),"",IFERROR(INDEX(計算用!$M$2:$M$186,MATCH("男"&amp;手直し!D33,計算用!$AO$2:$AO$186,0)),"？"))</f>
        <v/>
      </c>
      <c r="L31" s="28">
        <f>IF(OR($A31="",手直し!D33=""),"",IFERROR(INDEX(計算用!$I$2:$I$186,MATCH("男"&amp;手直し!D33,計算用!$AO$2:$AO$186,0)),"？"))</f>
        <v/>
      </c>
      <c r="M31">
        <f>IF($A31="","",手直し!E33&amp;"")</f>
        <v/>
      </c>
      <c r="N31" s="28">
        <f>IF(OR($A31="",手直し!E33=""),"",IFERROR(INDEX(計算用!$M$2:$M$186,MATCH("男"&amp;手直し!E33,計算用!$AO$2:$AO$186,0)),"？"))</f>
        <v/>
      </c>
      <c r="O31" s="28">
        <f>IF(OR($A31="",手直し!E33=""),"",IFERROR(INDEX(計算用!$I$2:$I$186,MATCH("男"&amp;手直し!E33,計算用!$AO$2:$AO$186,0)),"？"))</f>
        <v/>
      </c>
      <c r="P31">
        <f>IF($A31="","",手直し!F33&amp;"")</f>
        <v/>
      </c>
      <c r="Q31" s="28">
        <f>IF(OR($A31="",手直し!F33=""),"",IFERROR(INDEX(計算用!$M$2:$M$186,MATCH("男"&amp;手直し!F33,計算用!$AO$2:$AO$186,0)),"？"))</f>
        <v/>
      </c>
      <c r="R31" s="28">
        <f>IF(OR($A31="",手直し!F33=""),"",IFERROR(INDEX(計算用!$I$2:$I$186,MATCH("男"&amp;手直し!F33,計算用!$AO$2:$AO$186,0)),"？"))</f>
        <v/>
      </c>
      <c r="T31" s="28">
        <f>IF(ROW()-3&lt;=計算用!$Q$14,ROW()-3,"")</f>
        <v/>
      </c>
      <c r="U31" s="28">
        <f>IF($T31="","",手直し!O33)</f>
        <v/>
      </c>
      <c r="V31" s="28">
        <f>IF($T31="","",手直し!P33)</f>
        <v/>
      </c>
      <c r="W31">
        <f>IF($T31="","",手直し!G33&amp;"")</f>
        <v/>
      </c>
      <c r="X31" s="28">
        <f>IF(OR($T31="",手直し!G33=""),"",IFERROR(INDEX(計算用!$M$2:$M$186,MATCH("女"&amp;手直し!G33,計算用!$AO$2:$AO$186,0)),"？"))</f>
        <v/>
      </c>
      <c r="Y31" s="28">
        <f>IF(OR($T31="",手直し!G33=""),"",IFERROR(INDEX(計算用!$I$2:$I$186,MATCH("女"&amp;手直し!G33,計算用!$AO$2:$AO$186,0)),"？"))</f>
        <v/>
      </c>
      <c r="Z31">
        <f>IF($T31="","",手直し!H33&amp;"")</f>
        <v/>
      </c>
      <c r="AA31" s="28">
        <f>IF(OR($T31="",手直し!H33=""),"",IFERROR(INDEX(計算用!$M$2:$M$186,MATCH("女"&amp;手直し!H33,計算用!$AO$2:$AO$186,0)),"？"))</f>
        <v/>
      </c>
      <c r="AB31" s="28">
        <f>IF(OR($T31="",手直し!H33=""),"",IFERROR(INDEX(計算用!$I$2:$I$186,MATCH("女"&amp;手直し!H33,計算用!$AO$2:$AO$186,0)),"？"))</f>
        <v/>
      </c>
      <c r="AC31">
        <f>IF($T31="","",手直し!I33&amp;"")</f>
        <v/>
      </c>
      <c r="AD31" s="28">
        <f>IF(OR($T31="",手直し!I33=""),"",IFERROR(INDEX(計算用!$M$2:$M$186,MATCH("女"&amp;手直し!I33,計算用!$AO$2:$AO$186,0)),"？"))</f>
        <v/>
      </c>
      <c r="AE31" s="28">
        <f>IF(OR($T31="",手直し!I33=""),"",IFERROR(INDEX(計算用!$I$2:$I$186,MATCH("女"&amp;手直し!I33,計算用!$AO$2:$AO$186,0)),"？"))</f>
        <v/>
      </c>
      <c r="AF31">
        <f>IF($T31="","",手直し!J33&amp;"")</f>
        <v/>
      </c>
      <c r="AG31" s="28">
        <f>IF(OR($T31="",手直し!J33=""),"",IFERROR(INDEX(計算用!$M$2:$M$186,MATCH("女"&amp;手直し!J33,計算用!$AO$2:$AO$186,0)),"？"))</f>
        <v/>
      </c>
      <c r="AH31" s="28">
        <f>IF(OR($T31="",手直し!J33=""),"",IFERROR(INDEX(計算用!$I$2:$I$186,MATCH("女"&amp;手直し!J33,計算用!$AO$2:$AO$186,0)),"？"))</f>
        <v/>
      </c>
      <c r="AI31">
        <f>IF($T31="","",手直し!K33&amp;"")</f>
        <v/>
      </c>
      <c r="AJ31" s="28">
        <f>IF(OR($T31="",手直し!K33=""),"",IFERROR(INDEX(計算用!$M$2:$M$186,MATCH("女"&amp;手直し!K33,計算用!$AO$2:$AO$186,0)),"？"))</f>
        <v/>
      </c>
      <c r="AK31" s="28">
        <f>IF(OR($T31="",手直し!K33=""),"",IFERROR(INDEX(計算用!$I$2:$I$186,MATCH("女"&amp;手直し!K33,計算用!$AO$2:$AO$186,0)),"？"))</f>
        <v/>
      </c>
    </row>
    <row r="32">
      <c r="A32" s="28">
        <f>IF(ROW()-3&lt;=計算用!$Q$13,ROW()-3,"")</f>
        <v/>
      </c>
      <c r="B32" s="28">
        <f>IF($A32="","",手直し!M34)</f>
        <v/>
      </c>
      <c r="C32" s="28">
        <f>IF($A32="","",手直し!N34)</f>
        <v/>
      </c>
      <c r="D32">
        <f>IF($A32="","",手直し!B34&amp;"")</f>
        <v/>
      </c>
      <c r="E32" s="28">
        <f>IF(OR($A32="",手直し!B34=""),"",IFERROR(INDEX(計算用!$M$2:$M$186,MATCH("男"&amp;手直し!B34,計算用!$AO$2:$AO$186,0)),"？"))</f>
        <v/>
      </c>
      <c r="F32" s="28">
        <f>IF(OR($A32="",手直し!B34=""),"",IFERROR(INDEX(計算用!$I$2:$I$186,MATCH("男"&amp;手直し!B34,計算用!$AO$2:$AO$186,0)),"？"))</f>
        <v/>
      </c>
      <c r="G32">
        <f>IF($A32="","",手直し!C34&amp;"")</f>
        <v/>
      </c>
      <c r="H32" s="28">
        <f>IF(OR($A32="",手直し!C34=""),"",IFERROR(INDEX(計算用!$M$2:$M$186,MATCH("男"&amp;手直し!C34,計算用!$AO$2:$AO$186,0)),"？"))</f>
        <v/>
      </c>
      <c r="I32" s="28">
        <f>IF(OR($A32="",手直し!C34=""),"",IFERROR(INDEX(計算用!$I$2:$I$186,MATCH("男"&amp;手直し!C34,計算用!$AO$2:$AO$186,0)),"？"))</f>
        <v/>
      </c>
      <c r="J32">
        <f>IF($A32="","",手直し!D34&amp;"")</f>
        <v/>
      </c>
      <c r="K32" s="28">
        <f>IF(OR($A32="",手直し!D34=""),"",IFERROR(INDEX(計算用!$M$2:$M$186,MATCH("男"&amp;手直し!D34,計算用!$AO$2:$AO$186,0)),"？"))</f>
        <v/>
      </c>
      <c r="L32" s="28">
        <f>IF(OR($A32="",手直し!D34=""),"",IFERROR(INDEX(計算用!$I$2:$I$186,MATCH("男"&amp;手直し!D34,計算用!$AO$2:$AO$186,0)),"？"))</f>
        <v/>
      </c>
      <c r="M32">
        <f>IF($A32="","",手直し!E34&amp;"")</f>
        <v/>
      </c>
      <c r="N32" s="28">
        <f>IF(OR($A32="",手直し!E34=""),"",IFERROR(INDEX(計算用!$M$2:$M$186,MATCH("男"&amp;手直し!E34,計算用!$AO$2:$AO$186,0)),"？"))</f>
        <v/>
      </c>
      <c r="O32" s="28">
        <f>IF(OR($A32="",手直し!E34=""),"",IFERROR(INDEX(計算用!$I$2:$I$186,MATCH("男"&amp;手直し!E34,計算用!$AO$2:$AO$186,0)),"？"))</f>
        <v/>
      </c>
      <c r="P32">
        <f>IF($A32="","",手直し!F34&amp;"")</f>
        <v/>
      </c>
      <c r="Q32" s="28">
        <f>IF(OR($A32="",手直し!F34=""),"",IFERROR(INDEX(計算用!$M$2:$M$186,MATCH("男"&amp;手直し!F34,計算用!$AO$2:$AO$186,0)),"？"))</f>
        <v/>
      </c>
      <c r="R32" s="28">
        <f>IF(OR($A32="",手直し!F34=""),"",IFERROR(INDEX(計算用!$I$2:$I$186,MATCH("男"&amp;手直し!F34,計算用!$AO$2:$AO$186,0)),"？"))</f>
        <v/>
      </c>
      <c r="T32" s="28">
        <f>IF(ROW()-3&lt;=計算用!$Q$14,ROW()-3,"")</f>
        <v/>
      </c>
      <c r="U32" s="28">
        <f>IF($T32="","",手直し!O34)</f>
        <v/>
      </c>
      <c r="V32" s="28">
        <f>IF($T32="","",手直し!P34)</f>
        <v/>
      </c>
      <c r="W32">
        <f>IF($T32="","",手直し!G34&amp;"")</f>
        <v/>
      </c>
      <c r="X32" s="28">
        <f>IF(OR($T32="",手直し!G34=""),"",IFERROR(INDEX(計算用!$M$2:$M$186,MATCH("女"&amp;手直し!G34,計算用!$AO$2:$AO$186,0)),"？"))</f>
        <v/>
      </c>
      <c r="Y32" s="28">
        <f>IF(OR($T32="",手直し!G34=""),"",IFERROR(INDEX(計算用!$I$2:$I$186,MATCH("女"&amp;手直し!G34,計算用!$AO$2:$AO$186,0)),"？"))</f>
        <v/>
      </c>
      <c r="Z32">
        <f>IF($T32="","",手直し!H34&amp;"")</f>
        <v/>
      </c>
      <c r="AA32" s="28">
        <f>IF(OR($T32="",手直し!H34=""),"",IFERROR(INDEX(計算用!$M$2:$M$186,MATCH("女"&amp;手直し!H34,計算用!$AO$2:$AO$186,0)),"？"))</f>
        <v/>
      </c>
      <c r="AB32" s="28">
        <f>IF(OR($T32="",手直し!H34=""),"",IFERROR(INDEX(計算用!$I$2:$I$186,MATCH("女"&amp;手直し!H34,計算用!$AO$2:$AO$186,0)),"？"))</f>
        <v/>
      </c>
      <c r="AC32">
        <f>IF($T32="","",手直し!I34&amp;"")</f>
        <v/>
      </c>
      <c r="AD32" s="28">
        <f>IF(OR($T32="",手直し!I34=""),"",IFERROR(INDEX(計算用!$M$2:$M$186,MATCH("女"&amp;手直し!I34,計算用!$AO$2:$AO$186,0)),"？"))</f>
        <v/>
      </c>
      <c r="AE32" s="28">
        <f>IF(OR($T32="",手直し!I34=""),"",IFERROR(INDEX(計算用!$I$2:$I$186,MATCH("女"&amp;手直し!I34,計算用!$AO$2:$AO$186,0)),"？"))</f>
        <v/>
      </c>
      <c r="AF32">
        <f>IF($T32="","",手直し!J34&amp;"")</f>
        <v/>
      </c>
      <c r="AG32" s="28">
        <f>IF(OR($T32="",手直し!J34=""),"",IFERROR(INDEX(計算用!$M$2:$M$186,MATCH("女"&amp;手直し!J34,計算用!$AO$2:$AO$186,0)),"？"))</f>
        <v/>
      </c>
      <c r="AH32" s="28">
        <f>IF(OR($T32="",手直し!J34=""),"",IFERROR(INDEX(計算用!$I$2:$I$186,MATCH("女"&amp;手直し!J34,計算用!$AO$2:$AO$186,0)),"？"))</f>
        <v/>
      </c>
      <c r="AI32">
        <f>IF($T32="","",手直し!K34&amp;"")</f>
        <v/>
      </c>
      <c r="AJ32" s="28">
        <f>IF(OR($T32="",手直し!K34=""),"",IFERROR(INDEX(計算用!$M$2:$M$186,MATCH("女"&amp;手直し!K34,計算用!$AO$2:$AO$186,0)),"？"))</f>
        <v/>
      </c>
      <c r="AK32" s="28">
        <f>IF(OR($T32="",手直し!K34=""),"",IFERROR(INDEX(計算用!$I$2:$I$186,MATCH("女"&amp;手直し!K34,計算用!$AO$2:$AO$186,0)),"？"))</f>
        <v/>
      </c>
    </row>
    <row r="33">
      <c r="A33" s="28">
        <f>IF(ROW()-3&lt;=計算用!$Q$13,ROW()-3,"")</f>
        <v/>
      </c>
      <c r="B33" s="28">
        <f>IF($A33="","",手直し!M35)</f>
        <v/>
      </c>
      <c r="C33" s="28">
        <f>IF($A33="","",手直し!N35)</f>
        <v/>
      </c>
      <c r="D33">
        <f>IF($A33="","",手直し!B35&amp;"")</f>
        <v/>
      </c>
      <c r="E33" s="28">
        <f>IF(OR($A33="",手直し!B35=""),"",IFERROR(INDEX(計算用!$M$2:$M$186,MATCH("男"&amp;手直し!B35,計算用!$AO$2:$AO$186,0)),"？"))</f>
        <v/>
      </c>
      <c r="F33" s="28">
        <f>IF(OR($A33="",手直し!B35=""),"",IFERROR(INDEX(計算用!$I$2:$I$186,MATCH("男"&amp;手直し!B35,計算用!$AO$2:$AO$186,0)),"？"))</f>
        <v/>
      </c>
      <c r="G33">
        <f>IF($A33="","",手直し!C35&amp;"")</f>
        <v/>
      </c>
      <c r="H33" s="28">
        <f>IF(OR($A33="",手直し!C35=""),"",IFERROR(INDEX(計算用!$M$2:$M$186,MATCH("男"&amp;手直し!C35,計算用!$AO$2:$AO$186,0)),"？"))</f>
        <v/>
      </c>
      <c r="I33" s="28">
        <f>IF(OR($A33="",手直し!C35=""),"",IFERROR(INDEX(計算用!$I$2:$I$186,MATCH("男"&amp;手直し!C35,計算用!$AO$2:$AO$186,0)),"？"))</f>
        <v/>
      </c>
      <c r="J33">
        <f>IF($A33="","",手直し!D35&amp;"")</f>
        <v/>
      </c>
      <c r="K33" s="28">
        <f>IF(OR($A33="",手直し!D35=""),"",IFERROR(INDEX(計算用!$M$2:$M$186,MATCH("男"&amp;手直し!D35,計算用!$AO$2:$AO$186,0)),"？"))</f>
        <v/>
      </c>
      <c r="L33" s="28">
        <f>IF(OR($A33="",手直し!D35=""),"",IFERROR(INDEX(計算用!$I$2:$I$186,MATCH("男"&amp;手直し!D35,計算用!$AO$2:$AO$186,0)),"？"))</f>
        <v/>
      </c>
      <c r="M33">
        <f>IF($A33="","",手直し!E35&amp;"")</f>
        <v/>
      </c>
      <c r="N33" s="28">
        <f>IF(OR($A33="",手直し!E35=""),"",IFERROR(INDEX(計算用!$M$2:$M$186,MATCH("男"&amp;手直し!E35,計算用!$AO$2:$AO$186,0)),"？"))</f>
        <v/>
      </c>
      <c r="O33" s="28">
        <f>IF(OR($A33="",手直し!E35=""),"",IFERROR(INDEX(計算用!$I$2:$I$186,MATCH("男"&amp;手直し!E35,計算用!$AO$2:$AO$186,0)),"？"))</f>
        <v/>
      </c>
      <c r="P33">
        <f>IF($A33="","",手直し!F35&amp;"")</f>
        <v/>
      </c>
      <c r="Q33" s="28">
        <f>IF(OR($A33="",手直し!F35=""),"",IFERROR(INDEX(計算用!$M$2:$M$186,MATCH("男"&amp;手直し!F35,計算用!$AO$2:$AO$186,0)),"？"))</f>
        <v/>
      </c>
      <c r="R33" s="28">
        <f>IF(OR($A33="",手直し!F35=""),"",IFERROR(INDEX(計算用!$I$2:$I$186,MATCH("男"&amp;手直し!F35,計算用!$AO$2:$AO$186,0)),"？"))</f>
        <v/>
      </c>
      <c r="T33" s="28">
        <f>IF(ROW()-3&lt;=計算用!$Q$14,ROW()-3,"")</f>
        <v/>
      </c>
      <c r="U33" s="28">
        <f>IF($T33="","",手直し!O35)</f>
        <v/>
      </c>
      <c r="V33" s="28">
        <f>IF($T33="","",手直し!P35)</f>
        <v/>
      </c>
      <c r="W33">
        <f>IF($T33="","",手直し!G35&amp;"")</f>
        <v/>
      </c>
      <c r="X33" s="28">
        <f>IF(OR($T33="",手直し!G35=""),"",IFERROR(INDEX(計算用!$M$2:$M$186,MATCH("女"&amp;手直し!G35,計算用!$AO$2:$AO$186,0)),"？"))</f>
        <v/>
      </c>
      <c r="Y33" s="28">
        <f>IF(OR($T33="",手直し!G35=""),"",IFERROR(INDEX(計算用!$I$2:$I$186,MATCH("女"&amp;手直し!G35,計算用!$AO$2:$AO$186,0)),"？"))</f>
        <v/>
      </c>
      <c r="Z33">
        <f>IF($T33="","",手直し!H35&amp;"")</f>
        <v/>
      </c>
      <c r="AA33" s="28">
        <f>IF(OR($T33="",手直し!H35=""),"",IFERROR(INDEX(計算用!$M$2:$M$186,MATCH("女"&amp;手直し!H35,計算用!$AO$2:$AO$186,0)),"？"))</f>
        <v/>
      </c>
      <c r="AB33" s="28">
        <f>IF(OR($T33="",手直し!H35=""),"",IFERROR(INDEX(計算用!$I$2:$I$186,MATCH("女"&amp;手直し!H35,計算用!$AO$2:$AO$186,0)),"？"))</f>
        <v/>
      </c>
      <c r="AC33">
        <f>IF($T33="","",手直し!I35&amp;"")</f>
        <v/>
      </c>
      <c r="AD33" s="28">
        <f>IF(OR($T33="",手直し!I35=""),"",IFERROR(INDEX(計算用!$M$2:$M$186,MATCH("女"&amp;手直し!I35,計算用!$AO$2:$AO$186,0)),"？"))</f>
        <v/>
      </c>
      <c r="AE33" s="28">
        <f>IF(OR($T33="",手直し!I35=""),"",IFERROR(INDEX(計算用!$I$2:$I$186,MATCH("女"&amp;手直し!I35,計算用!$AO$2:$AO$186,0)),"？"))</f>
        <v/>
      </c>
      <c r="AF33">
        <f>IF($T33="","",手直し!J35&amp;"")</f>
        <v/>
      </c>
      <c r="AG33" s="28">
        <f>IF(OR($T33="",手直し!J35=""),"",IFERROR(INDEX(計算用!$M$2:$M$186,MATCH("女"&amp;手直し!J35,計算用!$AO$2:$AO$186,0)),"？"))</f>
        <v/>
      </c>
      <c r="AH33" s="28">
        <f>IF(OR($T33="",手直し!J35=""),"",IFERROR(INDEX(計算用!$I$2:$I$186,MATCH("女"&amp;手直し!J35,計算用!$AO$2:$AO$186,0)),"？"))</f>
        <v/>
      </c>
      <c r="AI33">
        <f>IF($T33="","",手直し!K35&amp;"")</f>
        <v/>
      </c>
      <c r="AJ33" s="28">
        <f>IF(OR($T33="",手直し!K35=""),"",IFERROR(INDEX(計算用!$M$2:$M$186,MATCH("女"&amp;手直し!K35,計算用!$AO$2:$AO$186,0)),"？"))</f>
        <v/>
      </c>
      <c r="AK33" s="28">
        <f>IF(OR($T33="",手直し!K35=""),"",IFERROR(INDEX(計算用!$I$2:$I$186,MATCH("女"&amp;手直し!K35,計算用!$AO$2:$AO$186,0)),"？"))</f>
        <v/>
      </c>
    </row>
    <row r="34">
      <c r="A34" s="28">
        <f>IF(ROW()-3&lt;=計算用!$Q$13,ROW()-3,"")</f>
        <v/>
      </c>
      <c r="B34" s="28">
        <f>IF($A34="","",手直し!M36)</f>
        <v/>
      </c>
      <c r="C34" s="28">
        <f>IF($A34="","",手直し!N36)</f>
        <v/>
      </c>
      <c r="D34">
        <f>IF($A34="","",手直し!B36&amp;"")</f>
        <v/>
      </c>
      <c r="E34" s="28">
        <f>IF(OR($A34="",手直し!B36=""),"",IFERROR(INDEX(計算用!$M$2:$M$186,MATCH("男"&amp;手直し!B36,計算用!$AO$2:$AO$186,0)),"？"))</f>
        <v/>
      </c>
      <c r="F34" s="28">
        <f>IF(OR($A34="",手直し!B36=""),"",IFERROR(INDEX(計算用!$I$2:$I$186,MATCH("男"&amp;手直し!B36,計算用!$AO$2:$AO$186,0)),"？"))</f>
        <v/>
      </c>
      <c r="G34">
        <f>IF($A34="","",手直し!C36&amp;"")</f>
        <v/>
      </c>
      <c r="H34" s="28">
        <f>IF(OR($A34="",手直し!C36=""),"",IFERROR(INDEX(計算用!$M$2:$M$186,MATCH("男"&amp;手直し!C36,計算用!$AO$2:$AO$186,0)),"？"))</f>
        <v/>
      </c>
      <c r="I34" s="28">
        <f>IF(OR($A34="",手直し!C36=""),"",IFERROR(INDEX(計算用!$I$2:$I$186,MATCH("男"&amp;手直し!C36,計算用!$AO$2:$AO$186,0)),"？"))</f>
        <v/>
      </c>
      <c r="J34">
        <f>IF($A34="","",手直し!D36&amp;"")</f>
        <v/>
      </c>
      <c r="K34" s="28">
        <f>IF(OR($A34="",手直し!D36=""),"",IFERROR(INDEX(計算用!$M$2:$M$186,MATCH("男"&amp;手直し!D36,計算用!$AO$2:$AO$186,0)),"？"))</f>
        <v/>
      </c>
      <c r="L34" s="28">
        <f>IF(OR($A34="",手直し!D36=""),"",IFERROR(INDEX(計算用!$I$2:$I$186,MATCH("男"&amp;手直し!D36,計算用!$AO$2:$AO$186,0)),"？"))</f>
        <v/>
      </c>
      <c r="M34">
        <f>IF($A34="","",手直し!E36&amp;"")</f>
        <v/>
      </c>
      <c r="N34" s="28">
        <f>IF(OR($A34="",手直し!E36=""),"",IFERROR(INDEX(計算用!$M$2:$M$186,MATCH("男"&amp;手直し!E36,計算用!$AO$2:$AO$186,0)),"？"))</f>
        <v/>
      </c>
      <c r="O34" s="28">
        <f>IF(OR($A34="",手直し!E36=""),"",IFERROR(INDEX(計算用!$I$2:$I$186,MATCH("男"&amp;手直し!E36,計算用!$AO$2:$AO$186,0)),"？"))</f>
        <v/>
      </c>
      <c r="P34">
        <f>IF($A34="","",手直し!F36&amp;"")</f>
        <v/>
      </c>
      <c r="Q34" s="28">
        <f>IF(OR($A34="",手直し!F36=""),"",IFERROR(INDEX(計算用!$M$2:$M$186,MATCH("男"&amp;手直し!F36,計算用!$AO$2:$AO$186,0)),"？"))</f>
        <v/>
      </c>
      <c r="R34" s="28">
        <f>IF(OR($A34="",手直し!F36=""),"",IFERROR(INDEX(計算用!$I$2:$I$186,MATCH("男"&amp;手直し!F36,計算用!$AO$2:$AO$186,0)),"？"))</f>
        <v/>
      </c>
      <c r="T34" s="28">
        <f>IF(ROW()-3&lt;=計算用!$Q$14,ROW()-3,"")</f>
        <v/>
      </c>
      <c r="U34" s="28">
        <f>IF($T34="","",手直し!O36)</f>
        <v/>
      </c>
      <c r="V34" s="28">
        <f>IF($T34="","",手直し!P36)</f>
        <v/>
      </c>
      <c r="W34">
        <f>IF($T34="","",手直し!G36&amp;"")</f>
        <v/>
      </c>
      <c r="X34" s="28">
        <f>IF(OR($T34="",手直し!G36=""),"",IFERROR(INDEX(計算用!$M$2:$M$186,MATCH("女"&amp;手直し!G36,計算用!$AO$2:$AO$186,0)),"？"))</f>
        <v/>
      </c>
      <c r="Y34" s="28">
        <f>IF(OR($T34="",手直し!G36=""),"",IFERROR(INDEX(計算用!$I$2:$I$186,MATCH("女"&amp;手直し!G36,計算用!$AO$2:$AO$186,0)),"？"))</f>
        <v/>
      </c>
      <c r="Z34">
        <f>IF($T34="","",手直し!H36&amp;"")</f>
        <v/>
      </c>
      <c r="AA34" s="28">
        <f>IF(OR($T34="",手直し!H36=""),"",IFERROR(INDEX(計算用!$M$2:$M$186,MATCH("女"&amp;手直し!H36,計算用!$AO$2:$AO$186,0)),"？"))</f>
        <v/>
      </c>
      <c r="AB34" s="28">
        <f>IF(OR($T34="",手直し!H36=""),"",IFERROR(INDEX(計算用!$I$2:$I$186,MATCH("女"&amp;手直し!H36,計算用!$AO$2:$AO$186,0)),"？"))</f>
        <v/>
      </c>
      <c r="AC34">
        <f>IF($T34="","",手直し!I36&amp;"")</f>
        <v/>
      </c>
      <c r="AD34" s="28">
        <f>IF(OR($T34="",手直し!I36=""),"",IFERROR(INDEX(計算用!$M$2:$M$186,MATCH("女"&amp;手直し!I36,計算用!$AO$2:$AO$186,0)),"？"))</f>
        <v/>
      </c>
      <c r="AE34" s="28">
        <f>IF(OR($T34="",手直し!I36=""),"",IFERROR(INDEX(計算用!$I$2:$I$186,MATCH("女"&amp;手直し!I36,計算用!$AO$2:$AO$186,0)),"？"))</f>
        <v/>
      </c>
      <c r="AF34">
        <f>IF($T34="","",手直し!J36&amp;"")</f>
        <v/>
      </c>
      <c r="AG34" s="28">
        <f>IF(OR($T34="",手直し!J36=""),"",IFERROR(INDEX(計算用!$M$2:$M$186,MATCH("女"&amp;手直し!J36,計算用!$AO$2:$AO$186,0)),"？"))</f>
        <v/>
      </c>
      <c r="AH34" s="28">
        <f>IF(OR($T34="",手直し!J36=""),"",IFERROR(INDEX(計算用!$I$2:$I$186,MATCH("女"&amp;手直し!J36,計算用!$AO$2:$AO$186,0)),"？"))</f>
        <v/>
      </c>
      <c r="AI34">
        <f>IF($T34="","",手直し!K36&amp;"")</f>
        <v/>
      </c>
      <c r="AJ34" s="28">
        <f>IF(OR($T34="",手直し!K36=""),"",IFERROR(INDEX(計算用!$M$2:$M$186,MATCH("女"&amp;手直し!K36,計算用!$AO$2:$AO$186,0)),"？"))</f>
        <v/>
      </c>
      <c r="AK34" s="28">
        <f>IF(OR($T34="",手直し!K36=""),"",IFERROR(INDEX(計算用!$I$2:$I$186,MATCH("女"&amp;手直し!K36,計算用!$AO$2:$AO$186,0)),"？"))</f>
        <v/>
      </c>
    </row>
    <row r="35">
      <c r="A35" s="28">
        <f>IF(ROW()-3&lt;=計算用!$Q$13,ROW()-3,"")</f>
        <v/>
      </c>
      <c r="B35" s="28">
        <f>IF($A35="","",手直し!M37)</f>
        <v/>
      </c>
      <c r="C35" s="28">
        <f>IF($A35="","",手直し!N37)</f>
        <v/>
      </c>
      <c r="D35">
        <f>IF($A35="","",手直し!B37&amp;"")</f>
        <v/>
      </c>
      <c r="E35" s="28">
        <f>IF(OR($A35="",手直し!B37=""),"",IFERROR(INDEX(計算用!$M$2:$M$186,MATCH("男"&amp;手直し!B37,計算用!$AO$2:$AO$186,0)),"？"))</f>
        <v/>
      </c>
      <c r="F35" s="28">
        <f>IF(OR($A35="",手直し!B37=""),"",IFERROR(INDEX(計算用!$I$2:$I$186,MATCH("男"&amp;手直し!B37,計算用!$AO$2:$AO$186,0)),"？"))</f>
        <v/>
      </c>
      <c r="G35">
        <f>IF($A35="","",手直し!C37&amp;"")</f>
        <v/>
      </c>
      <c r="H35" s="28">
        <f>IF(OR($A35="",手直し!C37=""),"",IFERROR(INDEX(計算用!$M$2:$M$186,MATCH("男"&amp;手直し!C37,計算用!$AO$2:$AO$186,0)),"？"))</f>
        <v/>
      </c>
      <c r="I35" s="28">
        <f>IF(OR($A35="",手直し!C37=""),"",IFERROR(INDEX(計算用!$I$2:$I$186,MATCH("男"&amp;手直し!C37,計算用!$AO$2:$AO$186,0)),"？"))</f>
        <v/>
      </c>
      <c r="J35">
        <f>IF($A35="","",手直し!D37&amp;"")</f>
        <v/>
      </c>
      <c r="K35" s="28">
        <f>IF(OR($A35="",手直し!D37=""),"",IFERROR(INDEX(計算用!$M$2:$M$186,MATCH("男"&amp;手直し!D37,計算用!$AO$2:$AO$186,0)),"？"))</f>
        <v/>
      </c>
      <c r="L35" s="28">
        <f>IF(OR($A35="",手直し!D37=""),"",IFERROR(INDEX(計算用!$I$2:$I$186,MATCH("男"&amp;手直し!D37,計算用!$AO$2:$AO$186,0)),"？"))</f>
        <v/>
      </c>
      <c r="M35">
        <f>IF($A35="","",手直し!E37&amp;"")</f>
        <v/>
      </c>
      <c r="N35" s="28">
        <f>IF(OR($A35="",手直し!E37=""),"",IFERROR(INDEX(計算用!$M$2:$M$186,MATCH("男"&amp;手直し!E37,計算用!$AO$2:$AO$186,0)),"？"))</f>
        <v/>
      </c>
      <c r="O35" s="28">
        <f>IF(OR($A35="",手直し!E37=""),"",IFERROR(INDEX(計算用!$I$2:$I$186,MATCH("男"&amp;手直し!E37,計算用!$AO$2:$AO$186,0)),"？"))</f>
        <v/>
      </c>
      <c r="P35">
        <f>IF($A35="","",手直し!F37&amp;"")</f>
        <v/>
      </c>
      <c r="Q35" s="28">
        <f>IF(OR($A35="",手直し!F37=""),"",IFERROR(INDEX(計算用!$M$2:$M$186,MATCH("男"&amp;手直し!F37,計算用!$AO$2:$AO$186,0)),"？"))</f>
        <v/>
      </c>
      <c r="R35" s="28">
        <f>IF(OR($A35="",手直し!F37=""),"",IFERROR(INDEX(計算用!$I$2:$I$186,MATCH("男"&amp;手直し!F37,計算用!$AO$2:$AO$186,0)),"？"))</f>
        <v/>
      </c>
      <c r="T35" s="28">
        <f>IF(ROW()-3&lt;=計算用!$Q$14,ROW()-3,"")</f>
        <v/>
      </c>
      <c r="U35" s="28">
        <f>IF($T35="","",手直し!O37)</f>
        <v/>
      </c>
      <c r="V35" s="28">
        <f>IF($T35="","",手直し!P37)</f>
        <v/>
      </c>
      <c r="W35">
        <f>IF($T35="","",手直し!G37&amp;"")</f>
        <v/>
      </c>
      <c r="X35" s="28">
        <f>IF(OR($T35="",手直し!G37=""),"",IFERROR(INDEX(計算用!$M$2:$M$186,MATCH("女"&amp;手直し!G37,計算用!$AO$2:$AO$186,0)),"？"))</f>
        <v/>
      </c>
      <c r="Y35" s="28">
        <f>IF(OR($T35="",手直し!G37=""),"",IFERROR(INDEX(計算用!$I$2:$I$186,MATCH("女"&amp;手直し!G37,計算用!$AO$2:$AO$186,0)),"？"))</f>
        <v/>
      </c>
      <c r="Z35">
        <f>IF($T35="","",手直し!H37&amp;"")</f>
        <v/>
      </c>
      <c r="AA35" s="28">
        <f>IF(OR($T35="",手直し!H37=""),"",IFERROR(INDEX(計算用!$M$2:$M$186,MATCH("女"&amp;手直し!H37,計算用!$AO$2:$AO$186,0)),"？"))</f>
        <v/>
      </c>
      <c r="AB35" s="28">
        <f>IF(OR($T35="",手直し!H37=""),"",IFERROR(INDEX(計算用!$I$2:$I$186,MATCH("女"&amp;手直し!H37,計算用!$AO$2:$AO$186,0)),"？"))</f>
        <v/>
      </c>
      <c r="AC35">
        <f>IF($T35="","",手直し!I37&amp;"")</f>
        <v/>
      </c>
      <c r="AD35" s="28">
        <f>IF(OR($T35="",手直し!I37=""),"",IFERROR(INDEX(計算用!$M$2:$M$186,MATCH("女"&amp;手直し!I37,計算用!$AO$2:$AO$186,0)),"？"))</f>
        <v/>
      </c>
      <c r="AE35" s="28">
        <f>IF(OR($T35="",手直し!I37=""),"",IFERROR(INDEX(計算用!$I$2:$I$186,MATCH("女"&amp;手直し!I37,計算用!$AO$2:$AO$186,0)),"？"))</f>
        <v/>
      </c>
      <c r="AF35">
        <f>IF($T35="","",手直し!J37&amp;"")</f>
        <v/>
      </c>
      <c r="AG35" s="28">
        <f>IF(OR($T35="",手直し!J37=""),"",IFERROR(INDEX(計算用!$M$2:$M$186,MATCH("女"&amp;手直し!J37,計算用!$AO$2:$AO$186,0)),"？"))</f>
        <v/>
      </c>
      <c r="AH35" s="28">
        <f>IF(OR($T35="",手直し!J37=""),"",IFERROR(INDEX(計算用!$I$2:$I$186,MATCH("女"&amp;手直し!J37,計算用!$AO$2:$AO$186,0)),"？"))</f>
        <v/>
      </c>
      <c r="AI35">
        <f>IF($T35="","",手直し!K37&amp;"")</f>
        <v/>
      </c>
      <c r="AJ35" s="28">
        <f>IF(OR($T35="",手直し!K37=""),"",IFERROR(INDEX(計算用!$M$2:$M$186,MATCH("女"&amp;手直し!K37,計算用!$AO$2:$AO$186,0)),"？"))</f>
        <v/>
      </c>
      <c r="AK35" s="28">
        <f>IF(OR($T35="",手直し!K37=""),"",IFERROR(INDEX(計算用!$I$2:$I$186,MATCH("女"&amp;手直し!K37,計算用!$AO$2:$AO$186,0)),"？"))</f>
        <v/>
      </c>
    </row>
    <row r="36">
      <c r="A36" s="28">
        <f>IF(ROW()-3&lt;=計算用!$Q$13,ROW()-3,"")</f>
        <v/>
      </c>
      <c r="B36" s="28">
        <f>IF($A36="","",手直し!M38)</f>
        <v/>
      </c>
      <c r="C36" s="28">
        <f>IF($A36="","",手直し!N38)</f>
        <v/>
      </c>
      <c r="D36">
        <f>IF($A36="","",手直し!B38&amp;"")</f>
        <v/>
      </c>
      <c r="E36" s="28">
        <f>IF(OR($A36="",手直し!B38=""),"",IFERROR(INDEX(計算用!$M$2:$M$186,MATCH("男"&amp;手直し!B38,計算用!$AO$2:$AO$186,0)),"？"))</f>
        <v/>
      </c>
      <c r="F36" s="28">
        <f>IF(OR($A36="",手直し!B38=""),"",IFERROR(INDEX(計算用!$I$2:$I$186,MATCH("男"&amp;手直し!B38,計算用!$AO$2:$AO$186,0)),"？"))</f>
        <v/>
      </c>
      <c r="G36">
        <f>IF($A36="","",手直し!C38&amp;"")</f>
        <v/>
      </c>
      <c r="H36" s="28">
        <f>IF(OR($A36="",手直し!C38=""),"",IFERROR(INDEX(計算用!$M$2:$M$186,MATCH("男"&amp;手直し!C38,計算用!$AO$2:$AO$186,0)),"？"))</f>
        <v/>
      </c>
      <c r="I36" s="28">
        <f>IF(OR($A36="",手直し!C38=""),"",IFERROR(INDEX(計算用!$I$2:$I$186,MATCH("男"&amp;手直し!C38,計算用!$AO$2:$AO$186,0)),"？"))</f>
        <v/>
      </c>
      <c r="J36">
        <f>IF($A36="","",手直し!D38&amp;"")</f>
        <v/>
      </c>
      <c r="K36" s="28">
        <f>IF(OR($A36="",手直し!D38=""),"",IFERROR(INDEX(計算用!$M$2:$M$186,MATCH("男"&amp;手直し!D38,計算用!$AO$2:$AO$186,0)),"？"))</f>
        <v/>
      </c>
      <c r="L36" s="28">
        <f>IF(OR($A36="",手直し!D38=""),"",IFERROR(INDEX(計算用!$I$2:$I$186,MATCH("男"&amp;手直し!D38,計算用!$AO$2:$AO$186,0)),"？"))</f>
        <v/>
      </c>
      <c r="M36">
        <f>IF($A36="","",手直し!E38&amp;"")</f>
        <v/>
      </c>
      <c r="N36" s="28">
        <f>IF(OR($A36="",手直し!E38=""),"",IFERROR(INDEX(計算用!$M$2:$M$186,MATCH("男"&amp;手直し!E38,計算用!$AO$2:$AO$186,0)),"？"))</f>
        <v/>
      </c>
      <c r="O36" s="28">
        <f>IF(OR($A36="",手直し!E38=""),"",IFERROR(INDEX(計算用!$I$2:$I$186,MATCH("男"&amp;手直し!E38,計算用!$AO$2:$AO$186,0)),"？"))</f>
        <v/>
      </c>
      <c r="P36">
        <f>IF($A36="","",手直し!F38&amp;"")</f>
        <v/>
      </c>
      <c r="Q36" s="28">
        <f>IF(OR($A36="",手直し!F38=""),"",IFERROR(INDEX(計算用!$M$2:$M$186,MATCH("男"&amp;手直し!F38,計算用!$AO$2:$AO$186,0)),"？"))</f>
        <v/>
      </c>
      <c r="R36" s="28">
        <f>IF(OR($A36="",手直し!F38=""),"",IFERROR(INDEX(計算用!$I$2:$I$186,MATCH("男"&amp;手直し!F38,計算用!$AO$2:$AO$186,0)),"？"))</f>
        <v/>
      </c>
      <c r="T36" s="28">
        <f>IF(ROW()-3&lt;=計算用!$Q$14,ROW()-3,"")</f>
        <v/>
      </c>
      <c r="U36" s="28">
        <f>IF($T36="","",手直し!O38)</f>
        <v/>
      </c>
      <c r="V36" s="28">
        <f>IF($T36="","",手直し!P38)</f>
        <v/>
      </c>
      <c r="W36">
        <f>IF($T36="","",手直し!G38&amp;"")</f>
        <v/>
      </c>
      <c r="X36" s="28">
        <f>IF(OR($T36="",手直し!G38=""),"",IFERROR(INDEX(計算用!$M$2:$M$186,MATCH("女"&amp;手直し!G38,計算用!$AO$2:$AO$186,0)),"？"))</f>
        <v/>
      </c>
      <c r="Y36" s="28">
        <f>IF(OR($T36="",手直し!G38=""),"",IFERROR(INDEX(計算用!$I$2:$I$186,MATCH("女"&amp;手直し!G38,計算用!$AO$2:$AO$186,0)),"？"))</f>
        <v/>
      </c>
      <c r="Z36">
        <f>IF($T36="","",手直し!H38&amp;"")</f>
        <v/>
      </c>
      <c r="AA36" s="28">
        <f>IF(OR($T36="",手直し!H38=""),"",IFERROR(INDEX(計算用!$M$2:$M$186,MATCH("女"&amp;手直し!H38,計算用!$AO$2:$AO$186,0)),"？"))</f>
        <v/>
      </c>
      <c r="AB36" s="28">
        <f>IF(OR($T36="",手直し!H38=""),"",IFERROR(INDEX(計算用!$I$2:$I$186,MATCH("女"&amp;手直し!H38,計算用!$AO$2:$AO$186,0)),"？"))</f>
        <v/>
      </c>
      <c r="AC36">
        <f>IF($T36="","",手直し!I38&amp;"")</f>
        <v/>
      </c>
      <c r="AD36" s="28">
        <f>IF(OR($T36="",手直し!I38=""),"",IFERROR(INDEX(計算用!$M$2:$M$186,MATCH("女"&amp;手直し!I38,計算用!$AO$2:$AO$186,0)),"？"))</f>
        <v/>
      </c>
      <c r="AE36" s="28">
        <f>IF(OR($T36="",手直し!I38=""),"",IFERROR(INDEX(計算用!$I$2:$I$186,MATCH("女"&amp;手直し!I38,計算用!$AO$2:$AO$186,0)),"？"))</f>
        <v/>
      </c>
      <c r="AF36">
        <f>IF($T36="","",手直し!J38&amp;"")</f>
        <v/>
      </c>
      <c r="AG36" s="28">
        <f>IF(OR($T36="",手直し!J38=""),"",IFERROR(INDEX(計算用!$M$2:$M$186,MATCH("女"&amp;手直し!J38,計算用!$AO$2:$AO$186,0)),"？"))</f>
        <v/>
      </c>
      <c r="AH36" s="28">
        <f>IF(OR($T36="",手直し!J38=""),"",IFERROR(INDEX(計算用!$I$2:$I$186,MATCH("女"&amp;手直し!J38,計算用!$AO$2:$AO$186,0)),"？"))</f>
        <v/>
      </c>
      <c r="AI36">
        <f>IF($T36="","",手直し!K38&amp;"")</f>
        <v/>
      </c>
      <c r="AJ36" s="28">
        <f>IF(OR($T36="",手直し!K38=""),"",IFERROR(INDEX(計算用!$M$2:$M$186,MATCH("女"&amp;手直し!K38,計算用!$AO$2:$AO$186,0)),"？"))</f>
        <v/>
      </c>
      <c r="AK36" s="28">
        <f>IF(OR($T36="",手直し!K38=""),"",IFERROR(INDEX(計算用!$I$2:$I$186,MATCH("女"&amp;手直し!K38,計算用!$AO$2:$AO$186,0)),"？"))</f>
        <v/>
      </c>
    </row>
    <row r="37">
      <c r="A37" s="28">
        <f>IF(ROW()-3&lt;=計算用!$Q$13,ROW()-3,"")</f>
        <v/>
      </c>
      <c r="B37" s="28">
        <f>IF($A37="","",手直し!M39)</f>
        <v/>
      </c>
      <c r="C37" s="28">
        <f>IF($A37="","",手直し!N39)</f>
        <v/>
      </c>
      <c r="D37">
        <f>IF($A37="","",手直し!B39&amp;"")</f>
        <v/>
      </c>
      <c r="E37" s="28">
        <f>IF(OR($A37="",手直し!B39=""),"",IFERROR(INDEX(計算用!$M$2:$M$186,MATCH("男"&amp;手直し!B39,計算用!$AO$2:$AO$186,0)),"？"))</f>
        <v/>
      </c>
      <c r="F37" s="28">
        <f>IF(OR($A37="",手直し!B39=""),"",IFERROR(INDEX(計算用!$I$2:$I$186,MATCH("男"&amp;手直し!B39,計算用!$AO$2:$AO$186,0)),"？"))</f>
        <v/>
      </c>
      <c r="G37">
        <f>IF($A37="","",手直し!C39&amp;"")</f>
        <v/>
      </c>
      <c r="H37" s="28">
        <f>IF(OR($A37="",手直し!C39=""),"",IFERROR(INDEX(計算用!$M$2:$M$186,MATCH("男"&amp;手直し!C39,計算用!$AO$2:$AO$186,0)),"？"))</f>
        <v/>
      </c>
      <c r="I37" s="28">
        <f>IF(OR($A37="",手直し!C39=""),"",IFERROR(INDEX(計算用!$I$2:$I$186,MATCH("男"&amp;手直し!C39,計算用!$AO$2:$AO$186,0)),"？"))</f>
        <v/>
      </c>
      <c r="J37">
        <f>IF($A37="","",手直し!D39&amp;"")</f>
        <v/>
      </c>
      <c r="K37" s="28">
        <f>IF(OR($A37="",手直し!D39=""),"",IFERROR(INDEX(計算用!$M$2:$M$186,MATCH("男"&amp;手直し!D39,計算用!$AO$2:$AO$186,0)),"？"))</f>
        <v/>
      </c>
      <c r="L37" s="28">
        <f>IF(OR($A37="",手直し!D39=""),"",IFERROR(INDEX(計算用!$I$2:$I$186,MATCH("男"&amp;手直し!D39,計算用!$AO$2:$AO$186,0)),"？"))</f>
        <v/>
      </c>
      <c r="M37">
        <f>IF($A37="","",手直し!E39&amp;"")</f>
        <v/>
      </c>
      <c r="N37" s="28">
        <f>IF(OR($A37="",手直し!E39=""),"",IFERROR(INDEX(計算用!$M$2:$M$186,MATCH("男"&amp;手直し!E39,計算用!$AO$2:$AO$186,0)),"？"))</f>
        <v/>
      </c>
      <c r="O37" s="28">
        <f>IF(OR($A37="",手直し!E39=""),"",IFERROR(INDEX(計算用!$I$2:$I$186,MATCH("男"&amp;手直し!E39,計算用!$AO$2:$AO$186,0)),"？"))</f>
        <v/>
      </c>
      <c r="P37">
        <f>IF($A37="","",手直し!F39&amp;"")</f>
        <v/>
      </c>
      <c r="Q37" s="28">
        <f>IF(OR($A37="",手直し!F39=""),"",IFERROR(INDEX(計算用!$M$2:$M$186,MATCH("男"&amp;手直し!F39,計算用!$AO$2:$AO$186,0)),"？"))</f>
        <v/>
      </c>
      <c r="R37" s="28">
        <f>IF(OR($A37="",手直し!F39=""),"",IFERROR(INDEX(計算用!$I$2:$I$186,MATCH("男"&amp;手直し!F39,計算用!$AO$2:$AO$186,0)),"？"))</f>
        <v/>
      </c>
      <c r="T37" s="28">
        <f>IF(ROW()-3&lt;=計算用!$Q$14,ROW()-3,"")</f>
        <v/>
      </c>
      <c r="U37" s="28">
        <f>IF($T37="","",手直し!O39)</f>
        <v/>
      </c>
      <c r="V37" s="28">
        <f>IF($T37="","",手直し!P39)</f>
        <v/>
      </c>
      <c r="W37">
        <f>IF($T37="","",手直し!G39&amp;"")</f>
        <v/>
      </c>
      <c r="X37" s="28">
        <f>IF(OR($T37="",手直し!G39=""),"",IFERROR(INDEX(計算用!$M$2:$M$186,MATCH("女"&amp;手直し!G39,計算用!$AO$2:$AO$186,0)),"？"))</f>
        <v/>
      </c>
      <c r="Y37" s="28">
        <f>IF(OR($T37="",手直し!G39=""),"",IFERROR(INDEX(計算用!$I$2:$I$186,MATCH("女"&amp;手直し!G39,計算用!$AO$2:$AO$186,0)),"？"))</f>
        <v/>
      </c>
      <c r="Z37">
        <f>IF($T37="","",手直し!H39&amp;"")</f>
        <v/>
      </c>
      <c r="AA37" s="28">
        <f>IF(OR($T37="",手直し!H39=""),"",IFERROR(INDEX(計算用!$M$2:$M$186,MATCH("女"&amp;手直し!H39,計算用!$AO$2:$AO$186,0)),"？"))</f>
        <v/>
      </c>
      <c r="AB37" s="28">
        <f>IF(OR($T37="",手直し!H39=""),"",IFERROR(INDEX(計算用!$I$2:$I$186,MATCH("女"&amp;手直し!H39,計算用!$AO$2:$AO$186,0)),"？"))</f>
        <v/>
      </c>
      <c r="AC37">
        <f>IF($T37="","",手直し!I39&amp;"")</f>
        <v/>
      </c>
      <c r="AD37" s="28">
        <f>IF(OR($T37="",手直し!I39=""),"",IFERROR(INDEX(計算用!$M$2:$M$186,MATCH("女"&amp;手直し!I39,計算用!$AO$2:$AO$186,0)),"？"))</f>
        <v/>
      </c>
      <c r="AE37" s="28">
        <f>IF(OR($T37="",手直し!I39=""),"",IFERROR(INDEX(計算用!$I$2:$I$186,MATCH("女"&amp;手直し!I39,計算用!$AO$2:$AO$186,0)),"？"))</f>
        <v/>
      </c>
      <c r="AF37">
        <f>IF($T37="","",手直し!J39&amp;"")</f>
        <v/>
      </c>
      <c r="AG37" s="28">
        <f>IF(OR($T37="",手直し!J39=""),"",IFERROR(INDEX(計算用!$M$2:$M$186,MATCH("女"&amp;手直し!J39,計算用!$AO$2:$AO$186,0)),"？"))</f>
        <v/>
      </c>
      <c r="AH37" s="28">
        <f>IF(OR($T37="",手直し!J39=""),"",IFERROR(INDEX(計算用!$I$2:$I$186,MATCH("女"&amp;手直し!J39,計算用!$AO$2:$AO$186,0)),"？"))</f>
        <v/>
      </c>
      <c r="AI37">
        <f>IF($T37="","",手直し!K39&amp;"")</f>
        <v/>
      </c>
      <c r="AJ37" s="28">
        <f>IF(OR($T37="",手直し!K39=""),"",IFERROR(INDEX(計算用!$M$2:$M$186,MATCH("女"&amp;手直し!K39,計算用!$AO$2:$AO$186,0)),"？"))</f>
        <v/>
      </c>
      <c r="AK37" s="28">
        <f>IF(OR($T37="",手直し!K39=""),"",IFERROR(INDEX(計算用!$I$2:$I$186,MATCH("女"&amp;手直し!K39,計算用!$AO$2:$AO$186,0)),"？"))</f>
        <v/>
      </c>
    </row>
    <row r="38">
      <c r="A38" s="28">
        <f>IF(ROW()-3&lt;=計算用!$Q$13,ROW()-3,"")</f>
        <v/>
      </c>
      <c r="B38" s="28">
        <f>IF($A38="","",手直し!M40)</f>
        <v/>
      </c>
      <c r="C38" s="28">
        <f>IF($A38="","",手直し!N40)</f>
        <v/>
      </c>
      <c r="D38">
        <f>IF($A38="","",手直し!B40&amp;"")</f>
        <v/>
      </c>
      <c r="E38" s="28">
        <f>IF(OR($A38="",手直し!B40=""),"",IFERROR(INDEX(計算用!$M$2:$M$186,MATCH("男"&amp;手直し!B40,計算用!$AO$2:$AO$186,0)),"？"))</f>
        <v/>
      </c>
      <c r="F38" s="28">
        <f>IF(OR($A38="",手直し!B40=""),"",IFERROR(INDEX(計算用!$I$2:$I$186,MATCH("男"&amp;手直し!B40,計算用!$AO$2:$AO$186,0)),"？"))</f>
        <v/>
      </c>
      <c r="G38">
        <f>IF($A38="","",手直し!C40&amp;"")</f>
        <v/>
      </c>
      <c r="H38" s="28">
        <f>IF(OR($A38="",手直し!C40=""),"",IFERROR(INDEX(計算用!$M$2:$M$186,MATCH("男"&amp;手直し!C40,計算用!$AO$2:$AO$186,0)),"？"))</f>
        <v/>
      </c>
      <c r="I38" s="28">
        <f>IF(OR($A38="",手直し!C40=""),"",IFERROR(INDEX(計算用!$I$2:$I$186,MATCH("男"&amp;手直し!C40,計算用!$AO$2:$AO$186,0)),"？"))</f>
        <v/>
      </c>
      <c r="J38">
        <f>IF($A38="","",手直し!D40&amp;"")</f>
        <v/>
      </c>
      <c r="K38" s="28">
        <f>IF(OR($A38="",手直し!D40=""),"",IFERROR(INDEX(計算用!$M$2:$M$186,MATCH("男"&amp;手直し!D40,計算用!$AO$2:$AO$186,0)),"？"))</f>
        <v/>
      </c>
      <c r="L38" s="28">
        <f>IF(OR($A38="",手直し!D40=""),"",IFERROR(INDEX(計算用!$I$2:$I$186,MATCH("男"&amp;手直し!D40,計算用!$AO$2:$AO$186,0)),"？"))</f>
        <v/>
      </c>
      <c r="M38">
        <f>IF($A38="","",手直し!E40&amp;"")</f>
        <v/>
      </c>
      <c r="N38" s="28">
        <f>IF(OR($A38="",手直し!E40=""),"",IFERROR(INDEX(計算用!$M$2:$M$186,MATCH("男"&amp;手直し!E40,計算用!$AO$2:$AO$186,0)),"？"))</f>
        <v/>
      </c>
      <c r="O38" s="28">
        <f>IF(OR($A38="",手直し!E40=""),"",IFERROR(INDEX(計算用!$I$2:$I$186,MATCH("男"&amp;手直し!E40,計算用!$AO$2:$AO$186,0)),"？"))</f>
        <v/>
      </c>
      <c r="P38">
        <f>IF($A38="","",手直し!F40&amp;"")</f>
        <v/>
      </c>
      <c r="Q38" s="28">
        <f>IF(OR($A38="",手直し!F40=""),"",IFERROR(INDEX(計算用!$M$2:$M$186,MATCH("男"&amp;手直し!F40,計算用!$AO$2:$AO$186,0)),"？"))</f>
        <v/>
      </c>
      <c r="R38" s="28">
        <f>IF(OR($A38="",手直し!F40=""),"",IFERROR(INDEX(計算用!$I$2:$I$186,MATCH("男"&amp;手直し!F40,計算用!$AO$2:$AO$186,0)),"？"))</f>
        <v/>
      </c>
      <c r="T38" s="28">
        <f>IF(ROW()-3&lt;=計算用!$Q$14,ROW()-3,"")</f>
        <v/>
      </c>
      <c r="U38" s="28">
        <f>IF($T38="","",手直し!O40)</f>
        <v/>
      </c>
      <c r="V38" s="28">
        <f>IF($T38="","",手直し!P40)</f>
        <v/>
      </c>
      <c r="W38">
        <f>IF($T38="","",手直し!G40&amp;"")</f>
        <v/>
      </c>
      <c r="X38" s="28">
        <f>IF(OR($T38="",手直し!G40=""),"",IFERROR(INDEX(計算用!$M$2:$M$186,MATCH("女"&amp;手直し!G40,計算用!$AO$2:$AO$186,0)),"？"))</f>
        <v/>
      </c>
      <c r="Y38" s="28">
        <f>IF(OR($T38="",手直し!G40=""),"",IFERROR(INDEX(計算用!$I$2:$I$186,MATCH("女"&amp;手直し!G40,計算用!$AO$2:$AO$186,0)),"？"))</f>
        <v/>
      </c>
      <c r="Z38">
        <f>IF($T38="","",手直し!H40&amp;"")</f>
        <v/>
      </c>
      <c r="AA38" s="28">
        <f>IF(OR($T38="",手直し!H40=""),"",IFERROR(INDEX(計算用!$M$2:$M$186,MATCH("女"&amp;手直し!H40,計算用!$AO$2:$AO$186,0)),"？"))</f>
        <v/>
      </c>
      <c r="AB38" s="28">
        <f>IF(OR($T38="",手直し!H40=""),"",IFERROR(INDEX(計算用!$I$2:$I$186,MATCH("女"&amp;手直し!H40,計算用!$AO$2:$AO$186,0)),"？"))</f>
        <v/>
      </c>
      <c r="AC38">
        <f>IF($T38="","",手直し!I40&amp;"")</f>
        <v/>
      </c>
      <c r="AD38" s="28">
        <f>IF(OR($T38="",手直し!I40=""),"",IFERROR(INDEX(計算用!$M$2:$M$186,MATCH("女"&amp;手直し!I40,計算用!$AO$2:$AO$186,0)),"？"))</f>
        <v/>
      </c>
      <c r="AE38" s="28">
        <f>IF(OR($T38="",手直し!I40=""),"",IFERROR(INDEX(計算用!$I$2:$I$186,MATCH("女"&amp;手直し!I40,計算用!$AO$2:$AO$186,0)),"？"))</f>
        <v/>
      </c>
      <c r="AF38">
        <f>IF($T38="","",手直し!J40&amp;"")</f>
        <v/>
      </c>
      <c r="AG38" s="28">
        <f>IF(OR($T38="",手直し!J40=""),"",IFERROR(INDEX(計算用!$M$2:$M$186,MATCH("女"&amp;手直し!J40,計算用!$AO$2:$AO$186,0)),"？"))</f>
        <v/>
      </c>
      <c r="AH38" s="28">
        <f>IF(OR($T38="",手直し!J40=""),"",IFERROR(INDEX(計算用!$I$2:$I$186,MATCH("女"&amp;手直し!J40,計算用!$AO$2:$AO$186,0)),"？"))</f>
        <v/>
      </c>
      <c r="AI38">
        <f>IF($T38="","",手直し!K40&amp;"")</f>
        <v/>
      </c>
      <c r="AJ38" s="28">
        <f>IF(OR($T38="",手直し!K40=""),"",IFERROR(INDEX(計算用!$M$2:$M$186,MATCH("女"&amp;手直し!K40,計算用!$AO$2:$AO$186,0)),"？"))</f>
        <v/>
      </c>
      <c r="AK38" s="28">
        <f>IF(OR($T38="",手直し!K40=""),"",IFERROR(INDEX(計算用!$I$2:$I$186,MATCH("女"&amp;手直し!K40,計算用!$AO$2:$AO$186,0)),"？"))</f>
        <v/>
      </c>
    </row>
    <row r="39">
      <c r="A39" s="28">
        <f>IF(ROW()-3&lt;=計算用!$Q$13,ROW()-3,"")</f>
        <v/>
      </c>
      <c r="B39" s="28">
        <f>IF($A39="","",手直し!M41)</f>
        <v/>
      </c>
      <c r="C39" s="28">
        <f>IF($A39="","",手直し!N41)</f>
        <v/>
      </c>
      <c r="D39">
        <f>IF($A39="","",手直し!B41&amp;"")</f>
        <v/>
      </c>
      <c r="E39" s="28">
        <f>IF(OR($A39="",手直し!B41=""),"",IFERROR(INDEX(計算用!$M$2:$M$186,MATCH("男"&amp;手直し!B41,計算用!$AO$2:$AO$186,0)),"？"))</f>
        <v/>
      </c>
      <c r="F39" s="28">
        <f>IF(OR($A39="",手直し!B41=""),"",IFERROR(INDEX(計算用!$I$2:$I$186,MATCH("男"&amp;手直し!B41,計算用!$AO$2:$AO$186,0)),"？"))</f>
        <v/>
      </c>
      <c r="G39">
        <f>IF($A39="","",手直し!C41&amp;"")</f>
        <v/>
      </c>
      <c r="H39" s="28">
        <f>IF(OR($A39="",手直し!C41=""),"",IFERROR(INDEX(計算用!$M$2:$M$186,MATCH("男"&amp;手直し!C41,計算用!$AO$2:$AO$186,0)),"？"))</f>
        <v/>
      </c>
      <c r="I39" s="28">
        <f>IF(OR($A39="",手直し!C41=""),"",IFERROR(INDEX(計算用!$I$2:$I$186,MATCH("男"&amp;手直し!C41,計算用!$AO$2:$AO$186,0)),"？"))</f>
        <v/>
      </c>
      <c r="J39">
        <f>IF($A39="","",手直し!D41&amp;"")</f>
        <v/>
      </c>
      <c r="K39" s="28">
        <f>IF(OR($A39="",手直し!D41=""),"",IFERROR(INDEX(計算用!$M$2:$M$186,MATCH("男"&amp;手直し!D41,計算用!$AO$2:$AO$186,0)),"？"))</f>
        <v/>
      </c>
      <c r="L39" s="28">
        <f>IF(OR($A39="",手直し!D41=""),"",IFERROR(INDEX(計算用!$I$2:$I$186,MATCH("男"&amp;手直し!D41,計算用!$AO$2:$AO$186,0)),"？"))</f>
        <v/>
      </c>
      <c r="M39">
        <f>IF($A39="","",手直し!E41&amp;"")</f>
        <v/>
      </c>
      <c r="N39" s="28">
        <f>IF(OR($A39="",手直し!E41=""),"",IFERROR(INDEX(計算用!$M$2:$M$186,MATCH("男"&amp;手直し!E41,計算用!$AO$2:$AO$186,0)),"？"))</f>
        <v/>
      </c>
      <c r="O39" s="28">
        <f>IF(OR($A39="",手直し!E41=""),"",IFERROR(INDEX(計算用!$I$2:$I$186,MATCH("男"&amp;手直し!E41,計算用!$AO$2:$AO$186,0)),"？"))</f>
        <v/>
      </c>
      <c r="P39">
        <f>IF($A39="","",手直し!F41&amp;"")</f>
        <v/>
      </c>
      <c r="Q39" s="28">
        <f>IF(OR($A39="",手直し!F41=""),"",IFERROR(INDEX(計算用!$M$2:$M$186,MATCH("男"&amp;手直し!F41,計算用!$AO$2:$AO$186,0)),"？"))</f>
        <v/>
      </c>
      <c r="R39" s="28">
        <f>IF(OR($A39="",手直し!F41=""),"",IFERROR(INDEX(計算用!$I$2:$I$186,MATCH("男"&amp;手直し!F41,計算用!$AO$2:$AO$186,0)),"？"))</f>
        <v/>
      </c>
      <c r="T39" s="28">
        <f>IF(ROW()-3&lt;=計算用!$Q$14,ROW()-3,"")</f>
        <v/>
      </c>
      <c r="U39" s="28">
        <f>IF($T39="","",手直し!O41)</f>
        <v/>
      </c>
      <c r="V39" s="28">
        <f>IF($T39="","",手直し!P41)</f>
        <v/>
      </c>
      <c r="W39">
        <f>IF($T39="","",手直し!G41&amp;"")</f>
        <v/>
      </c>
      <c r="X39" s="28">
        <f>IF(OR($T39="",手直し!G41=""),"",IFERROR(INDEX(計算用!$M$2:$M$186,MATCH("女"&amp;手直し!G41,計算用!$AO$2:$AO$186,0)),"？"))</f>
        <v/>
      </c>
      <c r="Y39" s="28">
        <f>IF(OR($T39="",手直し!G41=""),"",IFERROR(INDEX(計算用!$I$2:$I$186,MATCH("女"&amp;手直し!G41,計算用!$AO$2:$AO$186,0)),"？"))</f>
        <v/>
      </c>
      <c r="Z39">
        <f>IF($T39="","",手直し!H41&amp;"")</f>
        <v/>
      </c>
      <c r="AA39" s="28">
        <f>IF(OR($T39="",手直し!H41=""),"",IFERROR(INDEX(計算用!$M$2:$M$186,MATCH("女"&amp;手直し!H41,計算用!$AO$2:$AO$186,0)),"？"))</f>
        <v/>
      </c>
      <c r="AB39" s="28">
        <f>IF(OR($T39="",手直し!H41=""),"",IFERROR(INDEX(計算用!$I$2:$I$186,MATCH("女"&amp;手直し!H41,計算用!$AO$2:$AO$186,0)),"？"))</f>
        <v/>
      </c>
      <c r="AC39">
        <f>IF($T39="","",手直し!I41&amp;"")</f>
        <v/>
      </c>
      <c r="AD39" s="28">
        <f>IF(OR($T39="",手直し!I41=""),"",IFERROR(INDEX(計算用!$M$2:$M$186,MATCH("女"&amp;手直し!I41,計算用!$AO$2:$AO$186,0)),"？"))</f>
        <v/>
      </c>
      <c r="AE39" s="28">
        <f>IF(OR($T39="",手直し!I41=""),"",IFERROR(INDEX(計算用!$I$2:$I$186,MATCH("女"&amp;手直し!I41,計算用!$AO$2:$AO$186,0)),"？"))</f>
        <v/>
      </c>
      <c r="AF39">
        <f>IF($T39="","",手直し!J41&amp;"")</f>
        <v/>
      </c>
      <c r="AG39" s="28">
        <f>IF(OR($T39="",手直し!J41=""),"",IFERROR(INDEX(計算用!$M$2:$M$186,MATCH("女"&amp;手直し!J41,計算用!$AO$2:$AO$186,0)),"？"))</f>
        <v/>
      </c>
      <c r="AH39" s="28">
        <f>IF(OR($T39="",手直し!J41=""),"",IFERROR(INDEX(計算用!$I$2:$I$186,MATCH("女"&amp;手直し!J41,計算用!$AO$2:$AO$186,0)),"？"))</f>
        <v/>
      </c>
      <c r="AI39">
        <f>IF($T39="","",手直し!K41&amp;"")</f>
        <v/>
      </c>
      <c r="AJ39" s="28">
        <f>IF(OR($T39="",手直し!K41=""),"",IFERROR(INDEX(計算用!$M$2:$M$186,MATCH("女"&amp;手直し!K41,計算用!$AO$2:$AO$186,0)),"？"))</f>
        <v/>
      </c>
      <c r="AK39" s="28">
        <f>IF(OR($T39="",手直し!K41=""),"",IFERROR(INDEX(計算用!$I$2:$I$186,MATCH("女"&amp;手直し!K41,計算用!$AO$2:$AO$186,0)),"？"))</f>
        <v/>
      </c>
    </row>
    <row r="40">
      <c r="A40" s="28">
        <f>IF(ROW()-3&lt;=計算用!$Q$13,ROW()-3,"")</f>
        <v/>
      </c>
      <c r="B40" s="28">
        <f>IF($A40="","",手直し!M42)</f>
        <v/>
      </c>
      <c r="C40" s="28">
        <f>IF($A40="","",手直し!N42)</f>
        <v/>
      </c>
      <c r="D40">
        <f>IF($A40="","",手直し!B42&amp;"")</f>
        <v/>
      </c>
      <c r="E40" s="28">
        <f>IF(OR($A40="",手直し!B42=""),"",IFERROR(INDEX(計算用!$M$2:$M$186,MATCH("男"&amp;手直し!B42,計算用!$AO$2:$AO$186,0)),"？"))</f>
        <v/>
      </c>
      <c r="F40" s="28">
        <f>IF(OR($A40="",手直し!B42=""),"",IFERROR(INDEX(計算用!$I$2:$I$186,MATCH("男"&amp;手直し!B42,計算用!$AO$2:$AO$186,0)),"？"))</f>
        <v/>
      </c>
      <c r="G40">
        <f>IF($A40="","",手直し!C42&amp;"")</f>
        <v/>
      </c>
      <c r="H40" s="28">
        <f>IF(OR($A40="",手直し!C42=""),"",IFERROR(INDEX(計算用!$M$2:$M$186,MATCH("男"&amp;手直し!C42,計算用!$AO$2:$AO$186,0)),"？"))</f>
        <v/>
      </c>
      <c r="I40" s="28">
        <f>IF(OR($A40="",手直し!C42=""),"",IFERROR(INDEX(計算用!$I$2:$I$186,MATCH("男"&amp;手直し!C42,計算用!$AO$2:$AO$186,0)),"？"))</f>
        <v/>
      </c>
      <c r="J40">
        <f>IF($A40="","",手直し!D42&amp;"")</f>
        <v/>
      </c>
      <c r="K40" s="28">
        <f>IF(OR($A40="",手直し!D42=""),"",IFERROR(INDEX(計算用!$M$2:$M$186,MATCH("男"&amp;手直し!D42,計算用!$AO$2:$AO$186,0)),"？"))</f>
        <v/>
      </c>
      <c r="L40" s="28">
        <f>IF(OR($A40="",手直し!D42=""),"",IFERROR(INDEX(計算用!$I$2:$I$186,MATCH("男"&amp;手直し!D42,計算用!$AO$2:$AO$186,0)),"？"))</f>
        <v/>
      </c>
      <c r="M40">
        <f>IF($A40="","",手直し!E42&amp;"")</f>
        <v/>
      </c>
      <c r="N40" s="28">
        <f>IF(OR($A40="",手直し!E42=""),"",IFERROR(INDEX(計算用!$M$2:$M$186,MATCH("男"&amp;手直し!E42,計算用!$AO$2:$AO$186,0)),"？"))</f>
        <v/>
      </c>
      <c r="O40" s="28">
        <f>IF(OR($A40="",手直し!E42=""),"",IFERROR(INDEX(計算用!$I$2:$I$186,MATCH("男"&amp;手直し!E42,計算用!$AO$2:$AO$186,0)),"？"))</f>
        <v/>
      </c>
      <c r="P40">
        <f>IF($A40="","",手直し!F42&amp;"")</f>
        <v/>
      </c>
      <c r="Q40" s="28">
        <f>IF(OR($A40="",手直し!F42=""),"",IFERROR(INDEX(計算用!$M$2:$M$186,MATCH("男"&amp;手直し!F42,計算用!$AO$2:$AO$186,0)),"？"))</f>
        <v/>
      </c>
      <c r="R40" s="28">
        <f>IF(OR($A40="",手直し!F42=""),"",IFERROR(INDEX(計算用!$I$2:$I$186,MATCH("男"&amp;手直し!F42,計算用!$AO$2:$AO$186,0)),"？"))</f>
        <v/>
      </c>
      <c r="T40" s="28">
        <f>IF(ROW()-3&lt;=計算用!$Q$14,ROW()-3,"")</f>
        <v/>
      </c>
      <c r="U40" s="28">
        <f>IF($T40="","",手直し!O42)</f>
        <v/>
      </c>
      <c r="V40" s="28">
        <f>IF($T40="","",手直し!P42)</f>
        <v/>
      </c>
      <c r="W40">
        <f>IF($T40="","",手直し!G42&amp;"")</f>
        <v/>
      </c>
      <c r="X40" s="28">
        <f>IF(OR($T40="",手直し!G42=""),"",IFERROR(INDEX(計算用!$M$2:$M$186,MATCH("女"&amp;手直し!G42,計算用!$AO$2:$AO$186,0)),"？"))</f>
        <v/>
      </c>
      <c r="Y40" s="28">
        <f>IF(OR($T40="",手直し!G42=""),"",IFERROR(INDEX(計算用!$I$2:$I$186,MATCH("女"&amp;手直し!G42,計算用!$AO$2:$AO$186,0)),"？"))</f>
        <v/>
      </c>
      <c r="Z40">
        <f>IF($T40="","",手直し!H42&amp;"")</f>
        <v/>
      </c>
      <c r="AA40" s="28">
        <f>IF(OR($T40="",手直し!H42=""),"",IFERROR(INDEX(計算用!$M$2:$M$186,MATCH("女"&amp;手直し!H42,計算用!$AO$2:$AO$186,0)),"？"))</f>
        <v/>
      </c>
      <c r="AB40" s="28">
        <f>IF(OR($T40="",手直し!H42=""),"",IFERROR(INDEX(計算用!$I$2:$I$186,MATCH("女"&amp;手直し!H42,計算用!$AO$2:$AO$186,0)),"？"))</f>
        <v/>
      </c>
      <c r="AC40">
        <f>IF($T40="","",手直し!I42&amp;"")</f>
        <v/>
      </c>
      <c r="AD40" s="28">
        <f>IF(OR($T40="",手直し!I42=""),"",IFERROR(INDEX(計算用!$M$2:$M$186,MATCH("女"&amp;手直し!I42,計算用!$AO$2:$AO$186,0)),"？"))</f>
        <v/>
      </c>
      <c r="AE40" s="28">
        <f>IF(OR($T40="",手直し!I42=""),"",IFERROR(INDEX(計算用!$I$2:$I$186,MATCH("女"&amp;手直し!I42,計算用!$AO$2:$AO$186,0)),"？"))</f>
        <v/>
      </c>
      <c r="AF40">
        <f>IF($T40="","",手直し!J42&amp;"")</f>
        <v/>
      </c>
      <c r="AG40" s="28">
        <f>IF(OR($T40="",手直し!J42=""),"",IFERROR(INDEX(計算用!$M$2:$M$186,MATCH("女"&amp;手直し!J42,計算用!$AO$2:$AO$186,0)),"？"))</f>
        <v/>
      </c>
      <c r="AH40" s="28">
        <f>IF(OR($T40="",手直し!J42=""),"",IFERROR(INDEX(計算用!$I$2:$I$186,MATCH("女"&amp;手直し!J42,計算用!$AO$2:$AO$186,0)),"？"))</f>
        <v/>
      </c>
      <c r="AI40">
        <f>IF($T40="","",手直し!K42&amp;"")</f>
        <v/>
      </c>
      <c r="AJ40" s="28">
        <f>IF(OR($T40="",手直し!K42=""),"",IFERROR(INDEX(計算用!$M$2:$M$186,MATCH("女"&amp;手直し!K42,計算用!$AO$2:$AO$186,0)),"？"))</f>
        <v/>
      </c>
      <c r="AK40" s="28">
        <f>IF(OR($T40="",手直し!K42=""),"",IFERROR(INDEX(計算用!$I$2:$I$186,MATCH("女"&amp;手直し!K42,計算用!$AO$2:$AO$186,0)),"？"))</f>
        <v/>
      </c>
    </row>
    <row r="41">
      <c r="A41" s="28">
        <f>IF(ROW()-3&lt;=計算用!$Q$13,ROW()-3,"")</f>
        <v/>
      </c>
      <c r="B41" s="28">
        <f>IF($A41="","",手直し!M43)</f>
        <v/>
      </c>
      <c r="C41" s="28">
        <f>IF($A41="","",手直し!N43)</f>
        <v/>
      </c>
      <c r="D41">
        <f>IF($A41="","",手直し!B43&amp;"")</f>
        <v/>
      </c>
      <c r="E41" s="28">
        <f>IF(OR($A41="",手直し!B43=""),"",IFERROR(INDEX(計算用!$M$2:$M$186,MATCH("男"&amp;手直し!B43,計算用!$AO$2:$AO$186,0)),"？"))</f>
        <v/>
      </c>
      <c r="F41" s="28">
        <f>IF(OR($A41="",手直し!B43=""),"",IFERROR(INDEX(計算用!$I$2:$I$186,MATCH("男"&amp;手直し!B43,計算用!$AO$2:$AO$186,0)),"？"))</f>
        <v/>
      </c>
      <c r="G41">
        <f>IF($A41="","",手直し!C43&amp;"")</f>
        <v/>
      </c>
      <c r="H41" s="28">
        <f>IF(OR($A41="",手直し!C43=""),"",IFERROR(INDEX(計算用!$M$2:$M$186,MATCH("男"&amp;手直し!C43,計算用!$AO$2:$AO$186,0)),"？"))</f>
        <v/>
      </c>
      <c r="I41" s="28">
        <f>IF(OR($A41="",手直し!C43=""),"",IFERROR(INDEX(計算用!$I$2:$I$186,MATCH("男"&amp;手直し!C43,計算用!$AO$2:$AO$186,0)),"？"))</f>
        <v/>
      </c>
      <c r="J41">
        <f>IF($A41="","",手直し!D43&amp;"")</f>
        <v/>
      </c>
      <c r="K41" s="28">
        <f>IF(OR($A41="",手直し!D43=""),"",IFERROR(INDEX(計算用!$M$2:$M$186,MATCH("男"&amp;手直し!D43,計算用!$AO$2:$AO$186,0)),"？"))</f>
        <v/>
      </c>
      <c r="L41" s="28">
        <f>IF(OR($A41="",手直し!D43=""),"",IFERROR(INDEX(計算用!$I$2:$I$186,MATCH("男"&amp;手直し!D43,計算用!$AO$2:$AO$186,0)),"？"))</f>
        <v/>
      </c>
      <c r="M41">
        <f>IF($A41="","",手直し!E43&amp;"")</f>
        <v/>
      </c>
      <c r="N41" s="28">
        <f>IF(OR($A41="",手直し!E43=""),"",IFERROR(INDEX(計算用!$M$2:$M$186,MATCH("男"&amp;手直し!E43,計算用!$AO$2:$AO$186,0)),"？"))</f>
        <v/>
      </c>
      <c r="O41" s="28">
        <f>IF(OR($A41="",手直し!E43=""),"",IFERROR(INDEX(計算用!$I$2:$I$186,MATCH("男"&amp;手直し!E43,計算用!$AO$2:$AO$186,0)),"？"))</f>
        <v/>
      </c>
      <c r="P41">
        <f>IF($A41="","",手直し!F43&amp;"")</f>
        <v/>
      </c>
      <c r="Q41" s="28">
        <f>IF(OR($A41="",手直し!F43=""),"",IFERROR(INDEX(計算用!$M$2:$M$186,MATCH("男"&amp;手直し!F43,計算用!$AO$2:$AO$186,0)),"？"))</f>
        <v/>
      </c>
      <c r="R41" s="28">
        <f>IF(OR($A41="",手直し!F43=""),"",IFERROR(INDEX(計算用!$I$2:$I$186,MATCH("男"&amp;手直し!F43,計算用!$AO$2:$AO$186,0)),"？"))</f>
        <v/>
      </c>
      <c r="T41" s="28">
        <f>IF(ROW()-3&lt;=計算用!$Q$14,ROW()-3,"")</f>
        <v/>
      </c>
      <c r="U41" s="28">
        <f>IF($T41="","",手直し!O43)</f>
        <v/>
      </c>
      <c r="V41" s="28">
        <f>IF($T41="","",手直し!P43)</f>
        <v/>
      </c>
      <c r="W41">
        <f>IF($T41="","",手直し!G43&amp;"")</f>
        <v/>
      </c>
      <c r="X41" s="28">
        <f>IF(OR($T41="",手直し!G43=""),"",IFERROR(INDEX(計算用!$M$2:$M$186,MATCH("女"&amp;手直し!G43,計算用!$AO$2:$AO$186,0)),"？"))</f>
        <v/>
      </c>
      <c r="Y41" s="28">
        <f>IF(OR($T41="",手直し!G43=""),"",IFERROR(INDEX(計算用!$I$2:$I$186,MATCH("女"&amp;手直し!G43,計算用!$AO$2:$AO$186,0)),"？"))</f>
        <v/>
      </c>
      <c r="Z41">
        <f>IF($T41="","",手直し!H43&amp;"")</f>
        <v/>
      </c>
      <c r="AA41" s="28">
        <f>IF(OR($T41="",手直し!H43=""),"",IFERROR(INDEX(計算用!$M$2:$M$186,MATCH("女"&amp;手直し!H43,計算用!$AO$2:$AO$186,0)),"？"))</f>
        <v/>
      </c>
      <c r="AB41" s="28">
        <f>IF(OR($T41="",手直し!H43=""),"",IFERROR(INDEX(計算用!$I$2:$I$186,MATCH("女"&amp;手直し!H43,計算用!$AO$2:$AO$186,0)),"？"))</f>
        <v/>
      </c>
      <c r="AC41">
        <f>IF($T41="","",手直し!I43&amp;"")</f>
        <v/>
      </c>
      <c r="AD41" s="28">
        <f>IF(OR($T41="",手直し!I43=""),"",IFERROR(INDEX(計算用!$M$2:$M$186,MATCH("女"&amp;手直し!I43,計算用!$AO$2:$AO$186,0)),"？"))</f>
        <v/>
      </c>
      <c r="AE41" s="28">
        <f>IF(OR($T41="",手直し!I43=""),"",IFERROR(INDEX(計算用!$I$2:$I$186,MATCH("女"&amp;手直し!I43,計算用!$AO$2:$AO$186,0)),"？"))</f>
        <v/>
      </c>
      <c r="AF41">
        <f>IF($T41="","",手直し!J43&amp;"")</f>
        <v/>
      </c>
      <c r="AG41" s="28">
        <f>IF(OR($T41="",手直し!J43=""),"",IFERROR(INDEX(計算用!$M$2:$M$186,MATCH("女"&amp;手直し!J43,計算用!$AO$2:$AO$186,0)),"？"))</f>
        <v/>
      </c>
      <c r="AH41" s="28">
        <f>IF(OR($T41="",手直し!J43=""),"",IFERROR(INDEX(計算用!$I$2:$I$186,MATCH("女"&amp;手直し!J43,計算用!$AO$2:$AO$186,0)),"？"))</f>
        <v/>
      </c>
      <c r="AI41">
        <f>IF($T41="","",手直し!K43&amp;"")</f>
        <v/>
      </c>
      <c r="AJ41" s="28">
        <f>IF(OR($T41="",手直し!K43=""),"",IFERROR(INDEX(計算用!$M$2:$M$186,MATCH("女"&amp;手直し!K43,計算用!$AO$2:$AO$186,0)),"？"))</f>
        <v/>
      </c>
      <c r="AK41" s="28">
        <f>IF(OR($T41="",手直し!K43=""),"",IFERROR(INDEX(計算用!$I$2:$I$186,MATCH("女"&amp;手直し!K43,計算用!$AO$2:$AO$186,0)),"？"))</f>
        <v/>
      </c>
    </row>
    <row r="42">
      <c r="A42" s="28">
        <f>IF(ROW()-3&lt;=計算用!$Q$13,ROW()-3,"")</f>
        <v/>
      </c>
      <c r="B42" s="28">
        <f>IF($A42="","",手直し!M44)</f>
        <v/>
      </c>
      <c r="C42" s="28">
        <f>IF($A42="","",手直し!N44)</f>
        <v/>
      </c>
      <c r="D42">
        <f>IF($A42="","",手直し!B44&amp;"")</f>
        <v/>
      </c>
      <c r="E42" s="28">
        <f>IF(OR($A42="",手直し!B44=""),"",IFERROR(INDEX(計算用!$M$2:$M$186,MATCH("男"&amp;手直し!B44,計算用!$AO$2:$AO$186,0)),"？"))</f>
        <v/>
      </c>
      <c r="F42" s="28">
        <f>IF(OR($A42="",手直し!B44=""),"",IFERROR(INDEX(計算用!$I$2:$I$186,MATCH("男"&amp;手直し!B44,計算用!$AO$2:$AO$186,0)),"？"))</f>
        <v/>
      </c>
      <c r="G42">
        <f>IF($A42="","",手直し!C44&amp;"")</f>
        <v/>
      </c>
      <c r="H42" s="28">
        <f>IF(OR($A42="",手直し!C44=""),"",IFERROR(INDEX(計算用!$M$2:$M$186,MATCH("男"&amp;手直し!C44,計算用!$AO$2:$AO$186,0)),"？"))</f>
        <v/>
      </c>
      <c r="I42" s="28">
        <f>IF(OR($A42="",手直し!C44=""),"",IFERROR(INDEX(計算用!$I$2:$I$186,MATCH("男"&amp;手直し!C44,計算用!$AO$2:$AO$186,0)),"？"))</f>
        <v/>
      </c>
      <c r="J42">
        <f>IF($A42="","",手直し!D44&amp;"")</f>
        <v/>
      </c>
      <c r="K42" s="28">
        <f>IF(OR($A42="",手直し!D44=""),"",IFERROR(INDEX(計算用!$M$2:$M$186,MATCH("男"&amp;手直し!D44,計算用!$AO$2:$AO$186,0)),"？"))</f>
        <v/>
      </c>
      <c r="L42" s="28">
        <f>IF(OR($A42="",手直し!D44=""),"",IFERROR(INDEX(計算用!$I$2:$I$186,MATCH("男"&amp;手直し!D44,計算用!$AO$2:$AO$186,0)),"？"))</f>
        <v/>
      </c>
      <c r="M42">
        <f>IF($A42="","",手直し!E44&amp;"")</f>
        <v/>
      </c>
      <c r="N42" s="28">
        <f>IF(OR($A42="",手直し!E44=""),"",IFERROR(INDEX(計算用!$M$2:$M$186,MATCH("男"&amp;手直し!E44,計算用!$AO$2:$AO$186,0)),"？"))</f>
        <v/>
      </c>
      <c r="O42" s="28">
        <f>IF(OR($A42="",手直し!E44=""),"",IFERROR(INDEX(計算用!$I$2:$I$186,MATCH("男"&amp;手直し!E44,計算用!$AO$2:$AO$186,0)),"？"))</f>
        <v/>
      </c>
      <c r="P42">
        <f>IF($A42="","",手直し!F44&amp;"")</f>
        <v/>
      </c>
      <c r="Q42" s="28">
        <f>IF(OR($A42="",手直し!F44=""),"",IFERROR(INDEX(計算用!$M$2:$M$186,MATCH("男"&amp;手直し!F44,計算用!$AO$2:$AO$186,0)),"？"))</f>
        <v/>
      </c>
      <c r="R42" s="28">
        <f>IF(OR($A42="",手直し!F44=""),"",IFERROR(INDEX(計算用!$I$2:$I$186,MATCH("男"&amp;手直し!F44,計算用!$AO$2:$AO$186,0)),"？"))</f>
        <v/>
      </c>
      <c r="T42" s="28">
        <f>IF(ROW()-3&lt;=計算用!$Q$14,ROW()-3,"")</f>
        <v/>
      </c>
      <c r="U42" s="28">
        <f>IF($T42="","",手直し!O44)</f>
        <v/>
      </c>
      <c r="V42" s="28">
        <f>IF($T42="","",手直し!P44)</f>
        <v/>
      </c>
      <c r="W42">
        <f>IF($T42="","",手直し!G44&amp;"")</f>
        <v/>
      </c>
      <c r="X42" s="28">
        <f>IF(OR($T42="",手直し!G44=""),"",IFERROR(INDEX(計算用!$M$2:$M$186,MATCH("女"&amp;手直し!G44,計算用!$AO$2:$AO$186,0)),"？"))</f>
        <v/>
      </c>
      <c r="Y42" s="28">
        <f>IF(OR($T42="",手直し!G44=""),"",IFERROR(INDEX(計算用!$I$2:$I$186,MATCH("女"&amp;手直し!G44,計算用!$AO$2:$AO$186,0)),"？"))</f>
        <v/>
      </c>
      <c r="Z42">
        <f>IF($T42="","",手直し!H44&amp;"")</f>
        <v/>
      </c>
      <c r="AA42" s="28">
        <f>IF(OR($T42="",手直し!H44=""),"",IFERROR(INDEX(計算用!$M$2:$M$186,MATCH("女"&amp;手直し!H44,計算用!$AO$2:$AO$186,0)),"？"))</f>
        <v/>
      </c>
      <c r="AB42" s="28">
        <f>IF(OR($T42="",手直し!H44=""),"",IFERROR(INDEX(計算用!$I$2:$I$186,MATCH("女"&amp;手直し!H44,計算用!$AO$2:$AO$186,0)),"？"))</f>
        <v/>
      </c>
      <c r="AC42">
        <f>IF($T42="","",手直し!I44&amp;"")</f>
        <v/>
      </c>
      <c r="AD42" s="28">
        <f>IF(OR($T42="",手直し!I44=""),"",IFERROR(INDEX(計算用!$M$2:$M$186,MATCH("女"&amp;手直し!I44,計算用!$AO$2:$AO$186,0)),"？"))</f>
        <v/>
      </c>
      <c r="AE42" s="28">
        <f>IF(OR($T42="",手直し!I44=""),"",IFERROR(INDEX(計算用!$I$2:$I$186,MATCH("女"&amp;手直し!I44,計算用!$AO$2:$AO$186,0)),"？"))</f>
        <v/>
      </c>
      <c r="AF42">
        <f>IF($T42="","",手直し!J44&amp;"")</f>
        <v/>
      </c>
      <c r="AG42" s="28">
        <f>IF(OR($T42="",手直し!J44=""),"",IFERROR(INDEX(計算用!$M$2:$M$186,MATCH("女"&amp;手直し!J44,計算用!$AO$2:$AO$186,0)),"？"))</f>
        <v/>
      </c>
      <c r="AH42" s="28">
        <f>IF(OR($T42="",手直し!J44=""),"",IFERROR(INDEX(計算用!$I$2:$I$186,MATCH("女"&amp;手直し!J44,計算用!$AO$2:$AO$186,0)),"？"))</f>
        <v/>
      </c>
      <c r="AI42">
        <f>IF($T42="","",手直し!K44&amp;"")</f>
        <v/>
      </c>
      <c r="AJ42" s="28">
        <f>IF(OR($T42="",手直し!K44=""),"",IFERROR(INDEX(計算用!$M$2:$M$186,MATCH("女"&amp;手直し!K44,計算用!$AO$2:$AO$186,0)),"？"))</f>
        <v/>
      </c>
      <c r="AK42" s="28">
        <f>IF(OR($T42="",手直し!K44=""),"",IFERROR(INDEX(計算用!$I$2:$I$186,MATCH("女"&amp;手直し!K44,計算用!$AO$2:$AO$186,0)),"？"))</f>
        <v/>
      </c>
    </row>
    <row r="43">
      <c r="A43" s="28">
        <f>IF(ROW()-3&lt;=計算用!$Q$13,ROW()-3,"")</f>
        <v/>
      </c>
      <c r="B43" s="28">
        <f>IF($A43="","",手直し!M45)</f>
        <v/>
      </c>
      <c r="C43" s="28">
        <f>IF($A43="","",手直し!N45)</f>
        <v/>
      </c>
      <c r="D43">
        <f>IF($A43="","",手直し!B45&amp;"")</f>
        <v/>
      </c>
      <c r="E43" s="28">
        <f>IF(OR($A43="",手直し!B45=""),"",IFERROR(INDEX(計算用!$M$2:$M$186,MATCH("男"&amp;手直し!B45,計算用!$AO$2:$AO$186,0)),"？"))</f>
        <v/>
      </c>
      <c r="F43" s="28">
        <f>IF(OR($A43="",手直し!B45=""),"",IFERROR(INDEX(計算用!$I$2:$I$186,MATCH("男"&amp;手直し!B45,計算用!$AO$2:$AO$186,0)),"？"))</f>
        <v/>
      </c>
      <c r="G43">
        <f>IF($A43="","",手直し!C45&amp;"")</f>
        <v/>
      </c>
      <c r="H43" s="28">
        <f>IF(OR($A43="",手直し!C45=""),"",IFERROR(INDEX(計算用!$M$2:$M$186,MATCH("男"&amp;手直し!C45,計算用!$AO$2:$AO$186,0)),"？"))</f>
        <v/>
      </c>
      <c r="I43" s="28">
        <f>IF(OR($A43="",手直し!C45=""),"",IFERROR(INDEX(計算用!$I$2:$I$186,MATCH("男"&amp;手直し!C45,計算用!$AO$2:$AO$186,0)),"？"))</f>
        <v/>
      </c>
      <c r="J43">
        <f>IF($A43="","",手直し!D45&amp;"")</f>
        <v/>
      </c>
      <c r="K43" s="28">
        <f>IF(OR($A43="",手直し!D45=""),"",IFERROR(INDEX(計算用!$M$2:$M$186,MATCH("男"&amp;手直し!D45,計算用!$AO$2:$AO$186,0)),"？"))</f>
        <v/>
      </c>
      <c r="L43" s="28">
        <f>IF(OR($A43="",手直し!D45=""),"",IFERROR(INDEX(計算用!$I$2:$I$186,MATCH("男"&amp;手直し!D45,計算用!$AO$2:$AO$186,0)),"？"))</f>
        <v/>
      </c>
      <c r="M43">
        <f>IF($A43="","",手直し!E45&amp;"")</f>
        <v/>
      </c>
      <c r="N43" s="28">
        <f>IF(OR($A43="",手直し!E45=""),"",IFERROR(INDEX(計算用!$M$2:$M$186,MATCH("男"&amp;手直し!E45,計算用!$AO$2:$AO$186,0)),"？"))</f>
        <v/>
      </c>
      <c r="O43" s="28">
        <f>IF(OR($A43="",手直し!E45=""),"",IFERROR(INDEX(計算用!$I$2:$I$186,MATCH("男"&amp;手直し!E45,計算用!$AO$2:$AO$186,0)),"？"))</f>
        <v/>
      </c>
      <c r="P43">
        <f>IF($A43="","",手直し!F45&amp;"")</f>
        <v/>
      </c>
      <c r="Q43" s="28">
        <f>IF(OR($A43="",手直し!F45=""),"",IFERROR(INDEX(計算用!$M$2:$M$186,MATCH("男"&amp;手直し!F45,計算用!$AO$2:$AO$186,0)),"？"))</f>
        <v/>
      </c>
      <c r="R43" s="28">
        <f>IF(OR($A43="",手直し!F45=""),"",IFERROR(INDEX(計算用!$I$2:$I$186,MATCH("男"&amp;手直し!F45,計算用!$AO$2:$AO$186,0)),"？"))</f>
        <v/>
      </c>
      <c r="T43" s="28">
        <f>IF(ROW()-3&lt;=計算用!$Q$14,ROW()-3,"")</f>
        <v/>
      </c>
      <c r="U43" s="28">
        <f>IF($T43="","",手直し!O45)</f>
        <v/>
      </c>
      <c r="V43" s="28">
        <f>IF($T43="","",手直し!P45)</f>
        <v/>
      </c>
      <c r="W43">
        <f>IF($T43="","",手直し!G45&amp;"")</f>
        <v/>
      </c>
      <c r="X43" s="28">
        <f>IF(OR($T43="",手直し!G45=""),"",IFERROR(INDEX(計算用!$M$2:$M$186,MATCH("女"&amp;手直し!G45,計算用!$AO$2:$AO$186,0)),"？"))</f>
        <v/>
      </c>
      <c r="Y43" s="28">
        <f>IF(OR($T43="",手直し!G45=""),"",IFERROR(INDEX(計算用!$I$2:$I$186,MATCH("女"&amp;手直し!G45,計算用!$AO$2:$AO$186,0)),"？"))</f>
        <v/>
      </c>
      <c r="Z43">
        <f>IF($T43="","",手直し!H45&amp;"")</f>
        <v/>
      </c>
      <c r="AA43" s="28">
        <f>IF(OR($T43="",手直し!H45=""),"",IFERROR(INDEX(計算用!$M$2:$M$186,MATCH("女"&amp;手直し!H45,計算用!$AO$2:$AO$186,0)),"？"))</f>
        <v/>
      </c>
      <c r="AB43" s="28">
        <f>IF(OR($T43="",手直し!H45=""),"",IFERROR(INDEX(計算用!$I$2:$I$186,MATCH("女"&amp;手直し!H45,計算用!$AO$2:$AO$186,0)),"？"))</f>
        <v/>
      </c>
      <c r="AC43">
        <f>IF($T43="","",手直し!I45&amp;"")</f>
        <v/>
      </c>
      <c r="AD43" s="28">
        <f>IF(OR($T43="",手直し!I45=""),"",IFERROR(INDEX(計算用!$M$2:$M$186,MATCH("女"&amp;手直し!I45,計算用!$AO$2:$AO$186,0)),"？"))</f>
        <v/>
      </c>
      <c r="AE43" s="28">
        <f>IF(OR($T43="",手直し!I45=""),"",IFERROR(INDEX(計算用!$I$2:$I$186,MATCH("女"&amp;手直し!I45,計算用!$AO$2:$AO$186,0)),"？"))</f>
        <v/>
      </c>
      <c r="AF43">
        <f>IF($T43="","",手直し!J45&amp;"")</f>
        <v/>
      </c>
      <c r="AG43" s="28">
        <f>IF(OR($T43="",手直し!J45=""),"",IFERROR(INDEX(計算用!$M$2:$M$186,MATCH("女"&amp;手直し!J45,計算用!$AO$2:$AO$186,0)),"？"))</f>
        <v/>
      </c>
      <c r="AH43" s="28">
        <f>IF(OR($T43="",手直し!J45=""),"",IFERROR(INDEX(計算用!$I$2:$I$186,MATCH("女"&amp;手直し!J45,計算用!$AO$2:$AO$186,0)),"？"))</f>
        <v/>
      </c>
      <c r="AI43">
        <f>IF($T43="","",手直し!K45&amp;"")</f>
        <v/>
      </c>
      <c r="AJ43" s="28">
        <f>IF(OR($T43="",手直し!K45=""),"",IFERROR(INDEX(計算用!$M$2:$M$186,MATCH("女"&amp;手直し!K45,計算用!$AO$2:$AO$186,0)),"？"))</f>
        <v/>
      </c>
      <c r="AK43" s="28">
        <f>IF(OR($T43="",手直し!K45=""),"",IFERROR(INDEX(計算用!$I$2:$I$186,MATCH("女"&amp;手直し!K45,計算用!$AO$2:$AO$186,0)),"？"))</f>
        <v/>
      </c>
    </row>
    <row r="44">
      <c r="A44" s="28">
        <f>IF(ROW()-3&lt;=計算用!$Q$13,ROW()-3,"")</f>
        <v/>
      </c>
      <c r="B44" s="28">
        <f>IF($A44="","",手直し!M46)</f>
        <v/>
      </c>
      <c r="C44" s="28">
        <f>IF($A44="","",手直し!N46)</f>
        <v/>
      </c>
      <c r="D44">
        <f>IF($A44="","",手直し!B46&amp;"")</f>
        <v/>
      </c>
      <c r="E44" s="28">
        <f>IF(OR($A44="",手直し!B46=""),"",IFERROR(INDEX(計算用!$M$2:$M$186,MATCH("男"&amp;手直し!B46,計算用!$AO$2:$AO$186,0)),"？"))</f>
        <v/>
      </c>
      <c r="F44" s="28">
        <f>IF(OR($A44="",手直し!B46=""),"",IFERROR(INDEX(計算用!$I$2:$I$186,MATCH("男"&amp;手直し!B46,計算用!$AO$2:$AO$186,0)),"？"))</f>
        <v/>
      </c>
      <c r="G44">
        <f>IF($A44="","",手直し!C46&amp;"")</f>
        <v/>
      </c>
      <c r="H44" s="28">
        <f>IF(OR($A44="",手直し!C46=""),"",IFERROR(INDEX(計算用!$M$2:$M$186,MATCH("男"&amp;手直し!C46,計算用!$AO$2:$AO$186,0)),"？"))</f>
        <v/>
      </c>
      <c r="I44" s="28">
        <f>IF(OR($A44="",手直し!C46=""),"",IFERROR(INDEX(計算用!$I$2:$I$186,MATCH("男"&amp;手直し!C46,計算用!$AO$2:$AO$186,0)),"？"))</f>
        <v/>
      </c>
      <c r="J44">
        <f>IF($A44="","",手直し!D46&amp;"")</f>
        <v/>
      </c>
      <c r="K44" s="28">
        <f>IF(OR($A44="",手直し!D46=""),"",IFERROR(INDEX(計算用!$M$2:$M$186,MATCH("男"&amp;手直し!D46,計算用!$AO$2:$AO$186,0)),"？"))</f>
        <v/>
      </c>
      <c r="L44" s="28">
        <f>IF(OR($A44="",手直し!D46=""),"",IFERROR(INDEX(計算用!$I$2:$I$186,MATCH("男"&amp;手直し!D46,計算用!$AO$2:$AO$186,0)),"？"))</f>
        <v/>
      </c>
      <c r="M44">
        <f>IF($A44="","",手直し!E46&amp;"")</f>
        <v/>
      </c>
      <c r="N44" s="28">
        <f>IF(OR($A44="",手直し!E46=""),"",IFERROR(INDEX(計算用!$M$2:$M$186,MATCH("男"&amp;手直し!E46,計算用!$AO$2:$AO$186,0)),"？"))</f>
        <v/>
      </c>
      <c r="O44" s="28">
        <f>IF(OR($A44="",手直し!E46=""),"",IFERROR(INDEX(計算用!$I$2:$I$186,MATCH("男"&amp;手直し!E46,計算用!$AO$2:$AO$186,0)),"？"))</f>
        <v/>
      </c>
      <c r="P44">
        <f>IF($A44="","",手直し!F46&amp;"")</f>
        <v/>
      </c>
      <c r="Q44" s="28">
        <f>IF(OR($A44="",手直し!F46=""),"",IFERROR(INDEX(計算用!$M$2:$M$186,MATCH("男"&amp;手直し!F46,計算用!$AO$2:$AO$186,0)),"？"))</f>
        <v/>
      </c>
      <c r="R44" s="28">
        <f>IF(OR($A44="",手直し!F46=""),"",IFERROR(INDEX(計算用!$I$2:$I$186,MATCH("男"&amp;手直し!F46,計算用!$AO$2:$AO$186,0)),"？"))</f>
        <v/>
      </c>
      <c r="T44" s="28">
        <f>IF(ROW()-3&lt;=計算用!$Q$14,ROW()-3,"")</f>
        <v/>
      </c>
      <c r="U44" s="28">
        <f>IF($T44="","",手直し!O46)</f>
        <v/>
      </c>
      <c r="V44" s="28">
        <f>IF($T44="","",手直し!P46)</f>
        <v/>
      </c>
      <c r="W44">
        <f>IF($T44="","",手直し!G46&amp;"")</f>
        <v/>
      </c>
      <c r="X44" s="28">
        <f>IF(OR($T44="",手直し!G46=""),"",IFERROR(INDEX(計算用!$M$2:$M$186,MATCH("女"&amp;手直し!G46,計算用!$AO$2:$AO$186,0)),"？"))</f>
        <v/>
      </c>
      <c r="Y44" s="28">
        <f>IF(OR($T44="",手直し!G46=""),"",IFERROR(INDEX(計算用!$I$2:$I$186,MATCH("女"&amp;手直し!G46,計算用!$AO$2:$AO$186,0)),"？"))</f>
        <v/>
      </c>
      <c r="Z44">
        <f>IF($T44="","",手直し!H46&amp;"")</f>
        <v/>
      </c>
      <c r="AA44" s="28">
        <f>IF(OR($T44="",手直し!H46=""),"",IFERROR(INDEX(計算用!$M$2:$M$186,MATCH("女"&amp;手直し!H46,計算用!$AO$2:$AO$186,0)),"？"))</f>
        <v/>
      </c>
      <c r="AB44" s="28">
        <f>IF(OR($T44="",手直し!H46=""),"",IFERROR(INDEX(計算用!$I$2:$I$186,MATCH("女"&amp;手直し!H46,計算用!$AO$2:$AO$186,0)),"？"))</f>
        <v/>
      </c>
      <c r="AC44">
        <f>IF($T44="","",手直し!I46&amp;"")</f>
        <v/>
      </c>
      <c r="AD44" s="28">
        <f>IF(OR($T44="",手直し!I46=""),"",IFERROR(INDEX(計算用!$M$2:$M$186,MATCH("女"&amp;手直し!I46,計算用!$AO$2:$AO$186,0)),"？"))</f>
        <v/>
      </c>
      <c r="AE44" s="28">
        <f>IF(OR($T44="",手直し!I46=""),"",IFERROR(INDEX(計算用!$I$2:$I$186,MATCH("女"&amp;手直し!I46,計算用!$AO$2:$AO$186,0)),"？"))</f>
        <v/>
      </c>
      <c r="AF44">
        <f>IF($T44="","",手直し!J46&amp;"")</f>
        <v/>
      </c>
      <c r="AG44" s="28">
        <f>IF(OR($T44="",手直し!J46=""),"",IFERROR(INDEX(計算用!$M$2:$M$186,MATCH("女"&amp;手直し!J46,計算用!$AO$2:$AO$186,0)),"？"))</f>
        <v/>
      </c>
      <c r="AH44" s="28">
        <f>IF(OR($T44="",手直し!J46=""),"",IFERROR(INDEX(計算用!$I$2:$I$186,MATCH("女"&amp;手直し!J46,計算用!$AO$2:$AO$186,0)),"？"))</f>
        <v/>
      </c>
      <c r="AI44">
        <f>IF($T44="","",手直し!K46&amp;"")</f>
        <v/>
      </c>
      <c r="AJ44" s="28">
        <f>IF(OR($T44="",手直し!K46=""),"",IFERROR(INDEX(計算用!$M$2:$M$186,MATCH("女"&amp;手直し!K46,計算用!$AO$2:$AO$186,0)),"？"))</f>
        <v/>
      </c>
      <c r="AK44" s="28">
        <f>IF(OR($T44="",手直し!K46=""),"",IFERROR(INDEX(計算用!$I$2:$I$186,MATCH("女"&amp;手直し!K46,計算用!$AO$2:$AO$186,0)),"？"))</f>
        <v/>
      </c>
    </row>
    <row r="45">
      <c r="A45" s="28">
        <f>IF(ROW()-3&lt;=計算用!$Q$13,ROW()-3,"")</f>
        <v/>
      </c>
      <c r="B45" s="28">
        <f>IF($A45="","",手直し!M47)</f>
        <v/>
      </c>
      <c r="C45" s="28">
        <f>IF($A45="","",手直し!N47)</f>
        <v/>
      </c>
      <c r="D45">
        <f>IF($A45="","",手直し!B47&amp;"")</f>
        <v/>
      </c>
      <c r="E45" s="28">
        <f>IF(OR($A45="",手直し!B47=""),"",IFERROR(INDEX(計算用!$M$2:$M$186,MATCH("男"&amp;手直し!B47,計算用!$AO$2:$AO$186,0)),"？"))</f>
        <v/>
      </c>
      <c r="F45" s="28">
        <f>IF(OR($A45="",手直し!B47=""),"",IFERROR(INDEX(計算用!$I$2:$I$186,MATCH("男"&amp;手直し!B47,計算用!$AO$2:$AO$186,0)),"？"))</f>
        <v/>
      </c>
      <c r="G45">
        <f>IF($A45="","",手直し!C47&amp;"")</f>
        <v/>
      </c>
      <c r="H45" s="28">
        <f>IF(OR($A45="",手直し!C47=""),"",IFERROR(INDEX(計算用!$M$2:$M$186,MATCH("男"&amp;手直し!C47,計算用!$AO$2:$AO$186,0)),"？"))</f>
        <v/>
      </c>
      <c r="I45" s="28">
        <f>IF(OR($A45="",手直し!C47=""),"",IFERROR(INDEX(計算用!$I$2:$I$186,MATCH("男"&amp;手直し!C47,計算用!$AO$2:$AO$186,0)),"？"))</f>
        <v/>
      </c>
      <c r="J45">
        <f>IF($A45="","",手直し!D47&amp;"")</f>
        <v/>
      </c>
      <c r="K45" s="28">
        <f>IF(OR($A45="",手直し!D47=""),"",IFERROR(INDEX(計算用!$M$2:$M$186,MATCH("男"&amp;手直し!D47,計算用!$AO$2:$AO$186,0)),"？"))</f>
        <v/>
      </c>
      <c r="L45" s="28">
        <f>IF(OR($A45="",手直し!D47=""),"",IFERROR(INDEX(計算用!$I$2:$I$186,MATCH("男"&amp;手直し!D47,計算用!$AO$2:$AO$186,0)),"？"))</f>
        <v/>
      </c>
      <c r="M45">
        <f>IF($A45="","",手直し!E47&amp;"")</f>
        <v/>
      </c>
      <c r="N45" s="28">
        <f>IF(OR($A45="",手直し!E47=""),"",IFERROR(INDEX(計算用!$M$2:$M$186,MATCH("男"&amp;手直し!E47,計算用!$AO$2:$AO$186,0)),"？"))</f>
        <v/>
      </c>
      <c r="O45" s="28">
        <f>IF(OR($A45="",手直し!E47=""),"",IFERROR(INDEX(計算用!$I$2:$I$186,MATCH("男"&amp;手直し!E47,計算用!$AO$2:$AO$186,0)),"？"))</f>
        <v/>
      </c>
      <c r="P45">
        <f>IF($A45="","",手直し!F47&amp;"")</f>
        <v/>
      </c>
      <c r="Q45" s="28">
        <f>IF(OR($A45="",手直し!F47=""),"",IFERROR(INDEX(計算用!$M$2:$M$186,MATCH("男"&amp;手直し!F47,計算用!$AO$2:$AO$186,0)),"？"))</f>
        <v/>
      </c>
      <c r="R45" s="28">
        <f>IF(OR($A45="",手直し!F47=""),"",IFERROR(INDEX(計算用!$I$2:$I$186,MATCH("男"&amp;手直し!F47,計算用!$AO$2:$AO$186,0)),"？"))</f>
        <v/>
      </c>
      <c r="T45" s="28">
        <f>IF(ROW()-3&lt;=計算用!$Q$14,ROW()-3,"")</f>
        <v/>
      </c>
      <c r="U45" s="28">
        <f>IF($T45="","",手直し!O47)</f>
        <v/>
      </c>
      <c r="V45" s="28">
        <f>IF($T45="","",手直し!P47)</f>
        <v/>
      </c>
      <c r="W45">
        <f>IF($T45="","",手直し!G47&amp;"")</f>
        <v/>
      </c>
      <c r="X45" s="28">
        <f>IF(OR($T45="",手直し!G47=""),"",IFERROR(INDEX(計算用!$M$2:$M$186,MATCH("女"&amp;手直し!G47,計算用!$AO$2:$AO$186,0)),"？"))</f>
        <v/>
      </c>
      <c r="Y45" s="28">
        <f>IF(OR($T45="",手直し!G47=""),"",IFERROR(INDEX(計算用!$I$2:$I$186,MATCH("女"&amp;手直し!G47,計算用!$AO$2:$AO$186,0)),"？"))</f>
        <v/>
      </c>
      <c r="Z45">
        <f>IF($T45="","",手直し!H47&amp;"")</f>
        <v/>
      </c>
      <c r="AA45" s="28">
        <f>IF(OR($T45="",手直し!H47=""),"",IFERROR(INDEX(計算用!$M$2:$M$186,MATCH("女"&amp;手直し!H47,計算用!$AO$2:$AO$186,0)),"？"))</f>
        <v/>
      </c>
      <c r="AB45" s="28">
        <f>IF(OR($T45="",手直し!H47=""),"",IFERROR(INDEX(計算用!$I$2:$I$186,MATCH("女"&amp;手直し!H47,計算用!$AO$2:$AO$186,0)),"？"))</f>
        <v/>
      </c>
      <c r="AC45">
        <f>IF($T45="","",手直し!I47&amp;"")</f>
        <v/>
      </c>
      <c r="AD45" s="28">
        <f>IF(OR($T45="",手直し!I47=""),"",IFERROR(INDEX(計算用!$M$2:$M$186,MATCH("女"&amp;手直し!I47,計算用!$AO$2:$AO$186,0)),"？"))</f>
        <v/>
      </c>
      <c r="AE45" s="28">
        <f>IF(OR($T45="",手直し!I47=""),"",IFERROR(INDEX(計算用!$I$2:$I$186,MATCH("女"&amp;手直し!I47,計算用!$AO$2:$AO$186,0)),"？"))</f>
        <v/>
      </c>
      <c r="AF45">
        <f>IF($T45="","",手直し!J47&amp;"")</f>
        <v/>
      </c>
      <c r="AG45" s="28">
        <f>IF(OR($T45="",手直し!J47=""),"",IFERROR(INDEX(計算用!$M$2:$M$186,MATCH("女"&amp;手直し!J47,計算用!$AO$2:$AO$186,0)),"？"))</f>
        <v/>
      </c>
      <c r="AH45" s="28">
        <f>IF(OR($T45="",手直し!J47=""),"",IFERROR(INDEX(計算用!$I$2:$I$186,MATCH("女"&amp;手直し!J47,計算用!$AO$2:$AO$186,0)),"？"))</f>
        <v/>
      </c>
      <c r="AI45">
        <f>IF($T45="","",手直し!K47&amp;"")</f>
        <v/>
      </c>
      <c r="AJ45" s="28">
        <f>IF(OR($T45="",手直し!K47=""),"",IFERROR(INDEX(計算用!$M$2:$M$186,MATCH("女"&amp;手直し!K47,計算用!$AO$2:$AO$186,0)),"？"))</f>
        <v/>
      </c>
      <c r="AK45" s="28">
        <f>IF(OR($T45="",手直し!K47=""),"",IFERROR(INDEX(計算用!$I$2:$I$186,MATCH("女"&amp;手直し!K47,計算用!$AO$2:$AO$186,0)),"？"))</f>
        <v/>
      </c>
    </row>
    <row r="46">
      <c r="A46" s="28">
        <f>IF(ROW()-3&lt;=計算用!$Q$13,ROW()-3,"")</f>
        <v/>
      </c>
      <c r="B46" s="28">
        <f>IF($A46="","",手直し!M48)</f>
        <v/>
      </c>
      <c r="C46" s="28">
        <f>IF($A46="","",手直し!N48)</f>
        <v/>
      </c>
      <c r="D46">
        <f>IF($A46="","",手直し!B48&amp;"")</f>
        <v/>
      </c>
      <c r="E46" s="28">
        <f>IF(OR($A46="",手直し!B48=""),"",IFERROR(INDEX(計算用!$M$2:$M$186,MATCH("男"&amp;手直し!B48,計算用!$AO$2:$AO$186,0)),"？"))</f>
        <v/>
      </c>
      <c r="F46" s="28">
        <f>IF(OR($A46="",手直し!B48=""),"",IFERROR(INDEX(計算用!$I$2:$I$186,MATCH("男"&amp;手直し!B48,計算用!$AO$2:$AO$186,0)),"？"))</f>
        <v/>
      </c>
      <c r="G46">
        <f>IF($A46="","",手直し!C48&amp;"")</f>
        <v/>
      </c>
      <c r="H46" s="28">
        <f>IF(OR($A46="",手直し!C48=""),"",IFERROR(INDEX(計算用!$M$2:$M$186,MATCH("男"&amp;手直し!C48,計算用!$AO$2:$AO$186,0)),"？"))</f>
        <v/>
      </c>
      <c r="I46" s="28">
        <f>IF(OR($A46="",手直し!C48=""),"",IFERROR(INDEX(計算用!$I$2:$I$186,MATCH("男"&amp;手直し!C48,計算用!$AO$2:$AO$186,0)),"？"))</f>
        <v/>
      </c>
      <c r="J46">
        <f>IF($A46="","",手直し!D48&amp;"")</f>
        <v/>
      </c>
      <c r="K46" s="28">
        <f>IF(OR($A46="",手直し!D48=""),"",IFERROR(INDEX(計算用!$M$2:$M$186,MATCH("男"&amp;手直し!D48,計算用!$AO$2:$AO$186,0)),"？"))</f>
        <v/>
      </c>
      <c r="L46" s="28">
        <f>IF(OR($A46="",手直し!D48=""),"",IFERROR(INDEX(計算用!$I$2:$I$186,MATCH("男"&amp;手直し!D48,計算用!$AO$2:$AO$186,0)),"？"))</f>
        <v/>
      </c>
      <c r="M46">
        <f>IF($A46="","",手直し!E48&amp;"")</f>
        <v/>
      </c>
      <c r="N46" s="28">
        <f>IF(OR($A46="",手直し!E48=""),"",IFERROR(INDEX(計算用!$M$2:$M$186,MATCH("男"&amp;手直し!E48,計算用!$AO$2:$AO$186,0)),"？"))</f>
        <v/>
      </c>
      <c r="O46" s="28">
        <f>IF(OR($A46="",手直し!E48=""),"",IFERROR(INDEX(計算用!$I$2:$I$186,MATCH("男"&amp;手直し!E48,計算用!$AO$2:$AO$186,0)),"？"))</f>
        <v/>
      </c>
      <c r="P46">
        <f>IF($A46="","",手直し!F48&amp;"")</f>
        <v/>
      </c>
      <c r="Q46" s="28">
        <f>IF(OR($A46="",手直し!F48=""),"",IFERROR(INDEX(計算用!$M$2:$M$186,MATCH("男"&amp;手直し!F48,計算用!$AO$2:$AO$186,0)),"？"))</f>
        <v/>
      </c>
      <c r="R46" s="28">
        <f>IF(OR($A46="",手直し!F48=""),"",IFERROR(INDEX(計算用!$I$2:$I$186,MATCH("男"&amp;手直し!F48,計算用!$AO$2:$AO$186,0)),"？"))</f>
        <v/>
      </c>
      <c r="T46" s="28">
        <f>IF(ROW()-3&lt;=計算用!$Q$14,ROW()-3,"")</f>
        <v/>
      </c>
      <c r="U46" s="28">
        <f>IF($T46="","",手直し!O48)</f>
        <v/>
      </c>
      <c r="V46" s="28">
        <f>IF($T46="","",手直し!P48)</f>
        <v/>
      </c>
      <c r="W46">
        <f>IF($T46="","",手直し!G48&amp;"")</f>
        <v/>
      </c>
      <c r="X46" s="28">
        <f>IF(OR($T46="",手直し!G48=""),"",IFERROR(INDEX(計算用!$M$2:$M$186,MATCH("女"&amp;手直し!G48,計算用!$AO$2:$AO$186,0)),"？"))</f>
        <v/>
      </c>
      <c r="Y46" s="28">
        <f>IF(OR($T46="",手直し!G48=""),"",IFERROR(INDEX(計算用!$I$2:$I$186,MATCH("女"&amp;手直し!G48,計算用!$AO$2:$AO$186,0)),"？"))</f>
        <v/>
      </c>
      <c r="Z46">
        <f>IF($T46="","",手直し!H48&amp;"")</f>
        <v/>
      </c>
      <c r="AA46" s="28">
        <f>IF(OR($T46="",手直し!H48=""),"",IFERROR(INDEX(計算用!$M$2:$M$186,MATCH("女"&amp;手直し!H48,計算用!$AO$2:$AO$186,0)),"？"))</f>
        <v/>
      </c>
      <c r="AB46" s="28">
        <f>IF(OR($T46="",手直し!H48=""),"",IFERROR(INDEX(計算用!$I$2:$I$186,MATCH("女"&amp;手直し!H48,計算用!$AO$2:$AO$186,0)),"？"))</f>
        <v/>
      </c>
      <c r="AC46">
        <f>IF($T46="","",手直し!I48&amp;"")</f>
        <v/>
      </c>
      <c r="AD46" s="28">
        <f>IF(OR($T46="",手直し!I48=""),"",IFERROR(INDEX(計算用!$M$2:$M$186,MATCH("女"&amp;手直し!I48,計算用!$AO$2:$AO$186,0)),"？"))</f>
        <v/>
      </c>
      <c r="AE46" s="28">
        <f>IF(OR($T46="",手直し!I48=""),"",IFERROR(INDEX(計算用!$I$2:$I$186,MATCH("女"&amp;手直し!I48,計算用!$AO$2:$AO$186,0)),"？"))</f>
        <v/>
      </c>
      <c r="AF46">
        <f>IF($T46="","",手直し!J48&amp;"")</f>
        <v/>
      </c>
      <c r="AG46" s="28">
        <f>IF(OR($T46="",手直し!J48=""),"",IFERROR(INDEX(計算用!$M$2:$M$186,MATCH("女"&amp;手直し!J48,計算用!$AO$2:$AO$186,0)),"？"))</f>
        <v/>
      </c>
      <c r="AH46" s="28">
        <f>IF(OR($T46="",手直し!J48=""),"",IFERROR(INDEX(計算用!$I$2:$I$186,MATCH("女"&amp;手直し!J48,計算用!$AO$2:$AO$186,0)),"？"))</f>
        <v/>
      </c>
      <c r="AI46">
        <f>IF($T46="","",手直し!K48&amp;"")</f>
        <v/>
      </c>
      <c r="AJ46" s="28">
        <f>IF(OR($T46="",手直し!K48=""),"",IFERROR(INDEX(計算用!$M$2:$M$186,MATCH("女"&amp;手直し!K48,計算用!$AO$2:$AO$186,0)),"？"))</f>
        <v/>
      </c>
      <c r="AK46" s="28">
        <f>IF(OR($T46="",手直し!K48=""),"",IFERROR(INDEX(計算用!$I$2:$I$186,MATCH("女"&amp;手直し!K48,計算用!$AO$2:$AO$186,0)),"？"))</f>
        <v/>
      </c>
    </row>
    <row r="47">
      <c r="A47" s="28">
        <f>IF(ROW()-3&lt;=計算用!$Q$13,ROW()-3,"")</f>
        <v/>
      </c>
      <c r="B47" s="28">
        <f>IF($A47="","",手直し!M49)</f>
        <v/>
      </c>
      <c r="C47" s="28">
        <f>IF($A47="","",手直し!N49)</f>
        <v/>
      </c>
      <c r="D47">
        <f>IF($A47="","",手直し!B49&amp;"")</f>
        <v/>
      </c>
      <c r="E47" s="28">
        <f>IF(OR($A47="",手直し!B49=""),"",IFERROR(INDEX(計算用!$M$2:$M$186,MATCH("男"&amp;手直し!B49,計算用!$AO$2:$AO$186,0)),"？"))</f>
        <v/>
      </c>
      <c r="F47" s="28">
        <f>IF(OR($A47="",手直し!B49=""),"",IFERROR(INDEX(計算用!$I$2:$I$186,MATCH("男"&amp;手直し!B49,計算用!$AO$2:$AO$186,0)),"？"))</f>
        <v/>
      </c>
      <c r="G47">
        <f>IF($A47="","",手直し!C49&amp;"")</f>
        <v/>
      </c>
      <c r="H47" s="28">
        <f>IF(OR($A47="",手直し!C49=""),"",IFERROR(INDEX(計算用!$M$2:$M$186,MATCH("男"&amp;手直し!C49,計算用!$AO$2:$AO$186,0)),"？"))</f>
        <v/>
      </c>
      <c r="I47" s="28">
        <f>IF(OR($A47="",手直し!C49=""),"",IFERROR(INDEX(計算用!$I$2:$I$186,MATCH("男"&amp;手直し!C49,計算用!$AO$2:$AO$186,0)),"？"))</f>
        <v/>
      </c>
      <c r="J47">
        <f>IF($A47="","",手直し!D49&amp;"")</f>
        <v/>
      </c>
      <c r="K47" s="28">
        <f>IF(OR($A47="",手直し!D49=""),"",IFERROR(INDEX(計算用!$M$2:$M$186,MATCH("男"&amp;手直し!D49,計算用!$AO$2:$AO$186,0)),"？"))</f>
        <v/>
      </c>
      <c r="L47" s="28">
        <f>IF(OR($A47="",手直し!D49=""),"",IFERROR(INDEX(計算用!$I$2:$I$186,MATCH("男"&amp;手直し!D49,計算用!$AO$2:$AO$186,0)),"？"))</f>
        <v/>
      </c>
      <c r="M47">
        <f>IF($A47="","",手直し!E49&amp;"")</f>
        <v/>
      </c>
      <c r="N47" s="28">
        <f>IF(OR($A47="",手直し!E49=""),"",IFERROR(INDEX(計算用!$M$2:$M$186,MATCH("男"&amp;手直し!E49,計算用!$AO$2:$AO$186,0)),"？"))</f>
        <v/>
      </c>
      <c r="O47" s="28">
        <f>IF(OR($A47="",手直し!E49=""),"",IFERROR(INDEX(計算用!$I$2:$I$186,MATCH("男"&amp;手直し!E49,計算用!$AO$2:$AO$186,0)),"？"))</f>
        <v/>
      </c>
      <c r="P47">
        <f>IF($A47="","",手直し!F49&amp;"")</f>
        <v/>
      </c>
      <c r="Q47" s="28">
        <f>IF(OR($A47="",手直し!F49=""),"",IFERROR(INDEX(計算用!$M$2:$M$186,MATCH("男"&amp;手直し!F49,計算用!$AO$2:$AO$186,0)),"？"))</f>
        <v/>
      </c>
      <c r="R47" s="28">
        <f>IF(OR($A47="",手直し!F49=""),"",IFERROR(INDEX(計算用!$I$2:$I$186,MATCH("男"&amp;手直し!F49,計算用!$AO$2:$AO$186,0)),"？"))</f>
        <v/>
      </c>
      <c r="T47" s="28">
        <f>IF(ROW()-3&lt;=計算用!$Q$14,ROW()-3,"")</f>
        <v/>
      </c>
      <c r="U47" s="28">
        <f>IF($T47="","",手直し!O49)</f>
        <v/>
      </c>
      <c r="V47" s="28">
        <f>IF($T47="","",手直し!P49)</f>
        <v/>
      </c>
      <c r="W47">
        <f>IF($T47="","",手直し!G49&amp;"")</f>
        <v/>
      </c>
      <c r="X47" s="28">
        <f>IF(OR($T47="",手直し!G49=""),"",IFERROR(INDEX(計算用!$M$2:$M$186,MATCH("女"&amp;手直し!G49,計算用!$AO$2:$AO$186,0)),"？"))</f>
        <v/>
      </c>
      <c r="Y47" s="28">
        <f>IF(OR($T47="",手直し!G49=""),"",IFERROR(INDEX(計算用!$I$2:$I$186,MATCH("女"&amp;手直し!G49,計算用!$AO$2:$AO$186,0)),"？"))</f>
        <v/>
      </c>
      <c r="Z47">
        <f>IF($T47="","",手直し!H49&amp;"")</f>
        <v/>
      </c>
      <c r="AA47" s="28">
        <f>IF(OR($T47="",手直し!H49=""),"",IFERROR(INDEX(計算用!$M$2:$M$186,MATCH("女"&amp;手直し!H49,計算用!$AO$2:$AO$186,0)),"？"))</f>
        <v/>
      </c>
      <c r="AB47" s="28">
        <f>IF(OR($T47="",手直し!H49=""),"",IFERROR(INDEX(計算用!$I$2:$I$186,MATCH("女"&amp;手直し!H49,計算用!$AO$2:$AO$186,0)),"？"))</f>
        <v/>
      </c>
      <c r="AC47">
        <f>IF($T47="","",手直し!I49&amp;"")</f>
        <v/>
      </c>
      <c r="AD47" s="28">
        <f>IF(OR($T47="",手直し!I49=""),"",IFERROR(INDEX(計算用!$M$2:$M$186,MATCH("女"&amp;手直し!I49,計算用!$AO$2:$AO$186,0)),"？"))</f>
        <v/>
      </c>
      <c r="AE47" s="28">
        <f>IF(OR($T47="",手直し!I49=""),"",IFERROR(INDEX(計算用!$I$2:$I$186,MATCH("女"&amp;手直し!I49,計算用!$AO$2:$AO$186,0)),"？"))</f>
        <v/>
      </c>
      <c r="AF47">
        <f>IF($T47="","",手直し!J49&amp;"")</f>
        <v/>
      </c>
      <c r="AG47" s="28">
        <f>IF(OR($T47="",手直し!J49=""),"",IFERROR(INDEX(計算用!$M$2:$M$186,MATCH("女"&amp;手直し!J49,計算用!$AO$2:$AO$186,0)),"？"))</f>
        <v/>
      </c>
      <c r="AH47" s="28">
        <f>IF(OR($T47="",手直し!J49=""),"",IFERROR(INDEX(計算用!$I$2:$I$186,MATCH("女"&amp;手直し!J49,計算用!$AO$2:$AO$186,0)),"？"))</f>
        <v/>
      </c>
      <c r="AI47">
        <f>IF($T47="","",手直し!K49&amp;"")</f>
        <v/>
      </c>
      <c r="AJ47" s="28">
        <f>IF(OR($T47="",手直し!K49=""),"",IFERROR(INDEX(計算用!$M$2:$M$186,MATCH("女"&amp;手直し!K49,計算用!$AO$2:$AO$186,0)),"？"))</f>
        <v/>
      </c>
      <c r="AK47" s="28">
        <f>IF(OR($T47="",手直し!K49=""),"",IFERROR(INDEX(計算用!$I$2:$I$186,MATCH("女"&amp;手直し!K49,計算用!$AO$2:$AO$186,0)),"？"))</f>
        <v/>
      </c>
    </row>
    <row r="48">
      <c r="A48" s="28">
        <f>IF(ROW()-3&lt;=計算用!$Q$13,ROW()-3,"")</f>
        <v/>
      </c>
      <c r="B48" s="28">
        <f>IF($A48="","",手直し!M50)</f>
        <v/>
      </c>
      <c r="C48" s="28">
        <f>IF($A48="","",手直し!N50)</f>
        <v/>
      </c>
      <c r="D48">
        <f>IF($A48="","",手直し!B50&amp;"")</f>
        <v/>
      </c>
      <c r="E48" s="28">
        <f>IF(OR($A48="",手直し!B50=""),"",IFERROR(INDEX(計算用!$M$2:$M$186,MATCH("男"&amp;手直し!B50,計算用!$AO$2:$AO$186,0)),"？"))</f>
        <v/>
      </c>
      <c r="F48" s="28">
        <f>IF(OR($A48="",手直し!B50=""),"",IFERROR(INDEX(計算用!$I$2:$I$186,MATCH("男"&amp;手直し!B50,計算用!$AO$2:$AO$186,0)),"？"))</f>
        <v/>
      </c>
      <c r="G48">
        <f>IF($A48="","",手直し!C50&amp;"")</f>
        <v/>
      </c>
      <c r="H48" s="28">
        <f>IF(OR($A48="",手直し!C50=""),"",IFERROR(INDEX(計算用!$M$2:$M$186,MATCH("男"&amp;手直し!C50,計算用!$AO$2:$AO$186,0)),"？"))</f>
        <v/>
      </c>
      <c r="I48" s="28">
        <f>IF(OR($A48="",手直し!C50=""),"",IFERROR(INDEX(計算用!$I$2:$I$186,MATCH("男"&amp;手直し!C50,計算用!$AO$2:$AO$186,0)),"？"))</f>
        <v/>
      </c>
      <c r="J48">
        <f>IF($A48="","",手直し!D50&amp;"")</f>
        <v/>
      </c>
      <c r="K48" s="28">
        <f>IF(OR($A48="",手直し!D50=""),"",IFERROR(INDEX(計算用!$M$2:$M$186,MATCH("男"&amp;手直し!D50,計算用!$AO$2:$AO$186,0)),"？"))</f>
        <v/>
      </c>
      <c r="L48" s="28">
        <f>IF(OR($A48="",手直し!D50=""),"",IFERROR(INDEX(計算用!$I$2:$I$186,MATCH("男"&amp;手直し!D50,計算用!$AO$2:$AO$186,0)),"？"))</f>
        <v/>
      </c>
      <c r="M48">
        <f>IF($A48="","",手直し!E50&amp;"")</f>
        <v/>
      </c>
      <c r="N48" s="28">
        <f>IF(OR($A48="",手直し!E50=""),"",IFERROR(INDEX(計算用!$M$2:$M$186,MATCH("男"&amp;手直し!E50,計算用!$AO$2:$AO$186,0)),"？"))</f>
        <v/>
      </c>
      <c r="O48" s="28">
        <f>IF(OR($A48="",手直し!E50=""),"",IFERROR(INDEX(計算用!$I$2:$I$186,MATCH("男"&amp;手直し!E50,計算用!$AO$2:$AO$186,0)),"？"))</f>
        <v/>
      </c>
      <c r="P48">
        <f>IF($A48="","",手直し!F50&amp;"")</f>
        <v/>
      </c>
      <c r="Q48" s="28">
        <f>IF(OR($A48="",手直し!F50=""),"",IFERROR(INDEX(計算用!$M$2:$M$186,MATCH("男"&amp;手直し!F50,計算用!$AO$2:$AO$186,0)),"？"))</f>
        <v/>
      </c>
      <c r="R48" s="28">
        <f>IF(OR($A48="",手直し!F50=""),"",IFERROR(INDEX(計算用!$I$2:$I$186,MATCH("男"&amp;手直し!F50,計算用!$AO$2:$AO$186,0)),"？"))</f>
        <v/>
      </c>
      <c r="T48" s="28">
        <f>IF(ROW()-3&lt;=計算用!$Q$14,ROW()-3,"")</f>
        <v/>
      </c>
      <c r="U48" s="28">
        <f>IF($T48="","",手直し!O50)</f>
        <v/>
      </c>
      <c r="V48" s="28">
        <f>IF($T48="","",手直し!P50)</f>
        <v/>
      </c>
      <c r="W48">
        <f>IF($T48="","",手直し!G50&amp;"")</f>
        <v/>
      </c>
      <c r="X48" s="28">
        <f>IF(OR($T48="",手直し!G50=""),"",IFERROR(INDEX(計算用!$M$2:$M$186,MATCH("女"&amp;手直し!G50,計算用!$AO$2:$AO$186,0)),"？"))</f>
        <v/>
      </c>
      <c r="Y48" s="28">
        <f>IF(OR($T48="",手直し!G50=""),"",IFERROR(INDEX(計算用!$I$2:$I$186,MATCH("女"&amp;手直し!G50,計算用!$AO$2:$AO$186,0)),"？"))</f>
        <v/>
      </c>
      <c r="Z48">
        <f>IF($T48="","",手直し!H50&amp;"")</f>
        <v/>
      </c>
      <c r="AA48" s="28">
        <f>IF(OR($T48="",手直し!H50=""),"",IFERROR(INDEX(計算用!$M$2:$M$186,MATCH("女"&amp;手直し!H50,計算用!$AO$2:$AO$186,0)),"？"))</f>
        <v/>
      </c>
      <c r="AB48" s="28">
        <f>IF(OR($T48="",手直し!H50=""),"",IFERROR(INDEX(計算用!$I$2:$I$186,MATCH("女"&amp;手直し!H50,計算用!$AO$2:$AO$186,0)),"？"))</f>
        <v/>
      </c>
      <c r="AC48">
        <f>IF($T48="","",手直し!I50&amp;"")</f>
        <v/>
      </c>
      <c r="AD48" s="28">
        <f>IF(OR($T48="",手直し!I50=""),"",IFERROR(INDEX(計算用!$M$2:$M$186,MATCH("女"&amp;手直し!I50,計算用!$AO$2:$AO$186,0)),"？"))</f>
        <v/>
      </c>
      <c r="AE48" s="28">
        <f>IF(OR($T48="",手直し!I50=""),"",IFERROR(INDEX(計算用!$I$2:$I$186,MATCH("女"&amp;手直し!I50,計算用!$AO$2:$AO$186,0)),"？"))</f>
        <v/>
      </c>
      <c r="AF48">
        <f>IF($T48="","",手直し!J50&amp;"")</f>
        <v/>
      </c>
      <c r="AG48" s="28">
        <f>IF(OR($T48="",手直し!J50=""),"",IFERROR(INDEX(計算用!$M$2:$M$186,MATCH("女"&amp;手直し!J50,計算用!$AO$2:$AO$186,0)),"？"))</f>
        <v/>
      </c>
      <c r="AH48" s="28">
        <f>IF(OR($T48="",手直し!J50=""),"",IFERROR(INDEX(計算用!$I$2:$I$186,MATCH("女"&amp;手直し!J50,計算用!$AO$2:$AO$186,0)),"？"))</f>
        <v/>
      </c>
      <c r="AI48">
        <f>IF($T48="","",手直し!K50&amp;"")</f>
        <v/>
      </c>
      <c r="AJ48" s="28">
        <f>IF(OR($T48="",手直し!K50=""),"",IFERROR(INDEX(計算用!$M$2:$M$186,MATCH("女"&amp;手直し!K50,計算用!$AO$2:$AO$186,0)),"？"))</f>
        <v/>
      </c>
      <c r="AK48" s="28">
        <f>IF(OR($T48="",手直し!K50=""),"",IFERROR(INDEX(計算用!$I$2:$I$186,MATCH("女"&amp;手直し!K50,計算用!$AO$2:$AO$186,0)),"？"))</f>
        <v/>
      </c>
    </row>
    <row r="49">
      <c r="A49" s="28">
        <f>IF(ROW()-3&lt;=計算用!$Q$13,ROW()-3,"")</f>
        <v/>
      </c>
      <c r="B49" s="28">
        <f>IF($A49="","",手直し!M51)</f>
        <v/>
      </c>
      <c r="C49" s="28">
        <f>IF($A49="","",手直し!N51)</f>
        <v/>
      </c>
      <c r="D49">
        <f>IF($A49="","",手直し!B51&amp;"")</f>
        <v/>
      </c>
      <c r="E49" s="28">
        <f>IF(OR($A49="",手直し!B51=""),"",IFERROR(INDEX(計算用!$M$2:$M$186,MATCH("男"&amp;手直し!B51,計算用!$AO$2:$AO$186,0)),"？"))</f>
        <v/>
      </c>
      <c r="F49" s="28">
        <f>IF(OR($A49="",手直し!B51=""),"",IFERROR(INDEX(計算用!$I$2:$I$186,MATCH("男"&amp;手直し!B51,計算用!$AO$2:$AO$186,0)),"？"))</f>
        <v/>
      </c>
      <c r="G49">
        <f>IF($A49="","",手直し!C51&amp;"")</f>
        <v/>
      </c>
      <c r="H49" s="28">
        <f>IF(OR($A49="",手直し!C51=""),"",IFERROR(INDEX(計算用!$M$2:$M$186,MATCH("男"&amp;手直し!C51,計算用!$AO$2:$AO$186,0)),"？"))</f>
        <v/>
      </c>
      <c r="I49" s="28">
        <f>IF(OR($A49="",手直し!C51=""),"",IFERROR(INDEX(計算用!$I$2:$I$186,MATCH("男"&amp;手直し!C51,計算用!$AO$2:$AO$186,0)),"？"))</f>
        <v/>
      </c>
      <c r="J49">
        <f>IF($A49="","",手直し!D51&amp;"")</f>
        <v/>
      </c>
      <c r="K49" s="28">
        <f>IF(OR($A49="",手直し!D51=""),"",IFERROR(INDEX(計算用!$M$2:$M$186,MATCH("男"&amp;手直し!D51,計算用!$AO$2:$AO$186,0)),"？"))</f>
        <v/>
      </c>
      <c r="L49" s="28">
        <f>IF(OR($A49="",手直し!D51=""),"",IFERROR(INDEX(計算用!$I$2:$I$186,MATCH("男"&amp;手直し!D51,計算用!$AO$2:$AO$186,0)),"？"))</f>
        <v/>
      </c>
      <c r="M49">
        <f>IF($A49="","",手直し!E51&amp;"")</f>
        <v/>
      </c>
      <c r="N49" s="28">
        <f>IF(OR($A49="",手直し!E51=""),"",IFERROR(INDEX(計算用!$M$2:$M$186,MATCH("男"&amp;手直し!E51,計算用!$AO$2:$AO$186,0)),"？"))</f>
        <v/>
      </c>
      <c r="O49" s="28">
        <f>IF(OR($A49="",手直し!E51=""),"",IFERROR(INDEX(計算用!$I$2:$I$186,MATCH("男"&amp;手直し!E51,計算用!$AO$2:$AO$186,0)),"？"))</f>
        <v/>
      </c>
      <c r="P49">
        <f>IF($A49="","",手直し!F51&amp;"")</f>
        <v/>
      </c>
      <c r="Q49" s="28">
        <f>IF(OR($A49="",手直し!F51=""),"",IFERROR(INDEX(計算用!$M$2:$M$186,MATCH("男"&amp;手直し!F51,計算用!$AO$2:$AO$186,0)),"？"))</f>
        <v/>
      </c>
      <c r="R49" s="28">
        <f>IF(OR($A49="",手直し!F51=""),"",IFERROR(INDEX(計算用!$I$2:$I$186,MATCH("男"&amp;手直し!F51,計算用!$AO$2:$AO$186,0)),"？"))</f>
        <v/>
      </c>
      <c r="T49" s="28">
        <f>IF(ROW()-3&lt;=計算用!$Q$14,ROW()-3,"")</f>
        <v/>
      </c>
      <c r="U49" s="28">
        <f>IF($T49="","",手直し!O51)</f>
        <v/>
      </c>
      <c r="V49" s="28">
        <f>IF($T49="","",手直し!P51)</f>
        <v/>
      </c>
      <c r="W49">
        <f>IF($T49="","",手直し!G51&amp;"")</f>
        <v/>
      </c>
      <c r="X49" s="28">
        <f>IF(OR($T49="",手直し!G51=""),"",IFERROR(INDEX(計算用!$M$2:$M$186,MATCH("女"&amp;手直し!G51,計算用!$AO$2:$AO$186,0)),"？"))</f>
        <v/>
      </c>
      <c r="Y49" s="28">
        <f>IF(OR($T49="",手直し!G51=""),"",IFERROR(INDEX(計算用!$I$2:$I$186,MATCH("女"&amp;手直し!G51,計算用!$AO$2:$AO$186,0)),"？"))</f>
        <v/>
      </c>
      <c r="Z49">
        <f>IF($T49="","",手直し!H51&amp;"")</f>
        <v/>
      </c>
      <c r="AA49" s="28">
        <f>IF(OR($T49="",手直し!H51=""),"",IFERROR(INDEX(計算用!$M$2:$M$186,MATCH("女"&amp;手直し!H51,計算用!$AO$2:$AO$186,0)),"？"))</f>
        <v/>
      </c>
      <c r="AB49" s="28">
        <f>IF(OR($T49="",手直し!H51=""),"",IFERROR(INDEX(計算用!$I$2:$I$186,MATCH("女"&amp;手直し!H51,計算用!$AO$2:$AO$186,0)),"？"))</f>
        <v/>
      </c>
      <c r="AC49">
        <f>IF($T49="","",手直し!I51&amp;"")</f>
        <v/>
      </c>
      <c r="AD49" s="28">
        <f>IF(OR($T49="",手直し!I51=""),"",IFERROR(INDEX(計算用!$M$2:$M$186,MATCH("女"&amp;手直し!I51,計算用!$AO$2:$AO$186,0)),"？"))</f>
        <v/>
      </c>
      <c r="AE49" s="28">
        <f>IF(OR($T49="",手直し!I51=""),"",IFERROR(INDEX(計算用!$I$2:$I$186,MATCH("女"&amp;手直し!I51,計算用!$AO$2:$AO$186,0)),"？"))</f>
        <v/>
      </c>
      <c r="AF49">
        <f>IF($T49="","",手直し!J51&amp;"")</f>
        <v/>
      </c>
      <c r="AG49" s="28">
        <f>IF(OR($T49="",手直し!J51=""),"",IFERROR(INDEX(計算用!$M$2:$M$186,MATCH("女"&amp;手直し!J51,計算用!$AO$2:$AO$186,0)),"？"))</f>
        <v/>
      </c>
      <c r="AH49" s="28">
        <f>IF(OR($T49="",手直し!J51=""),"",IFERROR(INDEX(計算用!$I$2:$I$186,MATCH("女"&amp;手直し!J51,計算用!$AO$2:$AO$186,0)),"？"))</f>
        <v/>
      </c>
      <c r="AI49">
        <f>IF($T49="","",手直し!K51&amp;"")</f>
        <v/>
      </c>
      <c r="AJ49" s="28">
        <f>IF(OR($T49="",手直し!K51=""),"",IFERROR(INDEX(計算用!$M$2:$M$186,MATCH("女"&amp;手直し!K51,計算用!$AO$2:$AO$186,0)),"？"))</f>
        <v/>
      </c>
      <c r="AK49" s="28">
        <f>IF(OR($T49="",手直し!K51=""),"",IFERROR(INDEX(計算用!$I$2:$I$186,MATCH("女"&amp;手直し!K51,計算用!$AO$2:$AO$186,0)),"？"))</f>
        <v/>
      </c>
    </row>
    <row r="50">
      <c r="A50" s="28">
        <f>IF(ROW()-3&lt;=計算用!$Q$13,ROW()-3,"")</f>
        <v/>
      </c>
      <c r="B50" s="28">
        <f>IF($A50="","",手直し!M52)</f>
        <v/>
      </c>
      <c r="C50" s="28">
        <f>IF($A50="","",手直し!N52)</f>
        <v/>
      </c>
      <c r="D50">
        <f>IF($A50="","",手直し!B52&amp;"")</f>
        <v/>
      </c>
      <c r="E50" s="28">
        <f>IF(OR($A50="",手直し!B52=""),"",IFERROR(INDEX(計算用!$M$2:$M$186,MATCH("男"&amp;手直し!B52,計算用!$AO$2:$AO$186,0)),"？"))</f>
        <v/>
      </c>
      <c r="F50" s="28">
        <f>IF(OR($A50="",手直し!B52=""),"",IFERROR(INDEX(計算用!$I$2:$I$186,MATCH("男"&amp;手直し!B52,計算用!$AO$2:$AO$186,0)),"？"))</f>
        <v/>
      </c>
      <c r="G50">
        <f>IF($A50="","",手直し!C52&amp;"")</f>
        <v/>
      </c>
      <c r="H50" s="28">
        <f>IF(OR($A50="",手直し!C52=""),"",IFERROR(INDEX(計算用!$M$2:$M$186,MATCH("男"&amp;手直し!C52,計算用!$AO$2:$AO$186,0)),"？"))</f>
        <v/>
      </c>
      <c r="I50" s="28">
        <f>IF(OR($A50="",手直し!C52=""),"",IFERROR(INDEX(計算用!$I$2:$I$186,MATCH("男"&amp;手直し!C52,計算用!$AO$2:$AO$186,0)),"？"))</f>
        <v/>
      </c>
      <c r="J50">
        <f>IF($A50="","",手直し!D52&amp;"")</f>
        <v/>
      </c>
      <c r="K50" s="28">
        <f>IF(OR($A50="",手直し!D52=""),"",IFERROR(INDEX(計算用!$M$2:$M$186,MATCH("男"&amp;手直し!D52,計算用!$AO$2:$AO$186,0)),"？"))</f>
        <v/>
      </c>
      <c r="L50" s="28">
        <f>IF(OR($A50="",手直し!D52=""),"",IFERROR(INDEX(計算用!$I$2:$I$186,MATCH("男"&amp;手直し!D52,計算用!$AO$2:$AO$186,0)),"？"))</f>
        <v/>
      </c>
      <c r="M50">
        <f>IF($A50="","",手直し!E52&amp;"")</f>
        <v/>
      </c>
      <c r="N50" s="28">
        <f>IF(OR($A50="",手直し!E52=""),"",IFERROR(INDEX(計算用!$M$2:$M$186,MATCH("男"&amp;手直し!E52,計算用!$AO$2:$AO$186,0)),"？"))</f>
        <v/>
      </c>
      <c r="O50" s="28">
        <f>IF(OR($A50="",手直し!E52=""),"",IFERROR(INDEX(計算用!$I$2:$I$186,MATCH("男"&amp;手直し!E52,計算用!$AO$2:$AO$186,0)),"？"))</f>
        <v/>
      </c>
      <c r="P50">
        <f>IF($A50="","",手直し!F52&amp;"")</f>
        <v/>
      </c>
      <c r="Q50" s="28">
        <f>IF(OR($A50="",手直し!F52=""),"",IFERROR(INDEX(計算用!$M$2:$M$186,MATCH("男"&amp;手直し!F52,計算用!$AO$2:$AO$186,0)),"？"))</f>
        <v/>
      </c>
      <c r="R50" s="28">
        <f>IF(OR($A50="",手直し!F52=""),"",IFERROR(INDEX(計算用!$I$2:$I$186,MATCH("男"&amp;手直し!F52,計算用!$AO$2:$AO$186,0)),"？"))</f>
        <v/>
      </c>
      <c r="T50" s="28">
        <f>IF(ROW()-3&lt;=計算用!$Q$14,ROW()-3,"")</f>
        <v/>
      </c>
      <c r="U50" s="28">
        <f>IF($T50="","",手直し!O52)</f>
        <v/>
      </c>
      <c r="V50" s="28">
        <f>IF($T50="","",手直し!P52)</f>
        <v/>
      </c>
      <c r="W50">
        <f>IF($T50="","",手直し!G52&amp;"")</f>
        <v/>
      </c>
      <c r="X50" s="28">
        <f>IF(OR($T50="",手直し!G52=""),"",IFERROR(INDEX(計算用!$M$2:$M$186,MATCH("女"&amp;手直し!G52,計算用!$AO$2:$AO$186,0)),"？"))</f>
        <v/>
      </c>
      <c r="Y50" s="28">
        <f>IF(OR($T50="",手直し!G52=""),"",IFERROR(INDEX(計算用!$I$2:$I$186,MATCH("女"&amp;手直し!G52,計算用!$AO$2:$AO$186,0)),"？"))</f>
        <v/>
      </c>
      <c r="Z50">
        <f>IF($T50="","",手直し!H52&amp;"")</f>
        <v/>
      </c>
      <c r="AA50" s="28">
        <f>IF(OR($T50="",手直し!H52=""),"",IFERROR(INDEX(計算用!$M$2:$M$186,MATCH("女"&amp;手直し!H52,計算用!$AO$2:$AO$186,0)),"？"))</f>
        <v/>
      </c>
      <c r="AB50" s="28">
        <f>IF(OR($T50="",手直し!H52=""),"",IFERROR(INDEX(計算用!$I$2:$I$186,MATCH("女"&amp;手直し!H52,計算用!$AO$2:$AO$186,0)),"？"))</f>
        <v/>
      </c>
      <c r="AC50">
        <f>IF($T50="","",手直し!I52&amp;"")</f>
        <v/>
      </c>
      <c r="AD50" s="28">
        <f>IF(OR($T50="",手直し!I52=""),"",IFERROR(INDEX(計算用!$M$2:$M$186,MATCH("女"&amp;手直し!I52,計算用!$AO$2:$AO$186,0)),"？"))</f>
        <v/>
      </c>
      <c r="AE50" s="28">
        <f>IF(OR($T50="",手直し!I52=""),"",IFERROR(INDEX(計算用!$I$2:$I$186,MATCH("女"&amp;手直し!I52,計算用!$AO$2:$AO$186,0)),"？"))</f>
        <v/>
      </c>
      <c r="AF50">
        <f>IF($T50="","",手直し!J52&amp;"")</f>
        <v/>
      </c>
      <c r="AG50" s="28">
        <f>IF(OR($T50="",手直し!J52=""),"",IFERROR(INDEX(計算用!$M$2:$M$186,MATCH("女"&amp;手直し!J52,計算用!$AO$2:$AO$186,0)),"？"))</f>
        <v/>
      </c>
      <c r="AH50" s="28">
        <f>IF(OR($T50="",手直し!J52=""),"",IFERROR(INDEX(計算用!$I$2:$I$186,MATCH("女"&amp;手直し!J52,計算用!$AO$2:$AO$186,0)),"？"))</f>
        <v/>
      </c>
      <c r="AI50">
        <f>IF($T50="","",手直し!K52&amp;"")</f>
        <v/>
      </c>
      <c r="AJ50" s="28">
        <f>IF(OR($T50="",手直し!K52=""),"",IFERROR(INDEX(計算用!$M$2:$M$186,MATCH("女"&amp;手直し!K52,計算用!$AO$2:$AO$186,0)),"？"))</f>
        <v/>
      </c>
      <c r="AK50" s="28">
        <f>IF(OR($T50="",手直し!K52=""),"",IFERROR(INDEX(計算用!$I$2:$I$186,MATCH("女"&amp;手直し!K52,計算用!$AO$2:$AO$186,0)),"？"))</f>
        <v/>
      </c>
    </row>
    <row r="51">
      <c r="A51" s="28">
        <f>IF(ROW()-3&lt;=計算用!$Q$13,ROW()-3,"")</f>
        <v/>
      </c>
      <c r="B51" s="28">
        <f>IF($A51="","",手直し!M53)</f>
        <v/>
      </c>
      <c r="C51" s="28">
        <f>IF($A51="","",手直し!N53)</f>
        <v/>
      </c>
      <c r="D51">
        <f>IF($A51="","",手直し!B53&amp;"")</f>
        <v/>
      </c>
      <c r="E51" s="28">
        <f>IF(OR($A51="",手直し!B53=""),"",IFERROR(INDEX(計算用!$M$2:$M$186,MATCH("男"&amp;手直し!B53,計算用!$AO$2:$AO$186,0)),"？"))</f>
        <v/>
      </c>
      <c r="F51" s="28">
        <f>IF(OR($A51="",手直し!B53=""),"",IFERROR(INDEX(計算用!$I$2:$I$186,MATCH("男"&amp;手直し!B53,計算用!$AO$2:$AO$186,0)),"？"))</f>
        <v/>
      </c>
      <c r="G51">
        <f>IF($A51="","",手直し!C53&amp;"")</f>
        <v/>
      </c>
      <c r="H51" s="28">
        <f>IF(OR($A51="",手直し!C53=""),"",IFERROR(INDEX(計算用!$M$2:$M$186,MATCH("男"&amp;手直し!C53,計算用!$AO$2:$AO$186,0)),"？"))</f>
        <v/>
      </c>
      <c r="I51" s="28">
        <f>IF(OR($A51="",手直し!C53=""),"",IFERROR(INDEX(計算用!$I$2:$I$186,MATCH("男"&amp;手直し!C53,計算用!$AO$2:$AO$186,0)),"？"))</f>
        <v/>
      </c>
      <c r="J51">
        <f>IF($A51="","",手直し!D53&amp;"")</f>
        <v/>
      </c>
      <c r="K51" s="28">
        <f>IF(OR($A51="",手直し!D53=""),"",IFERROR(INDEX(計算用!$M$2:$M$186,MATCH("男"&amp;手直し!D53,計算用!$AO$2:$AO$186,0)),"？"))</f>
        <v/>
      </c>
      <c r="L51" s="28">
        <f>IF(OR($A51="",手直し!D53=""),"",IFERROR(INDEX(計算用!$I$2:$I$186,MATCH("男"&amp;手直し!D53,計算用!$AO$2:$AO$186,0)),"？"))</f>
        <v/>
      </c>
      <c r="M51">
        <f>IF($A51="","",手直し!E53&amp;"")</f>
        <v/>
      </c>
      <c r="N51" s="28">
        <f>IF(OR($A51="",手直し!E53=""),"",IFERROR(INDEX(計算用!$M$2:$M$186,MATCH("男"&amp;手直し!E53,計算用!$AO$2:$AO$186,0)),"？"))</f>
        <v/>
      </c>
      <c r="O51" s="28">
        <f>IF(OR($A51="",手直し!E53=""),"",IFERROR(INDEX(計算用!$I$2:$I$186,MATCH("男"&amp;手直し!E53,計算用!$AO$2:$AO$186,0)),"？"))</f>
        <v/>
      </c>
      <c r="P51">
        <f>IF($A51="","",手直し!F53&amp;"")</f>
        <v/>
      </c>
      <c r="Q51" s="28">
        <f>IF(OR($A51="",手直し!F53=""),"",IFERROR(INDEX(計算用!$M$2:$M$186,MATCH("男"&amp;手直し!F53,計算用!$AO$2:$AO$186,0)),"？"))</f>
        <v/>
      </c>
      <c r="R51" s="28">
        <f>IF(OR($A51="",手直し!F53=""),"",IFERROR(INDEX(計算用!$I$2:$I$186,MATCH("男"&amp;手直し!F53,計算用!$AO$2:$AO$186,0)),"？"))</f>
        <v/>
      </c>
      <c r="T51" s="28">
        <f>IF(ROW()-3&lt;=計算用!$Q$14,ROW()-3,"")</f>
        <v/>
      </c>
      <c r="U51" s="28">
        <f>IF($T51="","",手直し!O53)</f>
        <v/>
      </c>
      <c r="V51" s="28">
        <f>IF($T51="","",手直し!P53)</f>
        <v/>
      </c>
      <c r="W51">
        <f>IF($T51="","",手直し!G53&amp;"")</f>
        <v/>
      </c>
      <c r="X51" s="28">
        <f>IF(OR($T51="",手直し!G53=""),"",IFERROR(INDEX(計算用!$M$2:$M$186,MATCH("女"&amp;手直し!G53,計算用!$AO$2:$AO$186,0)),"？"))</f>
        <v/>
      </c>
      <c r="Y51" s="28">
        <f>IF(OR($T51="",手直し!G53=""),"",IFERROR(INDEX(計算用!$I$2:$I$186,MATCH("女"&amp;手直し!G53,計算用!$AO$2:$AO$186,0)),"？"))</f>
        <v/>
      </c>
      <c r="Z51">
        <f>IF($T51="","",手直し!H53&amp;"")</f>
        <v/>
      </c>
      <c r="AA51" s="28">
        <f>IF(OR($T51="",手直し!H53=""),"",IFERROR(INDEX(計算用!$M$2:$M$186,MATCH("女"&amp;手直し!H53,計算用!$AO$2:$AO$186,0)),"？"))</f>
        <v/>
      </c>
      <c r="AB51" s="28">
        <f>IF(OR($T51="",手直し!H53=""),"",IFERROR(INDEX(計算用!$I$2:$I$186,MATCH("女"&amp;手直し!H53,計算用!$AO$2:$AO$186,0)),"？"))</f>
        <v/>
      </c>
      <c r="AC51">
        <f>IF($T51="","",手直し!I53&amp;"")</f>
        <v/>
      </c>
      <c r="AD51" s="28">
        <f>IF(OR($T51="",手直し!I53=""),"",IFERROR(INDEX(計算用!$M$2:$M$186,MATCH("女"&amp;手直し!I53,計算用!$AO$2:$AO$186,0)),"？"))</f>
        <v/>
      </c>
      <c r="AE51" s="28">
        <f>IF(OR($T51="",手直し!I53=""),"",IFERROR(INDEX(計算用!$I$2:$I$186,MATCH("女"&amp;手直し!I53,計算用!$AO$2:$AO$186,0)),"？"))</f>
        <v/>
      </c>
      <c r="AF51">
        <f>IF($T51="","",手直し!J53&amp;"")</f>
        <v/>
      </c>
      <c r="AG51" s="28">
        <f>IF(OR($T51="",手直し!J53=""),"",IFERROR(INDEX(計算用!$M$2:$M$186,MATCH("女"&amp;手直し!J53,計算用!$AO$2:$AO$186,0)),"？"))</f>
        <v/>
      </c>
      <c r="AH51" s="28">
        <f>IF(OR($T51="",手直し!J53=""),"",IFERROR(INDEX(計算用!$I$2:$I$186,MATCH("女"&amp;手直し!J53,計算用!$AO$2:$AO$186,0)),"？"))</f>
        <v/>
      </c>
      <c r="AI51">
        <f>IF($T51="","",手直し!K53&amp;"")</f>
        <v/>
      </c>
      <c r="AJ51" s="28">
        <f>IF(OR($T51="",手直し!K53=""),"",IFERROR(INDEX(計算用!$M$2:$M$186,MATCH("女"&amp;手直し!K53,計算用!$AO$2:$AO$186,0)),"？"))</f>
        <v/>
      </c>
      <c r="AK51" s="28">
        <f>IF(OR($T51="",手直し!K53=""),"",IFERROR(INDEX(計算用!$I$2:$I$186,MATCH("女"&amp;手直し!K53,計算用!$AO$2:$AO$186,0)),"？"))</f>
        <v/>
      </c>
    </row>
    <row r="52">
      <c r="A52" s="28">
        <f>IF(ROW()-3&lt;=計算用!$Q$13,ROW()-3,"")</f>
        <v/>
      </c>
      <c r="B52" s="28">
        <f>IF($A52="","",手直し!M54)</f>
        <v/>
      </c>
      <c r="C52" s="28">
        <f>IF($A52="","",手直し!N54)</f>
        <v/>
      </c>
      <c r="D52">
        <f>IF($A52="","",手直し!B54&amp;"")</f>
        <v/>
      </c>
      <c r="E52" s="28">
        <f>IF(OR($A52="",手直し!B54=""),"",IFERROR(INDEX(計算用!$M$2:$M$186,MATCH("男"&amp;手直し!B54,計算用!$AO$2:$AO$186,0)),"？"))</f>
        <v/>
      </c>
      <c r="F52" s="28">
        <f>IF(OR($A52="",手直し!B54=""),"",IFERROR(INDEX(計算用!$I$2:$I$186,MATCH("男"&amp;手直し!B54,計算用!$AO$2:$AO$186,0)),"？"))</f>
        <v/>
      </c>
      <c r="G52">
        <f>IF($A52="","",手直し!C54&amp;"")</f>
        <v/>
      </c>
      <c r="H52" s="28">
        <f>IF(OR($A52="",手直し!C54=""),"",IFERROR(INDEX(計算用!$M$2:$M$186,MATCH("男"&amp;手直し!C54,計算用!$AO$2:$AO$186,0)),"？"))</f>
        <v/>
      </c>
      <c r="I52" s="28">
        <f>IF(OR($A52="",手直し!C54=""),"",IFERROR(INDEX(計算用!$I$2:$I$186,MATCH("男"&amp;手直し!C54,計算用!$AO$2:$AO$186,0)),"？"))</f>
        <v/>
      </c>
      <c r="J52">
        <f>IF($A52="","",手直し!D54&amp;"")</f>
        <v/>
      </c>
      <c r="K52" s="28">
        <f>IF(OR($A52="",手直し!D54=""),"",IFERROR(INDEX(計算用!$M$2:$M$186,MATCH("男"&amp;手直し!D54,計算用!$AO$2:$AO$186,0)),"？"))</f>
        <v/>
      </c>
      <c r="L52" s="28">
        <f>IF(OR($A52="",手直し!D54=""),"",IFERROR(INDEX(計算用!$I$2:$I$186,MATCH("男"&amp;手直し!D54,計算用!$AO$2:$AO$186,0)),"？"))</f>
        <v/>
      </c>
      <c r="M52">
        <f>IF($A52="","",手直し!E54&amp;"")</f>
        <v/>
      </c>
      <c r="N52" s="28">
        <f>IF(OR($A52="",手直し!E54=""),"",IFERROR(INDEX(計算用!$M$2:$M$186,MATCH("男"&amp;手直し!E54,計算用!$AO$2:$AO$186,0)),"？"))</f>
        <v/>
      </c>
      <c r="O52" s="28">
        <f>IF(OR($A52="",手直し!E54=""),"",IFERROR(INDEX(計算用!$I$2:$I$186,MATCH("男"&amp;手直し!E54,計算用!$AO$2:$AO$186,0)),"？"))</f>
        <v/>
      </c>
      <c r="P52">
        <f>IF($A52="","",手直し!F54&amp;"")</f>
        <v/>
      </c>
      <c r="Q52" s="28">
        <f>IF(OR($A52="",手直し!F54=""),"",IFERROR(INDEX(計算用!$M$2:$M$186,MATCH("男"&amp;手直し!F54,計算用!$AO$2:$AO$186,0)),"？"))</f>
        <v/>
      </c>
      <c r="R52" s="28">
        <f>IF(OR($A52="",手直し!F54=""),"",IFERROR(INDEX(計算用!$I$2:$I$186,MATCH("男"&amp;手直し!F54,計算用!$AO$2:$AO$186,0)),"？"))</f>
        <v/>
      </c>
      <c r="T52" s="28">
        <f>IF(ROW()-3&lt;=計算用!$Q$14,ROW()-3,"")</f>
        <v/>
      </c>
      <c r="U52" s="28">
        <f>IF($T52="","",手直し!O54)</f>
        <v/>
      </c>
      <c r="V52" s="28">
        <f>IF($T52="","",手直し!P54)</f>
        <v/>
      </c>
      <c r="W52">
        <f>IF($T52="","",手直し!G54&amp;"")</f>
        <v/>
      </c>
      <c r="X52" s="28">
        <f>IF(OR($T52="",手直し!G54=""),"",IFERROR(INDEX(計算用!$M$2:$M$186,MATCH("女"&amp;手直し!G54,計算用!$AO$2:$AO$186,0)),"？"))</f>
        <v/>
      </c>
      <c r="Y52" s="28">
        <f>IF(OR($T52="",手直し!G54=""),"",IFERROR(INDEX(計算用!$I$2:$I$186,MATCH("女"&amp;手直し!G54,計算用!$AO$2:$AO$186,0)),"？"))</f>
        <v/>
      </c>
      <c r="Z52">
        <f>IF($T52="","",手直し!H54&amp;"")</f>
        <v/>
      </c>
      <c r="AA52" s="28">
        <f>IF(OR($T52="",手直し!H54=""),"",IFERROR(INDEX(計算用!$M$2:$M$186,MATCH("女"&amp;手直し!H54,計算用!$AO$2:$AO$186,0)),"？"))</f>
        <v/>
      </c>
      <c r="AB52" s="28">
        <f>IF(OR($T52="",手直し!H54=""),"",IFERROR(INDEX(計算用!$I$2:$I$186,MATCH("女"&amp;手直し!H54,計算用!$AO$2:$AO$186,0)),"？"))</f>
        <v/>
      </c>
      <c r="AC52">
        <f>IF($T52="","",手直し!I54&amp;"")</f>
        <v/>
      </c>
      <c r="AD52" s="28">
        <f>IF(OR($T52="",手直し!I54=""),"",IFERROR(INDEX(計算用!$M$2:$M$186,MATCH("女"&amp;手直し!I54,計算用!$AO$2:$AO$186,0)),"？"))</f>
        <v/>
      </c>
      <c r="AE52" s="28">
        <f>IF(OR($T52="",手直し!I54=""),"",IFERROR(INDEX(計算用!$I$2:$I$186,MATCH("女"&amp;手直し!I54,計算用!$AO$2:$AO$186,0)),"？"))</f>
        <v/>
      </c>
      <c r="AF52">
        <f>IF($T52="","",手直し!J54&amp;"")</f>
        <v/>
      </c>
      <c r="AG52" s="28">
        <f>IF(OR($T52="",手直し!J54=""),"",IFERROR(INDEX(計算用!$M$2:$M$186,MATCH("女"&amp;手直し!J54,計算用!$AO$2:$AO$186,0)),"？"))</f>
        <v/>
      </c>
      <c r="AH52" s="28">
        <f>IF(OR($T52="",手直し!J54=""),"",IFERROR(INDEX(計算用!$I$2:$I$186,MATCH("女"&amp;手直し!J54,計算用!$AO$2:$AO$186,0)),"？"))</f>
        <v/>
      </c>
      <c r="AI52">
        <f>IF($T52="","",手直し!K54&amp;"")</f>
        <v/>
      </c>
      <c r="AJ52" s="28">
        <f>IF(OR($T52="",手直し!K54=""),"",IFERROR(INDEX(計算用!$M$2:$M$186,MATCH("女"&amp;手直し!K54,計算用!$AO$2:$AO$186,0)),"？"))</f>
        <v/>
      </c>
      <c r="AK52" s="28">
        <f>IF(OR($T52="",手直し!K54=""),"",IFERROR(INDEX(計算用!$I$2:$I$186,MATCH("女"&amp;手直し!K54,計算用!$AO$2:$AO$186,0)),"？"))</f>
        <v/>
      </c>
    </row>
    <row r="53">
      <c r="A53" s="28">
        <f>IF(ROW()-3&lt;=計算用!$Q$13,ROW()-3,"")</f>
        <v/>
      </c>
      <c r="B53" s="28">
        <f>IF($A53="","",手直し!M55)</f>
        <v/>
      </c>
      <c r="C53" s="28">
        <f>IF($A53="","",手直し!N55)</f>
        <v/>
      </c>
      <c r="D53">
        <f>IF($A53="","",手直し!B55&amp;"")</f>
        <v/>
      </c>
      <c r="E53" s="28">
        <f>IF(OR($A53="",手直し!B55=""),"",IFERROR(INDEX(計算用!$M$2:$M$186,MATCH("男"&amp;手直し!B55,計算用!$AO$2:$AO$186,0)),"？"))</f>
        <v/>
      </c>
      <c r="F53" s="28">
        <f>IF(OR($A53="",手直し!B55=""),"",IFERROR(INDEX(計算用!$I$2:$I$186,MATCH("男"&amp;手直し!B55,計算用!$AO$2:$AO$186,0)),"？"))</f>
        <v/>
      </c>
      <c r="G53">
        <f>IF($A53="","",手直し!C55&amp;"")</f>
        <v/>
      </c>
      <c r="H53" s="28">
        <f>IF(OR($A53="",手直し!C55=""),"",IFERROR(INDEX(計算用!$M$2:$M$186,MATCH("男"&amp;手直し!C55,計算用!$AO$2:$AO$186,0)),"？"))</f>
        <v/>
      </c>
      <c r="I53" s="28">
        <f>IF(OR($A53="",手直し!C55=""),"",IFERROR(INDEX(計算用!$I$2:$I$186,MATCH("男"&amp;手直し!C55,計算用!$AO$2:$AO$186,0)),"？"))</f>
        <v/>
      </c>
      <c r="J53">
        <f>IF($A53="","",手直し!D55&amp;"")</f>
        <v/>
      </c>
      <c r="K53" s="28">
        <f>IF(OR($A53="",手直し!D55=""),"",IFERROR(INDEX(計算用!$M$2:$M$186,MATCH("男"&amp;手直し!D55,計算用!$AO$2:$AO$186,0)),"？"))</f>
        <v/>
      </c>
      <c r="L53" s="28">
        <f>IF(OR($A53="",手直し!D55=""),"",IFERROR(INDEX(計算用!$I$2:$I$186,MATCH("男"&amp;手直し!D55,計算用!$AO$2:$AO$186,0)),"？"))</f>
        <v/>
      </c>
      <c r="M53">
        <f>IF($A53="","",手直し!E55&amp;"")</f>
        <v/>
      </c>
      <c r="N53" s="28">
        <f>IF(OR($A53="",手直し!E55=""),"",IFERROR(INDEX(計算用!$M$2:$M$186,MATCH("男"&amp;手直し!E55,計算用!$AO$2:$AO$186,0)),"？"))</f>
        <v/>
      </c>
      <c r="O53" s="28">
        <f>IF(OR($A53="",手直し!E55=""),"",IFERROR(INDEX(計算用!$I$2:$I$186,MATCH("男"&amp;手直し!E55,計算用!$AO$2:$AO$186,0)),"？"))</f>
        <v/>
      </c>
      <c r="P53">
        <f>IF($A53="","",手直し!F55&amp;"")</f>
        <v/>
      </c>
      <c r="Q53" s="28">
        <f>IF(OR($A53="",手直し!F55=""),"",IFERROR(INDEX(計算用!$M$2:$M$186,MATCH("男"&amp;手直し!F55,計算用!$AO$2:$AO$186,0)),"？"))</f>
        <v/>
      </c>
      <c r="R53" s="28">
        <f>IF(OR($A53="",手直し!F55=""),"",IFERROR(INDEX(計算用!$I$2:$I$186,MATCH("男"&amp;手直し!F55,計算用!$AO$2:$AO$186,0)),"？"))</f>
        <v/>
      </c>
      <c r="T53" s="28">
        <f>IF(ROW()-3&lt;=計算用!$Q$14,ROW()-3,"")</f>
        <v/>
      </c>
      <c r="U53" s="28">
        <f>IF($T53="","",手直し!O55)</f>
        <v/>
      </c>
      <c r="V53" s="28">
        <f>IF($T53="","",手直し!P55)</f>
        <v/>
      </c>
      <c r="W53">
        <f>IF($T53="","",手直し!G55&amp;"")</f>
        <v/>
      </c>
      <c r="X53" s="28">
        <f>IF(OR($T53="",手直し!G55=""),"",IFERROR(INDEX(計算用!$M$2:$M$186,MATCH("女"&amp;手直し!G55,計算用!$AO$2:$AO$186,0)),"？"))</f>
        <v/>
      </c>
      <c r="Y53" s="28">
        <f>IF(OR($T53="",手直し!G55=""),"",IFERROR(INDEX(計算用!$I$2:$I$186,MATCH("女"&amp;手直し!G55,計算用!$AO$2:$AO$186,0)),"？"))</f>
        <v/>
      </c>
      <c r="Z53">
        <f>IF($T53="","",手直し!H55&amp;"")</f>
        <v/>
      </c>
      <c r="AA53" s="28">
        <f>IF(OR($T53="",手直し!H55=""),"",IFERROR(INDEX(計算用!$M$2:$M$186,MATCH("女"&amp;手直し!H55,計算用!$AO$2:$AO$186,0)),"？"))</f>
        <v/>
      </c>
      <c r="AB53" s="28">
        <f>IF(OR($T53="",手直し!H55=""),"",IFERROR(INDEX(計算用!$I$2:$I$186,MATCH("女"&amp;手直し!H55,計算用!$AO$2:$AO$186,0)),"？"))</f>
        <v/>
      </c>
      <c r="AC53">
        <f>IF($T53="","",手直し!I55&amp;"")</f>
        <v/>
      </c>
      <c r="AD53" s="28">
        <f>IF(OR($T53="",手直し!I55=""),"",IFERROR(INDEX(計算用!$M$2:$M$186,MATCH("女"&amp;手直し!I55,計算用!$AO$2:$AO$186,0)),"？"))</f>
        <v/>
      </c>
      <c r="AE53" s="28">
        <f>IF(OR($T53="",手直し!I55=""),"",IFERROR(INDEX(計算用!$I$2:$I$186,MATCH("女"&amp;手直し!I55,計算用!$AO$2:$AO$186,0)),"？"))</f>
        <v/>
      </c>
      <c r="AF53">
        <f>IF($T53="","",手直し!J55&amp;"")</f>
        <v/>
      </c>
      <c r="AG53" s="28">
        <f>IF(OR($T53="",手直し!J55=""),"",IFERROR(INDEX(計算用!$M$2:$M$186,MATCH("女"&amp;手直し!J55,計算用!$AO$2:$AO$186,0)),"？"))</f>
        <v/>
      </c>
      <c r="AH53" s="28">
        <f>IF(OR($T53="",手直し!J55=""),"",IFERROR(INDEX(計算用!$I$2:$I$186,MATCH("女"&amp;手直し!J55,計算用!$AO$2:$AO$186,0)),"？"))</f>
        <v/>
      </c>
      <c r="AI53">
        <f>IF($T53="","",手直し!K55&amp;"")</f>
        <v/>
      </c>
      <c r="AJ53" s="28">
        <f>IF(OR($T53="",手直し!K55=""),"",IFERROR(INDEX(計算用!$M$2:$M$186,MATCH("女"&amp;手直し!K55,計算用!$AO$2:$AO$186,0)),"？"))</f>
        <v/>
      </c>
      <c r="AK53" s="28">
        <f>IF(OR($T53="",手直し!K55=""),"",IFERROR(INDEX(計算用!$I$2:$I$186,MATCH("女"&amp;手直し!K55,計算用!$AO$2:$AO$186,0)),"？"))</f>
        <v/>
      </c>
    </row>
  </sheetData>
  <mergeCells count="16">
    <mergeCell ref="D2:F2"/>
    <mergeCell ref="Z2:AB2"/>
    <mergeCell ref="G2:I2"/>
    <mergeCell ref="T2:T3"/>
    <mergeCell ref="J2:L2"/>
    <mergeCell ref="AI2:AK2"/>
    <mergeCell ref="AC2:AE2"/>
    <mergeCell ref="P2:R2"/>
    <mergeCell ref="U2:U3"/>
    <mergeCell ref="AF2:AH2"/>
    <mergeCell ref="B2:B3"/>
    <mergeCell ref="A2:A3"/>
    <mergeCell ref="V2:V3"/>
    <mergeCell ref="C2:C3"/>
    <mergeCell ref="M2:O2"/>
    <mergeCell ref="W2:Y2"/>
  </mergeCells>
  <conditionalFormatting sqref="A4:C53">
    <cfRule type="expression" priority="1" dxfId="15" stopIfTrue="1">
      <formula>AND($A4&lt;&gt;"",$B4=0)</formula>
    </cfRule>
    <cfRule type="expression" priority="2" dxfId="8" stopIfTrue="0">
      <formula>AND($A4&lt;&gt;"",OR($B4&lt;&gt;計算用!$Q$32,ABS(INDEX(計算用!$BG$2:$BG$51,$A4)-INDEX(計算用!$BH$2:$BH$51,$A4))&gt;1))</formula>
    </cfRule>
  </conditionalFormatting>
  <conditionalFormatting sqref="F4:F53">
    <cfRule type="expression" priority="3" dxfId="9">
      <formula>F4="赤"</formula>
    </cfRule>
  </conditionalFormatting>
  <conditionalFormatting sqref="I4:I53">
    <cfRule type="expression" priority="4" dxfId="9">
      <formula>I4="赤"</formula>
    </cfRule>
  </conditionalFormatting>
  <conditionalFormatting sqref="L4:L53">
    <cfRule type="expression" priority="5" dxfId="9">
      <formula>L4="赤"</formula>
    </cfRule>
  </conditionalFormatting>
  <conditionalFormatting sqref="O4:O53">
    <cfRule type="expression" priority="6" dxfId="9">
      <formula>O4="赤"</formula>
    </cfRule>
  </conditionalFormatting>
  <conditionalFormatting sqref="R4:R53">
    <cfRule type="expression" priority="7" dxfId="9">
      <formula>R4="赤"</formula>
    </cfRule>
  </conditionalFormatting>
  <conditionalFormatting sqref="A4:R53">
    <cfRule type="expression" priority="8" dxfId="10">
      <formula>$A4&lt;&gt;""</formula>
    </cfRule>
  </conditionalFormatting>
  <conditionalFormatting sqref="T4:V53">
    <cfRule type="expression" priority="9" dxfId="15" stopIfTrue="1">
      <formula>AND($T4&lt;&gt;"",$U4=0)</formula>
    </cfRule>
    <cfRule type="expression" priority="10" dxfId="8" stopIfTrue="0">
      <formula>AND($T4&lt;&gt;"",OR($U4&lt;&gt;計算用!$Q$33,ABS(INDEX(計算用!$BI$2:$BI$51,$T4)-INDEX(計算用!$BJ$2:$BJ$51,$T4))&gt;1))</formula>
    </cfRule>
  </conditionalFormatting>
  <conditionalFormatting sqref="Y4:Y53">
    <cfRule type="expression" priority="11" dxfId="9">
      <formula>Y4="赤"</formula>
    </cfRule>
  </conditionalFormatting>
  <conditionalFormatting sqref="AB4:AB53">
    <cfRule type="expression" priority="12" dxfId="9">
      <formula>AB4="赤"</formula>
    </cfRule>
  </conditionalFormatting>
  <conditionalFormatting sqref="AE4:AE53">
    <cfRule type="expression" priority="13" dxfId="9">
      <formula>AE4="赤"</formula>
    </cfRule>
  </conditionalFormatting>
  <conditionalFormatting sqref="AH4:AH53">
    <cfRule type="expression" priority="14" dxfId="9">
      <formula>AH4="赤"</formula>
    </cfRule>
  </conditionalFormatting>
  <conditionalFormatting sqref="AK4:AK53">
    <cfRule type="expression" priority="15" dxfId="9">
      <formula>AK4="赤"</formula>
    </cfRule>
  </conditionalFormatting>
  <conditionalFormatting sqref="T4:AK53">
    <cfRule type="expression" priority="16" dxfId="10">
      <formula>$T4&lt;&gt;""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style="11" min="1" max="1"/>
    <col width="14" customWidth="1" style="11" min="2" max="2"/>
    <col width="5" customWidth="1" style="11" min="3" max="3"/>
    <col width="4" customWidth="1" style="11" min="4" max="4"/>
    <col width="14" customWidth="1" style="11" min="5" max="5"/>
    <col width="5" customWidth="1" style="11" min="6" max="6"/>
    <col width="4" customWidth="1" style="11" min="7" max="7"/>
    <col width="14" customWidth="1" style="11" min="8" max="8"/>
    <col width="5" customWidth="1" style="11" min="9" max="9"/>
    <col width="4" customWidth="1" style="11" min="10" max="10"/>
    <col width="14" customWidth="1" style="11" min="11" max="11"/>
    <col width="5" customWidth="1" style="11" min="12" max="12"/>
    <col width="4" customWidth="1" style="11" min="13" max="13"/>
    <col width="14" customWidth="1" style="11" min="14" max="14"/>
    <col width="5" customWidth="1" style="11" min="15" max="15"/>
    <col width="4" customWidth="1" style="11" min="16" max="16"/>
  </cols>
  <sheetData>
    <row r="1">
      <c r="A1" s="29" t="inlineStr">
        <is>
          <t>走順</t>
        </is>
      </c>
      <c r="E1" s="25">
        <f>IF(計算用!$Q$30=0,"","男子 "&amp;計算用!$Q$13&amp;"レース・女子 "&amp;計算用!$Q$14&amp;"レース　合計 "&amp;計算用!$Q$30&amp;"レース")</f>
        <v/>
      </c>
    </row>
    <row r="2">
      <c r="A2" s="35" t="inlineStr">
        <is>
          <t>先に走る</t>
        </is>
      </c>
      <c r="C2" s="36" t="inlineStr">
        <is>
          <t>男子</t>
        </is>
      </c>
      <c r="D2" t="inlineStr">
        <is>
          <t>← 男子か女子を選んでください</t>
        </is>
      </c>
      <c r="I2" s="26">
        <f>IF(OR(計算用!$Q$15&gt;0,計算用!$Q$16&gt;0),"※手直しシートに確認が必要なところがあります","")</f>
        <v/>
      </c>
    </row>
    <row r="4">
      <c r="A4" s="27" t="inlineStr">
        <is>
          <t>レース</t>
        </is>
      </c>
      <c r="B4" s="27" t="inlineStr">
        <is>
          <t>1コース</t>
        </is>
      </c>
      <c r="C4" s="27" t="n"/>
      <c r="D4" s="27" t="n"/>
      <c r="E4" s="27" t="inlineStr">
        <is>
          <t>2コース</t>
        </is>
      </c>
      <c r="F4" s="27" t="n"/>
      <c r="G4" s="27" t="n"/>
      <c r="H4" s="27" t="inlineStr">
        <is>
          <t>3コース</t>
        </is>
      </c>
      <c r="I4" s="27" t="n"/>
      <c r="J4" s="27" t="n"/>
      <c r="K4" s="27" t="inlineStr">
        <is>
          <t>4コース</t>
        </is>
      </c>
      <c r="L4" s="27" t="n"/>
      <c r="M4" s="27" t="n"/>
      <c r="N4" s="27" t="inlineStr">
        <is>
          <t>5コース</t>
        </is>
      </c>
      <c r="O4" s="27" t="n"/>
      <c r="P4" s="27" t="n"/>
    </row>
    <row r="5">
      <c r="A5" s="27" t="n"/>
      <c r="B5" s="27" t="inlineStr">
        <is>
          <t>名前</t>
        </is>
      </c>
      <c r="C5" s="27" t="inlineStr">
        <is>
          <t>クラス</t>
        </is>
      </c>
      <c r="D5" s="27" t="inlineStr">
        <is>
          <t>色</t>
        </is>
      </c>
      <c r="E5" s="27" t="inlineStr">
        <is>
          <t>名前</t>
        </is>
      </c>
      <c r="F5" s="27" t="inlineStr">
        <is>
          <t>クラス</t>
        </is>
      </c>
      <c r="G5" s="27" t="inlineStr">
        <is>
          <t>色</t>
        </is>
      </c>
      <c r="H5" s="27" t="inlineStr">
        <is>
          <t>名前</t>
        </is>
      </c>
      <c r="I5" s="27" t="inlineStr">
        <is>
          <t>クラス</t>
        </is>
      </c>
      <c r="J5" s="27" t="inlineStr">
        <is>
          <t>色</t>
        </is>
      </c>
      <c r="K5" s="27" t="inlineStr">
        <is>
          <t>名前</t>
        </is>
      </c>
      <c r="L5" s="27" t="inlineStr">
        <is>
          <t>クラス</t>
        </is>
      </c>
      <c r="M5" s="27" t="inlineStr">
        <is>
          <t>色</t>
        </is>
      </c>
      <c r="N5" s="27" t="inlineStr">
        <is>
          <t>名前</t>
        </is>
      </c>
      <c r="O5" s="27" t="inlineStr">
        <is>
          <t>クラス</t>
        </is>
      </c>
      <c r="P5" s="27" t="inlineStr">
        <is>
          <t>色</t>
        </is>
      </c>
    </row>
    <row r="6">
      <c r="A6" s="28">
        <f>IF(計算用!$BB$2="","",計算用!$BA$2)</f>
        <v/>
      </c>
      <c r="B6">
        <f>IF($A6="","",INDEX(決定版!$A$4:$AK$53,計算用!$BE$2,IF(計算用!$BB$2="男",0,19)+4))</f>
        <v/>
      </c>
      <c r="C6" s="28">
        <f>IF($A6="","",INDEX(決定版!$A$4:$AK$53,計算用!$BE$2,IF(計算用!$BB$2="男",0,19)+5))</f>
        <v/>
      </c>
      <c r="D6" s="28">
        <f>IF($A6="","",INDEX(決定版!$A$4:$AK$53,計算用!$BE$2,IF(計算用!$BB$2="男",0,19)+6))</f>
        <v/>
      </c>
      <c r="E6">
        <f>IF($A6="","",INDEX(決定版!$A$4:$AK$53,計算用!$BE$2,IF(計算用!$BB$2="男",0,19)+7))</f>
        <v/>
      </c>
      <c r="F6" s="28">
        <f>IF($A6="","",INDEX(決定版!$A$4:$AK$53,計算用!$BE$2,IF(計算用!$BB$2="男",0,19)+8))</f>
        <v/>
      </c>
      <c r="G6" s="28">
        <f>IF($A6="","",INDEX(決定版!$A$4:$AK$53,計算用!$BE$2,IF(計算用!$BB$2="男",0,19)+9))</f>
        <v/>
      </c>
      <c r="H6">
        <f>IF($A6="","",INDEX(決定版!$A$4:$AK$53,計算用!$BE$2,IF(計算用!$BB$2="男",0,19)+10))</f>
        <v/>
      </c>
      <c r="I6" s="28">
        <f>IF($A6="","",INDEX(決定版!$A$4:$AK$53,計算用!$BE$2,IF(計算用!$BB$2="男",0,19)+11))</f>
        <v/>
      </c>
      <c r="J6" s="28">
        <f>IF($A6="","",INDEX(決定版!$A$4:$AK$53,計算用!$BE$2,IF(計算用!$BB$2="男",0,19)+12))</f>
        <v/>
      </c>
      <c r="K6">
        <f>IF($A6="","",INDEX(決定版!$A$4:$AK$53,計算用!$BE$2,IF(計算用!$BB$2="男",0,19)+13))</f>
        <v/>
      </c>
      <c r="L6" s="28">
        <f>IF($A6="","",INDEX(決定版!$A$4:$AK$53,計算用!$BE$2,IF(計算用!$BB$2="男",0,19)+14))</f>
        <v/>
      </c>
      <c r="M6" s="28">
        <f>IF($A6="","",INDEX(決定版!$A$4:$AK$53,計算用!$BE$2,IF(計算用!$BB$2="男",0,19)+15))</f>
        <v/>
      </c>
      <c r="N6">
        <f>IF($A6="","",INDEX(決定版!$A$4:$AK$53,計算用!$BE$2,IF(計算用!$BB$2="男",0,19)+16))</f>
        <v/>
      </c>
      <c r="O6" s="28">
        <f>IF($A6="","",INDEX(決定版!$A$4:$AK$53,計算用!$BE$2,IF(計算用!$BB$2="男",0,19)+17))</f>
        <v/>
      </c>
      <c r="P6" s="28">
        <f>IF($A6="","",INDEX(決定版!$A$4:$AK$53,計算用!$BE$2,IF(計算用!$BB$2="男",0,19)+18))</f>
        <v/>
      </c>
    </row>
    <row r="7">
      <c r="A7" s="28">
        <f>IF(計算用!$BB$3="","",計算用!$BA$3)</f>
        <v/>
      </c>
      <c r="B7">
        <f>IF($A7="","",INDEX(決定版!$A$4:$AK$53,計算用!$BE$3,IF(計算用!$BB$3="男",0,19)+4))</f>
        <v/>
      </c>
      <c r="C7" s="28">
        <f>IF($A7="","",INDEX(決定版!$A$4:$AK$53,計算用!$BE$3,IF(計算用!$BB$3="男",0,19)+5))</f>
        <v/>
      </c>
      <c r="D7" s="28">
        <f>IF($A7="","",INDEX(決定版!$A$4:$AK$53,計算用!$BE$3,IF(計算用!$BB$3="男",0,19)+6))</f>
        <v/>
      </c>
      <c r="E7">
        <f>IF($A7="","",INDEX(決定版!$A$4:$AK$53,計算用!$BE$3,IF(計算用!$BB$3="男",0,19)+7))</f>
        <v/>
      </c>
      <c r="F7" s="28">
        <f>IF($A7="","",INDEX(決定版!$A$4:$AK$53,計算用!$BE$3,IF(計算用!$BB$3="男",0,19)+8))</f>
        <v/>
      </c>
      <c r="G7" s="28">
        <f>IF($A7="","",INDEX(決定版!$A$4:$AK$53,計算用!$BE$3,IF(計算用!$BB$3="男",0,19)+9))</f>
        <v/>
      </c>
      <c r="H7">
        <f>IF($A7="","",INDEX(決定版!$A$4:$AK$53,計算用!$BE$3,IF(計算用!$BB$3="男",0,19)+10))</f>
        <v/>
      </c>
      <c r="I7" s="28">
        <f>IF($A7="","",INDEX(決定版!$A$4:$AK$53,計算用!$BE$3,IF(計算用!$BB$3="男",0,19)+11))</f>
        <v/>
      </c>
      <c r="J7" s="28">
        <f>IF($A7="","",INDEX(決定版!$A$4:$AK$53,計算用!$BE$3,IF(計算用!$BB$3="男",0,19)+12))</f>
        <v/>
      </c>
      <c r="K7">
        <f>IF($A7="","",INDEX(決定版!$A$4:$AK$53,計算用!$BE$3,IF(計算用!$BB$3="男",0,19)+13))</f>
        <v/>
      </c>
      <c r="L7" s="28">
        <f>IF($A7="","",INDEX(決定版!$A$4:$AK$53,計算用!$BE$3,IF(計算用!$BB$3="男",0,19)+14))</f>
        <v/>
      </c>
      <c r="M7" s="28">
        <f>IF($A7="","",INDEX(決定版!$A$4:$AK$53,計算用!$BE$3,IF(計算用!$BB$3="男",0,19)+15))</f>
        <v/>
      </c>
      <c r="N7">
        <f>IF($A7="","",INDEX(決定版!$A$4:$AK$53,計算用!$BE$3,IF(計算用!$BB$3="男",0,19)+16))</f>
        <v/>
      </c>
      <c r="O7" s="28">
        <f>IF($A7="","",INDEX(決定版!$A$4:$AK$53,計算用!$BE$3,IF(計算用!$BB$3="男",0,19)+17))</f>
        <v/>
      </c>
      <c r="P7" s="28">
        <f>IF($A7="","",INDEX(決定版!$A$4:$AK$53,計算用!$BE$3,IF(計算用!$BB$3="男",0,19)+18))</f>
        <v/>
      </c>
    </row>
    <row r="8">
      <c r="A8" s="28">
        <f>IF(計算用!$BB$4="","",計算用!$BA$4)</f>
        <v/>
      </c>
      <c r="B8">
        <f>IF($A8="","",INDEX(決定版!$A$4:$AK$53,計算用!$BE$4,IF(計算用!$BB$4="男",0,19)+4))</f>
        <v/>
      </c>
      <c r="C8" s="28">
        <f>IF($A8="","",INDEX(決定版!$A$4:$AK$53,計算用!$BE$4,IF(計算用!$BB$4="男",0,19)+5))</f>
        <v/>
      </c>
      <c r="D8" s="28">
        <f>IF($A8="","",INDEX(決定版!$A$4:$AK$53,計算用!$BE$4,IF(計算用!$BB$4="男",0,19)+6))</f>
        <v/>
      </c>
      <c r="E8">
        <f>IF($A8="","",INDEX(決定版!$A$4:$AK$53,計算用!$BE$4,IF(計算用!$BB$4="男",0,19)+7))</f>
        <v/>
      </c>
      <c r="F8" s="28">
        <f>IF($A8="","",INDEX(決定版!$A$4:$AK$53,計算用!$BE$4,IF(計算用!$BB$4="男",0,19)+8))</f>
        <v/>
      </c>
      <c r="G8" s="28">
        <f>IF($A8="","",INDEX(決定版!$A$4:$AK$53,計算用!$BE$4,IF(計算用!$BB$4="男",0,19)+9))</f>
        <v/>
      </c>
      <c r="H8">
        <f>IF($A8="","",INDEX(決定版!$A$4:$AK$53,計算用!$BE$4,IF(計算用!$BB$4="男",0,19)+10))</f>
        <v/>
      </c>
      <c r="I8" s="28">
        <f>IF($A8="","",INDEX(決定版!$A$4:$AK$53,計算用!$BE$4,IF(計算用!$BB$4="男",0,19)+11))</f>
        <v/>
      </c>
      <c r="J8" s="28">
        <f>IF($A8="","",INDEX(決定版!$A$4:$AK$53,計算用!$BE$4,IF(計算用!$BB$4="男",0,19)+12))</f>
        <v/>
      </c>
      <c r="K8">
        <f>IF($A8="","",INDEX(決定版!$A$4:$AK$53,計算用!$BE$4,IF(計算用!$BB$4="男",0,19)+13))</f>
        <v/>
      </c>
      <c r="L8" s="28">
        <f>IF($A8="","",INDEX(決定版!$A$4:$AK$53,計算用!$BE$4,IF(計算用!$BB$4="男",0,19)+14))</f>
        <v/>
      </c>
      <c r="M8" s="28">
        <f>IF($A8="","",INDEX(決定版!$A$4:$AK$53,計算用!$BE$4,IF(計算用!$BB$4="男",0,19)+15))</f>
        <v/>
      </c>
      <c r="N8">
        <f>IF($A8="","",INDEX(決定版!$A$4:$AK$53,計算用!$BE$4,IF(計算用!$BB$4="男",0,19)+16))</f>
        <v/>
      </c>
      <c r="O8" s="28">
        <f>IF($A8="","",INDEX(決定版!$A$4:$AK$53,計算用!$BE$4,IF(計算用!$BB$4="男",0,19)+17))</f>
        <v/>
      </c>
      <c r="P8" s="28">
        <f>IF($A8="","",INDEX(決定版!$A$4:$AK$53,計算用!$BE$4,IF(計算用!$BB$4="男",0,19)+18))</f>
        <v/>
      </c>
    </row>
    <row r="9">
      <c r="A9" s="28">
        <f>IF(計算用!$BB$5="","",計算用!$BA$5)</f>
        <v/>
      </c>
      <c r="B9">
        <f>IF($A9="","",INDEX(決定版!$A$4:$AK$53,計算用!$BE$5,IF(計算用!$BB$5="男",0,19)+4))</f>
        <v/>
      </c>
      <c r="C9" s="28">
        <f>IF($A9="","",INDEX(決定版!$A$4:$AK$53,計算用!$BE$5,IF(計算用!$BB$5="男",0,19)+5))</f>
        <v/>
      </c>
      <c r="D9" s="28">
        <f>IF($A9="","",INDEX(決定版!$A$4:$AK$53,計算用!$BE$5,IF(計算用!$BB$5="男",0,19)+6))</f>
        <v/>
      </c>
      <c r="E9">
        <f>IF($A9="","",INDEX(決定版!$A$4:$AK$53,計算用!$BE$5,IF(計算用!$BB$5="男",0,19)+7))</f>
        <v/>
      </c>
      <c r="F9" s="28">
        <f>IF($A9="","",INDEX(決定版!$A$4:$AK$53,計算用!$BE$5,IF(計算用!$BB$5="男",0,19)+8))</f>
        <v/>
      </c>
      <c r="G9" s="28">
        <f>IF($A9="","",INDEX(決定版!$A$4:$AK$53,計算用!$BE$5,IF(計算用!$BB$5="男",0,19)+9))</f>
        <v/>
      </c>
      <c r="H9">
        <f>IF($A9="","",INDEX(決定版!$A$4:$AK$53,計算用!$BE$5,IF(計算用!$BB$5="男",0,19)+10))</f>
        <v/>
      </c>
      <c r="I9" s="28">
        <f>IF($A9="","",INDEX(決定版!$A$4:$AK$53,計算用!$BE$5,IF(計算用!$BB$5="男",0,19)+11))</f>
        <v/>
      </c>
      <c r="J9" s="28">
        <f>IF($A9="","",INDEX(決定版!$A$4:$AK$53,計算用!$BE$5,IF(計算用!$BB$5="男",0,19)+12))</f>
        <v/>
      </c>
      <c r="K9">
        <f>IF($A9="","",INDEX(決定版!$A$4:$AK$53,計算用!$BE$5,IF(計算用!$BB$5="男",0,19)+13))</f>
        <v/>
      </c>
      <c r="L9" s="28">
        <f>IF($A9="","",INDEX(決定版!$A$4:$AK$53,計算用!$BE$5,IF(計算用!$BB$5="男",0,19)+14))</f>
        <v/>
      </c>
      <c r="M9" s="28">
        <f>IF($A9="","",INDEX(決定版!$A$4:$AK$53,計算用!$BE$5,IF(計算用!$BB$5="男",0,19)+15))</f>
        <v/>
      </c>
      <c r="N9">
        <f>IF($A9="","",INDEX(決定版!$A$4:$AK$53,計算用!$BE$5,IF(計算用!$BB$5="男",0,19)+16))</f>
        <v/>
      </c>
      <c r="O9" s="28">
        <f>IF($A9="","",INDEX(決定版!$A$4:$AK$53,計算用!$BE$5,IF(計算用!$BB$5="男",0,19)+17))</f>
        <v/>
      </c>
      <c r="P9" s="28">
        <f>IF($A9="","",INDEX(決定版!$A$4:$AK$53,計算用!$BE$5,IF(計算用!$BB$5="男",0,19)+18))</f>
        <v/>
      </c>
    </row>
    <row r="10">
      <c r="A10" s="28">
        <f>IF(計算用!$BB$6="","",計算用!$BA$6)</f>
        <v/>
      </c>
      <c r="B10">
        <f>IF($A10="","",INDEX(決定版!$A$4:$AK$53,計算用!$BE$6,IF(計算用!$BB$6="男",0,19)+4))</f>
        <v/>
      </c>
      <c r="C10" s="28">
        <f>IF($A10="","",INDEX(決定版!$A$4:$AK$53,計算用!$BE$6,IF(計算用!$BB$6="男",0,19)+5))</f>
        <v/>
      </c>
      <c r="D10" s="28">
        <f>IF($A10="","",INDEX(決定版!$A$4:$AK$53,計算用!$BE$6,IF(計算用!$BB$6="男",0,19)+6))</f>
        <v/>
      </c>
      <c r="E10">
        <f>IF($A10="","",INDEX(決定版!$A$4:$AK$53,計算用!$BE$6,IF(計算用!$BB$6="男",0,19)+7))</f>
        <v/>
      </c>
      <c r="F10" s="28">
        <f>IF($A10="","",INDEX(決定版!$A$4:$AK$53,計算用!$BE$6,IF(計算用!$BB$6="男",0,19)+8))</f>
        <v/>
      </c>
      <c r="G10" s="28">
        <f>IF($A10="","",INDEX(決定版!$A$4:$AK$53,計算用!$BE$6,IF(計算用!$BB$6="男",0,19)+9))</f>
        <v/>
      </c>
      <c r="H10">
        <f>IF($A10="","",INDEX(決定版!$A$4:$AK$53,計算用!$BE$6,IF(計算用!$BB$6="男",0,19)+10))</f>
        <v/>
      </c>
      <c r="I10" s="28">
        <f>IF($A10="","",INDEX(決定版!$A$4:$AK$53,計算用!$BE$6,IF(計算用!$BB$6="男",0,19)+11))</f>
        <v/>
      </c>
      <c r="J10" s="28">
        <f>IF($A10="","",INDEX(決定版!$A$4:$AK$53,計算用!$BE$6,IF(計算用!$BB$6="男",0,19)+12))</f>
        <v/>
      </c>
      <c r="K10">
        <f>IF($A10="","",INDEX(決定版!$A$4:$AK$53,計算用!$BE$6,IF(計算用!$BB$6="男",0,19)+13))</f>
        <v/>
      </c>
      <c r="L10" s="28">
        <f>IF($A10="","",INDEX(決定版!$A$4:$AK$53,計算用!$BE$6,IF(計算用!$BB$6="男",0,19)+14))</f>
        <v/>
      </c>
      <c r="M10" s="28">
        <f>IF($A10="","",INDEX(決定版!$A$4:$AK$53,計算用!$BE$6,IF(計算用!$BB$6="男",0,19)+15))</f>
        <v/>
      </c>
      <c r="N10">
        <f>IF($A10="","",INDEX(決定版!$A$4:$AK$53,計算用!$BE$6,IF(計算用!$BB$6="男",0,19)+16))</f>
        <v/>
      </c>
      <c r="O10" s="28">
        <f>IF($A10="","",INDEX(決定版!$A$4:$AK$53,計算用!$BE$6,IF(計算用!$BB$6="男",0,19)+17))</f>
        <v/>
      </c>
      <c r="P10" s="28">
        <f>IF($A10="","",INDEX(決定版!$A$4:$AK$53,計算用!$BE$6,IF(計算用!$BB$6="男",0,19)+18))</f>
        <v/>
      </c>
    </row>
    <row r="11">
      <c r="A11" s="28">
        <f>IF(計算用!$BB$7="","",計算用!$BA$7)</f>
        <v/>
      </c>
      <c r="B11">
        <f>IF($A11="","",INDEX(決定版!$A$4:$AK$53,計算用!$BE$7,IF(計算用!$BB$7="男",0,19)+4))</f>
        <v/>
      </c>
      <c r="C11" s="28">
        <f>IF($A11="","",INDEX(決定版!$A$4:$AK$53,計算用!$BE$7,IF(計算用!$BB$7="男",0,19)+5))</f>
        <v/>
      </c>
      <c r="D11" s="28">
        <f>IF($A11="","",INDEX(決定版!$A$4:$AK$53,計算用!$BE$7,IF(計算用!$BB$7="男",0,19)+6))</f>
        <v/>
      </c>
      <c r="E11">
        <f>IF($A11="","",INDEX(決定版!$A$4:$AK$53,計算用!$BE$7,IF(計算用!$BB$7="男",0,19)+7))</f>
        <v/>
      </c>
      <c r="F11" s="28">
        <f>IF($A11="","",INDEX(決定版!$A$4:$AK$53,計算用!$BE$7,IF(計算用!$BB$7="男",0,19)+8))</f>
        <v/>
      </c>
      <c r="G11" s="28">
        <f>IF($A11="","",INDEX(決定版!$A$4:$AK$53,計算用!$BE$7,IF(計算用!$BB$7="男",0,19)+9))</f>
        <v/>
      </c>
      <c r="H11">
        <f>IF($A11="","",INDEX(決定版!$A$4:$AK$53,計算用!$BE$7,IF(計算用!$BB$7="男",0,19)+10))</f>
        <v/>
      </c>
      <c r="I11" s="28">
        <f>IF($A11="","",INDEX(決定版!$A$4:$AK$53,計算用!$BE$7,IF(計算用!$BB$7="男",0,19)+11))</f>
        <v/>
      </c>
      <c r="J11" s="28">
        <f>IF($A11="","",INDEX(決定版!$A$4:$AK$53,計算用!$BE$7,IF(計算用!$BB$7="男",0,19)+12))</f>
        <v/>
      </c>
      <c r="K11">
        <f>IF($A11="","",INDEX(決定版!$A$4:$AK$53,計算用!$BE$7,IF(計算用!$BB$7="男",0,19)+13))</f>
        <v/>
      </c>
      <c r="L11" s="28">
        <f>IF($A11="","",INDEX(決定版!$A$4:$AK$53,計算用!$BE$7,IF(計算用!$BB$7="男",0,19)+14))</f>
        <v/>
      </c>
      <c r="M11" s="28">
        <f>IF($A11="","",INDEX(決定版!$A$4:$AK$53,計算用!$BE$7,IF(計算用!$BB$7="男",0,19)+15))</f>
        <v/>
      </c>
      <c r="N11">
        <f>IF($A11="","",INDEX(決定版!$A$4:$AK$53,計算用!$BE$7,IF(計算用!$BB$7="男",0,19)+16))</f>
        <v/>
      </c>
      <c r="O11" s="28">
        <f>IF($A11="","",INDEX(決定版!$A$4:$AK$53,計算用!$BE$7,IF(計算用!$BB$7="男",0,19)+17))</f>
        <v/>
      </c>
      <c r="P11" s="28">
        <f>IF($A11="","",INDEX(決定版!$A$4:$AK$53,計算用!$BE$7,IF(計算用!$BB$7="男",0,19)+18))</f>
        <v/>
      </c>
    </row>
    <row r="12">
      <c r="A12" s="28">
        <f>IF(計算用!$BB$8="","",計算用!$BA$8)</f>
        <v/>
      </c>
      <c r="B12">
        <f>IF($A12="","",INDEX(決定版!$A$4:$AK$53,計算用!$BE$8,IF(計算用!$BB$8="男",0,19)+4))</f>
        <v/>
      </c>
      <c r="C12" s="28">
        <f>IF($A12="","",INDEX(決定版!$A$4:$AK$53,計算用!$BE$8,IF(計算用!$BB$8="男",0,19)+5))</f>
        <v/>
      </c>
      <c r="D12" s="28">
        <f>IF($A12="","",INDEX(決定版!$A$4:$AK$53,計算用!$BE$8,IF(計算用!$BB$8="男",0,19)+6))</f>
        <v/>
      </c>
      <c r="E12">
        <f>IF($A12="","",INDEX(決定版!$A$4:$AK$53,計算用!$BE$8,IF(計算用!$BB$8="男",0,19)+7))</f>
        <v/>
      </c>
      <c r="F12" s="28">
        <f>IF($A12="","",INDEX(決定版!$A$4:$AK$53,計算用!$BE$8,IF(計算用!$BB$8="男",0,19)+8))</f>
        <v/>
      </c>
      <c r="G12" s="28">
        <f>IF($A12="","",INDEX(決定版!$A$4:$AK$53,計算用!$BE$8,IF(計算用!$BB$8="男",0,19)+9))</f>
        <v/>
      </c>
      <c r="H12">
        <f>IF($A12="","",INDEX(決定版!$A$4:$AK$53,計算用!$BE$8,IF(計算用!$BB$8="男",0,19)+10))</f>
        <v/>
      </c>
      <c r="I12" s="28">
        <f>IF($A12="","",INDEX(決定版!$A$4:$AK$53,計算用!$BE$8,IF(計算用!$BB$8="男",0,19)+11))</f>
        <v/>
      </c>
      <c r="J12" s="28">
        <f>IF($A12="","",INDEX(決定版!$A$4:$AK$53,計算用!$BE$8,IF(計算用!$BB$8="男",0,19)+12))</f>
        <v/>
      </c>
      <c r="K12">
        <f>IF($A12="","",INDEX(決定版!$A$4:$AK$53,計算用!$BE$8,IF(計算用!$BB$8="男",0,19)+13))</f>
        <v/>
      </c>
      <c r="L12" s="28">
        <f>IF($A12="","",INDEX(決定版!$A$4:$AK$53,計算用!$BE$8,IF(計算用!$BB$8="男",0,19)+14))</f>
        <v/>
      </c>
      <c r="M12" s="28">
        <f>IF($A12="","",INDEX(決定版!$A$4:$AK$53,計算用!$BE$8,IF(計算用!$BB$8="男",0,19)+15))</f>
        <v/>
      </c>
      <c r="N12">
        <f>IF($A12="","",INDEX(決定版!$A$4:$AK$53,計算用!$BE$8,IF(計算用!$BB$8="男",0,19)+16))</f>
        <v/>
      </c>
      <c r="O12" s="28">
        <f>IF($A12="","",INDEX(決定版!$A$4:$AK$53,計算用!$BE$8,IF(計算用!$BB$8="男",0,19)+17))</f>
        <v/>
      </c>
      <c r="P12" s="28">
        <f>IF($A12="","",INDEX(決定版!$A$4:$AK$53,計算用!$BE$8,IF(計算用!$BB$8="男",0,19)+18))</f>
        <v/>
      </c>
    </row>
    <row r="13">
      <c r="A13" s="28">
        <f>IF(計算用!$BB$9="","",計算用!$BA$9)</f>
        <v/>
      </c>
      <c r="B13">
        <f>IF($A13="","",INDEX(決定版!$A$4:$AK$53,計算用!$BE$9,IF(計算用!$BB$9="男",0,19)+4))</f>
        <v/>
      </c>
      <c r="C13" s="28">
        <f>IF($A13="","",INDEX(決定版!$A$4:$AK$53,計算用!$BE$9,IF(計算用!$BB$9="男",0,19)+5))</f>
        <v/>
      </c>
      <c r="D13" s="28">
        <f>IF($A13="","",INDEX(決定版!$A$4:$AK$53,計算用!$BE$9,IF(計算用!$BB$9="男",0,19)+6))</f>
        <v/>
      </c>
      <c r="E13">
        <f>IF($A13="","",INDEX(決定版!$A$4:$AK$53,計算用!$BE$9,IF(計算用!$BB$9="男",0,19)+7))</f>
        <v/>
      </c>
      <c r="F13" s="28">
        <f>IF($A13="","",INDEX(決定版!$A$4:$AK$53,計算用!$BE$9,IF(計算用!$BB$9="男",0,19)+8))</f>
        <v/>
      </c>
      <c r="G13" s="28">
        <f>IF($A13="","",INDEX(決定版!$A$4:$AK$53,計算用!$BE$9,IF(計算用!$BB$9="男",0,19)+9))</f>
        <v/>
      </c>
      <c r="H13">
        <f>IF($A13="","",INDEX(決定版!$A$4:$AK$53,計算用!$BE$9,IF(計算用!$BB$9="男",0,19)+10))</f>
        <v/>
      </c>
      <c r="I13" s="28">
        <f>IF($A13="","",INDEX(決定版!$A$4:$AK$53,計算用!$BE$9,IF(計算用!$BB$9="男",0,19)+11))</f>
        <v/>
      </c>
      <c r="J13" s="28">
        <f>IF($A13="","",INDEX(決定版!$A$4:$AK$53,計算用!$BE$9,IF(計算用!$BB$9="男",0,19)+12))</f>
        <v/>
      </c>
      <c r="K13">
        <f>IF($A13="","",INDEX(決定版!$A$4:$AK$53,計算用!$BE$9,IF(計算用!$BB$9="男",0,19)+13))</f>
        <v/>
      </c>
      <c r="L13" s="28">
        <f>IF($A13="","",INDEX(決定版!$A$4:$AK$53,計算用!$BE$9,IF(計算用!$BB$9="男",0,19)+14))</f>
        <v/>
      </c>
      <c r="M13" s="28">
        <f>IF($A13="","",INDEX(決定版!$A$4:$AK$53,計算用!$BE$9,IF(計算用!$BB$9="男",0,19)+15))</f>
        <v/>
      </c>
      <c r="N13">
        <f>IF($A13="","",INDEX(決定版!$A$4:$AK$53,計算用!$BE$9,IF(計算用!$BB$9="男",0,19)+16))</f>
        <v/>
      </c>
      <c r="O13" s="28">
        <f>IF($A13="","",INDEX(決定版!$A$4:$AK$53,計算用!$BE$9,IF(計算用!$BB$9="男",0,19)+17))</f>
        <v/>
      </c>
      <c r="P13" s="28">
        <f>IF($A13="","",INDEX(決定版!$A$4:$AK$53,計算用!$BE$9,IF(計算用!$BB$9="男",0,19)+18))</f>
        <v/>
      </c>
    </row>
    <row r="14">
      <c r="A14" s="28">
        <f>IF(計算用!$BB$10="","",計算用!$BA$10)</f>
        <v/>
      </c>
      <c r="B14">
        <f>IF($A14="","",INDEX(決定版!$A$4:$AK$53,計算用!$BE$10,IF(計算用!$BB$10="男",0,19)+4))</f>
        <v/>
      </c>
      <c r="C14" s="28">
        <f>IF($A14="","",INDEX(決定版!$A$4:$AK$53,計算用!$BE$10,IF(計算用!$BB$10="男",0,19)+5))</f>
        <v/>
      </c>
      <c r="D14" s="28">
        <f>IF($A14="","",INDEX(決定版!$A$4:$AK$53,計算用!$BE$10,IF(計算用!$BB$10="男",0,19)+6))</f>
        <v/>
      </c>
      <c r="E14">
        <f>IF($A14="","",INDEX(決定版!$A$4:$AK$53,計算用!$BE$10,IF(計算用!$BB$10="男",0,19)+7))</f>
        <v/>
      </c>
      <c r="F14" s="28">
        <f>IF($A14="","",INDEX(決定版!$A$4:$AK$53,計算用!$BE$10,IF(計算用!$BB$10="男",0,19)+8))</f>
        <v/>
      </c>
      <c r="G14" s="28">
        <f>IF($A14="","",INDEX(決定版!$A$4:$AK$53,計算用!$BE$10,IF(計算用!$BB$10="男",0,19)+9))</f>
        <v/>
      </c>
      <c r="H14">
        <f>IF($A14="","",INDEX(決定版!$A$4:$AK$53,計算用!$BE$10,IF(計算用!$BB$10="男",0,19)+10))</f>
        <v/>
      </c>
      <c r="I14" s="28">
        <f>IF($A14="","",INDEX(決定版!$A$4:$AK$53,計算用!$BE$10,IF(計算用!$BB$10="男",0,19)+11))</f>
        <v/>
      </c>
      <c r="J14" s="28">
        <f>IF($A14="","",INDEX(決定版!$A$4:$AK$53,計算用!$BE$10,IF(計算用!$BB$10="男",0,19)+12))</f>
        <v/>
      </c>
      <c r="K14">
        <f>IF($A14="","",INDEX(決定版!$A$4:$AK$53,計算用!$BE$10,IF(計算用!$BB$10="男",0,19)+13))</f>
        <v/>
      </c>
      <c r="L14" s="28">
        <f>IF($A14="","",INDEX(決定版!$A$4:$AK$53,計算用!$BE$10,IF(計算用!$BB$10="男",0,19)+14))</f>
        <v/>
      </c>
      <c r="M14" s="28">
        <f>IF($A14="","",INDEX(決定版!$A$4:$AK$53,計算用!$BE$10,IF(計算用!$BB$10="男",0,19)+15))</f>
        <v/>
      </c>
      <c r="N14">
        <f>IF($A14="","",INDEX(決定版!$A$4:$AK$53,計算用!$BE$10,IF(計算用!$BB$10="男",0,19)+16))</f>
        <v/>
      </c>
      <c r="O14" s="28">
        <f>IF($A14="","",INDEX(決定版!$A$4:$AK$53,計算用!$BE$10,IF(計算用!$BB$10="男",0,19)+17))</f>
        <v/>
      </c>
      <c r="P14" s="28">
        <f>IF($A14="","",INDEX(決定版!$A$4:$AK$53,計算用!$BE$10,IF(計算用!$BB$10="男",0,19)+18))</f>
        <v/>
      </c>
    </row>
    <row r="15">
      <c r="A15" s="28">
        <f>IF(計算用!$BB$11="","",計算用!$BA$11)</f>
        <v/>
      </c>
      <c r="B15">
        <f>IF($A15="","",INDEX(決定版!$A$4:$AK$53,計算用!$BE$11,IF(計算用!$BB$11="男",0,19)+4))</f>
        <v/>
      </c>
      <c r="C15" s="28">
        <f>IF($A15="","",INDEX(決定版!$A$4:$AK$53,計算用!$BE$11,IF(計算用!$BB$11="男",0,19)+5))</f>
        <v/>
      </c>
      <c r="D15" s="28">
        <f>IF($A15="","",INDEX(決定版!$A$4:$AK$53,計算用!$BE$11,IF(計算用!$BB$11="男",0,19)+6))</f>
        <v/>
      </c>
      <c r="E15">
        <f>IF($A15="","",INDEX(決定版!$A$4:$AK$53,計算用!$BE$11,IF(計算用!$BB$11="男",0,19)+7))</f>
        <v/>
      </c>
      <c r="F15" s="28">
        <f>IF($A15="","",INDEX(決定版!$A$4:$AK$53,計算用!$BE$11,IF(計算用!$BB$11="男",0,19)+8))</f>
        <v/>
      </c>
      <c r="G15" s="28">
        <f>IF($A15="","",INDEX(決定版!$A$4:$AK$53,計算用!$BE$11,IF(計算用!$BB$11="男",0,19)+9))</f>
        <v/>
      </c>
      <c r="H15">
        <f>IF($A15="","",INDEX(決定版!$A$4:$AK$53,計算用!$BE$11,IF(計算用!$BB$11="男",0,19)+10))</f>
        <v/>
      </c>
      <c r="I15" s="28">
        <f>IF($A15="","",INDEX(決定版!$A$4:$AK$53,計算用!$BE$11,IF(計算用!$BB$11="男",0,19)+11))</f>
        <v/>
      </c>
      <c r="J15" s="28">
        <f>IF($A15="","",INDEX(決定版!$A$4:$AK$53,計算用!$BE$11,IF(計算用!$BB$11="男",0,19)+12))</f>
        <v/>
      </c>
      <c r="K15">
        <f>IF($A15="","",INDEX(決定版!$A$4:$AK$53,計算用!$BE$11,IF(計算用!$BB$11="男",0,19)+13))</f>
        <v/>
      </c>
      <c r="L15" s="28">
        <f>IF($A15="","",INDEX(決定版!$A$4:$AK$53,計算用!$BE$11,IF(計算用!$BB$11="男",0,19)+14))</f>
        <v/>
      </c>
      <c r="M15" s="28">
        <f>IF($A15="","",INDEX(決定版!$A$4:$AK$53,計算用!$BE$11,IF(計算用!$BB$11="男",0,19)+15))</f>
        <v/>
      </c>
      <c r="N15">
        <f>IF($A15="","",INDEX(決定版!$A$4:$AK$53,計算用!$BE$11,IF(計算用!$BB$11="男",0,19)+16))</f>
        <v/>
      </c>
      <c r="O15" s="28">
        <f>IF($A15="","",INDEX(決定版!$A$4:$AK$53,計算用!$BE$11,IF(計算用!$BB$11="男",0,19)+17))</f>
        <v/>
      </c>
      <c r="P15" s="28">
        <f>IF($A15="","",INDEX(決定版!$A$4:$AK$53,計算用!$BE$11,IF(計算用!$BB$11="男",0,19)+18))</f>
        <v/>
      </c>
    </row>
    <row r="16">
      <c r="A16" s="28">
        <f>IF(計算用!$BB$12="","",計算用!$BA$12)</f>
        <v/>
      </c>
      <c r="B16">
        <f>IF($A16="","",INDEX(決定版!$A$4:$AK$53,計算用!$BE$12,IF(計算用!$BB$12="男",0,19)+4))</f>
        <v/>
      </c>
      <c r="C16" s="28">
        <f>IF($A16="","",INDEX(決定版!$A$4:$AK$53,計算用!$BE$12,IF(計算用!$BB$12="男",0,19)+5))</f>
        <v/>
      </c>
      <c r="D16" s="28">
        <f>IF($A16="","",INDEX(決定版!$A$4:$AK$53,計算用!$BE$12,IF(計算用!$BB$12="男",0,19)+6))</f>
        <v/>
      </c>
      <c r="E16">
        <f>IF($A16="","",INDEX(決定版!$A$4:$AK$53,計算用!$BE$12,IF(計算用!$BB$12="男",0,19)+7))</f>
        <v/>
      </c>
      <c r="F16" s="28">
        <f>IF($A16="","",INDEX(決定版!$A$4:$AK$53,計算用!$BE$12,IF(計算用!$BB$12="男",0,19)+8))</f>
        <v/>
      </c>
      <c r="G16" s="28">
        <f>IF($A16="","",INDEX(決定版!$A$4:$AK$53,計算用!$BE$12,IF(計算用!$BB$12="男",0,19)+9))</f>
        <v/>
      </c>
      <c r="H16">
        <f>IF($A16="","",INDEX(決定版!$A$4:$AK$53,計算用!$BE$12,IF(計算用!$BB$12="男",0,19)+10))</f>
        <v/>
      </c>
      <c r="I16" s="28">
        <f>IF($A16="","",INDEX(決定版!$A$4:$AK$53,計算用!$BE$12,IF(計算用!$BB$12="男",0,19)+11))</f>
        <v/>
      </c>
      <c r="J16" s="28">
        <f>IF($A16="","",INDEX(決定版!$A$4:$AK$53,計算用!$BE$12,IF(計算用!$BB$12="男",0,19)+12))</f>
        <v/>
      </c>
      <c r="K16">
        <f>IF($A16="","",INDEX(決定版!$A$4:$AK$53,計算用!$BE$12,IF(計算用!$BB$12="男",0,19)+13))</f>
        <v/>
      </c>
      <c r="L16" s="28">
        <f>IF($A16="","",INDEX(決定版!$A$4:$AK$53,計算用!$BE$12,IF(計算用!$BB$12="男",0,19)+14))</f>
        <v/>
      </c>
      <c r="M16" s="28">
        <f>IF($A16="","",INDEX(決定版!$A$4:$AK$53,計算用!$BE$12,IF(計算用!$BB$12="男",0,19)+15))</f>
        <v/>
      </c>
      <c r="N16">
        <f>IF($A16="","",INDEX(決定版!$A$4:$AK$53,計算用!$BE$12,IF(計算用!$BB$12="男",0,19)+16))</f>
        <v/>
      </c>
      <c r="O16" s="28">
        <f>IF($A16="","",INDEX(決定版!$A$4:$AK$53,計算用!$BE$12,IF(計算用!$BB$12="男",0,19)+17))</f>
        <v/>
      </c>
      <c r="P16" s="28">
        <f>IF($A16="","",INDEX(決定版!$A$4:$AK$53,計算用!$BE$12,IF(計算用!$BB$12="男",0,19)+18))</f>
        <v/>
      </c>
    </row>
    <row r="17">
      <c r="A17" s="28">
        <f>IF(計算用!$BB$13="","",計算用!$BA$13)</f>
        <v/>
      </c>
      <c r="B17">
        <f>IF($A17="","",INDEX(決定版!$A$4:$AK$53,計算用!$BE$13,IF(計算用!$BB$13="男",0,19)+4))</f>
        <v/>
      </c>
      <c r="C17" s="28">
        <f>IF($A17="","",INDEX(決定版!$A$4:$AK$53,計算用!$BE$13,IF(計算用!$BB$13="男",0,19)+5))</f>
        <v/>
      </c>
      <c r="D17" s="28">
        <f>IF($A17="","",INDEX(決定版!$A$4:$AK$53,計算用!$BE$13,IF(計算用!$BB$13="男",0,19)+6))</f>
        <v/>
      </c>
      <c r="E17">
        <f>IF($A17="","",INDEX(決定版!$A$4:$AK$53,計算用!$BE$13,IF(計算用!$BB$13="男",0,19)+7))</f>
        <v/>
      </c>
      <c r="F17" s="28">
        <f>IF($A17="","",INDEX(決定版!$A$4:$AK$53,計算用!$BE$13,IF(計算用!$BB$13="男",0,19)+8))</f>
        <v/>
      </c>
      <c r="G17" s="28">
        <f>IF($A17="","",INDEX(決定版!$A$4:$AK$53,計算用!$BE$13,IF(計算用!$BB$13="男",0,19)+9))</f>
        <v/>
      </c>
      <c r="H17">
        <f>IF($A17="","",INDEX(決定版!$A$4:$AK$53,計算用!$BE$13,IF(計算用!$BB$13="男",0,19)+10))</f>
        <v/>
      </c>
      <c r="I17" s="28">
        <f>IF($A17="","",INDEX(決定版!$A$4:$AK$53,計算用!$BE$13,IF(計算用!$BB$13="男",0,19)+11))</f>
        <v/>
      </c>
      <c r="J17" s="28">
        <f>IF($A17="","",INDEX(決定版!$A$4:$AK$53,計算用!$BE$13,IF(計算用!$BB$13="男",0,19)+12))</f>
        <v/>
      </c>
      <c r="K17">
        <f>IF($A17="","",INDEX(決定版!$A$4:$AK$53,計算用!$BE$13,IF(計算用!$BB$13="男",0,19)+13))</f>
        <v/>
      </c>
      <c r="L17" s="28">
        <f>IF($A17="","",INDEX(決定版!$A$4:$AK$53,計算用!$BE$13,IF(計算用!$BB$13="男",0,19)+14))</f>
        <v/>
      </c>
      <c r="M17" s="28">
        <f>IF($A17="","",INDEX(決定版!$A$4:$AK$53,計算用!$BE$13,IF(計算用!$BB$13="男",0,19)+15))</f>
        <v/>
      </c>
      <c r="N17">
        <f>IF($A17="","",INDEX(決定版!$A$4:$AK$53,計算用!$BE$13,IF(計算用!$BB$13="男",0,19)+16))</f>
        <v/>
      </c>
      <c r="O17" s="28">
        <f>IF($A17="","",INDEX(決定版!$A$4:$AK$53,計算用!$BE$13,IF(計算用!$BB$13="男",0,19)+17))</f>
        <v/>
      </c>
      <c r="P17" s="28">
        <f>IF($A17="","",INDEX(決定版!$A$4:$AK$53,計算用!$BE$13,IF(計算用!$BB$13="男",0,19)+18))</f>
        <v/>
      </c>
    </row>
    <row r="18">
      <c r="A18" s="28">
        <f>IF(計算用!$BB$14="","",計算用!$BA$14)</f>
        <v/>
      </c>
      <c r="B18">
        <f>IF($A18="","",INDEX(決定版!$A$4:$AK$53,計算用!$BE$14,IF(計算用!$BB$14="男",0,19)+4))</f>
        <v/>
      </c>
      <c r="C18" s="28">
        <f>IF($A18="","",INDEX(決定版!$A$4:$AK$53,計算用!$BE$14,IF(計算用!$BB$14="男",0,19)+5))</f>
        <v/>
      </c>
      <c r="D18" s="28">
        <f>IF($A18="","",INDEX(決定版!$A$4:$AK$53,計算用!$BE$14,IF(計算用!$BB$14="男",0,19)+6))</f>
        <v/>
      </c>
      <c r="E18">
        <f>IF($A18="","",INDEX(決定版!$A$4:$AK$53,計算用!$BE$14,IF(計算用!$BB$14="男",0,19)+7))</f>
        <v/>
      </c>
      <c r="F18" s="28">
        <f>IF($A18="","",INDEX(決定版!$A$4:$AK$53,計算用!$BE$14,IF(計算用!$BB$14="男",0,19)+8))</f>
        <v/>
      </c>
      <c r="G18" s="28">
        <f>IF($A18="","",INDEX(決定版!$A$4:$AK$53,計算用!$BE$14,IF(計算用!$BB$14="男",0,19)+9))</f>
        <v/>
      </c>
      <c r="H18">
        <f>IF($A18="","",INDEX(決定版!$A$4:$AK$53,計算用!$BE$14,IF(計算用!$BB$14="男",0,19)+10))</f>
        <v/>
      </c>
      <c r="I18" s="28">
        <f>IF($A18="","",INDEX(決定版!$A$4:$AK$53,計算用!$BE$14,IF(計算用!$BB$14="男",0,19)+11))</f>
        <v/>
      </c>
      <c r="J18" s="28">
        <f>IF($A18="","",INDEX(決定版!$A$4:$AK$53,計算用!$BE$14,IF(計算用!$BB$14="男",0,19)+12))</f>
        <v/>
      </c>
      <c r="K18">
        <f>IF($A18="","",INDEX(決定版!$A$4:$AK$53,計算用!$BE$14,IF(計算用!$BB$14="男",0,19)+13))</f>
        <v/>
      </c>
      <c r="L18" s="28">
        <f>IF($A18="","",INDEX(決定版!$A$4:$AK$53,計算用!$BE$14,IF(計算用!$BB$14="男",0,19)+14))</f>
        <v/>
      </c>
      <c r="M18" s="28">
        <f>IF($A18="","",INDEX(決定版!$A$4:$AK$53,計算用!$BE$14,IF(計算用!$BB$14="男",0,19)+15))</f>
        <v/>
      </c>
      <c r="N18">
        <f>IF($A18="","",INDEX(決定版!$A$4:$AK$53,計算用!$BE$14,IF(計算用!$BB$14="男",0,19)+16))</f>
        <v/>
      </c>
      <c r="O18" s="28">
        <f>IF($A18="","",INDEX(決定版!$A$4:$AK$53,計算用!$BE$14,IF(計算用!$BB$14="男",0,19)+17))</f>
        <v/>
      </c>
      <c r="P18" s="28">
        <f>IF($A18="","",INDEX(決定版!$A$4:$AK$53,計算用!$BE$14,IF(計算用!$BB$14="男",0,19)+18))</f>
        <v/>
      </c>
    </row>
    <row r="19">
      <c r="A19" s="28">
        <f>IF(計算用!$BB$15="","",計算用!$BA$15)</f>
        <v/>
      </c>
      <c r="B19">
        <f>IF($A19="","",INDEX(決定版!$A$4:$AK$53,計算用!$BE$15,IF(計算用!$BB$15="男",0,19)+4))</f>
        <v/>
      </c>
      <c r="C19" s="28">
        <f>IF($A19="","",INDEX(決定版!$A$4:$AK$53,計算用!$BE$15,IF(計算用!$BB$15="男",0,19)+5))</f>
        <v/>
      </c>
      <c r="D19" s="28">
        <f>IF($A19="","",INDEX(決定版!$A$4:$AK$53,計算用!$BE$15,IF(計算用!$BB$15="男",0,19)+6))</f>
        <v/>
      </c>
      <c r="E19">
        <f>IF($A19="","",INDEX(決定版!$A$4:$AK$53,計算用!$BE$15,IF(計算用!$BB$15="男",0,19)+7))</f>
        <v/>
      </c>
      <c r="F19" s="28">
        <f>IF($A19="","",INDEX(決定版!$A$4:$AK$53,計算用!$BE$15,IF(計算用!$BB$15="男",0,19)+8))</f>
        <v/>
      </c>
      <c r="G19" s="28">
        <f>IF($A19="","",INDEX(決定版!$A$4:$AK$53,計算用!$BE$15,IF(計算用!$BB$15="男",0,19)+9))</f>
        <v/>
      </c>
      <c r="H19">
        <f>IF($A19="","",INDEX(決定版!$A$4:$AK$53,計算用!$BE$15,IF(計算用!$BB$15="男",0,19)+10))</f>
        <v/>
      </c>
      <c r="I19" s="28">
        <f>IF($A19="","",INDEX(決定版!$A$4:$AK$53,計算用!$BE$15,IF(計算用!$BB$15="男",0,19)+11))</f>
        <v/>
      </c>
      <c r="J19" s="28">
        <f>IF($A19="","",INDEX(決定版!$A$4:$AK$53,計算用!$BE$15,IF(計算用!$BB$15="男",0,19)+12))</f>
        <v/>
      </c>
      <c r="K19">
        <f>IF($A19="","",INDEX(決定版!$A$4:$AK$53,計算用!$BE$15,IF(計算用!$BB$15="男",0,19)+13))</f>
        <v/>
      </c>
      <c r="L19" s="28">
        <f>IF($A19="","",INDEX(決定版!$A$4:$AK$53,計算用!$BE$15,IF(計算用!$BB$15="男",0,19)+14))</f>
        <v/>
      </c>
      <c r="M19" s="28">
        <f>IF($A19="","",INDEX(決定版!$A$4:$AK$53,計算用!$BE$15,IF(計算用!$BB$15="男",0,19)+15))</f>
        <v/>
      </c>
      <c r="N19">
        <f>IF($A19="","",INDEX(決定版!$A$4:$AK$53,計算用!$BE$15,IF(計算用!$BB$15="男",0,19)+16))</f>
        <v/>
      </c>
      <c r="O19" s="28">
        <f>IF($A19="","",INDEX(決定版!$A$4:$AK$53,計算用!$BE$15,IF(計算用!$BB$15="男",0,19)+17))</f>
        <v/>
      </c>
      <c r="P19" s="28">
        <f>IF($A19="","",INDEX(決定版!$A$4:$AK$53,計算用!$BE$15,IF(計算用!$BB$15="男",0,19)+18))</f>
        <v/>
      </c>
    </row>
    <row r="20">
      <c r="A20" s="28">
        <f>IF(計算用!$BB$16="","",計算用!$BA$16)</f>
        <v/>
      </c>
      <c r="B20">
        <f>IF($A20="","",INDEX(決定版!$A$4:$AK$53,計算用!$BE$16,IF(計算用!$BB$16="男",0,19)+4))</f>
        <v/>
      </c>
      <c r="C20" s="28">
        <f>IF($A20="","",INDEX(決定版!$A$4:$AK$53,計算用!$BE$16,IF(計算用!$BB$16="男",0,19)+5))</f>
        <v/>
      </c>
      <c r="D20" s="28">
        <f>IF($A20="","",INDEX(決定版!$A$4:$AK$53,計算用!$BE$16,IF(計算用!$BB$16="男",0,19)+6))</f>
        <v/>
      </c>
      <c r="E20">
        <f>IF($A20="","",INDEX(決定版!$A$4:$AK$53,計算用!$BE$16,IF(計算用!$BB$16="男",0,19)+7))</f>
        <v/>
      </c>
      <c r="F20" s="28">
        <f>IF($A20="","",INDEX(決定版!$A$4:$AK$53,計算用!$BE$16,IF(計算用!$BB$16="男",0,19)+8))</f>
        <v/>
      </c>
      <c r="G20" s="28">
        <f>IF($A20="","",INDEX(決定版!$A$4:$AK$53,計算用!$BE$16,IF(計算用!$BB$16="男",0,19)+9))</f>
        <v/>
      </c>
      <c r="H20">
        <f>IF($A20="","",INDEX(決定版!$A$4:$AK$53,計算用!$BE$16,IF(計算用!$BB$16="男",0,19)+10))</f>
        <v/>
      </c>
      <c r="I20" s="28">
        <f>IF($A20="","",INDEX(決定版!$A$4:$AK$53,計算用!$BE$16,IF(計算用!$BB$16="男",0,19)+11))</f>
        <v/>
      </c>
      <c r="J20" s="28">
        <f>IF($A20="","",INDEX(決定版!$A$4:$AK$53,計算用!$BE$16,IF(計算用!$BB$16="男",0,19)+12))</f>
        <v/>
      </c>
      <c r="K20">
        <f>IF($A20="","",INDEX(決定版!$A$4:$AK$53,計算用!$BE$16,IF(計算用!$BB$16="男",0,19)+13))</f>
        <v/>
      </c>
      <c r="L20" s="28">
        <f>IF($A20="","",INDEX(決定版!$A$4:$AK$53,計算用!$BE$16,IF(計算用!$BB$16="男",0,19)+14))</f>
        <v/>
      </c>
      <c r="M20" s="28">
        <f>IF($A20="","",INDEX(決定版!$A$4:$AK$53,計算用!$BE$16,IF(計算用!$BB$16="男",0,19)+15))</f>
        <v/>
      </c>
      <c r="N20">
        <f>IF($A20="","",INDEX(決定版!$A$4:$AK$53,計算用!$BE$16,IF(計算用!$BB$16="男",0,19)+16))</f>
        <v/>
      </c>
      <c r="O20" s="28">
        <f>IF($A20="","",INDEX(決定版!$A$4:$AK$53,計算用!$BE$16,IF(計算用!$BB$16="男",0,19)+17))</f>
        <v/>
      </c>
      <c r="P20" s="28">
        <f>IF($A20="","",INDEX(決定版!$A$4:$AK$53,計算用!$BE$16,IF(計算用!$BB$16="男",0,19)+18))</f>
        <v/>
      </c>
    </row>
    <row r="21">
      <c r="A21" s="28">
        <f>IF(計算用!$BB$17="","",計算用!$BA$17)</f>
        <v/>
      </c>
      <c r="B21">
        <f>IF($A21="","",INDEX(決定版!$A$4:$AK$53,計算用!$BE$17,IF(計算用!$BB$17="男",0,19)+4))</f>
        <v/>
      </c>
      <c r="C21" s="28">
        <f>IF($A21="","",INDEX(決定版!$A$4:$AK$53,計算用!$BE$17,IF(計算用!$BB$17="男",0,19)+5))</f>
        <v/>
      </c>
      <c r="D21" s="28">
        <f>IF($A21="","",INDEX(決定版!$A$4:$AK$53,計算用!$BE$17,IF(計算用!$BB$17="男",0,19)+6))</f>
        <v/>
      </c>
      <c r="E21">
        <f>IF($A21="","",INDEX(決定版!$A$4:$AK$53,計算用!$BE$17,IF(計算用!$BB$17="男",0,19)+7))</f>
        <v/>
      </c>
      <c r="F21" s="28">
        <f>IF($A21="","",INDEX(決定版!$A$4:$AK$53,計算用!$BE$17,IF(計算用!$BB$17="男",0,19)+8))</f>
        <v/>
      </c>
      <c r="G21" s="28">
        <f>IF($A21="","",INDEX(決定版!$A$4:$AK$53,計算用!$BE$17,IF(計算用!$BB$17="男",0,19)+9))</f>
        <v/>
      </c>
      <c r="H21">
        <f>IF($A21="","",INDEX(決定版!$A$4:$AK$53,計算用!$BE$17,IF(計算用!$BB$17="男",0,19)+10))</f>
        <v/>
      </c>
      <c r="I21" s="28">
        <f>IF($A21="","",INDEX(決定版!$A$4:$AK$53,計算用!$BE$17,IF(計算用!$BB$17="男",0,19)+11))</f>
        <v/>
      </c>
      <c r="J21" s="28">
        <f>IF($A21="","",INDEX(決定版!$A$4:$AK$53,計算用!$BE$17,IF(計算用!$BB$17="男",0,19)+12))</f>
        <v/>
      </c>
      <c r="K21">
        <f>IF($A21="","",INDEX(決定版!$A$4:$AK$53,計算用!$BE$17,IF(計算用!$BB$17="男",0,19)+13))</f>
        <v/>
      </c>
      <c r="L21" s="28">
        <f>IF($A21="","",INDEX(決定版!$A$4:$AK$53,計算用!$BE$17,IF(計算用!$BB$17="男",0,19)+14))</f>
        <v/>
      </c>
      <c r="M21" s="28">
        <f>IF($A21="","",INDEX(決定版!$A$4:$AK$53,計算用!$BE$17,IF(計算用!$BB$17="男",0,19)+15))</f>
        <v/>
      </c>
      <c r="N21">
        <f>IF($A21="","",INDEX(決定版!$A$4:$AK$53,計算用!$BE$17,IF(計算用!$BB$17="男",0,19)+16))</f>
        <v/>
      </c>
      <c r="O21" s="28">
        <f>IF($A21="","",INDEX(決定版!$A$4:$AK$53,計算用!$BE$17,IF(計算用!$BB$17="男",0,19)+17))</f>
        <v/>
      </c>
      <c r="P21" s="28">
        <f>IF($A21="","",INDEX(決定版!$A$4:$AK$53,計算用!$BE$17,IF(計算用!$BB$17="男",0,19)+18))</f>
        <v/>
      </c>
    </row>
    <row r="22">
      <c r="A22" s="28">
        <f>IF(計算用!$BB$18="","",計算用!$BA$18)</f>
        <v/>
      </c>
      <c r="B22">
        <f>IF($A22="","",INDEX(決定版!$A$4:$AK$53,計算用!$BE$18,IF(計算用!$BB$18="男",0,19)+4))</f>
        <v/>
      </c>
      <c r="C22" s="28">
        <f>IF($A22="","",INDEX(決定版!$A$4:$AK$53,計算用!$BE$18,IF(計算用!$BB$18="男",0,19)+5))</f>
        <v/>
      </c>
      <c r="D22" s="28">
        <f>IF($A22="","",INDEX(決定版!$A$4:$AK$53,計算用!$BE$18,IF(計算用!$BB$18="男",0,19)+6))</f>
        <v/>
      </c>
      <c r="E22">
        <f>IF($A22="","",INDEX(決定版!$A$4:$AK$53,計算用!$BE$18,IF(計算用!$BB$18="男",0,19)+7))</f>
        <v/>
      </c>
      <c r="F22" s="28">
        <f>IF($A22="","",INDEX(決定版!$A$4:$AK$53,計算用!$BE$18,IF(計算用!$BB$18="男",0,19)+8))</f>
        <v/>
      </c>
      <c r="G22" s="28">
        <f>IF($A22="","",INDEX(決定版!$A$4:$AK$53,計算用!$BE$18,IF(計算用!$BB$18="男",0,19)+9))</f>
        <v/>
      </c>
      <c r="H22">
        <f>IF($A22="","",INDEX(決定版!$A$4:$AK$53,計算用!$BE$18,IF(計算用!$BB$18="男",0,19)+10))</f>
        <v/>
      </c>
      <c r="I22" s="28">
        <f>IF($A22="","",INDEX(決定版!$A$4:$AK$53,計算用!$BE$18,IF(計算用!$BB$18="男",0,19)+11))</f>
        <v/>
      </c>
      <c r="J22" s="28">
        <f>IF($A22="","",INDEX(決定版!$A$4:$AK$53,計算用!$BE$18,IF(計算用!$BB$18="男",0,19)+12))</f>
        <v/>
      </c>
      <c r="K22">
        <f>IF($A22="","",INDEX(決定版!$A$4:$AK$53,計算用!$BE$18,IF(計算用!$BB$18="男",0,19)+13))</f>
        <v/>
      </c>
      <c r="L22" s="28">
        <f>IF($A22="","",INDEX(決定版!$A$4:$AK$53,計算用!$BE$18,IF(計算用!$BB$18="男",0,19)+14))</f>
        <v/>
      </c>
      <c r="M22" s="28">
        <f>IF($A22="","",INDEX(決定版!$A$4:$AK$53,計算用!$BE$18,IF(計算用!$BB$18="男",0,19)+15))</f>
        <v/>
      </c>
      <c r="N22">
        <f>IF($A22="","",INDEX(決定版!$A$4:$AK$53,計算用!$BE$18,IF(計算用!$BB$18="男",0,19)+16))</f>
        <v/>
      </c>
      <c r="O22" s="28">
        <f>IF($A22="","",INDEX(決定版!$A$4:$AK$53,計算用!$BE$18,IF(計算用!$BB$18="男",0,19)+17))</f>
        <v/>
      </c>
      <c r="P22" s="28">
        <f>IF($A22="","",INDEX(決定版!$A$4:$AK$53,計算用!$BE$18,IF(計算用!$BB$18="男",0,19)+18))</f>
        <v/>
      </c>
    </row>
    <row r="23">
      <c r="A23" s="28">
        <f>IF(計算用!$BB$19="","",計算用!$BA$19)</f>
        <v/>
      </c>
      <c r="B23">
        <f>IF($A23="","",INDEX(決定版!$A$4:$AK$53,計算用!$BE$19,IF(計算用!$BB$19="男",0,19)+4))</f>
        <v/>
      </c>
      <c r="C23" s="28">
        <f>IF($A23="","",INDEX(決定版!$A$4:$AK$53,計算用!$BE$19,IF(計算用!$BB$19="男",0,19)+5))</f>
        <v/>
      </c>
      <c r="D23" s="28">
        <f>IF($A23="","",INDEX(決定版!$A$4:$AK$53,計算用!$BE$19,IF(計算用!$BB$19="男",0,19)+6))</f>
        <v/>
      </c>
      <c r="E23">
        <f>IF($A23="","",INDEX(決定版!$A$4:$AK$53,計算用!$BE$19,IF(計算用!$BB$19="男",0,19)+7))</f>
        <v/>
      </c>
      <c r="F23" s="28">
        <f>IF($A23="","",INDEX(決定版!$A$4:$AK$53,計算用!$BE$19,IF(計算用!$BB$19="男",0,19)+8))</f>
        <v/>
      </c>
      <c r="G23" s="28">
        <f>IF($A23="","",INDEX(決定版!$A$4:$AK$53,計算用!$BE$19,IF(計算用!$BB$19="男",0,19)+9))</f>
        <v/>
      </c>
      <c r="H23">
        <f>IF($A23="","",INDEX(決定版!$A$4:$AK$53,計算用!$BE$19,IF(計算用!$BB$19="男",0,19)+10))</f>
        <v/>
      </c>
      <c r="I23" s="28">
        <f>IF($A23="","",INDEX(決定版!$A$4:$AK$53,計算用!$BE$19,IF(計算用!$BB$19="男",0,19)+11))</f>
        <v/>
      </c>
      <c r="J23" s="28">
        <f>IF($A23="","",INDEX(決定版!$A$4:$AK$53,計算用!$BE$19,IF(計算用!$BB$19="男",0,19)+12))</f>
        <v/>
      </c>
      <c r="K23">
        <f>IF($A23="","",INDEX(決定版!$A$4:$AK$53,計算用!$BE$19,IF(計算用!$BB$19="男",0,19)+13))</f>
        <v/>
      </c>
      <c r="L23" s="28">
        <f>IF($A23="","",INDEX(決定版!$A$4:$AK$53,計算用!$BE$19,IF(計算用!$BB$19="男",0,19)+14))</f>
        <v/>
      </c>
      <c r="M23" s="28">
        <f>IF($A23="","",INDEX(決定版!$A$4:$AK$53,計算用!$BE$19,IF(計算用!$BB$19="男",0,19)+15))</f>
        <v/>
      </c>
      <c r="N23">
        <f>IF($A23="","",INDEX(決定版!$A$4:$AK$53,計算用!$BE$19,IF(計算用!$BB$19="男",0,19)+16))</f>
        <v/>
      </c>
      <c r="O23" s="28">
        <f>IF($A23="","",INDEX(決定版!$A$4:$AK$53,計算用!$BE$19,IF(計算用!$BB$19="男",0,19)+17))</f>
        <v/>
      </c>
      <c r="P23" s="28">
        <f>IF($A23="","",INDEX(決定版!$A$4:$AK$53,計算用!$BE$19,IF(計算用!$BB$19="男",0,19)+18))</f>
        <v/>
      </c>
    </row>
    <row r="24">
      <c r="A24" s="28">
        <f>IF(計算用!$BB$20="","",計算用!$BA$20)</f>
        <v/>
      </c>
      <c r="B24">
        <f>IF($A24="","",INDEX(決定版!$A$4:$AK$53,計算用!$BE$20,IF(計算用!$BB$20="男",0,19)+4))</f>
        <v/>
      </c>
      <c r="C24" s="28">
        <f>IF($A24="","",INDEX(決定版!$A$4:$AK$53,計算用!$BE$20,IF(計算用!$BB$20="男",0,19)+5))</f>
        <v/>
      </c>
      <c r="D24" s="28">
        <f>IF($A24="","",INDEX(決定版!$A$4:$AK$53,計算用!$BE$20,IF(計算用!$BB$20="男",0,19)+6))</f>
        <v/>
      </c>
      <c r="E24">
        <f>IF($A24="","",INDEX(決定版!$A$4:$AK$53,計算用!$BE$20,IF(計算用!$BB$20="男",0,19)+7))</f>
        <v/>
      </c>
      <c r="F24" s="28">
        <f>IF($A24="","",INDEX(決定版!$A$4:$AK$53,計算用!$BE$20,IF(計算用!$BB$20="男",0,19)+8))</f>
        <v/>
      </c>
      <c r="G24" s="28">
        <f>IF($A24="","",INDEX(決定版!$A$4:$AK$53,計算用!$BE$20,IF(計算用!$BB$20="男",0,19)+9))</f>
        <v/>
      </c>
      <c r="H24">
        <f>IF($A24="","",INDEX(決定版!$A$4:$AK$53,計算用!$BE$20,IF(計算用!$BB$20="男",0,19)+10))</f>
        <v/>
      </c>
      <c r="I24" s="28">
        <f>IF($A24="","",INDEX(決定版!$A$4:$AK$53,計算用!$BE$20,IF(計算用!$BB$20="男",0,19)+11))</f>
        <v/>
      </c>
      <c r="J24" s="28">
        <f>IF($A24="","",INDEX(決定版!$A$4:$AK$53,計算用!$BE$20,IF(計算用!$BB$20="男",0,19)+12))</f>
        <v/>
      </c>
      <c r="K24">
        <f>IF($A24="","",INDEX(決定版!$A$4:$AK$53,計算用!$BE$20,IF(計算用!$BB$20="男",0,19)+13))</f>
        <v/>
      </c>
      <c r="L24" s="28">
        <f>IF($A24="","",INDEX(決定版!$A$4:$AK$53,計算用!$BE$20,IF(計算用!$BB$20="男",0,19)+14))</f>
        <v/>
      </c>
      <c r="M24" s="28">
        <f>IF($A24="","",INDEX(決定版!$A$4:$AK$53,計算用!$BE$20,IF(計算用!$BB$20="男",0,19)+15))</f>
        <v/>
      </c>
      <c r="N24">
        <f>IF($A24="","",INDEX(決定版!$A$4:$AK$53,計算用!$BE$20,IF(計算用!$BB$20="男",0,19)+16))</f>
        <v/>
      </c>
      <c r="O24" s="28">
        <f>IF($A24="","",INDEX(決定版!$A$4:$AK$53,計算用!$BE$20,IF(計算用!$BB$20="男",0,19)+17))</f>
        <v/>
      </c>
      <c r="P24" s="28">
        <f>IF($A24="","",INDEX(決定版!$A$4:$AK$53,計算用!$BE$20,IF(計算用!$BB$20="男",0,19)+18))</f>
        <v/>
      </c>
    </row>
    <row r="25">
      <c r="A25" s="28">
        <f>IF(計算用!$BB$21="","",計算用!$BA$21)</f>
        <v/>
      </c>
      <c r="B25">
        <f>IF($A25="","",INDEX(決定版!$A$4:$AK$53,計算用!$BE$21,IF(計算用!$BB$21="男",0,19)+4))</f>
        <v/>
      </c>
      <c r="C25" s="28">
        <f>IF($A25="","",INDEX(決定版!$A$4:$AK$53,計算用!$BE$21,IF(計算用!$BB$21="男",0,19)+5))</f>
        <v/>
      </c>
      <c r="D25" s="28">
        <f>IF($A25="","",INDEX(決定版!$A$4:$AK$53,計算用!$BE$21,IF(計算用!$BB$21="男",0,19)+6))</f>
        <v/>
      </c>
      <c r="E25">
        <f>IF($A25="","",INDEX(決定版!$A$4:$AK$53,計算用!$BE$21,IF(計算用!$BB$21="男",0,19)+7))</f>
        <v/>
      </c>
      <c r="F25" s="28">
        <f>IF($A25="","",INDEX(決定版!$A$4:$AK$53,計算用!$BE$21,IF(計算用!$BB$21="男",0,19)+8))</f>
        <v/>
      </c>
      <c r="G25" s="28">
        <f>IF($A25="","",INDEX(決定版!$A$4:$AK$53,計算用!$BE$21,IF(計算用!$BB$21="男",0,19)+9))</f>
        <v/>
      </c>
      <c r="H25">
        <f>IF($A25="","",INDEX(決定版!$A$4:$AK$53,計算用!$BE$21,IF(計算用!$BB$21="男",0,19)+10))</f>
        <v/>
      </c>
      <c r="I25" s="28">
        <f>IF($A25="","",INDEX(決定版!$A$4:$AK$53,計算用!$BE$21,IF(計算用!$BB$21="男",0,19)+11))</f>
        <v/>
      </c>
      <c r="J25" s="28">
        <f>IF($A25="","",INDEX(決定版!$A$4:$AK$53,計算用!$BE$21,IF(計算用!$BB$21="男",0,19)+12))</f>
        <v/>
      </c>
      <c r="K25">
        <f>IF($A25="","",INDEX(決定版!$A$4:$AK$53,計算用!$BE$21,IF(計算用!$BB$21="男",0,19)+13))</f>
        <v/>
      </c>
      <c r="L25" s="28">
        <f>IF($A25="","",INDEX(決定版!$A$4:$AK$53,計算用!$BE$21,IF(計算用!$BB$21="男",0,19)+14))</f>
        <v/>
      </c>
      <c r="M25" s="28">
        <f>IF($A25="","",INDEX(決定版!$A$4:$AK$53,計算用!$BE$21,IF(計算用!$BB$21="男",0,19)+15))</f>
        <v/>
      </c>
      <c r="N25">
        <f>IF($A25="","",INDEX(決定版!$A$4:$AK$53,計算用!$BE$21,IF(計算用!$BB$21="男",0,19)+16))</f>
        <v/>
      </c>
      <c r="O25" s="28">
        <f>IF($A25="","",INDEX(決定版!$A$4:$AK$53,計算用!$BE$21,IF(計算用!$BB$21="男",0,19)+17))</f>
        <v/>
      </c>
      <c r="P25" s="28">
        <f>IF($A25="","",INDEX(決定版!$A$4:$AK$53,計算用!$BE$21,IF(計算用!$BB$21="男",0,19)+18))</f>
        <v/>
      </c>
    </row>
    <row r="26">
      <c r="A26" s="28">
        <f>IF(計算用!$BB$22="","",計算用!$BA$22)</f>
        <v/>
      </c>
      <c r="B26">
        <f>IF($A26="","",INDEX(決定版!$A$4:$AK$53,計算用!$BE$22,IF(計算用!$BB$22="男",0,19)+4))</f>
        <v/>
      </c>
      <c r="C26" s="28">
        <f>IF($A26="","",INDEX(決定版!$A$4:$AK$53,計算用!$BE$22,IF(計算用!$BB$22="男",0,19)+5))</f>
        <v/>
      </c>
      <c r="D26" s="28">
        <f>IF($A26="","",INDEX(決定版!$A$4:$AK$53,計算用!$BE$22,IF(計算用!$BB$22="男",0,19)+6))</f>
        <v/>
      </c>
      <c r="E26">
        <f>IF($A26="","",INDEX(決定版!$A$4:$AK$53,計算用!$BE$22,IF(計算用!$BB$22="男",0,19)+7))</f>
        <v/>
      </c>
      <c r="F26" s="28">
        <f>IF($A26="","",INDEX(決定版!$A$4:$AK$53,計算用!$BE$22,IF(計算用!$BB$22="男",0,19)+8))</f>
        <v/>
      </c>
      <c r="G26" s="28">
        <f>IF($A26="","",INDEX(決定版!$A$4:$AK$53,計算用!$BE$22,IF(計算用!$BB$22="男",0,19)+9))</f>
        <v/>
      </c>
      <c r="H26">
        <f>IF($A26="","",INDEX(決定版!$A$4:$AK$53,計算用!$BE$22,IF(計算用!$BB$22="男",0,19)+10))</f>
        <v/>
      </c>
      <c r="I26" s="28">
        <f>IF($A26="","",INDEX(決定版!$A$4:$AK$53,計算用!$BE$22,IF(計算用!$BB$22="男",0,19)+11))</f>
        <v/>
      </c>
      <c r="J26" s="28">
        <f>IF($A26="","",INDEX(決定版!$A$4:$AK$53,計算用!$BE$22,IF(計算用!$BB$22="男",0,19)+12))</f>
        <v/>
      </c>
      <c r="K26">
        <f>IF($A26="","",INDEX(決定版!$A$4:$AK$53,計算用!$BE$22,IF(計算用!$BB$22="男",0,19)+13))</f>
        <v/>
      </c>
      <c r="L26" s="28">
        <f>IF($A26="","",INDEX(決定版!$A$4:$AK$53,計算用!$BE$22,IF(計算用!$BB$22="男",0,19)+14))</f>
        <v/>
      </c>
      <c r="M26" s="28">
        <f>IF($A26="","",INDEX(決定版!$A$4:$AK$53,計算用!$BE$22,IF(計算用!$BB$22="男",0,19)+15))</f>
        <v/>
      </c>
      <c r="N26">
        <f>IF($A26="","",INDEX(決定版!$A$4:$AK$53,計算用!$BE$22,IF(計算用!$BB$22="男",0,19)+16))</f>
        <v/>
      </c>
      <c r="O26" s="28">
        <f>IF($A26="","",INDEX(決定版!$A$4:$AK$53,計算用!$BE$22,IF(計算用!$BB$22="男",0,19)+17))</f>
        <v/>
      </c>
      <c r="P26" s="28">
        <f>IF($A26="","",INDEX(決定版!$A$4:$AK$53,計算用!$BE$22,IF(計算用!$BB$22="男",0,19)+18))</f>
        <v/>
      </c>
    </row>
    <row r="27">
      <c r="A27" s="28">
        <f>IF(計算用!$BB$23="","",計算用!$BA$23)</f>
        <v/>
      </c>
      <c r="B27">
        <f>IF($A27="","",INDEX(決定版!$A$4:$AK$53,計算用!$BE$23,IF(計算用!$BB$23="男",0,19)+4))</f>
        <v/>
      </c>
      <c r="C27" s="28">
        <f>IF($A27="","",INDEX(決定版!$A$4:$AK$53,計算用!$BE$23,IF(計算用!$BB$23="男",0,19)+5))</f>
        <v/>
      </c>
      <c r="D27" s="28">
        <f>IF($A27="","",INDEX(決定版!$A$4:$AK$53,計算用!$BE$23,IF(計算用!$BB$23="男",0,19)+6))</f>
        <v/>
      </c>
      <c r="E27">
        <f>IF($A27="","",INDEX(決定版!$A$4:$AK$53,計算用!$BE$23,IF(計算用!$BB$23="男",0,19)+7))</f>
        <v/>
      </c>
      <c r="F27" s="28">
        <f>IF($A27="","",INDEX(決定版!$A$4:$AK$53,計算用!$BE$23,IF(計算用!$BB$23="男",0,19)+8))</f>
        <v/>
      </c>
      <c r="G27" s="28">
        <f>IF($A27="","",INDEX(決定版!$A$4:$AK$53,計算用!$BE$23,IF(計算用!$BB$23="男",0,19)+9))</f>
        <v/>
      </c>
      <c r="H27">
        <f>IF($A27="","",INDEX(決定版!$A$4:$AK$53,計算用!$BE$23,IF(計算用!$BB$23="男",0,19)+10))</f>
        <v/>
      </c>
      <c r="I27" s="28">
        <f>IF($A27="","",INDEX(決定版!$A$4:$AK$53,計算用!$BE$23,IF(計算用!$BB$23="男",0,19)+11))</f>
        <v/>
      </c>
      <c r="J27" s="28">
        <f>IF($A27="","",INDEX(決定版!$A$4:$AK$53,計算用!$BE$23,IF(計算用!$BB$23="男",0,19)+12))</f>
        <v/>
      </c>
      <c r="K27">
        <f>IF($A27="","",INDEX(決定版!$A$4:$AK$53,計算用!$BE$23,IF(計算用!$BB$23="男",0,19)+13))</f>
        <v/>
      </c>
      <c r="L27" s="28">
        <f>IF($A27="","",INDEX(決定版!$A$4:$AK$53,計算用!$BE$23,IF(計算用!$BB$23="男",0,19)+14))</f>
        <v/>
      </c>
      <c r="M27" s="28">
        <f>IF($A27="","",INDEX(決定版!$A$4:$AK$53,計算用!$BE$23,IF(計算用!$BB$23="男",0,19)+15))</f>
        <v/>
      </c>
      <c r="N27">
        <f>IF($A27="","",INDEX(決定版!$A$4:$AK$53,計算用!$BE$23,IF(計算用!$BB$23="男",0,19)+16))</f>
        <v/>
      </c>
      <c r="O27" s="28">
        <f>IF($A27="","",INDEX(決定版!$A$4:$AK$53,計算用!$BE$23,IF(計算用!$BB$23="男",0,19)+17))</f>
        <v/>
      </c>
      <c r="P27" s="28">
        <f>IF($A27="","",INDEX(決定版!$A$4:$AK$53,計算用!$BE$23,IF(計算用!$BB$23="男",0,19)+18))</f>
        <v/>
      </c>
    </row>
    <row r="28">
      <c r="A28" s="28">
        <f>IF(計算用!$BB$24="","",計算用!$BA$24)</f>
        <v/>
      </c>
      <c r="B28">
        <f>IF($A28="","",INDEX(決定版!$A$4:$AK$53,計算用!$BE$24,IF(計算用!$BB$24="男",0,19)+4))</f>
        <v/>
      </c>
      <c r="C28" s="28">
        <f>IF($A28="","",INDEX(決定版!$A$4:$AK$53,計算用!$BE$24,IF(計算用!$BB$24="男",0,19)+5))</f>
        <v/>
      </c>
      <c r="D28" s="28">
        <f>IF($A28="","",INDEX(決定版!$A$4:$AK$53,計算用!$BE$24,IF(計算用!$BB$24="男",0,19)+6))</f>
        <v/>
      </c>
      <c r="E28">
        <f>IF($A28="","",INDEX(決定版!$A$4:$AK$53,計算用!$BE$24,IF(計算用!$BB$24="男",0,19)+7))</f>
        <v/>
      </c>
      <c r="F28" s="28">
        <f>IF($A28="","",INDEX(決定版!$A$4:$AK$53,計算用!$BE$24,IF(計算用!$BB$24="男",0,19)+8))</f>
        <v/>
      </c>
      <c r="G28" s="28">
        <f>IF($A28="","",INDEX(決定版!$A$4:$AK$53,計算用!$BE$24,IF(計算用!$BB$24="男",0,19)+9))</f>
        <v/>
      </c>
      <c r="H28">
        <f>IF($A28="","",INDEX(決定版!$A$4:$AK$53,計算用!$BE$24,IF(計算用!$BB$24="男",0,19)+10))</f>
        <v/>
      </c>
      <c r="I28" s="28">
        <f>IF($A28="","",INDEX(決定版!$A$4:$AK$53,計算用!$BE$24,IF(計算用!$BB$24="男",0,19)+11))</f>
        <v/>
      </c>
      <c r="J28" s="28">
        <f>IF($A28="","",INDEX(決定版!$A$4:$AK$53,計算用!$BE$24,IF(計算用!$BB$24="男",0,19)+12))</f>
        <v/>
      </c>
      <c r="K28">
        <f>IF($A28="","",INDEX(決定版!$A$4:$AK$53,計算用!$BE$24,IF(計算用!$BB$24="男",0,19)+13))</f>
        <v/>
      </c>
      <c r="L28" s="28">
        <f>IF($A28="","",INDEX(決定版!$A$4:$AK$53,計算用!$BE$24,IF(計算用!$BB$24="男",0,19)+14))</f>
        <v/>
      </c>
      <c r="M28" s="28">
        <f>IF($A28="","",INDEX(決定版!$A$4:$AK$53,計算用!$BE$24,IF(計算用!$BB$24="男",0,19)+15))</f>
        <v/>
      </c>
      <c r="N28">
        <f>IF($A28="","",INDEX(決定版!$A$4:$AK$53,計算用!$BE$24,IF(計算用!$BB$24="男",0,19)+16))</f>
        <v/>
      </c>
      <c r="O28" s="28">
        <f>IF($A28="","",INDEX(決定版!$A$4:$AK$53,計算用!$BE$24,IF(計算用!$BB$24="男",0,19)+17))</f>
        <v/>
      </c>
      <c r="P28" s="28">
        <f>IF($A28="","",INDEX(決定版!$A$4:$AK$53,計算用!$BE$24,IF(計算用!$BB$24="男",0,19)+18))</f>
        <v/>
      </c>
    </row>
    <row r="29">
      <c r="A29" s="28">
        <f>IF(計算用!$BB$25="","",計算用!$BA$25)</f>
        <v/>
      </c>
      <c r="B29">
        <f>IF($A29="","",INDEX(決定版!$A$4:$AK$53,計算用!$BE$25,IF(計算用!$BB$25="男",0,19)+4))</f>
        <v/>
      </c>
      <c r="C29" s="28">
        <f>IF($A29="","",INDEX(決定版!$A$4:$AK$53,計算用!$BE$25,IF(計算用!$BB$25="男",0,19)+5))</f>
        <v/>
      </c>
      <c r="D29" s="28">
        <f>IF($A29="","",INDEX(決定版!$A$4:$AK$53,計算用!$BE$25,IF(計算用!$BB$25="男",0,19)+6))</f>
        <v/>
      </c>
      <c r="E29">
        <f>IF($A29="","",INDEX(決定版!$A$4:$AK$53,計算用!$BE$25,IF(計算用!$BB$25="男",0,19)+7))</f>
        <v/>
      </c>
      <c r="F29" s="28">
        <f>IF($A29="","",INDEX(決定版!$A$4:$AK$53,計算用!$BE$25,IF(計算用!$BB$25="男",0,19)+8))</f>
        <v/>
      </c>
      <c r="G29" s="28">
        <f>IF($A29="","",INDEX(決定版!$A$4:$AK$53,計算用!$BE$25,IF(計算用!$BB$25="男",0,19)+9))</f>
        <v/>
      </c>
      <c r="H29">
        <f>IF($A29="","",INDEX(決定版!$A$4:$AK$53,計算用!$BE$25,IF(計算用!$BB$25="男",0,19)+10))</f>
        <v/>
      </c>
      <c r="I29" s="28">
        <f>IF($A29="","",INDEX(決定版!$A$4:$AK$53,計算用!$BE$25,IF(計算用!$BB$25="男",0,19)+11))</f>
        <v/>
      </c>
      <c r="J29" s="28">
        <f>IF($A29="","",INDEX(決定版!$A$4:$AK$53,計算用!$BE$25,IF(計算用!$BB$25="男",0,19)+12))</f>
        <v/>
      </c>
      <c r="K29">
        <f>IF($A29="","",INDEX(決定版!$A$4:$AK$53,計算用!$BE$25,IF(計算用!$BB$25="男",0,19)+13))</f>
        <v/>
      </c>
      <c r="L29" s="28">
        <f>IF($A29="","",INDEX(決定版!$A$4:$AK$53,計算用!$BE$25,IF(計算用!$BB$25="男",0,19)+14))</f>
        <v/>
      </c>
      <c r="M29" s="28">
        <f>IF($A29="","",INDEX(決定版!$A$4:$AK$53,計算用!$BE$25,IF(計算用!$BB$25="男",0,19)+15))</f>
        <v/>
      </c>
      <c r="N29">
        <f>IF($A29="","",INDEX(決定版!$A$4:$AK$53,計算用!$BE$25,IF(計算用!$BB$25="男",0,19)+16))</f>
        <v/>
      </c>
      <c r="O29" s="28">
        <f>IF($A29="","",INDEX(決定版!$A$4:$AK$53,計算用!$BE$25,IF(計算用!$BB$25="男",0,19)+17))</f>
        <v/>
      </c>
      <c r="P29" s="28">
        <f>IF($A29="","",INDEX(決定版!$A$4:$AK$53,計算用!$BE$25,IF(計算用!$BB$25="男",0,19)+18))</f>
        <v/>
      </c>
    </row>
    <row r="30">
      <c r="A30" s="28">
        <f>IF(計算用!$BB$26="","",計算用!$BA$26)</f>
        <v/>
      </c>
      <c r="B30">
        <f>IF($A30="","",INDEX(決定版!$A$4:$AK$53,計算用!$BE$26,IF(計算用!$BB$26="男",0,19)+4))</f>
        <v/>
      </c>
      <c r="C30" s="28">
        <f>IF($A30="","",INDEX(決定版!$A$4:$AK$53,計算用!$BE$26,IF(計算用!$BB$26="男",0,19)+5))</f>
        <v/>
      </c>
      <c r="D30" s="28">
        <f>IF($A30="","",INDEX(決定版!$A$4:$AK$53,計算用!$BE$26,IF(計算用!$BB$26="男",0,19)+6))</f>
        <v/>
      </c>
      <c r="E30">
        <f>IF($A30="","",INDEX(決定版!$A$4:$AK$53,計算用!$BE$26,IF(計算用!$BB$26="男",0,19)+7))</f>
        <v/>
      </c>
      <c r="F30" s="28">
        <f>IF($A30="","",INDEX(決定版!$A$4:$AK$53,計算用!$BE$26,IF(計算用!$BB$26="男",0,19)+8))</f>
        <v/>
      </c>
      <c r="G30" s="28">
        <f>IF($A30="","",INDEX(決定版!$A$4:$AK$53,計算用!$BE$26,IF(計算用!$BB$26="男",0,19)+9))</f>
        <v/>
      </c>
      <c r="H30">
        <f>IF($A30="","",INDEX(決定版!$A$4:$AK$53,計算用!$BE$26,IF(計算用!$BB$26="男",0,19)+10))</f>
        <v/>
      </c>
      <c r="I30" s="28">
        <f>IF($A30="","",INDEX(決定版!$A$4:$AK$53,計算用!$BE$26,IF(計算用!$BB$26="男",0,19)+11))</f>
        <v/>
      </c>
      <c r="J30" s="28">
        <f>IF($A30="","",INDEX(決定版!$A$4:$AK$53,計算用!$BE$26,IF(計算用!$BB$26="男",0,19)+12))</f>
        <v/>
      </c>
      <c r="K30">
        <f>IF($A30="","",INDEX(決定版!$A$4:$AK$53,計算用!$BE$26,IF(計算用!$BB$26="男",0,19)+13))</f>
        <v/>
      </c>
      <c r="L30" s="28">
        <f>IF($A30="","",INDEX(決定版!$A$4:$AK$53,計算用!$BE$26,IF(計算用!$BB$26="男",0,19)+14))</f>
        <v/>
      </c>
      <c r="M30" s="28">
        <f>IF($A30="","",INDEX(決定版!$A$4:$AK$53,計算用!$BE$26,IF(計算用!$BB$26="男",0,19)+15))</f>
        <v/>
      </c>
      <c r="N30">
        <f>IF($A30="","",INDEX(決定版!$A$4:$AK$53,計算用!$BE$26,IF(計算用!$BB$26="男",0,19)+16))</f>
        <v/>
      </c>
      <c r="O30" s="28">
        <f>IF($A30="","",INDEX(決定版!$A$4:$AK$53,計算用!$BE$26,IF(計算用!$BB$26="男",0,19)+17))</f>
        <v/>
      </c>
      <c r="P30" s="28">
        <f>IF($A30="","",INDEX(決定版!$A$4:$AK$53,計算用!$BE$26,IF(計算用!$BB$26="男",0,19)+18))</f>
        <v/>
      </c>
    </row>
    <row r="31">
      <c r="A31" s="28">
        <f>IF(計算用!$BB$27="","",計算用!$BA$27)</f>
        <v/>
      </c>
      <c r="B31">
        <f>IF($A31="","",INDEX(決定版!$A$4:$AK$53,計算用!$BE$27,IF(計算用!$BB$27="男",0,19)+4))</f>
        <v/>
      </c>
      <c r="C31" s="28">
        <f>IF($A31="","",INDEX(決定版!$A$4:$AK$53,計算用!$BE$27,IF(計算用!$BB$27="男",0,19)+5))</f>
        <v/>
      </c>
      <c r="D31" s="28">
        <f>IF($A31="","",INDEX(決定版!$A$4:$AK$53,計算用!$BE$27,IF(計算用!$BB$27="男",0,19)+6))</f>
        <v/>
      </c>
      <c r="E31">
        <f>IF($A31="","",INDEX(決定版!$A$4:$AK$53,計算用!$BE$27,IF(計算用!$BB$27="男",0,19)+7))</f>
        <v/>
      </c>
      <c r="F31" s="28">
        <f>IF($A31="","",INDEX(決定版!$A$4:$AK$53,計算用!$BE$27,IF(計算用!$BB$27="男",0,19)+8))</f>
        <v/>
      </c>
      <c r="G31" s="28">
        <f>IF($A31="","",INDEX(決定版!$A$4:$AK$53,計算用!$BE$27,IF(計算用!$BB$27="男",0,19)+9))</f>
        <v/>
      </c>
      <c r="H31">
        <f>IF($A31="","",INDEX(決定版!$A$4:$AK$53,計算用!$BE$27,IF(計算用!$BB$27="男",0,19)+10))</f>
        <v/>
      </c>
      <c r="I31" s="28">
        <f>IF($A31="","",INDEX(決定版!$A$4:$AK$53,計算用!$BE$27,IF(計算用!$BB$27="男",0,19)+11))</f>
        <v/>
      </c>
      <c r="J31" s="28">
        <f>IF($A31="","",INDEX(決定版!$A$4:$AK$53,計算用!$BE$27,IF(計算用!$BB$27="男",0,19)+12))</f>
        <v/>
      </c>
      <c r="K31">
        <f>IF($A31="","",INDEX(決定版!$A$4:$AK$53,計算用!$BE$27,IF(計算用!$BB$27="男",0,19)+13))</f>
        <v/>
      </c>
      <c r="L31" s="28">
        <f>IF($A31="","",INDEX(決定版!$A$4:$AK$53,計算用!$BE$27,IF(計算用!$BB$27="男",0,19)+14))</f>
        <v/>
      </c>
      <c r="M31" s="28">
        <f>IF($A31="","",INDEX(決定版!$A$4:$AK$53,計算用!$BE$27,IF(計算用!$BB$27="男",0,19)+15))</f>
        <v/>
      </c>
      <c r="N31">
        <f>IF($A31="","",INDEX(決定版!$A$4:$AK$53,計算用!$BE$27,IF(計算用!$BB$27="男",0,19)+16))</f>
        <v/>
      </c>
      <c r="O31" s="28">
        <f>IF($A31="","",INDEX(決定版!$A$4:$AK$53,計算用!$BE$27,IF(計算用!$BB$27="男",0,19)+17))</f>
        <v/>
      </c>
      <c r="P31" s="28">
        <f>IF($A31="","",INDEX(決定版!$A$4:$AK$53,計算用!$BE$27,IF(計算用!$BB$27="男",0,19)+18))</f>
        <v/>
      </c>
    </row>
    <row r="32">
      <c r="A32" s="28">
        <f>IF(計算用!$BB$28="","",計算用!$BA$28)</f>
        <v/>
      </c>
      <c r="B32">
        <f>IF($A32="","",INDEX(決定版!$A$4:$AK$53,計算用!$BE$28,IF(計算用!$BB$28="男",0,19)+4))</f>
        <v/>
      </c>
      <c r="C32" s="28">
        <f>IF($A32="","",INDEX(決定版!$A$4:$AK$53,計算用!$BE$28,IF(計算用!$BB$28="男",0,19)+5))</f>
        <v/>
      </c>
      <c r="D32" s="28">
        <f>IF($A32="","",INDEX(決定版!$A$4:$AK$53,計算用!$BE$28,IF(計算用!$BB$28="男",0,19)+6))</f>
        <v/>
      </c>
      <c r="E32">
        <f>IF($A32="","",INDEX(決定版!$A$4:$AK$53,計算用!$BE$28,IF(計算用!$BB$28="男",0,19)+7))</f>
        <v/>
      </c>
      <c r="F32" s="28">
        <f>IF($A32="","",INDEX(決定版!$A$4:$AK$53,計算用!$BE$28,IF(計算用!$BB$28="男",0,19)+8))</f>
        <v/>
      </c>
      <c r="G32" s="28">
        <f>IF($A32="","",INDEX(決定版!$A$4:$AK$53,計算用!$BE$28,IF(計算用!$BB$28="男",0,19)+9))</f>
        <v/>
      </c>
      <c r="H32">
        <f>IF($A32="","",INDEX(決定版!$A$4:$AK$53,計算用!$BE$28,IF(計算用!$BB$28="男",0,19)+10))</f>
        <v/>
      </c>
      <c r="I32" s="28">
        <f>IF($A32="","",INDEX(決定版!$A$4:$AK$53,計算用!$BE$28,IF(計算用!$BB$28="男",0,19)+11))</f>
        <v/>
      </c>
      <c r="J32" s="28">
        <f>IF($A32="","",INDEX(決定版!$A$4:$AK$53,計算用!$BE$28,IF(計算用!$BB$28="男",0,19)+12))</f>
        <v/>
      </c>
      <c r="K32">
        <f>IF($A32="","",INDEX(決定版!$A$4:$AK$53,計算用!$BE$28,IF(計算用!$BB$28="男",0,19)+13))</f>
        <v/>
      </c>
      <c r="L32" s="28">
        <f>IF($A32="","",INDEX(決定版!$A$4:$AK$53,計算用!$BE$28,IF(計算用!$BB$28="男",0,19)+14))</f>
        <v/>
      </c>
      <c r="M32" s="28">
        <f>IF($A32="","",INDEX(決定版!$A$4:$AK$53,計算用!$BE$28,IF(計算用!$BB$28="男",0,19)+15))</f>
        <v/>
      </c>
      <c r="N32">
        <f>IF($A32="","",INDEX(決定版!$A$4:$AK$53,計算用!$BE$28,IF(計算用!$BB$28="男",0,19)+16))</f>
        <v/>
      </c>
      <c r="O32" s="28">
        <f>IF($A32="","",INDEX(決定版!$A$4:$AK$53,計算用!$BE$28,IF(計算用!$BB$28="男",0,19)+17))</f>
        <v/>
      </c>
      <c r="P32" s="28">
        <f>IF($A32="","",INDEX(決定版!$A$4:$AK$53,計算用!$BE$28,IF(計算用!$BB$28="男",0,19)+18))</f>
        <v/>
      </c>
    </row>
    <row r="33">
      <c r="A33" s="28">
        <f>IF(計算用!$BB$29="","",計算用!$BA$29)</f>
        <v/>
      </c>
      <c r="B33">
        <f>IF($A33="","",INDEX(決定版!$A$4:$AK$53,計算用!$BE$29,IF(計算用!$BB$29="男",0,19)+4))</f>
        <v/>
      </c>
      <c r="C33" s="28">
        <f>IF($A33="","",INDEX(決定版!$A$4:$AK$53,計算用!$BE$29,IF(計算用!$BB$29="男",0,19)+5))</f>
        <v/>
      </c>
      <c r="D33" s="28">
        <f>IF($A33="","",INDEX(決定版!$A$4:$AK$53,計算用!$BE$29,IF(計算用!$BB$29="男",0,19)+6))</f>
        <v/>
      </c>
      <c r="E33">
        <f>IF($A33="","",INDEX(決定版!$A$4:$AK$53,計算用!$BE$29,IF(計算用!$BB$29="男",0,19)+7))</f>
        <v/>
      </c>
      <c r="F33" s="28">
        <f>IF($A33="","",INDEX(決定版!$A$4:$AK$53,計算用!$BE$29,IF(計算用!$BB$29="男",0,19)+8))</f>
        <v/>
      </c>
      <c r="G33" s="28">
        <f>IF($A33="","",INDEX(決定版!$A$4:$AK$53,計算用!$BE$29,IF(計算用!$BB$29="男",0,19)+9))</f>
        <v/>
      </c>
      <c r="H33">
        <f>IF($A33="","",INDEX(決定版!$A$4:$AK$53,計算用!$BE$29,IF(計算用!$BB$29="男",0,19)+10))</f>
        <v/>
      </c>
      <c r="I33" s="28">
        <f>IF($A33="","",INDEX(決定版!$A$4:$AK$53,計算用!$BE$29,IF(計算用!$BB$29="男",0,19)+11))</f>
        <v/>
      </c>
      <c r="J33" s="28">
        <f>IF($A33="","",INDEX(決定版!$A$4:$AK$53,計算用!$BE$29,IF(計算用!$BB$29="男",0,19)+12))</f>
        <v/>
      </c>
      <c r="K33">
        <f>IF($A33="","",INDEX(決定版!$A$4:$AK$53,計算用!$BE$29,IF(計算用!$BB$29="男",0,19)+13))</f>
        <v/>
      </c>
      <c r="L33" s="28">
        <f>IF($A33="","",INDEX(決定版!$A$4:$AK$53,計算用!$BE$29,IF(計算用!$BB$29="男",0,19)+14))</f>
        <v/>
      </c>
      <c r="M33" s="28">
        <f>IF($A33="","",INDEX(決定版!$A$4:$AK$53,計算用!$BE$29,IF(計算用!$BB$29="男",0,19)+15))</f>
        <v/>
      </c>
      <c r="N33">
        <f>IF($A33="","",INDEX(決定版!$A$4:$AK$53,計算用!$BE$29,IF(計算用!$BB$29="男",0,19)+16))</f>
        <v/>
      </c>
      <c r="O33" s="28">
        <f>IF($A33="","",INDEX(決定版!$A$4:$AK$53,計算用!$BE$29,IF(計算用!$BB$29="男",0,19)+17))</f>
        <v/>
      </c>
      <c r="P33" s="28">
        <f>IF($A33="","",INDEX(決定版!$A$4:$AK$53,計算用!$BE$29,IF(計算用!$BB$29="男",0,19)+18))</f>
        <v/>
      </c>
    </row>
    <row r="34">
      <c r="A34" s="28">
        <f>IF(計算用!$BB$30="","",計算用!$BA$30)</f>
        <v/>
      </c>
      <c r="B34">
        <f>IF($A34="","",INDEX(決定版!$A$4:$AK$53,計算用!$BE$30,IF(計算用!$BB$30="男",0,19)+4))</f>
        <v/>
      </c>
      <c r="C34" s="28">
        <f>IF($A34="","",INDEX(決定版!$A$4:$AK$53,計算用!$BE$30,IF(計算用!$BB$30="男",0,19)+5))</f>
        <v/>
      </c>
      <c r="D34" s="28">
        <f>IF($A34="","",INDEX(決定版!$A$4:$AK$53,計算用!$BE$30,IF(計算用!$BB$30="男",0,19)+6))</f>
        <v/>
      </c>
      <c r="E34">
        <f>IF($A34="","",INDEX(決定版!$A$4:$AK$53,計算用!$BE$30,IF(計算用!$BB$30="男",0,19)+7))</f>
        <v/>
      </c>
      <c r="F34" s="28">
        <f>IF($A34="","",INDEX(決定版!$A$4:$AK$53,計算用!$BE$30,IF(計算用!$BB$30="男",0,19)+8))</f>
        <v/>
      </c>
      <c r="G34" s="28">
        <f>IF($A34="","",INDEX(決定版!$A$4:$AK$53,計算用!$BE$30,IF(計算用!$BB$30="男",0,19)+9))</f>
        <v/>
      </c>
      <c r="H34">
        <f>IF($A34="","",INDEX(決定版!$A$4:$AK$53,計算用!$BE$30,IF(計算用!$BB$30="男",0,19)+10))</f>
        <v/>
      </c>
      <c r="I34" s="28">
        <f>IF($A34="","",INDEX(決定版!$A$4:$AK$53,計算用!$BE$30,IF(計算用!$BB$30="男",0,19)+11))</f>
        <v/>
      </c>
      <c r="J34" s="28">
        <f>IF($A34="","",INDEX(決定版!$A$4:$AK$53,計算用!$BE$30,IF(計算用!$BB$30="男",0,19)+12))</f>
        <v/>
      </c>
      <c r="K34">
        <f>IF($A34="","",INDEX(決定版!$A$4:$AK$53,計算用!$BE$30,IF(計算用!$BB$30="男",0,19)+13))</f>
        <v/>
      </c>
      <c r="L34" s="28">
        <f>IF($A34="","",INDEX(決定版!$A$4:$AK$53,計算用!$BE$30,IF(計算用!$BB$30="男",0,19)+14))</f>
        <v/>
      </c>
      <c r="M34" s="28">
        <f>IF($A34="","",INDEX(決定版!$A$4:$AK$53,計算用!$BE$30,IF(計算用!$BB$30="男",0,19)+15))</f>
        <v/>
      </c>
      <c r="N34">
        <f>IF($A34="","",INDEX(決定版!$A$4:$AK$53,計算用!$BE$30,IF(計算用!$BB$30="男",0,19)+16))</f>
        <v/>
      </c>
      <c r="O34" s="28">
        <f>IF($A34="","",INDEX(決定版!$A$4:$AK$53,計算用!$BE$30,IF(計算用!$BB$30="男",0,19)+17))</f>
        <v/>
      </c>
      <c r="P34" s="28">
        <f>IF($A34="","",INDEX(決定版!$A$4:$AK$53,計算用!$BE$30,IF(計算用!$BB$30="男",0,19)+18))</f>
        <v/>
      </c>
    </row>
    <row r="35">
      <c r="A35" s="28">
        <f>IF(計算用!$BB$31="","",計算用!$BA$31)</f>
        <v/>
      </c>
      <c r="B35">
        <f>IF($A35="","",INDEX(決定版!$A$4:$AK$53,計算用!$BE$31,IF(計算用!$BB$31="男",0,19)+4))</f>
        <v/>
      </c>
      <c r="C35" s="28">
        <f>IF($A35="","",INDEX(決定版!$A$4:$AK$53,計算用!$BE$31,IF(計算用!$BB$31="男",0,19)+5))</f>
        <v/>
      </c>
      <c r="D35" s="28">
        <f>IF($A35="","",INDEX(決定版!$A$4:$AK$53,計算用!$BE$31,IF(計算用!$BB$31="男",0,19)+6))</f>
        <v/>
      </c>
      <c r="E35">
        <f>IF($A35="","",INDEX(決定版!$A$4:$AK$53,計算用!$BE$31,IF(計算用!$BB$31="男",0,19)+7))</f>
        <v/>
      </c>
      <c r="F35" s="28">
        <f>IF($A35="","",INDEX(決定版!$A$4:$AK$53,計算用!$BE$31,IF(計算用!$BB$31="男",0,19)+8))</f>
        <v/>
      </c>
      <c r="G35" s="28">
        <f>IF($A35="","",INDEX(決定版!$A$4:$AK$53,計算用!$BE$31,IF(計算用!$BB$31="男",0,19)+9))</f>
        <v/>
      </c>
      <c r="H35">
        <f>IF($A35="","",INDEX(決定版!$A$4:$AK$53,計算用!$BE$31,IF(計算用!$BB$31="男",0,19)+10))</f>
        <v/>
      </c>
      <c r="I35" s="28">
        <f>IF($A35="","",INDEX(決定版!$A$4:$AK$53,計算用!$BE$31,IF(計算用!$BB$31="男",0,19)+11))</f>
        <v/>
      </c>
      <c r="J35" s="28">
        <f>IF($A35="","",INDEX(決定版!$A$4:$AK$53,計算用!$BE$31,IF(計算用!$BB$31="男",0,19)+12))</f>
        <v/>
      </c>
      <c r="K35">
        <f>IF($A35="","",INDEX(決定版!$A$4:$AK$53,計算用!$BE$31,IF(計算用!$BB$31="男",0,19)+13))</f>
        <v/>
      </c>
      <c r="L35" s="28">
        <f>IF($A35="","",INDEX(決定版!$A$4:$AK$53,計算用!$BE$31,IF(計算用!$BB$31="男",0,19)+14))</f>
        <v/>
      </c>
      <c r="M35" s="28">
        <f>IF($A35="","",INDEX(決定版!$A$4:$AK$53,計算用!$BE$31,IF(計算用!$BB$31="男",0,19)+15))</f>
        <v/>
      </c>
      <c r="N35">
        <f>IF($A35="","",INDEX(決定版!$A$4:$AK$53,計算用!$BE$31,IF(計算用!$BB$31="男",0,19)+16))</f>
        <v/>
      </c>
      <c r="O35" s="28">
        <f>IF($A35="","",INDEX(決定版!$A$4:$AK$53,計算用!$BE$31,IF(計算用!$BB$31="男",0,19)+17))</f>
        <v/>
      </c>
      <c r="P35" s="28">
        <f>IF($A35="","",INDEX(決定版!$A$4:$AK$53,計算用!$BE$31,IF(計算用!$BB$31="男",0,19)+18))</f>
        <v/>
      </c>
    </row>
    <row r="36">
      <c r="A36" s="28">
        <f>IF(計算用!$BB$32="","",計算用!$BA$32)</f>
        <v/>
      </c>
      <c r="B36">
        <f>IF($A36="","",INDEX(決定版!$A$4:$AK$53,計算用!$BE$32,IF(計算用!$BB$32="男",0,19)+4))</f>
        <v/>
      </c>
      <c r="C36" s="28">
        <f>IF($A36="","",INDEX(決定版!$A$4:$AK$53,計算用!$BE$32,IF(計算用!$BB$32="男",0,19)+5))</f>
        <v/>
      </c>
      <c r="D36" s="28">
        <f>IF($A36="","",INDEX(決定版!$A$4:$AK$53,計算用!$BE$32,IF(計算用!$BB$32="男",0,19)+6))</f>
        <v/>
      </c>
      <c r="E36">
        <f>IF($A36="","",INDEX(決定版!$A$4:$AK$53,計算用!$BE$32,IF(計算用!$BB$32="男",0,19)+7))</f>
        <v/>
      </c>
      <c r="F36" s="28">
        <f>IF($A36="","",INDEX(決定版!$A$4:$AK$53,計算用!$BE$32,IF(計算用!$BB$32="男",0,19)+8))</f>
        <v/>
      </c>
      <c r="G36" s="28">
        <f>IF($A36="","",INDEX(決定版!$A$4:$AK$53,計算用!$BE$32,IF(計算用!$BB$32="男",0,19)+9))</f>
        <v/>
      </c>
      <c r="H36">
        <f>IF($A36="","",INDEX(決定版!$A$4:$AK$53,計算用!$BE$32,IF(計算用!$BB$32="男",0,19)+10))</f>
        <v/>
      </c>
      <c r="I36" s="28">
        <f>IF($A36="","",INDEX(決定版!$A$4:$AK$53,計算用!$BE$32,IF(計算用!$BB$32="男",0,19)+11))</f>
        <v/>
      </c>
      <c r="J36" s="28">
        <f>IF($A36="","",INDEX(決定版!$A$4:$AK$53,計算用!$BE$32,IF(計算用!$BB$32="男",0,19)+12))</f>
        <v/>
      </c>
      <c r="K36">
        <f>IF($A36="","",INDEX(決定版!$A$4:$AK$53,計算用!$BE$32,IF(計算用!$BB$32="男",0,19)+13))</f>
        <v/>
      </c>
      <c r="L36" s="28">
        <f>IF($A36="","",INDEX(決定版!$A$4:$AK$53,計算用!$BE$32,IF(計算用!$BB$32="男",0,19)+14))</f>
        <v/>
      </c>
      <c r="M36" s="28">
        <f>IF($A36="","",INDEX(決定版!$A$4:$AK$53,計算用!$BE$32,IF(計算用!$BB$32="男",0,19)+15))</f>
        <v/>
      </c>
      <c r="N36">
        <f>IF($A36="","",INDEX(決定版!$A$4:$AK$53,計算用!$BE$32,IF(計算用!$BB$32="男",0,19)+16))</f>
        <v/>
      </c>
      <c r="O36" s="28">
        <f>IF($A36="","",INDEX(決定版!$A$4:$AK$53,計算用!$BE$32,IF(計算用!$BB$32="男",0,19)+17))</f>
        <v/>
      </c>
      <c r="P36" s="28">
        <f>IF($A36="","",INDEX(決定版!$A$4:$AK$53,計算用!$BE$32,IF(計算用!$BB$32="男",0,19)+18))</f>
        <v/>
      </c>
    </row>
    <row r="37">
      <c r="A37" s="28">
        <f>IF(計算用!$BB$33="","",計算用!$BA$33)</f>
        <v/>
      </c>
      <c r="B37">
        <f>IF($A37="","",INDEX(決定版!$A$4:$AK$53,計算用!$BE$33,IF(計算用!$BB$33="男",0,19)+4))</f>
        <v/>
      </c>
      <c r="C37" s="28">
        <f>IF($A37="","",INDEX(決定版!$A$4:$AK$53,計算用!$BE$33,IF(計算用!$BB$33="男",0,19)+5))</f>
        <v/>
      </c>
      <c r="D37" s="28">
        <f>IF($A37="","",INDEX(決定版!$A$4:$AK$53,計算用!$BE$33,IF(計算用!$BB$33="男",0,19)+6))</f>
        <v/>
      </c>
      <c r="E37">
        <f>IF($A37="","",INDEX(決定版!$A$4:$AK$53,計算用!$BE$33,IF(計算用!$BB$33="男",0,19)+7))</f>
        <v/>
      </c>
      <c r="F37" s="28">
        <f>IF($A37="","",INDEX(決定版!$A$4:$AK$53,計算用!$BE$33,IF(計算用!$BB$33="男",0,19)+8))</f>
        <v/>
      </c>
      <c r="G37" s="28">
        <f>IF($A37="","",INDEX(決定版!$A$4:$AK$53,計算用!$BE$33,IF(計算用!$BB$33="男",0,19)+9))</f>
        <v/>
      </c>
      <c r="H37">
        <f>IF($A37="","",INDEX(決定版!$A$4:$AK$53,計算用!$BE$33,IF(計算用!$BB$33="男",0,19)+10))</f>
        <v/>
      </c>
      <c r="I37" s="28">
        <f>IF($A37="","",INDEX(決定版!$A$4:$AK$53,計算用!$BE$33,IF(計算用!$BB$33="男",0,19)+11))</f>
        <v/>
      </c>
      <c r="J37" s="28">
        <f>IF($A37="","",INDEX(決定版!$A$4:$AK$53,計算用!$BE$33,IF(計算用!$BB$33="男",0,19)+12))</f>
        <v/>
      </c>
      <c r="K37">
        <f>IF($A37="","",INDEX(決定版!$A$4:$AK$53,計算用!$BE$33,IF(計算用!$BB$33="男",0,19)+13))</f>
        <v/>
      </c>
      <c r="L37" s="28">
        <f>IF($A37="","",INDEX(決定版!$A$4:$AK$53,計算用!$BE$33,IF(計算用!$BB$33="男",0,19)+14))</f>
        <v/>
      </c>
      <c r="M37" s="28">
        <f>IF($A37="","",INDEX(決定版!$A$4:$AK$53,計算用!$BE$33,IF(計算用!$BB$33="男",0,19)+15))</f>
        <v/>
      </c>
      <c r="N37">
        <f>IF($A37="","",INDEX(決定版!$A$4:$AK$53,計算用!$BE$33,IF(計算用!$BB$33="男",0,19)+16))</f>
        <v/>
      </c>
      <c r="O37" s="28">
        <f>IF($A37="","",INDEX(決定版!$A$4:$AK$53,計算用!$BE$33,IF(計算用!$BB$33="男",0,19)+17))</f>
        <v/>
      </c>
      <c r="P37" s="28">
        <f>IF($A37="","",INDEX(決定版!$A$4:$AK$53,計算用!$BE$33,IF(計算用!$BB$33="男",0,19)+18))</f>
        <v/>
      </c>
    </row>
    <row r="38">
      <c r="A38" s="28">
        <f>IF(計算用!$BB$34="","",計算用!$BA$34)</f>
        <v/>
      </c>
      <c r="B38">
        <f>IF($A38="","",INDEX(決定版!$A$4:$AK$53,計算用!$BE$34,IF(計算用!$BB$34="男",0,19)+4))</f>
        <v/>
      </c>
      <c r="C38" s="28">
        <f>IF($A38="","",INDEX(決定版!$A$4:$AK$53,計算用!$BE$34,IF(計算用!$BB$34="男",0,19)+5))</f>
        <v/>
      </c>
      <c r="D38" s="28">
        <f>IF($A38="","",INDEX(決定版!$A$4:$AK$53,計算用!$BE$34,IF(計算用!$BB$34="男",0,19)+6))</f>
        <v/>
      </c>
      <c r="E38">
        <f>IF($A38="","",INDEX(決定版!$A$4:$AK$53,計算用!$BE$34,IF(計算用!$BB$34="男",0,19)+7))</f>
        <v/>
      </c>
      <c r="F38" s="28">
        <f>IF($A38="","",INDEX(決定版!$A$4:$AK$53,計算用!$BE$34,IF(計算用!$BB$34="男",0,19)+8))</f>
        <v/>
      </c>
      <c r="G38" s="28">
        <f>IF($A38="","",INDEX(決定版!$A$4:$AK$53,計算用!$BE$34,IF(計算用!$BB$34="男",0,19)+9))</f>
        <v/>
      </c>
      <c r="H38">
        <f>IF($A38="","",INDEX(決定版!$A$4:$AK$53,計算用!$BE$34,IF(計算用!$BB$34="男",0,19)+10))</f>
        <v/>
      </c>
      <c r="I38" s="28">
        <f>IF($A38="","",INDEX(決定版!$A$4:$AK$53,計算用!$BE$34,IF(計算用!$BB$34="男",0,19)+11))</f>
        <v/>
      </c>
      <c r="J38" s="28">
        <f>IF($A38="","",INDEX(決定版!$A$4:$AK$53,計算用!$BE$34,IF(計算用!$BB$34="男",0,19)+12))</f>
        <v/>
      </c>
      <c r="K38">
        <f>IF($A38="","",INDEX(決定版!$A$4:$AK$53,計算用!$BE$34,IF(計算用!$BB$34="男",0,19)+13))</f>
        <v/>
      </c>
      <c r="L38" s="28">
        <f>IF($A38="","",INDEX(決定版!$A$4:$AK$53,計算用!$BE$34,IF(計算用!$BB$34="男",0,19)+14))</f>
        <v/>
      </c>
      <c r="M38" s="28">
        <f>IF($A38="","",INDEX(決定版!$A$4:$AK$53,計算用!$BE$34,IF(計算用!$BB$34="男",0,19)+15))</f>
        <v/>
      </c>
      <c r="N38">
        <f>IF($A38="","",INDEX(決定版!$A$4:$AK$53,計算用!$BE$34,IF(計算用!$BB$34="男",0,19)+16))</f>
        <v/>
      </c>
      <c r="O38" s="28">
        <f>IF($A38="","",INDEX(決定版!$A$4:$AK$53,計算用!$BE$34,IF(計算用!$BB$34="男",0,19)+17))</f>
        <v/>
      </c>
      <c r="P38" s="28">
        <f>IF($A38="","",INDEX(決定版!$A$4:$AK$53,計算用!$BE$34,IF(計算用!$BB$34="男",0,19)+18))</f>
        <v/>
      </c>
    </row>
    <row r="39">
      <c r="A39" s="28">
        <f>IF(計算用!$BB$35="","",計算用!$BA$35)</f>
        <v/>
      </c>
      <c r="B39">
        <f>IF($A39="","",INDEX(決定版!$A$4:$AK$53,計算用!$BE$35,IF(計算用!$BB$35="男",0,19)+4))</f>
        <v/>
      </c>
      <c r="C39" s="28">
        <f>IF($A39="","",INDEX(決定版!$A$4:$AK$53,計算用!$BE$35,IF(計算用!$BB$35="男",0,19)+5))</f>
        <v/>
      </c>
      <c r="D39" s="28">
        <f>IF($A39="","",INDEX(決定版!$A$4:$AK$53,計算用!$BE$35,IF(計算用!$BB$35="男",0,19)+6))</f>
        <v/>
      </c>
      <c r="E39">
        <f>IF($A39="","",INDEX(決定版!$A$4:$AK$53,計算用!$BE$35,IF(計算用!$BB$35="男",0,19)+7))</f>
        <v/>
      </c>
      <c r="F39" s="28">
        <f>IF($A39="","",INDEX(決定版!$A$4:$AK$53,計算用!$BE$35,IF(計算用!$BB$35="男",0,19)+8))</f>
        <v/>
      </c>
      <c r="G39" s="28">
        <f>IF($A39="","",INDEX(決定版!$A$4:$AK$53,計算用!$BE$35,IF(計算用!$BB$35="男",0,19)+9))</f>
        <v/>
      </c>
      <c r="H39">
        <f>IF($A39="","",INDEX(決定版!$A$4:$AK$53,計算用!$BE$35,IF(計算用!$BB$35="男",0,19)+10))</f>
        <v/>
      </c>
      <c r="I39" s="28">
        <f>IF($A39="","",INDEX(決定版!$A$4:$AK$53,計算用!$BE$35,IF(計算用!$BB$35="男",0,19)+11))</f>
        <v/>
      </c>
      <c r="J39" s="28">
        <f>IF($A39="","",INDEX(決定版!$A$4:$AK$53,計算用!$BE$35,IF(計算用!$BB$35="男",0,19)+12))</f>
        <v/>
      </c>
      <c r="K39">
        <f>IF($A39="","",INDEX(決定版!$A$4:$AK$53,計算用!$BE$35,IF(計算用!$BB$35="男",0,19)+13))</f>
        <v/>
      </c>
      <c r="L39" s="28">
        <f>IF($A39="","",INDEX(決定版!$A$4:$AK$53,計算用!$BE$35,IF(計算用!$BB$35="男",0,19)+14))</f>
        <v/>
      </c>
      <c r="M39" s="28">
        <f>IF($A39="","",INDEX(決定版!$A$4:$AK$53,計算用!$BE$35,IF(計算用!$BB$35="男",0,19)+15))</f>
        <v/>
      </c>
      <c r="N39">
        <f>IF($A39="","",INDEX(決定版!$A$4:$AK$53,計算用!$BE$35,IF(計算用!$BB$35="男",0,19)+16))</f>
        <v/>
      </c>
      <c r="O39" s="28">
        <f>IF($A39="","",INDEX(決定版!$A$4:$AK$53,計算用!$BE$35,IF(計算用!$BB$35="男",0,19)+17))</f>
        <v/>
      </c>
      <c r="P39" s="28">
        <f>IF($A39="","",INDEX(決定版!$A$4:$AK$53,計算用!$BE$35,IF(計算用!$BB$35="男",0,19)+18))</f>
        <v/>
      </c>
    </row>
    <row r="40">
      <c r="A40" s="28">
        <f>IF(計算用!$BB$36="","",計算用!$BA$36)</f>
        <v/>
      </c>
      <c r="B40">
        <f>IF($A40="","",INDEX(決定版!$A$4:$AK$53,計算用!$BE$36,IF(計算用!$BB$36="男",0,19)+4))</f>
        <v/>
      </c>
      <c r="C40" s="28">
        <f>IF($A40="","",INDEX(決定版!$A$4:$AK$53,計算用!$BE$36,IF(計算用!$BB$36="男",0,19)+5))</f>
        <v/>
      </c>
      <c r="D40" s="28">
        <f>IF($A40="","",INDEX(決定版!$A$4:$AK$53,計算用!$BE$36,IF(計算用!$BB$36="男",0,19)+6))</f>
        <v/>
      </c>
      <c r="E40">
        <f>IF($A40="","",INDEX(決定版!$A$4:$AK$53,計算用!$BE$36,IF(計算用!$BB$36="男",0,19)+7))</f>
        <v/>
      </c>
      <c r="F40" s="28">
        <f>IF($A40="","",INDEX(決定版!$A$4:$AK$53,計算用!$BE$36,IF(計算用!$BB$36="男",0,19)+8))</f>
        <v/>
      </c>
      <c r="G40" s="28">
        <f>IF($A40="","",INDEX(決定版!$A$4:$AK$53,計算用!$BE$36,IF(計算用!$BB$36="男",0,19)+9))</f>
        <v/>
      </c>
      <c r="H40">
        <f>IF($A40="","",INDEX(決定版!$A$4:$AK$53,計算用!$BE$36,IF(計算用!$BB$36="男",0,19)+10))</f>
        <v/>
      </c>
      <c r="I40" s="28">
        <f>IF($A40="","",INDEX(決定版!$A$4:$AK$53,計算用!$BE$36,IF(計算用!$BB$36="男",0,19)+11))</f>
        <v/>
      </c>
      <c r="J40" s="28">
        <f>IF($A40="","",INDEX(決定版!$A$4:$AK$53,計算用!$BE$36,IF(計算用!$BB$36="男",0,19)+12))</f>
        <v/>
      </c>
      <c r="K40">
        <f>IF($A40="","",INDEX(決定版!$A$4:$AK$53,計算用!$BE$36,IF(計算用!$BB$36="男",0,19)+13))</f>
        <v/>
      </c>
      <c r="L40" s="28">
        <f>IF($A40="","",INDEX(決定版!$A$4:$AK$53,計算用!$BE$36,IF(計算用!$BB$36="男",0,19)+14))</f>
        <v/>
      </c>
      <c r="M40" s="28">
        <f>IF($A40="","",INDEX(決定版!$A$4:$AK$53,計算用!$BE$36,IF(計算用!$BB$36="男",0,19)+15))</f>
        <v/>
      </c>
      <c r="N40">
        <f>IF($A40="","",INDEX(決定版!$A$4:$AK$53,計算用!$BE$36,IF(計算用!$BB$36="男",0,19)+16))</f>
        <v/>
      </c>
      <c r="O40" s="28">
        <f>IF($A40="","",INDEX(決定版!$A$4:$AK$53,計算用!$BE$36,IF(計算用!$BB$36="男",0,19)+17))</f>
        <v/>
      </c>
      <c r="P40" s="28">
        <f>IF($A40="","",INDEX(決定版!$A$4:$AK$53,計算用!$BE$36,IF(計算用!$BB$36="男",0,19)+18))</f>
        <v/>
      </c>
    </row>
    <row r="41">
      <c r="A41" s="28">
        <f>IF(計算用!$BB$37="","",計算用!$BA$37)</f>
        <v/>
      </c>
      <c r="B41">
        <f>IF($A41="","",INDEX(決定版!$A$4:$AK$53,計算用!$BE$37,IF(計算用!$BB$37="男",0,19)+4))</f>
        <v/>
      </c>
      <c r="C41" s="28">
        <f>IF($A41="","",INDEX(決定版!$A$4:$AK$53,計算用!$BE$37,IF(計算用!$BB$37="男",0,19)+5))</f>
        <v/>
      </c>
      <c r="D41" s="28">
        <f>IF($A41="","",INDEX(決定版!$A$4:$AK$53,計算用!$BE$37,IF(計算用!$BB$37="男",0,19)+6))</f>
        <v/>
      </c>
      <c r="E41">
        <f>IF($A41="","",INDEX(決定版!$A$4:$AK$53,計算用!$BE$37,IF(計算用!$BB$37="男",0,19)+7))</f>
        <v/>
      </c>
      <c r="F41" s="28">
        <f>IF($A41="","",INDEX(決定版!$A$4:$AK$53,計算用!$BE$37,IF(計算用!$BB$37="男",0,19)+8))</f>
        <v/>
      </c>
      <c r="G41" s="28">
        <f>IF($A41="","",INDEX(決定版!$A$4:$AK$53,計算用!$BE$37,IF(計算用!$BB$37="男",0,19)+9))</f>
        <v/>
      </c>
      <c r="H41">
        <f>IF($A41="","",INDEX(決定版!$A$4:$AK$53,計算用!$BE$37,IF(計算用!$BB$37="男",0,19)+10))</f>
        <v/>
      </c>
      <c r="I41" s="28">
        <f>IF($A41="","",INDEX(決定版!$A$4:$AK$53,計算用!$BE$37,IF(計算用!$BB$37="男",0,19)+11))</f>
        <v/>
      </c>
      <c r="J41" s="28">
        <f>IF($A41="","",INDEX(決定版!$A$4:$AK$53,計算用!$BE$37,IF(計算用!$BB$37="男",0,19)+12))</f>
        <v/>
      </c>
      <c r="K41">
        <f>IF($A41="","",INDEX(決定版!$A$4:$AK$53,計算用!$BE$37,IF(計算用!$BB$37="男",0,19)+13))</f>
        <v/>
      </c>
      <c r="L41" s="28">
        <f>IF($A41="","",INDEX(決定版!$A$4:$AK$53,計算用!$BE$37,IF(計算用!$BB$37="男",0,19)+14))</f>
        <v/>
      </c>
      <c r="M41" s="28">
        <f>IF($A41="","",INDEX(決定版!$A$4:$AK$53,計算用!$BE$37,IF(計算用!$BB$37="男",0,19)+15))</f>
        <v/>
      </c>
      <c r="N41">
        <f>IF($A41="","",INDEX(決定版!$A$4:$AK$53,計算用!$BE$37,IF(計算用!$BB$37="男",0,19)+16))</f>
        <v/>
      </c>
      <c r="O41" s="28">
        <f>IF($A41="","",INDEX(決定版!$A$4:$AK$53,計算用!$BE$37,IF(計算用!$BB$37="男",0,19)+17))</f>
        <v/>
      </c>
      <c r="P41" s="28">
        <f>IF($A41="","",INDEX(決定版!$A$4:$AK$53,計算用!$BE$37,IF(計算用!$BB$37="男",0,19)+18))</f>
        <v/>
      </c>
    </row>
    <row r="42">
      <c r="A42" s="28">
        <f>IF(計算用!$BB$38="","",計算用!$BA$38)</f>
        <v/>
      </c>
      <c r="B42">
        <f>IF($A42="","",INDEX(決定版!$A$4:$AK$53,計算用!$BE$38,IF(計算用!$BB$38="男",0,19)+4))</f>
        <v/>
      </c>
      <c r="C42" s="28">
        <f>IF($A42="","",INDEX(決定版!$A$4:$AK$53,計算用!$BE$38,IF(計算用!$BB$38="男",0,19)+5))</f>
        <v/>
      </c>
      <c r="D42" s="28">
        <f>IF($A42="","",INDEX(決定版!$A$4:$AK$53,計算用!$BE$38,IF(計算用!$BB$38="男",0,19)+6))</f>
        <v/>
      </c>
      <c r="E42">
        <f>IF($A42="","",INDEX(決定版!$A$4:$AK$53,計算用!$BE$38,IF(計算用!$BB$38="男",0,19)+7))</f>
        <v/>
      </c>
      <c r="F42" s="28">
        <f>IF($A42="","",INDEX(決定版!$A$4:$AK$53,計算用!$BE$38,IF(計算用!$BB$38="男",0,19)+8))</f>
        <v/>
      </c>
      <c r="G42" s="28">
        <f>IF($A42="","",INDEX(決定版!$A$4:$AK$53,計算用!$BE$38,IF(計算用!$BB$38="男",0,19)+9))</f>
        <v/>
      </c>
      <c r="H42">
        <f>IF($A42="","",INDEX(決定版!$A$4:$AK$53,計算用!$BE$38,IF(計算用!$BB$38="男",0,19)+10))</f>
        <v/>
      </c>
      <c r="I42" s="28">
        <f>IF($A42="","",INDEX(決定版!$A$4:$AK$53,計算用!$BE$38,IF(計算用!$BB$38="男",0,19)+11))</f>
        <v/>
      </c>
      <c r="J42" s="28">
        <f>IF($A42="","",INDEX(決定版!$A$4:$AK$53,計算用!$BE$38,IF(計算用!$BB$38="男",0,19)+12))</f>
        <v/>
      </c>
      <c r="K42">
        <f>IF($A42="","",INDEX(決定版!$A$4:$AK$53,計算用!$BE$38,IF(計算用!$BB$38="男",0,19)+13))</f>
        <v/>
      </c>
      <c r="L42" s="28">
        <f>IF($A42="","",INDEX(決定版!$A$4:$AK$53,計算用!$BE$38,IF(計算用!$BB$38="男",0,19)+14))</f>
        <v/>
      </c>
      <c r="M42" s="28">
        <f>IF($A42="","",INDEX(決定版!$A$4:$AK$53,計算用!$BE$38,IF(計算用!$BB$38="男",0,19)+15))</f>
        <v/>
      </c>
      <c r="N42">
        <f>IF($A42="","",INDEX(決定版!$A$4:$AK$53,計算用!$BE$38,IF(計算用!$BB$38="男",0,19)+16))</f>
        <v/>
      </c>
      <c r="O42" s="28">
        <f>IF($A42="","",INDEX(決定版!$A$4:$AK$53,計算用!$BE$38,IF(計算用!$BB$38="男",0,19)+17))</f>
        <v/>
      </c>
      <c r="P42" s="28">
        <f>IF($A42="","",INDEX(決定版!$A$4:$AK$53,計算用!$BE$38,IF(計算用!$BB$38="男",0,19)+18))</f>
        <v/>
      </c>
    </row>
    <row r="43">
      <c r="A43" s="28">
        <f>IF(計算用!$BB$39="","",計算用!$BA$39)</f>
        <v/>
      </c>
      <c r="B43">
        <f>IF($A43="","",INDEX(決定版!$A$4:$AK$53,計算用!$BE$39,IF(計算用!$BB$39="男",0,19)+4))</f>
        <v/>
      </c>
      <c r="C43" s="28">
        <f>IF($A43="","",INDEX(決定版!$A$4:$AK$53,計算用!$BE$39,IF(計算用!$BB$39="男",0,19)+5))</f>
        <v/>
      </c>
      <c r="D43" s="28">
        <f>IF($A43="","",INDEX(決定版!$A$4:$AK$53,計算用!$BE$39,IF(計算用!$BB$39="男",0,19)+6))</f>
        <v/>
      </c>
      <c r="E43">
        <f>IF($A43="","",INDEX(決定版!$A$4:$AK$53,計算用!$BE$39,IF(計算用!$BB$39="男",0,19)+7))</f>
        <v/>
      </c>
      <c r="F43" s="28">
        <f>IF($A43="","",INDEX(決定版!$A$4:$AK$53,計算用!$BE$39,IF(計算用!$BB$39="男",0,19)+8))</f>
        <v/>
      </c>
      <c r="G43" s="28">
        <f>IF($A43="","",INDEX(決定版!$A$4:$AK$53,計算用!$BE$39,IF(計算用!$BB$39="男",0,19)+9))</f>
        <v/>
      </c>
      <c r="H43">
        <f>IF($A43="","",INDEX(決定版!$A$4:$AK$53,計算用!$BE$39,IF(計算用!$BB$39="男",0,19)+10))</f>
        <v/>
      </c>
      <c r="I43" s="28">
        <f>IF($A43="","",INDEX(決定版!$A$4:$AK$53,計算用!$BE$39,IF(計算用!$BB$39="男",0,19)+11))</f>
        <v/>
      </c>
      <c r="J43" s="28">
        <f>IF($A43="","",INDEX(決定版!$A$4:$AK$53,計算用!$BE$39,IF(計算用!$BB$39="男",0,19)+12))</f>
        <v/>
      </c>
      <c r="K43">
        <f>IF($A43="","",INDEX(決定版!$A$4:$AK$53,計算用!$BE$39,IF(計算用!$BB$39="男",0,19)+13))</f>
        <v/>
      </c>
      <c r="L43" s="28">
        <f>IF($A43="","",INDEX(決定版!$A$4:$AK$53,計算用!$BE$39,IF(計算用!$BB$39="男",0,19)+14))</f>
        <v/>
      </c>
      <c r="M43" s="28">
        <f>IF($A43="","",INDEX(決定版!$A$4:$AK$53,計算用!$BE$39,IF(計算用!$BB$39="男",0,19)+15))</f>
        <v/>
      </c>
      <c r="N43">
        <f>IF($A43="","",INDEX(決定版!$A$4:$AK$53,計算用!$BE$39,IF(計算用!$BB$39="男",0,19)+16))</f>
        <v/>
      </c>
      <c r="O43" s="28">
        <f>IF($A43="","",INDEX(決定版!$A$4:$AK$53,計算用!$BE$39,IF(計算用!$BB$39="男",0,19)+17))</f>
        <v/>
      </c>
      <c r="P43" s="28">
        <f>IF($A43="","",INDEX(決定版!$A$4:$AK$53,計算用!$BE$39,IF(計算用!$BB$39="男",0,19)+18))</f>
        <v/>
      </c>
    </row>
    <row r="44">
      <c r="A44" s="28">
        <f>IF(計算用!$BB$40="","",計算用!$BA$40)</f>
        <v/>
      </c>
      <c r="B44">
        <f>IF($A44="","",INDEX(決定版!$A$4:$AK$53,計算用!$BE$40,IF(計算用!$BB$40="男",0,19)+4))</f>
        <v/>
      </c>
      <c r="C44" s="28">
        <f>IF($A44="","",INDEX(決定版!$A$4:$AK$53,計算用!$BE$40,IF(計算用!$BB$40="男",0,19)+5))</f>
        <v/>
      </c>
      <c r="D44" s="28">
        <f>IF($A44="","",INDEX(決定版!$A$4:$AK$53,計算用!$BE$40,IF(計算用!$BB$40="男",0,19)+6))</f>
        <v/>
      </c>
      <c r="E44">
        <f>IF($A44="","",INDEX(決定版!$A$4:$AK$53,計算用!$BE$40,IF(計算用!$BB$40="男",0,19)+7))</f>
        <v/>
      </c>
      <c r="F44" s="28">
        <f>IF($A44="","",INDEX(決定版!$A$4:$AK$53,計算用!$BE$40,IF(計算用!$BB$40="男",0,19)+8))</f>
        <v/>
      </c>
      <c r="G44" s="28">
        <f>IF($A44="","",INDEX(決定版!$A$4:$AK$53,計算用!$BE$40,IF(計算用!$BB$40="男",0,19)+9))</f>
        <v/>
      </c>
      <c r="H44">
        <f>IF($A44="","",INDEX(決定版!$A$4:$AK$53,計算用!$BE$40,IF(計算用!$BB$40="男",0,19)+10))</f>
        <v/>
      </c>
      <c r="I44" s="28">
        <f>IF($A44="","",INDEX(決定版!$A$4:$AK$53,計算用!$BE$40,IF(計算用!$BB$40="男",0,19)+11))</f>
        <v/>
      </c>
      <c r="J44" s="28">
        <f>IF($A44="","",INDEX(決定版!$A$4:$AK$53,計算用!$BE$40,IF(計算用!$BB$40="男",0,19)+12))</f>
        <v/>
      </c>
      <c r="K44">
        <f>IF($A44="","",INDEX(決定版!$A$4:$AK$53,計算用!$BE$40,IF(計算用!$BB$40="男",0,19)+13))</f>
        <v/>
      </c>
      <c r="L44" s="28">
        <f>IF($A44="","",INDEX(決定版!$A$4:$AK$53,計算用!$BE$40,IF(計算用!$BB$40="男",0,19)+14))</f>
        <v/>
      </c>
      <c r="M44" s="28">
        <f>IF($A44="","",INDEX(決定版!$A$4:$AK$53,計算用!$BE$40,IF(計算用!$BB$40="男",0,19)+15))</f>
        <v/>
      </c>
      <c r="N44">
        <f>IF($A44="","",INDEX(決定版!$A$4:$AK$53,計算用!$BE$40,IF(計算用!$BB$40="男",0,19)+16))</f>
        <v/>
      </c>
      <c r="O44" s="28">
        <f>IF($A44="","",INDEX(決定版!$A$4:$AK$53,計算用!$BE$40,IF(計算用!$BB$40="男",0,19)+17))</f>
        <v/>
      </c>
      <c r="P44" s="28">
        <f>IF($A44="","",INDEX(決定版!$A$4:$AK$53,計算用!$BE$40,IF(計算用!$BB$40="男",0,19)+18))</f>
        <v/>
      </c>
    </row>
    <row r="45">
      <c r="A45" s="28">
        <f>IF(計算用!$BB$41="","",計算用!$BA$41)</f>
        <v/>
      </c>
      <c r="B45">
        <f>IF($A45="","",INDEX(決定版!$A$4:$AK$53,計算用!$BE$41,IF(計算用!$BB$41="男",0,19)+4))</f>
        <v/>
      </c>
      <c r="C45" s="28">
        <f>IF($A45="","",INDEX(決定版!$A$4:$AK$53,計算用!$BE$41,IF(計算用!$BB$41="男",0,19)+5))</f>
        <v/>
      </c>
      <c r="D45" s="28">
        <f>IF($A45="","",INDEX(決定版!$A$4:$AK$53,計算用!$BE$41,IF(計算用!$BB$41="男",0,19)+6))</f>
        <v/>
      </c>
      <c r="E45">
        <f>IF($A45="","",INDEX(決定版!$A$4:$AK$53,計算用!$BE$41,IF(計算用!$BB$41="男",0,19)+7))</f>
        <v/>
      </c>
      <c r="F45" s="28">
        <f>IF($A45="","",INDEX(決定版!$A$4:$AK$53,計算用!$BE$41,IF(計算用!$BB$41="男",0,19)+8))</f>
        <v/>
      </c>
      <c r="G45" s="28">
        <f>IF($A45="","",INDEX(決定版!$A$4:$AK$53,計算用!$BE$41,IF(計算用!$BB$41="男",0,19)+9))</f>
        <v/>
      </c>
      <c r="H45">
        <f>IF($A45="","",INDEX(決定版!$A$4:$AK$53,計算用!$BE$41,IF(計算用!$BB$41="男",0,19)+10))</f>
        <v/>
      </c>
      <c r="I45" s="28">
        <f>IF($A45="","",INDEX(決定版!$A$4:$AK$53,計算用!$BE$41,IF(計算用!$BB$41="男",0,19)+11))</f>
        <v/>
      </c>
      <c r="J45" s="28">
        <f>IF($A45="","",INDEX(決定版!$A$4:$AK$53,計算用!$BE$41,IF(計算用!$BB$41="男",0,19)+12))</f>
        <v/>
      </c>
      <c r="K45">
        <f>IF($A45="","",INDEX(決定版!$A$4:$AK$53,計算用!$BE$41,IF(計算用!$BB$41="男",0,19)+13))</f>
        <v/>
      </c>
      <c r="L45" s="28">
        <f>IF($A45="","",INDEX(決定版!$A$4:$AK$53,計算用!$BE$41,IF(計算用!$BB$41="男",0,19)+14))</f>
        <v/>
      </c>
      <c r="M45" s="28">
        <f>IF($A45="","",INDEX(決定版!$A$4:$AK$53,計算用!$BE$41,IF(計算用!$BB$41="男",0,19)+15))</f>
        <v/>
      </c>
      <c r="N45">
        <f>IF($A45="","",INDEX(決定版!$A$4:$AK$53,計算用!$BE$41,IF(計算用!$BB$41="男",0,19)+16))</f>
        <v/>
      </c>
      <c r="O45" s="28">
        <f>IF($A45="","",INDEX(決定版!$A$4:$AK$53,計算用!$BE$41,IF(計算用!$BB$41="男",0,19)+17))</f>
        <v/>
      </c>
      <c r="P45" s="28">
        <f>IF($A45="","",INDEX(決定版!$A$4:$AK$53,計算用!$BE$41,IF(計算用!$BB$41="男",0,19)+18))</f>
        <v/>
      </c>
    </row>
    <row r="46">
      <c r="A46" s="28">
        <f>IF(計算用!$BB$42="","",計算用!$BA$42)</f>
        <v/>
      </c>
      <c r="B46">
        <f>IF($A46="","",INDEX(決定版!$A$4:$AK$53,計算用!$BE$42,IF(計算用!$BB$42="男",0,19)+4))</f>
        <v/>
      </c>
      <c r="C46" s="28">
        <f>IF($A46="","",INDEX(決定版!$A$4:$AK$53,計算用!$BE$42,IF(計算用!$BB$42="男",0,19)+5))</f>
        <v/>
      </c>
      <c r="D46" s="28">
        <f>IF($A46="","",INDEX(決定版!$A$4:$AK$53,計算用!$BE$42,IF(計算用!$BB$42="男",0,19)+6))</f>
        <v/>
      </c>
      <c r="E46">
        <f>IF($A46="","",INDEX(決定版!$A$4:$AK$53,計算用!$BE$42,IF(計算用!$BB$42="男",0,19)+7))</f>
        <v/>
      </c>
      <c r="F46" s="28">
        <f>IF($A46="","",INDEX(決定版!$A$4:$AK$53,計算用!$BE$42,IF(計算用!$BB$42="男",0,19)+8))</f>
        <v/>
      </c>
      <c r="G46" s="28">
        <f>IF($A46="","",INDEX(決定版!$A$4:$AK$53,計算用!$BE$42,IF(計算用!$BB$42="男",0,19)+9))</f>
        <v/>
      </c>
      <c r="H46">
        <f>IF($A46="","",INDEX(決定版!$A$4:$AK$53,計算用!$BE$42,IF(計算用!$BB$42="男",0,19)+10))</f>
        <v/>
      </c>
      <c r="I46" s="28">
        <f>IF($A46="","",INDEX(決定版!$A$4:$AK$53,計算用!$BE$42,IF(計算用!$BB$42="男",0,19)+11))</f>
        <v/>
      </c>
      <c r="J46" s="28">
        <f>IF($A46="","",INDEX(決定版!$A$4:$AK$53,計算用!$BE$42,IF(計算用!$BB$42="男",0,19)+12))</f>
        <v/>
      </c>
      <c r="K46">
        <f>IF($A46="","",INDEX(決定版!$A$4:$AK$53,計算用!$BE$42,IF(計算用!$BB$42="男",0,19)+13))</f>
        <v/>
      </c>
      <c r="L46" s="28">
        <f>IF($A46="","",INDEX(決定版!$A$4:$AK$53,計算用!$BE$42,IF(計算用!$BB$42="男",0,19)+14))</f>
        <v/>
      </c>
      <c r="M46" s="28">
        <f>IF($A46="","",INDEX(決定版!$A$4:$AK$53,計算用!$BE$42,IF(計算用!$BB$42="男",0,19)+15))</f>
        <v/>
      </c>
      <c r="N46">
        <f>IF($A46="","",INDEX(決定版!$A$4:$AK$53,計算用!$BE$42,IF(計算用!$BB$42="男",0,19)+16))</f>
        <v/>
      </c>
      <c r="O46" s="28">
        <f>IF($A46="","",INDEX(決定版!$A$4:$AK$53,計算用!$BE$42,IF(計算用!$BB$42="男",0,19)+17))</f>
        <v/>
      </c>
      <c r="P46" s="28">
        <f>IF($A46="","",INDEX(決定版!$A$4:$AK$53,計算用!$BE$42,IF(計算用!$BB$42="男",0,19)+18))</f>
        <v/>
      </c>
    </row>
    <row r="47">
      <c r="A47" s="28">
        <f>IF(計算用!$BB$43="","",計算用!$BA$43)</f>
        <v/>
      </c>
      <c r="B47">
        <f>IF($A47="","",INDEX(決定版!$A$4:$AK$53,計算用!$BE$43,IF(計算用!$BB$43="男",0,19)+4))</f>
        <v/>
      </c>
      <c r="C47" s="28">
        <f>IF($A47="","",INDEX(決定版!$A$4:$AK$53,計算用!$BE$43,IF(計算用!$BB$43="男",0,19)+5))</f>
        <v/>
      </c>
      <c r="D47" s="28">
        <f>IF($A47="","",INDEX(決定版!$A$4:$AK$53,計算用!$BE$43,IF(計算用!$BB$43="男",0,19)+6))</f>
        <v/>
      </c>
      <c r="E47">
        <f>IF($A47="","",INDEX(決定版!$A$4:$AK$53,計算用!$BE$43,IF(計算用!$BB$43="男",0,19)+7))</f>
        <v/>
      </c>
      <c r="F47" s="28">
        <f>IF($A47="","",INDEX(決定版!$A$4:$AK$53,計算用!$BE$43,IF(計算用!$BB$43="男",0,19)+8))</f>
        <v/>
      </c>
      <c r="G47" s="28">
        <f>IF($A47="","",INDEX(決定版!$A$4:$AK$53,計算用!$BE$43,IF(計算用!$BB$43="男",0,19)+9))</f>
        <v/>
      </c>
      <c r="H47">
        <f>IF($A47="","",INDEX(決定版!$A$4:$AK$53,計算用!$BE$43,IF(計算用!$BB$43="男",0,19)+10))</f>
        <v/>
      </c>
      <c r="I47" s="28">
        <f>IF($A47="","",INDEX(決定版!$A$4:$AK$53,計算用!$BE$43,IF(計算用!$BB$43="男",0,19)+11))</f>
        <v/>
      </c>
      <c r="J47" s="28">
        <f>IF($A47="","",INDEX(決定版!$A$4:$AK$53,計算用!$BE$43,IF(計算用!$BB$43="男",0,19)+12))</f>
        <v/>
      </c>
      <c r="K47">
        <f>IF($A47="","",INDEX(決定版!$A$4:$AK$53,計算用!$BE$43,IF(計算用!$BB$43="男",0,19)+13))</f>
        <v/>
      </c>
      <c r="L47" s="28">
        <f>IF($A47="","",INDEX(決定版!$A$4:$AK$53,計算用!$BE$43,IF(計算用!$BB$43="男",0,19)+14))</f>
        <v/>
      </c>
      <c r="M47" s="28">
        <f>IF($A47="","",INDEX(決定版!$A$4:$AK$53,計算用!$BE$43,IF(計算用!$BB$43="男",0,19)+15))</f>
        <v/>
      </c>
      <c r="N47">
        <f>IF($A47="","",INDEX(決定版!$A$4:$AK$53,計算用!$BE$43,IF(計算用!$BB$43="男",0,19)+16))</f>
        <v/>
      </c>
      <c r="O47" s="28">
        <f>IF($A47="","",INDEX(決定版!$A$4:$AK$53,計算用!$BE$43,IF(計算用!$BB$43="男",0,19)+17))</f>
        <v/>
      </c>
      <c r="P47" s="28">
        <f>IF($A47="","",INDEX(決定版!$A$4:$AK$53,計算用!$BE$43,IF(計算用!$BB$43="男",0,19)+18))</f>
        <v/>
      </c>
    </row>
    <row r="48">
      <c r="A48" s="28">
        <f>IF(計算用!$BB$44="","",計算用!$BA$44)</f>
        <v/>
      </c>
      <c r="B48">
        <f>IF($A48="","",INDEX(決定版!$A$4:$AK$53,計算用!$BE$44,IF(計算用!$BB$44="男",0,19)+4))</f>
        <v/>
      </c>
      <c r="C48" s="28">
        <f>IF($A48="","",INDEX(決定版!$A$4:$AK$53,計算用!$BE$44,IF(計算用!$BB$44="男",0,19)+5))</f>
        <v/>
      </c>
      <c r="D48" s="28">
        <f>IF($A48="","",INDEX(決定版!$A$4:$AK$53,計算用!$BE$44,IF(計算用!$BB$44="男",0,19)+6))</f>
        <v/>
      </c>
      <c r="E48">
        <f>IF($A48="","",INDEX(決定版!$A$4:$AK$53,計算用!$BE$44,IF(計算用!$BB$44="男",0,19)+7))</f>
        <v/>
      </c>
      <c r="F48" s="28">
        <f>IF($A48="","",INDEX(決定版!$A$4:$AK$53,計算用!$BE$44,IF(計算用!$BB$44="男",0,19)+8))</f>
        <v/>
      </c>
      <c r="G48" s="28">
        <f>IF($A48="","",INDEX(決定版!$A$4:$AK$53,計算用!$BE$44,IF(計算用!$BB$44="男",0,19)+9))</f>
        <v/>
      </c>
      <c r="H48">
        <f>IF($A48="","",INDEX(決定版!$A$4:$AK$53,計算用!$BE$44,IF(計算用!$BB$44="男",0,19)+10))</f>
        <v/>
      </c>
      <c r="I48" s="28">
        <f>IF($A48="","",INDEX(決定版!$A$4:$AK$53,計算用!$BE$44,IF(計算用!$BB$44="男",0,19)+11))</f>
        <v/>
      </c>
      <c r="J48" s="28">
        <f>IF($A48="","",INDEX(決定版!$A$4:$AK$53,計算用!$BE$44,IF(計算用!$BB$44="男",0,19)+12))</f>
        <v/>
      </c>
      <c r="K48">
        <f>IF($A48="","",INDEX(決定版!$A$4:$AK$53,計算用!$BE$44,IF(計算用!$BB$44="男",0,19)+13))</f>
        <v/>
      </c>
      <c r="L48" s="28">
        <f>IF($A48="","",INDEX(決定版!$A$4:$AK$53,計算用!$BE$44,IF(計算用!$BB$44="男",0,19)+14))</f>
        <v/>
      </c>
      <c r="M48" s="28">
        <f>IF($A48="","",INDEX(決定版!$A$4:$AK$53,計算用!$BE$44,IF(計算用!$BB$44="男",0,19)+15))</f>
        <v/>
      </c>
      <c r="N48">
        <f>IF($A48="","",INDEX(決定版!$A$4:$AK$53,計算用!$BE$44,IF(計算用!$BB$44="男",0,19)+16))</f>
        <v/>
      </c>
      <c r="O48" s="28">
        <f>IF($A48="","",INDEX(決定版!$A$4:$AK$53,計算用!$BE$44,IF(計算用!$BB$44="男",0,19)+17))</f>
        <v/>
      </c>
      <c r="P48" s="28">
        <f>IF($A48="","",INDEX(決定版!$A$4:$AK$53,計算用!$BE$44,IF(計算用!$BB$44="男",0,19)+18))</f>
        <v/>
      </c>
    </row>
    <row r="49">
      <c r="A49" s="28">
        <f>IF(計算用!$BB$45="","",計算用!$BA$45)</f>
        <v/>
      </c>
      <c r="B49">
        <f>IF($A49="","",INDEX(決定版!$A$4:$AK$53,計算用!$BE$45,IF(計算用!$BB$45="男",0,19)+4))</f>
        <v/>
      </c>
      <c r="C49" s="28">
        <f>IF($A49="","",INDEX(決定版!$A$4:$AK$53,計算用!$BE$45,IF(計算用!$BB$45="男",0,19)+5))</f>
        <v/>
      </c>
      <c r="D49" s="28">
        <f>IF($A49="","",INDEX(決定版!$A$4:$AK$53,計算用!$BE$45,IF(計算用!$BB$45="男",0,19)+6))</f>
        <v/>
      </c>
      <c r="E49">
        <f>IF($A49="","",INDEX(決定版!$A$4:$AK$53,計算用!$BE$45,IF(計算用!$BB$45="男",0,19)+7))</f>
        <v/>
      </c>
      <c r="F49" s="28">
        <f>IF($A49="","",INDEX(決定版!$A$4:$AK$53,計算用!$BE$45,IF(計算用!$BB$45="男",0,19)+8))</f>
        <v/>
      </c>
      <c r="G49" s="28">
        <f>IF($A49="","",INDEX(決定版!$A$4:$AK$53,計算用!$BE$45,IF(計算用!$BB$45="男",0,19)+9))</f>
        <v/>
      </c>
      <c r="H49">
        <f>IF($A49="","",INDEX(決定版!$A$4:$AK$53,計算用!$BE$45,IF(計算用!$BB$45="男",0,19)+10))</f>
        <v/>
      </c>
      <c r="I49" s="28">
        <f>IF($A49="","",INDEX(決定版!$A$4:$AK$53,計算用!$BE$45,IF(計算用!$BB$45="男",0,19)+11))</f>
        <v/>
      </c>
      <c r="J49" s="28">
        <f>IF($A49="","",INDEX(決定版!$A$4:$AK$53,計算用!$BE$45,IF(計算用!$BB$45="男",0,19)+12))</f>
        <v/>
      </c>
      <c r="K49">
        <f>IF($A49="","",INDEX(決定版!$A$4:$AK$53,計算用!$BE$45,IF(計算用!$BB$45="男",0,19)+13))</f>
        <v/>
      </c>
      <c r="L49" s="28">
        <f>IF($A49="","",INDEX(決定版!$A$4:$AK$53,計算用!$BE$45,IF(計算用!$BB$45="男",0,19)+14))</f>
        <v/>
      </c>
      <c r="M49" s="28">
        <f>IF($A49="","",INDEX(決定版!$A$4:$AK$53,計算用!$BE$45,IF(計算用!$BB$45="男",0,19)+15))</f>
        <v/>
      </c>
      <c r="N49">
        <f>IF($A49="","",INDEX(決定版!$A$4:$AK$53,計算用!$BE$45,IF(計算用!$BB$45="男",0,19)+16))</f>
        <v/>
      </c>
      <c r="O49" s="28">
        <f>IF($A49="","",INDEX(決定版!$A$4:$AK$53,計算用!$BE$45,IF(計算用!$BB$45="男",0,19)+17))</f>
        <v/>
      </c>
      <c r="P49" s="28">
        <f>IF($A49="","",INDEX(決定版!$A$4:$AK$53,計算用!$BE$45,IF(計算用!$BB$45="男",0,19)+18))</f>
        <v/>
      </c>
    </row>
    <row r="50">
      <c r="A50" s="28">
        <f>IF(計算用!$BB$46="","",計算用!$BA$46)</f>
        <v/>
      </c>
      <c r="B50">
        <f>IF($A50="","",INDEX(決定版!$A$4:$AK$53,計算用!$BE$46,IF(計算用!$BB$46="男",0,19)+4))</f>
        <v/>
      </c>
      <c r="C50" s="28">
        <f>IF($A50="","",INDEX(決定版!$A$4:$AK$53,計算用!$BE$46,IF(計算用!$BB$46="男",0,19)+5))</f>
        <v/>
      </c>
      <c r="D50" s="28">
        <f>IF($A50="","",INDEX(決定版!$A$4:$AK$53,計算用!$BE$46,IF(計算用!$BB$46="男",0,19)+6))</f>
        <v/>
      </c>
      <c r="E50">
        <f>IF($A50="","",INDEX(決定版!$A$4:$AK$53,計算用!$BE$46,IF(計算用!$BB$46="男",0,19)+7))</f>
        <v/>
      </c>
      <c r="F50" s="28">
        <f>IF($A50="","",INDEX(決定版!$A$4:$AK$53,計算用!$BE$46,IF(計算用!$BB$46="男",0,19)+8))</f>
        <v/>
      </c>
      <c r="G50" s="28">
        <f>IF($A50="","",INDEX(決定版!$A$4:$AK$53,計算用!$BE$46,IF(計算用!$BB$46="男",0,19)+9))</f>
        <v/>
      </c>
      <c r="H50">
        <f>IF($A50="","",INDEX(決定版!$A$4:$AK$53,計算用!$BE$46,IF(計算用!$BB$46="男",0,19)+10))</f>
        <v/>
      </c>
      <c r="I50" s="28">
        <f>IF($A50="","",INDEX(決定版!$A$4:$AK$53,計算用!$BE$46,IF(計算用!$BB$46="男",0,19)+11))</f>
        <v/>
      </c>
      <c r="J50" s="28">
        <f>IF($A50="","",INDEX(決定版!$A$4:$AK$53,計算用!$BE$46,IF(計算用!$BB$46="男",0,19)+12))</f>
        <v/>
      </c>
      <c r="K50">
        <f>IF($A50="","",INDEX(決定版!$A$4:$AK$53,計算用!$BE$46,IF(計算用!$BB$46="男",0,19)+13))</f>
        <v/>
      </c>
      <c r="L50" s="28">
        <f>IF($A50="","",INDEX(決定版!$A$4:$AK$53,計算用!$BE$46,IF(計算用!$BB$46="男",0,19)+14))</f>
        <v/>
      </c>
      <c r="M50" s="28">
        <f>IF($A50="","",INDEX(決定版!$A$4:$AK$53,計算用!$BE$46,IF(計算用!$BB$46="男",0,19)+15))</f>
        <v/>
      </c>
      <c r="N50">
        <f>IF($A50="","",INDEX(決定版!$A$4:$AK$53,計算用!$BE$46,IF(計算用!$BB$46="男",0,19)+16))</f>
        <v/>
      </c>
      <c r="O50" s="28">
        <f>IF($A50="","",INDEX(決定版!$A$4:$AK$53,計算用!$BE$46,IF(計算用!$BB$46="男",0,19)+17))</f>
        <v/>
      </c>
      <c r="P50" s="28">
        <f>IF($A50="","",INDEX(決定版!$A$4:$AK$53,計算用!$BE$46,IF(計算用!$BB$46="男",0,19)+18))</f>
        <v/>
      </c>
    </row>
    <row r="51">
      <c r="A51" s="28">
        <f>IF(計算用!$BB$47="","",計算用!$BA$47)</f>
        <v/>
      </c>
      <c r="B51">
        <f>IF($A51="","",INDEX(決定版!$A$4:$AK$53,計算用!$BE$47,IF(計算用!$BB$47="男",0,19)+4))</f>
        <v/>
      </c>
      <c r="C51" s="28">
        <f>IF($A51="","",INDEX(決定版!$A$4:$AK$53,計算用!$BE$47,IF(計算用!$BB$47="男",0,19)+5))</f>
        <v/>
      </c>
      <c r="D51" s="28">
        <f>IF($A51="","",INDEX(決定版!$A$4:$AK$53,計算用!$BE$47,IF(計算用!$BB$47="男",0,19)+6))</f>
        <v/>
      </c>
      <c r="E51">
        <f>IF($A51="","",INDEX(決定版!$A$4:$AK$53,計算用!$BE$47,IF(計算用!$BB$47="男",0,19)+7))</f>
        <v/>
      </c>
      <c r="F51" s="28">
        <f>IF($A51="","",INDEX(決定版!$A$4:$AK$53,計算用!$BE$47,IF(計算用!$BB$47="男",0,19)+8))</f>
        <v/>
      </c>
      <c r="G51" s="28">
        <f>IF($A51="","",INDEX(決定版!$A$4:$AK$53,計算用!$BE$47,IF(計算用!$BB$47="男",0,19)+9))</f>
        <v/>
      </c>
      <c r="H51">
        <f>IF($A51="","",INDEX(決定版!$A$4:$AK$53,計算用!$BE$47,IF(計算用!$BB$47="男",0,19)+10))</f>
        <v/>
      </c>
      <c r="I51" s="28">
        <f>IF($A51="","",INDEX(決定版!$A$4:$AK$53,計算用!$BE$47,IF(計算用!$BB$47="男",0,19)+11))</f>
        <v/>
      </c>
      <c r="J51" s="28">
        <f>IF($A51="","",INDEX(決定版!$A$4:$AK$53,計算用!$BE$47,IF(計算用!$BB$47="男",0,19)+12))</f>
        <v/>
      </c>
      <c r="K51">
        <f>IF($A51="","",INDEX(決定版!$A$4:$AK$53,計算用!$BE$47,IF(計算用!$BB$47="男",0,19)+13))</f>
        <v/>
      </c>
      <c r="L51" s="28">
        <f>IF($A51="","",INDEX(決定版!$A$4:$AK$53,計算用!$BE$47,IF(計算用!$BB$47="男",0,19)+14))</f>
        <v/>
      </c>
      <c r="M51" s="28">
        <f>IF($A51="","",INDEX(決定版!$A$4:$AK$53,計算用!$BE$47,IF(計算用!$BB$47="男",0,19)+15))</f>
        <v/>
      </c>
      <c r="N51">
        <f>IF($A51="","",INDEX(決定版!$A$4:$AK$53,計算用!$BE$47,IF(計算用!$BB$47="男",0,19)+16))</f>
        <v/>
      </c>
      <c r="O51" s="28">
        <f>IF($A51="","",INDEX(決定版!$A$4:$AK$53,計算用!$BE$47,IF(計算用!$BB$47="男",0,19)+17))</f>
        <v/>
      </c>
      <c r="P51" s="28">
        <f>IF($A51="","",INDEX(決定版!$A$4:$AK$53,計算用!$BE$47,IF(計算用!$BB$47="男",0,19)+18))</f>
        <v/>
      </c>
    </row>
    <row r="52">
      <c r="A52" s="28">
        <f>IF(計算用!$BB$48="","",計算用!$BA$48)</f>
        <v/>
      </c>
      <c r="B52">
        <f>IF($A52="","",INDEX(決定版!$A$4:$AK$53,計算用!$BE$48,IF(計算用!$BB$48="男",0,19)+4))</f>
        <v/>
      </c>
      <c r="C52" s="28">
        <f>IF($A52="","",INDEX(決定版!$A$4:$AK$53,計算用!$BE$48,IF(計算用!$BB$48="男",0,19)+5))</f>
        <v/>
      </c>
      <c r="D52" s="28">
        <f>IF($A52="","",INDEX(決定版!$A$4:$AK$53,計算用!$BE$48,IF(計算用!$BB$48="男",0,19)+6))</f>
        <v/>
      </c>
      <c r="E52">
        <f>IF($A52="","",INDEX(決定版!$A$4:$AK$53,計算用!$BE$48,IF(計算用!$BB$48="男",0,19)+7))</f>
        <v/>
      </c>
      <c r="F52" s="28">
        <f>IF($A52="","",INDEX(決定版!$A$4:$AK$53,計算用!$BE$48,IF(計算用!$BB$48="男",0,19)+8))</f>
        <v/>
      </c>
      <c r="G52" s="28">
        <f>IF($A52="","",INDEX(決定版!$A$4:$AK$53,計算用!$BE$48,IF(計算用!$BB$48="男",0,19)+9))</f>
        <v/>
      </c>
      <c r="H52">
        <f>IF($A52="","",INDEX(決定版!$A$4:$AK$53,計算用!$BE$48,IF(計算用!$BB$48="男",0,19)+10))</f>
        <v/>
      </c>
      <c r="I52" s="28">
        <f>IF($A52="","",INDEX(決定版!$A$4:$AK$53,計算用!$BE$48,IF(計算用!$BB$48="男",0,19)+11))</f>
        <v/>
      </c>
      <c r="J52" s="28">
        <f>IF($A52="","",INDEX(決定版!$A$4:$AK$53,計算用!$BE$48,IF(計算用!$BB$48="男",0,19)+12))</f>
        <v/>
      </c>
      <c r="K52">
        <f>IF($A52="","",INDEX(決定版!$A$4:$AK$53,計算用!$BE$48,IF(計算用!$BB$48="男",0,19)+13))</f>
        <v/>
      </c>
      <c r="L52" s="28">
        <f>IF($A52="","",INDEX(決定版!$A$4:$AK$53,計算用!$BE$48,IF(計算用!$BB$48="男",0,19)+14))</f>
        <v/>
      </c>
      <c r="M52" s="28">
        <f>IF($A52="","",INDEX(決定版!$A$4:$AK$53,計算用!$BE$48,IF(計算用!$BB$48="男",0,19)+15))</f>
        <v/>
      </c>
      <c r="N52">
        <f>IF($A52="","",INDEX(決定版!$A$4:$AK$53,計算用!$BE$48,IF(計算用!$BB$48="男",0,19)+16))</f>
        <v/>
      </c>
      <c r="O52" s="28">
        <f>IF($A52="","",INDEX(決定版!$A$4:$AK$53,計算用!$BE$48,IF(計算用!$BB$48="男",0,19)+17))</f>
        <v/>
      </c>
      <c r="P52" s="28">
        <f>IF($A52="","",INDEX(決定版!$A$4:$AK$53,計算用!$BE$48,IF(計算用!$BB$48="男",0,19)+18))</f>
        <v/>
      </c>
    </row>
    <row r="53">
      <c r="A53" s="28">
        <f>IF(計算用!$BB$49="","",計算用!$BA$49)</f>
        <v/>
      </c>
      <c r="B53">
        <f>IF($A53="","",INDEX(決定版!$A$4:$AK$53,計算用!$BE$49,IF(計算用!$BB$49="男",0,19)+4))</f>
        <v/>
      </c>
      <c r="C53" s="28">
        <f>IF($A53="","",INDEX(決定版!$A$4:$AK$53,計算用!$BE$49,IF(計算用!$BB$49="男",0,19)+5))</f>
        <v/>
      </c>
      <c r="D53" s="28">
        <f>IF($A53="","",INDEX(決定版!$A$4:$AK$53,計算用!$BE$49,IF(計算用!$BB$49="男",0,19)+6))</f>
        <v/>
      </c>
      <c r="E53">
        <f>IF($A53="","",INDEX(決定版!$A$4:$AK$53,計算用!$BE$49,IF(計算用!$BB$49="男",0,19)+7))</f>
        <v/>
      </c>
      <c r="F53" s="28">
        <f>IF($A53="","",INDEX(決定版!$A$4:$AK$53,計算用!$BE$49,IF(計算用!$BB$49="男",0,19)+8))</f>
        <v/>
      </c>
      <c r="G53" s="28">
        <f>IF($A53="","",INDEX(決定版!$A$4:$AK$53,計算用!$BE$49,IF(計算用!$BB$49="男",0,19)+9))</f>
        <v/>
      </c>
      <c r="H53">
        <f>IF($A53="","",INDEX(決定版!$A$4:$AK$53,計算用!$BE$49,IF(計算用!$BB$49="男",0,19)+10))</f>
        <v/>
      </c>
      <c r="I53" s="28">
        <f>IF($A53="","",INDEX(決定版!$A$4:$AK$53,計算用!$BE$49,IF(計算用!$BB$49="男",0,19)+11))</f>
        <v/>
      </c>
      <c r="J53" s="28">
        <f>IF($A53="","",INDEX(決定版!$A$4:$AK$53,計算用!$BE$49,IF(計算用!$BB$49="男",0,19)+12))</f>
        <v/>
      </c>
      <c r="K53">
        <f>IF($A53="","",INDEX(決定版!$A$4:$AK$53,計算用!$BE$49,IF(計算用!$BB$49="男",0,19)+13))</f>
        <v/>
      </c>
      <c r="L53" s="28">
        <f>IF($A53="","",INDEX(決定版!$A$4:$AK$53,計算用!$BE$49,IF(計算用!$BB$49="男",0,19)+14))</f>
        <v/>
      </c>
      <c r="M53" s="28">
        <f>IF($A53="","",INDEX(決定版!$A$4:$AK$53,計算用!$BE$49,IF(計算用!$BB$49="男",0,19)+15))</f>
        <v/>
      </c>
      <c r="N53">
        <f>IF($A53="","",INDEX(決定版!$A$4:$AK$53,計算用!$BE$49,IF(計算用!$BB$49="男",0,19)+16))</f>
        <v/>
      </c>
      <c r="O53" s="28">
        <f>IF($A53="","",INDEX(決定版!$A$4:$AK$53,計算用!$BE$49,IF(計算用!$BB$49="男",0,19)+17))</f>
        <v/>
      </c>
      <c r="P53" s="28">
        <f>IF($A53="","",INDEX(決定版!$A$4:$AK$53,計算用!$BE$49,IF(計算用!$BB$49="男",0,19)+18))</f>
        <v/>
      </c>
    </row>
    <row r="54">
      <c r="A54" s="28">
        <f>IF(計算用!$BB$50="","",計算用!$BA$50)</f>
        <v/>
      </c>
      <c r="B54">
        <f>IF($A54="","",INDEX(決定版!$A$4:$AK$53,計算用!$BE$50,IF(計算用!$BB$50="男",0,19)+4))</f>
        <v/>
      </c>
      <c r="C54" s="28">
        <f>IF($A54="","",INDEX(決定版!$A$4:$AK$53,計算用!$BE$50,IF(計算用!$BB$50="男",0,19)+5))</f>
        <v/>
      </c>
      <c r="D54" s="28">
        <f>IF($A54="","",INDEX(決定版!$A$4:$AK$53,計算用!$BE$50,IF(計算用!$BB$50="男",0,19)+6))</f>
        <v/>
      </c>
      <c r="E54">
        <f>IF($A54="","",INDEX(決定版!$A$4:$AK$53,計算用!$BE$50,IF(計算用!$BB$50="男",0,19)+7))</f>
        <v/>
      </c>
      <c r="F54" s="28">
        <f>IF($A54="","",INDEX(決定版!$A$4:$AK$53,計算用!$BE$50,IF(計算用!$BB$50="男",0,19)+8))</f>
        <v/>
      </c>
      <c r="G54" s="28">
        <f>IF($A54="","",INDEX(決定版!$A$4:$AK$53,計算用!$BE$50,IF(計算用!$BB$50="男",0,19)+9))</f>
        <v/>
      </c>
      <c r="H54">
        <f>IF($A54="","",INDEX(決定版!$A$4:$AK$53,計算用!$BE$50,IF(計算用!$BB$50="男",0,19)+10))</f>
        <v/>
      </c>
      <c r="I54" s="28">
        <f>IF($A54="","",INDEX(決定版!$A$4:$AK$53,計算用!$BE$50,IF(計算用!$BB$50="男",0,19)+11))</f>
        <v/>
      </c>
      <c r="J54" s="28">
        <f>IF($A54="","",INDEX(決定版!$A$4:$AK$53,計算用!$BE$50,IF(計算用!$BB$50="男",0,19)+12))</f>
        <v/>
      </c>
      <c r="K54">
        <f>IF($A54="","",INDEX(決定版!$A$4:$AK$53,計算用!$BE$50,IF(計算用!$BB$50="男",0,19)+13))</f>
        <v/>
      </c>
      <c r="L54" s="28">
        <f>IF($A54="","",INDEX(決定版!$A$4:$AK$53,計算用!$BE$50,IF(計算用!$BB$50="男",0,19)+14))</f>
        <v/>
      </c>
      <c r="M54" s="28">
        <f>IF($A54="","",INDEX(決定版!$A$4:$AK$53,計算用!$BE$50,IF(計算用!$BB$50="男",0,19)+15))</f>
        <v/>
      </c>
      <c r="N54">
        <f>IF($A54="","",INDEX(決定版!$A$4:$AK$53,計算用!$BE$50,IF(計算用!$BB$50="男",0,19)+16))</f>
        <v/>
      </c>
      <c r="O54" s="28">
        <f>IF($A54="","",INDEX(決定版!$A$4:$AK$53,計算用!$BE$50,IF(計算用!$BB$50="男",0,19)+17))</f>
        <v/>
      </c>
      <c r="P54" s="28">
        <f>IF($A54="","",INDEX(決定版!$A$4:$AK$53,計算用!$BE$50,IF(計算用!$BB$50="男",0,19)+18))</f>
        <v/>
      </c>
    </row>
    <row r="55">
      <c r="A55" s="28">
        <f>IF(計算用!$BB$51="","",計算用!$BA$51)</f>
        <v/>
      </c>
      <c r="B55">
        <f>IF($A55="","",INDEX(決定版!$A$4:$AK$53,計算用!$BE$51,IF(計算用!$BB$51="男",0,19)+4))</f>
        <v/>
      </c>
      <c r="C55" s="28">
        <f>IF($A55="","",INDEX(決定版!$A$4:$AK$53,計算用!$BE$51,IF(計算用!$BB$51="男",0,19)+5))</f>
        <v/>
      </c>
      <c r="D55" s="28">
        <f>IF($A55="","",INDEX(決定版!$A$4:$AK$53,計算用!$BE$51,IF(計算用!$BB$51="男",0,19)+6))</f>
        <v/>
      </c>
      <c r="E55">
        <f>IF($A55="","",INDEX(決定版!$A$4:$AK$53,計算用!$BE$51,IF(計算用!$BB$51="男",0,19)+7))</f>
        <v/>
      </c>
      <c r="F55" s="28">
        <f>IF($A55="","",INDEX(決定版!$A$4:$AK$53,計算用!$BE$51,IF(計算用!$BB$51="男",0,19)+8))</f>
        <v/>
      </c>
      <c r="G55" s="28">
        <f>IF($A55="","",INDEX(決定版!$A$4:$AK$53,計算用!$BE$51,IF(計算用!$BB$51="男",0,19)+9))</f>
        <v/>
      </c>
      <c r="H55">
        <f>IF($A55="","",INDEX(決定版!$A$4:$AK$53,計算用!$BE$51,IF(計算用!$BB$51="男",0,19)+10))</f>
        <v/>
      </c>
      <c r="I55" s="28">
        <f>IF($A55="","",INDEX(決定版!$A$4:$AK$53,計算用!$BE$51,IF(計算用!$BB$51="男",0,19)+11))</f>
        <v/>
      </c>
      <c r="J55" s="28">
        <f>IF($A55="","",INDEX(決定版!$A$4:$AK$53,計算用!$BE$51,IF(計算用!$BB$51="男",0,19)+12))</f>
        <v/>
      </c>
      <c r="K55">
        <f>IF($A55="","",INDEX(決定版!$A$4:$AK$53,計算用!$BE$51,IF(計算用!$BB$51="男",0,19)+13))</f>
        <v/>
      </c>
      <c r="L55" s="28">
        <f>IF($A55="","",INDEX(決定版!$A$4:$AK$53,計算用!$BE$51,IF(計算用!$BB$51="男",0,19)+14))</f>
        <v/>
      </c>
      <c r="M55" s="28">
        <f>IF($A55="","",INDEX(決定版!$A$4:$AK$53,計算用!$BE$51,IF(計算用!$BB$51="男",0,19)+15))</f>
        <v/>
      </c>
      <c r="N55">
        <f>IF($A55="","",INDEX(決定版!$A$4:$AK$53,計算用!$BE$51,IF(計算用!$BB$51="男",0,19)+16))</f>
        <v/>
      </c>
      <c r="O55" s="28">
        <f>IF($A55="","",INDEX(決定版!$A$4:$AK$53,計算用!$BE$51,IF(計算用!$BB$51="男",0,19)+17))</f>
        <v/>
      </c>
      <c r="P55" s="28">
        <f>IF($A55="","",INDEX(決定版!$A$4:$AK$53,計算用!$BE$51,IF(計算用!$BB$51="男",0,19)+18))</f>
        <v/>
      </c>
    </row>
    <row r="56">
      <c r="A56" s="28">
        <f>IF(計算用!$BB$52="","",計算用!$BA$52)</f>
        <v/>
      </c>
      <c r="B56">
        <f>IF($A56="","",INDEX(決定版!$A$4:$AK$53,計算用!$BE$52,IF(計算用!$BB$52="男",0,19)+4))</f>
        <v/>
      </c>
      <c r="C56" s="28">
        <f>IF($A56="","",INDEX(決定版!$A$4:$AK$53,計算用!$BE$52,IF(計算用!$BB$52="男",0,19)+5))</f>
        <v/>
      </c>
      <c r="D56" s="28">
        <f>IF($A56="","",INDEX(決定版!$A$4:$AK$53,計算用!$BE$52,IF(計算用!$BB$52="男",0,19)+6))</f>
        <v/>
      </c>
      <c r="E56">
        <f>IF($A56="","",INDEX(決定版!$A$4:$AK$53,計算用!$BE$52,IF(計算用!$BB$52="男",0,19)+7))</f>
        <v/>
      </c>
      <c r="F56" s="28">
        <f>IF($A56="","",INDEX(決定版!$A$4:$AK$53,計算用!$BE$52,IF(計算用!$BB$52="男",0,19)+8))</f>
        <v/>
      </c>
      <c r="G56" s="28">
        <f>IF($A56="","",INDEX(決定版!$A$4:$AK$53,計算用!$BE$52,IF(計算用!$BB$52="男",0,19)+9))</f>
        <v/>
      </c>
      <c r="H56">
        <f>IF($A56="","",INDEX(決定版!$A$4:$AK$53,計算用!$BE$52,IF(計算用!$BB$52="男",0,19)+10))</f>
        <v/>
      </c>
      <c r="I56" s="28">
        <f>IF($A56="","",INDEX(決定版!$A$4:$AK$53,計算用!$BE$52,IF(計算用!$BB$52="男",0,19)+11))</f>
        <v/>
      </c>
      <c r="J56" s="28">
        <f>IF($A56="","",INDEX(決定版!$A$4:$AK$53,計算用!$BE$52,IF(計算用!$BB$52="男",0,19)+12))</f>
        <v/>
      </c>
      <c r="K56">
        <f>IF($A56="","",INDEX(決定版!$A$4:$AK$53,計算用!$BE$52,IF(計算用!$BB$52="男",0,19)+13))</f>
        <v/>
      </c>
      <c r="L56" s="28">
        <f>IF($A56="","",INDEX(決定版!$A$4:$AK$53,計算用!$BE$52,IF(計算用!$BB$52="男",0,19)+14))</f>
        <v/>
      </c>
      <c r="M56" s="28">
        <f>IF($A56="","",INDEX(決定版!$A$4:$AK$53,計算用!$BE$52,IF(計算用!$BB$52="男",0,19)+15))</f>
        <v/>
      </c>
      <c r="N56">
        <f>IF($A56="","",INDEX(決定版!$A$4:$AK$53,計算用!$BE$52,IF(計算用!$BB$52="男",0,19)+16))</f>
        <v/>
      </c>
      <c r="O56" s="28">
        <f>IF($A56="","",INDEX(決定版!$A$4:$AK$53,計算用!$BE$52,IF(計算用!$BB$52="男",0,19)+17))</f>
        <v/>
      </c>
      <c r="P56" s="28">
        <f>IF($A56="","",INDEX(決定版!$A$4:$AK$53,計算用!$BE$52,IF(計算用!$BB$52="男",0,19)+18))</f>
        <v/>
      </c>
    </row>
    <row r="57">
      <c r="A57" s="28">
        <f>IF(計算用!$BB$53="","",計算用!$BA$53)</f>
        <v/>
      </c>
      <c r="B57">
        <f>IF($A57="","",INDEX(決定版!$A$4:$AK$53,計算用!$BE$53,IF(計算用!$BB$53="男",0,19)+4))</f>
        <v/>
      </c>
      <c r="C57" s="28">
        <f>IF($A57="","",INDEX(決定版!$A$4:$AK$53,計算用!$BE$53,IF(計算用!$BB$53="男",0,19)+5))</f>
        <v/>
      </c>
      <c r="D57" s="28">
        <f>IF($A57="","",INDEX(決定版!$A$4:$AK$53,計算用!$BE$53,IF(計算用!$BB$53="男",0,19)+6))</f>
        <v/>
      </c>
      <c r="E57">
        <f>IF($A57="","",INDEX(決定版!$A$4:$AK$53,計算用!$BE$53,IF(計算用!$BB$53="男",0,19)+7))</f>
        <v/>
      </c>
      <c r="F57" s="28">
        <f>IF($A57="","",INDEX(決定版!$A$4:$AK$53,計算用!$BE$53,IF(計算用!$BB$53="男",0,19)+8))</f>
        <v/>
      </c>
      <c r="G57" s="28">
        <f>IF($A57="","",INDEX(決定版!$A$4:$AK$53,計算用!$BE$53,IF(計算用!$BB$53="男",0,19)+9))</f>
        <v/>
      </c>
      <c r="H57">
        <f>IF($A57="","",INDEX(決定版!$A$4:$AK$53,計算用!$BE$53,IF(計算用!$BB$53="男",0,19)+10))</f>
        <v/>
      </c>
      <c r="I57" s="28">
        <f>IF($A57="","",INDEX(決定版!$A$4:$AK$53,計算用!$BE$53,IF(計算用!$BB$53="男",0,19)+11))</f>
        <v/>
      </c>
      <c r="J57" s="28">
        <f>IF($A57="","",INDEX(決定版!$A$4:$AK$53,計算用!$BE$53,IF(計算用!$BB$53="男",0,19)+12))</f>
        <v/>
      </c>
      <c r="K57">
        <f>IF($A57="","",INDEX(決定版!$A$4:$AK$53,計算用!$BE$53,IF(計算用!$BB$53="男",0,19)+13))</f>
        <v/>
      </c>
      <c r="L57" s="28">
        <f>IF($A57="","",INDEX(決定版!$A$4:$AK$53,計算用!$BE$53,IF(計算用!$BB$53="男",0,19)+14))</f>
        <v/>
      </c>
      <c r="M57" s="28">
        <f>IF($A57="","",INDEX(決定版!$A$4:$AK$53,計算用!$BE$53,IF(計算用!$BB$53="男",0,19)+15))</f>
        <v/>
      </c>
      <c r="N57">
        <f>IF($A57="","",INDEX(決定版!$A$4:$AK$53,計算用!$BE$53,IF(計算用!$BB$53="男",0,19)+16))</f>
        <v/>
      </c>
      <c r="O57" s="28">
        <f>IF($A57="","",INDEX(決定版!$A$4:$AK$53,計算用!$BE$53,IF(計算用!$BB$53="男",0,19)+17))</f>
        <v/>
      </c>
      <c r="P57" s="28">
        <f>IF($A57="","",INDEX(決定版!$A$4:$AK$53,計算用!$BE$53,IF(計算用!$BB$53="男",0,19)+18))</f>
        <v/>
      </c>
    </row>
    <row r="58">
      <c r="A58" s="28">
        <f>IF(計算用!$BB$54="","",計算用!$BA$54)</f>
        <v/>
      </c>
      <c r="B58">
        <f>IF($A58="","",INDEX(決定版!$A$4:$AK$53,計算用!$BE$54,IF(計算用!$BB$54="男",0,19)+4))</f>
        <v/>
      </c>
      <c r="C58" s="28">
        <f>IF($A58="","",INDEX(決定版!$A$4:$AK$53,計算用!$BE$54,IF(計算用!$BB$54="男",0,19)+5))</f>
        <v/>
      </c>
      <c r="D58" s="28">
        <f>IF($A58="","",INDEX(決定版!$A$4:$AK$53,計算用!$BE$54,IF(計算用!$BB$54="男",0,19)+6))</f>
        <v/>
      </c>
      <c r="E58">
        <f>IF($A58="","",INDEX(決定版!$A$4:$AK$53,計算用!$BE$54,IF(計算用!$BB$54="男",0,19)+7))</f>
        <v/>
      </c>
      <c r="F58" s="28">
        <f>IF($A58="","",INDEX(決定版!$A$4:$AK$53,計算用!$BE$54,IF(計算用!$BB$54="男",0,19)+8))</f>
        <v/>
      </c>
      <c r="G58" s="28">
        <f>IF($A58="","",INDEX(決定版!$A$4:$AK$53,計算用!$BE$54,IF(計算用!$BB$54="男",0,19)+9))</f>
        <v/>
      </c>
      <c r="H58">
        <f>IF($A58="","",INDEX(決定版!$A$4:$AK$53,計算用!$BE$54,IF(計算用!$BB$54="男",0,19)+10))</f>
        <v/>
      </c>
      <c r="I58" s="28">
        <f>IF($A58="","",INDEX(決定版!$A$4:$AK$53,計算用!$BE$54,IF(計算用!$BB$54="男",0,19)+11))</f>
        <v/>
      </c>
      <c r="J58" s="28">
        <f>IF($A58="","",INDEX(決定版!$A$4:$AK$53,計算用!$BE$54,IF(計算用!$BB$54="男",0,19)+12))</f>
        <v/>
      </c>
      <c r="K58">
        <f>IF($A58="","",INDEX(決定版!$A$4:$AK$53,計算用!$BE$54,IF(計算用!$BB$54="男",0,19)+13))</f>
        <v/>
      </c>
      <c r="L58" s="28">
        <f>IF($A58="","",INDEX(決定版!$A$4:$AK$53,計算用!$BE$54,IF(計算用!$BB$54="男",0,19)+14))</f>
        <v/>
      </c>
      <c r="M58" s="28">
        <f>IF($A58="","",INDEX(決定版!$A$4:$AK$53,計算用!$BE$54,IF(計算用!$BB$54="男",0,19)+15))</f>
        <v/>
      </c>
      <c r="N58">
        <f>IF($A58="","",INDEX(決定版!$A$4:$AK$53,計算用!$BE$54,IF(計算用!$BB$54="男",0,19)+16))</f>
        <v/>
      </c>
      <c r="O58" s="28">
        <f>IF($A58="","",INDEX(決定版!$A$4:$AK$53,計算用!$BE$54,IF(計算用!$BB$54="男",0,19)+17))</f>
        <v/>
      </c>
      <c r="P58" s="28">
        <f>IF($A58="","",INDEX(決定版!$A$4:$AK$53,計算用!$BE$54,IF(計算用!$BB$54="男",0,19)+18))</f>
        <v/>
      </c>
    </row>
    <row r="59">
      <c r="A59" s="28">
        <f>IF(計算用!$BB$55="","",計算用!$BA$55)</f>
        <v/>
      </c>
      <c r="B59">
        <f>IF($A59="","",INDEX(決定版!$A$4:$AK$53,計算用!$BE$55,IF(計算用!$BB$55="男",0,19)+4))</f>
        <v/>
      </c>
      <c r="C59" s="28">
        <f>IF($A59="","",INDEX(決定版!$A$4:$AK$53,計算用!$BE$55,IF(計算用!$BB$55="男",0,19)+5))</f>
        <v/>
      </c>
      <c r="D59" s="28">
        <f>IF($A59="","",INDEX(決定版!$A$4:$AK$53,計算用!$BE$55,IF(計算用!$BB$55="男",0,19)+6))</f>
        <v/>
      </c>
      <c r="E59">
        <f>IF($A59="","",INDEX(決定版!$A$4:$AK$53,計算用!$BE$55,IF(計算用!$BB$55="男",0,19)+7))</f>
        <v/>
      </c>
      <c r="F59" s="28">
        <f>IF($A59="","",INDEX(決定版!$A$4:$AK$53,計算用!$BE$55,IF(計算用!$BB$55="男",0,19)+8))</f>
        <v/>
      </c>
      <c r="G59" s="28">
        <f>IF($A59="","",INDEX(決定版!$A$4:$AK$53,計算用!$BE$55,IF(計算用!$BB$55="男",0,19)+9))</f>
        <v/>
      </c>
      <c r="H59">
        <f>IF($A59="","",INDEX(決定版!$A$4:$AK$53,計算用!$BE$55,IF(計算用!$BB$55="男",0,19)+10))</f>
        <v/>
      </c>
      <c r="I59" s="28">
        <f>IF($A59="","",INDEX(決定版!$A$4:$AK$53,計算用!$BE$55,IF(計算用!$BB$55="男",0,19)+11))</f>
        <v/>
      </c>
      <c r="J59" s="28">
        <f>IF($A59="","",INDEX(決定版!$A$4:$AK$53,計算用!$BE$55,IF(計算用!$BB$55="男",0,19)+12))</f>
        <v/>
      </c>
      <c r="K59">
        <f>IF($A59="","",INDEX(決定版!$A$4:$AK$53,計算用!$BE$55,IF(計算用!$BB$55="男",0,19)+13))</f>
        <v/>
      </c>
      <c r="L59" s="28">
        <f>IF($A59="","",INDEX(決定版!$A$4:$AK$53,計算用!$BE$55,IF(計算用!$BB$55="男",0,19)+14))</f>
        <v/>
      </c>
      <c r="M59" s="28">
        <f>IF($A59="","",INDEX(決定版!$A$4:$AK$53,計算用!$BE$55,IF(計算用!$BB$55="男",0,19)+15))</f>
        <v/>
      </c>
      <c r="N59">
        <f>IF($A59="","",INDEX(決定版!$A$4:$AK$53,計算用!$BE$55,IF(計算用!$BB$55="男",0,19)+16))</f>
        <v/>
      </c>
      <c r="O59" s="28">
        <f>IF($A59="","",INDEX(決定版!$A$4:$AK$53,計算用!$BE$55,IF(計算用!$BB$55="男",0,19)+17))</f>
        <v/>
      </c>
      <c r="P59" s="28">
        <f>IF($A59="","",INDEX(決定版!$A$4:$AK$53,計算用!$BE$55,IF(計算用!$BB$55="男",0,19)+18))</f>
        <v/>
      </c>
    </row>
    <row r="60">
      <c r="A60" s="28">
        <f>IF(計算用!$BB$56="","",計算用!$BA$56)</f>
        <v/>
      </c>
      <c r="B60">
        <f>IF($A60="","",INDEX(決定版!$A$4:$AK$53,計算用!$BE$56,IF(計算用!$BB$56="男",0,19)+4))</f>
        <v/>
      </c>
      <c r="C60" s="28">
        <f>IF($A60="","",INDEX(決定版!$A$4:$AK$53,計算用!$BE$56,IF(計算用!$BB$56="男",0,19)+5))</f>
        <v/>
      </c>
      <c r="D60" s="28">
        <f>IF($A60="","",INDEX(決定版!$A$4:$AK$53,計算用!$BE$56,IF(計算用!$BB$56="男",0,19)+6))</f>
        <v/>
      </c>
      <c r="E60">
        <f>IF($A60="","",INDEX(決定版!$A$4:$AK$53,計算用!$BE$56,IF(計算用!$BB$56="男",0,19)+7))</f>
        <v/>
      </c>
      <c r="F60" s="28">
        <f>IF($A60="","",INDEX(決定版!$A$4:$AK$53,計算用!$BE$56,IF(計算用!$BB$56="男",0,19)+8))</f>
        <v/>
      </c>
      <c r="G60" s="28">
        <f>IF($A60="","",INDEX(決定版!$A$4:$AK$53,計算用!$BE$56,IF(計算用!$BB$56="男",0,19)+9))</f>
        <v/>
      </c>
      <c r="H60">
        <f>IF($A60="","",INDEX(決定版!$A$4:$AK$53,計算用!$BE$56,IF(計算用!$BB$56="男",0,19)+10))</f>
        <v/>
      </c>
      <c r="I60" s="28">
        <f>IF($A60="","",INDEX(決定版!$A$4:$AK$53,計算用!$BE$56,IF(計算用!$BB$56="男",0,19)+11))</f>
        <v/>
      </c>
      <c r="J60" s="28">
        <f>IF($A60="","",INDEX(決定版!$A$4:$AK$53,計算用!$BE$56,IF(計算用!$BB$56="男",0,19)+12))</f>
        <v/>
      </c>
      <c r="K60">
        <f>IF($A60="","",INDEX(決定版!$A$4:$AK$53,計算用!$BE$56,IF(計算用!$BB$56="男",0,19)+13))</f>
        <v/>
      </c>
      <c r="L60" s="28">
        <f>IF($A60="","",INDEX(決定版!$A$4:$AK$53,計算用!$BE$56,IF(計算用!$BB$56="男",0,19)+14))</f>
        <v/>
      </c>
      <c r="M60" s="28">
        <f>IF($A60="","",INDEX(決定版!$A$4:$AK$53,計算用!$BE$56,IF(計算用!$BB$56="男",0,19)+15))</f>
        <v/>
      </c>
      <c r="N60">
        <f>IF($A60="","",INDEX(決定版!$A$4:$AK$53,計算用!$BE$56,IF(計算用!$BB$56="男",0,19)+16))</f>
        <v/>
      </c>
      <c r="O60" s="28">
        <f>IF($A60="","",INDEX(決定版!$A$4:$AK$53,計算用!$BE$56,IF(計算用!$BB$56="男",0,19)+17))</f>
        <v/>
      </c>
      <c r="P60" s="28">
        <f>IF($A60="","",INDEX(決定版!$A$4:$AK$53,計算用!$BE$56,IF(計算用!$BB$56="男",0,19)+18))</f>
        <v/>
      </c>
    </row>
    <row r="61">
      <c r="A61" s="28">
        <f>IF(計算用!$BB$57="","",計算用!$BA$57)</f>
        <v/>
      </c>
      <c r="B61">
        <f>IF($A61="","",INDEX(決定版!$A$4:$AK$53,計算用!$BE$57,IF(計算用!$BB$57="男",0,19)+4))</f>
        <v/>
      </c>
      <c r="C61" s="28">
        <f>IF($A61="","",INDEX(決定版!$A$4:$AK$53,計算用!$BE$57,IF(計算用!$BB$57="男",0,19)+5))</f>
        <v/>
      </c>
      <c r="D61" s="28">
        <f>IF($A61="","",INDEX(決定版!$A$4:$AK$53,計算用!$BE$57,IF(計算用!$BB$57="男",0,19)+6))</f>
        <v/>
      </c>
      <c r="E61">
        <f>IF($A61="","",INDEX(決定版!$A$4:$AK$53,計算用!$BE$57,IF(計算用!$BB$57="男",0,19)+7))</f>
        <v/>
      </c>
      <c r="F61" s="28">
        <f>IF($A61="","",INDEX(決定版!$A$4:$AK$53,計算用!$BE$57,IF(計算用!$BB$57="男",0,19)+8))</f>
        <v/>
      </c>
      <c r="G61" s="28">
        <f>IF($A61="","",INDEX(決定版!$A$4:$AK$53,計算用!$BE$57,IF(計算用!$BB$57="男",0,19)+9))</f>
        <v/>
      </c>
      <c r="H61">
        <f>IF($A61="","",INDEX(決定版!$A$4:$AK$53,計算用!$BE$57,IF(計算用!$BB$57="男",0,19)+10))</f>
        <v/>
      </c>
      <c r="I61" s="28">
        <f>IF($A61="","",INDEX(決定版!$A$4:$AK$53,計算用!$BE$57,IF(計算用!$BB$57="男",0,19)+11))</f>
        <v/>
      </c>
      <c r="J61" s="28">
        <f>IF($A61="","",INDEX(決定版!$A$4:$AK$53,計算用!$BE$57,IF(計算用!$BB$57="男",0,19)+12))</f>
        <v/>
      </c>
      <c r="K61">
        <f>IF($A61="","",INDEX(決定版!$A$4:$AK$53,計算用!$BE$57,IF(計算用!$BB$57="男",0,19)+13))</f>
        <v/>
      </c>
      <c r="L61" s="28">
        <f>IF($A61="","",INDEX(決定版!$A$4:$AK$53,計算用!$BE$57,IF(計算用!$BB$57="男",0,19)+14))</f>
        <v/>
      </c>
      <c r="M61" s="28">
        <f>IF($A61="","",INDEX(決定版!$A$4:$AK$53,計算用!$BE$57,IF(計算用!$BB$57="男",0,19)+15))</f>
        <v/>
      </c>
      <c r="N61">
        <f>IF($A61="","",INDEX(決定版!$A$4:$AK$53,計算用!$BE$57,IF(計算用!$BB$57="男",0,19)+16))</f>
        <v/>
      </c>
      <c r="O61" s="28">
        <f>IF($A61="","",INDEX(決定版!$A$4:$AK$53,計算用!$BE$57,IF(計算用!$BB$57="男",0,19)+17))</f>
        <v/>
      </c>
      <c r="P61" s="28">
        <f>IF($A61="","",INDEX(決定版!$A$4:$AK$53,計算用!$BE$57,IF(計算用!$BB$57="男",0,19)+18))</f>
        <v/>
      </c>
    </row>
    <row r="62">
      <c r="A62" s="28">
        <f>IF(計算用!$BB$58="","",計算用!$BA$58)</f>
        <v/>
      </c>
      <c r="B62">
        <f>IF($A62="","",INDEX(決定版!$A$4:$AK$53,計算用!$BE$58,IF(計算用!$BB$58="男",0,19)+4))</f>
        <v/>
      </c>
      <c r="C62" s="28">
        <f>IF($A62="","",INDEX(決定版!$A$4:$AK$53,計算用!$BE$58,IF(計算用!$BB$58="男",0,19)+5))</f>
        <v/>
      </c>
      <c r="D62" s="28">
        <f>IF($A62="","",INDEX(決定版!$A$4:$AK$53,計算用!$BE$58,IF(計算用!$BB$58="男",0,19)+6))</f>
        <v/>
      </c>
      <c r="E62">
        <f>IF($A62="","",INDEX(決定版!$A$4:$AK$53,計算用!$BE$58,IF(計算用!$BB$58="男",0,19)+7))</f>
        <v/>
      </c>
      <c r="F62" s="28">
        <f>IF($A62="","",INDEX(決定版!$A$4:$AK$53,計算用!$BE$58,IF(計算用!$BB$58="男",0,19)+8))</f>
        <v/>
      </c>
      <c r="G62" s="28">
        <f>IF($A62="","",INDEX(決定版!$A$4:$AK$53,計算用!$BE$58,IF(計算用!$BB$58="男",0,19)+9))</f>
        <v/>
      </c>
      <c r="H62">
        <f>IF($A62="","",INDEX(決定版!$A$4:$AK$53,計算用!$BE$58,IF(計算用!$BB$58="男",0,19)+10))</f>
        <v/>
      </c>
      <c r="I62" s="28">
        <f>IF($A62="","",INDEX(決定版!$A$4:$AK$53,計算用!$BE$58,IF(計算用!$BB$58="男",0,19)+11))</f>
        <v/>
      </c>
      <c r="J62" s="28">
        <f>IF($A62="","",INDEX(決定版!$A$4:$AK$53,計算用!$BE$58,IF(計算用!$BB$58="男",0,19)+12))</f>
        <v/>
      </c>
      <c r="K62">
        <f>IF($A62="","",INDEX(決定版!$A$4:$AK$53,計算用!$BE$58,IF(計算用!$BB$58="男",0,19)+13))</f>
        <v/>
      </c>
      <c r="L62" s="28">
        <f>IF($A62="","",INDEX(決定版!$A$4:$AK$53,計算用!$BE$58,IF(計算用!$BB$58="男",0,19)+14))</f>
        <v/>
      </c>
      <c r="M62" s="28">
        <f>IF($A62="","",INDEX(決定版!$A$4:$AK$53,計算用!$BE$58,IF(計算用!$BB$58="男",0,19)+15))</f>
        <v/>
      </c>
      <c r="N62">
        <f>IF($A62="","",INDEX(決定版!$A$4:$AK$53,計算用!$BE$58,IF(計算用!$BB$58="男",0,19)+16))</f>
        <v/>
      </c>
      <c r="O62" s="28">
        <f>IF($A62="","",INDEX(決定版!$A$4:$AK$53,計算用!$BE$58,IF(計算用!$BB$58="男",0,19)+17))</f>
        <v/>
      </c>
      <c r="P62" s="28">
        <f>IF($A62="","",INDEX(決定版!$A$4:$AK$53,計算用!$BE$58,IF(計算用!$BB$58="男",0,19)+18))</f>
        <v/>
      </c>
    </row>
    <row r="63">
      <c r="A63" s="28">
        <f>IF(計算用!$BB$59="","",計算用!$BA$59)</f>
        <v/>
      </c>
      <c r="B63">
        <f>IF($A63="","",INDEX(決定版!$A$4:$AK$53,計算用!$BE$59,IF(計算用!$BB$59="男",0,19)+4))</f>
        <v/>
      </c>
      <c r="C63" s="28">
        <f>IF($A63="","",INDEX(決定版!$A$4:$AK$53,計算用!$BE$59,IF(計算用!$BB$59="男",0,19)+5))</f>
        <v/>
      </c>
      <c r="D63" s="28">
        <f>IF($A63="","",INDEX(決定版!$A$4:$AK$53,計算用!$BE$59,IF(計算用!$BB$59="男",0,19)+6))</f>
        <v/>
      </c>
      <c r="E63">
        <f>IF($A63="","",INDEX(決定版!$A$4:$AK$53,計算用!$BE$59,IF(計算用!$BB$59="男",0,19)+7))</f>
        <v/>
      </c>
      <c r="F63" s="28">
        <f>IF($A63="","",INDEX(決定版!$A$4:$AK$53,計算用!$BE$59,IF(計算用!$BB$59="男",0,19)+8))</f>
        <v/>
      </c>
      <c r="G63" s="28">
        <f>IF($A63="","",INDEX(決定版!$A$4:$AK$53,計算用!$BE$59,IF(計算用!$BB$59="男",0,19)+9))</f>
        <v/>
      </c>
      <c r="H63">
        <f>IF($A63="","",INDEX(決定版!$A$4:$AK$53,計算用!$BE$59,IF(計算用!$BB$59="男",0,19)+10))</f>
        <v/>
      </c>
      <c r="I63" s="28">
        <f>IF($A63="","",INDEX(決定版!$A$4:$AK$53,計算用!$BE$59,IF(計算用!$BB$59="男",0,19)+11))</f>
        <v/>
      </c>
      <c r="J63" s="28">
        <f>IF($A63="","",INDEX(決定版!$A$4:$AK$53,計算用!$BE$59,IF(計算用!$BB$59="男",0,19)+12))</f>
        <v/>
      </c>
      <c r="K63">
        <f>IF($A63="","",INDEX(決定版!$A$4:$AK$53,計算用!$BE$59,IF(計算用!$BB$59="男",0,19)+13))</f>
        <v/>
      </c>
      <c r="L63" s="28">
        <f>IF($A63="","",INDEX(決定版!$A$4:$AK$53,計算用!$BE$59,IF(計算用!$BB$59="男",0,19)+14))</f>
        <v/>
      </c>
      <c r="M63" s="28">
        <f>IF($A63="","",INDEX(決定版!$A$4:$AK$53,計算用!$BE$59,IF(計算用!$BB$59="男",0,19)+15))</f>
        <v/>
      </c>
      <c r="N63">
        <f>IF($A63="","",INDEX(決定版!$A$4:$AK$53,計算用!$BE$59,IF(計算用!$BB$59="男",0,19)+16))</f>
        <v/>
      </c>
      <c r="O63" s="28">
        <f>IF($A63="","",INDEX(決定版!$A$4:$AK$53,計算用!$BE$59,IF(計算用!$BB$59="男",0,19)+17))</f>
        <v/>
      </c>
      <c r="P63" s="28">
        <f>IF($A63="","",INDEX(決定版!$A$4:$AK$53,計算用!$BE$59,IF(計算用!$BB$59="男",0,19)+18))</f>
        <v/>
      </c>
    </row>
    <row r="64">
      <c r="A64" s="28">
        <f>IF(計算用!$BB$60="","",計算用!$BA$60)</f>
        <v/>
      </c>
      <c r="B64">
        <f>IF($A64="","",INDEX(決定版!$A$4:$AK$53,計算用!$BE$60,IF(計算用!$BB$60="男",0,19)+4))</f>
        <v/>
      </c>
      <c r="C64" s="28">
        <f>IF($A64="","",INDEX(決定版!$A$4:$AK$53,計算用!$BE$60,IF(計算用!$BB$60="男",0,19)+5))</f>
        <v/>
      </c>
      <c r="D64" s="28">
        <f>IF($A64="","",INDEX(決定版!$A$4:$AK$53,計算用!$BE$60,IF(計算用!$BB$60="男",0,19)+6))</f>
        <v/>
      </c>
      <c r="E64">
        <f>IF($A64="","",INDEX(決定版!$A$4:$AK$53,計算用!$BE$60,IF(計算用!$BB$60="男",0,19)+7))</f>
        <v/>
      </c>
      <c r="F64" s="28">
        <f>IF($A64="","",INDEX(決定版!$A$4:$AK$53,計算用!$BE$60,IF(計算用!$BB$60="男",0,19)+8))</f>
        <v/>
      </c>
      <c r="G64" s="28">
        <f>IF($A64="","",INDEX(決定版!$A$4:$AK$53,計算用!$BE$60,IF(計算用!$BB$60="男",0,19)+9))</f>
        <v/>
      </c>
      <c r="H64">
        <f>IF($A64="","",INDEX(決定版!$A$4:$AK$53,計算用!$BE$60,IF(計算用!$BB$60="男",0,19)+10))</f>
        <v/>
      </c>
      <c r="I64" s="28">
        <f>IF($A64="","",INDEX(決定版!$A$4:$AK$53,計算用!$BE$60,IF(計算用!$BB$60="男",0,19)+11))</f>
        <v/>
      </c>
      <c r="J64" s="28">
        <f>IF($A64="","",INDEX(決定版!$A$4:$AK$53,計算用!$BE$60,IF(計算用!$BB$60="男",0,19)+12))</f>
        <v/>
      </c>
      <c r="K64">
        <f>IF($A64="","",INDEX(決定版!$A$4:$AK$53,計算用!$BE$60,IF(計算用!$BB$60="男",0,19)+13))</f>
        <v/>
      </c>
      <c r="L64" s="28">
        <f>IF($A64="","",INDEX(決定版!$A$4:$AK$53,計算用!$BE$60,IF(計算用!$BB$60="男",0,19)+14))</f>
        <v/>
      </c>
      <c r="M64" s="28">
        <f>IF($A64="","",INDEX(決定版!$A$4:$AK$53,計算用!$BE$60,IF(計算用!$BB$60="男",0,19)+15))</f>
        <v/>
      </c>
      <c r="N64">
        <f>IF($A64="","",INDEX(決定版!$A$4:$AK$53,計算用!$BE$60,IF(計算用!$BB$60="男",0,19)+16))</f>
        <v/>
      </c>
      <c r="O64" s="28">
        <f>IF($A64="","",INDEX(決定版!$A$4:$AK$53,計算用!$BE$60,IF(計算用!$BB$60="男",0,19)+17))</f>
        <v/>
      </c>
      <c r="P64" s="28">
        <f>IF($A64="","",INDEX(決定版!$A$4:$AK$53,計算用!$BE$60,IF(計算用!$BB$60="男",0,19)+18))</f>
        <v/>
      </c>
    </row>
    <row r="65">
      <c r="A65" s="28">
        <f>IF(計算用!$BB$61="","",計算用!$BA$61)</f>
        <v/>
      </c>
      <c r="B65">
        <f>IF($A65="","",INDEX(決定版!$A$4:$AK$53,計算用!$BE$61,IF(計算用!$BB$61="男",0,19)+4))</f>
        <v/>
      </c>
      <c r="C65" s="28">
        <f>IF($A65="","",INDEX(決定版!$A$4:$AK$53,計算用!$BE$61,IF(計算用!$BB$61="男",0,19)+5))</f>
        <v/>
      </c>
      <c r="D65" s="28">
        <f>IF($A65="","",INDEX(決定版!$A$4:$AK$53,計算用!$BE$61,IF(計算用!$BB$61="男",0,19)+6))</f>
        <v/>
      </c>
      <c r="E65">
        <f>IF($A65="","",INDEX(決定版!$A$4:$AK$53,計算用!$BE$61,IF(計算用!$BB$61="男",0,19)+7))</f>
        <v/>
      </c>
      <c r="F65" s="28">
        <f>IF($A65="","",INDEX(決定版!$A$4:$AK$53,計算用!$BE$61,IF(計算用!$BB$61="男",0,19)+8))</f>
        <v/>
      </c>
      <c r="G65" s="28">
        <f>IF($A65="","",INDEX(決定版!$A$4:$AK$53,計算用!$BE$61,IF(計算用!$BB$61="男",0,19)+9))</f>
        <v/>
      </c>
      <c r="H65">
        <f>IF($A65="","",INDEX(決定版!$A$4:$AK$53,計算用!$BE$61,IF(計算用!$BB$61="男",0,19)+10))</f>
        <v/>
      </c>
      <c r="I65" s="28">
        <f>IF($A65="","",INDEX(決定版!$A$4:$AK$53,計算用!$BE$61,IF(計算用!$BB$61="男",0,19)+11))</f>
        <v/>
      </c>
      <c r="J65" s="28">
        <f>IF($A65="","",INDEX(決定版!$A$4:$AK$53,計算用!$BE$61,IF(計算用!$BB$61="男",0,19)+12))</f>
        <v/>
      </c>
      <c r="K65">
        <f>IF($A65="","",INDEX(決定版!$A$4:$AK$53,計算用!$BE$61,IF(計算用!$BB$61="男",0,19)+13))</f>
        <v/>
      </c>
      <c r="L65" s="28">
        <f>IF($A65="","",INDEX(決定版!$A$4:$AK$53,計算用!$BE$61,IF(計算用!$BB$61="男",0,19)+14))</f>
        <v/>
      </c>
      <c r="M65" s="28">
        <f>IF($A65="","",INDEX(決定版!$A$4:$AK$53,計算用!$BE$61,IF(計算用!$BB$61="男",0,19)+15))</f>
        <v/>
      </c>
      <c r="N65">
        <f>IF($A65="","",INDEX(決定版!$A$4:$AK$53,計算用!$BE$61,IF(計算用!$BB$61="男",0,19)+16))</f>
        <v/>
      </c>
      <c r="O65" s="28">
        <f>IF($A65="","",INDEX(決定版!$A$4:$AK$53,計算用!$BE$61,IF(計算用!$BB$61="男",0,19)+17))</f>
        <v/>
      </c>
      <c r="P65" s="28">
        <f>IF($A65="","",INDEX(決定版!$A$4:$AK$53,計算用!$BE$61,IF(計算用!$BB$61="男",0,19)+18))</f>
        <v/>
      </c>
    </row>
    <row r="66">
      <c r="A66" s="28">
        <f>IF(計算用!$BB$62="","",計算用!$BA$62)</f>
        <v/>
      </c>
      <c r="B66">
        <f>IF($A66="","",INDEX(決定版!$A$4:$AK$53,計算用!$BE$62,IF(計算用!$BB$62="男",0,19)+4))</f>
        <v/>
      </c>
      <c r="C66" s="28">
        <f>IF($A66="","",INDEX(決定版!$A$4:$AK$53,計算用!$BE$62,IF(計算用!$BB$62="男",0,19)+5))</f>
        <v/>
      </c>
      <c r="D66" s="28">
        <f>IF($A66="","",INDEX(決定版!$A$4:$AK$53,計算用!$BE$62,IF(計算用!$BB$62="男",0,19)+6))</f>
        <v/>
      </c>
      <c r="E66">
        <f>IF($A66="","",INDEX(決定版!$A$4:$AK$53,計算用!$BE$62,IF(計算用!$BB$62="男",0,19)+7))</f>
        <v/>
      </c>
      <c r="F66" s="28">
        <f>IF($A66="","",INDEX(決定版!$A$4:$AK$53,計算用!$BE$62,IF(計算用!$BB$62="男",0,19)+8))</f>
        <v/>
      </c>
      <c r="G66" s="28">
        <f>IF($A66="","",INDEX(決定版!$A$4:$AK$53,計算用!$BE$62,IF(計算用!$BB$62="男",0,19)+9))</f>
        <v/>
      </c>
      <c r="H66">
        <f>IF($A66="","",INDEX(決定版!$A$4:$AK$53,計算用!$BE$62,IF(計算用!$BB$62="男",0,19)+10))</f>
        <v/>
      </c>
      <c r="I66" s="28">
        <f>IF($A66="","",INDEX(決定版!$A$4:$AK$53,計算用!$BE$62,IF(計算用!$BB$62="男",0,19)+11))</f>
        <v/>
      </c>
      <c r="J66" s="28">
        <f>IF($A66="","",INDEX(決定版!$A$4:$AK$53,計算用!$BE$62,IF(計算用!$BB$62="男",0,19)+12))</f>
        <v/>
      </c>
      <c r="K66">
        <f>IF($A66="","",INDEX(決定版!$A$4:$AK$53,計算用!$BE$62,IF(計算用!$BB$62="男",0,19)+13))</f>
        <v/>
      </c>
      <c r="L66" s="28">
        <f>IF($A66="","",INDEX(決定版!$A$4:$AK$53,計算用!$BE$62,IF(計算用!$BB$62="男",0,19)+14))</f>
        <v/>
      </c>
      <c r="M66" s="28">
        <f>IF($A66="","",INDEX(決定版!$A$4:$AK$53,計算用!$BE$62,IF(計算用!$BB$62="男",0,19)+15))</f>
        <v/>
      </c>
      <c r="N66">
        <f>IF($A66="","",INDEX(決定版!$A$4:$AK$53,計算用!$BE$62,IF(計算用!$BB$62="男",0,19)+16))</f>
        <v/>
      </c>
      <c r="O66" s="28">
        <f>IF($A66="","",INDEX(決定版!$A$4:$AK$53,計算用!$BE$62,IF(計算用!$BB$62="男",0,19)+17))</f>
        <v/>
      </c>
      <c r="P66" s="28">
        <f>IF($A66="","",INDEX(決定版!$A$4:$AK$53,計算用!$BE$62,IF(計算用!$BB$62="男",0,19)+18))</f>
        <v/>
      </c>
    </row>
    <row r="67">
      <c r="A67" s="28">
        <f>IF(計算用!$BB$63="","",計算用!$BA$63)</f>
        <v/>
      </c>
      <c r="B67">
        <f>IF($A67="","",INDEX(決定版!$A$4:$AK$53,計算用!$BE$63,IF(計算用!$BB$63="男",0,19)+4))</f>
        <v/>
      </c>
      <c r="C67" s="28">
        <f>IF($A67="","",INDEX(決定版!$A$4:$AK$53,計算用!$BE$63,IF(計算用!$BB$63="男",0,19)+5))</f>
        <v/>
      </c>
      <c r="D67" s="28">
        <f>IF($A67="","",INDEX(決定版!$A$4:$AK$53,計算用!$BE$63,IF(計算用!$BB$63="男",0,19)+6))</f>
        <v/>
      </c>
      <c r="E67">
        <f>IF($A67="","",INDEX(決定版!$A$4:$AK$53,計算用!$BE$63,IF(計算用!$BB$63="男",0,19)+7))</f>
        <v/>
      </c>
      <c r="F67" s="28">
        <f>IF($A67="","",INDEX(決定版!$A$4:$AK$53,計算用!$BE$63,IF(計算用!$BB$63="男",0,19)+8))</f>
        <v/>
      </c>
      <c r="G67" s="28">
        <f>IF($A67="","",INDEX(決定版!$A$4:$AK$53,計算用!$BE$63,IF(計算用!$BB$63="男",0,19)+9))</f>
        <v/>
      </c>
      <c r="H67">
        <f>IF($A67="","",INDEX(決定版!$A$4:$AK$53,計算用!$BE$63,IF(計算用!$BB$63="男",0,19)+10))</f>
        <v/>
      </c>
      <c r="I67" s="28">
        <f>IF($A67="","",INDEX(決定版!$A$4:$AK$53,計算用!$BE$63,IF(計算用!$BB$63="男",0,19)+11))</f>
        <v/>
      </c>
      <c r="J67" s="28">
        <f>IF($A67="","",INDEX(決定版!$A$4:$AK$53,計算用!$BE$63,IF(計算用!$BB$63="男",0,19)+12))</f>
        <v/>
      </c>
      <c r="K67">
        <f>IF($A67="","",INDEX(決定版!$A$4:$AK$53,計算用!$BE$63,IF(計算用!$BB$63="男",0,19)+13))</f>
        <v/>
      </c>
      <c r="L67" s="28">
        <f>IF($A67="","",INDEX(決定版!$A$4:$AK$53,計算用!$BE$63,IF(計算用!$BB$63="男",0,19)+14))</f>
        <v/>
      </c>
      <c r="M67" s="28">
        <f>IF($A67="","",INDEX(決定版!$A$4:$AK$53,計算用!$BE$63,IF(計算用!$BB$63="男",0,19)+15))</f>
        <v/>
      </c>
      <c r="N67">
        <f>IF($A67="","",INDEX(決定版!$A$4:$AK$53,計算用!$BE$63,IF(計算用!$BB$63="男",0,19)+16))</f>
        <v/>
      </c>
      <c r="O67" s="28">
        <f>IF($A67="","",INDEX(決定版!$A$4:$AK$53,計算用!$BE$63,IF(計算用!$BB$63="男",0,19)+17))</f>
        <v/>
      </c>
      <c r="P67" s="28">
        <f>IF($A67="","",INDEX(決定版!$A$4:$AK$53,計算用!$BE$63,IF(計算用!$BB$63="男",0,19)+18))</f>
        <v/>
      </c>
    </row>
    <row r="68">
      <c r="A68" s="28">
        <f>IF(計算用!$BB$64="","",計算用!$BA$64)</f>
        <v/>
      </c>
      <c r="B68">
        <f>IF($A68="","",INDEX(決定版!$A$4:$AK$53,計算用!$BE$64,IF(計算用!$BB$64="男",0,19)+4))</f>
        <v/>
      </c>
      <c r="C68" s="28">
        <f>IF($A68="","",INDEX(決定版!$A$4:$AK$53,計算用!$BE$64,IF(計算用!$BB$64="男",0,19)+5))</f>
        <v/>
      </c>
      <c r="D68" s="28">
        <f>IF($A68="","",INDEX(決定版!$A$4:$AK$53,計算用!$BE$64,IF(計算用!$BB$64="男",0,19)+6))</f>
        <v/>
      </c>
      <c r="E68">
        <f>IF($A68="","",INDEX(決定版!$A$4:$AK$53,計算用!$BE$64,IF(計算用!$BB$64="男",0,19)+7))</f>
        <v/>
      </c>
      <c r="F68" s="28">
        <f>IF($A68="","",INDEX(決定版!$A$4:$AK$53,計算用!$BE$64,IF(計算用!$BB$64="男",0,19)+8))</f>
        <v/>
      </c>
      <c r="G68" s="28">
        <f>IF($A68="","",INDEX(決定版!$A$4:$AK$53,計算用!$BE$64,IF(計算用!$BB$64="男",0,19)+9))</f>
        <v/>
      </c>
      <c r="H68">
        <f>IF($A68="","",INDEX(決定版!$A$4:$AK$53,計算用!$BE$64,IF(計算用!$BB$64="男",0,19)+10))</f>
        <v/>
      </c>
      <c r="I68" s="28">
        <f>IF($A68="","",INDEX(決定版!$A$4:$AK$53,計算用!$BE$64,IF(計算用!$BB$64="男",0,19)+11))</f>
        <v/>
      </c>
      <c r="J68" s="28">
        <f>IF($A68="","",INDEX(決定版!$A$4:$AK$53,計算用!$BE$64,IF(計算用!$BB$64="男",0,19)+12))</f>
        <v/>
      </c>
      <c r="K68">
        <f>IF($A68="","",INDEX(決定版!$A$4:$AK$53,計算用!$BE$64,IF(計算用!$BB$64="男",0,19)+13))</f>
        <v/>
      </c>
      <c r="L68" s="28">
        <f>IF($A68="","",INDEX(決定版!$A$4:$AK$53,計算用!$BE$64,IF(計算用!$BB$64="男",0,19)+14))</f>
        <v/>
      </c>
      <c r="M68" s="28">
        <f>IF($A68="","",INDEX(決定版!$A$4:$AK$53,計算用!$BE$64,IF(計算用!$BB$64="男",0,19)+15))</f>
        <v/>
      </c>
      <c r="N68">
        <f>IF($A68="","",INDEX(決定版!$A$4:$AK$53,計算用!$BE$64,IF(計算用!$BB$64="男",0,19)+16))</f>
        <v/>
      </c>
      <c r="O68" s="28">
        <f>IF($A68="","",INDEX(決定版!$A$4:$AK$53,計算用!$BE$64,IF(計算用!$BB$64="男",0,19)+17))</f>
        <v/>
      </c>
      <c r="P68" s="28">
        <f>IF($A68="","",INDEX(決定版!$A$4:$AK$53,計算用!$BE$64,IF(計算用!$BB$64="男",0,19)+18))</f>
        <v/>
      </c>
    </row>
    <row r="69">
      <c r="A69" s="28">
        <f>IF(計算用!$BB$65="","",計算用!$BA$65)</f>
        <v/>
      </c>
      <c r="B69">
        <f>IF($A69="","",INDEX(決定版!$A$4:$AK$53,計算用!$BE$65,IF(計算用!$BB$65="男",0,19)+4))</f>
        <v/>
      </c>
      <c r="C69" s="28">
        <f>IF($A69="","",INDEX(決定版!$A$4:$AK$53,計算用!$BE$65,IF(計算用!$BB$65="男",0,19)+5))</f>
        <v/>
      </c>
      <c r="D69" s="28">
        <f>IF($A69="","",INDEX(決定版!$A$4:$AK$53,計算用!$BE$65,IF(計算用!$BB$65="男",0,19)+6))</f>
        <v/>
      </c>
      <c r="E69">
        <f>IF($A69="","",INDEX(決定版!$A$4:$AK$53,計算用!$BE$65,IF(計算用!$BB$65="男",0,19)+7))</f>
        <v/>
      </c>
      <c r="F69" s="28">
        <f>IF($A69="","",INDEX(決定版!$A$4:$AK$53,計算用!$BE$65,IF(計算用!$BB$65="男",0,19)+8))</f>
        <v/>
      </c>
      <c r="G69" s="28">
        <f>IF($A69="","",INDEX(決定版!$A$4:$AK$53,計算用!$BE$65,IF(計算用!$BB$65="男",0,19)+9))</f>
        <v/>
      </c>
      <c r="H69">
        <f>IF($A69="","",INDEX(決定版!$A$4:$AK$53,計算用!$BE$65,IF(計算用!$BB$65="男",0,19)+10))</f>
        <v/>
      </c>
      <c r="I69" s="28">
        <f>IF($A69="","",INDEX(決定版!$A$4:$AK$53,計算用!$BE$65,IF(計算用!$BB$65="男",0,19)+11))</f>
        <v/>
      </c>
      <c r="J69" s="28">
        <f>IF($A69="","",INDEX(決定版!$A$4:$AK$53,計算用!$BE$65,IF(計算用!$BB$65="男",0,19)+12))</f>
        <v/>
      </c>
      <c r="K69">
        <f>IF($A69="","",INDEX(決定版!$A$4:$AK$53,計算用!$BE$65,IF(計算用!$BB$65="男",0,19)+13))</f>
        <v/>
      </c>
      <c r="L69" s="28">
        <f>IF($A69="","",INDEX(決定版!$A$4:$AK$53,計算用!$BE$65,IF(計算用!$BB$65="男",0,19)+14))</f>
        <v/>
      </c>
      <c r="M69" s="28">
        <f>IF($A69="","",INDEX(決定版!$A$4:$AK$53,計算用!$BE$65,IF(計算用!$BB$65="男",0,19)+15))</f>
        <v/>
      </c>
      <c r="N69">
        <f>IF($A69="","",INDEX(決定版!$A$4:$AK$53,計算用!$BE$65,IF(計算用!$BB$65="男",0,19)+16))</f>
        <v/>
      </c>
      <c r="O69" s="28">
        <f>IF($A69="","",INDEX(決定版!$A$4:$AK$53,計算用!$BE$65,IF(計算用!$BB$65="男",0,19)+17))</f>
        <v/>
      </c>
      <c r="P69" s="28">
        <f>IF($A69="","",INDEX(決定版!$A$4:$AK$53,計算用!$BE$65,IF(計算用!$BB$65="男",0,19)+18))</f>
        <v/>
      </c>
    </row>
    <row r="70">
      <c r="A70" s="28">
        <f>IF(計算用!$BB$66="","",計算用!$BA$66)</f>
        <v/>
      </c>
      <c r="B70">
        <f>IF($A70="","",INDEX(決定版!$A$4:$AK$53,計算用!$BE$66,IF(計算用!$BB$66="男",0,19)+4))</f>
        <v/>
      </c>
      <c r="C70" s="28">
        <f>IF($A70="","",INDEX(決定版!$A$4:$AK$53,計算用!$BE$66,IF(計算用!$BB$66="男",0,19)+5))</f>
        <v/>
      </c>
      <c r="D70" s="28">
        <f>IF($A70="","",INDEX(決定版!$A$4:$AK$53,計算用!$BE$66,IF(計算用!$BB$66="男",0,19)+6))</f>
        <v/>
      </c>
      <c r="E70">
        <f>IF($A70="","",INDEX(決定版!$A$4:$AK$53,計算用!$BE$66,IF(計算用!$BB$66="男",0,19)+7))</f>
        <v/>
      </c>
      <c r="F70" s="28">
        <f>IF($A70="","",INDEX(決定版!$A$4:$AK$53,計算用!$BE$66,IF(計算用!$BB$66="男",0,19)+8))</f>
        <v/>
      </c>
      <c r="G70" s="28">
        <f>IF($A70="","",INDEX(決定版!$A$4:$AK$53,計算用!$BE$66,IF(計算用!$BB$66="男",0,19)+9))</f>
        <v/>
      </c>
      <c r="H70">
        <f>IF($A70="","",INDEX(決定版!$A$4:$AK$53,計算用!$BE$66,IF(計算用!$BB$66="男",0,19)+10))</f>
        <v/>
      </c>
      <c r="I70" s="28">
        <f>IF($A70="","",INDEX(決定版!$A$4:$AK$53,計算用!$BE$66,IF(計算用!$BB$66="男",0,19)+11))</f>
        <v/>
      </c>
      <c r="J70" s="28">
        <f>IF($A70="","",INDEX(決定版!$A$4:$AK$53,計算用!$BE$66,IF(計算用!$BB$66="男",0,19)+12))</f>
        <v/>
      </c>
      <c r="K70">
        <f>IF($A70="","",INDEX(決定版!$A$4:$AK$53,計算用!$BE$66,IF(計算用!$BB$66="男",0,19)+13))</f>
        <v/>
      </c>
      <c r="L70" s="28">
        <f>IF($A70="","",INDEX(決定版!$A$4:$AK$53,計算用!$BE$66,IF(計算用!$BB$66="男",0,19)+14))</f>
        <v/>
      </c>
      <c r="M70" s="28">
        <f>IF($A70="","",INDEX(決定版!$A$4:$AK$53,計算用!$BE$66,IF(計算用!$BB$66="男",0,19)+15))</f>
        <v/>
      </c>
      <c r="N70">
        <f>IF($A70="","",INDEX(決定版!$A$4:$AK$53,計算用!$BE$66,IF(計算用!$BB$66="男",0,19)+16))</f>
        <v/>
      </c>
      <c r="O70" s="28">
        <f>IF($A70="","",INDEX(決定版!$A$4:$AK$53,計算用!$BE$66,IF(計算用!$BB$66="男",0,19)+17))</f>
        <v/>
      </c>
      <c r="P70" s="28">
        <f>IF($A70="","",INDEX(決定版!$A$4:$AK$53,計算用!$BE$66,IF(計算用!$BB$66="男",0,19)+18))</f>
        <v/>
      </c>
    </row>
    <row r="71">
      <c r="A71" s="28">
        <f>IF(計算用!$BB$67="","",計算用!$BA$67)</f>
        <v/>
      </c>
      <c r="B71">
        <f>IF($A71="","",INDEX(決定版!$A$4:$AK$53,計算用!$BE$67,IF(計算用!$BB$67="男",0,19)+4))</f>
        <v/>
      </c>
      <c r="C71" s="28">
        <f>IF($A71="","",INDEX(決定版!$A$4:$AK$53,計算用!$BE$67,IF(計算用!$BB$67="男",0,19)+5))</f>
        <v/>
      </c>
      <c r="D71" s="28">
        <f>IF($A71="","",INDEX(決定版!$A$4:$AK$53,計算用!$BE$67,IF(計算用!$BB$67="男",0,19)+6))</f>
        <v/>
      </c>
      <c r="E71">
        <f>IF($A71="","",INDEX(決定版!$A$4:$AK$53,計算用!$BE$67,IF(計算用!$BB$67="男",0,19)+7))</f>
        <v/>
      </c>
      <c r="F71" s="28">
        <f>IF($A71="","",INDEX(決定版!$A$4:$AK$53,計算用!$BE$67,IF(計算用!$BB$67="男",0,19)+8))</f>
        <v/>
      </c>
      <c r="G71" s="28">
        <f>IF($A71="","",INDEX(決定版!$A$4:$AK$53,計算用!$BE$67,IF(計算用!$BB$67="男",0,19)+9))</f>
        <v/>
      </c>
      <c r="H71">
        <f>IF($A71="","",INDEX(決定版!$A$4:$AK$53,計算用!$BE$67,IF(計算用!$BB$67="男",0,19)+10))</f>
        <v/>
      </c>
      <c r="I71" s="28">
        <f>IF($A71="","",INDEX(決定版!$A$4:$AK$53,計算用!$BE$67,IF(計算用!$BB$67="男",0,19)+11))</f>
        <v/>
      </c>
      <c r="J71" s="28">
        <f>IF($A71="","",INDEX(決定版!$A$4:$AK$53,計算用!$BE$67,IF(計算用!$BB$67="男",0,19)+12))</f>
        <v/>
      </c>
      <c r="K71">
        <f>IF($A71="","",INDEX(決定版!$A$4:$AK$53,計算用!$BE$67,IF(計算用!$BB$67="男",0,19)+13))</f>
        <v/>
      </c>
      <c r="L71" s="28">
        <f>IF($A71="","",INDEX(決定版!$A$4:$AK$53,計算用!$BE$67,IF(計算用!$BB$67="男",0,19)+14))</f>
        <v/>
      </c>
      <c r="M71" s="28">
        <f>IF($A71="","",INDEX(決定版!$A$4:$AK$53,計算用!$BE$67,IF(計算用!$BB$67="男",0,19)+15))</f>
        <v/>
      </c>
      <c r="N71">
        <f>IF($A71="","",INDEX(決定版!$A$4:$AK$53,計算用!$BE$67,IF(計算用!$BB$67="男",0,19)+16))</f>
        <v/>
      </c>
      <c r="O71" s="28">
        <f>IF($A71="","",INDEX(決定版!$A$4:$AK$53,計算用!$BE$67,IF(計算用!$BB$67="男",0,19)+17))</f>
        <v/>
      </c>
      <c r="P71" s="28">
        <f>IF($A71="","",INDEX(決定版!$A$4:$AK$53,計算用!$BE$67,IF(計算用!$BB$67="男",0,19)+18))</f>
        <v/>
      </c>
    </row>
    <row r="72">
      <c r="A72" s="28">
        <f>IF(計算用!$BB$68="","",計算用!$BA$68)</f>
        <v/>
      </c>
      <c r="B72">
        <f>IF($A72="","",INDEX(決定版!$A$4:$AK$53,計算用!$BE$68,IF(計算用!$BB$68="男",0,19)+4))</f>
        <v/>
      </c>
      <c r="C72" s="28">
        <f>IF($A72="","",INDEX(決定版!$A$4:$AK$53,計算用!$BE$68,IF(計算用!$BB$68="男",0,19)+5))</f>
        <v/>
      </c>
      <c r="D72" s="28">
        <f>IF($A72="","",INDEX(決定版!$A$4:$AK$53,計算用!$BE$68,IF(計算用!$BB$68="男",0,19)+6))</f>
        <v/>
      </c>
      <c r="E72">
        <f>IF($A72="","",INDEX(決定版!$A$4:$AK$53,計算用!$BE$68,IF(計算用!$BB$68="男",0,19)+7))</f>
        <v/>
      </c>
      <c r="F72" s="28">
        <f>IF($A72="","",INDEX(決定版!$A$4:$AK$53,計算用!$BE$68,IF(計算用!$BB$68="男",0,19)+8))</f>
        <v/>
      </c>
      <c r="G72" s="28">
        <f>IF($A72="","",INDEX(決定版!$A$4:$AK$53,計算用!$BE$68,IF(計算用!$BB$68="男",0,19)+9))</f>
        <v/>
      </c>
      <c r="H72">
        <f>IF($A72="","",INDEX(決定版!$A$4:$AK$53,計算用!$BE$68,IF(計算用!$BB$68="男",0,19)+10))</f>
        <v/>
      </c>
      <c r="I72" s="28">
        <f>IF($A72="","",INDEX(決定版!$A$4:$AK$53,計算用!$BE$68,IF(計算用!$BB$68="男",0,19)+11))</f>
        <v/>
      </c>
      <c r="J72" s="28">
        <f>IF($A72="","",INDEX(決定版!$A$4:$AK$53,計算用!$BE$68,IF(計算用!$BB$68="男",0,19)+12))</f>
        <v/>
      </c>
      <c r="K72">
        <f>IF($A72="","",INDEX(決定版!$A$4:$AK$53,計算用!$BE$68,IF(計算用!$BB$68="男",0,19)+13))</f>
        <v/>
      </c>
      <c r="L72" s="28">
        <f>IF($A72="","",INDEX(決定版!$A$4:$AK$53,計算用!$BE$68,IF(計算用!$BB$68="男",0,19)+14))</f>
        <v/>
      </c>
      <c r="M72" s="28">
        <f>IF($A72="","",INDEX(決定版!$A$4:$AK$53,計算用!$BE$68,IF(計算用!$BB$68="男",0,19)+15))</f>
        <v/>
      </c>
      <c r="N72">
        <f>IF($A72="","",INDEX(決定版!$A$4:$AK$53,計算用!$BE$68,IF(計算用!$BB$68="男",0,19)+16))</f>
        <v/>
      </c>
      <c r="O72" s="28">
        <f>IF($A72="","",INDEX(決定版!$A$4:$AK$53,計算用!$BE$68,IF(計算用!$BB$68="男",0,19)+17))</f>
        <v/>
      </c>
      <c r="P72" s="28">
        <f>IF($A72="","",INDEX(決定版!$A$4:$AK$53,計算用!$BE$68,IF(計算用!$BB$68="男",0,19)+18))</f>
        <v/>
      </c>
    </row>
    <row r="73">
      <c r="A73" s="28">
        <f>IF(計算用!$BB$69="","",計算用!$BA$69)</f>
        <v/>
      </c>
      <c r="B73">
        <f>IF($A73="","",INDEX(決定版!$A$4:$AK$53,計算用!$BE$69,IF(計算用!$BB$69="男",0,19)+4))</f>
        <v/>
      </c>
      <c r="C73" s="28">
        <f>IF($A73="","",INDEX(決定版!$A$4:$AK$53,計算用!$BE$69,IF(計算用!$BB$69="男",0,19)+5))</f>
        <v/>
      </c>
      <c r="D73" s="28">
        <f>IF($A73="","",INDEX(決定版!$A$4:$AK$53,計算用!$BE$69,IF(計算用!$BB$69="男",0,19)+6))</f>
        <v/>
      </c>
      <c r="E73">
        <f>IF($A73="","",INDEX(決定版!$A$4:$AK$53,計算用!$BE$69,IF(計算用!$BB$69="男",0,19)+7))</f>
        <v/>
      </c>
      <c r="F73" s="28">
        <f>IF($A73="","",INDEX(決定版!$A$4:$AK$53,計算用!$BE$69,IF(計算用!$BB$69="男",0,19)+8))</f>
        <v/>
      </c>
      <c r="G73" s="28">
        <f>IF($A73="","",INDEX(決定版!$A$4:$AK$53,計算用!$BE$69,IF(計算用!$BB$69="男",0,19)+9))</f>
        <v/>
      </c>
      <c r="H73">
        <f>IF($A73="","",INDEX(決定版!$A$4:$AK$53,計算用!$BE$69,IF(計算用!$BB$69="男",0,19)+10))</f>
        <v/>
      </c>
      <c r="I73" s="28">
        <f>IF($A73="","",INDEX(決定版!$A$4:$AK$53,計算用!$BE$69,IF(計算用!$BB$69="男",0,19)+11))</f>
        <v/>
      </c>
      <c r="J73" s="28">
        <f>IF($A73="","",INDEX(決定版!$A$4:$AK$53,計算用!$BE$69,IF(計算用!$BB$69="男",0,19)+12))</f>
        <v/>
      </c>
      <c r="K73">
        <f>IF($A73="","",INDEX(決定版!$A$4:$AK$53,計算用!$BE$69,IF(計算用!$BB$69="男",0,19)+13))</f>
        <v/>
      </c>
      <c r="L73" s="28">
        <f>IF($A73="","",INDEX(決定版!$A$4:$AK$53,計算用!$BE$69,IF(計算用!$BB$69="男",0,19)+14))</f>
        <v/>
      </c>
      <c r="M73" s="28">
        <f>IF($A73="","",INDEX(決定版!$A$4:$AK$53,計算用!$BE$69,IF(計算用!$BB$69="男",0,19)+15))</f>
        <v/>
      </c>
      <c r="N73">
        <f>IF($A73="","",INDEX(決定版!$A$4:$AK$53,計算用!$BE$69,IF(計算用!$BB$69="男",0,19)+16))</f>
        <v/>
      </c>
      <c r="O73" s="28">
        <f>IF($A73="","",INDEX(決定版!$A$4:$AK$53,計算用!$BE$69,IF(計算用!$BB$69="男",0,19)+17))</f>
        <v/>
      </c>
      <c r="P73" s="28">
        <f>IF($A73="","",INDEX(決定版!$A$4:$AK$53,計算用!$BE$69,IF(計算用!$BB$69="男",0,19)+18))</f>
        <v/>
      </c>
    </row>
    <row r="74">
      <c r="A74" s="28">
        <f>IF(計算用!$BB$70="","",計算用!$BA$70)</f>
        <v/>
      </c>
      <c r="B74">
        <f>IF($A74="","",INDEX(決定版!$A$4:$AK$53,計算用!$BE$70,IF(計算用!$BB$70="男",0,19)+4))</f>
        <v/>
      </c>
      <c r="C74" s="28">
        <f>IF($A74="","",INDEX(決定版!$A$4:$AK$53,計算用!$BE$70,IF(計算用!$BB$70="男",0,19)+5))</f>
        <v/>
      </c>
      <c r="D74" s="28">
        <f>IF($A74="","",INDEX(決定版!$A$4:$AK$53,計算用!$BE$70,IF(計算用!$BB$70="男",0,19)+6))</f>
        <v/>
      </c>
      <c r="E74">
        <f>IF($A74="","",INDEX(決定版!$A$4:$AK$53,計算用!$BE$70,IF(計算用!$BB$70="男",0,19)+7))</f>
        <v/>
      </c>
      <c r="F74" s="28">
        <f>IF($A74="","",INDEX(決定版!$A$4:$AK$53,計算用!$BE$70,IF(計算用!$BB$70="男",0,19)+8))</f>
        <v/>
      </c>
      <c r="G74" s="28">
        <f>IF($A74="","",INDEX(決定版!$A$4:$AK$53,計算用!$BE$70,IF(計算用!$BB$70="男",0,19)+9))</f>
        <v/>
      </c>
      <c r="H74">
        <f>IF($A74="","",INDEX(決定版!$A$4:$AK$53,計算用!$BE$70,IF(計算用!$BB$70="男",0,19)+10))</f>
        <v/>
      </c>
      <c r="I74" s="28">
        <f>IF($A74="","",INDEX(決定版!$A$4:$AK$53,計算用!$BE$70,IF(計算用!$BB$70="男",0,19)+11))</f>
        <v/>
      </c>
      <c r="J74" s="28">
        <f>IF($A74="","",INDEX(決定版!$A$4:$AK$53,計算用!$BE$70,IF(計算用!$BB$70="男",0,19)+12))</f>
        <v/>
      </c>
      <c r="K74">
        <f>IF($A74="","",INDEX(決定版!$A$4:$AK$53,計算用!$BE$70,IF(計算用!$BB$70="男",0,19)+13))</f>
        <v/>
      </c>
      <c r="L74" s="28">
        <f>IF($A74="","",INDEX(決定版!$A$4:$AK$53,計算用!$BE$70,IF(計算用!$BB$70="男",0,19)+14))</f>
        <v/>
      </c>
      <c r="M74" s="28">
        <f>IF($A74="","",INDEX(決定版!$A$4:$AK$53,計算用!$BE$70,IF(計算用!$BB$70="男",0,19)+15))</f>
        <v/>
      </c>
      <c r="N74">
        <f>IF($A74="","",INDEX(決定版!$A$4:$AK$53,計算用!$BE$70,IF(計算用!$BB$70="男",0,19)+16))</f>
        <v/>
      </c>
      <c r="O74" s="28">
        <f>IF($A74="","",INDEX(決定版!$A$4:$AK$53,計算用!$BE$70,IF(計算用!$BB$70="男",0,19)+17))</f>
        <v/>
      </c>
      <c r="P74" s="28">
        <f>IF($A74="","",INDEX(決定版!$A$4:$AK$53,計算用!$BE$70,IF(計算用!$BB$70="男",0,19)+18))</f>
        <v/>
      </c>
    </row>
    <row r="75">
      <c r="A75" s="28">
        <f>IF(計算用!$BB$71="","",計算用!$BA$71)</f>
        <v/>
      </c>
      <c r="B75">
        <f>IF($A75="","",INDEX(決定版!$A$4:$AK$53,計算用!$BE$71,IF(計算用!$BB$71="男",0,19)+4))</f>
        <v/>
      </c>
      <c r="C75" s="28">
        <f>IF($A75="","",INDEX(決定版!$A$4:$AK$53,計算用!$BE$71,IF(計算用!$BB$71="男",0,19)+5))</f>
        <v/>
      </c>
      <c r="D75" s="28">
        <f>IF($A75="","",INDEX(決定版!$A$4:$AK$53,計算用!$BE$71,IF(計算用!$BB$71="男",0,19)+6))</f>
        <v/>
      </c>
      <c r="E75">
        <f>IF($A75="","",INDEX(決定版!$A$4:$AK$53,計算用!$BE$71,IF(計算用!$BB$71="男",0,19)+7))</f>
        <v/>
      </c>
      <c r="F75" s="28">
        <f>IF($A75="","",INDEX(決定版!$A$4:$AK$53,計算用!$BE$71,IF(計算用!$BB$71="男",0,19)+8))</f>
        <v/>
      </c>
      <c r="G75" s="28">
        <f>IF($A75="","",INDEX(決定版!$A$4:$AK$53,計算用!$BE$71,IF(計算用!$BB$71="男",0,19)+9))</f>
        <v/>
      </c>
      <c r="H75">
        <f>IF($A75="","",INDEX(決定版!$A$4:$AK$53,計算用!$BE$71,IF(計算用!$BB$71="男",0,19)+10))</f>
        <v/>
      </c>
      <c r="I75" s="28">
        <f>IF($A75="","",INDEX(決定版!$A$4:$AK$53,計算用!$BE$71,IF(計算用!$BB$71="男",0,19)+11))</f>
        <v/>
      </c>
      <c r="J75" s="28">
        <f>IF($A75="","",INDEX(決定版!$A$4:$AK$53,計算用!$BE$71,IF(計算用!$BB$71="男",0,19)+12))</f>
        <v/>
      </c>
      <c r="K75">
        <f>IF($A75="","",INDEX(決定版!$A$4:$AK$53,計算用!$BE$71,IF(計算用!$BB$71="男",0,19)+13))</f>
        <v/>
      </c>
      <c r="L75" s="28">
        <f>IF($A75="","",INDEX(決定版!$A$4:$AK$53,計算用!$BE$71,IF(計算用!$BB$71="男",0,19)+14))</f>
        <v/>
      </c>
      <c r="M75" s="28">
        <f>IF($A75="","",INDEX(決定版!$A$4:$AK$53,計算用!$BE$71,IF(計算用!$BB$71="男",0,19)+15))</f>
        <v/>
      </c>
      <c r="N75">
        <f>IF($A75="","",INDEX(決定版!$A$4:$AK$53,計算用!$BE$71,IF(計算用!$BB$71="男",0,19)+16))</f>
        <v/>
      </c>
      <c r="O75" s="28">
        <f>IF($A75="","",INDEX(決定版!$A$4:$AK$53,計算用!$BE$71,IF(計算用!$BB$71="男",0,19)+17))</f>
        <v/>
      </c>
      <c r="P75" s="28">
        <f>IF($A75="","",INDEX(決定版!$A$4:$AK$53,計算用!$BE$71,IF(計算用!$BB$71="男",0,19)+18))</f>
        <v/>
      </c>
    </row>
    <row r="76">
      <c r="A76" s="28">
        <f>IF(計算用!$BB$72="","",計算用!$BA$72)</f>
        <v/>
      </c>
      <c r="B76">
        <f>IF($A76="","",INDEX(決定版!$A$4:$AK$53,計算用!$BE$72,IF(計算用!$BB$72="男",0,19)+4))</f>
        <v/>
      </c>
      <c r="C76" s="28">
        <f>IF($A76="","",INDEX(決定版!$A$4:$AK$53,計算用!$BE$72,IF(計算用!$BB$72="男",0,19)+5))</f>
        <v/>
      </c>
      <c r="D76" s="28">
        <f>IF($A76="","",INDEX(決定版!$A$4:$AK$53,計算用!$BE$72,IF(計算用!$BB$72="男",0,19)+6))</f>
        <v/>
      </c>
      <c r="E76">
        <f>IF($A76="","",INDEX(決定版!$A$4:$AK$53,計算用!$BE$72,IF(計算用!$BB$72="男",0,19)+7))</f>
        <v/>
      </c>
      <c r="F76" s="28">
        <f>IF($A76="","",INDEX(決定版!$A$4:$AK$53,計算用!$BE$72,IF(計算用!$BB$72="男",0,19)+8))</f>
        <v/>
      </c>
      <c r="G76" s="28">
        <f>IF($A76="","",INDEX(決定版!$A$4:$AK$53,計算用!$BE$72,IF(計算用!$BB$72="男",0,19)+9))</f>
        <v/>
      </c>
      <c r="H76">
        <f>IF($A76="","",INDEX(決定版!$A$4:$AK$53,計算用!$BE$72,IF(計算用!$BB$72="男",0,19)+10))</f>
        <v/>
      </c>
      <c r="I76" s="28">
        <f>IF($A76="","",INDEX(決定版!$A$4:$AK$53,計算用!$BE$72,IF(計算用!$BB$72="男",0,19)+11))</f>
        <v/>
      </c>
      <c r="J76" s="28">
        <f>IF($A76="","",INDEX(決定版!$A$4:$AK$53,計算用!$BE$72,IF(計算用!$BB$72="男",0,19)+12))</f>
        <v/>
      </c>
      <c r="K76">
        <f>IF($A76="","",INDEX(決定版!$A$4:$AK$53,計算用!$BE$72,IF(計算用!$BB$72="男",0,19)+13))</f>
        <v/>
      </c>
      <c r="L76" s="28">
        <f>IF($A76="","",INDEX(決定版!$A$4:$AK$53,計算用!$BE$72,IF(計算用!$BB$72="男",0,19)+14))</f>
        <v/>
      </c>
      <c r="M76" s="28">
        <f>IF($A76="","",INDEX(決定版!$A$4:$AK$53,計算用!$BE$72,IF(計算用!$BB$72="男",0,19)+15))</f>
        <v/>
      </c>
      <c r="N76">
        <f>IF($A76="","",INDEX(決定版!$A$4:$AK$53,計算用!$BE$72,IF(計算用!$BB$72="男",0,19)+16))</f>
        <v/>
      </c>
      <c r="O76" s="28">
        <f>IF($A76="","",INDEX(決定版!$A$4:$AK$53,計算用!$BE$72,IF(計算用!$BB$72="男",0,19)+17))</f>
        <v/>
      </c>
      <c r="P76" s="28">
        <f>IF($A76="","",INDEX(決定版!$A$4:$AK$53,計算用!$BE$72,IF(計算用!$BB$72="男",0,19)+18))</f>
        <v/>
      </c>
    </row>
    <row r="77">
      <c r="A77" s="28">
        <f>IF(計算用!$BB$73="","",計算用!$BA$73)</f>
        <v/>
      </c>
      <c r="B77">
        <f>IF($A77="","",INDEX(決定版!$A$4:$AK$53,計算用!$BE$73,IF(計算用!$BB$73="男",0,19)+4))</f>
        <v/>
      </c>
      <c r="C77" s="28">
        <f>IF($A77="","",INDEX(決定版!$A$4:$AK$53,計算用!$BE$73,IF(計算用!$BB$73="男",0,19)+5))</f>
        <v/>
      </c>
      <c r="D77" s="28">
        <f>IF($A77="","",INDEX(決定版!$A$4:$AK$53,計算用!$BE$73,IF(計算用!$BB$73="男",0,19)+6))</f>
        <v/>
      </c>
      <c r="E77">
        <f>IF($A77="","",INDEX(決定版!$A$4:$AK$53,計算用!$BE$73,IF(計算用!$BB$73="男",0,19)+7))</f>
        <v/>
      </c>
      <c r="F77" s="28">
        <f>IF($A77="","",INDEX(決定版!$A$4:$AK$53,計算用!$BE$73,IF(計算用!$BB$73="男",0,19)+8))</f>
        <v/>
      </c>
      <c r="G77" s="28">
        <f>IF($A77="","",INDEX(決定版!$A$4:$AK$53,計算用!$BE$73,IF(計算用!$BB$73="男",0,19)+9))</f>
        <v/>
      </c>
      <c r="H77">
        <f>IF($A77="","",INDEX(決定版!$A$4:$AK$53,計算用!$BE$73,IF(計算用!$BB$73="男",0,19)+10))</f>
        <v/>
      </c>
      <c r="I77" s="28">
        <f>IF($A77="","",INDEX(決定版!$A$4:$AK$53,計算用!$BE$73,IF(計算用!$BB$73="男",0,19)+11))</f>
        <v/>
      </c>
      <c r="J77" s="28">
        <f>IF($A77="","",INDEX(決定版!$A$4:$AK$53,計算用!$BE$73,IF(計算用!$BB$73="男",0,19)+12))</f>
        <v/>
      </c>
      <c r="K77">
        <f>IF($A77="","",INDEX(決定版!$A$4:$AK$53,計算用!$BE$73,IF(計算用!$BB$73="男",0,19)+13))</f>
        <v/>
      </c>
      <c r="L77" s="28">
        <f>IF($A77="","",INDEX(決定版!$A$4:$AK$53,計算用!$BE$73,IF(計算用!$BB$73="男",0,19)+14))</f>
        <v/>
      </c>
      <c r="M77" s="28">
        <f>IF($A77="","",INDEX(決定版!$A$4:$AK$53,計算用!$BE$73,IF(計算用!$BB$73="男",0,19)+15))</f>
        <v/>
      </c>
      <c r="N77">
        <f>IF($A77="","",INDEX(決定版!$A$4:$AK$53,計算用!$BE$73,IF(計算用!$BB$73="男",0,19)+16))</f>
        <v/>
      </c>
      <c r="O77" s="28">
        <f>IF($A77="","",INDEX(決定版!$A$4:$AK$53,計算用!$BE$73,IF(計算用!$BB$73="男",0,19)+17))</f>
        <v/>
      </c>
      <c r="P77" s="28">
        <f>IF($A77="","",INDEX(決定版!$A$4:$AK$53,計算用!$BE$73,IF(計算用!$BB$73="男",0,19)+18))</f>
        <v/>
      </c>
    </row>
    <row r="78">
      <c r="A78" s="28">
        <f>IF(計算用!$BB$74="","",計算用!$BA$74)</f>
        <v/>
      </c>
      <c r="B78">
        <f>IF($A78="","",INDEX(決定版!$A$4:$AK$53,計算用!$BE$74,IF(計算用!$BB$74="男",0,19)+4))</f>
        <v/>
      </c>
      <c r="C78" s="28">
        <f>IF($A78="","",INDEX(決定版!$A$4:$AK$53,計算用!$BE$74,IF(計算用!$BB$74="男",0,19)+5))</f>
        <v/>
      </c>
      <c r="D78" s="28">
        <f>IF($A78="","",INDEX(決定版!$A$4:$AK$53,計算用!$BE$74,IF(計算用!$BB$74="男",0,19)+6))</f>
        <v/>
      </c>
      <c r="E78">
        <f>IF($A78="","",INDEX(決定版!$A$4:$AK$53,計算用!$BE$74,IF(計算用!$BB$74="男",0,19)+7))</f>
        <v/>
      </c>
      <c r="F78" s="28">
        <f>IF($A78="","",INDEX(決定版!$A$4:$AK$53,計算用!$BE$74,IF(計算用!$BB$74="男",0,19)+8))</f>
        <v/>
      </c>
      <c r="G78" s="28">
        <f>IF($A78="","",INDEX(決定版!$A$4:$AK$53,計算用!$BE$74,IF(計算用!$BB$74="男",0,19)+9))</f>
        <v/>
      </c>
      <c r="H78">
        <f>IF($A78="","",INDEX(決定版!$A$4:$AK$53,計算用!$BE$74,IF(計算用!$BB$74="男",0,19)+10))</f>
        <v/>
      </c>
      <c r="I78" s="28">
        <f>IF($A78="","",INDEX(決定版!$A$4:$AK$53,計算用!$BE$74,IF(計算用!$BB$74="男",0,19)+11))</f>
        <v/>
      </c>
      <c r="J78" s="28">
        <f>IF($A78="","",INDEX(決定版!$A$4:$AK$53,計算用!$BE$74,IF(計算用!$BB$74="男",0,19)+12))</f>
        <v/>
      </c>
      <c r="K78">
        <f>IF($A78="","",INDEX(決定版!$A$4:$AK$53,計算用!$BE$74,IF(計算用!$BB$74="男",0,19)+13))</f>
        <v/>
      </c>
      <c r="L78" s="28">
        <f>IF($A78="","",INDEX(決定版!$A$4:$AK$53,計算用!$BE$74,IF(計算用!$BB$74="男",0,19)+14))</f>
        <v/>
      </c>
      <c r="M78" s="28">
        <f>IF($A78="","",INDEX(決定版!$A$4:$AK$53,計算用!$BE$74,IF(計算用!$BB$74="男",0,19)+15))</f>
        <v/>
      </c>
      <c r="N78">
        <f>IF($A78="","",INDEX(決定版!$A$4:$AK$53,計算用!$BE$74,IF(計算用!$BB$74="男",0,19)+16))</f>
        <v/>
      </c>
      <c r="O78" s="28">
        <f>IF($A78="","",INDEX(決定版!$A$4:$AK$53,計算用!$BE$74,IF(計算用!$BB$74="男",0,19)+17))</f>
        <v/>
      </c>
      <c r="P78" s="28">
        <f>IF($A78="","",INDEX(決定版!$A$4:$AK$53,計算用!$BE$74,IF(計算用!$BB$74="男",0,19)+18))</f>
        <v/>
      </c>
    </row>
    <row r="79">
      <c r="A79" s="28">
        <f>IF(計算用!$BB$75="","",計算用!$BA$75)</f>
        <v/>
      </c>
      <c r="B79">
        <f>IF($A79="","",INDEX(決定版!$A$4:$AK$53,計算用!$BE$75,IF(計算用!$BB$75="男",0,19)+4))</f>
        <v/>
      </c>
      <c r="C79" s="28">
        <f>IF($A79="","",INDEX(決定版!$A$4:$AK$53,計算用!$BE$75,IF(計算用!$BB$75="男",0,19)+5))</f>
        <v/>
      </c>
      <c r="D79" s="28">
        <f>IF($A79="","",INDEX(決定版!$A$4:$AK$53,計算用!$BE$75,IF(計算用!$BB$75="男",0,19)+6))</f>
        <v/>
      </c>
      <c r="E79">
        <f>IF($A79="","",INDEX(決定版!$A$4:$AK$53,計算用!$BE$75,IF(計算用!$BB$75="男",0,19)+7))</f>
        <v/>
      </c>
      <c r="F79" s="28">
        <f>IF($A79="","",INDEX(決定版!$A$4:$AK$53,計算用!$BE$75,IF(計算用!$BB$75="男",0,19)+8))</f>
        <v/>
      </c>
      <c r="G79" s="28">
        <f>IF($A79="","",INDEX(決定版!$A$4:$AK$53,計算用!$BE$75,IF(計算用!$BB$75="男",0,19)+9))</f>
        <v/>
      </c>
      <c r="H79">
        <f>IF($A79="","",INDEX(決定版!$A$4:$AK$53,計算用!$BE$75,IF(計算用!$BB$75="男",0,19)+10))</f>
        <v/>
      </c>
      <c r="I79" s="28">
        <f>IF($A79="","",INDEX(決定版!$A$4:$AK$53,計算用!$BE$75,IF(計算用!$BB$75="男",0,19)+11))</f>
        <v/>
      </c>
      <c r="J79" s="28">
        <f>IF($A79="","",INDEX(決定版!$A$4:$AK$53,計算用!$BE$75,IF(計算用!$BB$75="男",0,19)+12))</f>
        <v/>
      </c>
      <c r="K79">
        <f>IF($A79="","",INDEX(決定版!$A$4:$AK$53,計算用!$BE$75,IF(計算用!$BB$75="男",0,19)+13))</f>
        <v/>
      </c>
      <c r="L79" s="28">
        <f>IF($A79="","",INDEX(決定版!$A$4:$AK$53,計算用!$BE$75,IF(計算用!$BB$75="男",0,19)+14))</f>
        <v/>
      </c>
      <c r="M79" s="28">
        <f>IF($A79="","",INDEX(決定版!$A$4:$AK$53,計算用!$BE$75,IF(計算用!$BB$75="男",0,19)+15))</f>
        <v/>
      </c>
      <c r="N79">
        <f>IF($A79="","",INDEX(決定版!$A$4:$AK$53,計算用!$BE$75,IF(計算用!$BB$75="男",0,19)+16))</f>
        <v/>
      </c>
      <c r="O79" s="28">
        <f>IF($A79="","",INDEX(決定版!$A$4:$AK$53,計算用!$BE$75,IF(計算用!$BB$75="男",0,19)+17))</f>
        <v/>
      </c>
      <c r="P79" s="28">
        <f>IF($A79="","",INDEX(決定版!$A$4:$AK$53,計算用!$BE$75,IF(計算用!$BB$75="男",0,19)+18))</f>
        <v/>
      </c>
    </row>
    <row r="80">
      <c r="A80" s="28">
        <f>IF(計算用!$BB$76="","",計算用!$BA$76)</f>
        <v/>
      </c>
      <c r="B80">
        <f>IF($A80="","",INDEX(決定版!$A$4:$AK$53,計算用!$BE$76,IF(計算用!$BB$76="男",0,19)+4))</f>
        <v/>
      </c>
      <c r="C80" s="28">
        <f>IF($A80="","",INDEX(決定版!$A$4:$AK$53,計算用!$BE$76,IF(計算用!$BB$76="男",0,19)+5))</f>
        <v/>
      </c>
      <c r="D80" s="28">
        <f>IF($A80="","",INDEX(決定版!$A$4:$AK$53,計算用!$BE$76,IF(計算用!$BB$76="男",0,19)+6))</f>
        <v/>
      </c>
      <c r="E80">
        <f>IF($A80="","",INDEX(決定版!$A$4:$AK$53,計算用!$BE$76,IF(計算用!$BB$76="男",0,19)+7))</f>
        <v/>
      </c>
      <c r="F80" s="28">
        <f>IF($A80="","",INDEX(決定版!$A$4:$AK$53,計算用!$BE$76,IF(計算用!$BB$76="男",0,19)+8))</f>
        <v/>
      </c>
      <c r="G80" s="28">
        <f>IF($A80="","",INDEX(決定版!$A$4:$AK$53,計算用!$BE$76,IF(計算用!$BB$76="男",0,19)+9))</f>
        <v/>
      </c>
      <c r="H80">
        <f>IF($A80="","",INDEX(決定版!$A$4:$AK$53,計算用!$BE$76,IF(計算用!$BB$76="男",0,19)+10))</f>
        <v/>
      </c>
      <c r="I80" s="28">
        <f>IF($A80="","",INDEX(決定版!$A$4:$AK$53,計算用!$BE$76,IF(計算用!$BB$76="男",0,19)+11))</f>
        <v/>
      </c>
      <c r="J80" s="28">
        <f>IF($A80="","",INDEX(決定版!$A$4:$AK$53,計算用!$BE$76,IF(計算用!$BB$76="男",0,19)+12))</f>
        <v/>
      </c>
      <c r="K80">
        <f>IF($A80="","",INDEX(決定版!$A$4:$AK$53,計算用!$BE$76,IF(計算用!$BB$76="男",0,19)+13))</f>
        <v/>
      </c>
      <c r="L80" s="28">
        <f>IF($A80="","",INDEX(決定版!$A$4:$AK$53,計算用!$BE$76,IF(計算用!$BB$76="男",0,19)+14))</f>
        <v/>
      </c>
      <c r="M80" s="28">
        <f>IF($A80="","",INDEX(決定版!$A$4:$AK$53,計算用!$BE$76,IF(計算用!$BB$76="男",0,19)+15))</f>
        <v/>
      </c>
      <c r="N80">
        <f>IF($A80="","",INDEX(決定版!$A$4:$AK$53,計算用!$BE$76,IF(計算用!$BB$76="男",0,19)+16))</f>
        <v/>
      </c>
      <c r="O80" s="28">
        <f>IF($A80="","",INDEX(決定版!$A$4:$AK$53,計算用!$BE$76,IF(計算用!$BB$76="男",0,19)+17))</f>
        <v/>
      </c>
      <c r="P80" s="28">
        <f>IF($A80="","",INDEX(決定版!$A$4:$AK$53,計算用!$BE$76,IF(計算用!$BB$76="男",0,19)+18))</f>
        <v/>
      </c>
    </row>
    <row r="81">
      <c r="A81" s="28">
        <f>IF(計算用!$BB$77="","",計算用!$BA$77)</f>
        <v/>
      </c>
      <c r="B81">
        <f>IF($A81="","",INDEX(決定版!$A$4:$AK$53,計算用!$BE$77,IF(計算用!$BB$77="男",0,19)+4))</f>
        <v/>
      </c>
      <c r="C81" s="28">
        <f>IF($A81="","",INDEX(決定版!$A$4:$AK$53,計算用!$BE$77,IF(計算用!$BB$77="男",0,19)+5))</f>
        <v/>
      </c>
      <c r="D81" s="28">
        <f>IF($A81="","",INDEX(決定版!$A$4:$AK$53,計算用!$BE$77,IF(計算用!$BB$77="男",0,19)+6))</f>
        <v/>
      </c>
      <c r="E81">
        <f>IF($A81="","",INDEX(決定版!$A$4:$AK$53,計算用!$BE$77,IF(計算用!$BB$77="男",0,19)+7))</f>
        <v/>
      </c>
      <c r="F81" s="28">
        <f>IF($A81="","",INDEX(決定版!$A$4:$AK$53,計算用!$BE$77,IF(計算用!$BB$77="男",0,19)+8))</f>
        <v/>
      </c>
      <c r="G81" s="28">
        <f>IF($A81="","",INDEX(決定版!$A$4:$AK$53,計算用!$BE$77,IF(計算用!$BB$77="男",0,19)+9))</f>
        <v/>
      </c>
      <c r="H81">
        <f>IF($A81="","",INDEX(決定版!$A$4:$AK$53,計算用!$BE$77,IF(計算用!$BB$77="男",0,19)+10))</f>
        <v/>
      </c>
      <c r="I81" s="28">
        <f>IF($A81="","",INDEX(決定版!$A$4:$AK$53,計算用!$BE$77,IF(計算用!$BB$77="男",0,19)+11))</f>
        <v/>
      </c>
      <c r="J81" s="28">
        <f>IF($A81="","",INDEX(決定版!$A$4:$AK$53,計算用!$BE$77,IF(計算用!$BB$77="男",0,19)+12))</f>
        <v/>
      </c>
      <c r="K81">
        <f>IF($A81="","",INDEX(決定版!$A$4:$AK$53,計算用!$BE$77,IF(計算用!$BB$77="男",0,19)+13))</f>
        <v/>
      </c>
      <c r="L81" s="28">
        <f>IF($A81="","",INDEX(決定版!$A$4:$AK$53,計算用!$BE$77,IF(計算用!$BB$77="男",0,19)+14))</f>
        <v/>
      </c>
      <c r="M81" s="28">
        <f>IF($A81="","",INDEX(決定版!$A$4:$AK$53,計算用!$BE$77,IF(計算用!$BB$77="男",0,19)+15))</f>
        <v/>
      </c>
      <c r="N81">
        <f>IF($A81="","",INDEX(決定版!$A$4:$AK$53,計算用!$BE$77,IF(計算用!$BB$77="男",0,19)+16))</f>
        <v/>
      </c>
      <c r="O81" s="28">
        <f>IF($A81="","",INDEX(決定版!$A$4:$AK$53,計算用!$BE$77,IF(計算用!$BB$77="男",0,19)+17))</f>
        <v/>
      </c>
      <c r="P81" s="28">
        <f>IF($A81="","",INDEX(決定版!$A$4:$AK$53,計算用!$BE$77,IF(計算用!$BB$77="男",0,19)+18))</f>
        <v/>
      </c>
    </row>
    <row r="82">
      <c r="A82" s="28">
        <f>IF(計算用!$BB$78="","",計算用!$BA$78)</f>
        <v/>
      </c>
      <c r="B82">
        <f>IF($A82="","",INDEX(決定版!$A$4:$AK$53,計算用!$BE$78,IF(計算用!$BB$78="男",0,19)+4))</f>
        <v/>
      </c>
      <c r="C82" s="28">
        <f>IF($A82="","",INDEX(決定版!$A$4:$AK$53,計算用!$BE$78,IF(計算用!$BB$78="男",0,19)+5))</f>
        <v/>
      </c>
      <c r="D82" s="28">
        <f>IF($A82="","",INDEX(決定版!$A$4:$AK$53,計算用!$BE$78,IF(計算用!$BB$78="男",0,19)+6))</f>
        <v/>
      </c>
      <c r="E82">
        <f>IF($A82="","",INDEX(決定版!$A$4:$AK$53,計算用!$BE$78,IF(計算用!$BB$78="男",0,19)+7))</f>
        <v/>
      </c>
      <c r="F82" s="28">
        <f>IF($A82="","",INDEX(決定版!$A$4:$AK$53,計算用!$BE$78,IF(計算用!$BB$78="男",0,19)+8))</f>
        <v/>
      </c>
      <c r="G82" s="28">
        <f>IF($A82="","",INDEX(決定版!$A$4:$AK$53,計算用!$BE$78,IF(計算用!$BB$78="男",0,19)+9))</f>
        <v/>
      </c>
      <c r="H82">
        <f>IF($A82="","",INDEX(決定版!$A$4:$AK$53,計算用!$BE$78,IF(計算用!$BB$78="男",0,19)+10))</f>
        <v/>
      </c>
      <c r="I82" s="28">
        <f>IF($A82="","",INDEX(決定版!$A$4:$AK$53,計算用!$BE$78,IF(計算用!$BB$78="男",0,19)+11))</f>
        <v/>
      </c>
      <c r="J82" s="28">
        <f>IF($A82="","",INDEX(決定版!$A$4:$AK$53,計算用!$BE$78,IF(計算用!$BB$78="男",0,19)+12))</f>
        <v/>
      </c>
      <c r="K82">
        <f>IF($A82="","",INDEX(決定版!$A$4:$AK$53,計算用!$BE$78,IF(計算用!$BB$78="男",0,19)+13))</f>
        <v/>
      </c>
      <c r="L82" s="28">
        <f>IF($A82="","",INDEX(決定版!$A$4:$AK$53,計算用!$BE$78,IF(計算用!$BB$78="男",0,19)+14))</f>
        <v/>
      </c>
      <c r="M82" s="28">
        <f>IF($A82="","",INDEX(決定版!$A$4:$AK$53,計算用!$BE$78,IF(計算用!$BB$78="男",0,19)+15))</f>
        <v/>
      </c>
      <c r="N82">
        <f>IF($A82="","",INDEX(決定版!$A$4:$AK$53,計算用!$BE$78,IF(計算用!$BB$78="男",0,19)+16))</f>
        <v/>
      </c>
      <c r="O82" s="28">
        <f>IF($A82="","",INDEX(決定版!$A$4:$AK$53,計算用!$BE$78,IF(計算用!$BB$78="男",0,19)+17))</f>
        <v/>
      </c>
      <c r="P82" s="28">
        <f>IF($A82="","",INDEX(決定版!$A$4:$AK$53,計算用!$BE$78,IF(計算用!$BB$78="男",0,19)+18))</f>
        <v/>
      </c>
    </row>
    <row r="83">
      <c r="A83" s="28">
        <f>IF(計算用!$BB$79="","",計算用!$BA$79)</f>
        <v/>
      </c>
      <c r="B83">
        <f>IF($A83="","",INDEX(決定版!$A$4:$AK$53,計算用!$BE$79,IF(計算用!$BB$79="男",0,19)+4))</f>
        <v/>
      </c>
      <c r="C83" s="28">
        <f>IF($A83="","",INDEX(決定版!$A$4:$AK$53,計算用!$BE$79,IF(計算用!$BB$79="男",0,19)+5))</f>
        <v/>
      </c>
      <c r="D83" s="28">
        <f>IF($A83="","",INDEX(決定版!$A$4:$AK$53,計算用!$BE$79,IF(計算用!$BB$79="男",0,19)+6))</f>
        <v/>
      </c>
      <c r="E83">
        <f>IF($A83="","",INDEX(決定版!$A$4:$AK$53,計算用!$BE$79,IF(計算用!$BB$79="男",0,19)+7))</f>
        <v/>
      </c>
      <c r="F83" s="28">
        <f>IF($A83="","",INDEX(決定版!$A$4:$AK$53,計算用!$BE$79,IF(計算用!$BB$79="男",0,19)+8))</f>
        <v/>
      </c>
      <c r="G83" s="28">
        <f>IF($A83="","",INDEX(決定版!$A$4:$AK$53,計算用!$BE$79,IF(計算用!$BB$79="男",0,19)+9))</f>
        <v/>
      </c>
      <c r="H83">
        <f>IF($A83="","",INDEX(決定版!$A$4:$AK$53,計算用!$BE$79,IF(計算用!$BB$79="男",0,19)+10))</f>
        <v/>
      </c>
      <c r="I83" s="28">
        <f>IF($A83="","",INDEX(決定版!$A$4:$AK$53,計算用!$BE$79,IF(計算用!$BB$79="男",0,19)+11))</f>
        <v/>
      </c>
      <c r="J83" s="28">
        <f>IF($A83="","",INDEX(決定版!$A$4:$AK$53,計算用!$BE$79,IF(計算用!$BB$79="男",0,19)+12))</f>
        <v/>
      </c>
      <c r="K83">
        <f>IF($A83="","",INDEX(決定版!$A$4:$AK$53,計算用!$BE$79,IF(計算用!$BB$79="男",0,19)+13))</f>
        <v/>
      </c>
      <c r="L83" s="28">
        <f>IF($A83="","",INDEX(決定版!$A$4:$AK$53,計算用!$BE$79,IF(計算用!$BB$79="男",0,19)+14))</f>
        <v/>
      </c>
      <c r="M83" s="28">
        <f>IF($A83="","",INDEX(決定版!$A$4:$AK$53,計算用!$BE$79,IF(計算用!$BB$79="男",0,19)+15))</f>
        <v/>
      </c>
      <c r="N83">
        <f>IF($A83="","",INDEX(決定版!$A$4:$AK$53,計算用!$BE$79,IF(計算用!$BB$79="男",0,19)+16))</f>
        <v/>
      </c>
      <c r="O83" s="28">
        <f>IF($A83="","",INDEX(決定版!$A$4:$AK$53,計算用!$BE$79,IF(計算用!$BB$79="男",0,19)+17))</f>
        <v/>
      </c>
      <c r="P83" s="28">
        <f>IF($A83="","",INDEX(決定版!$A$4:$AK$53,計算用!$BE$79,IF(計算用!$BB$79="男",0,19)+18))</f>
        <v/>
      </c>
    </row>
    <row r="84">
      <c r="A84" s="28">
        <f>IF(計算用!$BB$80="","",計算用!$BA$80)</f>
        <v/>
      </c>
      <c r="B84">
        <f>IF($A84="","",INDEX(決定版!$A$4:$AK$53,計算用!$BE$80,IF(計算用!$BB$80="男",0,19)+4))</f>
        <v/>
      </c>
      <c r="C84" s="28">
        <f>IF($A84="","",INDEX(決定版!$A$4:$AK$53,計算用!$BE$80,IF(計算用!$BB$80="男",0,19)+5))</f>
        <v/>
      </c>
      <c r="D84" s="28">
        <f>IF($A84="","",INDEX(決定版!$A$4:$AK$53,計算用!$BE$80,IF(計算用!$BB$80="男",0,19)+6))</f>
        <v/>
      </c>
      <c r="E84">
        <f>IF($A84="","",INDEX(決定版!$A$4:$AK$53,計算用!$BE$80,IF(計算用!$BB$80="男",0,19)+7))</f>
        <v/>
      </c>
      <c r="F84" s="28">
        <f>IF($A84="","",INDEX(決定版!$A$4:$AK$53,計算用!$BE$80,IF(計算用!$BB$80="男",0,19)+8))</f>
        <v/>
      </c>
      <c r="G84" s="28">
        <f>IF($A84="","",INDEX(決定版!$A$4:$AK$53,計算用!$BE$80,IF(計算用!$BB$80="男",0,19)+9))</f>
        <v/>
      </c>
      <c r="H84">
        <f>IF($A84="","",INDEX(決定版!$A$4:$AK$53,計算用!$BE$80,IF(計算用!$BB$80="男",0,19)+10))</f>
        <v/>
      </c>
      <c r="I84" s="28">
        <f>IF($A84="","",INDEX(決定版!$A$4:$AK$53,計算用!$BE$80,IF(計算用!$BB$80="男",0,19)+11))</f>
        <v/>
      </c>
      <c r="J84" s="28">
        <f>IF($A84="","",INDEX(決定版!$A$4:$AK$53,計算用!$BE$80,IF(計算用!$BB$80="男",0,19)+12))</f>
        <v/>
      </c>
      <c r="K84">
        <f>IF($A84="","",INDEX(決定版!$A$4:$AK$53,計算用!$BE$80,IF(計算用!$BB$80="男",0,19)+13))</f>
        <v/>
      </c>
      <c r="L84" s="28">
        <f>IF($A84="","",INDEX(決定版!$A$4:$AK$53,計算用!$BE$80,IF(計算用!$BB$80="男",0,19)+14))</f>
        <v/>
      </c>
      <c r="M84" s="28">
        <f>IF($A84="","",INDEX(決定版!$A$4:$AK$53,計算用!$BE$80,IF(計算用!$BB$80="男",0,19)+15))</f>
        <v/>
      </c>
      <c r="N84">
        <f>IF($A84="","",INDEX(決定版!$A$4:$AK$53,計算用!$BE$80,IF(計算用!$BB$80="男",0,19)+16))</f>
        <v/>
      </c>
      <c r="O84" s="28">
        <f>IF($A84="","",INDEX(決定版!$A$4:$AK$53,計算用!$BE$80,IF(計算用!$BB$80="男",0,19)+17))</f>
        <v/>
      </c>
      <c r="P84" s="28">
        <f>IF($A84="","",INDEX(決定版!$A$4:$AK$53,計算用!$BE$80,IF(計算用!$BB$80="男",0,19)+18))</f>
        <v/>
      </c>
    </row>
    <row r="85">
      <c r="A85" s="28">
        <f>IF(計算用!$BB$81="","",計算用!$BA$81)</f>
        <v/>
      </c>
      <c r="B85">
        <f>IF($A85="","",INDEX(決定版!$A$4:$AK$53,計算用!$BE$81,IF(計算用!$BB$81="男",0,19)+4))</f>
        <v/>
      </c>
      <c r="C85" s="28">
        <f>IF($A85="","",INDEX(決定版!$A$4:$AK$53,計算用!$BE$81,IF(計算用!$BB$81="男",0,19)+5))</f>
        <v/>
      </c>
      <c r="D85" s="28">
        <f>IF($A85="","",INDEX(決定版!$A$4:$AK$53,計算用!$BE$81,IF(計算用!$BB$81="男",0,19)+6))</f>
        <v/>
      </c>
      <c r="E85">
        <f>IF($A85="","",INDEX(決定版!$A$4:$AK$53,計算用!$BE$81,IF(計算用!$BB$81="男",0,19)+7))</f>
        <v/>
      </c>
      <c r="F85" s="28">
        <f>IF($A85="","",INDEX(決定版!$A$4:$AK$53,計算用!$BE$81,IF(計算用!$BB$81="男",0,19)+8))</f>
        <v/>
      </c>
      <c r="G85" s="28">
        <f>IF($A85="","",INDEX(決定版!$A$4:$AK$53,計算用!$BE$81,IF(計算用!$BB$81="男",0,19)+9))</f>
        <v/>
      </c>
      <c r="H85">
        <f>IF($A85="","",INDEX(決定版!$A$4:$AK$53,計算用!$BE$81,IF(計算用!$BB$81="男",0,19)+10))</f>
        <v/>
      </c>
      <c r="I85" s="28">
        <f>IF($A85="","",INDEX(決定版!$A$4:$AK$53,計算用!$BE$81,IF(計算用!$BB$81="男",0,19)+11))</f>
        <v/>
      </c>
      <c r="J85" s="28">
        <f>IF($A85="","",INDEX(決定版!$A$4:$AK$53,計算用!$BE$81,IF(計算用!$BB$81="男",0,19)+12))</f>
        <v/>
      </c>
      <c r="K85">
        <f>IF($A85="","",INDEX(決定版!$A$4:$AK$53,計算用!$BE$81,IF(計算用!$BB$81="男",0,19)+13))</f>
        <v/>
      </c>
      <c r="L85" s="28">
        <f>IF($A85="","",INDEX(決定版!$A$4:$AK$53,計算用!$BE$81,IF(計算用!$BB$81="男",0,19)+14))</f>
        <v/>
      </c>
      <c r="M85" s="28">
        <f>IF($A85="","",INDEX(決定版!$A$4:$AK$53,計算用!$BE$81,IF(計算用!$BB$81="男",0,19)+15))</f>
        <v/>
      </c>
      <c r="N85">
        <f>IF($A85="","",INDEX(決定版!$A$4:$AK$53,計算用!$BE$81,IF(計算用!$BB$81="男",0,19)+16))</f>
        <v/>
      </c>
      <c r="O85" s="28">
        <f>IF($A85="","",INDEX(決定版!$A$4:$AK$53,計算用!$BE$81,IF(計算用!$BB$81="男",0,19)+17))</f>
        <v/>
      </c>
      <c r="P85" s="28">
        <f>IF($A85="","",INDEX(決定版!$A$4:$AK$53,計算用!$BE$81,IF(計算用!$BB$81="男",0,19)+18))</f>
        <v/>
      </c>
    </row>
    <row r="86">
      <c r="A86" s="28">
        <f>IF(計算用!$BB$82="","",計算用!$BA$82)</f>
        <v/>
      </c>
      <c r="B86">
        <f>IF($A86="","",INDEX(決定版!$A$4:$AK$53,計算用!$BE$82,IF(計算用!$BB$82="男",0,19)+4))</f>
        <v/>
      </c>
      <c r="C86" s="28">
        <f>IF($A86="","",INDEX(決定版!$A$4:$AK$53,計算用!$BE$82,IF(計算用!$BB$82="男",0,19)+5))</f>
        <v/>
      </c>
      <c r="D86" s="28">
        <f>IF($A86="","",INDEX(決定版!$A$4:$AK$53,計算用!$BE$82,IF(計算用!$BB$82="男",0,19)+6))</f>
        <v/>
      </c>
      <c r="E86">
        <f>IF($A86="","",INDEX(決定版!$A$4:$AK$53,計算用!$BE$82,IF(計算用!$BB$82="男",0,19)+7))</f>
        <v/>
      </c>
      <c r="F86" s="28">
        <f>IF($A86="","",INDEX(決定版!$A$4:$AK$53,計算用!$BE$82,IF(計算用!$BB$82="男",0,19)+8))</f>
        <v/>
      </c>
      <c r="G86" s="28">
        <f>IF($A86="","",INDEX(決定版!$A$4:$AK$53,計算用!$BE$82,IF(計算用!$BB$82="男",0,19)+9))</f>
        <v/>
      </c>
      <c r="H86">
        <f>IF($A86="","",INDEX(決定版!$A$4:$AK$53,計算用!$BE$82,IF(計算用!$BB$82="男",0,19)+10))</f>
        <v/>
      </c>
      <c r="I86" s="28">
        <f>IF($A86="","",INDEX(決定版!$A$4:$AK$53,計算用!$BE$82,IF(計算用!$BB$82="男",0,19)+11))</f>
        <v/>
      </c>
      <c r="J86" s="28">
        <f>IF($A86="","",INDEX(決定版!$A$4:$AK$53,計算用!$BE$82,IF(計算用!$BB$82="男",0,19)+12))</f>
        <v/>
      </c>
      <c r="K86">
        <f>IF($A86="","",INDEX(決定版!$A$4:$AK$53,計算用!$BE$82,IF(計算用!$BB$82="男",0,19)+13))</f>
        <v/>
      </c>
      <c r="L86" s="28">
        <f>IF($A86="","",INDEX(決定版!$A$4:$AK$53,計算用!$BE$82,IF(計算用!$BB$82="男",0,19)+14))</f>
        <v/>
      </c>
      <c r="M86" s="28">
        <f>IF($A86="","",INDEX(決定版!$A$4:$AK$53,計算用!$BE$82,IF(計算用!$BB$82="男",0,19)+15))</f>
        <v/>
      </c>
      <c r="N86">
        <f>IF($A86="","",INDEX(決定版!$A$4:$AK$53,計算用!$BE$82,IF(計算用!$BB$82="男",0,19)+16))</f>
        <v/>
      </c>
      <c r="O86" s="28">
        <f>IF($A86="","",INDEX(決定版!$A$4:$AK$53,計算用!$BE$82,IF(計算用!$BB$82="男",0,19)+17))</f>
        <v/>
      </c>
      <c r="P86" s="28">
        <f>IF($A86="","",INDEX(決定版!$A$4:$AK$53,計算用!$BE$82,IF(計算用!$BB$82="男",0,19)+18))</f>
        <v/>
      </c>
    </row>
    <row r="87">
      <c r="A87" s="28">
        <f>IF(計算用!$BB$83="","",計算用!$BA$83)</f>
        <v/>
      </c>
      <c r="B87">
        <f>IF($A87="","",INDEX(決定版!$A$4:$AK$53,計算用!$BE$83,IF(計算用!$BB$83="男",0,19)+4))</f>
        <v/>
      </c>
      <c r="C87" s="28">
        <f>IF($A87="","",INDEX(決定版!$A$4:$AK$53,計算用!$BE$83,IF(計算用!$BB$83="男",0,19)+5))</f>
        <v/>
      </c>
      <c r="D87" s="28">
        <f>IF($A87="","",INDEX(決定版!$A$4:$AK$53,計算用!$BE$83,IF(計算用!$BB$83="男",0,19)+6))</f>
        <v/>
      </c>
      <c r="E87">
        <f>IF($A87="","",INDEX(決定版!$A$4:$AK$53,計算用!$BE$83,IF(計算用!$BB$83="男",0,19)+7))</f>
        <v/>
      </c>
      <c r="F87" s="28">
        <f>IF($A87="","",INDEX(決定版!$A$4:$AK$53,計算用!$BE$83,IF(計算用!$BB$83="男",0,19)+8))</f>
        <v/>
      </c>
      <c r="G87" s="28">
        <f>IF($A87="","",INDEX(決定版!$A$4:$AK$53,計算用!$BE$83,IF(計算用!$BB$83="男",0,19)+9))</f>
        <v/>
      </c>
      <c r="H87">
        <f>IF($A87="","",INDEX(決定版!$A$4:$AK$53,計算用!$BE$83,IF(計算用!$BB$83="男",0,19)+10))</f>
        <v/>
      </c>
      <c r="I87" s="28">
        <f>IF($A87="","",INDEX(決定版!$A$4:$AK$53,計算用!$BE$83,IF(計算用!$BB$83="男",0,19)+11))</f>
        <v/>
      </c>
      <c r="J87" s="28">
        <f>IF($A87="","",INDEX(決定版!$A$4:$AK$53,計算用!$BE$83,IF(計算用!$BB$83="男",0,19)+12))</f>
        <v/>
      </c>
      <c r="K87">
        <f>IF($A87="","",INDEX(決定版!$A$4:$AK$53,計算用!$BE$83,IF(計算用!$BB$83="男",0,19)+13))</f>
        <v/>
      </c>
      <c r="L87" s="28">
        <f>IF($A87="","",INDEX(決定版!$A$4:$AK$53,計算用!$BE$83,IF(計算用!$BB$83="男",0,19)+14))</f>
        <v/>
      </c>
      <c r="M87" s="28">
        <f>IF($A87="","",INDEX(決定版!$A$4:$AK$53,計算用!$BE$83,IF(計算用!$BB$83="男",0,19)+15))</f>
        <v/>
      </c>
      <c r="N87">
        <f>IF($A87="","",INDEX(決定版!$A$4:$AK$53,計算用!$BE$83,IF(計算用!$BB$83="男",0,19)+16))</f>
        <v/>
      </c>
      <c r="O87" s="28">
        <f>IF($A87="","",INDEX(決定版!$A$4:$AK$53,計算用!$BE$83,IF(計算用!$BB$83="男",0,19)+17))</f>
        <v/>
      </c>
      <c r="P87" s="28">
        <f>IF($A87="","",INDEX(決定版!$A$4:$AK$53,計算用!$BE$83,IF(計算用!$BB$83="男",0,19)+18))</f>
        <v/>
      </c>
    </row>
    <row r="88">
      <c r="A88" s="28">
        <f>IF(計算用!$BB$84="","",計算用!$BA$84)</f>
        <v/>
      </c>
      <c r="B88">
        <f>IF($A88="","",INDEX(決定版!$A$4:$AK$53,計算用!$BE$84,IF(計算用!$BB$84="男",0,19)+4))</f>
        <v/>
      </c>
      <c r="C88" s="28">
        <f>IF($A88="","",INDEX(決定版!$A$4:$AK$53,計算用!$BE$84,IF(計算用!$BB$84="男",0,19)+5))</f>
        <v/>
      </c>
      <c r="D88" s="28">
        <f>IF($A88="","",INDEX(決定版!$A$4:$AK$53,計算用!$BE$84,IF(計算用!$BB$84="男",0,19)+6))</f>
        <v/>
      </c>
      <c r="E88">
        <f>IF($A88="","",INDEX(決定版!$A$4:$AK$53,計算用!$BE$84,IF(計算用!$BB$84="男",0,19)+7))</f>
        <v/>
      </c>
      <c r="F88" s="28">
        <f>IF($A88="","",INDEX(決定版!$A$4:$AK$53,計算用!$BE$84,IF(計算用!$BB$84="男",0,19)+8))</f>
        <v/>
      </c>
      <c r="G88" s="28">
        <f>IF($A88="","",INDEX(決定版!$A$4:$AK$53,計算用!$BE$84,IF(計算用!$BB$84="男",0,19)+9))</f>
        <v/>
      </c>
      <c r="H88">
        <f>IF($A88="","",INDEX(決定版!$A$4:$AK$53,計算用!$BE$84,IF(計算用!$BB$84="男",0,19)+10))</f>
        <v/>
      </c>
      <c r="I88" s="28">
        <f>IF($A88="","",INDEX(決定版!$A$4:$AK$53,計算用!$BE$84,IF(計算用!$BB$84="男",0,19)+11))</f>
        <v/>
      </c>
      <c r="J88" s="28">
        <f>IF($A88="","",INDEX(決定版!$A$4:$AK$53,計算用!$BE$84,IF(計算用!$BB$84="男",0,19)+12))</f>
        <v/>
      </c>
      <c r="K88">
        <f>IF($A88="","",INDEX(決定版!$A$4:$AK$53,計算用!$BE$84,IF(計算用!$BB$84="男",0,19)+13))</f>
        <v/>
      </c>
      <c r="L88" s="28">
        <f>IF($A88="","",INDEX(決定版!$A$4:$AK$53,計算用!$BE$84,IF(計算用!$BB$84="男",0,19)+14))</f>
        <v/>
      </c>
      <c r="M88" s="28">
        <f>IF($A88="","",INDEX(決定版!$A$4:$AK$53,計算用!$BE$84,IF(計算用!$BB$84="男",0,19)+15))</f>
        <v/>
      </c>
      <c r="N88">
        <f>IF($A88="","",INDEX(決定版!$A$4:$AK$53,計算用!$BE$84,IF(計算用!$BB$84="男",0,19)+16))</f>
        <v/>
      </c>
      <c r="O88" s="28">
        <f>IF($A88="","",INDEX(決定版!$A$4:$AK$53,計算用!$BE$84,IF(計算用!$BB$84="男",0,19)+17))</f>
        <v/>
      </c>
      <c r="P88" s="28">
        <f>IF($A88="","",INDEX(決定版!$A$4:$AK$53,計算用!$BE$84,IF(計算用!$BB$84="男",0,19)+18))</f>
        <v/>
      </c>
    </row>
    <row r="89">
      <c r="A89" s="28">
        <f>IF(計算用!$BB$85="","",計算用!$BA$85)</f>
        <v/>
      </c>
      <c r="B89">
        <f>IF($A89="","",INDEX(決定版!$A$4:$AK$53,計算用!$BE$85,IF(計算用!$BB$85="男",0,19)+4))</f>
        <v/>
      </c>
      <c r="C89" s="28">
        <f>IF($A89="","",INDEX(決定版!$A$4:$AK$53,計算用!$BE$85,IF(計算用!$BB$85="男",0,19)+5))</f>
        <v/>
      </c>
      <c r="D89" s="28">
        <f>IF($A89="","",INDEX(決定版!$A$4:$AK$53,計算用!$BE$85,IF(計算用!$BB$85="男",0,19)+6))</f>
        <v/>
      </c>
      <c r="E89">
        <f>IF($A89="","",INDEX(決定版!$A$4:$AK$53,計算用!$BE$85,IF(計算用!$BB$85="男",0,19)+7))</f>
        <v/>
      </c>
      <c r="F89" s="28">
        <f>IF($A89="","",INDEX(決定版!$A$4:$AK$53,計算用!$BE$85,IF(計算用!$BB$85="男",0,19)+8))</f>
        <v/>
      </c>
      <c r="G89" s="28">
        <f>IF($A89="","",INDEX(決定版!$A$4:$AK$53,計算用!$BE$85,IF(計算用!$BB$85="男",0,19)+9))</f>
        <v/>
      </c>
      <c r="H89">
        <f>IF($A89="","",INDEX(決定版!$A$4:$AK$53,計算用!$BE$85,IF(計算用!$BB$85="男",0,19)+10))</f>
        <v/>
      </c>
      <c r="I89" s="28">
        <f>IF($A89="","",INDEX(決定版!$A$4:$AK$53,計算用!$BE$85,IF(計算用!$BB$85="男",0,19)+11))</f>
        <v/>
      </c>
      <c r="J89" s="28">
        <f>IF($A89="","",INDEX(決定版!$A$4:$AK$53,計算用!$BE$85,IF(計算用!$BB$85="男",0,19)+12))</f>
        <v/>
      </c>
      <c r="K89">
        <f>IF($A89="","",INDEX(決定版!$A$4:$AK$53,計算用!$BE$85,IF(計算用!$BB$85="男",0,19)+13))</f>
        <v/>
      </c>
      <c r="L89" s="28">
        <f>IF($A89="","",INDEX(決定版!$A$4:$AK$53,計算用!$BE$85,IF(計算用!$BB$85="男",0,19)+14))</f>
        <v/>
      </c>
      <c r="M89" s="28">
        <f>IF($A89="","",INDEX(決定版!$A$4:$AK$53,計算用!$BE$85,IF(計算用!$BB$85="男",0,19)+15))</f>
        <v/>
      </c>
      <c r="N89">
        <f>IF($A89="","",INDEX(決定版!$A$4:$AK$53,計算用!$BE$85,IF(計算用!$BB$85="男",0,19)+16))</f>
        <v/>
      </c>
      <c r="O89" s="28">
        <f>IF($A89="","",INDEX(決定版!$A$4:$AK$53,計算用!$BE$85,IF(計算用!$BB$85="男",0,19)+17))</f>
        <v/>
      </c>
      <c r="P89" s="28">
        <f>IF($A89="","",INDEX(決定版!$A$4:$AK$53,計算用!$BE$85,IF(計算用!$BB$85="男",0,19)+18))</f>
        <v/>
      </c>
    </row>
    <row r="90">
      <c r="A90" s="28">
        <f>IF(計算用!$BB$86="","",計算用!$BA$86)</f>
        <v/>
      </c>
      <c r="B90">
        <f>IF($A90="","",INDEX(決定版!$A$4:$AK$53,計算用!$BE$86,IF(計算用!$BB$86="男",0,19)+4))</f>
        <v/>
      </c>
      <c r="C90" s="28">
        <f>IF($A90="","",INDEX(決定版!$A$4:$AK$53,計算用!$BE$86,IF(計算用!$BB$86="男",0,19)+5))</f>
        <v/>
      </c>
      <c r="D90" s="28">
        <f>IF($A90="","",INDEX(決定版!$A$4:$AK$53,計算用!$BE$86,IF(計算用!$BB$86="男",0,19)+6))</f>
        <v/>
      </c>
      <c r="E90">
        <f>IF($A90="","",INDEX(決定版!$A$4:$AK$53,計算用!$BE$86,IF(計算用!$BB$86="男",0,19)+7))</f>
        <v/>
      </c>
      <c r="F90" s="28">
        <f>IF($A90="","",INDEX(決定版!$A$4:$AK$53,計算用!$BE$86,IF(計算用!$BB$86="男",0,19)+8))</f>
        <v/>
      </c>
      <c r="G90" s="28">
        <f>IF($A90="","",INDEX(決定版!$A$4:$AK$53,計算用!$BE$86,IF(計算用!$BB$86="男",0,19)+9))</f>
        <v/>
      </c>
      <c r="H90">
        <f>IF($A90="","",INDEX(決定版!$A$4:$AK$53,計算用!$BE$86,IF(計算用!$BB$86="男",0,19)+10))</f>
        <v/>
      </c>
      <c r="I90" s="28">
        <f>IF($A90="","",INDEX(決定版!$A$4:$AK$53,計算用!$BE$86,IF(計算用!$BB$86="男",0,19)+11))</f>
        <v/>
      </c>
      <c r="J90" s="28">
        <f>IF($A90="","",INDEX(決定版!$A$4:$AK$53,計算用!$BE$86,IF(計算用!$BB$86="男",0,19)+12))</f>
        <v/>
      </c>
      <c r="K90">
        <f>IF($A90="","",INDEX(決定版!$A$4:$AK$53,計算用!$BE$86,IF(計算用!$BB$86="男",0,19)+13))</f>
        <v/>
      </c>
      <c r="L90" s="28">
        <f>IF($A90="","",INDEX(決定版!$A$4:$AK$53,計算用!$BE$86,IF(計算用!$BB$86="男",0,19)+14))</f>
        <v/>
      </c>
      <c r="M90" s="28">
        <f>IF($A90="","",INDEX(決定版!$A$4:$AK$53,計算用!$BE$86,IF(計算用!$BB$86="男",0,19)+15))</f>
        <v/>
      </c>
      <c r="N90">
        <f>IF($A90="","",INDEX(決定版!$A$4:$AK$53,計算用!$BE$86,IF(計算用!$BB$86="男",0,19)+16))</f>
        <v/>
      </c>
      <c r="O90" s="28">
        <f>IF($A90="","",INDEX(決定版!$A$4:$AK$53,計算用!$BE$86,IF(計算用!$BB$86="男",0,19)+17))</f>
        <v/>
      </c>
      <c r="P90" s="28">
        <f>IF($A90="","",INDEX(決定版!$A$4:$AK$53,計算用!$BE$86,IF(計算用!$BB$86="男",0,19)+18))</f>
        <v/>
      </c>
    </row>
    <row r="91">
      <c r="A91" s="28">
        <f>IF(計算用!$BB$87="","",計算用!$BA$87)</f>
        <v/>
      </c>
      <c r="B91">
        <f>IF($A91="","",INDEX(決定版!$A$4:$AK$53,計算用!$BE$87,IF(計算用!$BB$87="男",0,19)+4))</f>
        <v/>
      </c>
      <c r="C91" s="28">
        <f>IF($A91="","",INDEX(決定版!$A$4:$AK$53,計算用!$BE$87,IF(計算用!$BB$87="男",0,19)+5))</f>
        <v/>
      </c>
      <c r="D91" s="28">
        <f>IF($A91="","",INDEX(決定版!$A$4:$AK$53,計算用!$BE$87,IF(計算用!$BB$87="男",0,19)+6))</f>
        <v/>
      </c>
      <c r="E91">
        <f>IF($A91="","",INDEX(決定版!$A$4:$AK$53,計算用!$BE$87,IF(計算用!$BB$87="男",0,19)+7))</f>
        <v/>
      </c>
      <c r="F91" s="28">
        <f>IF($A91="","",INDEX(決定版!$A$4:$AK$53,計算用!$BE$87,IF(計算用!$BB$87="男",0,19)+8))</f>
        <v/>
      </c>
      <c r="G91" s="28">
        <f>IF($A91="","",INDEX(決定版!$A$4:$AK$53,計算用!$BE$87,IF(計算用!$BB$87="男",0,19)+9))</f>
        <v/>
      </c>
      <c r="H91">
        <f>IF($A91="","",INDEX(決定版!$A$4:$AK$53,計算用!$BE$87,IF(計算用!$BB$87="男",0,19)+10))</f>
        <v/>
      </c>
      <c r="I91" s="28">
        <f>IF($A91="","",INDEX(決定版!$A$4:$AK$53,計算用!$BE$87,IF(計算用!$BB$87="男",0,19)+11))</f>
        <v/>
      </c>
      <c r="J91" s="28">
        <f>IF($A91="","",INDEX(決定版!$A$4:$AK$53,計算用!$BE$87,IF(計算用!$BB$87="男",0,19)+12))</f>
        <v/>
      </c>
      <c r="K91">
        <f>IF($A91="","",INDEX(決定版!$A$4:$AK$53,計算用!$BE$87,IF(計算用!$BB$87="男",0,19)+13))</f>
        <v/>
      </c>
      <c r="L91" s="28">
        <f>IF($A91="","",INDEX(決定版!$A$4:$AK$53,計算用!$BE$87,IF(計算用!$BB$87="男",0,19)+14))</f>
        <v/>
      </c>
      <c r="M91" s="28">
        <f>IF($A91="","",INDEX(決定版!$A$4:$AK$53,計算用!$BE$87,IF(計算用!$BB$87="男",0,19)+15))</f>
        <v/>
      </c>
      <c r="N91">
        <f>IF($A91="","",INDEX(決定版!$A$4:$AK$53,計算用!$BE$87,IF(計算用!$BB$87="男",0,19)+16))</f>
        <v/>
      </c>
      <c r="O91" s="28">
        <f>IF($A91="","",INDEX(決定版!$A$4:$AK$53,計算用!$BE$87,IF(計算用!$BB$87="男",0,19)+17))</f>
        <v/>
      </c>
      <c r="P91" s="28">
        <f>IF($A91="","",INDEX(決定版!$A$4:$AK$53,計算用!$BE$87,IF(計算用!$BB$87="男",0,19)+18))</f>
        <v/>
      </c>
    </row>
    <row r="92">
      <c r="A92" s="28">
        <f>IF(計算用!$BB$88="","",計算用!$BA$88)</f>
        <v/>
      </c>
      <c r="B92">
        <f>IF($A92="","",INDEX(決定版!$A$4:$AK$53,計算用!$BE$88,IF(計算用!$BB$88="男",0,19)+4))</f>
        <v/>
      </c>
      <c r="C92" s="28">
        <f>IF($A92="","",INDEX(決定版!$A$4:$AK$53,計算用!$BE$88,IF(計算用!$BB$88="男",0,19)+5))</f>
        <v/>
      </c>
      <c r="D92" s="28">
        <f>IF($A92="","",INDEX(決定版!$A$4:$AK$53,計算用!$BE$88,IF(計算用!$BB$88="男",0,19)+6))</f>
        <v/>
      </c>
      <c r="E92">
        <f>IF($A92="","",INDEX(決定版!$A$4:$AK$53,計算用!$BE$88,IF(計算用!$BB$88="男",0,19)+7))</f>
        <v/>
      </c>
      <c r="F92" s="28">
        <f>IF($A92="","",INDEX(決定版!$A$4:$AK$53,計算用!$BE$88,IF(計算用!$BB$88="男",0,19)+8))</f>
        <v/>
      </c>
      <c r="G92" s="28">
        <f>IF($A92="","",INDEX(決定版!$A$4:$AK$53,計算用!$BE$88,IF(計算用!$BB$88="男",0,19)+9))</f>
        <v/>
      </c>
      <c r="H92">
        <f>IF($A92="","",INDEX(決定版!$A$4:$AK$53,計算用!$BE$88,IF(計算用!$BB$88="男",0,19)+10))</f>
        <v/>
      </c>
      <c r="I92" s="28">
        <f>IF($A92="","",INDEX(決定版!$A$4:$AK$53,計算用!$BE$88,IF(計算用!$BB$88="男",0,19)+11))</f>
        <v/>
      </c>
      <c r="J92" s="28">
        <f>IF($A92="","",INDEX(決定版!$A$4:$AK$53,計算用!$BE$88,IF(計算用!$BB$88="男",0,19)+12))</f>
        <v/>
      </c>
      <c r="K92">
        <f>IF($A92="","",INDEX(決定版!$A$4:$AK$53,計算用!$BE$88,IF(計算用!$BB$88="男",0,19)+13))</f>
        <v/>
      </c>
      <c r="L92" s="28">
        <f>IF($A92="","",INDEX(決定版!$A$4:$AK$53,計算用!$BE$88,IF(計算用!$BB$88="男",0,19)+14))</f>
        <v/>
      </c>
      <c r="M92" s="28">
        <f>IF($A92="","",INDEX(決定版!$A$4:$AK$53,計算用!$BE$88,IF(計算用!$BB$88="男",0,19)+15))</f>
        <v/>
      </c>
      <c r="N92">
        <f>IF($A92="","",INDEX(決定版!$A$4:$AK$53,計算用!$BE$88,IF(計算用!$BB$88="男",0,19)+16))</f>
        <v/>
      </c>
      <c r="O92" s="28">
        <f>IF($A92="","",INDEX(決定版!$A$4:$AK$53,計算用!$BE$88,IF(計算用!$BB$88="男",0,19)+17))</f>
        <v/>
      </c>
      <c r="P92" s="28">
        <f>IF($A92="","",INDEX(決定版!$A$4:$AK$53,計算用!$BE$88,IF(計算用!$BB$88="男",0,19)+18))</f>
        <v/>
      </c>
    </row>
    <row r="93">
      <c r="A93" s="28">
        <f>IF(計算用!$BB$89="","",計算用!$BA$89)</f>
        <v/>
      </c>
      <c r="B93">
        <f>IF($A93="","",INDEX(決定版!$A$4:$AK$53,計算用!$BE$89,IF(計算用!$BB$89="男",0,19)+4))</f>
        <v/>
      </c>
      <c r="C93" s="28">
        <f>IF($A93="","",INDEX(決定版!$A$4:$AK$53,計算用!$BE$89,IF(計算用!$BB$89="男",0,19)+5))</f>
        <v/>
      </c>
      <c r="D93" s="28">
        <f>IF($A93="","",INDEX(決定版!$A$4:$AK$53,計算用!$BE$89,IF(計算用!$BB$89="男",0,19)+6))</f>
        <v/>
      </c>
      <c r="E93">
        <f>IF($A93="","",INDEX(決定版!$A$4:$AK$53,計算用!$BE$89,IF(計算用!$BB$89="男",0,19)+7))</f>
        <v/>
      </c>
      <c r="F93" s="28">
        <f>IF($A93="","",INDEX(決定版!$A$4:$AK$53,計算用!$BE$89,IF(計算用!$BB$89="男",0,19)+8))</f>
        <v/>
      </c>
      <c r="G93" s="28">
        <f>IF($A93="","",INDEX(決定版!$A$4:$AK$53,計算用!$BE$89,IF(計算用!$BB$89="男",0,19)+9))</f>
        <v/>
      </c>
      <c r="H93">
        <f>IF($A93="","",INDEX(決定版!$A$4:$AK$53,計算用!$BE$89,IF(計算用!$BB$89="男",0,19)+10))</f>
        <v/>
      </c>
      <c r="I93" s="28">
        <f>IF($A93="","",INDEX(決定版!$A$4:$AK$53,計算用!$BE$89,IF(計算用!$BB$89="男",0,19)+11))</f>
        <v/>
      </c>
      <c r="J93" s="28">
        <f>IF($A93="","",INDEX(決定版!$A$4:$AK$53,計算用!$BE$89,IF(計算用!$BB$89="男",0,19)+12))</f>
        <v/>
      </c>
      <c r="K93">
        <f>IF($A93="","",INDEX(決定版!$A$4:$AK$53,計算用!$BE$89,IF(計算用!$BB$89="男",0,19)+13))</f>
        <v/>
      </c>
      <c r="L93" s="28">
        <f>IF($A93="","",INDEX(決定版!$A$4:$AK$53,計算用!$BE$89,IF(計算用!$BB$89="男",0,19)+14))</f>
        <v/>
      </c>
      <c r="M93" s="28">
        <f>IF($A93="","",INDEX(決定版!$A$4:$AK$53,計算用!$BE$89,IF(計算用!$BB$89="男",0,19)+15))</f>
        <v/>
      </c>
      <c r="N93">
        <f>IF($A93="","",INDEX(決定版!$A$4:$AK$53,計算用!$BE$89,IF(計算用!$BB$89="男",0,19)+16))</f>
        <v/>
      </c>
      <c r="O93" s="28">
        <f>IF($A93="","",INDEX(決定版!$A$4:$AK$53,計算用!$BE$89,IF(計算用!$BB$89="男",0,19)+17))</f>
        <v/>
      </c>
      <c r="P93" s="28">
        <f>IF($A93="","",INDEX(決定版!$A$4:$AK$53,計算用!$BE$89,IF(計算用!$BB$89="男",0,19)+18))</f>
        <v/>
      </c>
    </row>
    <row r="94">
      <c r="A94" s="28">
        <f>IF(計算用!$BB$90="","",計算用!$BA$90)</f>
        <v/>
      </c>
      <c r="B94">
        <f>IF($A94="","",INDEX(決定版!$A$4:$AK$53,計算用!$BE$90,IF(計算用!$BB$90="男",0,19)+4))</f>
        <v/>
      </c>
      <c r="C94" s="28">
        <f>IF($A94="","",INDEX(決定版!$A$4:$AK$53,計算用!$BE$90,IF(計算用!$BB$90="男",0,19)+5))</f>
        <v/>
      </c>
      <c r="D94" s="28">
        <f>IF($A94="","",INDEX(決定版!$A$4:$AK$53,計算用!$BE$90,IF(計算用!$BB$90="男",0,19)+6))</f>
        <v/>
      </c>
      <c r="E94">
        <f>IF($A94="","",INDEX(決定版!$A$4:$AK$53,計算用!$BE$90,IF(計算用!$BB$90="男",0,19)+7))</f>
        <v/>
      </c>
      <c r="F94" s="28">
        <f>IF($A94="","",INDEX(決定版!$A$4:$AK$53,計算用!$BE$90,IF(計算用!$BB$90="男",0,19)+8))</f>
        <v/>
      </c>
      <c r="G94" s="28">
        <f>IF($A94="","",INDEX(決定版!$A$4:$AK$53,計算用!$BE$90,IF(計算用!$BB$90="男",0,19)+9))</f>
        <v/>
      </c>
      <c r="H94">
        <f>IF($A94="","",INDEX(決定版!$A$4:$AK$53,計算用!$BE$90,IF(計算用!$BB$90="男",0,19)+10))</f>
        <v/>
      </c>
      <c r="I94" s="28">
        <f>IF($A94="","",INDEX(決定版!$A$4:$AK$53,計算用!$BE$90,IF(計算用!$BB$90="男",0,19)+11))</f>
        <v/>
      </c>
      <c r="J94" s="28">
        <f>IF($A94="","",INDEX(決定版!$A$4:$AK$53,計算用!$BE$90,IF(計算用!$BB$90="男",0,19)+12))</f>
        <v/>
      </c>
      <c r="K94">
        <f>IF($A94="","",INDEX(決定版!$A$4:$AK$53,計算用!$BE$90,IF(計算用!$BB$90="男",0,19)+13))</f>
        <v/>
      </c>
      <c r="L94" s="28">
        <f>IF($A94="","",INDEX(決定版!$A$4:$AK$53,計算用!$BE$90,IF(計算用!$BB$90="男",0,19)+14))</f>
        <v/>
      </c>
      <c r="M94" s="28">
        <f>IF($A94="","",INDEX(決定版!$A$4:$AK$53,計算用!$BE$90,IF(計算用!$BB$90="男",0,19)+15))</f>
        <v/>
      </c>
      <c r="N94">
        <f>IF($A94="","",INDEX(決定版!$A$4:$AK$53,計算用!$BE$90,IF(計算用!$BB$90="男",0,19)+16))</f>
        <v/>
      </c>
      <c r="O94" s="28">
        <f>IF($A94="","",INDEX(決定版!$A$4:$AK$53,計算用!$BE$90,IF(計算用!$BB$90="男",0,19)+17))</f>
        <v/>
      </c>
      <c r="P94" s="28">
        <f>IF($A94="","",INDEX(決定版!$A$4:$AK$53,計算用!$BE$90,IF(計算用!$BB$90="男",0,19)+18))</f>
        <v/>
      </c>
    </row>
    <row r="95">
      <c r="A95" s="28">
        <f>IF(計算用!$BB$91="","",計算用!$BA$91)</f>
        <v/>
      </c>
      <c r="B95">
        <f>IF($A95="","",INDEX(決定版!$A$4:$AK$53,計算用!$BE$91,IF(計算用!$BB$91="男",0,19)+4))</f>
        <v/>
      </c>
      <c r="C95" s="28">
        <f>IF($A95="","",INDEX(決定版!$A$4:$AK$53,計算用!$BE$91,IF(計算用!$BB$91="男",0,19)+5))</f>
        <v/>
      </c>
      <c r="D95" s="28">
        <f>IF($A95="","",INDEX(決定版!$A$4:$AK$53,計算用!$BE$91,IF(計算用!$BB$91="男",0,19)+6))</f>
        <v/>
      </c>
      <c r="E95">
        <f>IF($A95="","",INDEX(決定版!$A$4:$AK$53,計算用!$BE$91,IF(計算用!$BB$91="男",0,19)+7))</f>
        <v/>
      </c>
      <c r="F95" s="28">
        <f>IF($A95="","",INDEX(決定版!$A$4:$AK$53,計算用!$BE$91,IF(計算用!$BB$91="男",0,19)+8))</f>
        <v/>
      </c>
      <c r="G95" s="28">
        <f>IF($A95="","",INDEX(決定版!$A$4:$AK$53,計算用!$BE$91,IF(計算用!$BB$91="男",0,19)+9))</f>
        <v/>
      </c>
      <c r="H95">
        <f>IF($A95="","",INDEX(決定版!$A$4:$AK$53,計算用!$BE$91,IF(計算用!$BB$91="男",0,19)+10))</f>
        <v/>
      </c>
      <c r="I95" s="28">
        <f>IF($A95="","",INDEX(決定版!$A$4:$AK$53,計算用!$BE$91,IF(計算用!$BB$91="男",0,19)+11))</f>
        <v/>
      </c>
      <c r="J95" s="28">
        <f>IF($A95="","",INDEX(決定版!$A$4:$AK$53,計算用!$BE$91,IF(計算用!$BB$91="男",0,19)+12))</f>
        <v/>
      </c>
      <c r="K95">
        <f>IF($A95="","",INDEX(決定版!$A$4:$AK$53,計算用!$BE$91,IF(計算用!$BB$91="男",0,19)+13))</f>
        <v/>
      </c>
      <c r="L95" s="28">
        <f>IF($A95="","",INDEX(決定版!$A$4:$AK$53,計算用!$BE$91,IF(計算用!$BB$91="男",0,19)+14))</f>
        <v/>
      </c>
      <c r="M95" s="28">
        <f>IF($A95="","",INDEX(決定版!$A$4:$AK$53,計算用!$BE$91,IF(計算用!$BB$91="男",0,19)+15))</f>
        <v/>
      </c>
      <c r="N95">
        <f>IF($A95="","",INDEX(決定版!$A$4:$AK$53,計算用!$BE$91,IF(計算用!$BB$91="男",0,19)+16))</f>
        <v/>
      </c>
      <c r="O95" s="28">
        <f>IF($A95="","",INDEX(決定版!$A$4:$AK$53,計算用!$BE$91,IF(計算用!$BB$91="男",0,19)+17))</f>
        <v/>
      </c>
      <c r="P95" s="28">
        <f>IF($A95="","",INDEX(決定版!$A$4:$AK$53,計算用!$BE$91,IF(計算用!$BB$91="男",0,19)+18))</f>
        <v/>
      </c>
    </row>
    <row r="96">
      <c r="A96" s="28">
        <f>IF(計算用!$BB$92="","",計算用!$BA$92)</f>
        <v/>
      </c>
      <c r="B96">
        <f>IF($A96="","",INDEX(決定版!$A$4:$AK$53,計算用!$BE$92,IF(計算用!$BB$92="男",0,19)+4))</f>
        <v/>
      </c>
      <c r="C96" s="28">
        <f>IF($A96="","",INDEX(決定版!$A$4:$AK$53,計算用!$BE$92,IF(計算用!$BB$92="男",0,19)+5))</f>
        <v/>
      </c>
      <c r="D96" s="28">
        <f>IF($A96="","",INDEX(決定版!$A$4:$AK$53,計算用!$BE$92,IF(計算用!$BB$92="男",0,19)+6))</f>
        <v/>
      </c>
      <c r="E96">
        <f>IF($A96="","",INDEX(決定版!$A$4:$AK$53,計算用!$BE$92,IF(計算用!$BB$92="男",0,19)+7))</f>
        <v/>
      </c>
      <c r="F96" s="28">
        <f>IF($A96="","",INDEX(決定版!$A$4:$AK$53,計算用!$BE$92,IF(計算用!$BB$92="男",0,19)+8))</f>
        <v/>
      </c>
      <c r="G96" s="28">
        <f>IF($A96="","",INDEX(決定版!$A$4:$AK$53,計算用!$BE$92,IF(計算用!$BB$92="男",0,19)+9))</f>
        <v/>
      </c>
      <c r="H96">
        <f>IF($A96="","",INDEX(決定版!$A$4:$AK$53,計算用!$BE$92,IF(計算用!$BB$92="男",0,19)+10))</f>
        <v/>
      </c>
      <c r="I96" s="28">
        <f>IF($A96="","",INDEX(決定版!$A$4:$AK$53,計算用!$BE$92,IF(計算用!$BB$92="男",0,19)+11))</f>
        <v/>
      </c>
      <c r="J96" s="28">
        <f>IF($A96="","",INDEX(決定版!$A$4:$AK$53,計算用!$BE$92,IF(計算用!$BB$92="男",0,19)+12))</f>
        <v/>
      </c>
      <c r="K96">
        <f>IF($A96="","",INDEX(決定版!$A$4:$AK$53,計算用!$BE$92,IF(計算用!$BB$92="男",0,19)+13))</f>
        <v/>
      </c>
      <c r="L96" s="28">
        <f>IF($A96="","",INDEX(決定版!$A$4:$AK$53,計算用!$BE$92,IF(計算用!$BB$92="男",0,19)+14))</f>
        <v/>
      </c>
      <c r="M96" s="28">
        <f>IF($A96="","",INDEX(決定版!$A$4:$AK$53,計算用!$BE$92,IF(計算用!$BB$92="男",0,19)+15))</f>
        <v/>
      </c>
      <c r="N96">
        <f>IF($A96="","",INDEX(決定版!$A$4:$AK$53,計算用!$BE$92,IF(計算用!$BB$92="男",0,19)+16))</f>
        <v/>
      </c>
      <c r="O96" s="28">
        <f>IF($A96="","",INDEX(決定版!$A$4:$AK$53,計算用!$BE$92,IF(計算用!$BB$92="男",0,19)+17))</f>
        <v/>
      </c>
      <c r="P96" s="28">
        <f>IF($A96="","",INDEX(決定版!$A$4:$AK$53,計算用!$BE$92,IF(計算用!$BB$92="男",0,19)+18))</f>
        <v/>
      </c>
    </row>
    <row r="97">
      <c r="A97" s="28">
        <f>IF(計算用!$BB$93="","",計算用!$BA$93)</f>
        <v/>
      </c>
      <c r="B97">
        <f>IF($A97="","",INDEX(決定版!$A$4:$AK$53,計算用!$BE$93,IF(計算用!$BB$93="男",0,19)+4))</f>
        <v/>
      </c>
      <c r="C97" s="28">
        <f>IF($A97="","",INDEX(決定版!$A$4:$AK$53,計算用!$BE$93,IF(計算用!$BB$93="男",0,19)+5))</f>
        <v/>
      </c>
      <c r="D97" s="28">
        <f>IF($A97="","",INDEX(決定版!$A$4:$AK$53,計算用!$BE$93,IF(計算用!$BB$93="男",0,19)+6))</f>
        <v/>
      </c>
      <c r="E97">
        <f>IF($A97="","",INDEX(決定版!$A$4:$AK$53,計算用!$BE$93,IF(計算用!$BB$93="男",0,19)+7))</f>
        <v/>
      </c>
      <c r="F97" s="28">
        <f>IF($A97="","",INDEX(決定版!$A$4:$AK$53,計算用!$BE$93,IF(計算用!$BB$93="男",0,19)+8))</f>
        <v/>
      </c>
      <c r="G97" s="28">
        <f>IF($A97="","",INDEX(決定版!$A$4:$AK$53,計算用!$BE$93,IF(計算用!$BB$93="男",0,19)+9))</f>
        <v/>
      </c>
      <c r="H97">
        <f>IF($A97="","",INDEX(決定版!$A$4:$AK$53,計算用!$BE$93,IF(計算用!$BB$93="男",0,19)+10))</f>
        <v/>
      </c>
      <c r="I97" s="28">
        <f>IF($A97="","",INDEX(決定版!$A$4:$AK$53,計算用!$BE$93,IF(計算用!$BB$93="男",0,19)+11))</f>
        <v/>
      </c>
      <c r="J97" s="28">
        <f>IF($A97="","",INDEX(決定版!$A$4:$AK$53,計算用!$BE$93,IF(計算用!$BB$93="男",0,19)+12))</f>
        <v/>
      </c>
      <c r="K97">
        <f>IF($A97="","",INDEX(決定版!$A$4:$AK$53,計算用!$BE$93,IF(計算用!$BB$93="男",0,19)+13))</f>
        <v/>
      </c>
      <c r="L97" s="28">
        <f>IF($A97="","",INDEX(決定版!$A$4:$AK$53,計算用!$BE$93,IF(計算用!$BB$93="男",0,19)+14))</f>
        <v/>
      </c>
      <c r="M97" s="28">
        <f>IF($A97="","",INDEX(決定版!$A$4:$AK$53,計算用!$BE$93,IF(計算用!$BB$93="男",0,19)+15))</f>
        <v/>
      </c>
      <c r="N97">
        <f>IF($A97="","",INDEX(決定版!$A$4:$AK$53,計算用!$BE$93,IF(計算用!$BB$93="男",0,19)+16))</f>
        <v/>
      </c>
      <c r="O97" s="28">
        <f>IF($A97="","",INDEX(決定版!$A$4:$AK$53,計算用!$BE$93,IF(計算用!$BB$93="男",0,19)+17))</f>
        <v/>
      </c>
      <c r="P97" s="28">
        <f>IF($A97="","",INDEX(決定版!$A$4:$AK$53,計算用!$BE$93,IF(計算用!$BB$93="男",0,19)+18))</f>
        <v/>
      </c>
    </row>
    <row r="98">
      <c r="A98" s="28">
        <f>IF(計算用!$BB$94="","",計算用!$BA$94)</f>
        <v/>
      </c>
      <c r="B98">
        <f>IF($A98="","",INDEX(決定版!$A$4:$AK$53,計算用!$BE$94,IF(計算用!$BB$94="男",0,19)+4))</f>
        <v/>
      </c>
      <c r="C98" s="28">
        <f>IF($A98="","",INDEX(決定版!$A$4:$AK$53,計算用!$BE$94,IF(計算用!$BB$94="男",0,19)+5))</f>
        <v/>
      </c>
      <c r="D98" s="28">
        <f>IF($A98="","",INDEX(決定版!$A$4:$AK$53,計算用!$BE$94,IF(計算用!$BB$94="男",0,19)+6))</f>
        <v/>
      </c>
      <c r="E98">
        <f>IF($A98="","",INDEX(決定版!$A$4:$AK$53,計算用!$BE$94,IF(計算用!$BB$94="男",0,19)+7))</f>
        <v/>
      </c>
      <c r="F98" s="28">
        <f>IF($A98="","",INDEX(決定版!$A$4:$AK$53,計算用!$BE$94,IF(計算用!$BB$94="男",0,19)+8))</f>
        <v/>
      </c>
      <c r="G98" s="28">
        <f>IF($A98="","",INDEX(決定版!$A$4:$AK$53,計算用!$BE$94,IF(計算用!$BB$94="男",0,19)+9))</f>
        <v/>
      </c>
      <c r="H98">
        <f>IF($A98="","",INDEX(決定版!$A$4:$AK$53,計算用!$BE$94,IF(計算用!$BB$94="男",0,19)+10))</f>
        <v/>
      </c>
      <c r="I98" s="28">
        <f>IF($A98="","",INDEX(決定版!$A$4:$AK$53,計算用!$BE$94,IF(計算用!$BB$94="男",0,19)+11))</f>
        <v/>
      </c>
      <c r="J98" s="28">
        <f>IF($A98="","",INDEX(決定版!$A$4:$AK$53,計算用!$BE$94,IF(計算用!$BB$94="男",0,19)+12))</f>
        <v/>
      </c>
      <c r="K98">
        <f>IF($A98="","",INDEX(決定版!$A$4:$AK$53,計算用!$BE$94,IF(計算用!$BB$94="男",0,19)+13))</f>
        <v/>
      </c>
      <c r="L98" s="28">
        <f>IF($A98="","",INDEX(決定版!$A$4:$AK$53,計算用!$BE$94,IF(計算用!$BB$94="男",0,19)+14))</f>
        <v/>
      </c>
      <c r="M98" s="28">
        <f>IF($A98="","",INDEX(決定版!$A$4:$AK$53,計算用!$BE$94,IF(計算用!$BB$94="男",0,19)+15))</f>
        <v/>
      </c>
      <c r="N98">
        <f>IF($A98="","",INDEX(決定版!$A$4:$AK$53,計算用!$BE$94,IF(計算用!$BB$94="男",0,19)+16))</f>
        <v/>
      </c>
      <c r="O98" s="28">
        <f>IF($A98="","",INDEX(決定版!$A$4:$AK$53,計算用!$BE$94,IF(計算用!$BB$94="男",0,19)+17))</f>
        <v/>
      </c>
      <c r="P98" s="28">
        <f>IF($A98="","",INDEX(決定版!$A$4:$AK$53,計算用!$BE$94,IF(計算用!$BB$94="男",0,19)+18))</f>
        <v/>
      </c>
    </row>
    <row r="99">
      <c r="A99" s="28">
        <f>IF(計算用!$BB$95="","",計算用!$BA$95)</f>
        <v/>
      </c>
      <c r="B99">
        <f>IF($A99="","",INDEX(決定版!$A$4:$AK$53,計算用!$BE$95,IF(計算用!$BB$95="男",0,19)+4))</f>
        <v/>
      </c>
      <c r="C99" s="28">
        <f>IF($A99="","",INDEX(決定版!$A$4:$AK$53,計算用!$BE$95,IF(計算用!$BB$95="男",0,19)+5))</f>
        <v/>
      </c>
      <c r="D99" s="28">
        <f>IF($A99="","",INDEX(決定版!$A$4:$AK$53,計算用!$BE$95,IF(計算用!$BB$95="男",0,19)+6))</f>
        <v/>
      </c>
      <c r="E99">
        <f>IF($A99="","",INDEX(決定版!$A$4:$AK$53,計算用!$BE$95,IF(計算用!$BB$95="男",0,19)+7))</f>
        <v/>
      </c>
      <c r="F99" s="28">
        <f>IF($A99="","",INDEX(決定版!$A$4:$AK$53,計算用!$BE$95,IF(計算用!$BB$95="男",0,19)+8))</f>
        <v/>
      </c>
      <c r="G99" s="28">
        <f>IF($A99="","",INDEX(決定版!$A$4:$AK$53,計算用!$BE$95,IF(計算用!$BB$95="男",0,19)+9))</f>
        <v/>
      </c>
      <c r="H99">
        <f>IF($A99="","",INDEX(決定版!$A$4:$AK$53,計算用!$BE$95,IF(計算用!$BB$95="男",0,19)+10))</f>
        <v/>
      </c>
      <c r="I99" s="28">
        <f>IF($A99="","",INDEX(決定版!$A$4:$AK$53,計算用!$BE$95,IF(計算用!$BB$95="男",0,19)+11))</f>
        <v/>
      </c>
      <c r="J99" s="28">
        <f>IF($A99="","",INDEX(決定版!$A$4:$AK$53,計算用!$BE$95,IF(計算用!$BB$95="男",0,19)+12))</f>
        <v/>
      </c>
      <c r="K99">
        <f>IF($A99="","",INDEX(決定版!$A$4:$AK$53,計算用!$BE$95,IF(計算用!$BB$95="男",0,19)+13))</f>
        <v/>
      </c>
      <c r="L99" s="28">
        <f>IF($A99="","",INDEX(決定版!$A$4:$AK$53,計算用!$BE$95,IF(計算用!$BB$95="男",0,19)+14))</f>
        <v/>
      </c>
      <c r="M99" s="28">
        <f>IF($A99="","",INDEX(決定版!$A$4:$AK$53,計算用!$BE$95,IF(計算用!$BB$95="男",0,19)+15))</f>
        <v/>
      </c>
      <c r="N99">
        <f>IF($A99="","",INDEX(決定版!$A$4:$AK$53,計算用!$BE$95,IF(計算用!$BB$95="男",0,19)+16))</f>
        <v/>
      </c>
      <c r="O99" s="28">
        <f>IF($A99="","",INDEX(決定版!$A$4:$AK$53,計算用!$BE$95,IF(計算用!$BB$95="男",0,19)+17))</f>
        <v/>
      </c>
      <c r="P99" s="28">
        <f>IF($A99="","",INDEX(決定版!$A$4:$AK$53,計算用!$BE$95,IF(計算用!$BB$95="男",0,19)+18))</f>
        <v/>
      </c>
    </row>
    <row r="100">
      <c r="A100" s="28">
        <f>IF(計算用!$BB$96="","",計算用!$BA$96)</f>
        <v/>
      </c>
      <c r="B100">
        <f>IF($A100="","",INDEX(決定版!$A$4:$AK$53,計算用!$BE$96,IF(計算用!$BB$96="男",0,19)+4))</f>
        <v/>
      </c>
      <c r="C100" s="28">
        <f>IF($A100="","",INDEX(決定版!$A$4:$AK$53,計算用!$BE$96,IF(計算用!$BB$96="男",0,19)+5))</f>
        <v/>
      </c>
      <c r="D100" s="28">
        <f>IF($A100="","",INDEX(決定版!$A$4:$AK$53,計算用!$BE$96,IF(計算用!$BB$96="男",0,19)+6))</f>
        <v/>
      </c>
      <c r="E100">
        <f>IF($A100="","",INDEX(決定版!$A$4:$AK$53,計算用!$BE$96,IF(計算用!$BB$96="男",0,19)+7))</f>
        <v/>
      </c>
      <c r="F100" s="28">
        <f>IF($A100="","",INDEX(決定版!$A$4:$AK$53,計算用!$BE$96,IF(計算用!$BB$96="男",0,19)+8))</f>
        <v/>
      </c>
      <c r="G100" s="28">
        <f>IF($A100="","",INDEX(決定版!$A$4:$AK$53,計算用!$BE$96,IF(計算用!$BB$96="男",0,19)+9))</f>
        <v/>
      </c>
      <c r="H100">
        <f>IF($A100="","",INDEX(決定版!$A$4:$AK$53,計算用!$BE$96,IF(計算用!$BB$96="男",0,19)+10))</f>
        <v/>
      </c>
      <c r="I100" s="28">
        <f>IF($A100="","",INDEX(決定版!$A$4:$AK$53,計算用!$BE$96,IF(計算用!$BB$96="男",0,19)+11))</f>
        <v/>
      </c>
      <c r="J100" s="28">
        <f>IF($A100="","",INDEX(決定版!$A$4:$AK$53,計算用!$BE$96,IF(計算用!$BB$96="男",0,19)+12))</f>
        <v/>
      </c>
      <c r="K100">
        <f>IF($A100="","",INDEX(決定版!$A$4:$AK$53,計算用!$BE$96,IF(計算用!$BB$96="男",0,19)+13))</f>
        <v/>
      </c>
      <c r="L100" s="28">
        <f>IF($A100="","",INDEX(決定版!$A$4:$AK$53,計算用!$BE$96,IF(計算用!$BB$96="男",0,19)+14))</f>
        <v/>
      </c>
      <c r="M100" s="28">
        <f>IF($A100="","",INDEX(決定版!$A$4:$AK$53,計算用!$BE$96,IF(計算用!$BB$96="男",0,19)+15))</f>
        <v/>
      </c>
      <c r="N100">
        <f>IF($A100="","",INDEX(決定版!$A$4:$AK$53,計算用!$BE$96,IF(計算用!$BB$96="男",0,19)+16))</f>
        <v/>
      </c>
      <c r="O100" s="28">
        <f>IF($A100="","",INDEX(決定版!$A$4:$AK$53,計算用!$BE$96,IF(計算用!$BB$96="男",0,19)+17))</f>
        <v/>
      </c>
      <c r="P100" s="28">
        <f>IF($A100="","",INDEX(決定版!$A$4:$AK$53,計算用!$BE$96,IF(計算用!$BB$96="男",0,19)+18))</f>
        <v/>
      </c>
    </row>
    <row r="101">
      <c r="A101" s="28">
        <f>IF(計算用!$BB$97="","",計算用!$BA$97)</f>
        <v/>
      </c>
      <c r="B101">
        <f>IF($A101="","",INDEX(決定版!$A$4:$AK$53,計算用!$BE$97,IF(計算用!$BB$97="男",0,19)+4))</f>
        <v/>
      </c>
      <c r="C101" s="28">
        <f>IF($A101="","",INDEX(決定版!$A$4:$AK$53,計算用!$BE$97,IF(計算用!$BB$97="男",0,19)+5))</f>
        <v/>
      </c>
      <c r="D101" s="28">
        <f>IF($A101="","",INDEX(決定版!$A$4:$AK$53,計算用!$BE$97,IF(計算用!$BB$97="男",0,19)+6))</f>
        <v/>
      </c>
      <c r="E101">
        <f>IF($A101="","",INDEX(決定版!$A$4:$AK$53,計算用!$BE$97,IF(計算用!$BB$97="男",0,19)+7))</f>
        <v/>
      </c>
      <c r="F101" s="28">
        <f>IF($A101="","",INDEX(決定版!$A$4:$AK$53,計算用!$BE$97,IF(計算用!$BB$97="男",0,19)+8))</f>
        <v/>
      </c>
      <c r="G101" s="28">
        <f>IF($A101="","",INDEX(決定版!$A$4:$AK$53,計算用!$BE$97,IF(計算用!$BB$97="男",0,19)+9))</f>
        <v/>
      </c>
      <c r="H101">
        <f>IF($A101="","",INDEX(決定版!$A$4:$AK$53,計算用!$BE$97,IF(計算用!$BB$97="男",0,19)+10))</f>
        <v/>
      </c>
      <c r="I101" s="28">
        <f>IF($A101="","",INDEX(決定版!$A$4:$AK$53,計算用!$BE$97,IF(計算用!$BB$97="男",0,19)+11))</f>
        <v/>
      </c>
      <c r="J101" s="28">
        <f>IF($A101="","",INDEX(決定版!$A$4:$AK$53,計算用!$BE$97,IF(計算用!$BB$97="男",0,19)+12))</f>
        <v/>
      </c>
      <c r="K101">
        <f>IF($A101="","",INDEX(決定版!$A$4:$AK$53,計算用!$BE$97,IF(計算用!$BB$97="男",0,19)+13))</f>
        <v/>
      </c>
      <c r="L101" s="28">
        <f>IF($A101="","",INDEX(決定版!$A$4:$AK$53,計算用!$BE$97,IF(計算用!$BB$97="男",0,19)+14))</f>
        <v/>
      </c>
      <c r="M101" s="28">
        <f>IF($A101="","",INDEX(決定版!$A$4:$AK$53,計算用!$BE$97,IF(計算用!$BB$97="男",0,19)+15))</f>
        <v/>
      </c>
      <c r="N101">
        <f>IF($A101="","",INDEX(決定版!$A$4:$AK$53,計算用!$BE$97,IF(計算用!$BB$97="男",0,19)+16))</f>
        <v/>
      </c>
      <c r="O101" s="28">
        <f>IF($A101="","",INDEX(決定版!$A$4:$AK$53,計算用!$BE$97,IF(計算用!$BB$97="男",0,19)+17))</f>
        <v/>
      </c>
      <c r="P101" s="28">
        <f>IF($A101="","",INDEX(決定版!$A$4:$AK$53,計算用!$BE$97,IF(計算用!$BB$97="男",0,19)+18))</f>
        <v/>
      </c>
    </row>
    <row r="102">
      <c r="A102" s="28">
        <f>IF(計算用!$BB$98="","",計算用!$BA$98)</f>
        <v/>
      </c>
      <c r="B102">
        <f>IF($A102="","",INDEX(決定版!$A$4:$AK$53,計算用!$BE$98,IF(計算用!$BB$98="男",0,19)+4))</f>
        <v/>
      </c>
      <c r="C102" s="28">
        <f>IF($A102="","",INDEX(決定版!$A$4:$AK$53,計算用!$BE$98,IF(計算用!$BB$98="男",0,19)+5))</f>
        <v/>
      </c>
      <c r="D102" s="28">
        <f>IF($A102="","",INDEX(決定版!$A$4:$AK$53,計算用!$BE$98,IF(計算用!$BB$98="男",0,19)+6))</f>
        <v/>
      </c>
      <c r="E102">
        <f>IF($A102="","",INDEX(決定版!$A$4:$AK$53,計算用!$BE$98,IF(計算用!$BB$98="男",0,19)+7))</f>
        <v/>
      </c>
      <c r="F102" s="28">
        <f>IF($A102="","",INDEX(決定版!$A$4:$AK$53,計算用!$BE$98,IF(計算用!$BB$98="男",0,19)+8))</f>
        <v/>
      </c>
      <c r="G102" s="28">
        <f>IF($A102="","",INDEX(決定版!$A$4:$AK$53,計算用!$BE$98,IF(計算用!$BB$98="男",0,19)+9))</f>
        <v/>
      </c>
      <c r="H102">
        <f>IF($A102="","",INDEX(決定版!$A$4:$AK$53,計算用!$BE$98,IF(計算用!$BB$98="男",0,19)+10))</f>
        <v/>
      </c>
      <c r="I102" s="28">
        <f>IF($A102="","",INDEX(決定版!$A$4:$AK$53,計算用!$BE$98,IF(計算用!$BB$98="男",0,19)+11))</f>
        <v/>
      </c>
      <c r="J102" s="28">
        <f>IF($A102="","",INDEX(決定版!$A$4:$AK$53,計算用!$BE$98,IF(計算用!$BB$98="男",0,19)+12))</f>
        <v/>
      </c>
      <c r="K102">
        <f>IF($A102="","",INDEX(決定版!$A$4:$AK$53,計算用!$BE$98,IF(計算用!$BB$98="男",0,19)+13))</f>
        <v/>
      </c>
      <c r="L102" s="28">
        <f>IF($A102="","",INDEX(決定版!$A$4:$AK$53,計算用!$BE$98,IF(計算用!$BB$98="男",0,19)+14))</f>
        <v/>
      </c>
      <c r="M102" s="28">
        <f>IF($A102="","",INDEX(決定版!$A$4:$AK$53,計算用!$BE$98,IF(計算用!$BB$98="男",0,19)+15))</f>
        <v/>
      </c>
      <c r="N102">
        <f>IF($A102="","",INDEX(決定版!$A$4:$AK$53,計算用!$BE$98,IF(計算用!$BB$98="男",0,19)+16))</f>
        <v/>
      </c>
      <c r="O102" s="28">
        <f>IF($A102="","",INDEX(決定版!$A$4:$AK$53,計算用!$BE$98,IF(計算用!$BB$98="男",0,19)+17))</f>
        <v/>
      </c>
      <c r="P102" s="28">
        <f>IF($A102="","",INDEX(決定版!$A$4:$AK$53,計算用!$BE$98,IF(計算用!$BB$98="男",0,19)+18))</f>
        <v/>
      </c>
    </row>
    <row r="103">
      <c r="A103" s="28">
        <f>IF(計算用!$BB$99="","",計算用!$BA$99)</f>
        <v/>
      </c>
      <c r="B103">
        <f>IF($A103="","",INDEX(決定版!$A$4:$AK$53,計算用!$BE$99,IF(計算用!$BB$99="男",0,19)+4))</f>
        <v/>
      </c>
      <c r="C103" s="28">
        <f>IF($A103="","",INDEX(決定版!$A$4:$AK$53,計算用!$BE$99,IF(計算用!$BB$99="男",0,19)+5))</f>
        <v/>
      </c>
      <c r="D103" s="28">
        <f>IF($A103="","",INDEX(決定版!$A$4:$AK$53,計算用!$BE$99,IF(計算用!$BB$99="男",0,19)+6))</f>
        <v/>
      </c>
      <c r="E103">
        <f>IF($A103="","",INDEX(決定版!$A$4:$AK$53,計算用!$BE$99,IF(計算用!$BB$99="男",0,19)+7))</f>
        <v/>
      </c>
      <c r="F103" s="28">
        <f>IF($A103="","",INDEX(決定版!$A$4:$AK$53,計算用!$BE$99,IF(計算用!$BB$99="男",0,19)+8))</f>
        <v/>
      </c>
      <c r="G103" s="28">
        <f>IF($A103="","",INDEX(決定版!$A$4:$AK$53,計算用!$BE$99,IF(計算用!$BB$99="男",0,19)+9))</f>
        <v/>
      </c>
      <c r="H103">
        <f>IF($A103="","",INDEX(決定版!$A$4:$AK$53,計算用!$BE$99,IF(計算用!$BB$99="男",0,19)+10))</f>
        <v/>
      </c>
      <c r="I103" s="28">
        <f>IF($A103="","",INDEX(決定版!$A$4:$AK$53,計算用!$BE$99,IF(計算用!$BB$99="男",0,19)+11))</f>
        <v/>
      </c>
      <c r="J103" s="28">
        <f>IF($A103="","",INDEX(決定版!$A$4:$AK$53,計算用!$BE$99,IF(計算用!$BB$99="男",0,19)+12))</f>
        <v/>
      </c>
      <c r="K103">
        <f>IF($A103="","",INDEX(決定版!$A$4:$AK$53,計算用!$BE$99,IF(計算用!$BB$99="男",0,19)+13))</f>
        <v/>
      </c>
      <c r="L103" s="28">
        <f>IF($A103="","",INDEX(決定版!$A$4:$AK$53,計算用!$BE$99,IF(計算用!$BB$99="男",0,19)+14))</f>
        <v/>
      </c>
      <c r="M103" s="28">
        <f>IF($A103="","",INDEX(決定版!$A$4:$AK$53,計算用!$BE$99,IF(計算用!$BB$99="男",0,19)+15))</f>
        <v/>
      </c>
      <c r="N103">
        <f>IF($A103="","",INDEX(決定版!$A$4:$AK$53,計算用!$BE$99,IF(計算用!$BB$99="男",0,19)+16))</f>
        <v/>
      </c>
      <c r="O103" s="28">
        <f>IF($A103="","",INDEX(決定版!$A$4:$AK$53,計算用!$BE$99,IF(計算用!$BB$99="男",0,19)+17))</f>
        <v/>
      </c>
      <c r="P103" s="28">
        <f>IF($A103="","",INDEX(決定版!$A$4:$AK$53,計算用!$BE$99,IF(計算用!$BB$99="男",0,19)+18))</f>
        <v/>
      </c>
    </row>
    <row r="104">
      <c r="A104" s="28">
        <f>IF(計算用!$BB$100="","",計算用!$BA$100)</f>
        <v/>
      </c>
      <c r="B104">
        <f>IF($A104="","",INDEX(決定版!$A$4:$AK$53,計算用!$BE$100,IF(計算用!$BB$100="男",0,19)+4))</f>
        <v/>
      </c>
      <c r="C104" s="28">
        <f>IF($A104="","",INDEX(決定版!$A$4:$AK$53,計算用!$BE$100,IF(計算用!$BB$100="男",0,19)+5))</f>
        <v/>
      </c>
      <c r="D104" s="28">
        <f>IF($A104="","",INDEX(決定版!$A$4:$AK$53,計算用!$BE$100,IF(計算用!$BB$100="男",0,19)+6))</f>
        <v/>
      </c>
      <c r="E104">
        <f>IF($A104="","",INDEX(決定版!$A$4:$AK$53,計算用!$BE$100,IF(計算用!$BB$100="男",0,19)+7))</f>
        <v/>
      </c>
      <c r="F104" s="28">
        <f>IF($A104="","",INDEX(決定版!$A$4:$AK$53,計算用!$BE$100,IF(計算用!$BB$100="男",0,19)+8))</f>
        <v/>
      </c>
      <c r="G104" s="28">
        <f>IF($A104="","",INDEX(決定版!$A$4:$AK$53,計算用!$BE$100,IF(計算用!$BB$100="男",0,19)+9))</f>
        <v/>
      </c>
      <c r="H104">
        <f>IF($A104="","",INDEX(決定版!$A$4:$AK$53,計算用!$BE$100,IF(計算用!$BB$100="男",0,19)+10))</f>
        <v/>
      </c>
      <c r="I104" s="28">
        <f>IF($A104="","",INDEX(決定版!$A$4:$AK$53,計算用!$BE$100,IF(計算用!$BB$100="男",0,19)+11))</f>
        <v/>
      </c>
      <c r="J104" s="28">
        <f>IF($A104="","",INDEX(決定版!$A$4:$AK$53,計算用!$BE$100,IF(計算用!$BB$100="男",0,19)+12))</f>
        <v/>
      </c>
      <c r="K104">
        <f>IF($A104="","",INDEX(決定版!$A$4:$AK$53,計算用!$BE$100,IF(計算用!$BB$100="男",0,19)+13))</f>
        <v/>
      </c>
      <c r="L104" s="28">
        <f>IF($A104="","",INDEX(決定版!$A$4:$AK$53,計算用!$BE$100,IF(計算用!$BB$100="男",0,19)+14))</f>
        <v/>
      </c>
      <c r="M104" s="28">
        <f>IF($A104="","",INDEX(決定版!$A$4:$AK$53,計算用!$BE$100,IF(計算用!$BB$100="男",0,19)+15))</f>
        <v/>
      </c>
      <c r="N104">
        <f>IF($A104="","",INDEX(決定版!$A$4:$AK$53,計算用!$BE$100,IF(計算用!$BB$100="男",0,19)+16))</f>
        <v/>
      </c>
      <c r="O104" s="28">
        <f>IF($A104="","",INDEX(決定版!$A$4:$AK$53,計算用!$BE$100,IF(計算用!$BB$100="男",0,19)+17))</f>
        <v/>
      </c>
      <c r="P104" s="28">
        <f>IF($A104="","",INDEX(決定版!$A$4:$AK$53,計算用!$BE$100,IF(計算用!$BB$100="男",0,19)+18))</f>
        <v/>
      </c>
    </row>
    <row r="105">
      <c r="A105" s="28">
        <f>IF(計算用!$BB$101="","",計算用!$BA$101)</f>
        <v/>
      </c>
      <c r="B105">
        <f>IF($A105="","",INDEX(決定版!$A$4:$AK$53,計算用!$BE$101,IF(計算用!$BB$101="男",0,19)+4))</f>
        <v/>
      </c>
      <c r="C105" s="28">
        <f>IF($A105="","",INDEX(決定版!$A$4:$AK$53,計算用!$BE$101,IF(計算用!$BB$101="男",0,19)+5))</f>
        <v/>
      </c>
      <c r="D105" s="28">
        <f>IF($A105="","",INDEX(決定版!$A$4:$AK$53,計算用!$BE$101,IF(計算用!$BB$101="男",0,19)+6))</f>
        <v/>
      </c>
      <c r="E105">
        <f>IF($A105="","",INDEX(決定版!$A$4:$AK$53,計算用!$BE$101,IF(計算用!$BB$101="男",0,19)+7))</f>
        <v/>
      </c>
      <c r="F105" s="28">
        <f>IF($A105="","",INDEX(決定版!$A$4:$AK$53,計算用!$BE$101,IF(計算用!$BB$101="男",0,19)+8))</f>
        <v/>
      </c>
      <c r="G105" s="28">
        <f>IF($A105="","",INDEX(決定版!$A$4:$AK$53,計算用!$BE$101,IF(計算用!$BB$101="男",0,19)+9))</f>
        <v/>
      </c>
      <c r="H105">
        <f>IF($A105="","",INDEX(決定版!$A$4:$AK$53,計算用!$BE$101,IF(計算用!$BB$101="男",0,19)+10))</f>
        <v/>
      </c>
      <c r="I105" s="28">
        <f>IF($A105="","",INDEX(決定版!$A$4:$AK$53,計算用!$BE$101,IF(計算用!$BB$101="男",0,19)+11))</f>
        <v/>
      </c>
      <c r="J105" s="28">
        <f>IF($A105="","",INDEX(決定版!$A$4:$AK$53,計算用!$BE$101,IF(計算用!$BB$101="男",0,19)+12))</f>
        <v/>
      </c>
      <c r="K105">
        <f>IF($A105="","",INDEX(決定版!$A$4:$AK$53,計算用!$BE$101,IF(計算用!$BB$101="男",0,19)+13))</f>
        <v/>
      </c>
      <c r="L105" s="28">
        <f>IF($A105="","",INDEX(決定版!$A$4:$AK$53,計算用!$BE$101,IF(計算用!$BB$101="男",0,19)+14))</f>
        <v/>
      </c>
      <c r="M105" s="28">
        <f>IF($A105="","",INDEX(決定版!$A$4:$AK$53,計算用!$BE$101,IF(計算用!$BB$101="男",0,19)+15))</f>
        <v/>
      </c>
      <c r="N105">
        <f>IF($A105="","",INDEX(決定版!$A$4:$AK$53,計算用!$BE$101,IF(計算用!$BB$101="男",0,19)+16))</f>
        <v/>
      </c>
      <c r="O105" s="28">
        <f>IF($A105="","",INDEX(決定版!$A$4:$AK$53,計算用!$BE$101,IF(計算用!$BB$101="男",0,19)+17))</f>
        <v/>
      </c>
      <c r="P105" s="28">
        <f>IF($A105="","",INDEX(決定版!$A$4:$AK$53,計算用!$BE$101,IF(計算用!$BB$101="男",0,19)+18))</f>
        <v/>
      </c>
    </row>
  </sheetData>
  <mergeCells count="8">
    <mergeCell ref="A2:B2"/>
    <mergeCell ref="A4:A5"/>
    <mergeCell ref="D2:H2"/>
    <mergeCell ref="K4:M4"/>
    <mergeCell ref="B4:D4"/>
    <mergeCell ref="H4:J4"/>
    <mergeCell ref="E4:G4"/>
    <mergeCell ref="N4:P4"/>
  </mergeCells>
  <conditionalFormatting sqref="A6:A105">
    <cfRule type="expression" priority="1" dxfId="16">
      <formula>AND($A6&lt;&gt;"",INDEX(計算用!$BB$2:$BB$101,ROW()-5)="女")</formula>
    </cfRule>
  </conditionalFormatting>
  <conditionalFormatting sqref="B6:B105">
    <cfRule type="expression" priority="2" dxfId="17">
      <formula>$D6="赤"</formula>
    </cfRule>
  </conditionalFormatting>
  <conditionalFormatting sqref="D6:D105">
    <cfRule type="expression" priority="3" dxfId="17">
      <formula>$D6="赤"</formula>
    </cfRule>
  </conditionalFormatting>
  <conditionalFormatting sqref="E6:E105">
    <cfRule type="expression" priority="4" dxfId="17">
      <formula>$G6="赤"</formula>
    </cfRule>
  </conditionalFormatting>
  <conditionalFormatting sqref="G6:G105">
    <cfRule type="expression" priority="5" dxfId="17">
      <formula>$G6="赤"</formula>
    </cfRule>
  </conditionalFormatting>
  <conditionalFormatting sqref="H6:H105">
    <cfRule type="expression" priority="6" dxfId="17">
      <formula>$J6="赤"</formula>
    </cfRule>
  </conditionalFormatting>
  <conditionalFormatting sqref="J6:J105">
    <cfRule type="expression" priority="7" dxfId="17">
      <formula>$J6="赤"</formula>
    </cfRule>
  </conditionalFormatting>
  <conditionalFormatting sqref="K6:K105">
    <cfRule type="expression" priority="8" dxfId="17">
      <formula>$M6="赤"</formula>
    </cfRule>
  </conditionalFormatting>
  <conditionalFormatting sqref="M6:M105">
    <cfRule type="expression" priority="9" dxfId="17">
      <formula>$M6="赤"</formula>
    </cfRule>
  </conditionalFormatting>
  <conditionalFormatting sqref="N6:N105">
    <cfRule type="expression" priority="10" dxfId="17">
      <formula>$P6="赤"</formula>
    </cfRule>
  </conditionalFormatting>
  <conditionalFormatting sqref="P6:P105">
    <cfRule type="expression" priority="11" dxfId="17">
      <formula>$P6="赤"</formula>
    </cfRule>
  </conditionalFormatting>
  <conditionalFormatting sqref="A6:P105">
    <cfRule type="expression" priority="12" dxfId="10">
      <formula>$A6&lt;&gt;""</formula>
    </cfRule>
  </conditionalFormatting>
  <dataValidations count="1">
    <dataValidation sqref="C2" showDropDown="0" showInputMessage="0" showErrorMessage="1" allowBlank="0" errorTitle="先に走る" error="男子か女子を選んでください" type="list">
      <formula1>"男子,女子"</formula1>
    </dataValidation>
  </dataValidation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1" min="1" max="1"/>
    <col width="19" customWidth="1" style="11" min="2" max="2"/>
    <col width="19" customWidth="1" style="11" min="3" max="3"/>
    <col width="19" customWidth="1" style="11" min="4" max="4"/>
    <col width="19" customWidth="1" style="11" min="5" max="5"/>
    <col width="19" customWidth="1" style="11" min="6" max="6"/>
  </cols>
  <sheetData>
    <row r="1" ht="28" customHeight="1" s="11">
      <c r="A1" s="32" t="n"/>
      <c r="B1" s="37" t="inlineStr">
        <is>
          <t>1コース</t>
        </is>
      </c>
      <c r="C1" s="37" t="inlineStr">
        <is>
          <t>2コース</t>
        </is>
      </c>
      <c r="D1" s="37" t="inlineStr">
        <is>
          <t>3コース</t>
        </is>
      </c>
      <c r="E1" s="37" t="inlineStr">
        <is>
          <t>4コース</t>
        </is>
      </c>
      <c r="F1" s="37">
        <f>IF(計算用!$Q$34=5,"5コース","")</f>
        <v/>
      </c>
    </row>
    <row r="2" ht="28" customHeight="1" s="11">
      <c r="A2" s="38">
        <f>IF(走順!$A$6="","",走順!$A$6&amp;"レース")</f>
        <v/>
      </c>
      <c r="B2" s="39">
        <f>IF($A2="","",走順!B6&amp;"")</f>
        <v/>
      </c>
      <c r="C2" s="39">
        <f>IF($A2="","",走順!E6&amp;"")</f>
        <v/>
      </c>
      <c r="D2" s="39">
        <f>IF($A2="","",走順!H6&amp;"")</f>
        <v/>
      </c>
      <c r="E2" s="39">
        <f>IF($A2="","",走順!K6&amp;"")</f>
        <v/>
      </c>
      <c r="F2" s="39">
        <f>IF($A2="","",走順!N6&amp;"")</f>
        <v/>
      </c>
    </row>
    <row r="3" ht="28" customHeight="1" s="11">
      <c r="A3" s="38">
        <f>IF(走順!$A$7="","",走順!$A$7&amp;"レース")</f>
        <v/>
      </c>
      <c r="B3" s="39">
        <f>IF($A3="","",走順!B7&amp;"")</f>
        <v/>
      </c>
      <c r="C3" s="39">
        <f>IF($A3="","",走順!E7&amp;"")</f>
        <v/>
      </c>
      <c r="D3" s="39">
        <f>IF($A3="","",走順!H7&amp;"")</f>
        <v/>
      </c>
      <c r="E3" s="39">
        <f>IF($A3="","",走順!K7&amp;"")</f>
        <v/>
      </c>
      <c r="F3" s="39">
        <f>IF($A3="","",走順!N7&amp;"")</f>
        <v/>
      </c>
    </row>
    <row r="4" ht="28" customHeight="1" s="11">
      <c r="A4" s="38">
        <f>IF(走順!$A$8="","",走順!$A$8&amp;"レース")</f>
        <v/>
      </c>
      <c r="B4" s="39">
        <f>IF($A4="","",走順!B8&amp;"")</f>
        <v/>
      </c>
      <c r="C4" s="39">
        <f>IF($A4="","",走順!E8&amp;"")</f>
        <v/>
      </c>
      <c r="D4" s="39">
        <f>IF($A4="","",走順!H8&amp;"")</f>
        <v/>
      </c>
      <c r="E4" s="39">
        <f>IF($A4="","",走順!K8&amp;"")</f>
        <v/>
      </c>
      <c r="F4" s="39">
        <f>IF($A4="","",走順!N8&amp;"")</f>
        <v/>
      </c>
    </row>
    <row r="5" ht="28" customHeight="1" s="11">
      <c r="A5" s="38">
        <f>IF(走順!$A$9="","",走順!$A$9&amp;"レース")</f>
        <v/>
      </c>
      <c r="B5" s="39">
        <f>IF($A5="","",走順!B9&amp;"")</f>
        <v/>
      </c>
      <c r="C5" s="39">
        <f>IF($A5="","",走順!E9&amp;"")</f>
        <v/>
      </c>
      <c r="D5" s="39">
        <f>IF($A5="","",走順!H9&amp;"")</f>
        <v/>
      </c>
      <c r="E5" s="39">
        <f>IF($A5="","",走順!K9&amp;"")</f>
        <v/>
      </c>
      <c r="F5" s="39">
        <f>IF($A5="","",走順!N9&amp;"")</f>
        <v/>
      </c>
    </row>
    <row r="6" ht="28" customHeight="1" s="11">
      <c r="A6" s="38">
        <f>IF(走順!$A$10="","",走順!$A$10&amp;"レース")</f>
        <v/>
      </c>
      <c r="B6" s="39">
        <f>IF($A6="","",走順!B10&amp;"")</f>
        <v/>
      </c>
      <c r="C6" s="39">
        <f>IF($A6="","",走順!E10&amp;"")</f>
        <v/>
      </c>
      <c r="D6" s="39">
        <f>IF($A6="","",走順!H10&amp;"")</f>
        <v/>
      </c>
      <c r="E6" s="39">
        <f>IF($A6="","",走順!K10&amp;"")</f>
        <v/>
      </c>
      <c r="F6" s="39">
        <f>IF($A6="","",走順!N10&amp;"")</f>
        <v/>
      </c>
    </row>
    <row r="7" ht="28" customHeight="1" s="11">
      <c r="A7" s="38">
        <f>IF(走順!$A$11="","",走順!$A$11&amp;"レース")</f>
        <v/>
      </c>
      <c r="B7" s="39">
        <f>IF($A7="","",走順!B11&amp;"")</f>
        <v/>
      </c>
      <c r="C7" s="39">
        <f>IF($A7="","",走順!E11&amp;"")</f>
        <v/>
      </c>
      <c r="D7" s="39">
        <f>IF($A7="","",走順!H11&amp;"")</f>
        <v/>
      </c>
      <c r="E7" s="39">
        <f>IF($A7="","",走順!K11&amp;"")</f>
        <v/>
      </c>
      <c r="F7" s="39">
        <f>IF($A7="","",走順!N11&amp;"")</f>
        <v/>
      </c>
    </row>
    <row r="8" ht="28" customHeight="1" s="11">
      <c r="A8" s="38">
        <f>IF(走順!$A$12="","",走順!$A$12&amp;"レース")</f>
        <v/>
      </c>
      <c r="B8" s="39">
        <f>IF($A8="","",走順!B12&amp;"")</f>
        <v/>
      </c>
      <c r="C8" s="39">
        <f>IF($A8="","",走順!E12&amp;"")</f>
        <v/>
      </c>
      <c r="D8" s="39">
        <f>IF($A8="","",走順!H12&amp;"")</f>
        <v/>
      </c>
      <c r="E8" s="39">
        <f>IF($A8="","",走順!K12&amp;"")</f>
        <v/>
      </c>
      <c r="F8" s="39">
        <f>IF($A8="","",走順!N12&amp;"")</f>
        <v/>
      </c>
    </row>
    <row r="9" ht="28" customHeight="1" s="11">
      <c r="A9" s="38">
        <f>IF(走順!$A$13="","",走順!$A$13&amp;"レース")</f>
        <v/>
      </c>
      <c r="B9" s="39">
        <f>IF($A9="","",走順!B13&amp;"")</f>
        <v/>
      </c>
      <c r="C9" s="39">
        <f>IF($A9="","",走順!E13&amp;"")</f>
        <v/>
      </c>
      <c r="D9" s="39">
        <f>IF($A9="","",走順!H13&amp;"")</f>
        <v/>
      </c>
      <c r="E9" s="39">
        <f>IF($A9="","",走順!K13&amp;"")</f>
        <v/>
      </c>
      <c r="F9" s="39">
        <f>IF($A9="","",走順!N13&amp;"")</f>
        <v/>
      </c>
    </row>
    <row r="10" ht="28" customHeight="1" s="11">
      <c r="A10" s="38">
        <f>IF(走順!$A$14="","",走順!$A$14&amp;"レース")</f>
        <v/>
      </c>
      <c r="B10" s="39">
        <f>IF($A10="","",走順!B14&amp;"")</f>
        <v/>
      </c>
      <c r="C10" s="39">
        <f>IF($A10="","",走順!E14&amp;"")</f>
        <v/>
      </c>
      <c r="D10" s="39">
        <f>IF($A10="","",走順!H14&amp;"")</f>
        <v/>
      </c>
      <c r="E10" s="39">
        <f>IF($A10="","",走順!K14&amp;"")</f>
        <v/>
      </c>
      <c r="F10" s="39">
        <f>IF($A10="","",走順!N14&amp;"")</f>
        <v/>
      </c>
    </row>
    <row r="11" ht="28" customHeight="1" s="11">
      <c r="A11" s="38">
        <f>IF(走順!$A$15="","",走順!$A$15&amp;"レース")</f>
        <v/>
      </c>
      <c r="B11" s="39">
        <f>IF($A11="","",走順!B15&amp;"")</f>
        <v/>
      </c>
      <c r="C11" s="39">
        <f>IF($A11="","",走順!E15&amp;"")</f>
        <v/>
      </c>
      <c r="D11" s="39">
        <f>IF($A11="","",走順!H15&amp;"")</f>
        <v/>
      </c>
      <c r="E11" s="39">
        <f>IF($A11="","",走順!K15&amp;"")</f>
        <v/>
      </c>
      <c r="F11" s="39">
        <f>IF($A11="","",走順!N15&amp;"")</f>
        <v/>
      </c>
    </row>
    <row r="12" ht="28" customHeight="1" s="11">
      <c r="A12" s="38">
        <f>IF(走順!$A$16="","",走順!$A$16&amp;"レース")</f>
        <v/>
      </c>
      <c r="B12" s="39">
        <f>IF($A12="","",走順!B16&amp;"")</f>
        <v/>
      </c>
      <c r="C12" s="39">
        <f>IF($A12="","",走順!E16&amp;"")</f>
        <v/>
      </c>
      <c r="D12" s="39">
        <f>IF($A12="","",走順!H16&amp;"")</f>
        <v/>
      </c>
      <c r="E12" s="39">
        <f>IF($A12="","",走順!K16&amp;"")</f>
        <v/>
      </c>
      <c r="F12" s="39">
        <f>IF($A12="","",走順!N16&amp;"")</f>
        <v/>
      </c>
    </row>
    <row r="13" ht="28" customHeight="1" s="11">
      <c r="A13" s="38">
        <f>IF(走順!$A$17="","",走順!$A$17&amp;"レース")</f>
        <v/>
      </c>
      <c r="B13" s="39">
        <f>IF($A13="","",走順!B17&amp;"")</f>
        <v/>
      </c>
      <c r="C13" s="39">
        <f>IF($A13="","",走順!E17&amp;"")</f>
        <v/>
      </c>
      <c r="D13" s="39">
        <f>IF($A13="","",走順!H17&amp;"")</f>
        <v/>
      </c>
      <c r="E13" s="39">
        <f>IF($A13="","",走順!K17&amp;"")</f>
        <v/>
      </c>
      <c r="F13" s="39">
        <f>IF($A13="","",走順!N17&amp;"")</f>
        <v/>
      </c>
    </row>
    <row r="14" ht="28" customHeight="1" s="11">
      <c r="A14" s="38">
        <f>IF(走順!$A$18="","",走順!$A$18&amp;"レース")</f>
        <v/>
      </c>
      <c r="B14" s="39">
        <f>IF($A14="","",走順!B18&amp;"")</f>
        <v/>
      </c>
      <c r="C14" s="39">
        <f>IF($A14="","",走順!E18&amp;"")</f>
        <v/>
      </c>
      <c r="D14" s="39">
        <f>IF($A14="","",走順!H18&amp;"")</f>
        <v/>
      </c>
      <c r="E14" s="39">
        <f>IF($A14="","",走順!K18&amp;"")</f>
        <v/>
      </c>
      <c r="F14" s="39">
        <f>IF($A14="","",走順!N18&amp;"")</f>
        <v/>
      </c>
    </row>
    <row r="15" ht="28" customHeight="1" s="11">
      <c r="A15" s="38">
        <f>IF(走順!$A$19="","",走順!$A$19&amp;"レース")</f>
        <v/>
      </c>
      <c r="B15" s="39">
        <f>IF($A15="","",走順!B19&amp;"")</f>
        <v/>
      </c>
      <c r="C15" s="39">
        <f>IF($A15="","",走順!E19&amp;"")</f>
        <v/>
      </c>
      <c r="D15" s="39">
        <f>IF($A15="","",走順!H19&amp;"")</f>
        <v/>
      </c>
      <c r="E15" s="39">
        <f>IF($A15="","",走順!K19&amp;"")</f>
        <v/>
      </c>
      <c r="F15" s="39">
        <f>IF($A15="","",走順!N19&amp;"")</f>
        <v/>
      </c>
    </row>
    <row r="16" ht="28" customHeight="1" s="11">
      <c r="A16" s="38">
        <f>IF(走順!$A$20="","",走順!$A$20&amp;"レース")</f>
        <v/>
      </c>
      <c r="B16" s="39">
        <f>IF($A16="","",走順!B20&amp;"")</f>
        <v/>
      </c>
      <c r="C16" s="39">
        <f>IF($A16="","",走順!E20&amp;"")</f>
        <v/>
      </c>
      <c r="D16" s="39">
        <f>IF($A16="","",走順!H20&amp;"")</f>
        <v/>
      </c>
      <c r="E16" s="39">
        <f>IF($A16="","",走順!K20&amp;"")</f>
        <v/>
      </c>
      <c r="F16" s="39">
        <f>IF($A16="","",走順!N20&amp;"")</f>
        <v/>
      </c>
    </row>
    <row r="17" ht="28" customHeight="1" s="11">
      <c r="A17" s="38">
        <f>IF(走順!$A$21="","",走順!$A$21&amp;"レース")</f>
        <v/>
      </c>
      <c r="B17" s="39">
        <f>IF($A17="","",走順!B21&amp;"")</f>
        <v/>
      </c>
      <c r="C17" s="39">
        <f>IF($A17="","",走順!E21&amp;"")</f>
        <v/>
      </c>
      <c r="D17" s="39">
        <f>IF($A17="","",走順!H21&amp;"")</f>
        <v/>
      </c>
      <c r="E17" s="39">
        <f>IF($A17="","",走順!K21&amp;"")</f>
        <v/>
      </c>
      <c r="F17" s="39">
        <f>IF($A17="","",走順!N21&amp;"")</f>
        <v/>
      </c>
    </row>
    <row r="18" ht="28" customHeight="1" s="11">
      <c r="A18" s="38">
        <f>IF(走順!$A$22="","",走順!$A$22&amp;"レース")</f>
        <v/>
      </c>
      <c r="B18" s="39">
        <f>IF($A18="","",走順!B22&amp;"")</f>
        <v/>
      </c>
      <c r="C18" s="39">
        <f>IF($A18="","",走順!E22&amp;"")</f>
        <v/>
      </c>
      <c r="D18" s="39">
        <f>IF($A18="","",走順!H22&amp;"")</f>
        <v/>
      </c>
      <c r="E18" s="39">
        <f>IF($A18="","",走順!K22&amp;"")</f>
        <v/>
      </c>
      <c r="F18" s="39">
        <f>IF($A18="","",走順!N22&amp;"")</f>
        <v/>
      </c>
    </row>
    <row r="19" ht="28" customHeight="1" s="11">
      <c r="A19" s="38">
        <f>IF(走順!$A$23="","",走順!$A$23&amp;"レース")</f>
        <v/>
      </c>
      <c r="B19" s="39">
        <f>IF($A19="","",走順!B23&amp;"")</f>
        <v/>
      </c>
      <c r="C19" s="39">
        <f>IF($A19="","",走順!E23&amp;"")</f>
        <v/>
      </c>
      <c r="D19" s="39">
        <f>IF($A19="","",走順!H23&amp;"")</f>
        <v/>
      </c>
      <c r="E19" s="39">
        <f>IF($A19="","",走順!K23&amp;"")</f>
        <v/>
      </c>
      <c r="F19" s="39">
        <f>IF($A19="","",走順!N23&amp;"")</f>
        <v/>
      </c>
    </row>
    <row r="20" ht="28" customHeight="1" s="11">
      <c r="A20" s="38">
        <f>IF(走順!$A$24="","",走順!$A$24&amp;"レース")</f>
        <v/>
      </c>
      <c r="B20" s="39">
        <f>IF($A20="","",走順!B24&amp;"")</f>
        <v/>
      </c>
      <c r="C20" s="39">
        <f>IF($A20="","",走順!E24&amp;"")</f>
        <v/>
      </c>
      <c r="D20" s="39">
        <f>IF($A20="","",走順!H24&amp;"")</f>
        <v/>
      </c>
      <c r="E20" s="39">
        <f>IF($A20="","",走順!K24&amp;"")</f>
        <v/>
      </c>
      <c r="F20" s="39">
        <f>IF($A20="","",走順!N24&amp;"")</f>
        <v/>
      </c>
    </row>
    <row r="21" ht="28" customHeight="1" s="11">
      <c r="A21" s="38">
        <f>IF(走順!$A$25="","",走順!$A$25&amp;"レース")</f>
        <v/>
      </c>
      <c r="B21" s="39">
        <f>IF($A21="","",走順!B25&amp;"")</f>
        <v/>
      </c>
      <c r="C21" s="39">
        <f>IF($A21="","",走順!E25&amp;"")</f>
        <v/>
      </c>
      <c r="D21" s="39">
        <f>IF($A21="","",走順!H25&amp;"")</f>
        <v/>
      </c>
      <c r="E21" s="39">
        <f>IF($A21="","",走順!K25&amp;"")</f>
        <v/>
      </c>
      <c r="F21" s="39">
        <f>IF($A21="","",走順!N25&amp;"")</f>
        <v/>
      </c>
    </row>
    <row r="22" ht="28" customHeight="1" s="11">
      <c r="A22" s="38">
        <f>IF(走順!$A$26="","",走順!$A$26&amp;"レース")</f>
        <v/>
      </c>
      <c r="B22" s="39">
        <f>IF($A22="","",走順!B26&amp;"")</f>
        <v/>
      </c>
      <c r="C22" s="39">
        <f>IF($A22="","",走順!E26&amp;"")</f>
        <v/>
      </c>
      <c r="D22" s="39">
        <f>IF($A22="","",走順!H26&amp;"")</f>
        <v/>
      </c>
      <c r="E22" s="39">
        <f>IF($A22="","",走順!K26&amp;"")</f>
        <v/>
      </c>
      <c r="F22" s="39">
        <f>IF($A22="","",走順!N26&amp;"")</f>
        <v/>
      </c>
    </row>
    <row r="23" ht="28" customHeight="1" s="11">
      <c r="A23" s="38">
        <f>IF(走順!$A$27="","",走順!$A$27&amp;"レース")</f>
        <v/>
      </c>
      <c r="B23" s="39">
        <f>IF($A23="","",走順!B27&amp;"")</f>
        <v/>
      </c>
      <c r="C23" s="39">
        <f>IF($A23="","",走順!E27&amp;"")</f>
        <v/>
      </c>
      <c r="D23" s="39">
        <f>IF($A23="","",走順!H27&amp;"")</f>
        <v/>
      </c>
      <c r="E23" s="39">
        <f>IF($A23="","",走順!K27&amp;"")</f>
        <v/>
      </c>
      <c r="F23" s="39">
        <f>IF($A23="","",走順!N27&amp;"")</f>
        <v/>
      </c>
    </row>
    <row r="24" ht="28" customHeight="1" s="11">
      <c r="A24" s="38">
        <f>IF(走順!$A$28="","",走順!$A$28&amp;"レース")</f>
        <v/>
      </c>
      <c r="B24" s="39">
        <f>IF($A24="","",走順!B28&amp;"")</f>
        <v/>
      </c>
      <c r="C24" s="39">
        <f>IF($A24="","",走順!E28&amp;"")</f>
        <v/>
      </c>
      <c r="D24" s="39">
        <f>IF($A24="","",走順!H28&amp;"")</f>
        <v/>
      </c>
      <c r="E24" s="39">
        <f>IF($A24="","",走順!K28&amp;"")</f>
        <v/>
      </c>
      <c r="F24" s="39">
        <f>IF($A24="","",走順!N28&amp;"")</f>
        <v/>
      </c>
    </row>
    <row r="25" ht="28" customHeight="1" s="11">
      <c r="A25" s="38">
        <f>IF(走順!$A$29="","",走順!$A$29&amp;"レース")</f>
        <v/>
      </c>
      <c r="B25" s="39">
        <f>IF($A25="","",走順!B29&amp;"")</f>
        <v/>
      </c>
      <c r="C25" s="39">
        <f>IF($A25="","",走順!E29&amp;"")</f>
        <v/>
      </c>
      <c r="D25" s="39">
        <f>IF($A25="","",走順!H29&amp;"")</f>
        <v/>
      </c>
      <c r="E25" s="39">
        <f>IF($A25="","",走順!K29&amp;"")</f>
        <v/>
      </c>
      <c r="F25" s="39">
        <f>IF($A25="","",走順!N29&amp;"")</f>
        <v/>
      </c>
    </row>
    <row r="26" ht="28" customHeight="1" s="11">
      <c r="A26" s="38">
        <f>IF(走順!$A$30="","",走順!$A$30&amp;"レース")</f>
        <v/>
      </c>
      <c r="B26" s="39">
        <f>IF($A26="","",走順!B30&amp;"")</f>
        <v/>
      </c>
      <c r="C26" s="39">
        <f>IF($A26="","",走順!E30&amp;"")</f>
        <v/>
      </c>
      <c r="D26" s="39">
        <f>IF($A26="","",走順!H30&amp;"")</f>
        <v/>
      </c>
      <c r="E26" s="39">
        <f>IF($A26="","",走順!K30&amp;"")</f>
        <v/>
      </c>
      <c r="F26" s="39">
        <f>IF($A26="","",走順!N30&amp;"")</f>
        <v/>
      </c>
    </row>
    <row r="27" ht="28" customHeight="1" s="11">
      <c r="A27" s="38">
        <f>IF(走順!$A$31="","",走順!$A$31&amp;"レース")</f>
        <v/>
      </c>
      <c r="B27" s="39">
        <f>IF($A27="","",走順!B31&amp;"")</f>
        <v/>
      </c>
      <c r="C27" s="39">
        <f>IF($A27="","",走順!E31&amp;"")</f>
        <v/>
      </c>
      <c r="D27" s="39">
        <f>IF($A27="","",走順!H31&amp;"")</f>
        <v/>
      </c>
      <c r="E27" s="39">
        <f>IF($A27="","",走順!K31&amp;"")</f>
        <v/>
      </c>
      <c r="F27" s="39">
        <f>IF($A27="","",走順!N31&amp;"")</f>
        <v/>
      </c>
    </row>
    <row r="28" ht="28" customHeight="1" s="11">
      <c r="A28" s="38">
        <f>IF(走順!$A$32="","",走順!$A$32&amp;"レース")</f>
        <v/>
      </c>
      <c r="B28" s="39">
        <f>IF($A28="","",走順!B32&amp;"")</f>
        <v/>
      </c>
      <c r="C28" s="39">
        <f>IF($A28="","",走順!E32&amp;"")</f>
        <v/>
      </c>
      <c r="D28" s="39">
        <f>IF($A28="","",走順!H32&amp;"")</f>
        <v/>
      </c>
      <c r="E28" s="39">
        <f>IF($A28="","",走順!K32&amp;"")</f>
        <v/>
      </c>
      <c r="F28" s="39">
        <f>IF($A28="","",走順!N32&amp;"")</f>
        <v/>
      </c>
    </row>
    <row r="29" ht="28" customHeight="1" s="11">
      <c r="A29" s="38">
        <f>IF(走順!$A$33="","",走順!$A$33&amp;"レース")</f>
        <v/>
      </c>
      <c r="B29" s="39">
        <f>IF($A29="","",走順!B33&amp;"")</f>
        <v/>
      </c>
      <c r="C29" s="39">
        <f>IF($A29="","",走順!E33&amp;"")</f>
        <v/>
      </c>
      <c r="D29" s="39">
        <f>IF($A29="","",走順!H33&amp;"")</f>
        <v/>
      </c>
      <c r="E29" s="39">
        <f>IF($A29="","",走順!K33&amp;"")</f>
        <v/>
      </c>
      <c r="F29" s="39">
        <f>IF($A29="","",走順!N33&amp;"")</f>
        <v/>
      </c>
    </row>
    <row r="30" ht="28" customHeight="1" s="11">
      <c r="A30" s="38">
        <f>IF(走順!$A$34="","",走順!$A$34&amp;"レース")</f>
        <v/>
      </c>
      <c r="B30" s="39">
        <f>IF($A30="","",走順!B34&amp;"")</f>
        <v/>
      </c>
      <c r="C30" s="39">
        <f>IF($A30="","",走順!E34&amp;"")</f>
        <v/>
      </c>
      <c r="D30" s="39">
        <f>IF($A30="","",走順!H34&amp;"")</f>
        <v/>
      </c>
      <c r="E30" s="39">
        <f>IF($A30="","",走順!K34&amp;"")</f>
        <v/>
      </c>
      <c r="F30" s="39">
        <f>IF($A30="","",走順!N34&amp;"")</f>
        <v/>
      </c>
    </row>
    <row r="31" ht="28" customHeight="1" s="11">
      <c r="A31" s="38">
        <f>IF(走順!$A$35="","",走順!$A$35&amp;"レース")</f>
        <v/>
      </c>
      <c r="B31" s="39">
        <f>IF($A31="","",走順!B35&amp;"")</f>
        <v/>
      </c>
      <c r="C31" s="39">
        <f>IF($A31="","",走順!E35&amp;"")</f>
        <v/>
      </c>
      <c r="D31" s="39">
        <f>IF($A31="","",走順!H35&amp;"")</f>
        <v/>
      </c>
      <c r="E31" s="39">
        <f>IF($A31="","",走順!K35&amp;"")</f>
        <v/>
      </c>
      <c r="F31" s="39">
        <f>IF($A31="","",走順!N35&amp;"")</f>
        <v/>
      </c>
    </row>
    <row r="32" ht="28" customHeight="1" s="11">
      <c r="A32" s="38">
        <f>IF(走順!$A$36="","",走順!$A$36&amp;"レース")</f>
        <v/>
      </c>
      <c r="B32" s="39">
        <f>IF($A32="","",走順!B36&amp;"")</f>
        <v/>
      </c>
      <c r="C32" s="39">
        <f>IF($A32="","",走順!E36&amp;"")</f>
        <v/>
      </c>
      <c r="D32" s="39">
        <f>IF($A32="","",走順!H36&amp;"")</f>
        <v/>
      </c>
      <c r="E32" s="39">
        <f>IF($A32="","",走順!K36&amp;"")</f>
        <v/>
      </c>
      <c r="F32" s="39">
        <f>IF($A32="","",走順!N36&amp;"")</f>
        <v/>
      </c>
    </row>
    <row r="33" ht="28" customHeight="1" s="11">
      <c r="A33" s="38">
        <f>IF(走順!$A$37="","",走順!$A$37&amp;"レース")</f>
        <v/>
      </c>
      <c r="B33" s="39">
        <f>IF($A33="","",走順!B37&amp;"")</f>
        <v/>
      </c>
      <c r="C33" s="39">
        <f>IF($A33="","",走順!E37&amp;"")</f>
        <v/>
      </c>
      <c r="D33" s="39">
        <f>IF($A33="","",走順!H37&amp;"")</f>
        <v/>
      </c>
      <c r="E33" s="39">
        <f>IF($A33="","",走順!K37&amp;"")</f>
        <v/>
      </c>
      <c r="F33" s="39">
        <f>IF($A33="","",走順!N37&amp;"")</f>
        <v/>
      </c>
    </row>
    <row r="34" ht="28" customHeight="1" s="11">
      <c r="A34" s="38">
        <f>IF(走順!$A$38="","",走順!$A$38&amp;"レース")</f>
        <v/>
      </c>
      <c r="B34" s="39">
        <f>IF($A34="","",走順!B38&amp;"")</f>
        <v/>
      </c>
      <c r="C34" s="39">
        <f>IF($A34="","",走順!E38&amp;"")</f>
        <v/>
      </c>
      <c r="D34" s="39">
        <f>IF($A34="","",走順!H38&amp;"")</f>
        <v/>
      </c>
      <c r="E34" s="39">
        <f>IF($A34="","",走順!K38&amp;"")</f>
        <v/>
      </c>
      <c r="F34" s="39">
        <f>IF($A34="","",走順!N38&amp;"")</f>
        <v/>
      </c>
    </row>
    <row r="35" ht="28" customHeight="1" s="11">
      <c r="A35" s="38">
        <f>IF(走順!$A$39="","",走順!$A$39&amp;"レース")</f>
        <v/>
      </c>
      <c r="B35" s="39">
        <f>IF($A35="","",走順!B39&amp;"")</f>
        <v/>
      </c>
      <c r="C35" s="39">
        <f>IF($A35="","",走順!E39&amp;"")</f>
        <v/>
      </c>
      <c r="D35" s="39">
        <f>IF($A35="","",走順!H39&amp;"")</f>
        <v/>
      </c>
      <c r="E35" s="39">
        <f>IF($A35="","",走順!K39&amp;"")</f>
        <v/>
      </c>
      <c r="F35" s="39">
        <f>IF($A35="","",走順!N39&amp;"")</f>
        <v/>
      </c>
    </row>
    <row r="36" ht="28" customHeight="1" s="11">
      <c r="A36" s="38">
        <f>IF(走順!$A$40="","",走順!$A$40&amp;"レース")</f>
        <v/>
      </c>
      <c r="B36" s="39">
        <f>IF($A36="","",走順!B40&amp;"")</f>
        <v/>
      </c>
      <c r="C36" s="39">
        <f>IF($A36="","",走順!E40&amp;"")</f>
        <v/>
      </c>
      <c r="D36" s="39">
        <f>IF($A36="","",走順!H40&amp;"")</f>
        <v/>
      </c>
      <c r="E36" s="39">
        <f>IF($A36="","",走順!K40&amp;"")</f>
        <v/>
      </c>
      <c r="F36" s="39">
        <f>IF($A36="","",走順!N40&amp;"")</f>
        <v/>
      </c>
    </row>
    <row r="37" ht="28" customHeight="1" s="11">
      <c r="A37" s="38">
        <f>IF(走順!$A$41="","",走順!$A$41&amp;"レース")</f>
        <v/>
      </c>
      <c r="B37" s="39">
        <f>IF($A37="","",走順!B41&amp;"")</f>
        <v/>
      </c>
      <c r="C37" s="39">
        <f>IF($A37="","",走順!E41&amp;"")</f>
        <v/>
      </c>
      <c r="D37" s="39">
        <f>IF($A37="","",走順!H41&amp;"")</f>
        <v/>
      </c>
      <c r="E37" s="39">
        <f>IF($A37="","",走順!K41&amp;"")</f>
        <v/>
      </c>
      <c r="F37" s="39">
        <f>IF($A37="","",走順!N41&amp;"")</f>
        <v/>
      </c>
    </row>
    <row r="38" ht="28" customHeight="1" s="11">
      <c r="A38" s="38">
        <f>IF(走順!$A$42="","",走順!$A$42&amp;"レース")</f>
        <v/>
      </c>
      <c r="B38" s="39">
        <f>IF($A38="","",走順!B42&amp;"")</f>
        <v/>
      </c>
      <c r="C38" s="39">
        <f>IF($A38="","",走順!E42&amp;"")</f>
        <v/>
      </c>
      <c r="D38" s="39">
        <f>IF($A38="","",走順!H42&amp;"")</f>
        <v/>
      </c>
      <c r="E38" s="39">
        <f>IF($A38="","",走順!K42&amp;"")</f>
        <v/>
      </c>
      <c r="F38" s="39">
        <f>IF($A38="","",走順!N42&amp;"")</f>
        <v/>
      </c>
    </row>
    <row r="39" ht="28" customHeight="1" s="11">
      <c r="A39" s="38">
        <f>IF(走順!$A$43="","",走順!$A$43&amp;"レース")</f>
        <v/>
      </c>
      <c r="B39" s="39">
        <f>IF($A39="","",走順!B43&amp;"")</f>
        <v/>
      </c>
      <c r="C39" s="39">
        <f>IF($A39="","",走順!E43&amp;"")</f>
        <v/>
      </c>
      <c r="D39" s="39">
        <f>IF($A39="","",走順!H43&amp;"")</f>
        <v/>
      </c>
      <c r="E39" s="39">
        <f>IF($A39="","",走順!K43&amp;"")</f>
        <v/>
      </c>
      <c r="F39" s="39">
        <f>IF($A39="","",走順!N43&amp;"")</f>
        <v/>
      </c>
    </row>
    <row r="40" ht="28" customHeight="1" s="11">
      <c r="A40" s="38">
        <f>IF(走順!$A$44="","",走順!$A$44&amp;"レース")</f>
        <v/>
      </c>
      <c r="B40" s="39">
        <f>IF($A40="","",走順!B44&amp;"")</f>
        <v/>
      </c>
      <c r="C40" s="39">
        <f>IF($A40="","",走順!E44&amp;"")</f>
        <v/>
      </c>
      <c r="D40" s="39">
        <f>IF($A40="","",走順!H44&amp;"")</f>
        <v/>
      </c>
      <c r="E40" s="39">
        <f>IF($A40="","",走順!K44&amp;"")</f>
        <v/>
      </c>
      <c r="F40" s="39">
        <f>IF($A40="","",走順!N44&amp;"")</f>
        <v/>
      </c>
    </row>
    <row r="41" ht="28" customHeight="1" s="11">
      <c r="A41" s="38">
        <f>IF(走順!$A$45="","",走順!$A$45&amp;"レース")</f>
        <v/>
      </c>
      <c r="B41" s="39">
        <f>IF($A41="","",走順!B45&amp;"")</f>
        <v/>
      </c>
      <c r="C41" s="39">
        <f>IF($A41="","",走順!E45&amp;"")</f>
        <v/>
      </c>
      <c r="D41" s="39">
        <f>IF($A41="","",走順!H45&amp;"")</f>
        <v/>
      </c>
      <c r="E41" s="39">
        <f>IF($A41="","",走順!K45&amp;"")</f>
        <v/>
      </c>
      <c r="F41" s="39">
        <f>IF($A41="","",走順!N45&amp;"")</f>
        <v/>
      </c>
    </row>
    <row r="42" ht="28" customHeight="1" s="11">
      <c r="A42" s="38">
        <f>IF(走順!$A$46="","",走順!$A$46&amp;"レース")</f>
        <v/>
      </c>
      <c r="B42" s="39">
        <f>IF($A42="","",走順!B46&amp;"")</f>
        <v/>
      </c>
      <c r="C42" s="39">
        <f>IF($A42="","",走順!E46&amp;"")</f>
        <v/>
      </c>
      <c r="D42" s="39">
        <f>IF($A42="","",走順!H46&amp;"")</f>
        <v/>
      </c>
      <c r="E42" s="39">
        <f>IF($A42="","",走順!K46&amp;"")</f>
        <v/>
      </c>
      <c r="F42" s="39">
        <f>IF($A42="","",走順!N46&amp;"")</f>
        <v/>
      </c>
    </row>
    <row r="43" ht="28" customHeight="1" s="11">
      <c r="A43" s="38">
        <f>IF(走順!$A$47="","",走順!$A$47&amp;"レース")</f>
        <v/>
      </c>
      <c r="B43" s="39">
        <f>IF($A43="","",走順!B47&amp;"")</f>
        <v/>
      </c>
      <c r="C43" s="39">
        <f>IF($A43="","",走順!E47&amp;"")</f>
        <v/>
      </c>
      <c r="D43" s="39">
        <f>IF($A43="","",走順!H47&amp;"")</f>
        <v/>
      </c>
      <c r="E43" s="39">
        <f>IF($A43="","",走順!K47&amp;"")</f>
        <v/>
      </c>
      <c r="F43" s="39">
        <f>IF($A43="","",走順!N47&amp;"")</f>
        <v/>
      </c>
    </row>
    <row r="44" ht="28" customHeight="1" s="11">
      <c r="A44" s="38">
        <f>IF(走順!$A$48="","",走順!$A$48&amp;"レース")</f>
        <v/>
      </c>
      <c r="B44" s="39">
        <f>IF($A44="","",走順!B48&amp;"")</f>
        <v/>
      </c>
      <c r="C44" s="39">
        <f>IF($A44="","",走順!E48&amp;"")</f>
        <v/>
      </c>
      <c r="D44" s="39">
        <f>IF($A44="","",走順!H48&amp;"")</f>
        <v/>
      </c>
      <c r="E44" s="39">
        <f>IF($A44="","",走順!K48&amp;"")</f>
        <v/>
      </c>
      <c r="F44" s="39">
        <f>IF($A44="","",走順!N48&amp;"")</f>
        <v/>
      </c>
    </row>
    <row r="45" ht="28" customHeight="1" s="11">
      <c r="A45" s="38">
        <f>IF(走順!$A$49="","",走順!$A$49&amp;"レース")</f>
        <v/>
      </c>
      <c r="B45" s="39">
        <f>IF($A45="","",走順!B49&amp;"")</f>
        <v/>
      </c>
      <c r="C45" s="39">
        <f>IF($A45="","",走順!E49&amp;"")</f>
        <v/>
      </c>
      <c r="D45" s="39">
        <f>IF($A45="","",走順!H49&amp;"")</f>
        <v/>
      </c>
      <c r="E45" s="39">
        <f>IF($A45="","",走順!K49&amp;"")</f>
        <v/>
      </c>
      <c r="F45" s="39">
        <f>IF($A45="","",走順!N49&amp;"")</f>
        <v/>
      </c>
    </row>
    <row r="46" ht="28" customHeight="1" s="11">
      <c r="A46" s="38">
        <f>IF(走順!$A$50="","",走順!$A$50&amp;"レース")</f>
        <v/>
      </c>
      <c r="B46" s="39">
        <f>IF($A46="","",走順!B50&amp;"")</f>
        <v/>
      </c>
      <c r="C46" s="39">
        <f>IF($A46="","",走順!E50&amp;"")</f>
        <v/>
      </c>
      <c r="D46" s="39">
        <f>IF($A46="","",走順!H50&amp;"")</f>
        <v/>
      </c>
      <c r="E46" s="39">
        <f>IF($A46="","",走順!K50&amp;"")</f>
        <v/>
      </c>
      <c r="F46" s="39">
        <f>IF($A46="","",走順!N50&amp;"")</f>
        <v/>
      </c>
    </row>
    <row r="47" ht="28" customHeight="1" s="11">
      <c r="A47" s="38">
        <f>IF(走順!$A$51="","",走順!$A$51&amp;"レース")</f>
        <v/>
      </c>
      <c r="B47" s="39">
        <f>IF($A47="","",走順!B51&amp;"")</f>
        <v/>
      </c>
      <c r="C47" s="39">
        <f>IF($A47="","",走順!E51&amp;"")</f>
        <v/>
      </c>
      <c r="D47" s="39">
        <f>IF($A47="","",走順!H51&amp;"")</f>
        <v/>
      </c>
      <c r="E47" s="39">
        <f>IF($A47="","",走順!K51&amp;"")</f>
        <v/>
      </c>
      <c r="F47" s="39">
        <f>IF($A47="","",走順!N51&amp;"")</f>
        <v/>
      </c>
    </row>
    <row r="48" ht="28" customHeight="1" s="11">
      <c r="A48" s="38">
        <f>IF(走順!$A$52="","",走順!$A$52&amp;"レース")</f>
        <v/>
      </c>
      <c r="B48" s="39">
        <f>IF($A48="","",走順!B52&amp;"")</f>
        <v/>
      </c>
      <c r="C48" s="39">
        <f>IF($A48="","",走順!E52&amp;"")</f>
        <v/>
      </c>
      <c r="D48" s="39">
        <f>IF($A48="","",走順!H52&amp;"")</f>
        <v/>
      </c>
      <c r="E48" s="39">
        <f>IF($A48="","",走順!K52&amp;"")</f>
        <v/>
      </c>
      <c r="F48" s="39">
        <f>IF($A48="","",走順!N52&amp;"")</f>
        <v/>
      </c>
    </row>
    <row r="49" ht="28" customHeight="1" s="11">
      <c r="A49" s="38">
        <f>IF(走順!$A$53="","",走順!$A$53&amp;"レース")</f>
        <v/>
      </c>
      <c r="B49" s="39">
        <f>IF($A49="","",走順!B53&amp;"")</f>
        <v/>
      </c>
      <c r="C49" s="39">
        <f>IF($A49="","",走順!E53&amp;"")</f>
        <v/>
      </c>
      <c r="D49" s="39">
        <f>IF($A49="","",走順!H53&amp;"")</f>
        <v/>
      </c>
      <c r="E49" s="39">
        <f>IF($A49="","",走順!K53&amp;"")</f>
        <v/>
      </c>
      <c r="F49" s="39">
        <f>IF($A49="","",走順!N53&amp;"")</f>
        <v/>
      </c>
    </row>
    <row r="50" ht="28" customHeight="1" s="11">
      <c r="A50" s="38">
        <f>IF(走順!$A$54="","",走順!$A$54&amp;"レース")</f>
        <v/>
      </c>
      <c r="B50" s="39">
        <f>IF($A50="","",走順!B54&amp;"")</f>
        <v/>
      </c>
      <c r="C50" s="39">
        <f>IF($A50="","",走順!E54&amp;"")</f>
        <v/>
      </c>
      <c r="D50" s="39">
        <f>IF($A50="","",走順!H54&amp;"")</f>
        <v/>
      </c>
      <c r="E50" s="39">
        <f>IF($A50="","",走順!K54&amp;"")</f>
        <v/>
      </c>
      <c r="F50" s="39">
        <f>IF($A50="","",走順!N54&amp;"")</f>
        <v/>
      </c>
    </row>
    <row r="51" ht="28" customHeight="1" s="11">
      <c r="A51" s="38">
        <f>IF(走順!$A$55="","",走順!$A$55&amp;"レース")</f>
        <v/>
      </c>
      <c r="B51" s="39">
        <f>IF($A51="","",走順!B55&amp;"")</f>
        <v/>
      </c>
      <c r="C51" s="39">
        <f>IF($A51="","",走順!E55&amp;"")</f>
        <v/>
      </c>
      <c r="D51" s="39">
        <f>IF($A51="","",走順!H55&amp;"")</f>
        <v/>
      </c>
      <c r="E51" s="39">
        <f>IF($A51="","",走順!K55&amp;"")</f>
        <v/>
      </c>
      <c r="F51" s="39">
        <f>IF($A51="","",走順!N55&amp;"")</f>
        <v/>
      </c>
    </row>
    <row r="52" ht="28" customHeight="1" s="11">
      <c r="A52" s="38">
        <f>IF(走順!$A$56="","",走順!$A$56&amp;"レース")</f>
        <v/>
      </c>
      <c r="B52" s="39">
        <f>IF($A52="","",走順!B56&amp;"")</f>
        <v/>
      </c>
      <c r="C52" s="39">
        <f>IF($A52="","",走順!E56&amp;"")</f>
        <v/>
      </c>
      <c r="D52" s="39">
        <f>IF($A52="","",走順!H56&amp;"")</f>
        <v/>
      </c>
      <c r="E52" s="39">
        <f>IF($A52="","",走順!K56&amp;"")</f>
        <v/>
      </c>
      <c r="F52" s="39">
        <f>IF($A52="","",走順!N56&amp;"")</f>
        <v/>
      </c>
    </row>
    <row r="53" ht="28" customHeight="1" s="11">
      <c r="A53" s="38">
        <f>IF(走順!$A$57="","",走順!$A$57&amp;"レース")</f>
        <v/>
      </c>
      <c r="B53" s="39">
        <f>IF($A53="","",走順!B57&amp;"")</f>
        <v/>
      </c>
      <c r="C53" s="39">
        <f>IF($A53="","",走順!E57&amp;"")</f>
        <v/>
      </c>
      <c r="D53" s="39">
        <f>IF($A53="","",走順!H57&amp;"")</f>
        <v/>
      </c>
      <c r="E53" s="39">
        <f>IF($A53="","",走順!K57&amp;"")</f>
        <v/>
      </c>
      <c r="F53" s="39">
        <f>IF($A53="","",走順!N57&amp;"")</f>
        <v/>
      </c>
    </row>
    <row r="54" ht="28" customHeight="1" s="11">
      <c r="A54" s="38">
        <f>IF(走順!$A$58="","",走順!$A$58&amp;"レース")</f>
        <v/>
      </c>
      <c r="B54" s="39">
        <f>IF($A54="","",走順!B58&amp;"")</f>
        <v/>
      </c>
      <c r="C54" s="39">
        <f>IF($A54="","",走順!E58&amp;"")</f>
        <v/>
      </c>
      <c r="D54" s="39">
        <f>IF($A54="","",走順!H58&amp;"")</f>
        <v/>
      </c>
      <c r="E54" s="39">
        <f>IF($A54="","",走順!K58&amp;"")</f>
        <v/>
      </c>
      <c r="F54" s="39">
        <f>IF($A54="","",走順!N58&amp;"")</f>
        <v/>
      </c>
    </row>
    <row r="55" ht="28" customHeight="1" s="11">
      <c r="A55" s="38">
        <f>IF(走順!$A$59="","",走順!$A$59&amp;"レース")</f>
        <v/>
      </c>
      <c r="B55" s="39">
        <f>IF($A55="","",走順!B59&amp;"")</f>
        <v/>
      </c>
      <c r="C55" s="39">
        <f>IF($A55="","",走順!E59&amp;"")</f>
        <v/>
      </c>
      <c r="D55" s="39">
        <f>IF($A55="","",走順!H59&amp;"")</f>
        <v/>
      </c>
      <c r="E55" s="39">
        <f>IF($A55="","",走順!K59&amp;"")</f>
        <v/>
      </c>
      <c r="F55" s="39">
        <f>IF($A55="","",走順!N59&amp;"")</f>
        <v/>
      </c>
    </row>
    <row r="56" ht="28" customHeight="1" s="11">
      <c r="A56" s="38">
        <f>IF(走順!$A$60="","",走順!$A$60&amp;"レース")</f>
        <v/>
      </c>
      <c r="B56" s="39">
        <f>IF($A56="","",走順!B60&amp;"")</f>
        <v/>
      </c>
      <c r="C56" s="39">
        <f>IF($A56="","",走順!E60&amp;"")</f>
        <v/>
      </c>
      <c r="D56" s="39">
        <f>IF($A56="","",走順!H60&amp;"")</f>
        <v/>
      </c>
      <c r="E56" s="39">
        <f>IF($A56="","",走順!K60&amp;"")</f>
        <v/>
      </c>
      <c r="F56" s="39">
        <f>IF($A56="","",走順!N60&amp;"")</f>
        <v/>
      </c>
    </row>
    <row r="57" ht="28" customHeight="1" s="11">
      <c r="A57" s="38">
        <f>IF(走順!$A$61="","",走順!$A$61&amp;"レース")</f>
        <v/>
      </c>
      <c r="B57" s="39">
        <f>IF($A57="","",走順!B61&amp;"")</f>
        <v/>
      </c>
      <c r="C57" s="39">
        <f>IF($A57="","",走順!E61&amp;"")</f>
        <v/>
      </c>
      <c r="D57" s="39">
        <f>IF($A57="","",走順!H61&amp;"")</f>
        <v/>
      </c>
      <c r="E57" s="39">
        <f>IF($A57="","",走順!K61&amp;"")</f>
        <v/>
      </c>
      <c r="F57" s="39">
        <f>IF($A57="","",走順!N61&amp;"")</f>
        <v/>
      </c>
    </row>
    <row r="58" ht="28" customHeight="1" s="11">
      <c r="A58" s="38">
        <f>IF(走順!$A$62="","",走順!$A$62&amp;"レース")</f>
        <v/>
      </c>
      <c r="B58" s="39">
        <f>IF($A58="","",走順!B62&amp;"")</f>
        <v/>
      </c>
      <c r="C58" s="39">
        <f>IF($A58="","",走順!E62&amp;"")</f>
        <v/>
      </c>
      <c r="D58" s="39">
        <f>IF($A58="","",走順!H62&amp;"")</f>
        <v/>
      </c>
      <c r="E58" s="39">
        <f>IF($A58="","",走順!K62&amp;"")</f>
        <v/>
      </c>
      <c r="F58" s="39">
        <f>IF($A58="","",走順!N62&amp;"")</f>
        <v/>
      </c>
    </row>
    <row r="59" ht="28" customHeight="1" s="11">
      <c r="A59" s="38">
        <f>IF(走順!$A$63="","",走順!$A$63&amp;"レース")</f>
        <v/>
      </c>
      <c r="B59" s="39">
        <f>IF($A59="","",走順!B63&amp;"")</f>
        <v/>
      </c>
      <c r="C59" s="39">
        <f>IF($A59="","",走順!E63&amp;"")</f>
        <v/>
      </c>
      <c r="D59" s="39">
        <f>IF($A59="","",走順!H63&amp;"")</f>
        <v/>
      </c>
      <c r="E59" s="39">
        <f>IF($A59="","",走順!K63&amp;"")</f>
        <v/>
      </c>
      <c r="F59" s="39">
        <f>IF($A59="","",走順!N63&amp;"")</f>
        <v/>
      </c>
    </row>
    <row r="60" ht="28" customHeight="1" s="11">
      <c r="A60" s="38">
        <f>IF(走順!$A$64="","",走順!$A$64&amp;"レース")</f>
        <v/>
      </c>
      <c r="B60" s="39">
        <f>IF($A60="","",走順!B64&amp;"")</f>
        <v/>
      </c>
      <c r="C60" s="39">
        <f>IF($A60="","",走順!E64&amp;"")</f>
        <v/>
      </c>
      <c r="D60" s="39">
        <f>IF($A60="","",走順!H64&amp;"")</f>
        <v/>
      </c>
      <c r="E60" s="39">
        <f>IF($A60="","",走順!K64&amp;"")</f>
        <v/>
      </c>
      <c r="F60" s="39">
        <f>IF($A60="","",走順!N64&amp;"")</f>
        <v/>
      </c>
    </row>
    <row r="61" ht="28" customHeight="1" s="11">
      <c r="A61" s="38">
        <f>IF(走順!$A$65="","",走順!$A$65&amp;"レース")</f>
        <v/>
      </c>
      <c r="B61" s="39">
        <f>IF($A61="","",走順!B65&amp;"")</f>
        <v/>
      </c>
      <c r="C61" s="39">
        <f>IF($A61="","",走順!E65&amp;"")</f>
        <v/>
      </c>
      <c r="D61" s="39">
        <f>IF($A61="","",走順!H65&amp;"")</f>
        <v/>
      </c>
      <c r="E61" s="39">
        <f>IF($A61="","",走順!K65&amp;"")</f>
        <v/>
      </c>
      <c r="F61" s="39">
        <f>IF($A61="","",走順!N65&amp;"")</f>
        <v/>
      </c>
    </row>
    <row r="62" ht="28" customHeight="1" s="11">
      <c r="A62" s="38">
        <f>IF(走順!$A$66="","",走順!$A$66&amp;"レース")</f>
        <v/>
      </c>
      <c r="B62" s="39">
        <f>IF($A62="","",走順!B66&amp;"")</f>
        <v/>
      </c>
      <c r="C62" s="39">
        <f>IF($A62="","",走順!E66&amp;"")</f>
        <v/>
      </c>
      <c r="D62" s="39">
        <f>IF($A62="","",走順!H66&amp;"")</f>
        <v/>
      </c>
      <c r="E62" s="39">
        <f>IF($A62="","",走順!K66&amp;"")</f>
        <v/>
      </c>
      <c r="F62" s="39">
        <f>IF($A62="","",走順!N66&amp;"")</f>
        <v/>
      </c>
    </row>
    <row r="63" ht="28" customHeight="1" s="11">
      <c r="A63" s="38">
        <f>IF(走順!$A$67="","",走順!$A$67&amp;"レース")</f>
        <v/>
      </c>
      <c r="B63" s="39">
        <f>IF($A63="","",走順!B67&amp;"")</f>
        <v/>
      </c>
      <c r="C63" s="39">
        <f>IF($A63="","",走順!E67&amp;"")</f>
        <v/>
      </c>
      <c r="D63" s="39">
        <f>IF($A63="","",走順!H67&amp;"")</f>
        <v/>
      </c>
      <c r="E63" s="39">
        <f>IF($A63="","",走順!K67&amp;"")</f>
        <v/>
      </c>
      <c r="F63" s="39">
        <f>IF($A63="","",走順!N67&amp;"")</f>
        <v/>
      </c>
    </row>
    <row r="64" ht="28" customHeight="1" s="11">
      <c r="A64" s="38">
        <f>IF(走順!$A$68="","",走順!$A$68&amp;"レース")</f>
        <v/>
      </c>
      <c r="B64" s="39">
        <f>IF($A64="","",走順!B68&amp;"")</f>
        <v/>
      </c>
      <c r="C64" s="39">
        <f>IF($A64="","",走順!E68&amp;"")</f>
        <v/>
      </c>
      <c r="D64" s="39">
        <f>IF($A64="","",走順!H68&amp;"")</f>
        <v/>
      </c>
      <c r="E64" s="39">
        <f>IF($A64="","",走順!K68&amp;"")</f>
        <v/>
      </c>
      <c r="F64" s="39">
        <f>IF($A64="","",走順!N68&amp;"")</f>
        <v/>
      </c>
    </row>
    <row r="65" ht="28" customHeight="1" s="11">
      <c r="A65" s="38">
        <f>IF(走順!$A$69="","",走順!$A$69&amp;"レース")</f>
        <v/>
      </c>
      <c r="B65" s="39">
        <f>IF($A65="","",走順!B69&amp;"")</f>
        <v/>
      </c>
      <c r="C65" s="39">
        <f>IF($A65="","",走順!E69&amp;"")</f>
        <v/>
      </c>
      <c r="D65" s="39">
        <f>IF($A65="","",走順!H69&amp;"")</f>
        <v/>
      </c>
      <c r="E65" s="39">
        <f>IF($A65="","",走順!K69&amp;"")</f>
        <v/>
      </c>
      <c r="F65" s="39">
        <f>IF($A65="","",走順!N69&amp;"")</f>
        <v/>
      </c>
    </row>
    <row r="66" ht="28" customHeight="1" s="11">
      <c r="A66" s="38">
        <f>IF(走順!$A$70="","",走順!$A$70&amp;"レース")</f>
        <v/>
      </c>
      <c r="B66" s="39">
        <f>IF($A66="","",走順!B70&amp;"")</f>
        <v/>
      </c>
      <c r="C66" s="39">
        <f>IF($A66="","",走順!E70&amp;"")</f>
        <v/>
      </c>
      <c r="D66" s="39">
        <f>IF($A66="","",走順!H70&amp;"")</f>
        <v/>
      </c>
      <c r="E66" s="39">
        <f>IF($A66="","",走順!K70&amp;"")</f>
        <v/>
      </c>
      <c r="F66" s="39">
        <f>IF($A66="","",走順!N70&amp;"")</f>
        <v/>
      </c>
    </row>
    <row r="67" ht="28" customHeight="1" s="11">
      <c r="A67" s="38">
        <f>IF(走順!$A$71="","",走順!$A$71&amp;"レース")</f>
        <v/>
      </c>
      <c r="B67" s="39">
        <f>IF($A67="","",走順!B71&amp;"")</f>
        <v/>
      </c>
      <c r="C67" s="39">
        <f>IF($A67="","",走順!E71&amp;"")</f>
        <v/>
      </c>
      <c r="D67" s="39">
        <f>IF($A67="","",走順!H71&amp;"")</f>
        <v/>
      </c>
      <c r="E67" s="39">
        <f>IF($A67="","",走順!K71&amp;"")</f>
        <v/>
      </c>
      <c r="F67" s="39">
        <f>IF($A67="","",走順!N71&amp;"")</f>
        <v/>
      </c>
    </row>
    <row r="68" ht="28" customHeight="1" s="11">
      <c r="A68" s="38">
        <f>IF(走順!$A$72="","",走順!$A$72&amp;"レース")</f>
        <v/>
      </c>
      <c r="B68" s="39">
        <f>IF($A68="","",走順!B72&amp;"")</f>
        <v/>
      </c>
      <c r="C68" s="39">
        <f>IF($A68="","",走順!E72&amp;"")</f>
        <v/>
      </c>
      <c r="D68" s="39">
        <f>IF($A68="","",走順!H72&amp;"")</f>
        <v/>
      </c>
      <c r="E68" s="39">
        <f>IF($A68="","",走順!K72&amp;"")</f>
        <v/>
      </c>
      <c r="F68" s="39">
        <f>IF($A68="","",走順!N72&amp;"")</f>
        <v/>
      </c>
    </row>
    <row r="69" ht="28" customHeight="1" s="11">
      <c r="A69" s="38">
        <f>IF(走順!$A$73="","",走順!$A$73&amp;"レース")</f>
        <v/>
      </c>
      <c r="B69" s="39">
        <f>IF($A69="","",走順!B73&amp;"")</f>
        <v/>
      </c>
      <c r="C69" s="39">
        <f>IF($A69="","",走順!E73&amp;"")</f>
        <v/>
      </c>
      <c r="D69" s="39">
        <f>IF($A69="","",走順!H73&amp;"")</f>
        <v/>
      </c>
      <c r="E69" s="39">
        <f>IF($A69="","",走順!K73&amp;"")</f>
        <v/>
      </c>
      <c r="F69" s="39">
        <f>IF($A69="","",走順!N73&amp;"")</f>
        <v/>
      </c>
    </row>
    <row r="70" ht="28" customHeight="1" s="11">
      <c r="A70" s="38">
        <f>IF(走順!$A$74="","",走順!$A$74&amp;"レース")</f>
        <v/>
      </c>
      <c r="B70" s="39">
        <f>IF($A70="","",走順!B74&amp;"")</f>
        <v/>
      </c>
      <c r="C70" s="39">
        <f>IF($A70="","",走順!E74&amp;"")</f>
        <v/>
      </c>
      <c r="D70" s="39">
        <f>IF($A70="","",走順!H74&amp;"")</f>
        <v/>
      </c>
      <c r="E70" s="39">
        <f>IF($A70="","",走順!K74&amp;"")</f>
        <v/>
      </c>
      <c r="F70" s="39">
        <f>IF($A70="","",走順!N74&amp;"")</f>
        <v/>
      </c>
    </row>
    <row r="71" ht="28" customHeight="1" s="11">
      <c r="A71" s="38">
        <f>IF(走順!$A$75="","",走順!$A$75&amp;"レース")</f>
        <v/>
      </c>
      <c r="B71" s="39">
        <f>IF($A71="","",走順!B75&amp;"")</f>
        <v/>
      </c>
      <c r="C71" s="39">
        <f>IF($A71="","",走順!E75&amp;"")</f>
        <v/>
      </c>
      <c r="D71" s="39">
        <f>IF($A71="","",走順!H75&amp;"")</f>
        <v/>
      </c>
      <c r="E71" s="39">
        <f>IF($A71="","",走順!K75&amp;"")</f>
        <v/>
      </c>
      <c r="F71" s="39">
        <f>IF($A71="","",走順!N75&amp;"")</f>
        <v/>
      </c>
    </row>
    <row r="72" ht="28" customHeight="1" s="11">
      <c r="A72" s="38">
        <f>IF(走順!$A$76="","",走順!$A$76&amp;"レース")</f>
        <v/>
      </c>
      <c r="B72" s="39">
        <f>IF($A72="","",走順!B76&amp;"")</f>
        <v/>
      </c>
      <c r="C72" s="39">
        <f>IF($A72="","",走順!E76&amp;"")</f>
        <v/>
      </c>
      <c r="D72" s="39">
        <f>IF($A72="","",走順!H76&amp;"")</f>
        <v/>
      </c>
      <c r="E72" s="39">
        <f>IF($A72="","",走順!K76&amp;"")</f>
        <v/>
      </c>
      <c r="F72" s="39">
        <f>IF($A72="","",走順!N76&amp;"")</f>
        <v/>
      </c>
    </row>
    <row r="73" ht="28" customHeight="1" s="11">
      <c r="A73" s="38">
        <f>IF(走順!$A$77="","",走順!$A$77&amp;"レース")</f>
        <v/>
      </c>
      <c r="B73" s="39">
        <f>IF($A73="","",走順!B77&amp;"")</f>
        <v/>
      </c>
      <c r="C73" s="39">
        <f>IF($A73="","",走順!E77&amp;"")</f>
        <v/>
      </c>
      <c r="D73" s="39">
        <f>IF($A73="","",走順!H77&amp;"")</f>
        <v/>
      </c>
      <c r="E73" s="39">
        <f>IF($A73="","",走順!K77&amp;"")</f>
        <v/>
      </c>
      <c r="F73" s="39">
        <f>IF($A73="","",走順!N77&amp;"")</f>
        <v/>
      </c>
    </row>
    <row r="74" ht="28" customHeight="1" s="11">
      <c r="A74" s="38">
        <f>IF(走順!$A$78="","",走順!$A$78&amp;"レース")</f>
        <v/>
      </c>
      <c r="B74" s="39">
        <f>IF($A74="","",走順!B78&amp;"")</f>
        <v/>
      </c>
      <c r="C74" s="39">
        <f>IF($A74="","",走順!E78&amp;"")</f>
        <v/>
      </c>
      <c r="D74" s="39">
        <f>IF($A74="","",走順!H78&amp;"")</f>
        <v/>
      </c>
      <c r="E74" s="39">
        <f>IF($A74="","",走順!K78&amp;"")</f>
        <v/>
      </c>
      <c r="F74" s="39">
        <f>IF($A74="","",走順!N78&amp;"")</f>
        <v/>
      </c>
    </row>
    <row r="75" ht="28" customHeight="1" s="11">
      <c r="A75" s="38">
        <f>IF(走順!$A$79="","",走順!$A$79&amp;"レース")</f>
        <v/>
      </c>
      <c r="B75" s="39">
        <f>IF($A75="","",走順!B79&amp;"")</f>
        <v/>
      </c>
      <c r="C75" s="39">
        <f>IF($A75="","",走順!E79&amp;"")</f>
        <v/>
      </c>
      <c r="D75" s="39">
        <f>IF($A75="","",走順!H79&amp;"")</f>
        <v/>
      </c>
      <c r="E75" s="39">
        <f>IF($A75="","",走順!K79&amp;"")</f>
        <v/>
      </c>
      <c r="F75" s="39">
        <f>IF($A75="","",走順!N79&amp;"")</f>
        <v/>
      </c>
    </row>
    <row r="76" ht="28" customHeight="1" s="11">
      <c r="A76" s="38">
        <f>IF(走順!$A$80="","",走順!$A$80&amp;"レース")</f>
        <v/>
      </c>
      <c r="B76" s="39">
        <f>IF($A76="","",走順!B80&amp;"")</f>
        <v/>
      </c>
      <c r="C76" s="39">
        <f>IF($A76="","",走順!E80&amp;"")</f>
        <v/>
      </c>
      <c r="D76" s="39">
        <f>IF($A76="","",走順!H80&amp;"")</f>
        <v/>
      </c>
      <c r="E76" s="39">
        <f>IF($A76="","",走順!K80&amp;"")</f>
        <v/>
      </c>
      <c r="F76" s="39">
        <f>IF($A76="","",走順!N80&amp;"")</f>
        <v/>
      </c>
    </row>
    <row r="77" ht="28" customHeight="1" s="11">
      <c r="A77" s="38">
        <f>IF(走順!$A$81="","",走順!$A$81&amp;"レース")</f>
        <v/>
      </c>
      <c r="B77" s="39">
        <f>IF($A77="","",走順!B81&amp;"")</f>
        <v/>
      </c>
      <c r="C77" s="39">
        <f>IF($A77="","",走順!E81&amp;"")</f>
        <v/>
      </c>
      <c r="D77" s="39">
        <f>IF($A77="","",走順!H81&amp;"")</f>
        <v/>
      </c>
      <c r="E77" s="39">
        <f>IF($A77="","",走順!K81&amp;"")</f>
        <v/>
      </c>
      <c r="F77" s="39">
        <f>IF($A77="","",走順!N81&amp;"")</f>
        <v/>
      </c>
    </row>
    <row r="78" ht="28" customHeight="1" s="11">
      <c r="A78" s="38">
        <f>IF(走順!$A$82="","",走順!$A$82&amp;"レース")</f>
        <v/>
      </c>
      <c r="B78" s="39">
        <f>IF($A78="","",走順!B82&amp;"")</f>
        <v/>
      </c>
      <c r="C78" s="39">
        <f>IF($A78="","",走順!E82&amp;"")</f>
        <v/>
      </c>
      <c r="D78" s="39">
        <f>IF($A78="","",走順!H82&amp;"")</f>
        <v/>
      </c>
      <c r="E78" s="39">
        <f>IF($A78="","",走順!K82&amp;"")</f>
        <v/>
      </c>
      <c r="F78" s="39">
        <f>IF($A78="","",走順!N82&amp;"")</f>
        <v/>
      </c>
    </row>
    <row r="79" ht="28" customHeight="1" s="11">
      <c r="A79" s="38">
        <f>IF(走順!$A$83="","",走順!$A$83&amp;"レース")</f>
        <v/>
      </c>
      <c r="B79" s="39">
        <f>IF($A79="","",走順!B83&amp;"")</f>
        <v/>
      </c>
      <c r="C79" s="39">
        <f>IF($A79="","",走順!E83&amp;"")</f>
        <v/>
      </c>
      <c r="D79" s="39">
        <f>IF($A79="","",走順!H83&amp;"")</f>
        <v/>
      </c>
      <c r="E79" s="39">
        <f>IF($A79="","",走順!K83&amp;"")</f>
        <v/>
      </c>
      <c r="F79" s="39">
        <f>IF($A79="","",走順!N83&amp;"")</f>
        <v/>
      </c>
    </row>
    <row r="80" ht="28" customHeight="1" s="11">
      <c r="A80" s="38">
        <f>IF(走順!$A$84="","",走順!$A$84&amp;"レース")</f>
        <v/>
      </c>
      <c r="B80" s="39">
        <f>IF($A80="","",走順!B84&amp;"")</f>
        <v/>
      </c>
      <c r="C80" s="39">
        <f>IF($A80="","",走順!E84&amp;"")</f>
        <v/>
      </c>
      <c r="D80" s="39">
        <f>IF($A80="","",走順!H84&amp;"")</f>
        <v/>
      </c>
      <c r="E80" s="39">
        <f>IF($A80="","",走順!K84&amp;"")</f>
        <v/>
      </c>
      <c r="F80" s="39">
        <f>IF($A80="","",走順!N84&amp;"")</f>
        <v/>
      </c>
    </row>
    <row r="81" ht="28" customHeight="1" s="11">
      <c r="A81" s="38">
        <f>IF(走順!$A$85="","",走順!$A$85&amp;"レース")</f>
        <v/>
      </c>
      <c r="B81" s="39">
        <f>IF($A81="","",走順!B85&amp;"")</f>
        <v/>
      </c>
      <c r="C81" s="39">
        <f>IF($A81="","",走順!E85&amp;"")</f>
        <v/>
      </c>
      <c r="D81" s="39">
        <f>IF($A81="","",走順!H85&amp;"")</f>
        <v/>
      </c>
      <c r="E81" s="39">
        <f>IF($A81="","",走順!K85&amp;"")</f>
        <v/>
      </c>
      <c r="F81" s="39">
        <f>IF($A81="","",走順!N85&amp;"")</f>
        <v/>
      </c>
    </row>
    <row r="82" ht="28" customHeight="1" s="11">
      <c r="A82" s="38">
        <f>IF(走順!$A$86="","",走順!$A$86&amp;"レース")</f>
        <v/>
      </c>
      <c r="B82" s="39">
        <f>IF($A82="","",走順!B86&amp;"")</f>
        <v/>
      </c>
      <c r="C82" s="39">
        <f>IF($A82="","",走順!E86&amp;"")</f>
        <v/>
      </c>
      <c r="D82" s="39">
        <f>IF($A82="","",走順!H86&amp;"")</f>
        <v/>
      </c>
      <c r="E82" s="39">
        <f>IF($A82="","",走順!K86&amp;"")</f>
        <v/>
      </c>
      <c r="F82" s="39">
        <f>IF($A82="","",走順!N86&amp;"")</f>
        <v/>
      </c>
    </row>
    <row r="83" ht="28" customHeight="1" s="11">
      <c r="A83" s="38">
        <f>IF(走順!$A$87="","",走順!$A$87&amp;"レース")</f>
        <v/>
      </c>
      <c r="B83" s="39">
        <f>IF($A83="","",走順!B87&amp;"")</f>
        <v/>
      </c>
      <c r="C83" s="39">
        <f>IF($A83="","",走順!E87&amp;"")</f>
        <v/>
      </c>
      <c r="D83" s="39">
        <f>IF($A83="","",走順!H87&amp;"")</f>
        <v/>
      </c>
      <c r="E83" s="39">
        <f>IF($A83="","",走順!K87&amp;"")</f>
        <v/>
      </c>
      <c r="F83" s="39">
        <f>IF($A83="","",走順!N87&amp;"")</f>
        <v/>
      </c>
    </row>
    <row r="84" ht="28" customHeight="1" s="11">
      <c r="A84" s="38">
        <f>IF(走順!$A$88="","",走順!$A$88&amp;"レース")</f>
        <v/>
      </c>
      <c r="B84" s="39">
        <f>IF($A84="","",走順!B88&amp;"")</f>
        <v/>
      </c>
      <c r="C84" s="39">
        <f>IF($A84="","",走順!E88&amp;"")</f>
        <v/>
      </c>
      <c r="D84" s="39">
        <f>IF($A84="","",走順!H88&amp;"")</f>
        <v/>
      </c>
      <c r="E84" s="39">
        <f>IF($A84="","",走順!K88&amp;"")</f>
        <v/>
      </c>
      <c r="F84" s="39">
        <f>IF($A84="","",走順!N88&amp;"")</f>
        <v/>
      </c>
    </row>
    <row r="85" ht="28" customHeight="1" s="11">
      <c r="A85" s="38">
        <f>IF(走順!$A$89="","",走順!$A$89&amp;"レース")</f>
        <v/>
      </c>
      <c r="B85" s="39">
        <f>IF($A85="","",走順!B89&amp;"")</f>
        <v/>
      </c>
      <c r="C85" s="39">
        <f>IF($A85="","",走順!E89&amp;"")</f>
        <v/>
      </c>
      <c r="D85" s="39">
        <f>IF($A85="","",走順!H89&amp;"")</f>
        <v/>
      </c>
      <c r="E85" s="39">
        <f>IF($A85="","",走順!K89&amp;"")</f>
        <v/>
      </c>
      <c r="F85" s="39">
        <f>IF($A85="","",走順!N89&amp;"")</f>
        <v/>
      </c>
    </row>
    <row r="86" ht="28" customHeight="1" s="11">
      <c r="A86" s="38">
        <f>IF(走順!$A$90="","",走順!$A$90&amp;"レース")</f>
        <v/>
      </c>
      <c r="B86" s="39">
        <f>IF($A86="","",走順!B90&amp;"")</f>
        <v/>
      </c>
      <c r="C86" s="39">
        <f>IF($A86="","",走順!E90&amp;"")</f>
        <v/>
      </c>
      <c r="D86" s="39">
        <f>IF($A86="","",走順!H90&amp;"")</f>
        <v/>
      </c>
      <c r="E86" s="39">
        <f>IF($A86="","",走順!K90&amp;"")</f>
        <v/>
      </c>
      <c r="F86" s="39">
        <f>IF($A86="","",走順!N90&amp;"")</f>
        <v/>
      </c>
    </row>
    <row r="87" ht="28" customHeight="1" s="11">
      <c r="A87" s="38">
        <f>IF(走順!$A$91="","",走順!$A$91&amp;"レース")</f>
        <v/>
      </c>
      <c r="B87" s="39">
        <f>IF($A87="","",走順!B91&amp;"")</f>
        <v/>
      </c>
      <c r="C87" s="39">
        <f>IF($A87="","",走順!E91&amp;"")</f>
        <v/>
      </c>
      <c r="D87" s="39">
        <f>IF($A87="","",走順!H91&amp;"")</f>
        <v/>
      </c>
      <c r="E87" s="39">
        <f>IF($A87="","",走順!K91&amp;"")</f>
        <v/>
      </c>
      <c r="F87" s="39">
        <f>IF($A87="","",走順!N91&amp;"")</f>
        <v/>
      </c>
    </row>
    <row r="88" ht="28" customHeight="1" s="11">
      <c r="A88" s="38">
        <f>IF(走順!$A$92="","",走順!$A$92&amp;"レース")</f>
        <v/>
      </c>
      <c r="B88" s="39">
        <f>IF($A88="","",走順!B92&amp;"")</f>
        <v/>
      </c>
      <c r="C88" s="39">
        <f>IF($A88="","",走順!E92&amp;"")</f>
        <v/>
      </c>
      <c r="D88" s="39">
        <f>IF($A88="","",走順!H92&amp;"")</f>
        <v/>
      </c>
      <c r="E88" s="39">
        <f>IF($A88="","",走順!K92&amp;"")</f>
        <v/>
      </c>
      <c r="F88" s="39">
        <f>IF($A88="","",走順!N92&amp;"")</f>
        <v/>
      </c>
    </row>
    <row r="89" ht="28" customHeight="1" s="11">
      <c r="A89" s="38">
        <f>IF(走順!$A$93="","",走順!$A$93&amp;"レース")</f>
        <v/>
      </c>
      <c r="B89" s="39">
        <f>IF($A89="","",走順!B93&amp;"")</f>
        <v/>
      </c>
      <c r="C89" s="39">
        <f>IF($A89="","",走順!E93&amp;"")</f>
        <v/>
      </c>
      <c r="D89" s="39">
        <f>IF($A89="","",走順!H93&amp;"")</f>
        <v/>
      </c>
      <c r="E89" s="39">
        <f>IF($A89="","",走順!K93&amp;"")</f>
        <v/>
      </c>
      <c r="F89" s="39">
        <f>IF($A89="","",走順!N93&amp;"")</f>
        <v/>
      </c>
    </row>
    <row r="90" ht="28" customHeight="1" s="11">
      <c r="A90" s="38">
        <f>IF(走順!$A$94="","",走順!$A$94&amp;"レース")</f>
        <v/>
      </c>
      <c r="B90" s="39">
        <f>IF($A90="","",走順!B94&amp;"")</f>
        <v/>
      </c>
      <c r="C90" s="39">
        <f>IF($A90="","",走順!E94&amp;"")</f>
        <v/>
      </c>
      <c r="D90" s="39">
        <f>IF($A90="","",走順!H94&amp;"")</f>
        <v/>
      </c>
      <c r="E90" s="39">
        <f>IF($A90="","",走順!K94&amp;"")</f>
        <v/>
      </c>
      <c r="F90" s="39">
        <f>IF($A90="","",走順!N94&amp;"")</f>
        <v/>
      </c>
    </row>
    <row r="91" ht="28" customHeight="1" s="11">
      <c r="A91" s="38">
        <f>IF(走順!$A$95="","",走順!$A$95&amp;"レース")</f>
        <v/>
      </c>
      <c r="B91" s="39">
        <f>IF($A91="","",走順!B95&amp;"")</f>
        <v/>
      </c>
      <c r="C91" s="39">
        <f>IF($A91="","",走順!E95&amp;"")</f>
        <v/>
      </c>
      <c r="D91" s="39">
        <f>IF($A91="","",走順!H95&amp;"")</f>
        <v/>
      </c>
      <c r="E91" s="39">
        <f>IF($A91="","",走順!K95&amp;"")</f>
        <v/>
      </c>
      <c r="F91" s="39">
        <f>IF($A91="","",走順!N95&amp;"")</f>
        <v/>
      </c>
    </row>
    <row r="92" ht="28" customHeight="1" s="11">
      <c r="A92" s="38">
        <f>IF(走順!$A$96="","",走順!$A$96&amp;"レース")</f>
        <v/>
      </c>
      <c r="B92" s="39">
        <f>IF($A92="","",走順!B96&amp;"")</f>
        <v/>
      </c>
      <c r="C92" s="39">
        <f>IF($A92="","",走順!E96&amp;"")</f>
        <v/>
      </c>
      <c r="D92" s="39">
        <f>IF($A92="","",走順!H96&amp;"")</f>
        <v/>
      </c>
      <c r="E92" s="39">
        <f>IF($A92="","",走順!K96&amp;"")</f>
        <v/>
      </c>
      <c r="F92" s="39">
        <f>IF($A92="","",走順!N96&amp;"")</f>
        <v/>
      </c>
    </row>
    <row r="93" ht="28" customHeight="1" s="11">
      <c r="A93" s="38">
        <f>IF(走順!$A$97="","",走順!$A$97&amp;"レース")</f>
        <v/>
      </c>
      <c r="B93" s="39">
        <f>IF($A93="","",走順!B97&amp;"")</f>
        <v/>
      </c>
      <c r="C93" s="39">
        <f>IF($A93="","",走順!E97&amp;"")</f>
        <v/>
      </c>
      <c r="D93" s="39">
        <f>IF($A93="","",走順!H97&amp;"")</f>
        <v/>
      </c>
      <c r="E93" s="39">
        <f>IF($A93="","",走順!K97&amp;"")</f>
        <v/>
      </c>
      <c r="F93" s="39">
        <f>IF($A93="","",走順!N97&amp;"")</f>
        <v/>
      </c>
    </row>
    <row r="94" ht="28" customHeight="1" s="11">
      <c r="A94" s="38">
        <f>IF(走順!$A$98="","",走順!$A$98&amp;"レース")</f>
        <v/>
      </c>
      <c r="B94" s="39">
        <f>IF($A94="","",走順!B98&amp;"")</f>
        <v/>
      </c>
      <c r="C94" s="39">
        <f>IF($A94="","",走順!E98&amp;"")</f>
        <v/>
      </c>
      <c r="D94" s="39">
        <f>IF($A94="","",走順!H98&amp;"")</f>
        <v/>
      </c>
      <c r="E94" s="39">
        <f>IF($A94="","",走順!K98&amp;"")</f>
        <v/>
      </c>
      <c r="F94" s="39">
        <f>IF($A94="","",走順!N98&amp;"")</f>
        <v/>
      </c>
    </row>
    <row r="95" ht="28" customHeight="1" s="11">
      <c r="A95" s="38">
        <f>IF(走順!$A$99="","",走順!$A$99&amp;"レース")</f>
        <v/>
      </c>
      <c r="B95" s="39">
        <f>IF($A95="","",走順!B99&amp;"")</f>
        <v/>
      </c>
      <c r="C95" s="39">
        <f>IF($A95="","",走順!E99&amp;"")</f>
        <v/>
      </c>
      <c r="D95" s="39">
        <f>IF($A95="","",走順!H99&amp;"")</f>
        <v/>
      </c>
      <c r="E95" s="39">
        <f>IF($A95="","",走順!K99&amp;"")</f>
        <v/>
      </c>
      <c r="F95" s="39">
        <f>IF($A95="","",走順!N99&amp;"")</f>
        <v/>
      </c>
    </row>
    <row r="96" ht="28" customHeight="1" s="11">
      <c r="A96" s="38">
        <f>IF(走順!$A$100="","",走順!$A$100&amp;"レース")</f>
        <v/>
      </c>
      <c r="B96" s="39">
        <f>IF($A96="","",走順!B100&amp;"")</f>
        <v/>
      </c>
      <c r="C96" s="39">
        <f>IF($A96="","",走順!E100&amp;"")</f>
        <v/>
      </c>
      <c r="D96" s="39">
        <f>IF($A96="","",走順!H100&amp;"")</f>
        <v/>
      </c>
      <c r="E96" s="39">
        <f>IF($A96="","",走順!K100&amp;"")</f>
        <v/>
      </c>
      <c r="F96" s="39">
        <f>IF($A96="","",走順!N100&amp;"")</f>
        <v/>
      </c>
    </row>
    <row r="97" ht="28" customHeight="1" s="11">
      <c r="A97" s="38">
        <f>IF(走順!$A$101="","",走順!$A$101&amp;"レース")</f>
        <v/>
      </c>
      <c r="B97" s="39">
        <f>IF($A97="","",走順!B101&amp;"")</f>
        <v/>
      </c>
      <c r="C97" s="39">
        <f>IF($A97="","",走順!E101&amp;"")</f>
        <v/>
      </c>
      <c r="D97" s="39">
        <f>IF($A97="","",走順!H101&amp;"")</f>
        <v/>
      </c>
      <c r="E97" s="39">
        <f>IF($A97="","",走順!K101&amp;"")</f>
        <v/>
      </c>
      <c r="F97" s="39">
        <f>IF($A97="","",走順!N101&amp;"")</f>
        <v/>
      </c>
    </row>
    <row r="98" ht="28" customHeight="1" s="11">
      <c r="A98" s="38">
        <f>IF(走順!$A$102="","",走順!$A$102&amp;"レース")</f>
        <v/>
      </c>
      <c r="B98" s="39">
        <f>IF($A98="","",走順!B102&amp;"")</f>
        <v/>
      </c>
      <c r="C98" s="39">
        <f>IF($A98="","",走順!E102&amp;"")</f>
        <v/>
      </c>
      <c r="D98" s="39">
        <f>IF($A98="","",走順!H102&amp;"")</f>
        <v/>
      </c>
      <c r="E98" s="39">
        <f>IF($A98="","",走順!K102&amp;"")</f>
        <v/>
      </c>
      <c r="F98" s="39">
        <f>IF($A98="","",走順!N102&amp;"")</f>
        <v/>
      </c>
    </row>
    <row r="99" ht="28" customHeight="1" s="11">
      <c r="A99" s="38">
        <f>IF(走順!$A$103="","",走順!$A$103&amp;"レース")</f>
        <v/>
      </c>
      <c r="B99" s="39">
        <f>IF($A99="","",走順!B103&amp;"")</f>
        <v/>
      </c>
      <c r="C99" s="39">
        <f>IF($A99="","",走順!E103&amp;"")</f>
        <v/>
      </c>
      <c r="D99" s="39">
        <f>IF($A99="","",走順!H103&amp;"")</f>
        <v/>
      </c>
      <c r="E99" s="39">
        <f>IF($A99="","",走順!K103&amp;"")</f>
        <v/>
      </c>
      <c r="F99" s="39">
        <f>IF($A99="","",走順!N103&amp;"")</f>
        <v/>
      </c>
    </row>
    <row r="100" ht="28" customHeight="1" s="11">
      <c r="A100" s="38">
        <f>IF(走順!$A$104="","",走順!$A$104&amp;"レース")</f>
        <v/>
      </c>
      <c r="B100" s="39">
        <f>IF($A100="","",走順!B104&amp;"")</f>
        <v/>
      </c>
      <c r="C100" s="39">
        <f>IF($A100="","",走順!E104&amp;"")</f>
        <v/>
      </c>
      <c r="D100" s="39">
        <f>IF($A100="","",走順!H104&amp;"")</f>
        <v/>
      </c>
      <c r="E100" s="39">
        <f>IF($A100="","",走順!K104&amp;"")</f>
        <v/>
      </c>
      <c r="F100" s="39">
        <f>IF($A100="","",走順!N104&amp;"")</f>
        <v/>
      </c>
    </row>
    <row r="101" ht="28" customHeight="1" s="11">
      <c r="A101" s="38">
        <f>IF(走順!$A$105="","",走順!$A$105&amp;"レース")</f>
        <v/>
      </c>
      <c r="B101" s="39">
        <f>IF($A101="","",走順!B105&amp;"")</f>
        <v/>
      </c>
      <c r="C101" s="39">
        <f>IF($A101="","",走順!E105&amp;"")</f>
        <v/>
      </c>
      <c r="D101" s="39">
        <f>IF($A101="","",走順!H105&amp;"")</f>
        <v/>
      </c>
      <c r="E101" s="39">
        <f>IF($A101="","",走順!K105&amp;"")</f>
        <v/>
      </c>
      <c r="F101" s="39">
        <f>IF($A101="","",走順!N105&amp;"")</f>
        <v/>
      </c>
    </row>
  </sheetData>
  <conditionalFormatting sqref="A2:A101">
    <cfRule type="expression" priority="1" dxfId="18">
      <formula>AND($A2&lt;&gt;"",INDEX(計算用!$BB$2:$BB$101,ROW()-1)="女")</formula>
    </cfRule>
  </conditionalFormatting>
  <conditionalFormatting sqref="B2:B101">
    <cfRule type="expression" priority="2" dxfId="17">
      <formula>INDEX(走順!$D$6:$D$105,ROW()-1)="赤"</formula>
    </cfRule>
  </conditionalFormatting>
  <conditionalFormatting sqref="C2:C101">
    <cfRule type="expression" priority="3" dxfId="17">
      <formula>INDEX(走順!$G$6:$G$105,ROW()-1)="赤"</formula>
    </cfRule>
  </conditionalFormatting>
  <conditionalFormatting sqref="D2:D101">
    <cfRule type="expression" priority="4" dxfId="17">
      <formula>INDEX(走順!$J$6:$J$105,ROW()-1)="赤"</formula>
    </cfRule>
  </conditionalFormatting>
  <conditionalFormatting sqref="E2:E101">
    <cfRule type="expression" priority="5" dxfId="17">
      <formula>INDEX(走順!$M$6:$M$105,ROW()-1)="赤"</formula>
    </cfRule>
  </conditionalFormatting>
  <conditionalFormatting sqref="F2:F101">
    <cfRule type="expression" priority="6" dxfId="17">
      <formula>INDEX(走順!$P$6:$P$105,ROW()-1)="赤"</formula>
    </cfRule>
  </conditionalFormatting>
  <conditionalFormatting sqref="A2:F101">
    <cfRule type="expression" priority="7" dxfId="10">
      <formula>$A2&lt;&gt;""</formula>
    </cfRule>
  </conditionalFormatting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  <c r="AO1" t="inlineStr">
        <is>
          <t>性別+名前</t>
        </is>
      </c>
      <c r="AP1" t="inlineStr">
        <is>
          <t>手直しでの回数</t>
        </is>
      </c>
      <c r="AQ1" t="inlineStr">
        <is>
          <t>入っていない</t>
        </is>
      </c>
      <c r="AR1" t="inlineStr">
        <is>
          <t>男子の入っていない番号</t>
        </is>
      </c>
      <c r="AS1" t="inlineStr">
        <is>
          <t>女子の入っていない番号</t>
        </is>
      </c>
      <c r="BA1" t="inlineStr">
        <is>
          <t>レース</t>
        </is>
      </c>
      <c r="BB1" t="inlineStr">
        <is>
          <t>男女</t>
        </is>
      </c>
      <c r="BC1" t="inlineStr">
        <is>
          <t>男女ごとのレース</t>
        </is>
      </c>
      <c r="BD1" t="inlineStr">
        <is>
          <t>組数</t>
        </is>
      </c>
      <c r="BE1" t="inlineStr">
        <is>
          <t>組</t>
        </is>
      </c>
      <c r="BG1" t="inlineStr">
        <is>
          <t>男手直し赤</t>
        </is>
      </c>
      <c r="BH1" t="inlineStr">
        <is>
          <t>男手直し白</t>
        </is>
      </c>
      <c r="BI1" t="inlineStr">
        <is>
          <t>女手直し赤</t>
        </is>
      </c>
      <c r="BJ1" t="inlineStr">
        <is>
          <t>女手直し白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  <c r="AO2">
        <f>IF(J2="","",F2&amp;D2)</f>
        <v/>
      </c>
      <c r="AP2">
        <f>IF(J2="","",IF(F2="男",COUNTIF(手直し!$B$6:$F$55,D2),COUNTIF(手直し!$G$6:$K$55,D2)))</f>
        <v/>
      </c>
      <c r="AQ2">
        <f>IF(AND(J2&lt;&gt;"",AP2=0),1,0)</f>
        <v/>
      </c>
      <c r="AR2">
        <f>IF(AND(AQ2=1,F2="男"),COUNTIFS($AQ$2:AQ2,1,$F$2:F2,"男"),"")</f>
        <v/>
      </c>
      <c r="AS2">
        <f>IF(AND(AQ2=1,F2="女"),COUNTIFS($AQ$2:AQ2,1,$F$2:F2,"女"),"")</f>
        <v/>
      </c>
      <c r="BA2" t="n">
        <v>1</v>
      </c>
      <c r="BB2">
        <f>IF(BA2&gt;$Q$30,"",IF(BA2&lt;=$Q$28,$Q$26,$Q$27))</f>
        <v/>
      </c>
      <c r="BC2">
        <f>IF(BB2="","",IF(BA2&lt;=$Q$28,BA2,BA2-$Q$28))</f>
        <v/>
      </c>
      <c r="BD2">
        <f>IF(BB2="","",IF(BB2="男",$Q$13,$Q$14))</f>
        <v/>
      </c>
      <c r="BE2">
        <f>IF(BB2="","",IF(BD2&lt;=3,BD2-BC2+1,IF(BC2&lt;=INT((BD2-2)/2),2*BC2+2,IF(BC2&lt;=INT((BD2-2)/2)+INT((BD2-3)/2),(BD2-1+MOD(BD2,2))-2*(BC2-INT((BD2-2)/2)-1),3-(BC2-INT((BD2-2)/2)-INT((BD2-3)/2)-1)))))</f>
        <v/>
      </c>
      <c r="BG2">
        <f>SUMPRODUCT(COUNTIFS($AO$2:$AO$186,"男"&amp;手直し!$B$6:$F$6,$I$2:$I$186,"赤"))</f>
        <v/>
      </c>
      <c r="BH2">
        <f>SUMPRODUCT(COUNTIFS($AO$2:$AO$186,"男"&amp;手直し!$B$6:$F$6,$I$2:$I$186,"白"))</f>
        <v/>
      </c>
      <c r="BI2">
        <f>SUMPRODUCT(COUNTIFS($AO$2:$AO$186,"女"&amp;手直し!$G$6:$K$6,$I$2:$I$186,"赤"))</f>
        <v/>
      </c>
      <c r="BJ2">
        <f>SUMPRODUCT(COUNTIFS($AO$2:$AO$186,"女"&amp;手直し!$G$6:$K$6,$I$2:$I$186,"白"))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  <c r="AO3">
        <f>IF(J3="","",F3&amp;D3)</f>
        <v/>
      </c>
      <c r="AP3">
        <f>IF(J3="","",IF(F3="男",COUNTIF(手直し!$B$6:$F$55,D3),COUNTIF(手直し!$G$6:$K$55,D3)))</f>
        <v/>
      </c>
      <c r="AQ3">
        <f>IF(AND(J3&lt;&gt;"",AP3=0),1,0)</f>
        <v/>
      </c>
      <c r="AR3">
        <f>IF(AND(AQ3=1,F3="男"),COUNTIFS($AQ$2:AQ3,1,$F$2:F3,"男"),"")</f>
        <v/>
      </c>
      <c r="AS3">
        <f>IF(AND(AQ3=1,F3="女"),COUNTIFS($AQ$2:AQ3,1,$F$2:F3,"女"),"")</f>
        <v/>
      </c>
      <c r="BA3" t="n">
        <v>2</v>
      </c>
      <c r="BB3">
        <f>IF(BA3&gt;$Q$30,"",IF(BA3&lt;=$Q$28,$Q$26,$Q$27))</f>
        <v/>
      </c>
      <c r="BC3">
        <f>IF(BB3="","",IF(BA3&lt;=$Q$28,BA3,BA3-$Q$28))</f>
        <v/>
      </c>
      <c r="BD3">
        <f>IF(BB3="","",IF(BB3="男",$Q$13,$Q$14))</f>
        <v/>
      </c>
      <c r="BE3">
        <f>IF(BB3="","",IF(BD3&lt;=3,BD3-BC3+1,IF(BC3&lt;=INT((BD3-2)/2),2*BC3+2,IF(BC3&lt;=INT((BD3-2)/2)+INT((BD3-3)/2),(BD3-1+MOD(BD3,2))-2*(BC3-INT((BD3-2)/2)-1),3-(BC3-INT((BD3-2)/2)-INT((BD3-3)/2)-1)))))</f>
        <v/>
      </c>
      <c r="BG3">
        <f>SUMPRODUCT(COUNTIFS($AO$2:$AO$186,"男"&amp;手直し!$B$7:$F$7,$I$2:$I$186,"赤"))</f>
        <v/>
      </c>
      <c r="BH3">
        <f>SUMPRODUCT(COUNTIFS($AO$2:$AO$186,"男"&amp;手直し!$B$7:$F$7,$I$2:$I$186,"白"))</f>
        <v/>
      </c>
      <c r="BI3">
        <f>SUMPRODUCT(COUNTIFS($AO$2:$AO$186,"女"&amp;手直し!$G$7:$K$7,$I$2:$I$186,"赤"))</f>
        <v/>
      </c>
      <c r="BJ3">
        <f>SUMPRODUCT(COUNTIFS($AO$2:$AO$186,"女"&amp;手直し!$G$7:$K$7,$I$2:$I$186,"白"))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  <c r="AO4">
        <f>IF(J4="","",F4&amp;D4)</f>
        <v/>
      </c>
      <c r="AP4">
        <f>IF(J4="","",IF(F4="男",COUNTIF(手直し!$B$6:$F$55,D4),COUNTIF(手直し!$G$6:$K$55,D4)))</f>
        <v/>
      </c>
      <c r="AQ4">
        <f>IF(AND(J4&lt;&gt;"",AP4=0),1,0)</f>
        <v/>
      </c>
      <c r="AR4">
        <f>IF(AND(AQ4=1,F4="男"),COUNTIFS($AQ$2:AQ4,1,$F$2:F4,"男"),"")</f>
        <v/>
      </c>
      <c r="AS4">
        <f>IF(AND(AQ4=1,F4="女"),COUNTIFS($AQ$2:AQ4,1,$F$2:F4,"女"),"")</f>
        <v/>
      </c>
      <c r="BA4" t="n">
        <v>3</v>
      </c>
      <c r="BB4">
        <f>IF(BA4&gt;$Q$30,"",IF(BA4&lt;=$Q$28,$Q$26,$Q$27))</f>
        <v/>
      </c>
      <c r="BC4">
        <f>IF(BB4="","",IF(BA4&lt;=$Q$28,BA4,BA4-$Q$28))</f>
        <v/>
      </c>
      <c r="BD4">
        <f>IF(BB4="","",IF(BB4="男",$Q$13,$Q$14))</f>
        <v/>
      </c>
      <c r="BE4">
        <f>IF(BB4="","",IF(BD4&lt;=3,BD4-BC4+1,IF(BC4&lt;=INT((BD4-2)/2),2*BC4+2,IF(BC4&lt;=INT((BD4-2)/2)+INT((BD4-3)/2),(BD4-1+MOD(BD4,2))-2*(BC4-INT((BD4-2)/2)-1),3-(BC4-INT((BD4-2)/2)-INT((BD4-3)/2)-1)))))</f>
        <v/>
      </c>
      <c r="BG4">
        <f>SUMPRODUCT(COUNTIFS($AO$2:$AO$186,"男"&amp;手直し!$B$8:$F$8,$I$2:$I$186,"赤"))</f>
        <v/>
      </c>
      <c r="BH4">
        <f>SUMPRODUCT(COUNTIFS($AO$2:$AO$186,"男"&amp;手直し!$B$8:$F$8,$I$2:$I$186,"白"))</f>
        <v/>
      </c>
      <c r="BI4">
        <f>SUMPRODUCT(COUNTIFS($AO$2:$AO$186,"女"&amp;手直し!$G$8:$K$8,$I$2:$I$186,"赤"))</f>
        <v/>
      </c>
      <c r="BJ4">
        <f>SUMPRODUCT(COUNTIFS($AO$2:$AO$186,"女"&amp;手直し!$G$8:$K$8,$I$2:$I$186,"白"))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  <c r="AO5">
        <f>IF(J5="","",F5&amp;D5)</f>
        <v/>
      </c>
      <c r="AP5">
        <f>IF(J5="","",IF(F5="男",COUNTIF(手直し!$B$6:$F$55,D5),COUNTIF(手直し!$G$6:$K$55,D5)))</f>
        <v/>
      </c>
      <c r="AQ5">
        <f>IF(AND(J5&lt;&gt;"",AP5=0),1,0)</f>
        <v/>
      </c>
      <c r="AR5">
        <f>IF(AND(AQ5=1,F5="男"),COUNTIFS($AQ$2:AQ5,1,$F$2:F5,"男"),"")</f>
        <v/>
      </c>
      <c r="AS5">
        <f>IF(AND(AQ5=1,F5="女"),COUNTIFS($AQ$2:AQ5,1,$F$2:F5,"女"),"")</f>
        <v/>
      </c>
      <c r="BA5" t="n">
        <v>4</v>
      </c>
      <c r="BB5">
        <f>IF(BA5&gt;$Q$30,"",IF(BA5&lt;=$Q$28,$Q$26,$Q$27))</f>
        <v/>
      </c>
      <c r="BC5">
        <f>IF(BB5="","",IF(BA5&lt;=$Q$28,BA5,BA5-$Q$28))</f>
        <v/>
      </c>
      <c r="BD5">
        <f>IF(BB5="","",IF(BB5="男",$Q$13,$Q$14))</f>
        <v/>
      </c>
      <c r="BE5">
        <f>IF(BB5="","",IF(BD5&lt;=3,BD5-BC5+1,IF(BC5&lt;=INT((BD5-2)/2),2*BC5+2,IF(BC5&lt;=INT((BD5-2)/2)+INT((BD5-3)/2),(BD5-1+MOD(BD5,2))-2*(BC5-INT((BD5-2)/2)-1),3-(BC5-INT((BD5-2)/2)-INT((BD5-3)/2)-1)))))</f>
        <v/>
      </c>
      <c r="BG5">
        <f>SUMPRODUCT(COUNTIFS($AO$2:$AO$186,"男"&amp;手直し!$B$9:$F$9,$I$2:$I$186,"赤"))</f>
        <v/>
      </c>
      <c r="BH5">
        <f>SUMPRODUCT(COUNTIFS($AO$2:$AO$186,"男"&amp;手直し!$B$9:$F$9,$I$2:$I$186,"白"))</f>
        <v/>
      </c>
      <c r="BI5">
        <f>SUMPRODUCT(COUNTIFS($AO$2:$AO$186,"女"&amp;手直し!$G$9:$K$9,$I$2:$I$186,"赤"))</f>
        <v/>
      </c>
      <c r="BJ5">
        <f>SUMPRODUCT(COUNTIFS($AO$2:$AO$186,"女"&amp;手直し!$G$9:$K$9,$I$2:$I$186,"白"))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  <c r="AO6">
        <f>IF(J6="","",F6&amp;D6)</f>
        <v/>
      </c>
      <c r="AP6">
        <f>IF(J6="","",IF(F6="男",COUNTIF(手直し!$B$6:$F$55,D6),COUNTIF(手直し!$G$6:$K$55,D6)))</f>
        <v/>
      </c>
      <c r="AQ6">
        <f>IF(AND(J6&lt;&gt;"",AP6=0),1,0)</f>
        <v/>
      </c>
      <c r="AR6">
        <f>IF(AND(AQ6=1,F6="男"),COUNTIFS($AQ$2:AQ6,1,$F$2:F6,"男"),"")</f>
        <v/>
      </c>
      <c r="AS6">
        <f>IF(AND(AQ6=1,F6="女"),COUNTIFS($AQ$2:AQ6,1,$F$2:F6,"女"),"")</f>
        <v/>
      </c>
      <c r="BA6" t="n">
        <v>5</v>
      </c>
      <c r="BB6">
        <f>IF(BA6&gt;$Q$30,"",IF(BA6&lt;=$Q$28,$Q$26,$Q$27))</f>
        <v/>
      </c>
      <c r="BC6">
        <f>IF(BB6="","",IF(BA6&lt;=$Q$28,BA6,BA6-$Q$28))</f>
        <v/>
      </c>
      <c r="BD6">
        <f>IF(BB6="","",IF(BB6="男",$Q$13,$Q$14))</f>
        <v/>
      </c>
      <c r="BE6">
        <f>IF(BB6="","",IF(BD6&lt;=3,BD6-BC6+1,IF(BC6&lt;=INT((BD6-2)/2),2*BC6+2,IF(BC6&lt;=INT((BD6-2)/2)+INT((BD6-3)/2),(BD6-1+MOD(BD6,2))-2*(BC6-INT((BD6-2)/2)-1),3-(BC6-INT((BD6-2)/2)-INT((BD6-3)/2)-1)))))</f>
        <v/>
      </c>
      <c r="BG6">
        <f>SUMPRODUCT(COUNTIFS($AO$2:$AO$186,"男"&amp;手直し!$B$10:$F$10,$I$2:$I$186,"赤"))</f>
        <v/>
      </c>
      <c r="BH6">
        <f>SUMPRODUCT(COUNTIFS($AO$2:$AO$186,"男"&amp;手直し!$B$10:$F$10,$I$2:$I$186,"白"))</f>
        <v/>
      </c>
      <c r="BI6">
        <f>SUMPRODUCT(COUNTIFS($AO$2:$AO$186,"女"&amp;手直し!$G$10:$K$10,$I$2:$I$186,"赤"))</f>
        <v/>
      </c>
      <c r="BJ6">
        <f>SUMPRODUCT(COUNTIFS($AO$2:$AO$186,"女"&amp;手直し!$G$10:$K$10,$I$2:$I$186,"白"))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  <c r="AO7">
        <f>IF(J7="","",F7&amp;D7)</f>
        <v/>
      </c>
      <c r="AP7">
        <f>IF(J7="","",IF(F7="男",COUNTIF(手直し!$B$6:$F$55,D7),COUNTIF(手直し!$G$6:$K$55,D7)))</f>
        <v/>
      </c>
      <c r="AQ7">
        <f>IF(AND(J7&lt;&gt;"",AP7=0),1,0)</f>
        <v/>
      </c>
      <c r="AR7">
        <f>IF(AND(AQ7=1,F7="男"),COUNTIFS($AQ$2:AQ7,1,$F$2:F7,"男"),"")</f>
        <v/>
      </c>
      <c r="AS7">
        <f>IF(AND(AQ7=1,F7="女"),COUNTIFS($AQ$2:AQ7,1,$F$2:F7,"女"),"")</f>
        <v/>
      </c>
      <c r="BA7" t="n">
        <v>6</v>
      </c>
      <c r="BB7">
        <f>IF(BA7&gt;$Q$30,"",IF(BA7&lt;=$Q$28,$Q$26,$Q$27))</f>
        <v/>
      </c>
      <c r="BC7">
        <f>IF(BB7="","",IF(BA7&lt;=$Q$28,BA7,BA7-$Q$28))</f>
        <v/>
      </c>
      <c r="BD7">
        <f>IF(BB7="","",IF(BB7="男",$Q$13,$Q$14))</f>
        <v/>
      </c>
      <c r="BE7">
        <f>IF(BB7="","",IF(BD7&lt;=3,BD7-BC7+1,IF(BC7&lt;=INT((BD7-2)/2),2*BC7+2,IF(BC7&lt;=INT((BD7-2)/2)+INT((BD7-3)/2),(BD7-1+MOD(BD7,2))-2*(BC7-INT((BD7-2)/2)-1),3-(BC7-INT((BD7-2)/2)-INT((BD7-3)/2)-1)))))</f>
        <v/>
      </c>
      <c r="BG7">
        <f>SUMPRODUCT(COUNTIFS($AO$2:$AO$186,"男"&amp;手直し!$B$11:$F$11,$I$2:$I$186,"赤"))</f>
        <v/>
      </c>
      <c r="BH7">
        <f>SUMPRODUCT(COUNTIFS($AO$2:$AO$186,"男"&amp;手直し!$B$11:$F$11,$I$2:$I$186,"白"))</f>
        <v/>
      </c>
      <c r="BI7">
        <f>SUMPRODUCT(COUNTIFS($AO$2:$AO$186,"女"&amp;手直し!$G$11:$K$11,$I$2:$I$186,"赤"))</f>
        <v/>
      </c>
      <c r="BJ7">
        <f>SUMPRODUCT(COUNTIFS($AO$2:$AO$186,"女"&amp;手直し!$G$11:$K$11,$I$2:$I$186,"白"))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  <c r="AO8">
        <f>IF(J8="","",F8&amp;D8)</f>
        <v/>
      </c>
      <c r="AP8">
        <f>IF(J8="","",IF(F8="男",COUNTIF(手直し!$B$6:$F$55,D8),COUNTIF(手直し!$G$6:$K$55,D8)))</f>
        <v/>
      </c>
      <c r="AQ8">
        <f>IF(AND(J8&lt;&gt;"",AP8=0),1,0)</f>
        <v/>
      </c>
      <c r="AR8">
        <f>IF(AND(AQ8=1,F8="男"),COUNTIFS($AQ$2:AQ8,1,$F$2:F8,"男"),"")</f>
        <v/>
      </c>
      <c r="AS8">
        <f>IF(AND(AQ8=1,F8="女"),COUNTIFS($AQ$2:AQ8,1,$F$2:F8,"女"),"")</f>
        <v/>
      </c>
      <c r="BA8" t="n">
        <v>7</v>
      </c>
      <c r="BB8">
        <f>IF(BA8&gt;$Q$30,"",IF(BA8&lt;=$Q$28,$Q$26,$Q$27))</f>
        <v/>
      </c>
      <c r="BC8">
        <f>IF(BB8="","",IF(BA8&lt;=$Q$28,BA8,BA8-$Q$28))</f>
        <v/>
      </c>
      <c r="BD8">
        <f>IF(BB8="","",IF(BB8="男",$Q$13,$Q$14))</f>
        <v/>
      </c>
      <c r="BE8">
        <f>IF(BB8="","",IF(BD8&lt;=3,BD8-BC8+1,IF(BC8&lt;=INT((BD8-2)/2),2*BC8+2,IF(BC8&lt;=INT((BD8-2)/2)+INT((BD8-3)/2),(BD8-1+MOD(BD8,2))-2*(BC8-INT((BD8-2)/2)-1),3-(BC8-INT((BD8-2)/2)-INT((BD8-3)/2)-1)))))</f>
        <v/>
      </c>
      <c r="BG8">
        <f>SUMPRODUCT(COUNTIFS($AO$2:$AO$186,"男"&amp;手直し!$B$12:$F$12,$I$2:$I$186,"赤"))</f>
        <v/>
      </c>
      <c r="BH8">
        <f>SUMPRODUCT(COUNTIFS($AO$2:$AO$186,"男"&amp;手直し!$B$12:$F$12,$I$2:$I$186,"白"))</f>
        <v/>
      </c>
      <c r="BI8">
        <f>SUMPRODUCT(COUNTIFS($AO$2:$AO$186,"女"&amp;手直し!$G$12:$K$12,$I$2:$I$186,"赤"))</f>
        <v/>
      </c>
      <c r="BJ8">
        <f>SUMPRODUCT(COUNTIFS($AO$2:$AO$186,"女"&amp;手直し!$G$12:$K$12,$I$2:$I$186,"白"))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ROUNDUP(Q8/Q32,0)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  <c r="AO9">
        <f>IF(J9="","",F9&amp;D9)</f>
        <v/>
      </c>
      <c r="AP9">
        <f>IF(J9="","",IF(F9="男",COUNTIF(手直し!$B$6:$F$55,D9),COUNTIF(手直し!$G$6:$K$55,D9)))</f>
        <v/>
      </c>
      <c r="AQ9">
        <f>IF(AND(J9&lt;&gt;"",AP9=0),1,0)</f>
        <v/>
      </c>
      <c r="AR9">
        <f>IF(AND(AQ9=1,F9="男"),COUNTIFS($AQ$2:AQ9,1,$F$2:F9,"男"),"")</f>
        <v/>
      </c>
      <c r="AS9">
        <f>IF(AND(AQ9=1,F9="女"),COUNTIFS($AQ$2:AQ9,1,$F$2:F9,"女"),"")</f>
        <v/>
      </c>
      <c r="BA9" t="n">
        <v>8</v>
      </c>
      <c r="BB9">
        <f>IF(BA9&gt;$Q$30,"",IF(BA9&lt;=$Q$28,$Q$26,$Q$27))</f>
        <v/>
      </c>
      <c r="BC9">
        <f>IF(BB9="","",IF(BA9&lt;=$Q$28,BA9,BA9-$Q$28))</f>
        <v/>
      </c>
      <c r="BD9">
        <f>IF(BB9="","",IF(BB9="男",$Q$13,$Q$14))</f>
        <v/>
      </c>
      <c r="BE9">
        <f>IF(BB9="","",IF(BD9&lt;=3,BD9-BC9+1,IF(BC9&lt;=INT((BD9-2)/2),2*BC9+2,IF(BC9&lt;=INT((BD9-2)/2)+INT((BD9-3)/2),(BD9-1+MOD(BD9,2))-2*(BC9-INT((BD9-2)/2)-1),3-(BC9-INT((BD9-2)/2)-INT((BD9-3)/2)-1)))))</f>
        <v/>
      </c>
      <c r="BG9">
        <f>SUMPRODUCT(COUNTIFS($AO$2:$AO$186,"男"&amp;手直し!$B$13:$F$13,$I$2:$I$186,"赤"))</f>
        <v/>
      </c>
      <c r="BH9">
        <f>SUMPRODUCT(COUNTIFS($AO$2:$AO$186,"男"&amp;手直し!$B$13:$F$13,$I$2:$I$186,"白"))</f>
        <v/>
      </c>
      <c r="BI9">
        <f>SUMPRODUCT(COUNTIFS($AO$2:$AO$186,"女"&amp;手直し!$G$13:$K$13,$I$2:$I$186,"赤"))</f>
        <v/>
      </c>
      <c r="BJ9">
        <f>SUMPRODUCT(COUNTIFS($AO$2:$AO$186,"女"&amp;手直し!$G$13:$K$13,$I$2:$I$186,"白"))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  <c r="AO10">
        <f>IF(J10="","",F10&amp;D10)</f>
        <v/>
      </c>
      <c r="AP10">
        <f>IF(J10="","",IF(F10="男",COUNTIF(手直し!$B$6:$F$55,D10),COUNTIF(手直し!$G$6:$K$55,D10)))</f>
        <v/>
      </c>
      <c r="AQ10">
        <f>IF(AND(J10&lt;&gt;"",AP10=0),1,0)</f>
        <v/>
      </c>
      <c r="AR10">
        <f>IF(AND(AQ10=1,F10="男"),COUNTIFS($AQ$2:AQ10,1,$F$2:F10,"男"),"")</f>
        <v/>
      </c>
      <c r="AS10">
        <f>IF(AND(AQ10=1,F10="女"),COUNTIFS($AQ$2:AQ10,1,$F$2:F10,"女"),"")</f>
        <v/>
      </c>
      <c r="BA10" t="n">
        <v>9</v>
      </c>
      <c r="BB10">
        <f>IF(BA10&gt;$Q$30,"",IF(BA10&lt;=$Q$28,$Q$26,$Q$27))</f>
        <v/>
      </c>
      <c r="BC10">
        <f>IF(BB10="","",IF(BA10&lt;=$Q$28,BA10,BA10-$Q$28))</f>
        <v/>
      </c>
      <c r="BD10">
        <f>IF(BB10="","",IF(BB10="男",$Q$13,$Q$14))</f>
        <v/>
      </c>
      <c r="BE10">
        <f>IF(BB10="","",IF(BD10&lt;=3,BD10-BC10+1,IF(BC10&lt;=INT((BD10-2)/2),2*BC10+2,IF(BC10&lt;=INT((BD10-2)/2)+INT((BD10-3)/2),(BD10-1+MOD(BD10,2))-2*(BC10-INT((BD10-2)/2)-1),3-(BC10-INT((BD10-2)/2)-INT((BD10-3)/2)-1)))))</f>
        <v/>
      </c>
      <c r="BG10">
        <f>SUMPRODUCT(COUNTIFS($AO$2:$AO$186,"男"&amp;手直し!$B$14:$F$14,$I$2:$I$186,"赤"))</f>
        <v/>
      </c>
      <c r="BH10">
        <f>SUMPRODUCT(COUNTIFS($AO$2:$AO$186,"男"&amp;手直し!$B$14:$F$14,$I$2:$I$186,"白"))</f>
        <v/>
      </c>
      <c r="BI10">
        <f>SUMPRODUCT(COUNTIFS($AO$2:$AO$186,"女"&amp;手直し!$G$14:$K$14,$I$2:$I$186,"赤"))</f>
        <v/>
      </c>
      <c r="BJ10">
        <f>SUMPRODUCT(COUNTIFS($AO$2:$AO$186,"女"&amp;手直し!$G$14:$K$14,$I$2:$I$186,"白"))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ROUNDUP(Q10/Q33,0)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  <c r="AO11">
        <f>IF(J11="","",F11&amp;D11)</f>
        <v/>
      </c>
      <c r="AP11">
        <f>IF(J11="","",IF(F11="男",COUNTIF(手直し!$B$6:$F$55,D11),COUNTIF(手直し!$G$6:$K$55,D11)))</f>
        <v/>
      </c>
      <c r="AQ11">
        <f>IF(AND(J11&lt;&gt;"",AP11=0),1,0)</f>
        <v/>
      </c>
      <c r="AR11">
        <f>IF(AND(AQ11=1,F11="男"),COUNTIFS($AQ$2:AQ11,1,$F$2:F11,"男"),"")</f>
        <v/>
      </c>
      <c r="AS11">
        <f>IF(AND(AQ11=1,F11="女"),COUNTIFS($AQ$2:AQ11,1,$F$2:F11,"女"),"")</f>
        <v/>
      </c>
      <c r="BA11" t="n">
        <v>10</v>
      </c>
      <c r="BB11">
        <f>IF(BA11&gt;$Q$30,"",IF(BA11&lt;=$Q$28,$Q$26,$Q$27))</f>
        <v/>
      </c>
      <c r="BC11">
        <f>IF(BB11="","",IF(BA11&lt;=$Q$28,BA11,BA11-$Q$28))</f>
        <v/>
      </c>
      <c r="BD11">
        <f>IF(BB11="","",IF(BB11="男",$Q$13,$Q$14))</f>
        <v/>
      </c>
      <c r="BE11">
        <f>IF(BB11="","",IF(BD11&lt;=3,BD11-BC11+1,IF(BC11&lt;=INT((BD11-2)/2),2*BC11+2,IF(BC11&lt;=INT((BD11-2)/2)+INT((BD11-3)/2),(BD11-1+MOD(BD11,2))-2*(BC11-INT((BD11-2)/2)-1),3-(BC11-INT((BD11-2)/2)-INT((BD11-3)/2)-1)))))</f>
        <v/>
      </c>
      <c r="BG11">
        <f>SUMPRODUCT(COUNTIFS($AO$2:$AO$186,"男"&amp;手直し!$B$15:$F$15,$I$2:$I$186,"赤"))</f>
        <v/>
      </c>
      <c r="BH11">
        <f>SUMPRODUCT(COUNTIFS($AO$2:$AO$186,"男"&amp;手直し!$B$15:$F$15,$I$2:$I$186,"白"))</f>
        <v/>
      </c>
      <c r="BI11">
        <f>SUMPRODUCT(COUNTIFS($AO$2:$AO$186,"女"&amp;手直し!$G$15:$K$15,$I$2:$I$186,"赤"))</f>
        <v/>
      </c>
      <c r="BJ11">
        <f>SUMPRODUCT(COUNTIFS($AO$2:$AO$186,"女"&amp;手直し!$G$15:$K$15,$I$2:$I$186,"白"))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  <c r="AO12">
        <f>IF(J12="","",F12&amp;D12)</f>
        <v/>
      </c>
      <c r="AP12">
        <f>IF(J12="","",IF(F12="男",COUNTIF(手直し!$B$6:$F$55,D12),COUNTIF(手直し!$G$6:$K$55,D12)))</f>
        <v/>
      </c>
      <c r="AQ12">
        <f>IF(AND(J12&lt;&gt;"",AP12=0),1,0)</f>
        <v/>
      </c>
      <c r="AR12">
        <f>IF(AND(AQ12=1,F12="男"),COUNTIFS($AQ$2:AQ12,1,$F$2:F12,"男"),"")</f>
        <v/>
      </c>
      <c r="AS12">
        <f>IF(AND(AQ12=1,F12="女"),COUNTIFS($AQ$2:AQ12,1,$F$2:F12,"女"),"")</f>
        <v/>
      </c>
      <c r="BA12" t="n">
        <v>11</v>
      </c>
      <c r="BB12">
        <f>IF(BA12&gt;$Q$30,"",IF(BA12&lt;=$Q$28,$Q$26,$Q$27))</f>
        <v/>
      </c>
      <c r="BC12">
        <f>IF(BB12="","",IF(BA12&lt;=$Q$28,BA12,BA12-$Q$28))</f>
        <v/>
      </c>
      <c r="BD12">
        <f>IF(BB12="","",IF(BB12="男",$Q$13,$Q$14))</f>
        <v/>
      </c>
      <c r="BE12">
        <f>IF(BB12="","",IF(BD12&lt;=3,BD12-BC12+1,IF(BC12&lt;=INT((BD12-2)/2),2*BC12+2,IF(BC12&lt;=INT((BD12-2)/2)+INT((BD12-3)/2),(BD12-1+MOD(BD12,2))-2*(BC12-INT((BD12-2)/2)-1),3-(BC12-INT((BD12-2)/2)-INT((BD12-3)/2)-1)))))</f>
        <v/>
      </c>
      <c r="BG12">
        <f>SUMPRODUCT(COUNTIFS($AO$2:$AO$186,"男"&amp;手直し!$B$16:$F$16,$I$2:$I$186,"赤"))</f>
        <v/>
      </c>
      <c r="BH12">
        <f>SUMPRODUCT(COUNTIFS($AO$2:$AO$186,"男"&amp;手直し!$B$16:$F$16,$I$2:$I$186,"白"))</f>
        <v/>
      </c>
      <c r="BI12">
        <f>SUMPRODUCT(COUNTIFS($AO$2:$AO$186,"女"&amp;手直し!$G$16:$K$16,$I$2:$I$186,"赤"))</f>
        <v/>
      </c>
      <c r="BJ12">
        <f>SUMPRODUCT(COUNTIFS($AO$2:$AO$186,"女"&amp;手直し!$G$16:$K$16,$I$2:$I$186,"白"))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P13" t="inlineStr">
        <is>
          <t>男子決定組数</t>
        </is>
      </c>
      <c r="Q13">
        <f>SUMPRODUCT(MAX((手直し!$B$6:$F$55&lt;&gt;"")*(ROW(手直し!$B$6:$F$55)-5)))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  <c r="AO13">
        <f>IF(J13="","",F13&amp;D13)</f>
        <v/>
      </c>
      <c r="AP13">
        <f>IF(J13="","",IF(F13="男",COUNTIF(手直し!$B$6:$F$55,D13),COUNTIF(手直し!$G$6:$K$55,D13)))</f>
        <v/>
      </c>
      <c r="AQ13">
        <f>IF(AND(J13&lt;&gt;"",AP13=0),1,0)</f>
        <v/>
      </c>
      <c r="AR13">
        <f>IF(AND(AQ13=1,F13="男"),COUNTIFS($AQ$2:AQ13,1,$F$2:F13,"男"),"")</f>
        <v/>
      </c>
      <c r="AS13">
        <f>IF(AND(AQ13=1,F13="女"),COUNTIFS($AQ$2:AQ13,1,$F$2:F13,"女"),"")</f>
        <v/>
      </c>
      <c r="BA13" t="n">
        <v>12</v>
      </c>
      <c r="BB13">
        <f>IF(BA13&gt;$Q$30,"",IF(BA13&lt;=$Q$28,$Q$26,$Q$27))</f>
        <v/>
      </c>
      <c r="BC13">
        <f>IF(BB13="","",IF(BA13&lt;=$Q$28,BA13,BA13-$Q$28))</f>
        <v/>
      </c>
      <c r="BD13">
        <f>IF(BB13="","",IF(BB13="男",$Q$13,$Q$14))</f>
        <v/>
      </c>
      <c r="BE13">
        <f>IF(BB13="","",IF(BD13&lt;=3,BD13-BC13+1,IF(BC13&lt;=INT((BD13-2)/2),2*BC13+2,IF(BC13&lt;=INT((BD13-2)/2)+INT((BD13-3)/2),(BD13-1+MOD(BD13,2))-2*(BC13-INT((BD13-2)/2)-1),3-(BC13-INT((BD13-2)/2)-INT((BD13-3)/2)-1)))))</f>
        <v/>
      </c>
      <c r="BG13">
        <f>SUMPRODUCT(COUNTIFS($AO$2:$AO$186,"男"&amp;手直し!$B$17:$F$17,$I$2:$I$186,"赤"))</f>
        <v/>
      </c>
      <c r="BH13">
        <f>SUMPRODUCT(COUNTIFS($AO$2:$AO$186,"男"&amp;手直し!$B$17:$F$17,$I$2:$I$186,"白"))</f>
        <v/>
      </c>
      <c r="BI13">
        <f>SUMPRODUCT(COUNTIFS($AO$2:$AO$186,"女"&amp;手直し!$G$17:$K$17,$I$2:$I$186,"赤"))</f>
        <v/>
      </c>
      <c r="BJ13">
        <f>SUMPRODUCT(COUNTIFS($AO$2:$AO$186,"女"&amp;手直し!$G$17:$K$17,$I$2:$I$186,"白"))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P14" t="inlineStr">
        <is>
          <t>女子決定組数</t>
        </is>
      </c>
      <c r="Q14">
        <f>SUMPRODUCT(MAX((手直し!$G$6:$K$55&lt;&gt;"")*(ROW(手直し!$G$6:$K$55)-5)))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  <c r="AO14">
        <f>IF(J14="","",F14&amp;D14)</f>
        <v/>
      </c>
      <c r="AP14">
        <f>IF(J14="","",IF(F14="男",COUNTIF(手直し!$B$6:$F$55,D14),COUNTIF(手直し!$G$6:$K$55,D14)))</f>
        <v/>
      </c>
      <c r="AQ14">
        <f>IF(AND(J14&lt;&gt;"",AP14=0),1,0)</f>
        <v/>
      </c>
      <c r="AR14">
        <f>IF(AND(AQ14=1,F14="男"),COUNTIFS($AQ$2:AQ14,1,$F$2:F14,"男"),"")</f>
        <v/>
      </c>
      <c r="AS14">
        <f>IF(AND(AQ14=1,F14="女"),COUNTIFS($AQ$2:AQ14,1,$F$2:F14,"女"),"")</f>
        <v/>
      </c>
      <c r="BA14" t="n">
        <v>13</v>
      </c>
      <c r="BB14">
        <f>IF(BA14&gt;$Q$30,"",IF(BA14&lt;=$Q$28,$Q$26,$Q$27))</f>
        <v/>
      </c>
      <c r="BC14">
        <f>IF(BB14="","",IF(BA14&lt;=$Q$28,BA14,BA14-$Q$28))</f>
        <v/>
      </c>
      <c r="BD14">
        <f>IF(BB14="","",IF(BB14="男",$Q$13,$Q$14))</f>
        <v/>
      </c>
      <c r="BE14">
        <f>IF(BB14="","",IF(BD14&lt;=3,BD14-BC14+1,IF(BC14&lt;=INT((BD14-2)/2),2*BC14+2,IF(BC14&lt;=INT((BD14-2)/2)+INT((BD14-3)/2),(BD14-1+MOD(BD14,2))-2*(BC14-INT((BD14-2)/2)-1),3-(BC14-INT((BD14-2)/2)-INT((BD14-3)/2)-1)))))</f>
        <v/>
      </c>
      <c r="BG14">
        <f>SUMPRODUCT(COUNTIFS($AO$2:$AO$186,"男"&amp;手直し!$B$18:$F$18,$I$2:$I$186,"赤"))</f>
        <v/>
      </c>
      <c r="BH14">
        <f>SUMPRODUCT(COUNTIFS($AO$2:$AO$186,"男"&amp;手直し!$B$18:$F$18,$I$2:$I$186,"白"))</f>
        <v/>
      </c>
      <c r="BI14">
        <f>SUMPRODUCT(COUNTIFS($AO$2:$AO$186,"女"&amp;手直し!$G$18:$K$18,$I$2:$I$186,"赤"))</f>
        <v/>
      </c>
      <c r="BJ14">
        <f>SUMPRODUCT(COUNTIFS($AO$2:$AO$186,"女"&amp;手直し!$G$18:$K$18,$I$2:$I$186,"白"))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P15" t="inlineStr">
        <is>
          <t>男子確認の数</t>
        </is>
      </c>
      <c r="Q15">
        <f>Q17+Q19+Q21+Q23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  <c r="AO15">
        <f>IF(J15="","",F15&amp;D15)</f>
        <v/>
      </c>
      <c r="AP15">
        <f>IF(J15="","",IF(F15="男",COUNTIF(手直し!$B$6:$F$55,D15),COUNTIF(手直し!$G$6:$K$55,D15)))</f>
        <v/>
      </c>
      <c r="AQ15">
        <f>IF(AND(J15&lt;&gt;"",AP15=0),1,0)</f>
        <v/>
      </c>
      <c r="AR15">
        <f>IF(AND(AQ15=1,F15="男"),COUNTIFS($AQ$2:AQ15,1,$F$2:F15,"男"),"")</f>
        <v/>
      </c>
      <c r="AS15">
        <f>IF(AND(AQ15=1,F15="女"),COUNTIFS($AQ$2:AQ15,1,$F$2:F15,"女"),"")</f>
        <v/>
      </c>
      <c r="BA15" t="n">
        <v>14</v>
      </c>
      <c r="BB15">
        <f>IF(BA15&gt;$Q$30,"",IF(BA15&lt;=$Q$28,$Q$26,$Q$27))</f>
        <v/>
      </c>
      <c r="BC15">
        <f>IF(BB15="","",IF(BA15&lt;=$Q$28,BA15,BA15-$Q$28))</f>
        <v/>
      </c>
      <c r="BD15">
        <f>IF(BB15="","",IF(BB15="男",$Q$13,$Q$14))</f>
        <v/>
      </c>
      <c r="BE15">
        <f>IF(BB15="","",IF(BD15&lt;=3,BD15-BC15+1,IF(BC15&lt;=INT((BD15-2)/2),2*BC15+2,IF(BC15&lt;=INT((BD15-2)/2)+INT((BD15-3)/2),(BD15-1+MOD(BD15,2))-2*(BC15-INT((BD15-2)/2)-1),3-(BC15-INT((BD15-2)/2)-INT((BD15-3)/2)-1)))))</f>
        <v/>
      </c>
      <c r="BG15">
        <f>SUMPRODUCT(COUNTIFS($AO$2:$AO$186,"男"&amp;手直し!$B$19:$F$19,$I$2:$I$186,"赤"))</f>
        <v/>
      </c>
      <c r="BH15">
        <f>SUMPRODUCT(COUNTIFS($AO$2:$AO$186,"男"&amp;手直し!$B$19:$F$19,$I$2:$I$186,"白"))</f>
        <v/>
      </c>
      <c r="BI15">
        <f>SUMPRODUCT(COUNTIFS($AO$2:$AO$186,"女"&amp;手直し!$G$19:$K$19,$I$2:$I$186,"赤"))</f>
        <v/>
      </c>
      <c r="BJ15">
        <f>SUMPRODUCT(COUNTIFS($AO$2:$AO$186,"女"&amp;手直し!$G$19:$K$19,$I$2:$I$186,"白"))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P16" t="inlineStr">
        <is>
          <t>女子確認の数</t>
        </is>
      </c>
      <c r="Q16">
        <f>Q18+Q20+Q22+Q24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  <c r="AO16">
        <f>IF(J16="","",F16&amp;D16)</f>
        <v/>
      </c>
      <c r="AP16">
        <f>IF(J16="","",IF(F16="男",COUNTIF(手直し!$B$6:$F$55,D16),COUNTIF(手直し!$G$6:$K$55,D16)))</f>
        <v/>
      </c>
      <c r="AQ16">
        <f>IF(AND(J16&lt;&gt;"",AP16=0),1,0)</f>
        <v/>
      </c>
      <c r="AR16">
        <f>IF(AND(AQ16=1,F16="男"),COUNTIFS($AQ$2:AQ16,1,$F$2:F16,"男"),"")</f>
        <v/>
      </c>
      <c r="AS16">
        <f>IF(AND(AQ16=1,F16="女"),COUNTIFS($AQ$2:AQ16,1,$F$2:F16,"女"),"")</f>
        <v/>
      </c>
      <c r="BA16" t="n">
        <v>15</v>
      </c>
      <c r="BB16">
        <f>IF(BA16&gt;$Q$30,"",IF(BA16&lt;=$Q$28,$Q$26,$Q$27))</f>
        <v/>
      </c>
      <c r="BC16">
        <f>IF(BB16="","",IF(BA16&lt;=$Q$28,BA16,BA16-$Q$28))</f>
        <v/>
      </c>
      <c r="BD16">
        <f>IF(BB16="","",IF(BB16="男",$Q$13,$Q$14))</f>
        <v/>
      </c>
      <c r="BE16">
        <f>IF(BB16="","",IF(BD16&lt;=3,BD16-BC16+1,IF(BC16&lt;=INT((BD16-2)/2),2*BC16+2,IF(BC16&lt;=INT((BD16-2)/2)+INT((BD16-3)/2),(BD16-1+MOD(BD16,2))-2*(BC16-INT((BD16-2)/2)-1),3-(BC16-INT((BD16-2)/2)-INT((BD16-3)/2)-1)))))</f>
        <v/>
      </c>
      <c r="BG16">
        <f>SUMPRODUCT(COUNTIFS($AO$2:$AO$186,"男"&amp;手直し!$B$20:$F$20,$I$2:$I$186,"赤"))</f>
        <v/>
      </c>
      <c r="BH16">
        <f>SUMPRODUCT(COUNTIFS($AO$2:$AO$186,"男"&amp;手直し!$B$20:$F$20,$I$2:$I$186,"白"))</f>
        <v/>
      </c>
      <c r="BI16">
        <f>SUMPRODUCT(COUNTIFS($AO$2:$AO$186,"女"&amp;手直し!$G$20:$K$20,$I$2:$I$186,"赤"))</f>
        <v/>
      </c>
      <c r="BJ16">
        <f>SUMPRODUCT(COUNTIFS($AO$2:$AO$186,"女"&amp;手直し!$G$20:$K$20,$I$2:$I$186,"白"))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P17" t="inlineStr">
        <is>
          <t>男子入っていない</t>
        </is>
      </c>
      <c r="Q17">
        <f>COUNTIFS($AQ$2:$AQ$186,1,$F$2:$F$186,"男")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  <c r="AO17">
        <f>IF(J17="","",F17&amp;D17)</f>
        <v/>
      </c>
      <c r="AP17">
        <f>IF(J17="","",IF(F17="男",COUNTIF(手直し!$B$6:$F$55,D17),COUNTIF(手直し!$G$6:$K$55,D17)))</f>
        <v/>
      </c>
      <c r="AQ17">
        <f>IF(AND(J17&lt;&gt;"",AP17=0),1,0)</f>
        <v/>
      </c>
      <c r="AR17">
        <f>IF(AND(AQ17=1,F17="男"),COUNTIFS($AQ$2:AQ17,1,$F$2:F17,"男"),"")</f>
        <v/>
      </c>
      <c r="AS17">
        <f>IF(AND(AQ17=1,F17="女"),COUNTIFS($AQ$2:AQ17,1,$F$2:F17,"女"),"")</f>
        <v/>
      </c>
      <c r="BA17" t="n">
        <v>16</v>
      </c>
      <c r="BB17">
        <f>IF(BA17&gt;$Q$30,"",IF(BA17&lt;=$Q$28,$Q$26,$Q$27))</f>
        <v/>
      </c>
      <c r="BC17">
        <f>IF(BB17="","",IF(BA17&lt;=$Q$28,BA17,BA17-$Q$28))</f>
        <v/>
      </c>
      <c r="BD17">
        <f>IF(BB17="","",IF(BB17="男",$Q$13,$Q$14))</f>
        <v/>
      </c>
      <c r="BE17">
        <f>IF(BB17="","",IF(BD17&lt;=3,BD17-BC17+1,IF(BC17&lt;=INT((BD17-2)/2),2*BC17+2,IF(BC17&lt;=INT((BD17-2)/2)+INT((BD17-3)/2),(BD17-1+MOD(BD17,2))-2*(BC17-INT((BD17-2)/2)-1),3-(BC17-INT((BD17-2)/2)-INT((BD17-3)/2)-1)))))</f>
        <v/>
      </c>
      <c r="BG17">
        <f>SUMPRODUCT(COUNTIFS($AO$2:$AO$186,"男"&amp;手直し!$B$21:$F$21,$I$2:$I$186,"赤"))</f>
        <v/>
      </c>
      <c r="BH17">
        <f>SUMPRODUCT(COUNTIFS($AO$2:$AO$186,"男"&amp;手直し!$B$21:$F$21,$I$2:$I$186,"白"))</f>
        <v/>
      </c>
      <c r="BI17">
        <f>SUMPRODUCT(COUNTIFS($AO$2:$AO$186,"女"&amp;手直し!$G$21:$K$21,$I$2:$I$186,"赤"))</f>
        <v/>
      </c>
      <c r="BJ17">
        <f>SUMPRODUCT(COUNTIFS($AO$2:$AO$186,"女"&amp;手直し!$G$21:$K$21,$I$2:$I$186,"白"))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P18" t="inlineStr">
        <is>
          <t>女子入っていない</t>
        </is>
      </c>
      <c r="Q18">
        <f>COUNTIFS($AQ$2:$AQ$186,1,$F$2:$F$186,"女")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  <c r="AO18">
        <f>IF(J18="","",F18&amp;D18)</f>
        <v/>
      </c>
      <c r="AP18">
        <f>IF(J18="","",IF(F18="男",COUNTIF(手直し!$B$6:$F$55,D18),COUNTIF(手直し!$G$6:$K$55,D18)))</f>
        <v/>
      </c>
      <c r="AQ18">
        <f>IF(AND(J18&lt;&gt;"",AP18=0),1,0)</f>
        <v/>
      </c>
      <c r="AR18">
        <f>IF(AND(AQ18=1,F18="男"),COUNTIFS($AQ$2:AQ18,1,$F$2:F18,"男"),"")</f>
        <v/>
      </c>
      <c r="AS18">
        <f>IF(AND(AQ18=1,F18="女"),COUNTIFS($AQ$2:AQ18,1,$F$2:F18,"女"),"")</f>
        <v/>
      </c>
      <c r="BA18" t="n">
        <v>17</v>
      </c>
      <c r="BB18">
        <f>IF(BA18&gt;$Q$30,"",IF(BA18&lt;=$Q$28,$Q$26,$Q$27))</f>
        <v/>
      </c>
      <c r="BC18">
        <f>IF(BB18="","",IF(BA18&lt;=$Q$28,BA18,BA18-$Q$28))</f>
        <v/>
      </c>
      <c r="BD18">
        <f>IF(BB18="","",IF(BB18="男",$Q$13,$Q$14))</f>
        <v/>
      </c>
      <c r="BE18">
        <f>IF(BB18="","",IF(BD18&lt;=3,BD18-BC18+1,IF(BC18&lt;=INT((BD18-2)/2),2*BC18+2,IF(BC18&lt;=INT((BD18-2)/2)+INT((BD18-3)/2),(BD18-1+MOD(BD18,2))-2*(BC18-INT((BD18-2)/2)-1),3-(BC18-INT((BD18-2)/2)-INT((BD18-3)/2)-1)))))</f>
        <v/>
      </c>
      <c r="BG18">
        <f>SUMPRODUCT(COUNTIFS($AO$2:$AO$186,"男"&amp;手直し!$B$22:$F$22,$I$2:$I$186,"赤"))</f>
        <v/>
      </c>
      <c r="BH18">
        <f>SUMPRODUCT(COUNTIFS($AO$2:$AO$186,"男"&amp;手直し!$B$22:$F$22,$I$2:$I$186,"白"))</f>
        <v/>
      </c>
      <c r="BI18">
        <f>SUMPRODUCT(COUNTIFS($AO$2:$AO$186,"女"&amp;手直し!$G$22:$K$22,$I$2:$I$186,"赤"))</f>
        <v/>
      </c>
      <c r="BJ18">
        <f>SUMPRODUCT(COUNTIFS($AO$2:$AO$186,"女"&amp;手直し!$G$22:$K$22,$I$2:$I$186,"白"))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P19" t="inlineStr">
        <is>
          <t>男子2回以上</t>
        </is>
      </c>
      <c r="Q19">
        <f>COUNTIFS($AP$2:$AP$186,"&gt;1",$F$2:$F$186,"男")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  <c r="AO19">
        <f>IF(J19="","",F19&amp;D19)</f>
        <v/>
      </c>
      <c r="AP19">
        <f>IF(J19="","",IF(F19="男",COUNTIF(手直し!$B$6:$F$55,D19),COUNTIF(手直し!$G$6:$K$55,D19)))</f>
        <v/>
      </c>
      <c r="AQ19">
        <f>IF(AND(J19&lt;&gt;"",AP19=0),1,0)</f>
        <v/>
      </c>
      <c r="AR19">
        <f>IF(AND(AQ19=1,F19="男"),COUNTIFS($AQ$2:AQ19,1,$F$2:F19,"男"),"")</f>
        <v/>
      </c>
      <c r="AS19">
        <f>IF(AND(AQ19=1,F19="女"),COUNTIFS($AQ$2:AQ19,1,$F$2:F19,"女"),"")</f>
        <v/>
      </c>
      <c r="BA19" t="n">
        <v>18</v>
      </c>
      <c r="BB19">
        <f>IF(BA19&gt;$Q$30,"",IF(BA19&lt;=$Q$28,$Q$26,$Q$27))</f>
        <v/>
      </c>
      <c r="BC19">
        <f>IF(BB19="","",IF(BA19&lt;=$Q$28,BA19,BA19-$Q$28))</f>
        <v/>
      </c>
      <c r="BD19">
        <f>IF(BB19="","",IF(BB19="男",$Q$13,$Q$14))</f>
        <v/>
      </c>
      <c r="BE19">
        <f>IF(BB19="","",IF(BD19&lt;=3,BD19-BC19+1,IF(BC19&lt;=INT((BD19-2)/2),2*BC19+2,IF(BC19&lt;=INT((BD19-2)/2)+INT((BD19-3)/2),(BD19-1+MOD(BD19,2))-2*(BC19-INT((BD19-2)/2)-1),3-(BC19-INT((BD19-2)/2)-INT((BD19-3)/2)-1)))))</f>
        <v/>
      </c>
      <c r="BG19">
        <f>SUMPRODUCT(COUNTIFS($AO$2:$AO$186,"男"&amp;手直し!$B$23:$F$23,$I$2:$I$186,"赤"))</f>
        <v/>
      </c>
      <c r="BH19">
        <f>SUMPRODUCT(COUNTIFS($AO$2:$AO$186,"男"&amp;手直し!$B$23:$F$23,$I$2:$I$186,"白"))</f>
        <v/>
      </c>
      <c r="BI19">
        <f>SUMPRODUCT(COUNTIFS($AO$2:$AO$186,"女"&amp;手直し!$G$23:$K$23,$I$2:$I$186,"赤"))</f>
        <v/>
      </c>
      <c r="BJ19">
        <f>SUMPRODUCT(COUNTIFS($AO$2:$AO$186,"女"&amp;手直し!$G$23:$K$23,$I$2:$I$186,"白"))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P20" t="inlineStr">
        <is>
          <t>女子2回以上</t>
        </is>
      </c>
      <c r="Q20">
        <f>COUNTIFS($AP$2:$AP$186,"&gt;1",$F$2:$F$186,"女")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  <c r="AO20">
        <f>IF(J20="","",F20&amp;D20)</f>
        <v/>
      </c>
      <c r="AP20">
        <f>IF(J20="","",IF(F20="男",COUNTIF(手直し!$B$6:$F$55,D20),COUNTIF(手直し!$G$6:$K$55,D20)))</f>
        <v/>
      </c>
      <c r="AQ20">
        <f>IF(AND(J20&lt;&gt;"",AP20=0),1,0)</f>
        <v/>
      </c>
      <c r="AR20">
        <f>IF(AND(AQ20=1,F20="男"),COUNTIFS($AQ$2:AQ20,1,$F$2:F20,"男"),"")</f>
        <v/>
      </c>
      <c r="AS20">
        <f>IF(AND(AQ20=1,F20="女"),COUNTIFS($AQ$2:AQ20,1,$F$2:F20,"女"),"")</f>
        <v/>
      </c>
      <c r="BA20" t="n">
        <v>19</v>
      </c>
      <c r="BB20">
        <f>IF(BA20&gt;$Q$30,"",IF(BA20&lt;=$Q$28,$Q$26,$Q$27))</f>
        <v/>
      </c>
      <c r="BC20">
        <f>IF(BB20="","",IF(BA20&lt;=$Q$28,BA20,BA20-$Q$28))</f>
        <v/>
      </c>
      <c r="BD20">
        <f>IF(BB20="","",IF(BB20="男",$Q$13,$Q$14))</f>
        <v/>
      </c>
      <c r="BE20">
        <f>IF(BB20="","",IF(BD20&lt;=3,BD20-BC20+1,IF(BC20&lt;=INT((BD20-2)/2),2*BC20+2,IF(BC20&lt;=INT((BD20-2)/2)+INT((BD20-3)/2),(BD20-1+MOD(BD20,2))-2*(BC20-INT((BD20-2)/2)-1),3-(BC20-INT((BD20-2)/2)-INT((BD20-3)/2)-1)))))</f>
        <v/>
      </c>
      <c r="BG20">
        <f>SUMPRODUCT(COUNTIFS($AO$2:$AO$186,"男"&amp;手直し!$B$24:$F$24,$I$2:$I$186,"赤"))</f>
        <v/>
      </c>
      <c r="BH20">
        <f>SUMPRODUCT(COUNTIFS($AO$2:$AO$186,"男"&amp;手直し!$B$24:$F$24,$I$2:$I$186,"白"))</f>
        <v/>
      </c>
      <c r="BI20">
        <f>SUMPRODUCT(COUNTIFS($AO$2:$AO$186,"女"&amp;手直し!$G$24:$K$24,$I$2:$I$186,"赤"))</f>
        <v/>
      </c>
      <c r="BJ20">
        <f>SUMPRODUCT(COUNTIFS($AO$2:$AO$186,"女"&amp;手直し!$G$24:$K$24,$I$2:$I$186,"白"))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P21" t="inlineStr">
        <is>
          <t>男子名簿にない名前</t>
        </is>
      </c>
      <c r="Q21">
        <f>SUMPRODUCT((手直し!$B$6:$F$55&lt;&gt;"")*(COUNTIF($AO$2:$AO$186,"男"&amp;手直し!$B$6:$F$55)=0))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  <c r="AO21">
        <f>IF(J21="","",F21&amp;D21)</f>
        <v/>
      </c>
      <c r="AP21">
        <f>IF(J21="","",IF(F21="男",COUNTIF(手直し!$B$6:$F$55,D21),COUNTIF(手直し!$G$6:$K$55,D21)))</f>
        <v/>
      </c>
      <c r="AQ21">
        <f>IF(AND(J21&lt;&gt;"",AP21=0),1,0)</f>
        <v/>
      </c>
      <c r="AR21">
        <f>IF(AND(AQ21=1,F21="男"),COUNTIFS($AQ$2:AQ21,1,$F$2:F21,"男"),"")</f>
        <v/>
      </c>
      <c r="AS21">
        <f>IF(AND(AQ21=1,F21="女"),COUNTIFS($AQ$2:AQ21,1,$F$2:F21,"女"),"")</f>
        <v/>
      </c>
      <c r="BA21" t="n">
        <v>20</v>
      </c>
      <c r="BB21">
        <f>IF(BA21&gt;$Q$30,"",IF(BA21&lt;=$Q$28,$Q$26,$Q$27))</f>
        <v/>
      </c>
      <c r="BC21">
        <f>IF(BB21="","",IF(BA21&lt;=$Q$28,BA21,BA21-$Q$28))</f>
        <v/>
      </c>
      <c r="BD21">
        <f>IF(BB21="","",IF(BB21="男",$Q$13,$Q$14))</f>
        <v/>
      </c>
      <c r="BE21">
        <f>IF(BB21="","",IF(BD21&lt;=3,BD21-BC21+1,IF(BC21&lt;=INT((BD21-2)/2),2*BC21+2,IF(BC21&lt;=INT((BD21-2)/2)+INT((BD21-3)/2),(BD21-1+MOD(BD21,2))-2*(BC21-INT((BD21-2)/2)-1),3-(BC21-INT((BD21-2)/2)-INT((BD21-3)/2)-1)))))</f>
        <v/>
      </c>
      <c r="BG21">
        <f>SUMPRODUCT(COUNTIFS($AO$2:$AO$186,"男"&amp;手直し!$B$25:$F$25,$I$2:$I$186,"赤"))</f>
        <v/>
      </c>
      <c r="BH21">
        <f>SUMPRODUCT(COUNTIFS($AO$2:$AO$186,"男"&amp;手直し!$B$25:$F$25,$I$2:$I$186,"白"))</f>
        <v/>
      </c>
      <c r="BI21">
        <f>SUMPRODUCT(COUNTIFS($AO$2:$AO$186,"女"&amp;手直し!$G$25:$K$25,$I$2:$I$186,"赤"))</f>
        <v/>
      </c>
      <c r="BJ21">
        <f>SUMPRODUCT(COUNTIFS($AO$2:$AO$186,"女"&amp;手直し!$G$25:$K$25,$I$2:$I$186,"白"))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P22" t="inlineStr">
        <is>
          <t>女子名簿にない名前</t>
        </is>
      </c>
      <c r="Q22">
        <f>SUMPRODUCT((手直し!$G$6:$K$55&lt;&gt;"")*(COUNTIF($AO$2:$AO$186,"女"&amp;手直し!$G$6:$K$55)=0))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  <c r="AO22">
        <f>IF(J22="","",F22&amp;D22)</f>
        <v/>
      </c>
      <c r="AP22">
        <f>IF(J22="","",IF(F22="男",COUNTIF(手直し!$B$6:$F$55,D22),COUNTIF(手直し!$G$6:$K$55,D22)))</f>
        <v/>
      </c>
      <c r="AQ22">
        <f>IF(AND(J22&lt;&gt;"",AP22=0),1,0)</f>
        <v/>
      </c>
      <c r="AR22">
        <f>IF(AND(AQ22=1,F22="男"),COUNTIFS($AQ$2:AQ22,1,$F$2:F22,"男"),"")</f>
        <v/>
      </c>
      <c r="AS22">
        <f>IF(AND(AQ22=1,F22="女"),COUNTIFS($AQ$2:AQ22,1,$F$2:F22,"女"),"")</f>
        <v/>
      </c>
      <c r="BA22" t="n">
        <v>21</v>
      </c>
      <c r="BB22">
        <f>IF(BA22&gt;$Q$30,"",IF(BA22&lt;=$Q$28,$Q$26,$Q$27))</f>
        <v/>
      </c>
      <c r="BC22">
        <f>IF(BB22="","",IF(BA22&lt;=$Q$28,BA22,BA22-$Q$28))</f>
        <v/>
      </c>
      <c r="BD22">
        <f>IF(BB22="","",IF(BB22="男",$Q$13,$Q$14))</f>
        <v/>
      </c>
      <c r="BE22">
        <f>IF(BB22="","",IF(BD22&lt;=3,BD22-BC22+1,IF(BC22&lt;=INT((BD22-2)/2),2*BC22+2,IF(BC22&lt;=INT((BD22-2)/2)+INT((BD22-3)/2),(BD22-1+MOD(BD22,2))-2*(BC22-INT((BD22-2)/2)-1),3-(BC22-INT((BD22-2)/2)-INT((BD22-3)/2)-1)))))</f>
        <v/>
      </c>
      <c r="BG22">
        <f>SUMPRODUCT(COUNTIFS($AO$2:$AO$186,"男"&amp;手直し!$B$26:$F$26,$I$2:$I$186,"赤"))</f>
        <v/>
      </c>
      <c r="BH22">
        <f>SUMPRODUCT(COUNTIFS($AO$2:$AO$186,"男"&amp;手直し!$B$26:$F$26,$I$2:$I$186,"白"))</f>
        <v/>
      </c>
      <c r="BI22">
        <f>SUMPRODUCT(COUNTIFS($AO$2:$AO$186,"女"&amp;手直し!$G$26:$K$26,$I$2:$I$186,"赤"))</f>
        <v/>
      </c>
      <c r="BJ22">
        <f>SUMPRODUCT(COUNTIFS($AO$2:$AO$186,"女"&amp;手直し!$G$26:$K$26,$I$2:$I$186,"白"))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P23" t="inlineStr">
        <is>
          <t>男子同じ名前</t>
        </is>
      </c>
      <c r="Q23">
        <f>SUMPRODUCT(($F$2:$F$186="男")*($AO$2:$AO$186&lt;&gt;"")*(COUNTIF($AO$2:$AO$186,$AO$2:$AO$186)&gt;1))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  <c r="AO23">
        <f>IF(J23="","",F23&amp;D23)</f>
        <v/>
      </c>
      <c r="AP23">
        <f>IF(J23="","",IF(F23="男",COUNTIF(手直し!$B$6:$F$55,D23),COUNTIF(手直し!$G$6:$K$55,D23)))</f>
        <v/>
      </c>
      <c r="AQ23">
        <f>IF(AND(J23&lt;&gt;"",AP23=0),1,0)</f>
        <v/>
      </c>
      <c r="AR23">
        <f>IF(AND(AQ23=1,F23="男"),COUNTIFS($AQ$2:AQ23,1,$F$2:F23,"男"),"")</f>
        <v/>
      </c>
      <c r="AS23">
        <f>IF(AND(AQ23=1,F23="女"),COUNTIFS($AQ$2:AQ23,1,$F$2:F23,"女"),"")</f>
        <v/>
      </c>
      <c r="BA23" t="n">
        <v>22</v>
      </c>
      <c r="BB23">
        <f>IF(BA23&gt;$Q$30,"",IF(BA23&lt;=$Q$28,$Q$26,$Q$27))</f>
        <v/>
      </c>
      <c r="BC23">
        <f>IF(BB23="","",IF(BA23&lt;=$Q$28,BA23,BA23-$Q$28))</f>
        <v/>
      </c>
      <c r="BD23">
        <f>IF(BB23="","",IF(BB23="男",$Q$13,$Q$14))</f>
        <v/>
      </c>
      <c r="BE23">
        <f>IF(BB23="","",IF(BD23&lt;=3,BD23-BC23+1,IF(BC23&lt;=INT((BD23-2)/2),2*BC23+2,IF(BC23&lt;=INT((BD23-2)/2)+INT((BD23-3)/2),(BD23-1+MOD(BD23,2))-2*(BC23-INT((BD23-2)/2)-1),3-(BC23-INT((BD23-2)/2)-INT((BD23-3)/2)-1)))))</f>
        <v/>
      </c>
      <c r="BG23">
        <f>SUMPRODUCT(COUNTIFS($AO$2:$AO$186,"男"&amp;手直し!$B$27:$F$27,$I$2:$I$186,"赤"))</f>
        <v/>
      </c>
      <c r="BH23">
        <f>SUMPRODUCT(COUNTIFS($AO$2:$AO$186,"男"&amp;手直し!$B$27:$F$27,$I$2:$I$186,"白"))</f>
        <v/>
      </c>
      <c r="BI23">
        <f>SUMPRODUCT(COUNTIFS($AO$2:$AO$186,"女"&amp;手直し!$G$27:$K$27,$I$2:$I$186,"赤"))</f>
        <v/>
      </c>
      <c r="BJ23">
        <f>SUMPRODUCT(COUNTIFS($AO$2:$AO$186,"女"&amp;手直し!$G$27:$K$27,$I$2:$I$186,"白"))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P24" t="inlineStr">
        <is>
          <t>女子同じ名前</t>
        </is>
      </c>
      <c r="Q24">
        <f>SUMPRODUCT(($F$2:$F$186="女")*($AO$2:$AO$186&lt;&gt;"")*(COUNTIF($AO$2:$AO$186,$AO$2:$AO$186)&gt;1))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  <c r="AO24">
        <f>IF(J24="","",F24&amp;D24)</f>
        <v/>
      </c>
      <c r="AP24">
        <f>IF(J24="","",IF(F24="男",COUNTIF(手直し!$B$6:$F$55,D24),COUNTIF(手直し!$G$6:$K$55,D24)))</f>
        <v/>
      </c>
      <c r="AQ24">
        <f>IF(AND(J24&lt;&gt;"",AP24=0),1,0)</f>
        <v/>
      </c>
      <c r="AR24">
        <f>IF(AND(AQ24=1,F24="男"),COUNTIFS($AQ$2:AQ24,1,$F$2:F24,"男"),"")</f>
        <v/>
      </c>
      <c r="AS24">
        <f>IF(AND(AQ24=1,F24="女"),COUNTIFS($AQ$2:AQ24,1,$F$2:F24,"女"),"")</f>
        <v/>
      </c>
      <c r="BA24" t="n">
        <v>23</v>
      </c>
      <c r="BB24">
        <f>IF(BA24&gt;$Q$30,"",IF(BA24&lt;=$Q$28,$Q$26,$Q$27))</f>
        <v/>
      </c>
      <c r="BC24">
        <f>IF(BB24="","",IF(BA24&lt;=$Q$28,BA24,BA24-$Q$28))</f>
        <v/>
      </c>
      <c r="BD24">
        <f>IF(BB24="","",IF(BB24="男",$Q$13,$Q$14))</f>
        <v/>
      </c>
      <c r="BE24">
        <f>IF(BB24="","",IF(BD24&lt;=3,BD24-BC24+1,IF(BC24&lt;=INT((BD24-2)/2),2*BC24+2,IF(BC24&lt;=INT((BD24-2)/2)+INT((BD24-3)/2),(BD24-1+MOD(BD24,2))-2*(BC24-INT((BD24-2)/2)-1),3-(BC24-INT((BD24-2)/2)-INT((BD24-3)/2)-1)))))</f>
        <v/>
      </c>
      <c r="BG24">
        <f>SUMPRODUCT(COUNTIFS($AO$2:$AO$186,"男"&amp;手直し!$B$28:$F$28,$I$2:$I$186,"赤"))</f>
        <v/>
      </c>
      <c r="BH24">
        <f>SUMPRODUCT(COUNTIFS($AO$2:$AO$186,"男"&amp;手直し!$B$28:$F$28,$I$2:$I$186,"白"))</f>
        <v/>
      </c>
      <c r="BI24">
        <f>SUMPRODUCT(COUNTIFS($AO$2:$AO$186,"女"&amp;手直し!$G$28:$K$28,$I$2:$I$186,"赤"))</f>
        <v/>
      </c>
      <c r="BJ24">
        <f>SUMPRODUCT(COUNTIFS($AO$2:$AO$186,"女"&amp;手直し!$G$28:$K$28,$I$2:$I$186,"白"))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  <c r="AO25">
        <f>IF(J25="","",F25&amp;D25)</f>
        <v/>
      </c>
      <c r="AP25">
        <f>IF(J25="","",IF(F25="男",COUNTIF(手直し!$B$6:$F$55,D25),COUNTIF(手直し!$G$6:$K$55,D25)))</f>
        <v/>
      </c>
      <c r="AQ25">
        <f>IF(AND(J25&lt;&gt;"",AP25=0),1,0)</f>
        <v/>
      </c>
      <c r="AR25">
        <f>IF(AND(AQ25=1,F25="男"),COUNTIFS($AQ$2:AQ25,1,$F$2:F25,"男"),"")</f>
        <v/>
      </c>
      <c r="AS25">
        <f>IF(AND(AQ25=1,F25="女"),COUNTIFS($AQ$2:AQ25,1,$F$2:F25,"女"),"")</f>
        <v/>
      </c>
      <c r="BA25" t="n">
        <v>24</v>
      </c>
      <c r="BB25">
        <f>IF(BA25&gt;$Q$30,"",IF(BA25&lt;=$Q$28,$Q$26,$Q$27))</f>
        <v/>
      </c>
      <c r="BC25">
        <f>IF(BB25="","",IF(BA25&lt;=$Q$28,BA25,BA25-$Q$28))</f>
        <v/>
      </c>
      <c r="BD25">
        <f>IF(BB25="","",IF(BB25="男",$Q$13,$Q$14))</f>
        <v/>
      </c>
      <c r="BE25">
        <f>IF(BB25="","",IF(BD25&lt;=3,BD25-BC25+1,IF(BC25&lt;=INT((BD25-2)/2),2*BC25+2,IF(BC25&lt;=INT((BD25-2)/2)+INT((BD25-3)/2),(BD25-1+MOD(BD25,2))-2*(BC25-INT((BD25-2)/2)-1),3-(BC25-INT((BD25-2)/2)-INT((BD25-3)/2)-1)))))</f>
        <v/>
      </c>
      <c r="BG25">
        <f>SUMPRODUCT(COUNTIFS($AO$2:$AO$186,"男"&amp;手直し!$B$29:$F$29,$I$2:$I$186,"赤"))</f>
        <v/>
      </c>
      <c r="BH25">
        <f>SUMPRODUCT(COUNTIFS($AO$2:$AO$186,"男"&amp;手直し!$B$29:$F$29,$I$2:$I$186,"白"))</f>
        <v/>
      </c>
      <c r="BI25">
        <f>SUMPRODUCT(COUNTIFS($AO$2:$AO$186,"女"&amp;手直し!$G$29:$K$29,$I$2:$I$186,"赤"))</f>
        <v/>
      </c>
      <c r="BJ25">
        <f>SUMPRODUCT(COUNTIFS($AO$2:$AO$186,"女"&amp;手直し!$G$29:$K$29,$I$2:$I$186,"白"))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P26" t="inlineStr">
        <is>
          <t>先に走る</t>
        </is>
      </c>
      <c r="Q26">
        <f>IF(走順!$C$2="女子","女","男")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  <c r="AO26">
        <f>IF(J26="","",F26&amp;D26)</f>
        <v/>
      </c>
      <c r="AP26">
        <f>IF(J26="","",IF(F26="男",COUNTIF(手直し!$B$6:$F$55,D26),COUNTIF(手直し!$G$6:$K$55,D26)))</f>
        <v/>
      </c>
      <c r="AQ26">
        <f>IF(AND(J26&lt;&gt;"",AP26=0),1,0)</f>
        <v/>
      </c>
      <c r="AR26">
        <f>IF(AND(AQ26=1,F26="男"),COUNTIFS($AQ$2:AQ26,1,$F$2:F26,"男"),"")</f>
        <v/>
      </c>
      <c r="AS26">
        <f>IF(AND(AQ26=1,F26="女"),COUNTIFS($AQ$2:AQ26,1,$F$2:F26,"女"),"")</f>
        <v/>
      </c>
      <c r="BA26" t="n">
        <v>25</v>
      </c>
      <c r="BB26">
        <f>IF(BA26&gt;$Q$30,"",IF(BA26&lt;=$Q$28,$Q$26,$Q$27))</f>
        <v/>
      </c>
      <c r="BC26">
        <f>IF(BB26="","",IF(BA26&lt;=$Q$28,BA26,BA26-$Q$28))</f>
        <v/>
      </c>
      <c r="BD26">
        <f>IF(BB26="","",IF(BB26="男",$Q$13,$Q$14))</f>
        <v/>
      </c>
      <c r="BE26">
        <f>IF(BB26="","",IF(BD26&lt;=3,BD26-BC26+1,IF(BC26&lt;=INT((BD26-2)/2),2*BC26+2,IF(BC26&lt;=INT((BD26-2)/2)+INT((BD26-3)/2),(BD26-1+MOD(BD26,2))-2*(BC26-INT((BD26-2)/2)-1),3-(BC26-INT((BD26-2)/2)-INT((BD26-3)/2)-1)))))</f>
        <v/>
      </c>
      <c r="BG26">
        <f>SUMPRODUCT(COUNTIFS($AO$2:$AO$186,"男"&amp;手直し!$B$30:$F$30,$I$2:$I$186,"赤"))</f>
        <v/>
      </c>
      <c r="BH26">
        <f>SUMPRODUCT(COUNTIFS($AO$2:$AO$186,"男"&amp;手直し!$B$30:$F$30,$I$2:$I$186,"白"))</f>
        <v/>
      </c>
      <c r="BI26">
        <f>SUMPRODUCT(COUNTIFS($AO$2:$AO$186,"女"&amp;手直し!$G$30:$K$30,$I$2:$I$186,"赤"))</f>
        <v/>
      </c>
      <c r="BJ26">
        <f>SUMPRODUCT(COUNTIFS($AO$2:$AO$186,"女"&amp;手直し!$G$30:$K$30,$I$2:$I$186,"白"))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P27" t="inlineStr">
        <is>
          <t>後に走る</t>
        </is>
      </c>
      <c r="Q27">
        <f>IF(Q26="男","女","男")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  <c r="AO27">
        <f>IF(J27="","",F27&amp;D27)</f>
        <v/>
      </c>
      <c r="AP27">
        <f>IF(J27="","",IF(F27="男",COUNTIF(手直し!$B$6:$F$55,D27),COUNTIF(手直し!$G$6:$K$55,D27)))</f>
        <v/>
      </c>
      <c r="AQ27">
        <f>IF(AND(J27&lt;&gt;"",AP27=0),1,0)</f>
        <v/>
      </c>
      <c r="AR27">
        <f>IF(AND(AQ27=1,F27="男"),COUNTIFS($AQ$2:AQ27,1,$F$2:F27,"男"),"")</f>
        <v/>
      </c>
      <c r="AS27">
        <f>IF(AND(AQ27=1,F27="女"),COUNTIFS($AQ$2:AQ27,1,$F$2:F27,"女"),"")</f>
        <v/>
      </c>
      <c r="BA27" t="n">
        <v>26</v>
      </c>
      <c r="BB27">
        <f>IF(BA27&gt;$Q$30,"",IF(BA27&lt;=$Q$28,$Q$26,$Q$27))</f>
        <v/>
      </c>
      <c r="BC27">
        <f>IF(BB27="","",IF(BA27&lt;=$Q$28,BA27,BA27-$Q$28))</f>
        <v/>
      </c>
      <c r="BD27">
        <f>IF(BB27="","",IF(BB27="男",$Q$13,$Q$14))</f>
        <v/>
      </c>
      <c r="BE27">
        <f>IF(BB27="","",IF(BD27&lt;=3,BD27-BC27+1,IF(BC27&lt;=INT((BD27-2)/2),2*BC27+2,IF(BC27&lt;=INT((BD27-2)/2)+INT((BD27-3)/2),(BD27-1+MOD(BD27,2))-2*(BC27-INT((BD27-2)/2)-1),3-(BC27-INT((BD27-2)/2)-INT((BD27-3)/2)-1)))))</f>
        <v/>
      </c>
      <c r="BG27">
        <f>SUMPRODUCT(COUNTIFS($AO$2:$AO$186,"男"&amp;手直し!$B$31:$F$31,$I$2:$I$186,"赤"))</f>
        <v/>
      </c>
      <c r="BH27">
        <f>SUMPRODUCT(COUNTIFS($AO$2:$AO$186,"男"&amp;手直し!$B$31:$F$31,$I$2:$I$186,"白"))</f>
        <v/>
      </c>
      <c r="BI27">
        <f>SUMPRODUCT(COUNTIFS($AO$2:$AO$186,"女"&amp;手直し!$G$31:$K$31,$I$2:$I$186,"赤"))</f>
        <v/>
      </c>
      <c r="BJ27">
        <f>SUMPRODUCT(COUNTIFS($AO$2:$AO$186,"女"&amp;手直し!$G$31:$K$31,$I$2:$I$186,"白"))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P28" t="inlineStr">
        <is>
          <t>先の組数</t>
        </is>
      </c>
      <c r="Q28">
        <f>IF(Q26="男",$Q$13,$Q$14)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  <c r="AO28">
        <f>IF(J28="","",F28&amp;D28)</f>
        <v/>
      </c>
      <c r="AP28">
        <f>IF(J28="","",IF(F28="男",COUNTIF(手直し!$B$6:$F$55,D28),COUNTIF(手直し!$G$6:$K$55,D28)))</f>
        <v/>
      </c>
      <c r="AQ28">
        <f>IF(AND(J28&lt;&gt;"",AP28=0),1,0)</f>
        <v/>
      </c>
      <c r="AR28">
        <f>IF(AND(AQ28=1,F28="男"),COUNTIFS($AQ$2:AQ28,1,$F$2:F28,"男"),"")</f>
        <v/>
      </c>
      <c r="AS28">
        <f>IF(AND(AQ28=1,F28="女"),COUNTIFS($AQ$2:AQ28,1,$F$2:F28,"女"),"")</f>
        <v/>
      </c>
      <c r="BA28" t="n">
        <v>27</v>
      </c>
      <c r="BB28">
        <f>IF(BA28&gt;$Q$30,"",IF(BA28&lt;=$Q$28,$Q$26,$Q$27))</f>
        <v/>
      </c>
      <c r="BC28">
        <f>IF(BB28="","",IF(BA28&lt;=$Q$28,BA28,BA28-$Q$28))</f>
        <v/>
      </c>
      <c r="BD28">
        <f>IF(BB28="","",IF(BB28="男",$Q$13,$Q$14))</f>
        <v/>
      </c>
      <c r="BE28">
        <f>IF(BB28="","",IF(BD28&lt;=3,BD28-BC28+1,IF(BC28&lt;=INT((BD28-2)/2),2*BC28+2,IF(BC28&lt;=INT((BD28-2)/2)+INT((BD28-3)/2),(BD28-1+MOD(BD28,2))-2*(BC28-INT((BD28-2)/2)-1),3-(BC28-INT((BD28-2)/2)-INT((BD28-3)/2)-1)))))</f>
        <v/>
      </c>
      <c r="BG28">
        <f>SUMPRODUCT(COUNTIFS($AO$2:$AO$186,"男"&amp;手直し!$B$32:$F$32,$I$2:$I$186,"赤"))</f>
        <v/>
      </c>
      <c r="BH28">
        <f>SUMPRODUCT(COUNTIFS($AO$2:$AO$186,"男"&amp;手直し!$B$32:$F$32,$I$2:$I$186,"白"))</f>
        <v/>
      </c>
      <c r="BI28">
        <f>SUMPRODUCT(COUNTIFS($AO$2:$AO$186,"女"&amp;手直し!$G$32:$K$32,$I$2:$I$186,"赤"))</f>
        <v/>
      </c>
      <c r="BJ28">
        <f>SUMPRODUCT(COUNTIFS($AO$2:$AO$186,"女"&amp;手直し!$G$32:$K$32,$I$2:$I$186,"白"))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P29" t="inlineStr">
        <is>
          <t>後の組数</t>
        </is>
      </c>
      <c r="Q29">
        <f>IF(Q27="男",$Q$13,$Q$14)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  <c r="AO29">
        <f>IF(J29="","",F29&amp;D29)</f>
        <v/>
      </c>
      <c r="AP29">
        <f>IF(J29="","",IF(F29="男",COUNTIF(手直し!$B$6:$F$55,D29),COUNTIF(手直し!$G$6:$K$55,D29)))</f>
        <v/>
      </c>
      <c r="AQ29">
        <f>IF(AND(J29&lt;&gt;"",AP29=0),1,0)</f>
        <v/>
      </c>
      <c r="AR29">
        <f>IF(AND(AQ29=1,F29="男"),COUNTIFS($AQ$2:AQ29,1,$F$2:F29,"男"),"")</f>
        <v/>
      </c>
      <c r="AS29">
        <f>IF(AND(AQ29=1,F29="女"),COUNTIFS($AQ$2:AQ29,1,$F$2:F29,"女"),"")</f>
        <v/>
      </c>
      <c r="BA29" t="n">
        <v>28</v>
      </c>
      <c r="BB29">
        <f>IF(BA29&gt;$Q$30,"",IF(BA29&lt;=$Q$28,$Q$26,$Q$27))</f>
        <v/>
      </c>
      <c r="BC29">
        <f>IF(BB29="","",IF(BA29&lt;=$Q$28,BA29,BA29-$Q$28))</f>
        <v/>
      </c>
      <c r="BD29">
        <f>IF(BB29="","",IF(BB29="男",$Q$13,$Q$14))</f>
        <v/>
      </c>
      <c r="BE29">
        <f>IF(BB29="","",IF(BD29&lt;=3,BD29-BC29+1,IF(BC29&lt;=INT((BD29-2)/2),2*BC29+2,IF(BC29&lt;=INT((BD29-2)/2)+INT((BD29-3)/2),(BD29-1+MOD(BD29,2))-2*(BC29-INT((BD29-2)/2)-1),3-(BC29-INT((BD29-2)/2)-INT((BD29-3)/2)-1)))))</f>
        <v/>
      </c>
      <c r="BG29">
        <f>SUMPRODUCT(COUNTIFS($AO$2:$AO$186,"男"&amp;手直し!$B$33:$F$33,$I$2:$I$186,"赤"))</f>
        <v/>
      </c>
      <c r="BH29">
        <f>SUMPRODUCT(COUNTIFS($AO$2:$AO$186,"男"&amp;手直し!$B$33:$F$33,$I$2:$I$186,"白"))</f>
        <v/>
      </c>
      <c r="BI29">
        <f>SUMPRODUCT(COUNTIFS($AO$2:$AO$186,"女"&amp;手直し!$G$33:$K$33,$I$2:$I$186,"赤"))</f>
        <v/>
      </c>
      <c r="BJ29">
        <f>SUMPRODUCT(COUNTIFS($AO$2:$AO$186,"女"&amp;手直し!$G$33:$K$33,$I$2:$I$186,"白"))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P30" t="inlineStr">
        <is>
          <t>レース数</t>
        </is>
      </c>
      <c r="Q30">
        <f>Q28+Q29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  <c r="AO30">
        <f>IF(J30="","",F30&amp;D30)</f>
        <v/>
      </c>
      <c r="AP30">
        <f>IF(J30="","",IF(F30="男",COUNTIF(手直し!$B$6:$F$55,D30),COUNTIF(手直し!$G$6:$K$55,D30)))</f>
        <v/>
      </c>
      <c r="AQ30">
        <f>IF(AND(J30&lt;&gt;"",AP30=0),1,0)</f>
        <v/>
      </c>
      <c r="AR30">
        <f>IF(AND(AQ30=1,F30="男"),COUNTIFS($AQ$2:AQ30,1,$F$2:F30,"男"),"")</f>
        <v/>
      </c>
      <c r="AS30">
        <f>IF(AND(AQ30=1,F30="女"),COUNTIFS($AQ$2:AQ30,1,$F$2:F30,"女"),"")</f>
        <v/>
      </c>
      <c r="BA30" t="n">
        <v>29</v>
      </c>
      <c r="BB30">
        <f>IF(BA30&gt;$Q$30,"",IF(BA30&lt;=$Q$28,$Q$26,$Q$27))</f>
        <v/>
      </c>
      <c r="BC30">
        <f>IF(BB30="","",IF(BA30&lt;=$Q$28,BA30,BA30-$Q$28))</f>
        <v/>
      </c>
      <c r="BD30">
        <f>IF(BB30="","",IF(BB30="男",$Q$13,$Q$14))</f>
        <v/>
      </c>
      <c r="BE30">
        <f>IF(BB30="","",IF(BD30&lt;=3,BD30-BC30+1,IF(BC30&lt;=INT((BD30-2)/2),2*BC30+2,IF(BC30&lt;=INT((BD30-2)/2)+INT((BD30-3)/2),(BD30-1+MOD(BD30,2))-2*(BC30-INT((BD30-2)/2)-1),3-(BC30-INT((BD30-2)/2)-INT((BD30-3)/2)-1)))))</f>
        <v/>
      </c>
      <c r="BG30">
        <f>SUMPRODUCT(COUNTIFS($AO$2:$AO$186,"男"&amp;手直し!$B$34:$F$34,$I$2:$I$186,"赤"))</f>
        <v/>
      </c>
      <c r="BH30">
        <f>SUMPRODUCT(COUNTIFS($AO$2:$AO$186,"男"&amp;手直し!$B$34:$F$34,$I$2:$I$186,"白"))</f>
        <v/>
      </c>
      <c r="BI30">
        <f>SUMPRODUCT(COUNTIFS($AO$2:$AO$186,"女"&amp;手直し!$G$34:$K$34,$I$2:$I$186,"赤"))</f>
        <v/>
      </c>
      <c r="BJ30">
        <f>SUMPRODUCT(COUNTIFS($AO$2:$AO$186,"女"&amp;手直し!$G$34:$K$34,$I$2:$I$186,"白"))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  <c r="AO31">
        <f>IF(J31="","",F31&amp;D31)</f>
        <v/>
      </c>
      <c r="AP31">
        <f>IF(J31="","",IF(F31="男",COUNTIF(手直し!$B$6:$F$55,D31),COUNTIF(手直し!$G$6:$K$55,D31)))</f>
        <v/>
      </c>
      <c r="AQ31">
        <f>IF(AND(J31&lt;&gt;"",AP31=0),1,0)</f>
        <v/>
      </c>
      <c r="AR31">
        <f>IF(AND(AQ31=1,F31="男"),COUNTIFS($AQ$2:AQ31,1,$F$2:F31,"男"),"")</f>
        <v/>
      </c>
      <c r="AS31">
        <f>IF(AND(AQ31=1,F31="女"),COUNTIFS($AQ$2:AQ31,1,$F$2:F31,"女"),"")</f>
        <v/>
      </c>
      <c r="BA31" t="n">
        <v>30</v>
      </c>
      <c r="BB31">
        <f>IF(BA31&gt;$Q$30,"",IF(BA31&lt;=$Q$28,$Q$26,$Q$27))</f>
        <v/>
      </c>
      <c r="BC31">
        <f>IF(BB31="","",IF(BA31&lt;=$Q$28,BA31,BA31-$Q$28))</f>
        <v/>
      </c>
      <c r="BD31">
        <f>IF(BB31="","",IF(BB31="男",$Q$13,$Q$14))</f>
        <v/>
      </c>
      <c r="BE31">
        <f>IF(BB31="","",IF(BD31&lt;=3,BD31-BC31+1,IF(BC31&lt;=INT((BD31-2)/2),2*BC31+2,IF(BC31&lt;=INT((BD31-2)/2)+INT((BD31-3)/2),(BD31-1+MOD(BD31,2))-2*(BC31-INT((BD31-2)/2)-1),3-(BC31-INT((BD31-2)/2)-INT((BD31-3)/2)-1)))))</f>
        <v/>
      </c>
      <c r="BG31">
        <f>SUMPRODUCT(COUNTIFS($AO$2:$AO$186,"男"&amp;手直し!$B$35:$F$35,$I$2:$I$186,"赤"))</f>
        <v/>
      </c>
      <c r="BH31">
        <f>SUMPRODUCT(COUNTIFS($AO$2:$AO$186,"男"&amp;手直し!$B$35:$F$35,$I$2:$I$186,"白"))</f>
        <v/>
      </c>
      <c r="BI31">
        <f>SUMPRODUCT(COUNTIFS($AO$2:$AO$186,"女"&amp;手直し!$G$35:$K$35,$I$2:$I$186,"赤"))</f>
        <v/>
      </c>
      <c r="BJ31">
        <f>SUMPRODUCT(COUNTIFS($AO$2:$AO$186,"女"&amp;手直し!$G$35:$K$35,$I$2:$I$186,"白"))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P32" t="inlineStr">
        <is>
          <t>男子の1組の人数</t>
        </is>
      </c>
      <c r="Q32">
        <f>IF(①データ入力!$C$1=5,5,4)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  <c r="AO32">
        <f>IF(J32="","",F32&amp;D32)</f>
        <v/>
      </c>
      <c r="AP32">
        <f>IF(J32="","",IF(F32="男",COUNTIF(手直し!$B$6:$F$55,D32),COUNTIF(手直し!$G$6:$K$55,D32)))</f>
        <v/>
      </c>
      <c r="AQ32">
        <f>IF(AND(J32&lt;&gt;"",AP32=0),1,0)</f>
        <v/>
      </c>
      <c r="AR32">
        <f>IF(AND(AQ32=1,F32="男"),COUNTIFS($AQ$2:AQ32,1,$F$2:F32,"男"),"")</f>
        <v/>
      </c>
      <c r="AS32">
        <f>IF(AND(AQ32=1,F32="女"),COUNTIFS($AQ$2:AQ32,1,$F$2:F32,"女"),"")</f>
        <v/>
      </c>
      <c r="BA32" t="n">
        <v>31</v>
      </c>
      <c r="BB32">
        <f>IF(BA32&gt;$Q$30,"",IF(BA32&lt;=$Q$28,$Q$26,$Q$27))</f>
        <v/>
      </c>
      <c r="BC32">
        <f>IF(BB32="","",IF(BA32&lt;=$Q$28,BA32,BA32-$Q$28))</f>
        <v/>
      </c>
      <c r="BD32">
        <f>IF(BB32="","",IF(BB32="男",$Q$13,$Q$14))</f>
        <v/>
      </c>
      <c r="BE32">
        <f>IF(BB32="","",IF(BD32&lt;=3,BD32-BC32+1,IF(BC32&lt;=INT((BD32-2)/2),2*BC32+2,IF(BC32&lt;=INT((BD32-2)/2)+INT((BD32-3)/2),(BD32-1+MOD(BD32,2))-2*(BC32-INT((BD32-2)/2)-1),3-(BC32-INT((BD32-2)/2)-INT((BD32-3)/2)-1)))))</f>
        <v/>
      </c>
      <c r="BG32">
        <f>SUMPRODUCT(COUNTIFS($AO$2:$AO$186,"男"&amp;手直し!$B$36:$F$36,$I$2:$I$186,"赤"))</f>
        <v/>
      </c>
      <c r="BH32">
        <f>SUMPRODUCT(COUNTIFS($AO$2:$AO$186,"男"&amp;手直し!$B$36:$F$36,$I$2:$I$186,"白"))</f>
        <v/>
      </c>
      <c r="BI32">
        <f>SUMPRODUCT(COUNTIFS($AO$2:$AO$186,"女"&amp;手直し!$G$36:$K$36,$I$2:$I$186,"赤"))</f>
        <v/>
      </c>
      <c r="BJ32">
        <f>SUMPRODUCT(COUNTIFS($AO$2:$AO$186,"女"&amp;手直し!$G$36:$K$36,$I$2:$I$186,"白"))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P33" t="inlineStr">
        <is>
          <t>女子の1組の人数</t>
        </is>
      </c>
      <c r="Q33">
        <f>IF(①データ入力!$E$1=5,5,4)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  <c r="AO33">
        <f>IF(J33="","",F33&amp;D33)</f>
        <v/>
      </c>
      <c r="AP33">
        <f>IF(J33="","",IF(F33="男",COUNTIF(手直し!$B$6:$F$55,D33),COUNTIF(手直し!$G$6:$K$55,D33)))</f>
        <v/>
      </c>
      <c r="AQ33">
        <f>IF(AND(J33&lt;&gt;"",AP33=0),1,0)</f>
        <v/>
      </c>
      <c r="AR33">
        <f>IF(AND(AQ33=1,F33="男"),COUNTIFS($AQ$2:AQ33,1,$F$2:F33,"男"),"")</f>
        <v/>
      </c>
      <c r="AS33">
        <f>IF(AND(AQ33=1,F33="女"),COUNTIFS($AQ$2:AQ33,1,$F$2:F33,"女"),"")</f>
        <v/>
      </c>
      <c r="BA33" t="n">
        <v>32</v>
      </c>
      <c r="BB33">
        <f>IF(BA33&gt;$Q$30,"",IF(BA33&lt;=$Q$28,$Q$26,$Q$27))</f>
        <v/>
      </c>
      <c r="BC33">
        <f>IF(BB33="","",IF(BA33&lt;=$Q$28,BA33,BA33-$Q$28))</f>
        <v/>
      </c>
      <c r="BD33">
        <f>IF(BB33="","",IF(BB33="男",$Q$13,$Q$14))</f>
        <v/>
      </c>
      <c r="BE33">
        <f>IF(BB33="","",IF(BD33&lt;=3,BD33-BC33+1,IF(BC33&lt;=INT((BD33-2)/2),2*BC33+2,IF(BC33&lt;=INT((BD33-2)/2)+INT((BD33-3)/2),(BD33-1+MOD(BD33,2))-2*(BC33-INT((BD33-2)/2)-1),3-(BC33-INT((BD33-2)/2)-INT((BD33-3)/2)-1)))))</f>
        <v/>
      </c>
      <c r="BG33">
        <f>SUMPRODUCT(COUNTIFS($AO$2:$AO$186,"男"&amp;手直し!$B$37:$F$37,$I$2:$I$186,"赤"))</f>
        <v/>
      </c>
      <c r="BH33">
        <f>SUMPRODUCT(COUNTIFS($AO$2:$AO$186,"男"&amp;手直し!$B$37:$F$37,$I$2:$I$186,"白"))</f>
        <v/>
      </c>
      <c r="BI33">
        <f>SUMPRODUCT(COUNTIFS($AO$2:$AO$186,"女"&amp;手直し!$G$37:$K$37,$I$2:$I$186,"赤"))</f>
        <v/>
      </c>
      <c r="BJ33">
        <f>SUMPRODUCT(COUNTIFS($AO$2:$AO$186,"女"&amp;手直し!$G$37:$K$37,$I$2:$I$186,"白"))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P34" t="inlineStr">
        <is>
          <t>1組の人数の多い方</t>
        </is>
      </c>
      <c r="Q34">
        <f>MAX(Q32,Q33)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  <c r="AO34">
        <f>IF(J34="","",F34&amp;D34)</f>
        <v/>
      </c>
      <c r="AP34">
        <f>IF(J34="","",IF(F34="男",COUNTIF(手直し!$B$6:$F$55,D34),COUNTIF(手直し!$G$6:$K$55,D34)))</f>
        <v/>
      </c>
      <c r="AQ34">
        <f>IF(AND(J34&lt;&gt;"",AP34=0),1,0)</f>
        <v/>
      </c>
      <c r="AR34">
        <f>IF(AND(AQ34=1,F34="男"),COUNTIFS($AQ$2:AQ34,1,$F$2:F34,"男"),"")</f>
        <v/>
      </c>
      <c r="AS34">
        <f>IF(AND(AQ34=1,F34="女"),COUNTIFS($AQ$2:AQ34,1,$F$2:F34,"女"),"")</f>
        <v/>
      </c>
      <c r="BA34" t="n">
        <v>33</v>
      </c>
      <c r="BB34">
        <f>IF(BA34&gt;$Q$30,"",IF(BA34&lt;=$Q$28,$Q$26,$Q$27))</f>
        <v/>
      </c>
      <c r="BC34">
        <f>IF(BB34="","",IF(BA34&lt;=$Q$28,BA34,BA34-$Q$28))</f>
        <v/>
      </c>
      <c r="BD34">
        <f>IF(BB34="","",IF(BB34="男",$Q$13,$Q$14))</f>
        <v/>
      </c>
      <c r="BE34">
        <f>IF(BB34="","",IF(BD34&lt;=3,BD34-BC34+1,IF(BC34&lt;=INT((BD34-2)/2),2*BC34+2,IF(BC34&lt;=INT((BD34-2)/2)+INT((BD34-3)/2),(BD34-1+MOD(BD34,2))-2*(BC34-INT((BD34-2)/2)-1),3-(BC34-INT((BD34-2)/2)-INT((BD34-3)/2)-1)))))</f>
        <v/>
      </c>
      <c r="BG34">
        <f>SUMPRODUCT(COUNTIFS($AO$2:$AO$186,"男"&amp;手直し!$B$38:$F$38,$I$2:$I$186,"赤"))</f>
        <v/>
      </c>
      <c r="BH34">
        <f>SUMPRODUCT(COUNTIFS($AO$2:$AO$186,"男"&amp;手直し!$B$38:$F$38,$I$2:$I$186,"白"))</f>
        <v/>
      </c>
      <c r="BI34">
        <f>SUMPRODUCT(COUNTIFS($AO$2:$AO$186,"女"&amp;手直し!$G$38:$K$38,$I$2:$I$186,"赤"))</f>
        <v/>
      </c>
      <c r="BJ34">
        <f>SUMPRODUCT(COUNTIFS($AO$2:$AO$186,"女"&amp;手直し!$G$38:$K$38,$I$2:$I$186,"白"))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  <c r="AO35">
        <f>IF(J35="","",F35&amp;D35)</f>
        <v/>
      </c>
      <c r="AP35">
        <f>IF(J35="","",IF(F35="男",COUNTIF(手直し!$B$6:$F$55,D35),COUNTIF(手直し!$G$6:$K$55,D35)))</f>
        <v/>
      </c>
      <c r="AQ35">
        <f>IF(AND(J35&lt;&gt;"",AP35=0),1,0)</f>
        <v/>
      </c>
      <c r="AR35">
        <f>IF(AND(AQ35=1,F35="男"),COUNTIFS($AQ$2:AQ35,1,$F$2:F35,"男"),"")</f>
        <v/>
      </c>
      <c r="AS35">
        <f>IF(AND(AQ35=1,F35="女"),COUNTIFS($AQ$2:AQ35,1,$F$2:F35,"女"),"")</f>
        <v/>
      </c>
      <c r="BA35" t="n">
        <v>34</v>
      </c>
      <c r="BB35">
        <f>IF(BA35&gt;$Q$30,"",IF(BA35&lt;=$Q$28,$Q$26,$Q$27))</f>
        <v/>
      </c>
      <c r="BC35">
        <f>IF(BB35="","",IF(BA35&lt;=$Q$28,BA35,BA35-$Q$28))</f>
        <v/>
      </c>
      <c r="BD35">
        <f>IF(BB35="","",IF(BB35="男",$Q$13,$Q$14))</f>
        <v/>
      </c>
      <c r="BE35">
        <f>IF(BB35="","",IF(BD35&lt;=3,BD35-BC35+1,IF(BC35&lt;=INT((BD35-2)/2),2*BC35+2,IF(BC35&lt;=INT((BD35-2)/2)+INT((BD35-3)/2),(BD35-1+MOD(BD35,2))-2*(BC35-INT((BD35-2)/2)-1),3-(BC35-INT((BD35-2)/2)-INT((BD35-3)/2)-1)))))</f>
        <v/>
      </c>
      <c r="BG35">
        <f>SUMPRODUCT(COUNTIFS($AO$2:$AO$186,"男"&amp;手直し!$B$39:$F$39,$I$2:$I$186,"赤"))</f>
        <v/>
      </c>
      <c r="BH35">
        <f>SUMPRODUCT(COUNTIFS($AO$2:$AO$186,"男"&amp;手直し!$B$39:$F$39,$I$2:$I$186,"白"))</f>
        <v/>
      </c>
      <c r="BI35">
        <f>SUMPRODUCT(COUNTIFS($AO$2:$AO$186,"女"&amp;手直し!$G$39:$K$39,$I$2:$I$186,"赤"))</f>
        <v/>
      </c>
      <c r="BJ35">
        <f>SUMPRODUCT(COUNTIFS($AO$2:$AO$186,"女"&amp;手直し!$G$39:$K$39,$I$2:$I$186,"白"))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  <c r="AO36">
        <f>IF(J36="","",F36&amp;D36)</f>
        <v/>
      </c>
      <c r="AP36">
        <f>IF(J36="","",IF(F36="男",COUNTIF(手直し!$B$6:$F$55,D36),COUNTIF(手直し!$G$6:$K$55,D36)))</f>
        <v/>
      </c>
      <c r="AQ36">
        <f>IF(AND(J36&lt;&gt;"",AP36=0),1,0)</f>
        <v/>
      </c>
      <c r="AR36">
        <f>IF(AND(AQ36=1,F36="男"),COUNTIFS($AQ$2:AQ36,1,$F$2:F36,"男"),"")</f>
        <v/>
      </c>
      <c r="AS36">
        <f>IF(AND(AQ36=1,F36="女"),COUNTIFS($AQ$2:AQ36,1,$F$2:F36,"女"),"")</f>
        <v/>
      </c>
      <c r="BA36" t="n">
        <v>35</v>
      </c>
      <c r="BB36">
        <f>IF(BA36&gt;$Q$30,"",IF(BA36&lt;=$Q$28,$Q$26,$Q$27))</f>
        <v/>
      </c>
      <c r="BC36">
        <f>IF(BB36="","",IF(BA36&lt;=$Q$28,BA36,BA36-$Q$28))</f>
        <v/>
      </c>
      <c r="BD36">
        <f>IF(BB36="","",IF(BB36="男",$Q$13,$Q$14))</f>
        <v/>
      </c>
      <c r="BE36">
        <f>IF(BB36="","",IF(BD36&lt;=3,BD36-BC36+1,IF(BC36&lt;=INT((BD36-2)/2),2*BC36+2,IF(BC36&lt;=INT((BD36-2)/2)+INT((BD36-3)/2),(BD36-1+MOD(BD36,2))-2*(BC36-INT((BD36-2)/2)-1),3-(BC36-INT((BD36-2)/2)-INT((BD36-3)/2)-1)))))</f>
        <v/>
      </c>
      <c r="BG36">
        <f>SUMPRODUCT(COUNTIFS($AO$2:$AO$186,"男"&amp;手直し!$B$40:$F$40,$I$2:$I$186,"赤"))</f>
        <v/>
      </c>
      <c r="BH36">
        <f>SUMPRODUCT(COUNTIFS($AO$2:$AO$186,"男"&amp;手直し!$B$40:$F$40,$I$2:$I$186,"白"))</f>
        <v/>
      </c>
      <c r="BI36">
        <f>SUMPRODUCT(COUNTIFS($AO$2:$AO$186,"女"&amp;手直し!$G$40:$K$40,$I$2:$I$186,"赤"))</f>
        <v/>
      </c>
      <c r="BJ36">
        <f>SUMPRODUCT(COUNTIFS($AO$2:$AO$186,"女"&amp;手直し!$G$40:$K$40,$I$2:$I$186,"白"))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  <c r="AO37">
        <f>IF(J37="","",F37&amp;D37)</f>
        <v/>
      </c>
      <c r="AP37">
        <f>IF(J37="","",IF(F37="男",COUNTIF(手直し!$B$6:$F$55,D37),COUNTIF(手直し!$G$6:$K$55,D37)))</f>
        <v/>
      </c>
      <c r="AQ37">
        <f>IF(AND(J37&lt;&gt;"",AP37=0),1,0)</f>
        <v/>
      </c>
      <c r="AR37">
        <f>IF(AND(AQ37=1,F37="男"),COUNTIFS($AQ$2:AQ37,1,$F$2:F37,"男"),"")</f>
        <v/>
      </c>
      <c r="AS37">
        <f>IF(AND(AQ37=1,F37="女"),COUNTIFS($AQ$2:AQ37,1,$F$2:F37,"女"),"")</f>
        <v/>
      </c>
      <c r="BA37" t="n">
        <v>36</v>
      </c>
      <c r="BB37">
        <f>IF(BA37&gt;$Q$30,"",IF(BA37&lt;=$Q$28,$Q$26,$Q$27))</f>
        <v/>
      </c>
      <c r="BC37">
        <f>IF(BB37="","",IF(BA37&lt;=$Q$28,BA37,BA37-$Q$28))</f>
        <v/>
      </c>
      <c r="BD37">
        <f>IF(BB37="","",IF(BB37="男",$Q$13,$Q$14))</f>
        <v/>
      </c>
      <c r="BE37">
        <f>IF(BB37="","",IF(BD37&lt;=3,BD37-BC37+1,IF(BC37&lt;=INT((BD37-2)/2),2*BC37+2,IF(BC37&lt;=INT((BD37-2)/2)+INT((BD37-3)/2),(BD37-1+MOD(BD37,2))-2*(BC37-INT((BD37-2)/2)-1),3-(BC37-INT((BD37-2)/2)-INT((BD37-3)/2)-1)))))</f>
        <v/>
      </c>
      <c r="BG37">
        <f>SUMPRODUCT(COUNTIFS($AO$2:$AO$186,"男"&amp;手直し!$B$41:$F$41,$I$2:$I$186,"赤"))</f>
        <v/>
      </c>
      <c r="BH37">
        <f>SUMPRODUCT(COUNTIFS($AO$2:$AO$186,"男"&amp;手直し!$B$41:$F$41,$I$2:$I$186,"白"))</f>
        <v/>
      </c>
      <c r="BI37">
        <f>SUMPRODUCT(COUNTIFS($AO$2:$AO$186,"女"&amp;手直し!$G$41:$K$41,$I$2:$I$186,"赤"))</f>
        <v/>
      </c>
      <c r="BJ37">
        <f>SUMPRODUCT(COUNTIFS($AO$2:$AO$186,"女"&amp;手直し!$G$41:$K$41,$I$2:$I$186,"白"))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  <c r="AO38">
        <f>IF(J38="","",F38&amp;D38)</f>
        <v/>
      </c>
      <c r="AP38">
        <f>IF(J38="","",IF(F38="男",COUNTIF(手直し!$B$6:$F$55,D38),COUNTIF(手直し!$G$6:$K$55,D38)))</f>
        <v/>
      </c>
      <c r="AQ38">
        <f>IF(AND(J38&lt;&gt;"",AP38=0),1,0)</f>
        <v/>
      </c>
      <c r="AR38">
        <f>IF(AND(AQ38=1,F38="男"),COUNTIFS($AQ$2:AQ38,1,$F$2:F38,"男"),"")</f>
        <v/>
      </c>
      <c r="AS38">
        <f>IF(AND(AQ38=1,F38="女"),COUNTIFS($AQ$2:AQ38,1,$F$2:F38,"女"),"")</f>
        <v/>
      </c>
      <c r="BA38" t="n">
        <v>37</v>
      </c>
      <c r="BB38">
        <f>IF(BA38&gt;$Q$30,"",IF(BA38&lt;=$Q$28,$Q$26,$Q$27))</f>
        <v/>
      </c>
      <c r="BC38">
        <f>IF(BB38="","",IF(BA38&lt;=$Q$28,BA38,BA38-$Q$28))</f>
        <v/>
      </c>
      <c r="BD38">
        <f>IF(BB38="","",IF(BB38="男",$Q$13,$Q$14))</f>
        <v/>
      </c>
      <c r="BE38">
        <f>IF(BB38="","",IF(BD38&lt;=3,BD38-BC38+1,IF(BC38&lt;=INT((BD38-2)/2),2*BC38+2,IF(BC38&lt;=INT((BD38-2)/2)+INT((BD38-3)/2),(BD38-1+MOD(BD38,2))-2*(BC38-INT((BD38-2)/2)-1),3-(BC38-INT((BD38-2)/2)-INT((BD38-3)/2)-1)))))</f>
        <v/>
      </c>
      <c r="BG38">
        <f>SUMPRODUCT(COUNTIFS($AO$2:$AO$186,"男"&amp;手直し!$B$42:$F$42,$I$2:$I$186,"赤"))</f>
        <v/>
      </c>
      <c r="BH38">
        <f>SUMPRODUCT(COUNTIFS($AO$2:$AO$186,"男"&amp;手直し!$B$42:$F$42,$I$2:$I$186,"白"))</f>
        <v/>
      </c>
      <c r="BI38">
        <f>SUMPRODUCT(COUNTIFS($AO$2:$AO$186,"女"&amp;手直し!$G$42:$K$42,$I$2:$I$186,"赤"))</f>
        <v/>
      </c>
      <c r="BJ38">
        <f>SUMPRODUCT(COUNTIFS($AO$2:$AO$186,"女"&amp;手直し!$G$42:$K$42,$I$2:$I$186,"白"))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  <c r="AO39">
        <f>IF(J39="","",F39&amp;D39)</f>
        <v/>
      </c>
      <c r="AP39">
        <f>IF(J39="","",IF(F39="男",COUNTIF(手直し!$B$6:$F$55,D39),COUNTIF(手直し!$G$6:$K$55,D39)))</f>
        <v/>
      </c>
      <c r="AQ39">
        <f>IF(AND(J39&lt;&gt;"",AP39=0),1,0)</f>
        <v/>
      </c>
      <c r="AR39">
        <f>IF(AND(AQ39=1,F39="男"),COUNTIFS($AQ$2:AQ39,1,$F$2:F39,"男"),"")</f>
        <v/>
      </c>
      <c r="AS39">
        <f>IF(AND(AQ39=1,F39="女"),COUNTIFS($AQ$2:AQ39,1,$F$2:F39,"女"),"")</f>
        <v/>
      </c>
      <c r="BA39" t="n">
        <v>38</v>
      </c>
      <c r="BB39">
        <f>IF(BA39&gt;$Q$30,"",IF(BA39&lt;=$Q$28,$Q$26,$Q$27))</f>
        <v/>
      </c>
      <c r="BC39">
        <f>IF(BB39="","",IF(BA39&lt;=$Q$28,BA39,BA39-$Q$28))</f>
        <v/>
      </c>
      <c r="BD39">
        <f>IF(BB39="","",IF(BB39="男",$Q$13,$Q$14))</f>
        <v/>
      </c>
      <c r="BE39">
        <f>IF(BB39="","",IF(BD39&lt;=3,BD39-BC39+1,IF(BC39&lt;=INT((BD39-2)/2),2*BC39+2,IF(BC39&lt;=INT((BD39-2)/2)+INT((BD39-3)/2),(BD39-1+MOD(BD39,2))-2*(BC39-INT((BD39-2)/2)-1),3-(BC39-INT((BD39-2)/2)-INT((BD39-3)/2)-1)))))</f>
        <v/>
      </c>
      <c r="BG39">
        <f>SUMPRODUCT(COUNTIFS($AO$2:$AO$186,"男"&amp;手直し!$B$43:$F$43,$I$2:$I$186,"赤"))</f>
        <v/>
      </c>
      <c r="BH39">
        <f>SUMPRODUCT(COUNTIFS($AO$2:$AO$186,"男"&amp;手直し!$B$43:$F$43,$I$2:$I$186,"白"))</f>
        <v/>
      </c>
      <c r="BI39">
        <f>SUMPRODUCT(COUNTIFS($AO$2:$AO$186,"女"&amp;手直し!$G$43:$K$43,$I$2:$I$186,"赤"))</f>
        <v/>
      </c>
      <c r="BJ39">
        <f>SUMPRODUCT(COUNTIFS($AO$2:$AO$186,"女"&amp;手直し!$G$43:$K$43,$I$2:$I$186,"白"))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  <c r="AO40">
        <f>IF(J40="","",F40&amp;D40)</f>
        <v/>
      </c>
      <c r="AP40">
        <f>IF(J40="","",IF(F40="男",COUNTIF(手直し!$B$6:$F$55,D40),COUNTIF(手直し!$G$6:$K$55,D40)))</f>
        <v/>
      </c>
      <c r="AQ40">
        <f>IF(AND(J40&lt;&gt;"",AP40=0),1,0)</f>
        <v/>
      </c>
      <c r="AR40">
        <f>IF(AND(AQ40=1,F40="男"),COUNTIFS($AQ$2:AQ40,1,$F$2:F40,"男"),"")</f>
        <v/>
      </c>
      <c r="AS40">
        <f>IF(AND(AQ40=1,F40="女"),COUNTIFS($AQ$2:AQ40,1,$F$2:F40,"女"),"")</f>
        <v/>
      </c>
      <c r="BA40" t="n">
        <v>39</v>
      </c>
      <c r="BB40">
        <f>IF(BA40&gt;$Q$30,"",IF(BA40&lt;=$Q$28,$Q$26,$Q$27))</f>
        <v/>
      </c>
      <c r="BC40">
        <f>IF(BB40="","",IF(BA40&lt;=$Q$28,BA40,BA40-$Q$28))</f>
        <v/>
      </c>
      <c r="BD40">
        <f>IF(BB40="","",IF(BB40="男",$Q$13,$Q$14))</f>
        <v/>
      </c>
      <c r="BE40">
        <f>IF(BB40="","",IF(BD40&lt;=3,BD40-BC40+1,IF(BC40&lt;=INT((BD40-2)/2),2*BC40+2,IF(BC40&lt;=INT((BD40-2)/2)+INT((BD40-3)/2),(BD40-1+MOD(BD40,2))-2*(BC40-INT((BD40-2)/2)-1),3-(BC40-INT((BD40-2)/2)-INT((BD40-3)/2)-1)))))</f>
        <v/>
      </c>
      <c r="BG40">
        <f>SUMPRODUCT(COUNTIFS($AO$2:$AO$186,"男"&amp;手直し!$B$44:$F$44,$I$2:$I$186,"赤"))</f>
        <v/>
      </c>
      <c r="BH40">
        <f>SUMPRODUCT(COUNTIFS($AO$2:$AO$186,"男"&amp;手直し!$B$44:$F$44,$I$2:$I$186,"白"))</f>
        <v/>
      </c>
      <c r="BI40">
        <f>SUMPRODUCT(COUNTIFS($AO$2:$AO$186,"女"&amp;手直し!$G$44:$K$44,$I$2:$I$186,"赤"))</f>
        <v/>
      </c>
      <c r="BJ40">
        <f>SUMPRODUCT(COUNTIFS($AO$2:$AO$186,"女"&amp;手直し!$G$44:$K$44,$I$2:$I$186,"白"))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  <c r="AO41">
        <f>IF(J41="","",F41&amp;D41)</f>
        <v/>
      </c>
      <c r="AP41">
        <f>IF(J41="","",IF(F41="男",COUNTIF(手直し!$B$6:$F$55,D41),COUNTIF(手直し!$G$6:$K$55,D41)))</f>
        <v/>
      </c>
      <c r="AQ41">
        <f>IF(AND(J41&lt;&gt;"",AP41=0),1,0)</f>
        <v/>
      </c>
      <c r="AR41">
        <f>IF(AND(AQ41=1,F41="男"),COUNTIFS($AQ$2:AQ41,1,$F$2:F41,"男"),"")</f>
        <v/>
      </c>
      <c r="AS41">
        <f>IF(AND(AQ41=1,F41="女"),COUNTIFS($AQ$2:AQ41,1,$F$2:F41,"女"),"")</f>
        <v/>
      </c>
      <c r="BA41" t="n">
        <v>40</v>
      </c>
      <c r="BB41">
        <f>IF(BA41&gt;$Q$30,"",IF(BA41&lt;=$Q$28,$Q$26,$Q$27))</f>
        <v/>
      </c>
      <c r="BC41">
        <f>IF(BB41="","",IF(BA41&lt;=$Q$28,BA41,BA41-$Q$28))</f>
        <v/>
      </c>
      <c r="BD41">
        <f>IF(BB41="","",IF(BB41="男",$Q$13,$Q$14))</f>
        <v/>
      </c>
      <c r="BE41">
        <f>IF(BB41="","",IF(BD41&lt;=3,BD41-BC41+1,IF(BC41&lt;=INT((BD41-2)/2),2*BC41+2,IF(BC41&lt;=INT((BD41-2)/2)+INT((BD41-3)/2),(BD41-1+MOD(BD41,2))-2*(BC41-INT((BD41-2)/2)-1),3-(BC41-INT((BD41-2)/2)-INT((BD41-3)/2)-1)))))</f>
        <v/>
      </c>
      <c r="BG41">
        <f>SUMPRODUCT(COUNTIFS($AO$2:$AO$186,"男"&amp;手直し!$B$45:$F$45,$I$2:$I$186,"赤"))</f>
        <v/>
      </c>
      <c r="BH41">
        <f>SUMPRODUCT(COUNTIFS($AO$2:$AO$186,"男"&amp;手直し!$B$45:$F$45,$I$2:$I$186,"白"))</f>
        <v/>
      </c>
      <c r="BI41">
        <f>SUMPRODUCT(COUNTIFS($AO$2:$AO$186,"女"&amp;手直し!$G$45:$K$45,$I$2:$I$186,"赤"))</f>
        <v/>
      </c>
      <c r="BJ41">
        <f>SUMPRODUCT(COUNTIFS($AO$2:$AO$186,"女"&amp;手直し!$G$45:$K$45,$I$2:$I$186,"白"))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  <c r="AO42">
        <f>IF(J42="","",F42&amp;D42)</f>
        <v/>
      </c>
      <c r="AP42">
        <f>IF(J42="","",IF(F42="男",COUNTIF(手直し!$B$6:$F$55,D42),COUNTIF(手直し!$G$6:$K$55,D42)))</f>
        <v/>
      </c>
      <c r="AQ42">
        <f>IF(AND(J42&lt;&gt;"",AP42=0),1,0)</f>
        <v/>
      </c>
      <c r="AR42">
        <f>IF(AND(AQ42=1,F42="男"),COUNTIFS($AQ$2:AQ42,1,$F$2:F42,"男"),"")</f>
        <v/>
      </c>
      <c r="AS42">
        <f>IF(AND(AQ42=1,F42="女"),COUNTIFS($AQ$2:AQ42,1,$F$2:F42,"女"),"")</f>
        <v/>
      </c>
      <c r="BA42" t="n">
        <v>41</v>
      </c>
      <c r="BB42">
        <f>IF(BA42&gt;$Q$30,"",IF(BA42&lt;=$Q$28,$Q$26,$Q$27))</f>
        <v/>
      </c>
      <c r="BC42">
        <f>IF(BB42="","",IF(BA42&lt;=$Q$28,BA42,BA42-$Q$28))</f>
        <v/>
      </c>
      <c r="BD42">
        <f>IF(BB42="","",IF(BB42="男",$Q$13,$Q$14))</f>
        <v/>
      </c>
      <c r="BE42">
        <f>IF(BB42="","",IF(BD42&lt;=3,BD42-BC42+1,IF(BC42&lt;=INT((BD42-2)/2),2*BC42+2,IF(BC42&lt;=INT((BD42-2)/2)+INT((BD42-3)/2),(BD42-1+MOD(BD42,2))-2*(BC42-INT((BD42-2)/2)-1),3-(BC42-INT((BD42-2)/2)-INT((BD42-3)/2)-1)))))</f>
        <v/>
      </c>
      <c r="BG42">
        <f>SUMPRODUCT(COUNTIFS($AO$2:$AO$186,"男"&amp;手直し!$B$46:$F$46,$I$2:$I$186,"赤"))</f>
        <v/>
      </c>
      <c r="BH42">
        <f>SUMPRODUCT(COUNTIFS($AO$2:$AO$186,"男"&amp;手直し!$B$46:$F$46,$I$2:$I$186,"白"))</f>
        <v/>
      </c>
      <c r="BI42">
        <f>SUMPRODUCT(COUNTIFS($AO$2:$AO$186,"女"&amp;手直し!$G$46:$K$46,$I$2:$I$186,"赤"))</f>
        <v/>
      </c>
      <c r="BJ42">
        <f>SUMPRODUCT(COUNTIFS($AO$2:$AO$186,"女"&amp;手直し!$G$46:$K$46,$I$2:$I$186,"白"))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  <c r="AO43">
        <f>IF(J43="","",F43&amp;D43)</f>
        <v/>
      </c>
      <c r="AP43">
        <f>IF(J43="","",IF(F43="男",COUNTIF(手直し!$B$6:$F$55,D43),COUNTIF(手直し!$G$6:$K$55,D43)))</f>
        <v/>
      </c>
      <c r="AQ43">
        <f>IF(AND(J43&lt;&gt;"",AP43=0),1,0)</f>
        <v/>
      </c>
      <c r="AR43">
        <f>IF(AND(AQ43=1,F43="男"),COUNTIFS($AQ$2:AQ43,1,$F$2:F43,"男"),"")</f>
        <v/>
      </c>
      <c r="AS43">
        <f>IF(AND(AQ43=1,F43="女"),COUNTIFS($AQ$2:AQ43,1,$F$2:F43,"女"),"")</f>
        <v/>
      </c>
      <c r="BA43" t="n">
        <v>42</v>
      </c>
      <c r="BB43">
        <f>IF(BA43&gt;$Q$30,"",IF(BA43&lt;=$Q$28,$Q$26,$Q$27))</f>
        <v/>
      </c>
      <c r="BC43">
        <f>IF(BB43="","",IF(BA43&lt;=$Q$28,BA43,BA43-$Q$28))</f>
        <v/>
      </c>
      <c r="BD43">
        <f>IF(BB43="","",IF(BB43="男",$Q$13,$Q$14))</f>
        <v/>
      </c>
      <c r="BE43">
        <f>IF(BB43="","",IF(BD43&lt;=3,BD43-BC43+1,IF(BC43&lt;=INT((BD43-2)/2),2*BC43+2,IF(BC43&lt;=INT((BD43-2)/2)+INT((BD43-3)/2),(BD43-1+MOD(BD43,2))-2*(BC43-INT((BD43-2)/2)-1),3-(BC43-INT((BD43-2)/2)-INT((BD43-3)/2)-1)))))</f>
        <v/>
      </c>
      <c r="BG43">
        <f>SUMPRODUCT(COUNTIFS($AO$2:$AO$186,"男"&amp;手直し!$B$47:$F$47,$I$2:$I$186,"赤"))</f>
        <v/>
      </c>
      <c r="BH43">
        <f>SUMPRODUCT(COUNTIFS($AO$2:$AO$186,"男"&amp;手直し!$B$47:$F$47,$I$2:$I$186,"白"))</f>
        <v/>
      </c>
      <c r="BI43">
        <f>SUMPRODUCT(COUNTIFS($AO$2:$AO$186,"女"&amp;手直し!$G$47:$K$47,$I$2:$I$186,"赤"))</f>
        <v/>
      </c>
      <c r="BJ43">
        <f>SUMPRODUCT(COUNTIFS($AO$2:$AO$186,"女"&amp;手直し!$G$47:$K$47,$I$2:$I$186,"白"))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  <c r="AO44">
        <f>IF(J44="","",F44&amp;D44)</f>
        <v/>
      </c>
      <c r="AP44">
        <f>IF(J44="","",IF(F44="男",COUNTIF(手直し!$B$6:$F$55,D44),COUNTIF(手直し!$G$6:$K$55,D44)))</f>
        <v/>
      </c>
      <c r="AQ44">
        <f>IF(AND(J44&lt;&gt;"",AP44=0),1,0)</f>
        <v/>
      </c>
      <c r="AR44">
        <f>IF(AND(AQ44=1,F44="男"),COUNTIFS($AQ$2:AQ44,1,$F$2:F44,"男"),"")</f>
        <v/>
      </c>
      <c r="AS44">
        <f>IF(AND(AQ44=1,F44="女"),COUNTIFS($AQ$2:AQ44,1,$F$2:F44,"女"),"")</f>
        <v/>
      </c>
      <c r="BA44" t="n">
        <v>43</v>
      </c>
      <c r="BB44">
        <f>IF(BA44&gt;$Q$30,"",IF(BA44&lt;=$Q$28,$Q$26,$Q$27))</f>
        <v/>
      </c>
      <c r="BC44">
        <f>IF(BB44="","",IF(BA44&lt;=$Q$28,BA44,BA44-$Q$28))</f>
        <v/>
      </c>
      <c r="BD44">
        <f>IF(BB44="","",IF(BB44="男",$Q$13,$Q$14))</f>
        <v/>
      </c>
      <c r="BE44">
        <f>IF(BB44="","",IF(BD44&lt;=3,BD44-BC44+1,IF(BC44&lt;=INT((BD44-2)/2),2*BC44+2,IF(BC44&lt;=INT((BD44-2)/2)+INT((BD44-3)/2),(BD44-1+MOD(BD44,2))-2*(BC44-INT((BD44-2)/2)-1),3-(BC44-INT((BD44-2)/2)-INT((BD44-3)/2)-1)))))</f>
        <v/>
      </c>
      <c r="BG44">
        <f>SUMPRODUCT(COUNTIFS($AO$2:$AO$186,"男"&amp;手直し!$B$48:$F$48,$I$2:$I$186,"赤"))</f>
        <v/>
      </c>
      <c r="BH44">
        <f>SUMPRODUCT(COUNTIFS($AO$2:$AO$186,"男"&amp;手直し!$B$48:$F$48,$I$2:$I$186,"白"))</f>
        <v/>
      </c>
      <c r="BI44">
        <f>SUMPRODUCT(COUNTIFS($AO$2:$AO$186,"女"&amp;手直し!$G$48:$K$48,$I$2:$I$186,"赤"))</f>
        <v/>
      </c>
      <c r="BJ44">
        <f>SUMPRODUCT(COUNTIFS($AO$2:$AO$186,"女"&amp;手直し!$G$48:$K$48,$I$2:$I$186,"白"))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  <c r="AO45">
        <f>IF(J45="","",F45&amp;D45)</f>
        <v/>
      </c>
      <c r="AP45">
        <f>IF(J45="","",IF(F45="男",COUNTIF(手直し!$B$6:$F$55,D45),COUNTIF(手直し!$G$6:$K$55,D45)))</f>
        <v/>
      </c>
      <c r="AQ45">
        <f>IF(AND(J45&lt;&gt;"",AP45=0),1,0)</f>
        <v/>
      </c>
      <c r="AR45">
        <f>IF(AND(AQ45=1,F45="男"),COUNTIFS($AQ$2:AQ45,1,$F$2:F45,"男"),"")</f>
        <v/>
      </c>
      <c r="AS45">
        <f>IF(AND(AQ45=1,F45="女"),COUNTIFS($AQ$2:AQ45,1,$F$2:F45,"女"),"")</f>
        <v/>
      </c>
      <c r="BA45" t="n">
        <v>44</v>
      </c>
      <c r="BB45">
        <f>IF(BA45&gt;$Q$30,"",IF(BA45&lt;=$Q$28,$Q$26,$Q$27))</f>
        <v/>
      </c>
      <c r="BC45">
        <f>IF(BB45="","",IF(BA45&lt;=$Q$28,BA45,BA45-$Q$28))</f>
        <v/>
      </c>
      <c r="BD45">
        <f>IF(BB45="","",IF(BB45="男",$Q$13,$Q$14))</f>
        <v/>
      </c>
      <c r="BE45">
        <f>IF(BB45="","",IF(BD45&lt;=3,BD45-BC45+1,IF(BC45&lt;=INT((BD45-2)/2),2*BC45+2,IF(BC45&lt;=INT((BD45-2)/2)+INT((BD45-3)/2),(BD45-1+MOD(BD45,2))-2*(BC45-INT((BD45-2)/2)-1),3-(BC45-INT((BD45-2)/2)-INT((BD45-3)/2)-1)))))</f>
        <v/>
      </c>
      <c r="BG45">
        <f>SUMPRODUCT(COUNTIFS($AO$2:$AO$186,"男"&amp;手直し!$B$49:$F$49,$I$2:$I$186,"赤"))</f>
        <v/>
      </c>
      <c r="BH45">
        <f>SUMPRODUCT(COUNTIFS($AO$2:$AO$186,"男"&amp;手直し!$B$49:$F$49,$I$2:$I$186,"白"))</f>
        <v/>
      </c>
      <c r="BI45">
        <f>SUMPRODUCT(COUNTIFS($AO$2:$AO$186,"女"&amp;手直し!$G$49:$K$49,$I$2:$I$186,"赤"))</f>
        <v/>
      </c>
      <c r="BJ45">
        <f>SUMPRODUCT(COUNTIFS($AO$2:$AO$186,"女"&amp;手直し!$G$49:$K$49,$I$2:$I$186,"白"))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  <c r="AO46">
        <f>IF(J46="","",F46&amp;D46)</f>
        <v/>
      </c>
      <c r="AP46">
        <f>IF(J46="","",IF(F46="男",COUNTIF(手直し!$B$6:$F$55,D46),COUNTIF(手直し!$G$6:$K$55,D46)))</f>
        <v/>
      </c>
      <c r="AQ46">
        <f>IF(AND(J46&lt;&gt;"",AP46=0),1,0)</f>
        <v/>
      </c>
      <c r="AR46">
        <f>IF(AND(AQ46=1,F46="男"),COUNTIFS($AQ$2:AQ46,1,$F$2:F46,"男"),"")</f>
        <v/>
      </c>
      <c r="AS46">
        <f>IF(AND(AQ46=1,F46="女"),COUNTIFS($AQ$2:AQ46,1,$F$2:F46,"女"),"")</f>
        <v/>
      </c>
      <c r="BA46" t="n">
        <v>45</v>
      </c>
      <c r="BB46">
        <f>IF(BA46&gt;$Q$30,"",IF(BA46&lt;=$Q$28,$Q$26,$Q$27))</f>
        <v/>
      </c>
      <c r="BC46">
        <f>IF(BB46="","",IF(BA46&lt;=$Q$28,BA46,BA46-$Q$28))</f>
        <v/>
      </c>
      <c r="BD46">
        <f>IF(BB46="","",IF(BB46="男",$Q$13,$Q$14))</f>
        <v/>
      </c>
      <c r="BE46">
        <f>IF(BB46="","",IF(BD46&lt;=3,BD46-BC46+1,IF(BC46&lt;=INT((BD46-2)/2),2*BC46+2,IF(BC46&lt;=INT((BD46-2)/2)+INT((BD46-3)/2),(BD46-1+MOD(BD46,2))-2*(BC46-INT((BD46-2)/2)-1),3-(BC46-INT((BD46-2)/2)-INT((BD46-3)/2)-1)))))</f>
        <v/>
      </c>
      <c r="BG46">
        <f>SUMPRODUCT(COUNTIFS($AO$2:$AO$186,"男"&amp;手直し!$B$50:$F$50,$I$2:$I$186,"赤"))</f>
        <v/>
      </c>
      <c r="BH46">
        <f>SUMPRODUCT(COUNTIFS($AO$2:$AO$186,"男"&amp;手直し!$B$50:$F$50,$I$2:$I$186,"白"))</f>
        <v/>
      </c>
      <c r="BI46">
        <f>SUMPRODUCT(COUNTIFS($AO$2:$AO$186,"女"&amp;手直し!$G$50:$K$50,$I$2:$I$186,"赤"))</f>
        <v/>
      </c>
      <c r="BJ46">
        <f>SUMPRODUCT(COUNTIFS($AO$2:$AO$186,"女"&amp;手直し!$G$50:$K$50,$I$2:$I$186,"白"))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  <c r="AO47">
        <f>IF(J47="","",F47&amp;D47)</f>
        <v/>
      </c>
      <c r="AP47">
        <f>IF(J47="","",IF(F47="男",COUNTIF(手直し!$B$6:$F$55,D47),COUNTIF(手直し!$G$6:$K$55,D47)))</f>
        <v/>
      </c>
      <c r="AQ47">
        <f>IF(AND(J47&lt;&gt;"",AP47=0),1,0)</f>
        <v/>
      </c>
      <c r="AR47">
        <f>IF(AND(AQ47=1,F47="男"),COUNTIFS($AQ$2:AQ47,1,$F$2:F47,"男"),"")</f>
        <v/>
      </c>
      <c r="AS47">
        <f>IF(AND(AQ47=1,F47="女"),COUNTIFS($AQ$2:AQ47,1,$F$2:F47,"女"),"")</f>
        <v/>
      </c>
      <c r="BA47" t="n">
        <v>46</v>
      </c>
      <c r="BB47">
        <f>IF(BA47&gt;$Q$30,"",IF(BA47&lt;=$Q$28,$Q$26,$Q$27))</f>
        <v/>
      </c>
      <c r="BC47">
        <f>IF(BB47="","",IF(BA47&lt;=$Q$28,BA47,BA47-$Q$28))</f>
        <v/>
      </c>
      <c r="BD47">
        <f>IF(BB47="","",IF(BB47="男",$Q$13,$Q$14))</f>
        <v/>
      </c>
      <c r="BE47">
        <f>IF(BB47="","",IF(BD47&lt;=3,BD47-BC47+1,IF(BC47&lt;=INT((BD47-2)/2),2*BC47+2,IF(BC47&lt;=INT((BD47-2)/2)+INT((BD47-3)/2),(BD47-1+MOD(BD47,2))-2*(BC47-INT((BD47-2)/2)-1),3-(BC47-INT((BD47-2)/2)-INT((BD47-3)/2)-1)))))</f>
        <v/>
      </c>
      <c r="BG47">
        <f>SUMPRODUCT(COUNTIFS($AO$2:$AO$186,"男"&amp;手直し!$B$51:$F$51,$I$2:$I$186,"赤"))</f>
        <v/>
      </c>
      <c r="BH47">
        <f>SUMPRODUCT(COUNTIFS($AO$2:$AO$186,"男"&amp;手直し!$B$51:$F$51,$I$2:$I$186,"白"))</f>
        <v/>
      </c>
      <c r="BI47">
        <f>SUMPRODUCT(COUNTIFS($AO$2:$AO$186,"女"&amp;手直し!$G$51:$K$51,$I$2:$I$186,"赤"))</f>
        <v/>
      </c>
      <c r="BJ47">
        <f>SUMPRODUCT(COUNTIFS($AO$2:$AO$186,"女"&amp;手直し!$G$51:$K$51,$I$2:$I$186,"白"))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  <c r="AO48">
        <f>IF(J48="","",F48&amp;D48)</f>
        <v/>
      </c>
      <c r="AP48">
        <f>IF(J48="","",IF(F48="男",COUNTIF(手直し!$B$6:$F$55,D48),COUNTIF(手直し!$G$6:$K$55,D48)))</f>
        <v/>
      </c>
      <c r="AQ48">
        <f>IF(AND(J48&lt;&gt;"",AP48=0),1,0)</f>
        <v/>
      </c>
      <c r="AR48">
        <f>IF(AND(AQ48=1,F48="男"),COUNTIFS($AQ$2:AQ48,1,$F$2:F48,"男"),"")</f>
        <v/>
      </c>
      <c r="AS48">
        <f>IF(AND(AQ48=1,F48="女"),COUNTIFS($AQ$2:AQ48,1,$F$2:F48,"女"),"")</f>
        <v/>
      </c>
      <c r="BA48" t="n">
        <v>47</v>
      </c>
      <c r="BB48">
        <f>IF(BA48&gt;$Q$30,"",IF(BA48&lt;=$Q$28,$Q$26,$Q$27))</f>
        <v/>
      </c>
      <c r="BC48">
        <f>IF(BB48="","",IF(BA48&lt;=$Q$28,BA48,BA48-$Q$28))</f>
        <v/>
      </c>
      <c r="BD48">
        <f>IF(BB48="","",IF(BB48="男",$Q$13,$Q$14))</f>
        <v/>
      </c>
      <c r="BE48">
        <f>IF(BB48="","",IF(BD48&lt;=3,BD48-BC48+1,IF(BC48&lt;=INT((BD48-2)/2),2*BC48+2,IF(BC48&lt;=INT((BD48-2)/2)+INT((BD48-3)/2),(BD48-1+MOD(BD48,2))-2*(BC48-INT((BD48-2)/2)-1),3-(BC48-INT((BD48-2)/2)-INT((BD48-3)/2)-1)))))</f>
        <v/>
      </c>
      <c r="BG48">
        <f>SUMPRODUCT(COUNTIFS($AO$2:$AO$186,"男"&amp;手直し!$B$52:$F$52,$I$2:$I$186,"赤"))</f>
        <v/>
      </c>
      <c r="BH48">
        <f>SUMPRODUCT(COUNTIFS($AO$2:$AO$186,"男"&amp;手直し!$B$52:$F$52,$I$2:$I$186,"白"))</f>
        <v/>
      </c>
      <c r="BI48">
        <f>SUMPRODUCT(COUNTIFS($AO$2:$AO$186,"女"&amp;手直し!$G$52:$K$52,$I$2:$I$186,"赤"))</f>
        <v/>
      </c>
      <c r="BJ48">
        <f>SUMPRODUCT(COUNTIFS($AO$2:$AO$186,"女"&amp;手直し!$G$52:$K$52,$I$2:$I$186,"白"))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  <c r="AO49">
        <f>IF(J49="","",F49&amp;D49)</f>
        <v/>
      </c>
      <c r="AP49">
        <f>IF(J49="","",IF(F49="男",COUNTIF(手直し!$B$6:$F$55,D49),COUNTIF(手直し!$G$6:$K$55,D49)))</f>
        <v/>
      </c>
      <c r="AQ49">
        <f>IF(AND(J49&lt;&gt;"",AP49=0),1,0)</f>
        <v/>
      </c>
      <c r="AR49">
        <f>IF(AND(AQ49=1,F49="男"),COUNTIFS($AQ$2:AQ49,1,$F$2:F49,"男"),"")</f>
        <v/>
      </c>
      <c r="AS49">
        <f>IF(AND(AQ49=1,F49="女"),COUNTIFS($AQ$2:AQ49,1,$F$2:F49,"女"),"")</f>
        <v/>
      </c>
      <c r="BA49" t="n">
        <v>48</v>
      </c>
      <c r="BB49">
        <f>IF(BA49&gt;$Q$30,"",IF(BA49&lt;=$Q$28,$Q$26,$Q$27))</f>
        <v/>
      </c>
      <c r="BC49">
        <f>IF(BB49="","",IF(BA49&lt;=$Q$28,BA49,BA49-$Q$28))</f>
        <v/>
      </c>
      <c r="BD49">
        <f>IF(BB49="","",IF(BB49="男",$Q$13,$Q$14))</f>
        <v/>
      </c>
      <c r="BE49">
        <f>IF(BB49="","",IF(BD49&lt;=3,BD49-BC49+1,IF(BC49&lt;=INT((BD49-2)/2),2*BC49+2,IF(BC49&lt;=INT((BD49-2)/2)+INT((BD49-3)/2),(BD49-1+MOD(BD49,2))-2*(BC49-INT((BD49-2)/2)-1),3-(BC49-INT((BD49-2)/2)-INT((BD49-3)/2)-1)))))</f>
        <v/>
      </c>
      <c r="BG49">
        <f>SUMPRODUCT(COUNTIFS($AO$2:$AO$186,"男"&amp;手直し!$B$53:$F$53,$I$2:$I$186,"赤"))</f>
        <v/>
      </c>
      <c r="BH49">
        <f>SUMPRODUCT(COUNTIFS($AO$2:$AO$186,"男"&amp;手直し!$B$53:$F$53,$I$2:$I$186,"白"))</f>
        <v/>
      </c>
      <c r="BI49">
        <f>SUMPRODUCT(COUNTIFS($AO$2:$AO$186,"女"&amp;手直し!$G$53:$K$53,$I$2:$I$186,"赤"))</f>
        <v/>
      </c>
      <c r="BJ49">
        <f>SUMPRODUCT(COUNTIFS($AO$2:$AO$186,"女"&amp;手直し!$G$53:$K$53,$I$2:$I$186,"白"))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  <c r="AO50">
        <f>IF(J50="","",F50&amp;D50)</f>
        <v/>
      </c>
      <c r="AP50">
        <f>IF(J50="","",IF(F50="男",COUNTIF(手直し!$B$6:$F$55,D50),COUNTIF(手直し!$G$6:$K$55,D50)))</f>
        <v/>
      </c>
      <c r="AQ50">
        <f>IF(AND(J50&lt;&gt;"",AP50=0),1,0)</f>
        <v/>
      </c>
      <c r="AR50">
        <f>IF(AND(AQ50=1,F50="男"),COUNTIFS($AQ$2:AQ50,1,$F$2:F50,"男"),"")</f>
        <v/>
      </c>
      <c r="AS50">
        <f>IF(AND(AQ50=1,F50="女"),COUNTIFS($AQ$2:AQ50,1,$F$2:F50,"女"),"")</f>
        <v/>
      </c>
      <c r="BA50" t="n">
        <v>49</v>
      </c>
      <c r="BB50">
        <f>IF(BA50&gt;$Q$30,"",IF(BA50&lt;=$Q$28,$Q$26,$Q$27))</f>
        <v/>
      </c>
      <c r="BC50">
        <f>IF(BB50="","",IF(BA50&lt;=$Q$28,BA50,BA50-$Q$28))</f>
        <v/>
      </c>
      <c r="BD50">
        <f>IF(BB50="","",IF(BB50="男",$Q$13,$Q$14))</f>
        <v/>
      </c>
      <c r="BE50">
        <f>IF(BB50="","",IF(BD50&lt;=3,BD50-BC50+1,IF(BC50&lt;=INT((BD50-2)/2),2*BC50+2,IF(BC50&lt;=INT((BD50-2)/2)+INT((BD50-3)/2),(BD50-1+MOD(BD50,2))-2*(BC50-INT((BD50-2)/2)-1),3-(BC50-INT((BD50-2)/2)-INT((BD50-3)/2)-1)))))</f>
        <v/>
      </c>
      <c r="BG50">
        <f>SUMPRODUCT(COUNTIFS($AO$2:$AO$186,"男"&amp;手直し!$B$54:$F$54,$I$2:$I$186,"赤"))</f>
        <v/>
      </c>
      <c r="BH50">
        <f>SUMPRODUCT(COUNTIFS($AO$2:$AO$186,"男"&amp;手直し!$B$54:$F$54,$I$2:$I$186,"白"))</f>
        <v/>
      </c>
      <c r="BI50">
        <f>SUMPRODUCT(COUNTIFS($AO$2:$AO$186,"女"&amp;手直し!$G$54:$K$54,$I$2:$I$186,"赤"))</f>
        <v/>
      </c>
      <c r="BJ50">
        <f>SUMPRODUCT(COUNTIFS($AO$2:$AO$186,"女"&amp;手直し!$G$54:$K$54,$I$2:$I$186,"白"))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  <c r="AO51">
        <f>IF(J51="","",F51&amp;D51)</f>
        <v/>
      </c>
      <c r="AP51">
        <f>IF(J51="","",IF(F51="男",COUNTIF(手直し!$B$6:$F$55,D51),COUNTIF(手直し!$G$6:$K$55,D51)))</f>
        <v/>
      </c>
      <c r="AQ51">
        <f>IF(AND(J51&lt;&gt;"",AP51=0),1,0)</f>
        <v/>
      </c>
      <c r="AR51">
        <f>IF(AND(AQ51=1,F51="男"),COUNTIFS($AQ$2:AQ51,1,$F$2:F51,"男"),"")</f>
        <v/>
      </c>
      <c r="AS51">
        <f>IF(AND(AQ51=1,F51="女"),COUNTIFS($AQ$2:AQ51,1,$F$2:F51,"女"),"")</f>
        <v/>
      </c>
      <c r="BA51" t="n">
        <v>50</v>
      </c>
      <c r="BB51">
        <f>IF(BA51&gt;$Q$30,"",IF(BA51&lt;=$Q$28,$Q$26,$Q$27))</f>
        <v/>
      </c>
      <c r="BC51">
        <f>IF(BB51="","",IF(BA51&lt;=$Q$28,BA51,BA51-$Q$28))</f>
        <v/>
      </c>
      <c r="BD51">
        <f>IF(BB51="","",IF(BB51="男",$Q$13,$Q$14))</f>
        <v/>
      </c>
      <c r="BE51">
        <f>IF(BB51="","",IF(BD51&lt;=3,BD51-BC51+1,IF(BC51&lt;=INT((BD51-2)/2),2*BC51+2,IF(BC51&lt;=INT((BD51-2)/2)+INT((BD51-3)/2),(BD51-1+MOD(BD51,2))-2*(BC51-INT((BD51-2)/2)-1),3-(BC51-INT((BD51-2)/2)-INT((BD51-3)/2)-1)))))</f>
        <v/>
      </c>
      <c r="BG51">
        <f>SUMPRODUCT(COUNTIFS($AO$2:$AO$186,"男"&amp;手直し!$B$55:$F$55,$I$2:$I$186,"赤"))</f>
        <v/>
      </c>
      <c r="BH51">
        <f>SUMPRODUCT(COUNTIFS($AO$2:$AO$186,"男"&amp;手直し!$B$55:$F$55,$I$2:$I$186,"白"))</f>
        <v/>
      </c>
      <c r="BI51">
        <f>SUMPRODUCT(COUNTIFS($AO$2:$AO$186,"女"&amp;手直し!$G$55:$K$55,$I$2:$I$186,"赤"))</f>
        <v/>
      </c>
      <c r="BJ51">
        <f>SUMPRODUCT(COUNTIFS($AO$2:$AO$186,"女"&amp;手直し!$G$55:$K$55,$I$2:$I$186,"白"))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  <c r="AO52">
        <f>IF(J52="","",F52&amp;D52)</f>
        <v/>
      </c>
      <c r="AP52">
        <f>IF(J52="","",IF(F52="男",COUNTIF(手直し!$B$6:$F$55,D52),COUNTIF(手直し!$G$6:$K$55,D52)))</f>
        <v/>
      </c>
      <c r="AQ52">
        <f>IF(AND(J52&lt;&gt;"",AP52=0),1,0)</f>
        <v/>
      </c>
      <c r="AR52">
        <f>IF(AND(AQ52=1,F52="男"),COUNTIFS($AQ$2:AQ52,1,$F$2:F52,"男"),"")</f>
        <v/>
      </c>
      <c r="AS52">
        <f>IF(AND(AQ52=1,F52="女"),COUNTIFS($AQ$2:AQ52,1,$F$2:F52,"女"),"")</f>
        <v/>
      </c>
      <c r="BA52" t="n">
        <v>51</v>
      </c>
      <c r="BB52">
        <f>IF(BA52&gt;$Q$30,"",IF(BA52&lt;=$Q$28,$Q$26,$Q$27))</f>
        <v/>
      </c>
      <c r="BC52">
        <f>IF(BB52="","",IF(BA52&lt;=$Q$28,BA52,BA52-$Q$28))</f>
        <v/>
      </c>
      <c r="BD52">
        <f>IF(BB52="","",IF(BB52="男",$Q$13,$Q$14))</f>
        <v/>
      </c>
      <c r="BE52">
        <f>IF(BB52="","",IF(BD52&lt;=3,BD52-BC52+1,IF(BC52&lt;=INT((BD52-2)/2),2*BC52+2,IF(BC52&lt;=INT((BD52-2)/2)+INT((BD52-3)/2),(BD52-1+MOD(BD52,2))-2*(BC52-INT((BD52-2)/2)-1),3-(BC52-INT((BD52-2)/2)-INT((BD52-3)/2)-1)))))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  <c r="AO53">
        <f>IF(J53="","",F53&amp;D53)</f>
        <v/>
      </c>
      <c r="AP53">
        <f>IF(J53="","",IF(F53="男",COUNTIF(手直し!$B$6:$F$55,D53),COUNTIF(手直し!$G$6:$K$55,D53)))</f>
        <v/>
      </c>
      <c r="AQ53">
        <f>IF(AND(J53&lt;&gt;"",AP53=0),1,0)</f>
        <v/>
      </c>
      <c r="AR53">
        <f>IF(AND(AQ53=1,F53="男"),COUNTIFS($AQ$2:AQ53,1,$F$2:F53,"男"),"")</f>
        <v/>
      </c>
      <c r="AS53">
        <f>IF(AND(AQ53=1,F53="女"),COUNTIFS($AQ$2:AQ53,1,$F$2:F53,"女"),"")</f>
        <v/>
      </c>
      <c r="BA53" t="n">
        <v>52</v>
      </c>
      <c r="BB53">
        <f>IF(BA53&gt;$Q$30,"",IF(BA53&lt;=$Q$28,$Q$26,$Q$27))</f>
        <v/>
      </c>
      <c r="BC53">
        <f>IF(BB53="","",IF(BA53&lt;=$Q$28,BA53,BA53-$Q$28))</f>
        <v/>
      </c>
      <c r="BD53">
        <f>IF(BB53="","",IF(BB53="男",$Q$13,$Q$14))</f>
        <v/>
      </c>
      <c r="BE53">
        <f>IF(BB53="","",IF(BD53&lt;=3,BD53-BC53+1,IF(BC53&lt;=INT((BD53-2)/2),2*BC53+2,IF(BC53&lt;=INT((BD53-2)/2)+INT((BD53-3)/2),(BD53-1+MOD(BD53,2))-2*(BC53-INT((BD53-2)/2)-1),3-(BC53-INT((BD53-2)/2)-INT((BD53-3)/2)-1)))))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  <c r="AO54">
        <f>IF(J54="","",F54&amp;D54)</f>
        <v/>
      </c>
      <c r="AP54">
        <f>IF(J54="","",IF(F54="男",COUNTIF(手直し!$B$6:$F$55,D54),COUNTIF(手直し!$G$6:$K$55,D54)))</f>
        <v/>
      </c>
      <c r="AQ54">
        <f>IF(AND(J54&lt;&gt;"",AP54=0),1,0)</f>
        <v/>
      </c>
      <c r="AR54">
        <f>IF(AND(AQ54=1,F54="男"),COUNTIFS($AQ$2:AQ54,1,$F$2:F54,"男"),"")</f>
        <v/>
      </c>
      <c r="AS54">
        <f>IF(AND(AQ54=1,F54="女"),COUNTIFS($AQ$2:AQ54,1,$F$2:F54,"女"),"")</f>
        <v/>
      </c>
      <c r="BA54" t="n">
        <v>53</v>
      </c>
      <c r="BB54">
        <f>IF(BA54&gt;$Q$30,"",IF(BA54&lt;=$Q$28,$Q$26,$Q$27))</f>
        <v/>
      </c>
      <c r="BC54">
        <f>IF(BB54="","",IF(BA54&lt;=$Q$28,BA54,BA54-$Q$28))</f>
        <v/>
      </c>
      <c r="BD54">
        <f>IF(BB54="","",IF(BB54="男",$Q$13,$Q$14))</f>
        <v/>
      </c>
      <c r="BE54">
        <f>IF(BB54="","",IF(BD54&lt;=3,BD54-BC54+1,IF(BC54&lt;=INT((BD54-2)/2),2*BC54+2,IF(BC54&lt;=INT((BD54-2)/2)+INT((BD54-3)/2),(BD54-1+MOD(BD54,2))-2*(BC54-INT((BD54-2)/2)-1),3-(BC54-INT((BD54-2)/2)-INT((BD54-3)/2)-1)))))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  <c r="AO55">
        <f>IF(J55="","",F55&amp;D55)</f>
        <v/>
      </c>
      <c r="AP55">
        <f>IF(J55="","",IF(F55="男",COUNTIF(手直し!$B$6:$F$55,D55),COUNTIF(手直し!$G$6:$K$55,D55)))</f>
        <v/>
      </c>
      <c r="AQ55">
        <f>IF(AND(J55&lt;&gt;"",AP55=0),1,0)</f>
        <v/>
      </c>
      <c r="AR55">
        <f>IF(AND(AQ55=1,F55="男"),COUNTIFS($AQ$2:AQ55,1,$F$2:F55,"男"),"")</f>
        <v/>
      </c>
      <c r="AS55">
        <f>IF(AND(AQ55=1,F55="女"),COUNTIFS($AQ$2:AQ55,1,$F$2:F55,"女"),"")</f>
        <v/>
      </c>
      <c r="BA55" t="n">
        <v>54</v>
      </c>
      <c r="BB55">
        <f>IF(BA55&gt;$Q$30,"",IF(BA55&lt;=$Q$28,$Q$26,$Q$27))</f>
        <v/>
      </c>
      <c r="BC55">
        <f>IF(BB55="","",IF(BA55&lt;=$Q$28,BA55,BA55-$Q$28))</f>
        <v/>
      </c>
      <c r="BD55">
        <f>IF(BB55="","",IF(BB55="男",$Q$13,$Q$14))</f>
        <v/>
      </c>
      <c r="BE55">
        <f>IF(BB55="","",IF(BD55&lt;=3,BD55-BC55+1,IF(BC55&lt;=INT((BD55-2)/2),2*BC55+2,IF(BC55&lt;=INT((BD55-2)/2)+INT((BD55-3)/2),(BD55-1+MOD(BD55,2))-2*(BC55-INT((BD55-2)/2)-1),3-(BC55-INT((BD55-2)/2)-INT((BD55-3)/2)-1)))))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  <c r="AO56">
        <f>IF(J56="","",F56&amp;D56)</f>
        <v/>
      </c>
      <c r="AP56">
        <f>IF(J56="","",IF(F56="男",COUNTIF(手直し!$B$6:$F$55,D56),COUNTIF(手直し!$G$6:$K$55,D56)))</f>
        <v/>
      </c>
      <c r="AQ56">
        <f>IF(AND(J56&lt;&gt;"",AP56=0),1,0)</f>
        <v/>
      </c>
      <c r="AR56">
        <f>IF(AND(AQ56=1,F56="男"),COUNTIFS($AQ$2:AQ56,1,$F$2:F56,"男"),"")</f>
        <v/>
      </c>
      <c r="AS56">
        <f>IF(AND(AQ56=1,F56="女"),COUNTIFS($AQ$2:AQ56,1,$F$2:F56,"女"),"")</f>
        <v/>
      </c>
      <c r="BA56" t="n">
        <v>55</v>
      </c>
      <c r="BB56">
        <f>IF(BA56&gt;$Q$30,"",IF(BA56&lt;=$Q$28,$Q$26,$Q$27))</f>
        <v/>
      </c>
      <c r="BC56">
        <f>IF(BB56="","",IF(BA56&lt;=$Q$28,BA56,BA56-$Q$28))</f>
        <v/>
      </c>
      <c r="BD56">
        <f>IF(BB56="","",IF(BB56="男",$Q$13,$Q$14))</f>
        <v/>
      </c>
      <c r="BE56">
        <f>IF(BB56="","",IF(BD56&lt;=3,BD56-BC56+1,IF(BC56&lt;=INT((BD56-2)/2),2*BC56+2,IF(BC56&lt;=INT((BD56-2)/2)+INT((BD56-3)/2),(BD56-1+MOD(BD56,2))-2*(BC56-INT((BD56-2)/2)-1),3-(BC56-INT((BD56-2)/2)-INT((BD56-3)/2)-1)))))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  <c r="AO57">
        <f>IF(J57="","",F57&amp;D57)</f>
        <v/>
      </c>
      <c r="AP57">
        <f>IF(J57="","",IF(F57="男",COUNTIF(手直し!$B$6:$F$55,D57),COUNTIF(手直し!$G$6:$K$55,D57)))</f>
        <v/>
      </c>
      <c r="AQ57">
        <f>IF(AND(J57&lt;&gt;"",AP57=0),1,0)</f>
        <v/>
      </c>
      <c r="AR57">
        <f>IF(AND(AQ57=1,F57="男"),COUNTIFS($AQ$2:AQ57,1,$F$2:F57,"男"),"")</f>
        <v/>
      </c>
      <c r="AS57">
        <f>IF(AND(AQ57=1,F57="女"),COUNTIFS($AQ$2:AQ57,1,$F$2:F57,"女"),"")</f>
        <v/>
      </c>
      <c r="BA57" t="n">
        <v>56</v>
      </c>
      <c r="BB57">
        <f>IF(BA57&gt;$Q$30,"",IF(BA57&lt;=$Q$28,$Q$26,$Q$27))</f>
        <v/>
      </c>
      <c r="BC57">
        <f>IF(BB57="","",IF(BA57&lt;=$Q$28,BA57,BA57-$Q$28))</f>
        <v/>
      </c>
      <c r="BD57">
        <f>IF(BB57="","",IF(BB57="男",$Q$13,$Q$14))</f>
        <v/>
      </c>
      <c r="BE57">
        <f>IF(BB57="","",IF(BD57&lt;=3,BD57-BC57+1,IF(BC57&lt;=INT((BD57-2)/2),2*BC57+2,IF(BC57&lt;=INT((BD57-2)/2)+INT((BD57-3)/2),(BD57-1+MOD(BD57,2))-2*(BC57-INT((BD57-2)/2)-1),3-(BC57-INT((BD57-2)/2)-INT((BD57-3)/2)-1)))))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  <c r="AO58">
        <f>IF(J58="","",F58&amp;D58)</f>
        <v/>
      </c>
      <c r="AP58">
        <f>IF(J58="","",IF(F58="男",COUNTIF(手直し!$B$6:$F$55,D58),COUNTIF(手直し!$G$6:$K$55,D58)))</f>
        <v/>
      </c>
      <c r="AQ58">
        <f>IF(AND(J58&lt;&gt;"",AP58=0),1,0)</f>
        <v/>
      </c>
      <c r="AR58">
        <f>IF(AND(AQ58=1,F58="男"),COUNTIFS($AQ$2:AQ58,1,$F$2:F58,"男"),"")</f>
        <v/>
      </c>
      <c r="AS58">
        <f>IF(AND(AQ58=1,F58="女"),COUNTIFS($AQ$2:AQ58,1,$F$2:F58,"女"),"")</f>
        <v/>
      </c>
      <c r="BA58" t="n">
        <v>57</v>
      </c>
      <c r="BB58">
        <f>IF(BA58&gt;$Q$30,"",IF(BA58&lt;=$Q$28,$Q$26,$Q$27))</f>
        <v/>
      </c>
      <c r="BC58">
        <f>IF(BB58="","",IF(BA58&lt;=$Q$28,BA58,BA58-$Q$28))</f>
        <v/>
      </c>
      <c r="BD58">
        <f>IF(BB58="","",IF(BB58="男",$Q$13,$Q$14))</f>
        <v/>
      </c>
      <c r="BE58">
        <f>IF(BB58="","",IF(BD58&lt;=3,BD58-BC58+1,IF(BC58&lt;=INT((BD58-2)/2),2*BC58+2,IF(BC58&lt;=INT((BD58-2)/2)+INT((BD58-3)/2),(BD58-1+MOD(BD58,2))-2*(BC58-INT((BD58-2)/2)-1),3-(BC58-INT((BD58-2)/2)-INT((BD58-3)/2)-1)))))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  <c r="AO59">
        <f>IF(J59="","",F59&amp;D59)</f>
        <v/>
      </c>
      <c r="AP59">
        <f>IF(J59="","",IF(F59="男",COUNTIF(手直し!$B$6:$F$55,D59),COUNTIF(手直し!$G$6:$K$55,D59)))</f>
        <v/>
      </c>
      <c r="AQ59">
        <f>IF(AND(J59&lt;&gt;"",AP59=0),1,0)</f>
        <v/>
      </c>
      <c r="AR59">
        <f>IF(AND(AQ59=1,F59="男"),COUNTIFS($AQ$2:AQ59,1,$F$2:F59,"男"),"")</f>
        <v/>
      </c>
      <c r="AS59">
        <f>IF(AND(AQ59=1,F59="女"),COUNTIFS($AQ$2:AQ59,1,$F$2:F59,"女"),"")</f>
        <v/>
      </c>
      <c r="BA59" t="n">
        <v>58</v>
      </c>
      <c r="BB59">
        <f>IF(BA59&gt;$Q$30,"",IF(BA59&lt;=$Q$28,$Q$26,$Q$27))</f>
        <v/>
      </c>
      <c r="BC59">
        <f>IF(BB59="","",IF(BA59&lt;=$Q$28,BA59,BA59-$Q$28))</f>
        <v/>
      </c>
      <c r="BD59">
        <f>IF(BB59="","",IF(BB59="男",$Q$13,$Q$14))</f>
        <v/>
      </c>
      <c r="BE59">
        <f>IF(BB59="","",IF(BD59&lt;=3,BD59-BC59+1,IF(BC59&lt;=INT((BD59-2)/2),2*BC59+2,IF(BC59&lt;=INT((BD59-2)/2)+INT((BD59-3)/2),(BD59-1+MOD(BD59,2))-2*(BC59-INT((BD59-2)/2)-1),3-(BC59-INT((BD59-2)/2)-INT((BD59-3)/2)-1)))))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  <c r="AO60">
        <f>IF(J60="","",F60&amp;D60)</f>
        <v/>
      </c>
      <c r="AP60">
        <f>IF(J60="","",IF(F60="男",COUNTIF(手直し!$B$6:$F$55,D60),COUNTIF(手直し!$G$6:$K$55,D60)))</f>
        <v/>
      </c>
      <c r="AQ60">
        <f>IF(AND(J60&lt;&gt;"",AP60=0),1,0)</f>
        <v/>
      </c>
      <c r="AR60">
        <f>IF(AND(AQ60=1,F60="男"),COUNTIFS($AQ$2:AQ60,1,$F$2:F60,"男"),"")</f>
        <v/>
      </c>
      <c r="AS60">
        <f>IF(AND(AQ60=1,F60="女"),COUNTIFS($AQ$2:AQ60,1,$F$2:F60,"女"),"")</f>
        <v/>
      </c>
      <c r="BA60" t="n">
        <v>59</v>
      </c>
      <c r="BB60">
        <f>IF(BA60&gt;$Q$30,"",IF(BA60&lt;=$Q$28,$Q$26,$Q$27))</f>
        <v/>
      </c>
      <c r="BC60">
        <f>IF(BB60="","",IF(BA60&lt;=$Q$28,BA60,BA60-$Q$28))</f>
        <v/>
      </c>
      <c r="BD60">
        <f>IF(BB60="","",IF(BB60="男",$Q$13,$Q$14))</f>
        <v/>
      </c>
      <c r="BE60">
        <f>IF(BB60="","",IF(BD60&lt;=3,BD60-BC60+1,IF(BC60&lt;=INT((BD60-2)/2),2*BC60+2,IF(BC60&lt;=INT((BD60-2)/2)+INT((BD60-3)/2),(BD60-1+MOD(BD60,2))-2*(BC60-INT((BD60-2)/2)-1),3-(BC60-INT((BD60-2)/2)-INT((BD60-3)/2)-1)))))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  <c r="AO61">
        <f>IF(J61="","",F61&amp;D61)</f>
        <v/>
      </c>
      <c r="AP61">
        <f>IF(J61="","",IF(F61="男",COUNTIF(手直し!$B$6:$F$55,D61),COUNTIF(手直し!$G$6:$K$55,D61)))</f>
        <v/>
      </c>
      <c r="AQ61">
        <f>IF(AND(J61&lt;&gt;"",AP61=0),1,0)</f>
        <v/>
      </c>
      <c r="AR61">
        <f>IF(AND(AQ61=1,F61="男"),COUNTIFS($AQ$2:AQ61,1,$F$2:F61,"男"),"")</f>
        <v/>
      </c>
      <c r="AS61">
        <f>IF(AND(AQ61=1,F61="女"),COUNTIFS($AQ$2:AQ61,1,$F$2:F61,"女"),"")</f>
        <v/>
      </c>
      <c r="BA61" t="n">
        <v>60</v>
      </c>
      <c r="BB61">
        <f>IF(BA61&gt;$Q$30,"",IF(BA61&lt;=$Q$28,$Q$26,$Q$27))</f>
        <v/>
      </c>
      <c r="BC61">
        <f>IF(BB61="","",IF(BA61&lt;=$Q$28,BA61,BA61-$Q$28))</f>
        <v/>
      </c>
      <c r="BD61">
        <f>IF(BB61="","",IF(BB61="男",$Q$13,$Q$14))</f>
        <v/>
      </c>
      <c r="BE61">
        <f>IF(BB61="","",IF(BD61&lt;=3,BD61-BC61+1,IF(BC61&lt;=INT((BD61-2)/2),2*BC61+2,IF(BC61&lt;=INT((BD61-2)/2)+INT((BD61-3)/2),(BD61-1+MOD(BD61,2))-2*(BC61-INT((BD61-2)/2)-1),3-(BC61-INT((BD61-2)/2)-INT((BD61-3)/2)-1)))))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  <c r="AO62">
        <f>IF(J62="","",F62&amp;D62)</f>
        <v/>
      </c>
      <c r="AP62">
        <f>IF(J62="","",IF(F62="男",COUNTIF(手直し!$B$6:$F$55,D62),COUNTIF(手直し!$G$6:$K$55,D62)))</f>
        <v/>
      </c>
      <c r="AQ62">
        <f>IF(AND(J62&lt;&gt;"",AP62=0),1,0)</f>
        <v/>
      </c>
      <c r="AR62">
        <f>IF(AND(AQ62=1,F62="男"),COUNTIFS($AQ$2:AQ62,1,$F$2:F62,"男"),"")</f>
        <v/>
      </c>
      <c r="AS62">
        <f>IF(AND(AQ62=1,F62="女"),COUNTIFS($AQ$2:AQ62,1,$F$2:F62,"女"),"")</f>
        <v/>
      </c>
      <c r="BA62" t="n">
        <v>61</v>
      </c>
      <c r="BB62">
        <f>IF(BA62&gt;$Q$30,"",IF(BA62&lt;=$Q$28,$Q$26,$Q$27))</f>
        <v/>
      </c>
      <c r="BC62">
        <f>IF(BB62="","",IF(BA62&lt;=$Q$28,BA62,BA62-$Q$28))</f>
        <v/>
      </c>
      <c r="BD62">
        <f>IF(BB62="","",IF(BB62="男",$Q$13,$Q$14))</f>
        <v/>
      </c>
      <c r="BE62">
        <f>IF(BB62="","",IF(BD62&lt;=3,BD62-BC62+1,IF(BC62&lt;=INT((BD62-2)/2),2*BC62+2,IF(BC62&lt;=INT((BD62-2)/2)+INT((BD62-3)/2),(BD62-1+MOD(BD62,2))-2*(BC62-INT((BD62-2)/2)-1),3-(BC62-INT((BD62-2)/2)-INT((BD62-3)/2)-1)))))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  <c r="AO63">
        <f>IF(J63="","",F63&amp;D63)</f>
        <v/>
      </c>
      <c r="AP63">
        <f>IF(J63="","",IF(F63="男",COUNTIF(手直し!$B$6:$F$55,D63),COUNTIF(手直し!$G$6:$K$55,D63)))</f>
        <v/>
      </c>
      <c r="AQ63">
        <f>IF(AND(J63&lt;&gt;"",AP63=0),1,0)</f>
        <v/>
      </c>
      <c r="AR63">
        <f>IF(AND(AQ63=1,F63="男"),COUNTIFS($AQ$2:AQ63,1,$F$2:F63,"男"),"")</f>
        <v/>
      </c>
      <c r="AS63">
        <f>IF(AND(AQ63=1,F63="女"),COUNTIFS($AQ$2:AQ63,1,$F$2:F63,"女"),"")</f>
        <v/>
      </c>
      <c r="BA63" t="n">
        <v>62</v>
      </c>
      <c r="BB63">
        <f>IF(BA63&gt;$Q$30,"",IF(BA63&lt;=$Q$28,$Q$26,$Q$27))</f>
        <v/>
      </c>
      <c r="BC63">
        <f>IF(BB63="","",IF(BA63&lt;=$Q$28,BA63,BA63-$Q$28))</f>
        <v/>
      </c>
      <c r="BD63">
        <f>IF(BB63="","",IF(BB63="男",$Q$13,$Q$14))</f>
        <v/>
      </c>
      <c r="BE63">
        <f>IF(BB63="","",IF(BD63&lt;=3,BD63-BC63+1,IF(BC63&lt;=INT((BD63-2)/2),2*BC63+2,IF(BC63&lt;=INT((BD63-2)/2)+INT((BD63-3)/2),(BD63-1+MOD(BD63,2))-2*(BC63-INT((BD63-2)/2)-1),3-(BC63-INT((BD63-2)/2)-INT((BD63-3)/2)-1)))))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  <c r="AO64">
        <f>IF(J64="","",F64&amp;D64)</f>
        <v/>
      </c>
      <c r="AP64">
        <f>IF(J64="","",IF(F64="男",COUNTIF(手直し!$B$6:$F$55,D64),COUNTIF(手直し!$G$6:$K$55,D64)))</f>
        <v/>
      </c>
      <c r="AQ64">
        <f>IF(AND(J64&lt;&gt;"",AP64=0),1,0)</f>
        <v/>
      </c>
      <c r="AR64">
        <f>IF(AND(AQ64=1,F64="男"),COUNTIFS($AQ$2:AQ64,1,$F$2:F64,"男"),"")</f>
        <v/>
      </c>
      <c r="AS64">
        <f>IF(AND(AQ64=1,F64="女"),COUNTIFS($AQ$2:AQ64,1,$F$2:F64,"女"),"")</f>
        <v/>
      </c>
      <c r="BA64" t="n">
        <v>63</v>
      </c>
      <c r="BB64">
        <f>IF(BA64&gt;$Q$30,"",IF(BA64&lt;=$Q$28,$Q$26,$Q$27))</f>
        <v/>
      </c>
      <c r="BC64">
        <f>IF(BB64="","",IF(BA64&lt;=$Q$28,BA64,BA64-$Q$28))</f>
        <v/>
      </c>
      <c r="BD64">
        <f>IF(BB64="","",IF(BB64="男",$Q$13,$Q$14))</f>
        <v/>
      </c>
      <c r="BE64">
        <f>IF(BB64="","",IF(BD64&lt;=3,BD64-BC64+1,IF(BC64&lt;=INT((BD64-2)/2),2*BC64+2,IF(BC64&lt;=INT((BD64-2)/2)+INT((BD64-3)/2),(BD64-1+MOD(BD64,2))-2*(BC64-INT((BD64-2)/2)-1),3-(BC64-INT((BD64-2)/2)-INT((BD64-3)/2)-1)))))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  <c r="AO65">
        <f>IF(J65="","",F65&amp;D65)</f>
        <v/>
      </c>
      <c r="AP65">
        <f>IF(J65="","",IF(F65="男",COUNTIF(手直し!$B$6:$F$55,D65),COUNTIF(手直し!$G$6:$K$55,D65)))</f>
        <v/>
      </c>
      <c r="AQ65">
        <f>IF(AND(J65&lt;&gt;"",AP65=0),1,0)</f>
        <v/>
      </c>
      <c r="AR65">
        <f>IF(AND(AQ65=1,F65="男"),COUNTIFS($AQ$2:AQ65,1,$F$2:F65,"男"),"")</f>
        <v/>
      </c>
      <c r="AS65">
        <f>IF(AND(AQ65=1,F65="女"),COUNTIFS($AQ$2:AQ65,1,$F$2:F65,"女"),"")</f>
        <v/>
      </c>
      <c r="BA65" t="n">
        <v>64</v>
      </c>
      <c r="BB65">
        <f>IF(BA65&gt;$Q$30,"",IF(BA65&lt;=$Q$28,$Q$26,$Q$27))</f>
        <v/>
      </c>
      <c r="BC65">
        <f>IF(BB65="","",IF(BA65&lt;=$Q$28,BA65,BA65-$Q$28))</f>
        <v/>
      </c>
      <c r="BD65">
        <f>IF(BB65="","",IF(BB65="男",$Q$13,$Q$14))</f>
        <v/>
      </c>
      <c r="BE65">
        <f>IF(BB65="","",IF(BD65&lt;=3,BD65-BC65+1,IF(BC65&lt;=INT((BD65-2)/2),2*BC65+2,IF(BC65&lt;=INT((BD65-2)/2)+INT((BD65-3)/2),(BD65-1+MOD(BD65,2))-2*(BC65-INT((BD65-2)/2)-1),3-(BC65-INT((BD65-2)/2)-INT((BD65-3)/2)-1)))))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  <c r="AO66">
        <f>IF(J66="","",F66&amp;D66)</f>
        <v/>
      </c>
      <c r="AP66">
        <f>IF(J66="","",IF(F66="男",COUNTIF(手直し!$B$6:$F$55,D66),COUNTIF(手直し!$G$6:$K$55,D66)))</f>
        <v/>
      </c>
      <c r="AQ66">
        <f>IF(AND(J66&lt;&gt;"",AP66=0),1,0)</f>
        <v/>
      </c>
      <c r="AR66">
        <f>IF(AND(AQ66=1,F66="男"),COUNTIFS($AQ$2:AQ66,1,$F$2:F66,"男"),"")</f>
        <v/>
      </c>
      <c r="AS66">
        <f>IF(AND(AQ66=1,F66="女"),COUNTIFS($AQ$2:AQ66,1,$F$2:F66,"女"),"")</f>
        <v/>
      </c>
      <c r="BA66" t="n">
        <v>65</v>
      </c>
      <c r="BB66">
        <f>IF(BA66&gt;$Q$30,"",IF(BA66&lt;=$Q$28,$Q$26,$Q$27))</f>
        <v/>
      </c>
      <c r="BC66">
        <f>IF(BB66="","",IF(BA66&lt;=$Q$28,BA66,BA66-$Q$28))</f>
        <v/>
      </c>
      <c r="BD66">
        <f>IF(BB66="","",IF(BB66="男",$Q$13,$Q$14))</f>
        <v/>
      </c>
      <c r="BE66">
        <f>IF(BB66="","",IF(BD66&lt;=3,BD66-BC66+1,IF(BC66&lt;=INT((BD66-2)/2),2*BC66+2,IF(BC66&lt;=INT((BD66-2)/2)+INT((BD66-3)/2),(BD66-1+MOD(BD66,2))-2*(BC66-INT((BD66-2)/2)-1),3-(BC66-INT((BD66-2)/2)-INT((BD66-3)/2)-1)))))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  <c r="AO67">
        <f>IF(J67="","",F67&amp;D67)</f>
        <v/>
      </c>
      <c r="AP67">
        <f>IF(J67="","",IF(F67="男",COUNTIF(手直し!$B$6:$F$55,D67),COUNTIF(手直し!$G$6:$K$55,D67)))</f>
        <v/>
      </c>
      <c r="AQ67">
        <f>IF(AND(J67&lt;&gt;"",AP67=0),1,0)</f>
        <v/>
      </c>
      <c r="AR67">
        <f>IF(AND(AQ67=1,F67="男"),COUNTIFS($AQ$2:AQ67,1,$F$2:F67,"男"),"")</f>
        <v/>
      </c>
      <c r="AS67">
        <f>IF(AND(AQ67=1,F67="女"),COUNTIFS($AQ$2:AQ67,1,$F$2:F67,"女"),"")</f>
        <v/>
      </c>
      <c r="BA67" t="n">
        <v>66</v>
      </c>
      <c r="BB67">
        <f>IF(BA67&gt;$Q$30,"",IF(BA67&lt;=$Q$28,$Q$26,$Q$27))</f>
        <v/>
      </c>
      <c r="BC67">
        <f>IF(BB67="","",IF(BA67&lt;=$Q$28,BA67,BA67-$Q$28))</f>
        <v/>
      </c>
      <c r="BD67">
        <f>IF(BB67="","",IF(BB67="男",$Q$13,$Q$14))</f>
        <v/>
      </c>
      <c r="BE67">
        <f>IF(BB67="","",IF(BD67&lt;=3,BD67-BC67+1,IF(BC67&lt;=INT((BD67-2)/2),2*BC67+2,IF(BC67&lt;=INT((BD67-2)/2)+INT((BD67-3)/2),(BD67-1+MOD(BD67,2))-2*(BC67-INT((BD67-2)/2)-1),3-(BC67-INT((BD67-2)/2)-INT((BD67-3)/2)-1)))))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  <c r="AO68">
        <f>IF(J68="","",F68&amp;D68)</f>
        <v/>
      </c>
      <c r="AP68">
        <f>IF(J68="","",IF(F68="男",COUNTIF(手直し!$B$6:$F$55,D68),COUNTIF(手直し!$G$6:$K$55,D68)))</f>
        <v/>
      </c>
      <c r="AQ68">
        <f>IF(AND(J68&lt;&gt;"",AP68=0),1,0)</f>
        <v/>
      </c>
      <c r="AR68">
        <f>IF(AND(AQ68=1,F68="男"),COUNTIFS($AQ$2:AQ68,1,$F$2:F68,"男"),"")</f>
        <v/>
      </c>
      <c r="AS68">
        <f>IF(AND(AQ68=1,F68="女"),COUNTIFS($AQ$2:AQ68,1,$F$2:F68,"女"),"")</f>
        <v/>
      </c>
      <c r="BA68" t="n">
        <v>67</v>
      </c>
      <c r="BB68">
        <f>IF(BA68&gt;$Q$30,"",IF(BA68&lt;=$Q$28,$Q$26,$Q$27))</f>
        <v/>
      </c>
      <c r="BC68">
        <f>IF(BB68="","",IF(BA68&lt;=$Q$28,BA68,BA68-$Q$28))</f>
        <v/>
      </c>
      <c r="BD68">
        <f>IF(BB68="","",IF(BB68="男",$Q$13,$Q$14))</f>
        <v/>
      </c>
      <c r="BE68">
        <f>IF(BB68="","",IF(BD68&lt;=3,BD68-BC68+1,IF(BC68&lt;=INT((BD68-2)/2),2*BC68+2,IF(BC68&lt;=INT((BD68-2)/2)+INT((BD68-3)/2),(BD68-1+MOD(BD68,2))-2*(BC68-INT((BD68-2)/2)-1),3-(BC68-INT((BD68-2)/2)-INT((BD68-3)/2)-1)))))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  <c r="AO69">
        <f>IF(J69="","",F69&amp;D69)</f>
        <v/>
      </c>
      <c r="AP69">
        <f>IF(J69="","",IF(F69="男",COUNTIF(手直し!$B$6:$F$55,D69),COUNTIF(手直し!$G$6:$K$55,D69)))</f>
        <v/>
      </c>
      <c r="AQ69">
        <f>IF(AND(J69&lt;&gt;"",AP69=0),1,0)</f>
        <v/>
      </c>
      <c r="AR69">
        <f>IF(AND(AQ69=1,F69="男"),COUNTIFS($AQ$2:AQ69,1,$F$2:F69,"男"),"")</f>
        <v/>
      </c>
      <c r="AS69">
        <f>IF(AND(AQ69=1,F69="女"),COUNTIFS($AQ$2:AQ69,1,$F$2:F69,"女"),"")</f>
        <v/>
      </c>
      <c r="BA69" t="n">
        <v>68</v>
      </c>
      <c r="BB69">
        <f>IF(BA69&gt;$Q$30,"",IF(BA69&lt;=$Q$28,$Q$26,$Q$27))</f>
        <v/>
      </c>
      <c r="BC69">
        <f>IF(BB69="","",IF(BA69&lt;=$Q$28,BA69,BA69-$Q$28))</f>
        <v/>
      </c>
      <c r="BD69">
        <f>IF(BB69="","",IF(BB69="男",$Q$13,$Q$14))</f>
        <v/>
      </c>
      <c r="BE69">
        <f>IF(BB69="","",IF(BD69&lt;=3,BD69-BC69+1,IF(BC69&lt;=INT((BD69-2)/2),2*BC69+2,IF(BC69&lt;=INT((BD69-2)/2)+INT((BD69-3)/2),(BD69-1+MOD(BD69,2))-2*(BC69-INT((BD69-2)/2)-1),3-(BC69-INT((BD69-2)/2)-INT((BD69-3)/2)-1)))))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  <c r="AO70">
        <f>IF(J70="","",F70&amp;D70)</f>
        <v/>
      </c>
      <c r="AP70">
        <f>IF(J70="","",IF(F70="男",COUNTIF(手直し!$B$6:$F$55,D70),COUNTIF(手直し!$G$6:$K$55,D70)))</f>
        <v/>
      </c>
      <c r="AQ70">
        <f>IF(AND(J70&lt;&gt;"",AP70=0),1,0)</f>
        <v/>
      </c>
      <c r="AR70">
        <f>IF(AND(AQ70=1,F70="男"),COUNTIFS($AQ$2:AQ70,1,$F$2:F70,"男"),"")</f>
        <v/>
      </c>
      <c r="AS70">
        <f>IF(AND(AQ70=1,F70="女"),COUNTIFS($AQ$2:AQ70,1,$F$2:F70,"女"),"")</f>
        <v/>
      </c>
      <c r="BA70" t="n">
        <v>69</v>
      </c>
      <c r="BB70">
        <f>IF(BA70&gt;$Q$30,"",IF(BA70&lt;=$Q$28,$Q$26,$Q$27))</f>
        <v/>
      </c>
      <c r="BC70">
        <f>IF(BB70="","",IF(BA70&lt;=$Q$28,BA70,BA70-$Q$28))</f>
        <v/>
      </c>
      <c r="BD70">
        <f>IF(BB70="","",IF(BB70="男",$Q$13,$Q$14))</f>
        <v/>
      </c>
      <c r="BE70">
        <f>IF(BB70="","",IF(BD70&lt;=3,BD70-BC70+1,IF(BC70&lt;=INT((BD70-2)/2),2*BC70+2,IF(BC70&lt;=INT((BD70-2)/2)+INT((BD70-3)/2),(BD70-1+MOD(BD70,2))-2*(BC70-INT((BD70-2)/2)-1),3-(BC70-INT((BD70-2)/2)-INT((BD70-3)/2)-1)))))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  <c r="AO71">
        <f>IF(J71="","",F71&amp;D71)</f>
        <v/>
      </c>
      <c r="AP71">
        <f>IF(J71="","",IF(F71="男",COUNTIF(手直し!$B$6:$F$55,D71),COUNTIF(手直し!$G$6:$K$55,D71)))</f>
        <v/>
      </c>
      <c r="AQ71">
        <f>IF(AND(J71&lt;&gt;"",AP71=0),1,0)</f>
        <v/>
      </c>
      <c r="AR71">
        <f>IF(AND(AQ71=1,F71="男"),COUNTIFS($AQ$2:AQ71,1,$F$2:F71,"男"),"")</f>
        <v/>
      </c>
      <c r="AS71">
        <f>IF(AND(AQ71=1,F71="女"),COUNTIFS($AQ$2:AQ71,1,$F$2:F71,"女"),"")</f>
        <v/>
      </c>
      <c r="BA71" t="n">
        <v>70</v>
      </c>
      <c r="BB71">
        <f>IF(BA71&gt;$Q$30,"",IF(BA71&lt;=$Q$28,$Q$26,$Q$27))</f>
        <v/>
      </c>
      <c r="BC71">
        <f>IF(BB71="","",IF(BA71&lt;=$Q$28,BA71,BA71-$Q$28))</f>
        <v/>
      </c>
      <c r="BD71">
        <f>IF(BB71="","",IF(BB71="男",$Q$13,$Q$14))</f>
        <v/>
      </c>
      <c r="BE71">
        <f>IF(BB71="","",IF(BD71&lt;=3,BD71-BC71+1,IF(BC71&lt;=INT((BD71-2)/2),2*BC71+2,IF(BC71&lt;=INT((BD71-2)/2)+INT((BD71-3)/2),(BD71-1+MOD(BD71,2))-2*(BC71-INT((BD71-2)/2)-1),3-(BC71-INT((BD71-2)/2)-INT((BD71-3)/2)-1)))))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  <c r="AO72">
        <f>IF(J72="","",F72&amp;D72)</f>
        <v/>
      </c>
      <c r="AP72">
        <f>IF(J72="","",IF(F72="男",COUNTIF(手直し!$B$6:$F$55,D72),COUNTIF(手直し!$G$6:$K$55,D72)))</f>
        <v/>
      </c>
      <c r="AQ72">
        <f>IF(AND(J72&lt;&gt;"",AP72=0),1,0)</f>
        <v/>
      </c>
      <c r="AR72">
        <f>IF(AND(AQ72=1,F72="男"),COUNTIFS($AQ$2:AQ72,1,$F$2:F72,"男"),"")</f>
        <v/>
      </c>
      <c r="AS72">
        <f>IF(AND(AQ72=1,F72="女"),COUNTIFS($AQ$2:AQ72,1,$F$2:F72,"女"),"")</f>
        <v/>
      </c>
      <c r="BA72" t="n">
        <v>71</v>
      </c>
      <c r="BB72">
        <f>IF(BA72&gt;$Q$30,"",IF(BA72&lt;=$Q$28,$Q$26,$Q$27))</f>
        <v/>
      </c>
      <c r="BC72">
        <f>IF(BB72="","",IF(BA72&lt;=$Q$28,BA72,BA72-$Q$28))</f>
        <v/>
      </c>
      <c r="BD72">
        <f>IF(BB72="","",IF(BB72="男",$Q$13,$Q$14))</f>
        <v/>
      </c>
      <c r="BE72">
        <f>IF(BB72="","",IF(BD72&lt;=3,BD72-BC72+1,IF(BC72&lt;=INT((BD72-2)/2),2*BC72+2,IF(BC72&lt;=INT((BD72-2)/2)+INT((BD72-3)/2),(BD72-1+MOD(BD72,2))-2*(BC72-INT((BD72-2)/2)-1),3-(BC72-INT((BD72-2)/2)-INT((BD72-3)/2)-1)))))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  <c r="AO73">
        <f>IF(J73="","",F73&amp;D73)</f>
        <v/>
      </c>
      <c r="AP73">
        <f>IF(J73="","",IF(F73="男",COUNTIF(手直し!$B$6:$F$55,D73),COUNTIF(手直し!$G$6:$K$55,D73)))</f>
        <v/>
      </c>
      <c r="AQ73">
        <f>IF(AND(J73&lt;&gt;"",AP73=0),1,0)</f>
        <v/>
      </c>
      <c r="AR73">
        <f>IF(AND(AQ73=1,F73="男"),COUNTIFS($AQ$2:AQ73,1,$F$2:F73,"男"),"")</f>
        <v/>
      </c>
      <c r="AS73">
        <f>IF(AND(AQ73=1,F73="女"),COUNTIFS($AQ$2:AQ73,1,$F$2:F73,"女"),"")</f>
        <v/>
      </c>
      <c r="BA73" t="n">
        <v>72</v>
      </c>
      <c r="BB73">
        <f>IF(BA73&gt;$Q$30,"",IF(BA73&lt;=$Q$28,$Q$26,$Q$27))</f>
        <v/>
      </c>
      <c r="BC73">
        <f>IF(BB73="","",IF(BA73&lt;=$Q$28,BA73,BA73-$Q$28))</f>
        <v/>
      </c>
      <c r="BD73">
        <f>IF(BB73="","",IF(BB73="男",$Q$13,$Q$14))</f>
        <v/>
      </c>
      <c r="BE73">
        <f>IF(BB73="","",IF(BD73&lt;=3,BD73-BC73+1,IF(BC73&lt;=INT((BD73-2)/2),2*BC73+2,IF(BC73&lt;=INT((BD73-2)/2)+INT((BD73-3)/2),(BD73-1+MOD(BD73,2))-2*(BC73-INT((BD73-2)/2)-1),3-(BC73-INT((BD73-2)/2)-INT((BD73-3)/2)-1)))))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  <c r="AO74">
        <f>IF(J74="","",F74&amp;D74)</f>
        <v/>
      </c>
      <c r="AP74">
        <f>IF(J74="","",IF(F74="男",COUNTIF(手直し!$B$6:$F$55,D74),COUNTIF(手直し!$G$6:$K$55,D74)))</f>
        <v/>
      </c>
      <c r="AQ74">
        <f>IF(AND(J74&lt;&gt;"",AP74=0),1,0)</f>
        <v/>
      </c>
      <c r="AR74">
        <f>IF(AND(AQ74=1,F74="男"),COUNTIFS($AQ$2:AQ74,1,$F$2:F74,"男"),"")</f>
        <v/>
      </c>
      <c r="AS74">
        <f>IF(AND(AQ74=1,F74="女"),COUNTIFS($AQ$2:AQ74,1,$F$2:F74,"女"),"")</f>
        <v/>
      </c>
      <c r="BA74" t="n">
        <v>73</v>
      </c>
      <c r="BB74">
        <f>IF(BA74&gt;$Q$30,"",IF(BA74&lt;=$Q$28,$Q$26,$Q$27))</f>
        <v/>
      </c>
      <c r="BC74">
        <f>IF(BB74="","",IF(BA74&lt;=$Q$28,BA74,BA74-$Q$28))</f>
        <v/>
      </c>
      <c r="BD74">
        <f>IF(BB74="","",IF(BB74="男",$Q$13,$Q$14))</f>
        <v/>
      </c>
      <c r="BE74">
        <f>IF(BB74="","",IF(BD74&lt;=3,BD74-BC74+1,IF(BC74&lt;=INT((BD74-2)/2),2*BC74+2,IF(BC74&lt;=INT((BD74-2)/2)+INT((BD74-3)/2),(BD74-1+MOD(BD74,2))-2*(BC74-INT((BD74-2)/2)-1),3-(BC74-INT((BD74-2)/2)-INT((BD74-3)/2)-1)))))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  <c r="AO75">
        <f>IF(J75="","",F75&amp;D75)</f>
        <v/>
      </c>
      <c r="AP75">
        <f>IF(J75="","",IF(F75="男",COUNTIF(手直し!$B$6:$F$55,D75),COUNTIF(手直し!$G$6:$K$55,D75)))</f>
        <v/>
      </c>
      <c r="AQ75">
        <f>IF(AND(J75&lt;&gt;"",AP75=0),1,0)</f>
        <v/>
      </c>
      <c r="AR75">
        <f>IF(AND(AQ75=1,F75="男"),COUNTIFS($AQ$2:AQ75,1,$F$2:F75,"男"),"")</f>
        <v/>
      </c>
      <c r="AS75">
        <f>IF(AND(AQ75=1,F75="女"),COUNTIFS($AQ$2:AQ75,1,$F$2:F75,"女"),"")</f>
        <v/>
      </c>
      <c r="BA75" t="n">
        <v>74</v>
      </c>
      <c r="BB75">
        <f>IF(BA75&gt;$Q$30,"",IF(BA75&lt;=$Q$28,$Q$26,$Q$27))</f>
        <v/>
      </c>
      <c r="BC75">
        <f>IF(BB75="","",IF(BA75&lt;=$Q$28,BA75,BA75-$Q$28))</f>
        <v/>
      </c>
      <c r="BD75">
        <f>IF(BB75="","",IF(BB75="男",$Q$13,$Q$14))</f>
        <v/>
      </c>
      <c r="BE75">
        <f>IF(BB75="","",IF(BD75&lt;=3,BD75-BC75+1,IF(BC75&lt;=INT((BD75-2)/2),2*BC75+2,IF(BC75&lt;=INT((BD75-2)/2)+INT((BD75-3)/2),(BD75-1+MOD(BD75,2))-2*(BC75-INT((BD75-2)/2)-1),3-(BC75-INT((BD75-2)/2)-INT((BD75-3)/2)-1)))))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  <c r="AO76">
        <f>IF(J76="","",F76&amp;D76)</f>
        <v/>
      </c>
      <c r="AP76">
        <f>IF(J76="","",IF(F76="男",COUNTIF(手直し!$B$6:$F$55,D76),COUNTIF(手直し!$G$6:$K$55,D76)))</f>
        <v/>
      </c>
      <c r="AQ76">
        <f>IF(AND(J76&lt;&gt;"",AP76=0),1,0)</f>
        <v/>
      </c>
      <c r="AR76">
        <f>IF(AND(AQ76=1,F76="男"),COUNTIFS($AQ$2:AQ76,1,$F$2:F76,"男"),"")</f>
        <v/>
      </c>
      <c r="AS76">
        <f>IF(AND(AQ76=1,F76="女"),COUNTIFS($AQ$2:AQ76,1,$F$2:F76,"女"),"")</f>
        <v/>
      </c>
      <c r="BA76" t="n">
        <v>75</v>
      </c>
      <c r="BB76">
        <f>IF(BA76&gt;$Q$30,"",IF(BA76&lt;=$Q$28,$Q$26,$Q$27))</f>
        <v/>
      </c>
      <c r="BC76">
        <f>IF(BB76="","",IF(BA76&lt;=$Q$28,BA76,BA76-$Q$28))</f>
        <v/>
      </c>
      <c r="BD76">
        <f>IF(BB76="","",IF(BB76="男",$Q$13,$Q$14))</f>
        <v/>
      </c>
      <c r="BE76">
        <f>IF(BB76="","",IF(BD76&lt;=3,BD76-BC76+1,IF(BC76&lt;=INT((BD76-2)/2),2*BC76+2,IF(BC76&lt;=INT((BD76-2)/2)+INT((BD76-3)/2),(BD76-1+MOD(BD76,2))-2*(BC76-INT((BD76-2)/2)-1),3-(BC76-INT((BD76-2)/2)-INT((BD76-3)/2)-1)))))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  <c r="AO77">
        <f>IF(J77="","",F77&amp;D77)</f>
        <v/>
      </c>
      <c r="AP77">
        <f>IF(J77="","",IF(F77="男",COUNTIF(手直し!$B$6:$F$55,D77),COUNTIF(手直し!$G$6:$K$55,D77)))</f>
        <v/>
      </c>
      <c r="AQ77">
        <f>IF(AND(J77&lt;&gt;"",AP77=0),1,0)</f>
        <v/>
      </c>
      <c r="AR77">
        <f>IF(AND(AQ77=1,F77="男"),COUNTIFS($AQ$2:AQ77,1,$F$2:F77,"男"),"")</f>
        <v/>
      </c>
      <c r="AS77">
        <f>IF(AND(AQ77=1,F77="女"),COUNTIFS($AQ$2:AQ77,1,$F$2:F77,"女"),"")</f>
        <v/>
      </c>
      <c r="BA77" t="n">
        <v>76</v>
      </c>
      <c r="BB77">
        <f>IF(BA77&gt;$Q$30,"",IF(BA77&lt;=$Q$28,$Q$26,$Q$27))</f>
        <v/>
      </c>
      <c r="BC77">
        <f>IF(BB77="","",IF(BA77&lt;=$Q$28,BA77,BA77-$Q$28))</f>
        <v/>
      </c>
      <c r="BD77">
        <f>IF(BB77="","",IF(BB77="男",$Q$13,$Q$14))</f>
        <v/>
      </c>
      <c r="BE77">
        <f>IF(BB77="","",IF(BD77&lt;=3,BD77-BC77+1,IF(BC77&lt;=INT((BD77-2)/2),2*BC77+2,IF(BC77&lt;=INT((BD77-2)/2)+INT((BD77-3)/2),(BD77-1+MOD(BD77,2))-2*(BC77-INT((BD77-2)/2)-1),3-(BC77-INT((BD77-2)/2)-INT((BD77-3)/2)-1)))))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  <c r="AO78">
        <f>IF(J78="","",F78&amp;D78)</f>
        <v/>
      </c>
      <c r="AP78">
        <f>IF(J78="","",IF(F78="男",COUNTIF(手直し!$B$6:$F$55,D78),COUNTIF(手直し!$G$6:$K$55,D78)))</f>
        <v/>
      </c>
      <c r="AQ78">
        <f>IF(AND(J78&lt;&gt;"",AP78=0),1,0)</f>
        <v/>
      </c>
      <c r="AR78">
        <f>IF(AND(AQ78=1,F78="男"),COUNTIFS($AQ$2:AQ78,1,$F$2:F78,"男"),"")</f>
        <v/>
      </c>
      <c r="AS78">
        <f>IF(AND(AQ78=1,F78="女"),COUNTIFS($AQ$2:AQ78,1,$F$2:F78,"女"),"")</f>
        <v/>
      </c>
      <c r="BA78" t="n">
        <v>77</v>
      </c>
      <c r="BB78">
        <f>IF(BA78&gt;$Q$30,"",IF(BA78&lt;=$Q$28,$Q$26,$Q$27))</f>
        <v/>
      </c>
      <c r="BC78">
        <f>IF(BB78="","",IF(BA78&lt;=$Q$28,BA78,BA78-$Q$28))</f>
        <v/>
      </c>
      <c r="BD78">
        <f>IF(BB78="","",IF(BB78="男",$Q$13,$Q$14))</f>
        <v/>
      </c>
      <c r="BE78">
        <f>IF(BB78="","",IF(BD78&lt;=3,BD78-BC78+1,IF(BC78&lt;=INT((BD78-2)/2),2*BC78+2,IF(BC78&lt;=INT((BD78-2)/2)+INT((BD78-3)/2),(BD78-1+MOD(BD78,2))-2*(BC78-INT((BD78-2)/2)-1),3-(BC78-INT((BD78-2)/2)-INT((BD78-3)/2)-1)))))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  <c r="AO79">
        <f>IF(J79="","",F79&amp;D79)</f>
        <v/>
      </c>
      <c r="AP79">
        <f>IF(J79="","",IF(F79="男",COUNTIF(手直し!$B$6:$F$55,D79),COUNTIF(手直し!$G$6:$K$55,D79)))</f>
        <v/>
      </c>
      <c r="AQ79">
        <f>IF(AND(J79&lt;&gt;"",AP79=0),1,0)</f>
        <v/>
      </c>
      <c r="AR79">
        <f>IF(AND(AQ79=1,F79="男"),COUNTIFS($AQ$2:AQ79,1,$F$2:F79,"男"),"")</f>
        <v/>
      </c>
      <c r="AS79">
        <f>IF(AND(AQ79=1,F79="女"),COUNTIFS($AQ$2:AQ79,1,$F$2:F79,"女"),"")</f>
        <v/>
      </c>
      <c r="BA79" t="n">
        <v>78</v>
      </c>
      <c r="BB79">
        <f>IF(BA79&gt;$Q$30,"",IF(BA79&lt;=$Q$28,$Q$26,$Q$27))</f>
        <v/>
      </c>
      <c r="BC79">
        <f>IF(BB79="","",IF(BA79&lt;=$Q$28,BA79,BA79-$Q$28))</f>
        <v/>
      </c>
      <c r="BD79">
        <f>IF(BB79="","",IF(BB79="男",$Q$13,$Q$14))</f>
        <v/>
      </c>
      <c r="BE79">
        <f>IF(BB79="","",IF(BD79&lt;=3,BD79-BC79+1,IF(BC79&lt;=INT((BD79-2)/2),2*BC79+2,IF(BC79&lt;=INT((BD79-2)/2)+INT((BD79-3)/2),(BD79-1+MOD(BD79,2))-2*(BC79-INT((BD79-2)/2)-1),3-(BC79-INT((BD79-2)/2)-INT((BD79-3)/2)-1)))))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  <c r="AO80">
        <f>IF(J80="","",F80&amp;D80)</f>
        <v/>
      </c>
      <c r="AP80">
        <f>IF(J80="","",IF(F80="男",COUNTIF(手直し!$B$6:$F$55,D80),COUNTIF(手直し!$G$6:$K$55,D80)))</f>
        <v/>
      </c>
      <c r="AQ80">
        <f>IF(AND(J80&lt;&gt;"",AP80=0),1,0)</f>
        <v/>
      </c>
      <c r="AR80">
        <f>IF(AND(AQ80=1,F80="男"),COUNTIFS($AQ$2:AQ80,1,$F$2:F80,"男"),"")</f>
        <v/>
      </c>
      <c r="AS80">
        <f>IF(AND(AQ80=1,F80="女"),COUNTIFS($AQ$2:AQ80,1,$F$2:F80,"女"),"")</f>
        <v/>
      </c>
      <c r="BA80" t="n">
        <v>79</v>
      </c>
      <c r="BB80">
        <f>IF(BA80&gt;$Q$30,"",IF(BA80&lt;=$Q$28,$Q$26,$Q$27))</f>
        <v/>
      </c>
      <c r="BC80">
        <f>IF(BB80="","",IF(BA80&lt;=$Q$28,BA80,BA80-$Q$28))</f>
        <v/>
      </c>
      <c r="BD80">
        <f>IF(BB80="","",IF(BB80="男",$Q$13,$Q$14))</f>
        <v/>
      </c>
      <c r="BE80">
        <f>IF(BB80="","",IF(BD80&lt;=3,BD80-BC80+1,IF(BC80&lt;=INT((BD80-2)/2),2*BC80+2,IF(BC80&lt;=INT((BD80-2)/2)+INT((BD80-3)/2),(BD80-1+MOD(BD80,2))-2*(BC80-INT((BD80-2)/2)-1),3-(BC80-INT((BD80-2)/2)-INT((BD80-3)/2)-1)))))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  <c r="AO81">
        <f>IF(J81="","",F81&amp;D81)</f>
        <v/>
      </c>
      <c r="AP81">
        <f>IF(J81="","",IF(F81="男",COUNTIF(手直し!$B$6:$F$55,D81),COUNTIF(手直し!$G$6:$K$55,D81)))</f>
        <v/>
      </c>
      <c r="AQ81">
        <f>IF(AND(J81&lt;&gt;"",AP81=0),1,0)</f>
        <v/>
      </c>
      <c r="AR81">
        <f>IF(AND(AQ81=1,F81="男"),COUNTIFS($AQ$2:AQ81,1,$F$2:F81,"男"),"")</f>
        <v/>
      </c>
      <c r="AS81">
        <f>IF(AND(AQ81=1,F81="女"),COUNTIFS($AQ$2:AQ81,1,$F$2:F81,"女"),"")</f>
        <v/>
      </c>
      <c r="BA81" t="n">
        <v>80</v>
      </c>
      <c r="BB81">
        <f>IF(BA81&gt;$Q$30,"",IF(BA81&lt;=$Q$28,$Q$26,$Q$27))</f>
        <v/>
      </c>
      <c r="BC81">
        <f>IF(BB81="","",IF(BA81&lt;=$Q$28,BA81,BA81-$Q$28))</f>
        <v/>
      </c>
      <c r="BD81">
        <f>IF(BB81="","",IF(BB81="男",$Q$13,$Q$14))</f>
        <v/>
      </c>
      <c r="BE81">
        <f>IF(BB81="","",IF(BD81&lt;=3,BD81-BC81+1,IF(BC81&lt;=INT((BD81-2)/2),2*BC81+2,IF(BC81&lt;=INT((BD81-2)/2)+INT((BD81-3)/2),(BD81-1+MOD(BD81,2))-2*(BC81-INT((BD81-2)/2)-1),3-(BC81-INT((BD81-2)/2)-INT((BD81-3)/2)-1)))))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  <c r="AO82">
        <f>IF(J82="","",F82&amp;D82)</f>
        <v/>
      </c>
      <c r="AP82">
        <f>IF(J82="","",IF(F82="男",COUNTIF(手直し!$B$6:$F$55,D82),COUNTIF(手直し!$G$6:$K$55,D82)))</f>
        <v/>
      </c>
      <c r="AQ82">
        <f>IF(AND(J82&lt;&gt;"",AP82=0),1,0)</f>
        <v/>
      </c>
      <c r="AR82">
        <f>IF(AND(AQ82=1,F82="男"),COUNTIFS($AQ$2:AQ82,1,$F$2:F82,"男"),"")</f>
        <v/>
      </c>
      <c r="AS82">
        <f>IF(AND(AQ82=1,F82="女"),COUNTIFS($AQ$2:AQ82,1,$F$2:F82,"女"),"")</f>
        <v/>
      </c>
      <c r="BA82" t="n">
        <v>81</v>
      </c>
      <c r="BB82">
        <f>IF(BA82&gt;$Q$30,"",IF(BA82&lt;=$Q$28,$Q$26,$Q$27))</f>
        <v/>
      </c>
      <c r="BC82">
        <f>IF(BB82="","",IF(BA82&lt;=$Q$28,BA82,BA82-$Q$28))</f>
        <v/>
      </c>
      <c r="BD82">
        <f>IF(BB82="","",IF(BB82="男",$Q$13,$Q$14))</f>
        <v/>
      </c>
      <c r="BE82">
        <f>IF(BB82="","",IF(BD82&lt;=3,BD82-BC82+1,IF(BC82&lt;=INT((BD82-2)/2),2*BC82+2,IF(BC82&lt;=INT((BD82-2)/2)+INT((BD82-3)/2),(BD82-1+MOD(BD82,2))-2*(BC82-INT((BD82-2)/2)-1),3-(BC82-INT((BD82-2)/2)-INT((BD82-3)/2)-1)))))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  <c r="AO83">
        <f>IF(J83="","",F83&amp;D83)</f>
        <v/>
      </c>
      <c r="AP83">
        <f>IF(J83="","",IF(F83="男",COUNTIF(手直し!$B$6:$F$55,D83),COUNTIF(手直し!$G$6:$K$55,D83)))</f>
        <v/>
      </c>
      <c r="AQ83">
        <f>IF(AND(J83&lt;&gt;"",AP83=0),1,0)</f>
        <v/>
      </c>
      <c r="AR83">
        <f>IF(AND(AQ83=1,F83="男"),COUNTIFS($AQ$2:AQ83,1,$F$2:F83,"男"),"")</f>
        <v/>
      </c>
      <c r="AS83">
        <f>IF(AND(AQ83=1,F83="女"),COUNTIFS($AQ$2:AQ83,1,$F$2:F83,"女"),"")</f>
        <v/>
      </c>
      <c r="BA83" t="n">
        <v>82</v>
      </c>
      <c r="BB83">
        <f>IF(BA83&gt;$Q$30,"",IF(BA83&lt;=$Q$28,$Q$26,$Q$27))</f>
        <v/>
      </c>
      <c r="BC83">
        <f>IF(BB83="","",IF(BA83&lt;=$Q$28,BA83,BA83-$Q$28))</f>
        <v/>
      </c>
      <c r="BD83">
        <f>IF(BB83="","",IF(BB83="男",$Q$13,$Q$14))</f>
        <v/>
      </c>
      <c r="BE83">
        <f>IF(BB83="","",IF(BD83&lt;=3,BD83-BC83+1,IF(BC83&lt;=INT((BD83-2)/2),2*BC83+2,IF(BC83&lt;=INT((BD83-2)/2)+INT((BD83-3)/2),(BD83-1+MOD(BD83,2))-2*(BC83-INT((BD83-2)/2)-1),3-(BC83-INT((BD83-2)/2)-INT((BD83-3)/2)-1)))))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  <c r="AO84">
        <f>IF(J84="","",F84&amp;D84)</f>
        <v/>
      </c>
      <c r="AP84">
        <f>IF(J84="","",IF(F84="男",COUNTIF(手直し!$B$6:$F$55,D84),COUNTIF(手直し!$G$6:$K$55,D84)))</f>
        <v/>
      </c>
      <c r="AQ84">
        <f>IF(AND(J84&lt;&gt;"",AP84=0),1,0)</f>
        <v/>
      </c>
      <c r="AR84">
        <f>IF(AND(AQ84=1,F84="男"),COUNTIFS($AQ$2:AQ84,1,$F$2:F84,"男"),"")</f>
        <v/>
      </c>
      <c r="AS84">
        <f>IF(AND(AQ84=1,F84="女"),COUNTIFS($AQ$2:AQ84,1,$F$2:F84,"女"),"")</f>
        <v/>
      </c>
      <c r="BA84" t="n">
        <v>83</v>
      </c>
      <c r="BB84">
        <f>IF(BA84&gt;$Q$30,"",IF(BA84&lt;=$Q$28,$Q$26,$Q$27))</f>
        <v/>
      </c>
      <c r="BC84">
        <f>IF(BB84="","",IF(BA84&lt;=$Q$28,BA84,BA84-$Q$28))</f>
        <v/>
      </c>
      <c r="BD84">
        <f>IF(BB84="","",IF(BB84="男",$Q$13,$Q$14))</f>
        <v/>
      </c>
      <c r="BE84">
        <f>IF(BB84="","",IF(BD84&lt;=3,BD84-BC84+1,IF(BC84&lt;=INT((BD84-2)/2),2*BC84+2,IF(BC84&lt;=INT((BD84-2)/2)+INT((BD84-3)/2),(BD84-1+MOD(BD84,2))-2*(BC84-INT((BD84-2)/2)-1),3-(BC84-INT((BD84-2)/2)-INT((BD84-3)/2)-1)))))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  <c r="AO85">
        <f>IF(J85="","",F85&amp;D85)</f>
        <v/>
      </c>
      <c r="AP85">
        <f>IF(J85="","",IF(F85="男",COUNTIF(手直し!$B$6:$F$55,D85),COUNTIF(手直し!$G$6:$K$55,D85)))</f>
        <v/>
      </c>
      <c r="AQ85">
        <f>IF(AND(J85&lt;&gt;"",AP85=0),1,0)</f>
        <v/>
      </c>
      <c r="AR85">
        <f>IF(AND(AQ85=1,F85="男"),COUNTIFS($AQ$2:AQ85,1,$F$2:F85,"男"),"")</f>
        <v/>
      </c>
      <c r="AS85">
        <f>IF(AND(AQ85=1,F85="女"),COUNTIFS($AQ$2:AQ85,1,$F$2:F85,"女"),"")</f>
        <v/>
      </c>
      <c r="BA85" t="n">
        <v>84</v>
      </c>
      <c r="BB85">
        <f>IF(BA85&gt;$Q$30,"",IF(BA85&lt;=$Q$28,$Q$26,$Q$27))</f>
        <v/>
      </c>
      <c r="BC85">
        <f>IF(BB85="","",IF(BA85&lt;=$Q$28,BA85,BA85-$Q$28))</f>
        <v/>
      </c>
      <c r="BD85">
        <f>IF(BB85="","",IF(BB85="男",$Q$13,$Q$14))</f>
        <v/>
      </c>
      <c r="BE85">
        <f>IF(BB85="","",IF(BD85&lt;=3,BD85-BC85+1,IF(BC85&lt;=INT((BD85-2)/2),2*BC85+2,IF(BC85&lt;=INT((BD85-2)/2)+INT((BD85-3)/2),(BD85-1+MOD(BD85,2))-2*(BC85-INT((BD85-2)/2)-1),3-(BC85-INT((BD85-2)/2)-INT((BD85-3)/2)-1)))))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  <c r="AO86">
        <f>IF(J86="","",F86&amp;D86)</f>
        <v/>
      </c>
      <c r="AP86">
        <f>IF(J86="","",IF(F86="男",COUNTIF(手直し!$B$6:$F$55,D86),COUNTIF(手直し!$G$6:$K$55,D86)))</f>
        <v/>
      </c>
      <c r="AQ86">
        <f>IF(AND(J86&lt;&gt;"",AP86=0),1,0)</f>
        <v/>
      </c>
      <c r="AR86">
        <f>IF(AND(AQ86=1,F86="男"),COUNTIFS($AQ$2:AQ86,1,$F$2:F86,"男"),"")</f>
        <v/>
      </c>
      <c r="AS86">
        <f>IF(AND(AQ86=1,F86="女"),COUNTIFS($AQ$2:AQ86,1,$F$2:F86,"女"),"")</f>
        <v/>
      </c>
      <c r="BA86" t="n">
        <v>85</v>
      </c>
      <c r="BB86">
        <f>IF(BA86&gt;$Q$30,"",IF(BA86&lt;=$Q$28,$Q$26,$Q$27))</f>
        <v/>
      </c>
      <c r="BC86">
        <f>IF(BB86="","",IF(BA86&lt;=$Q$28,BA86,BA86-$Q$28))</f>
        <v/>
      </c>
      <c r="BD86">
        <f>IF(BB86="","",IF(BB86="男",$Q$13,$Q$14))</f>
        <v/>
      </c>
      <c r="BE86">
        <f>IF(BB86="","",IF(BD86&lt;=3,BD86-BC86+1,IF(BC86&lt;=INT((BD86-2)/2),2*BC86+2,IF(BC86&lt;=INT((BD86-2)/2)+INT((BD86-3)/2),(BD86-1+MOD(BD86,2))-2*(BC86-INT((BD86-2)/2)-1),3-(BC86-INT((BD86-2)/2)-INT((BD86-3)/2)-1)))))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  <c r="AO87">
        <f>IF(J87="","",F87&amp;D87)</f>
        <v/>
      </c>
      <c r="AP87">
        <f>IF(J87="","",IF(F87="男",COUNTIF(手直し!$B$6:$F$55,D87),COUNTIF(手直し!$G$6:$K$55,D87)))</f>
        <v/>
      </c>
      <c r="AQ87">
        <f>IF(AND(J87&lt;&gt;"",AP87=0),1,0)</f>
        <v/>
      </c>
      <c r="AR87">
        <f>IF(AND(AQ87=1,F87="男"),COUNTIFS($AQ$2:AQ87,1,$F$2:F87,"男"),"")</f>
        <v/>
      </c>
      <c r="AS87">
        <f>IF(AND(AQ87=1,F87="女"),COUNTIFS($AQ$2:AQ87,1,$F$2:F87,"女"),"")</f>
        <v/>
      </c>
      <c r="BA87" t="n">
        <v>86</v>
      </c>
      <c r="BB87">
        <f>IF(BA87&gt;$Q$30,"",IF(BA87&lt;=$Q$28,$Q$26,$Q$27))</f>
        <v/>
      </c>
      <c r="BC87">
        <f>IF(BB87="","",IF(BA87&lt;=$Q$28,BA87,BA87-$Q$28))</f>
        <v/>
      </c>
      <c r="BD87">
        <f>IF(BB87="","",IF(BB87="男",$Q$13,$Q$14))</f>
        <v/>
      </c>
      <c r="BE87">
        <f>IF(BB87="","",IF(BD87&lt;=3,BD87-BC87+1,IF(BC87&lt;=INT((BD87-2)/2),2*BC87+2,IF(BC87&lt;=INT((BD87-2)/2)+INT((BD87-3)/2),(BD87-1+MOD(BD87,2))-2*(BC87-INT((BD87-2)/2)-1),3-(BC87-INT((BD87-2)/2)-INT((BD87-3)/2)-1)))))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  <c r="AO88">
        <f>IF(J88="","",F88&amp;D88)</f>
        <v/>
      </c>
      <c r="AP88">
        <f>IF(J88="","",IF(F88="男",COUNTIF(手直し!$B$6:$F$55,D88),COUNTIF(手直し!$G$6:$K$55,D88)))</f>
        <v/>
      </c>
      <c r="AQ88">
        <f>IF(AND(J88&lt;&gt;"",AP88=0),1,0)</f>
        <v/>
      </c>
      <c r="AR88">
        <f>IF(AND(AQ88=1,F88="男"),COUNTIFS($AQ$2:AQ88,1,$F$2:F88,"男"),"")</f>
        <v/>
      </c>
      <c r="AS88">
        <f>IF(AND(AQ88=1,F88="女"),COUNTIFS($AQ$2:AQ88,1,$F$2:F88,"女"),"")</f>
        <v/>
      </c>
      <c r="BA88" t="n">
        <v>87</v>
      </c>
      <c r="BB88">
        <f>IF(BA88&gt;$Q$30,"",IF(BA88&lt;=$Q$28,$Q$26,$Q$27))</f>
        <v/>
      </c>
      <c r="BC88">
        <f>IF(BB88="","",IF(BA88&lt;=$Q$28,BA88,BA88-$Q$28))</f>
        <v/>
      </c>
      <c r="BD88">
        <f>IF(BB88="","",IF(BB88="男",$Q$13,$Q$14))</f>
        <v/>
      </c>
      <c r="BE88">
        <f>IF(BB88="","",IF(BD88&lt;=3,BD88-BC88+1,IF(BC88&lt;=INT((BD88-2)/2),2*BC88+2,IF(BC88&lt;=INT((BD88-2)/2)+INT((BD88-3)/2),(BD88-1+MOD(BD88,2))-2*(BC88-INT((BD88-2)/2)-1),3-(BC88-INT((BD88-2)/2)-INT((BD88-3)/2)-1)))))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  <c r="AO89">
        <f>IF(J89="","",F89&amp;D89)</f>
        <v/>
      </c>
      <c r="AP89">
        <f>IF(J89="","",IF(F89="男",COUNTIF(手直し!$B$6:$F$55,D89),COUNTIF(手直し!$G$6:$K$55,D89)))</f>
        <v/>
      </c>
      <c r="AQ89">
        <f>IF(AND(J89&lt;&gt;"",AP89=0),1,0)</f>
        <v/>
      </c>
      <c r="AR89">
        <f>IF(AND(AQ89=1,F89="男"),COUNTIFS($AQ$2:AQ89,1,$F$2:F89,"男"),"")</f>
        <v/>
      </c>
      <c r="AS89">
        <f>IF(AND(AQ89=1,F89="女"),COUNTIFS($AQ$2:AQ89,1,$F$2:F89,"女"),"")</f>
        <v/>
      </c>
      <c r="BA89" t="n">
        <v>88</v>
      </c>
      <c r="BB89">
        <f>IF(BA89&gt;$Q$30,"",IF(BA89&lt;=$Q$28,$Q$26,$Q$27))</f>
        <v/>
      </c>
      <c r="BC89">
        <f>IF(BB89="","",IF(BA89&lt;=$Q$28,BA89,BA89-$Q$28))</f>
        <v/>
      </c>
      <c r="BD89">
        <f>IF(BB89="","",IF(BB89="男",$Q$13,$Q$14))</f>
        <v/>
      </c>
      <c r="BE89">
        <f>IF(BB89="","",IF(BD89&lt;=3,BD89-BC89+1,IF(BC89&lt;=INT((BD89-2)/2),2*BC89+2,IF(BC89&lt;=INT((BD89-2)/2)+INT((BD89-3)/2),(BD89-1+MOD(BD89,2))-2*(BC89-INT((BD89-2)/2)-1),3-(BC89-INT((BD89-2)/2)-INT((BD89-3)/2)-1)))))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  <c r="AO90">
        <f>IF(J90="","",F90&amp;D90)</f>
        <v/>
      </c>
      <c r="AP90">
        <f>IF(J90="","",IF(F90="男",COUNTIF(手直し!$B$6:$F$55,D90),COUNTIF(手直し!$G$6:$K$55,D90)))</f>
        <v/>
      </c>
      <c r="AQ90">
        <f>IF(AND(J90&lt;&gt;"",AP90=0),1,0)</f>
        <v/>
      </c>
      <c r="AR90">
        <f>IF(AND(AQ90=1,F90="男"),COUNTIFS($AQ$2:AQ90,1,$F$2:F90,"男"),"")</f>
        <v/>
      </c>
      <c r="AS90">
        <f>IF(AND(AQ90=1,F90="女"),COUNTIFS($AQ$2:AQ90,1,$F$2:F90,"女"),"")</f>
        <v/>
      </c>
      <c r="BA90" t="n">
        <v>89</v>
      </c>
      <c r="BB90">
        <f>IF(BA90&gt;$Q$30,"",IF(BA90&lt;=$Q$28,$Q$26,$Q$27))</f>
        <v/>
      </c>
      <c r="BC90">
        <f>IF(BB90="","",IF(BA90&lt;=$Q$28,BA90,BA90-$Q$28))</f>
        <v/>
      </c>
      <c r="BD90">
        <f>IF(BB90="","",IF(BB90="男",$Q$13,$Q$14))</f>
        <v/>
      </c>
      <c r="BE90">
        <f>IF(BB90="","",IF(BD90&lt;=3,BD90-BC90+1,IF(BC90&lt;=INT((BD90-2)/2),2*BC90+2,IF(BC90&lt;=INT((BD90-2)/2)+INT((BD90-3)/2),(BD90-1+MOD(BD90,2))-2*(BC90-INT((BD90-2)/2)-1),3-(BC90-INT((BD90-2)/2)-INT((BD90-3)/2)-1)))))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  <c r="AO91">
        <f>IF(J91="","",F91&amp;D91)</f>
        <v/>
      </c>
      <c r="AP91">
        <f>IF(J91="","",IF(F91="男",COUNTIF(手直し!$B$6:$F$55,D91),COUNTIF(手直し!$G$6:$K$55,D91)))</f>
        <v/>
      </c>
      <c r="AQ91">
        <f>IF(AND(J91&lt;&gt;"",AP91=0),1,0)</f>
        <v/>
      </c>
      <c r="AR91">
        <f>IF(AND(AQ91=1,F91="男"),COUNTIFS($AQ$2:AQ91,1,$F$2:F91,"男"),"")</f>
        <v/>
      </c>
      <c r="AS91">
        <f>IF(AND(AQ91=1,F91="女"),COUNTIFS($AQ$2:AQ91,1,$F$2:F91,"女"),"")</f>
        <v/>
      </c>
      <c r="BA91" t="n">
        <v>90</v>
      </c>
      <c r="BB91">
        <f>IF(BA91&gt;$Q$30,"",IF(BA91&lt;=$Q$28,$Q$26,$Q$27))</f>
        <v/>
      </c>
      <c r="BC91">
        <f>IF(BB91="","",IF(BA91&lt;=$Q$28,BA91,BA91-$Q$28))</f>
        <v/>
      </c>
      <c r="BD91">
        <f>IF(BB91="","",IF(BB91="男",$Q$13,$Q$14))</f>
        <v/>
      </c>
      <c r="BE91">
        <f>IF(BB91="","",IF(BD91&lt;=3,BD91-BC91+1,IF(BC91&lt;=INT((BD91-2)/2),2*BC91+2,IF(BC91&lt;=INT((BD91-2)/2)+INT((BD91-3)/2),(BD91-1+MOD(BD91,2))-2*(BC91-INT((BD91-2)/2)-1),3-(BC91-INT((BD91-2)/2)-INT((BD91-3)/2)-1)))))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  <c r="AO92">
        <f>IF(J92="","",F92&amp;D92)</f>
        <v/>
      </c>
      <c r="AP92">
        <f>IF(J92="","",IF(F92="男",COUNTIF(手直し!$B$6:$F$55,D92),COUNTIF(手直し!$G$6:$K$55,D92)))</f>
        <v/>
      </c>
      <c r="AQ92">
        <f>IF(AND(J92&lt;&gt;"",AP92=0),1,0)</f>
        <v/>
      </c>
      <c r="AR92">
        <f>IF(AND(AQ92=1,F92="男"),COUNTIFS($AQ$2:AQ92,1,$F$2:F92,"男"),"")</f>
        <v/>
      </c>
      <c r="AS92">
        <f>IF(AND(AQ92=1,F92="女"),COUNTIFS($AQ$2:AQ92,1,$F$2:F92,"女"),"")</f>
        <v/>
      </c>
      <c r="BA92" t="n">
        <v>91</v>
      </c>
      <c r="BB92">
        <f>IF(BA92&gt;$Q$30,"",IF(BA92&lt;=$Q$28,$Q$26,$Q$27))</f>
        <v/>
      </c>
      <c r="BC92">
        <f>IF(BB92="","",IF(BA92&lt;=$Q$28,BA92,BA92-$Q$28))</f>
        <v/>
      </c>
      <c r="BD92">
        <f>IF(BB92="","",IF(BB92="男",$Q$13,$Q$14))</f>
        <v/>
      </c>
      <c r="BE92">
        <f>IF(BB92="","",IF(BD92&lt;=3,BD92-BC92+1,IF(BC92&lt;=INT((BD92-2)/2),2*BC92+2,IF(BC92&lt;=INT((BD92-2)/2)+INT((BD92-3)/2),(BD92-1+MOD(BD92,2))-2*(BC92-INT((BD92-2)/2)-1),3-(BC92-INT((BD92-2)/2)-INT((BD92-3)/2)-1)))))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  <c r="AO93">
        <f>IF(J93="","",F93&amp;D93)</f>
        <v/>
      </c>
      <c r="AP93">
        <f>IF(J93="","",IF(F93="男",COUNTIF(手直し!$B$6:$F$55,D93),COUNTIF(手直し!$G$6:$K$55,D93)))</f>
        <v/>
      </c>
      <c r="AQ93">
        <f>IF(AND(J93&lt;&gt;"",AP93=0),1,0)</f>
        <v/>
      </c>
      <c r="AR93">
        <f>IF(AND(AQ93=1,F93="男"),COUNTIFS($AQ$2:AQ93,1,$F$2:F93,"男"),"")</f>
        <v/>
      </c>
      <c r="AS93">
        <f>IF(AND(AQ93=1,F93="女"),COUNTIFS($AQ$2:AQ93,1,$F$2:F93,"女"),"")</f>
        <v/>
      </c>
      <c r="BA93" t="n">
        <v>92</v>
      </c>
      <c r="BB93">
        <f>IF(BA93&gt;$Q$30,"",IF(BA93&lt;=$Q$28,$Q$26,$Q$27))</f>
        <v/>
      </c>
      <c r="BC93">
        <f>IF(BB93="","",IF(BA93&lt;=$Q$28,BA93,BA93-$Q$28))</f>
        <v/>
      </c>
      <c r="BD93">
        <f>IF(BB93="","",IF(BB93="男",$Q$13,$Q$14))</f>
        <v/>
      </c>
      <c r="BE93">
        <f>IF(BB93="","",IF(BD93&lt;=3,BD93-BC93+1,IF(BC93&lt;=INT((BD93-2)/2),2*BC93+2,IF(BC93&lt;=INT((BD93-2)/2)+INT((BD93-3)/2),(BD93-1+MOD(BD93,2))-2*(BC93-INT((BD93-2)/2)-1),3-(BC93-INT((BD93-2)/2)-INT((BD93-3)/2)-1)))))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  <c r="AO94">
        <f>IF(J94="","",F94&amp;D94)</f>
        <v/>
      </c>
      <c r="AP94">
        <f>IF(J94="","",IF(F94="男",COUNTIF(手直し!$B$6:$F$55,D94),COUNTIF(手直し!$G$6:$K$55,D94)))</f>
        <v/>
      </c>
      <c r="AQ94">
        <f>IF(AND(J94&lt;&gt;"",AP94=0),1,0)</f>
        <v/>
      </c>
      <c r="AR94">
        <f>IF(AND(AQ94=1,F94="男"),COUNTIFS($AQ$2:AQ94,1,$F$2:F94,"男"),"")</f>
        <v/>
      </c>
      <c r="AS94">
        <f>IF(AND(AQ94=1,F94="女"),COUNTIFS($AQ$2:AQ94,1,$F$2:F94,"女"),"")</f>
        <v/>
      </c>
      <c r="BA94" t="n">
        <v>93</v>
      </c>
      <c r="BB94">
        <f>IF(BA94&gt;$Q$30,"",IF(BA94&lt;=$Q$28,$Q$26,$Q$27))</f>
        <v/>
      </c>
      <c r="BC94">
        <f>IF(BB94="","",IF(BA94&lt;=$Q$28,BA94,BA94-$Q$28))</f>
        <v/>
      </c>
      <c r="BD94">
        <f>IF(BB94="","",IF(BB94="男",$Q$13,$Q$14))</f>
        <v/>
      </c>
      <c r="BE94">
        <f>IF(BB94="","",IF(BD94&lt;=3,BD94-BC94+1,IF(BC94&lt;=INT((BD94-2)/2),2*BC94+2,IF(BC94&lt;=INT((BD94-2)/2)+INT((BD94-3)/2),(BD94-1+MOD(BD94,2))-2*(BC94-INT((BD94-2)/2)-1),3-(BC94-INT((BD94-2)/2)-INT((BD94-3)/2)-1)))))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  <c r="AO95">
        <f>IF(J95="","",F95&amp;D95)</f>
        <v/>
      </c>
      <c r="AP95">
        <f>IF(J95="","",IF(F95="男",COUNTIF(手直し!$B$6:$F$55,D95),COUNTIF(手直し!$G$6:$K$55,D95)))</f>
        <v/>
      </c>
      <c r="AQ95">
        <f>IF(AND(J95&lt;&gt;"",AP95=0),1,0)</f>
        <v/>
      </c>
      <c r="AR95">
        <f>IF(AND(AQ95=1,F95="男"),COUNTIFS($AQ$2:AQ95,1,$F$2:F95,"男"),"")</f>
        <v/>
      </c>
      <c r="AS95">
        <f>IF(AND(AQ95=1,F95="女"),COUNTIFS($AQ$2:AQ95,1,$F$2:F95,"女"),"")</f>
        <v/>
      </c>
      <c r="BA95" t="n">
        <v>94</v>
      </c>
      <c r="BB95">
        <f>IF(BA95&gt;$Q$30,"",IF(BA95&lt;=$Q$28,$Q$26,$Q$27))</f>
        <v/>
      </c>
      <c r="BC95">
        <f>IF(BB95="","",IF(BA95&lt;=$Q$28,BA95,BA95-$Q$28))</f>
        <v/>
      </c>
      <c r="BD95">
        <f>IF(BB95="","",IF(BB95="男",$Q$13,$Q$14))</f>
        <v/>
      </c>
      <c r="BE95">
        <f>IF(BB95="","",IF(BD95&lt;=3,BD95-BC95+1,IF(BC95&lt;=INT((BD95-2)/2),2*BC95+2,IF(BC95&lt;=INT((BD95-2)/2)+INT((BD95-3)/2),(BD95-1+MOD(BD95,2))-2*(BC95-INT((BD95-2)/2)-1),3-(BC95-INT((BD95-2)/2)-INT((BD95-3)/2)-1)))))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  <c r="AO96">
        <f>IF(J96="","",F96&amp;D96)</f>
        <v/>
      </c>
      <c r="AP96">
        <f>IF(J96="","",IF(F96="男",COUNTIF(手直し!$B$6:$F$55,D96),COUNTIF(手直し!$G$6:$K$55,D96)))</f>
        <v/>
      </c>
      <c r="AQ96">
        <f>IF(AND(J96&lt;&gt;"",AP96=0),1,0)</f>
        <v/>
      </c>
      <c r="AR96">
        <f>IF(AND(AQ96=1,F96="男"),COUNTIFS($AQ$2:AQ96,1,$F$2:F96,"男"),"")</f>
        <v/>
      </c>
      <c r="AS96">
        <f>IF(AND(AQ96=1,F96="女"),COUNTIFS($AQ$2:AQ96,1,$F$2:F96,"女"),"")</f>
        <v/>
      </c>
      <c r="BA96" t="n">
        <v>95</v>
      </c>
      <c r="BB96">
        <f>IF(BA96&gt;$Q$30,"",IF(BA96&lt;=$Q$28,$Q$26,$Q$27))</f>
        <v/>
      </c>
      <c r="BC96">
        <f>IF(BB96="","",IF(BA96&lt;=$Q$28,BA96,BA96-$Q$28))</f>
        <v/>
      </c>
      <c r="BD96">
        <f>IF(BB96="","",IF(BB96="男",$Q$13,$Q$14))</f>
        <v/>
      </c>
      <c r="BE96">
        <f>IF(BB96="","",IF(BD96&lt;=3,BD96-BC96+1,IF(BC96&lt;=INT((BD96-2)/2),2*BC96+2,IF(BC96&lt;=INT((BD96-2)/2)+INT((BD96-3)/2),(BD96-1+MOD(BD96,2))-2*(BC96-INT((BD96-2)/2)-1),3-(BC96-INT((BD96-2)/2)-INT((BD96-3)/2)-1)))))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  <c r="AO97">
        <f>IF(J97="","",F97&amp;D97)</f>
        <v/>
      </c>
      <c r="AP97">
        <f>IF(J97="","",IF(F97="男",COUNTIF(手直し!$B$6:$F$55,D97),COUNTIF(手直し!$G$6:$K$55,D97)))</f>
        <v/>
      </c>
      <c r="AQ97">
        <f>IF(AND(J97&lt;&gt;"",AP97=0),1,0)</f>
        <v/>
      </c>
      <c r="AR97">
        <f>IF(AND(AQ97=1,F97="男"),COUNTIFS($AQ$2:AQ97,1,$F$2:F97,"男"),"")</f>
        <v/>
      </c>
      <c r="AS97">
        <f>IF(AND(AQ97=1,F97="女"),COUNTIFS($AQ$2:AQ97,1,$F$2:F97,"女"),"")</f>
        <v/>
      </c>
      <c r="BA97" t="n">
        <v>96</v>
      </c>
      <c r="BB97">
        <f>IF(BA97&gt;$Q$30,"",IF(BA97&lt;=$Q$28,$Q$26,$Q$27))</f>
        <v/>
      </c>
      <c r="BC97">
        <f>IF(BB97="","",IF(BA97&lt;=$Q$28,BA97,BA97-$Q$28))</f>
        <v/>
      </c>
      <c r="BD97">
        <f>IF(BB97="","",IF(BB97="男",$Q$13,$Q$14))</f>
        <v/>
      </c>
      <c r="BE97">
        <f>IF(BB97="","",IF(BD97&lt;=3,BD97-BC97+1,IF(BC97&lt;=INT((BD97-2)/2),2*BC97+2,IF(BC97&lt;=INT((BD97-2)/2)+INT((BD97-3)/2),(BD97-1+MOD(BD97,2))-2*(BC97-INT((BD97-2)/2)-1),3-(BC97-INT((BD97-2)/2)-INT((BD97-3)/2)-1)))))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  <c r="AO98">
        <f>IF(J98="","",F98&amp;D98)</f>
        <v/>
      </c>
      <c r="AP98">
        <f>IF(J98="","",IF(F98="男",COUNTIF(手直し!$B$6:$F$55,D98),COUNTIF(手直し!$G$6:$K$55,D98)))</f>
        <v/>
      </c>
      <c r="AQ98">
        <f>IF(AND(J98&lt;&gt;"",AP98=0),1,0)</f>
        <v/>
      </c>
      <c r="AR98">
        <f>IF(AND(AQ98=1,F98="男"),COUNTIFS($AQ$2:AQ98,1,$F$2:F98,"男"),"")</f>
        <v/>
      </c>
      <c r="AS98">
        <f>IF(AND(AQ98=1,F98="女"),COUNTIFS($AQ$2:AQ98,1,$F$2:F98,"女"),"")</f>
        <v/>
      </c>
      <c r="BA98" t="n">
        <v>97</v>
      </c>
      <c r="BB98">
        <f>IF(BA98&gt;$Q$30,"",IF(BA98&lt;=$Q$28,$Q$26,$Q$27))</f>
        <v/>
      </c>
      <c r="BC98">
        <f>IF(BB98="","",IF(BA98&lt;=$Q$28,BA98,BA98-$Q$28))</f>
        <v/>
      </c>
      <c r="BD98">
        <f>IF(BB98="","",IF(BB98="男",$Q$13,$Q$14))</f>
        <v/>
      </c>
      <c r="BE98">
        <f>IF(BB98="","",IF(BD98&lt;=3,BD98-BC98+1,IF(BC98&lt;=INT((BD98-2)/2),2*BC98+2,IF(BC98&lt;=INT((BD98-2)/2)+INT((BD98-3)/2),(BD98-1+MOD(BD98,2))-2*(BC98-INT((BD98-2)/2)-1),3-(BC98-INT((BD98-2)/2)-INT((BD98-3)/2)-1)))))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  <c r="AO99">
        <f>IF(J99="","",F99&amp;D99)</f>
        <v/>
      </c>
      <c r="AP99">
        <f>IF(J99="","",IF(F99="男",COUNTIF(手直し!$B$6:$F$55,D99),COUNTIF(手直し!$G$6:$K$55,D99)))</f>
        <v/>
      </c>
      <c r="AQ99">
        <f>IF(AND(J99&lt;&gt;"",AP99=0),1,0)</f>
        <v/>
      </c>
      <c r="AR99">
        <f>IF(AND(AQ99=1,F99="男"),COUNTIFS($AQ$2:AQ99,1,$F$2:F99,"男"),"")</f>
        <v/>
      </c>
      <c r="AS99">
        <f>IF(AND(AQ99=1,F99="女"),COUNTIFS($AQ$2:AQ99,1,$F$2:F99,"女"),"")</f>
        <v/>
      </c>
      <c r="BA99" t="n">
        <v>98</v>
      </c>
      <c r="BB99">
        <f>IF(BA99&gt;$Q$30,"",IF(BA99&lt;=$Q$28,$Q$26,$Q$27))</f>
        <v/>
      </c>
      <c r="BC99">
        <f>IF(BB99="","",IF(BA99&lt;=$Q$28,BA99,BA99-$Q$28))</f>
        <v/>
      </c>
      <c r="BD99">
        <f>IF(BB99="","",IF(BB99="男",$Q$13,$Q$14))</f>
        <v/>
      </c>
      <c r="BE99">
        <f>IF(BB99="","",IF(BD99&lt;=3,BD99-BC99+1,IF(BC99&lt;=INT((BD99-2)/2),2*BC99+2,IF(BC99&lt;=INT((BD99-2)/2)+INT((BD99-3)/2),(BD99-1+MOD(BD99,2))-2*(BC99-INT((BD99-2)/2)-1),3-(BC99-INT((BD99-2)/2)-INT((BD99-3)/2)-1)))))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  <c r="AO100">
        <f>IF(J100="","",F100&amp;D100)</f>
        <v/>
      </c>
      <c r="AP100">
        <f>IF(J100="","",IF(F100="男",COUNTIF(手直し!$B$6:$F$55,D100),COUNTIF(手直し!$G$6:$K$55,D100)))</f>
        <v/>
      </c>
      <c r="AQ100">
        <f>IF(AND(J100&lt;&gt;"",AP100=0),1,0)</f>
        <v/>
      </c>
      <c r="AR100">
        <f>IF(AND(AQ100=1,F100="男"),COUNTIFS($AQ$2:AQ100,1,$F$2:F100,"男"),"")</f>
        <v/>
      </c>
      <c r="AS100">
        <f>IF(AND(AQ100=1,F100="女"),COUNTIFS($AQ$2:AQ100,1,$F$2:F100,"女"),"")</f>
        <v/>
      </c>
      <c r="BA100" t="n">
        <v>99</v>
      </c>
      <c r="BB100">
        <f>IF(BA100&gt;$Q$30,"",IF(BA100&lt;=$Q$28,$Q$26,$Q$27))</f>
        <v/>
      </c>
      <c r="BC100">
        <f>IF(BB100="","",IF(BA100&lt;=$Q$28,BA100,BA100-$Q$28))</f>
        <v/>
      </c>
      <c r="BD100">
        <f>IF(BB100="","",IF(BB100="男",$Q$13,$Q$14))</f>
        <v/>
      </c>
      <c r="BE100">
        <f>IF(BB100="","",IF(BD100&lt;=3,BD100-BC100+1,IF(BC100&lt;=INT((BD100-2)/2),2*BC100+2,IF(BC100&lt;=INT((BD100-2)/2)+INT((BD100-3)/2),(BD100-1+MOD(BD100,2))-2*(BC100-INT((BD100-2)/2)-1),3-(BC100-INT((BD100-2)/2)-INT((BD100-3)/2)-1)))))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  <c r="AO101">
        <f>IF(J101="","",F101&amp;D101)</f>
        <v/>
      </c>
      <c r="AP101">
        <f>IF(J101="","",IF(F101="男",COUNTIF(手直し!$B$6:$F$55,D101),COUNTIF(手直し!$G$6:$K$55,D101)))</f>
        <v/>
      </c>
      <c r="AQ101">
        <f>IF(AND(J101&lt;&gt;"",AP101=0),1,0)</f>
        <v/>
      </c>
      <c r="AR101">
        <f>IF(AND(AQ101=1,F101="男"),COUNTIFS($AQ$2:AQ101,1,$F$2:F101,"男"),"")</f>
        <v/>
      </c>
      <c r="AS101">
        <f>IF(AND(AQ101=1,F101="女"),COUNTIFS($AQ$2:AQ101,1,$F$2:F101,"女"),"")</f>
        <v/>
      </c>
      <c r="BA101" t="n">
        <v>100</v>
      </c>
      <c r="BB101">
        <f>IF(BA101&gt;$Q$30,"",IF(BA101&lt;=$Q$28,$Q$26,$Q$27))</f>
        <v/>
      </c>
      <c r="BC101">
        <f>IF(BB101="","",IF(BA101&lt;=$Q$28,BA101,BA101-$Q$28))</f>
        <v/>
      </c>
      <c r="BD101">
        <f>IF(BB101="","",IF(BB101="男",$Q$13,$Q$14))</f>
        <v/>
      </c>
      <c r="BE101">
        <f>IF(BB101="","",IF(BD101&lt;=3,BD101-BC101+1,IF(BC101&lt;=INT((BD101-2)/2),2*BC101+2,IF(BC101&lt;=INT((BD101-2)/2)+INT((BD101-3)/2),(BD101-1+MOD(BD101,2))-2*(BC101-INT((BD101-2)/2)-1),3-(BC101-INT((BD101-2)/2)-INT((BD101-3)/2)-1)))))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  <c r="AO102">
        <f>IF(J102="","",F102&amp;D102)</f>
        <v/>
      </c>
      <c r="AP102">
        <f>IF(J102="","",IF(F102="男",COUNTIF(手直し!$B$6:$F$55,D102),COUNTIF(手直し!$G$6:$K$55,D102)))</f>
        <v/>
      </c>
      <c r="AQ102">
        <f>IF(AND(J102&lt;&gt;"",AP102=0),1,0)</f>
        <v/>
      </c>
      <c r="AR102">
        <f>IF(AND(AQ102=1,F102="男"),COUNTIFS($AQ$2:AQ102,1,$F$2:F102,"男"),"")</f>
        <v/>
      </c>
      <c r="AS102">
        <f>IF(AND(AQ102=1,F102="女"),COUNTIFS($AQ$2:AQ102,1,$F$2:F102,"女"),"")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  <c r="AO103">
        <f>IF(J103="","",F103&amp;D103)</f>
        <v/>
      </c>
      <c r="AP103">
        <f>IF(J103="","",IF(F103="男",COUNTIF(手直し!$B$6:$F$55,D103),COUNTIF(手直し!$G$6:$K$55,D103)))</f>
        <v/>
      </c>
      <c r="AQ103">
        <f>IF(AND(J103&lt;&gt;"",AP103=0),1,0)</f>
        <v/>
      </c>
      <c r="AR103">
        <f>IF(AND(AQ103=1,F103="男"),COUNTIFS($AQ$2:AQ103,1,$F$2:F103,"男"),"")</f>
        <v/>
      </c>
      <c r="AS103">
        <f>IF(AND(AQ103=1,F103="女"),COUNTIFS($AQ$2:AQ103,1,$F$2:F103,"女"),"")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  <c r="AO104">
        <f>IF(J104="","",F104&amp;D104)</f>
        <v/>
      </c>
      <c r="AP104">
        <f>IF(J104="","",IF(F104="男",COUNTIF(手直し!$B$6:$F$55,D104),COUNTIF(手直し!$G$6:$K$55,D104)))</f>
        <v/>
      </c>
      <c r="AQ104">
        <f>IF(AND(J104&lt;&gt;"",AP104=0),1,0)</f>
        <v/>
      </c>
      <c r="AR104">
        <f>IF(AND(AQ104=1,F104="男"),COUNTIFS($AQ$2:AQ104,1,$F$2:F104,"男"),"")</f>
        <v/>
      </c>
      <c r="AS104">
        <f>IF(AND(AQ104=1,F104="女"),COUNTIFS($AQ$2:AQ104,1,$F$2:F104,"女"),"")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  <c r="AO105">
        <f>IF(J105="","",F105&amp;D105)</f>
        <v/>
      </c>
      <c r="AP105">
        <f>IF(J105="","",IF(F105="男",COUNTIF(手直し!$B$6:$F$55,D105),COUNTIF(手直し!$G$6:$K$55,D105)))</f>
        <v/>
      </c>
      <c r="AQ105">
        <f>IF(AND(J105&lt;&gt;"",AP105=0),1,0)</f>
        <v/>
      </c>
      <c r="AR105">
        <f>IF(AND(AQ105=1,F105="男"),COUNTIFS($AQ$2:AQ105,1,$F$2:F105,"男"),"")</f>
        <v/>
      </c>
      <c r="AS105">
        <f>IF(AND(AQ105=1,F105="女"),COUNTIFS($AQ$2:AQ105,1,$F$2:F105,"女"),"")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  <c r="AO106">
        <f>IF(J106="","",F106&amp;D106)</f>
        <v/>
      </c>
      <c r="AP106">
        <f>IF(J106="","",IF(F106="男",COUNTIF(手直し!$B$6:$F$55,D106),COUNTIF(手直し!$G$6:$K$55,D106)))</f>
        <v/>
      </c>
      <c r="AQ106">
        <f>IF(AND(J106&lt;&gt;"",AP106=0),1,0)</f>
        <v/>
      </c>
      <c r="AR106">
        <f>IF(AND(AQ106=1,F106="男"),COUNTIFS($AQ$2:AQ106,1,$F$2:F106,"男"),"")</f>
        <v/>
      </c>
      <c r="AS106">
        <f>IF(AND(AQ106=1,F106="女"),COUNTIFS($AQ$2:AQ106,1,$F$2:F106,"女"),"")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  <c r="AO107">
        <f>IF(J107="","",F107&amp;D107)</f>
        <v/>
      </c>
      <c r="AP107">
        <f>IF(J107="","",IF(F107="男",COUNTIF(手直し!$B$6:$F$55,D107),COUNTIF(手直し!$G$6:$K$55,D107)))</f>
        <v/>
      </c>
      <c r="AQ107">
        <f>IF(AND(J107&lt;&gt;"",AP107=0),1,0)</f>
        <v/>
      </c>
      <c r="AR107">
        <f>IF(AND(AQ107=1,F107="男"),COUNTIFS($AQ$2:AQ107,1,$F$2:F107,"男"),"")</f>
        <v/>
      </c>
      <c r="AS107">
        <f>IF(AND(AQ107=1,F107="女"),COUNTIFS($AQ$2:AQ107,1,$F$2:F107,"女"),"")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  <c r="AO108">
        <f>IF(J108="","",F108&amp;D108)</f>
        <v/>
      </c>
      <c r="AP108">
        <f>IF(J108="","",IF(F108="男",COUNTIF(手直し!$B$6:$F$55,D108),COUNTIF(手直し!$G$6:$K$55,D108)))</f>
        <v/>
      </c>
      <c r="AQ108">
        <f>IF(AND(J108&lt;&gt;"",AP108=0),1,0)</f>
        <v/>
      </c>
      <c r="AR108">
        <f>IF(AND(AQ108=1,F108="男"),COUNTIFS($AQ$2:AQ108,1,$F$2:F108,"男"),"")</f>
        <v/>
      </c>
      <c r="AS108">
        <f>IF(AND(AQ108=1,F108="女"),COUNTIFS($AQ$2:AQ108,1,$F$2:F108,"女"),"")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  <c r="AO109">
        <f>IF(J109="","",F109&amp;D109)</f>
        <v/>
      </c>
      <c r="AP109">
        <f>IF(J109="","",IF(F109="男",COUNTIF(手直し!$B$6:$F$55,D109),COUNTIF(手直し!$G$6:$K$55,D109)))</f>
        <v/>
      </c>
      <c r="AQ109">
        <f>IF(AND(J109&lt;&gt;"",AP109=0),1,0)</f>
        <v/>
      </c>
      <c r="AR109">
        <f>IF(AND(AQ109=1,F109="男"),COUNTIFS($AQ$2:AQ109,1,$F$2:F109,"男"),"")</f>
        <v/>
      </c>
      <c r="AS109">
        <f>IF(AND(AQ109=1,F109="女"),COUNTIFS($AQ$2:AQ109,1,$F$2:F109,"女"),"")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  <c r="AO110">
        <f>IF(J110="","",F110&amp;D110)</f>
        <v/>
      </c>
      <c r="AP110">
        <f>IF(J110="","",IF(F110="男",COUNTIF(手直し!$B$6:$F$55,D110),COUNTIF(手直し!$G$6:$K$55,D110)))</f>
        <v/>
      </c>
      <c r="AQ110">
        <f>IF(AND(J110&lt;&gt;"",AP110=0),1,0)</f>
        <v/>
      </c>
      <c r="AR110">
        <f>IF(AND(AQ110=1,F110="男"),COUNTIFS($AQ$2:AQ110,1,$F$2:F110,"男"),"")</f>
        <v/>
      </c>
      <c r="AS110">
        <f>IF(AND(AQ110=1,F110="女"),COUNTIFS($AQ$2:AQ110,1,$F$2:F110,"女"),"")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  <c r="AO111">
        <f>IF(J111="","",F111&amp;D111)</f>
        <v/>
      </c>
      <c r="AP111">
        <f>IF(J111="","",IF(F111="男",COUNTIF(手直し!$B$6:$F$55,D111),COUNTIF(手直し!$G$6:$K$55,D111)))</f>
        <v/>
      </c>
      <c r="AQ111">
        <f>IF(AND(J111&lt;&gt;"",AP111=0),1,0)</f>
        <v/>
      </c>
      <c r="AR111">
        <f>IF(AND(AQ111=1,F111="男"),COUNTIFS($AQ$2:AQ111,1,$F$2:F111,"男"),"")</f>
        <v/>
      </c>
      <c r="AS111">
        <f>IF(AND(AQ111=1,F111="女"),COUNTIFS($AQ$2:AQ111,1,$F$2:F111,"女"),"")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  <c r="AO112">
        <f>IF(J112="","",F112&amp;D112)</f>
        <v/>
      </c>
      <c r="AP112">
        <f>IF(J112="","",IF(F112="男",COUNTIF(手直し!$B$6:$F$55,D112),COUNTIF(手直し!$G$6:$K$55,D112)))</f>
        <v/>
      </c>
      <c r="AQ112">
        <f>IF(AND(J112&lt;&gt;"",AP112=0),1,0)</f>
        <v/>
      </c>
      <c r="AR112">
        <f>IF(AND(AQ112=1,F112="男"),COUNTIFS($AQ$2:AQ112,1,$F$2:F112,"男"),"")</f>
        <v/>
      </c>
      <c r="AS112">
        <f>IF(AND(AQ112=1,F112="女"),COUNTIFS($AQ$2:AQ112,1,$F$2:F112,"女"),"")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  <c r="AO113">
        <f>IF(J113="","",F113&amp;D113)</f>
        <v/>
      </c>
      <c r="AP113">
        <f>IF(J113="","",IF(F113="男",COUNTIF(手直し!$B$6:$F$55,D113),COUNTIF(手直し!$G$6:$K$55,D113)))</f>
        <v/>
      </c>
      <c r="AQ113">
        <f>IF(AND(J113&lt;&gt;"",AP113=0),1,0)</f>
        <v/>
      </c>
      <c r="AR113">
        <f>IF(AND(AQ113=1,F113="男"),COUNTIFS($AQ$2:AQ113,1,$F$2:F113,"男"),"")</f>
        <v/>
      </c>
      <c r="AS113">
        <f>IF(AND(AQ113=1,F113="女"),COUNTIFS($AQ$2:AQ113,1,$F$2:F113,"女"),"")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  <c r="AO114">
        <f>IF(J114="","",F114&amp;D114)</f>
        <v/>
      </c>
      <c r="AP114">
        <f>IF(J114="","",IF(F114="男",COUNTIF(手直し!$B$6:$F$55,D114),COUNTIF(手直し!$G$6:$K$55,D114)))</f>
        <v/>
      </c>
      <c r="AQ114">
        <f>IF(AND(J114&lt;&gt;"",AP114=0),1,0)</f>
        <v/>
      </c>
      <c r="AR114">
        <f>IF(AND(AQ114=1,F114="男"),COUNTIFS($AQ$2:AQ114,1,$F$2:F114,"男"),"")</f>
        <v/>
      </c>
      <c r="AS114">
        <f>IF(AND(AQ114=1,F114="女"),COUNTIFS($AQ$2:AQ114,1,$F$2:F114,"女"),"")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  <c r="AO115">
        <f>IF(J115="","",F115&amp;D115)</f>
        <v/>
      </c>
      <c r="AP115">
        <f>IF(J115="","",IF(F115="男",COUNTIF(手直し!$B$6:$F$55,D115),COUNTIF(手直し!$G$6:$K$55,D115)))</f>
        <v/>
      </c>
      <c r="AQ115">
        <f>IF(AND(J115&lt;&gt;"",AP115=0),1,0)</f>
        <v/>
      </c>
      <c r="AR115">
        <f>IF(AND(AQ115=1,F115="男"),COUNTIFS($AQ$2:AQ115,1,$F$2:F115,"男"),"")</f>
        <v/>
      </c>
      <c r="AS115">
        <f>IF(AND(AQ115=1,F115="女"),COUNTIFS($AQ$2:AQ115,1,$F$2:F115,"女"),"")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  <c r="AO116">
        <f>IF(J116="","",F116&amp;D116)</f>
        <v/>
      </c>
      <c r="AP116">
        <f>IF(J116="","",IF(F116="男",COUNTIF(手直し!$B$6:$F$55,D116),COUNTIF(手直し!$G$6:$K$55,D116)))</f>
        <v/>
      </c>
      <c r="AQ116">
        <f>IF(AND(J116&lt;&gt;"",AP116=0),1,0)</f>
        <v/>
      </c>
      <c r="AR116">
        <f>IF(AND(AQ116=1,F116="男"),COUNTIFS($AQ$2:AQ116,1,$F$2:F116,"男"),"")</f>
        <v/>
      </c>
      <c r="AS116">
        <f>IF(AND(AQ116=1,F116="女"),COUNTIFS($AQ$2:AQ116,1,$F$2:F116,"女"),"")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  <c r="AO117">
        <f>IF(J117="","",F117&amp;D117)</f>
        <v/>
      </c>
      <c r="AP117">
        <f>IF(J117="","",IF(F117="男",COUNTIF(手直し!$B$6:$F$55,D117),COUNTIF(手直し!$G$6:$K$55,D117)))</f>
        <v/>
      </c>
      <c r="AQ117">
        <f>IF(AND(J117&lt;&gt;"",AP117=0),1,0)</f>
        <v/>
      </c>
      <c r="AR117">
        <f>IF(AND(AQ117=1,F117="男"),COUNTIFS($AQ$2:AQ117,1,$F$2:F117,"男"),"")</f>
        <v/>
      </c>
      <c r="AS117">
        <f>IF(AND(AQ117=1,F117="女"),COUNTIFS($AQ$2:AQ117,1,$F$2:F117,"女"),"")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  <c r="AO118">
        <f>IF(J118="","",F118&amp;D118)</f>
        <v/>
      </c>
      <c r="AP118">
        <f>IF(J118="","",IF(F118="男",COUNTIF(手直し!$B$6:$F$55,D118),COUNTIF(手直し!$G$6:$K$55,D118)))</f>
        <v/>
      </c>
      <c r="AQ118">
        <f>IF(AND(J118&lt;&gt;"",AP118=0),1,0)</f>
        <v/>
      </c>
      <c r="AR118">
        <f>IF(AND(AQ118=1,F118="男"),COUNTIFS($AQ$2:AQ118,1,$F$2:F118,"男"),"")</f>
        <v/>
      </c>
      <c r="AS118">
        <f>IF(AND(AQ118=1,F118="女"),COUNTIFS($AQ$2:AQ118,1,$F$2:F118,"女"),"")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  <c r="AO119">
        <f>IF(J119="","",F119&amp;D119)</f>
        <v/>
      </c>
      <c r="AP119">
        <f>IF(J119="","",IF(F119="男",COUNTIF(手直し!$B$6:$F$55,D119),COUNTIF(手直し!$G$6:$K$55,D119)))</f>
        <v/>
      </c>
      <c r="AQ119">
        <f>IF(AND(J119&lt;&gt;"",AP119=0),1,0)</f>
        <v/>
      </c>
      <c r="AR119">
        <f>IF(AND(AQ119=1,F119="男"),COUNTIFS($AQ$2:AQ119,1,$F$2:F119,"男"),"")</f>
        <v/>
      </c>
      <c r="AS119">
        <f>IF(AND(AQ119=1,F119="女"),COUNTIFS($AQ$2:AQ119,1,$F$2:F119,"女"),"")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  <c r="AO120">
        <f>IF(J120="","",F120&amp;D120)</f>
        <v/>
      </c>
      <c r="AP120">
        <f>IF(J120="","",IF(F120="男",COUNTIF(手直し!$B$6:$F$55,D120),COUNTIF(手直し!$G$6:$K$55,D120)))</f>
        <v/>
      </c>
      <c r="AQ120">
        <f>IF(AND(J120&lt;&gt;"",AP120=0),1,0)</f>
        <v/>
      </c>
      <c r="AR120">
        <f>IF(AND(AQ120=1,F120="男"),COUNTIFS($AQ$2:AQ120,1,$F$2:F120,"男"),"")</f>
        <v/>
      </c>
      <c r="AS120">
        <f>IF(AND(AQ120=1,F120="女"),COUNTIFS($AQ$2:AQ120,1,$F$2:F120,"女"),"")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  <c r="AO121">
        <f>IF(J121="","",F121&amp;D121)</f>
        <v/>
      </c>
      <c r="AP121">
        <f>IF(J121="","",IF(F121="男",COUNTIF(手直し!$B$6:$F$55,D121),COUNTIF(手直し!$G$6:$K$55,D121)))</f>
        <v/>
      </c>
      <c r="AQ121">
        <f>IF(AND(J121&lt;&gt;"",AP121=0),1,0)</f>
        <v/>
      </c>
      <c r="AR121">
        <f>IF(AND(AQ121=1,F121="男"),COUNTIFS($AQ$2:AQ121,1,$F$2:F121,"男"),"")</f>
        <v/>
      </c>
      <c r="AS121">
        <f>IF(AND(AQ121=1,F121="女"),COUNTIFS($AQ$2:AQ121,1,$F$2:F121,"女"),"")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  <c r="AO122">
        <f>IF(J122="","",F122&amp;D122)</f>
        <v/>
      </c>
      <c r="AP122">
        <f>IF(J122="","",IF(F122="男",COUNTIF(手直し!$B$6:$F$55,D122),COUNTIF(手直し!$G$6:$K$55,D122)))</f>
        <v/>
      </c>
      <c r="AQ122">
        <f>IF(AND(J122&lt;&gt;"",AP122=0),1,0)</f>
        <v/>
      </c>
      <c r="AR122">
        <f>IF(AND(AQ122=1,F122="男"),COUNTIFS($AQ$2:AQ122,1,$F$2:F122,"男"),"")</f>
        <v/>
      </c>
      <c r="AS122">
        <f>IF(AND(AQ122=1,F122="女"),COUNTIFS($AQ$2:AQ122,1,$F$2:F122,"女"),"")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  <c r="AO123">
        <f>IF(J123="","",F123&amp;D123)</f>
        <v/>
      </c>
      <c r="AP123">
        <f>IF(J123="","",IF(F123="男",COUNTIF(手直し!$B$6:$F$55,D123),COUNTIF(手直し!$G$6:$K$55,D123)))</f>
        <v/>
      </c>
      <c r="AQ123">
        <f>IF(AND(J123&lt;&gt;"",AP123=0),1,0)</f>
        <v/>
      </c>
      <c r="AR123">
        <f>IF(AND(AQ123=1,F123="男"),COUNTIFS($AQ$2:AQ123,1,$F$2:F123,"男"),"")</f>
        <v/>
      </c>
      <c r="AS123">
        <f>IF(AND(AQ123=1,F123="女"),COUNTIFS($AQ$2:AQ123,1,$F$2:F123,"女"),"")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  <c r="AO124">
        <f>IF(J124="","",F124&amp;D124)</f>
        <v/>
      </c>
      <c r="AP124">
        <f>IF(J124="","",IF(F124="男",COUNTIF(手直し!$B$6:$F$55,D124),COUNTIF(手直し!$G$6:$K$55,D124)))</f>
        <v/>
      </c>
      <c r="AQ124">
        <f>IF(AND(J124&lt;&gt;"",AP124=0),1,0)</f>
        <v/>
      </c>
      <c r="AR124">
        <f>IF(AND(AQ124=1,F124="男"),COUNTIFS($AQ$2:AQ124,1,$F$2:F124,"男"),"")</f>
        <v/>
      </c>
      <c r="AS124">
        <f>IF(AND(AQ124=1,F124="女"),COUNTIFS($AQ$2:AQ124,1,$F$2:F124,"女"),"")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  <c r="AO125">
        <f>IF(J125="","",F125&amp;D125)</f>
        <v/>
      </c>
      <c r="AP125">
        <f>IF(J125="","",IF(F125="男",COUNTIF(手直し!$B$6:$F$55,D125),COUNTIF(手直し!$G$6:$K$55,D125)))</f>
        <v/>
      </c>
      <c r="AQ125">
        <f>IF(AND(J125&lt;&gt;"",AP125=0),1,0)</f>
        <v/>
      </c>
      <c r="AR125">
        <f>IF(AND(AQ125=1,F125="男"),COUNTIFS($AQ$2:AQ125,1,$F$2:F125,"男"),"")</f>
        <v/>
      </c>
      <c r="AS125">
        <f>IF(AND(AQ125=1,F125="女"),COUNTIFS($AQ$2:AQ125,1,$F$2:F125,"女"),"")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  <c r="AO126">
        <f>IF(J126="","",F126&amp;D126)</f>
        <v/>
      </c>
      <c r="AP126">
        <f>IF(J126="","",IF(F126="男",COUNTIF(手直し!$B$6:$F$55,D126),COUNTIF(手直し!$G$6:$K$55,D126)))</f>
        <v/>
      </c>
      <c r="AQ126">
        <f>IF(AND(J126&lt;&gt;"",AP126=0),1,0)</f>
        <v/>
      </c>
      <c r="AR126">
        <f>IF(AND(AQ126=1,F126="男"),COUNTIFS($AQ$2:AQ126,1,$F$2:F126,"男"),"")</f>
        <v/>
      </c>
      <c r="AS126">
        <f>IF(AND(AQ126=1,F126="女"),COUNTIFS($AQ$2:AQ126,1,$F$2:F126,"女"),"")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  <c r="AO127">
        <f>IF(J127="","",F127&amp;D127)</f>
        <v/>
      </c>
      <c r="AP127">
        <f>IF(J127="","",IF(F127="男",COUNTIF(手直し!$B$6:$F$55,D127),COUNTIF(手直し!$G$6:$K$55,D127)))</f>
        <v/>
      </c>
      <c r="AQ127">
        <f>IF(AND(J127&lt;&gt;"",AP127=0),1,0)</f>
        <v/>
      </c>
      <c r="AR127">
        <f>IF(AND(AQ127=1,F127="男"),COUNTIFS($AQ$2:AQ127,1,$F$2:F127,"男"),"")</f>
        <v/>
      </c>
      <c r="AS127">
        <f>IF(AND(AQ127=1,F127="女"),COUNTIFS($AQ$2:AQ127,1,$F$2:F127,"女"),"")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  <c r="AO128">
        <f>IF(J128="","",F128&amp;D128)</f>
        <v/>
      </c>
      <c r="AP128">
        <f>IF(J128="","",IF(F128="男",COUNTIF(手直し!$B$6:$F$55,D128),COUNTIF(手直し!$G$6:$K$55,D128)))</f>
        <v/>
      </c>
      <c r="AQ128">
        <f>IF(AND(J128&lt;&gt;"",AP128=0),1,0)</f>
        <v/>
      </c>
      <c r="AR128">
        <f>IF(AND(AQ128=1,F128="男"),COUNTIFS($AQ$2:AQ128,1,$F$2:F128,"男"),"")</f>
        <v/>
      </c>
      <c r="AS128">
        <f>IF(AND(AQ128=1,F128="女"),COUNTIFS($AQ$2:AQ128,1,$F$2:F128,"女"),"")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  <c r="AO129">
        <f>IF(J129="","",F129&amp;D129)</f>
        <v/>
      </c>
      <c r="AP129">
        <f>IF(J129="","",IF(F129="男",COUNTIF(手直し!$B$6:$F$55,D129),COUNTIF(手直し!$G$6:$K$55,D129)))</f>
        <v/>
      </c>
      <c r="AQ129">
        <f>IF(AND(J129&lt;&gt;"",AP129=0),1,0)</f>
        <v/>
      </c>
      <c r="AR129">
        <f>IF(AND(AQ129=1,F129="男"),COUNTIFS($AQ$2:AQ129,1,$F$2:F129,"男"),"")</f>
        <v/>
      </c>
      <c r="AS129">
        <f>IF(AND(AQ129=1,F129="女"),COUNTIFS($AQ$2:AQ129,1,$F$2:F129,"女"),"")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  <c r="AO130">
        <f>IF(J130="","",F130&amp;D130)</f>
        <v/>
      </c>
      <c r="AP130">
        <f>IF(J130="","",IF(F130="男",COUNTIF(手直し!$B$6:$F$55,D130),COUNTIF(手直し!$G$6:$K$55,D130)))</f>
        <v/>
      </c>
      <c r="AQ130">
        <f>IF(AND(J130&lt;&gt;"",AP130=0),1,0)</f>
        <v/>
      </c>
      <c r="AR130">
        <f>IF(AND(AQ130=1,F130="男"),COUNTIFS($AQ$2:AQ130,1,$F$2:F130,"男"),"")</f>
        <v/>
      </c>
      <c r="AS130">
        <f>IF(AND(AQ130=1,F130="女"),COUNTIFS($AQ$2:AQ130,1,$F$2:F130,"女"),"")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  <c r="AO131">
        <f>IF(J131="","",F131&amp;D131)</f>
        <v/>
      </c>
      <c r="AP131">
        <f>IF(J131="","",IF(F131="男",COUNTIF(手直し!$B$6:$F$55,D131),COUNTIF(手直し!$G$6:$K$55,D131)))</f>
        <v/>
      </c>
      <c r="AQ131">
        <f>IF(AND(J131&lt;&gt;"",AP131=0),1,0)</f>
        <v/>
      </c>
      <c r="AR131">
        <f>IF(AND(AQ131=1,F131="男"),COUNTIFS($AQ$2:AQ131,1,$F$2:F131,"男"),"")</f>
        <v/>
      </c>
      <c r="AS131">
        <f>IF(AND(AQ131=1,F131="女"),COUNTIFS($AQ$2:AQ131,1,$F$2:F131,"女"),"")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  <c r="AO132">
        <f>IF(J132="","",F132&amp;D132)</f>
        <v/>
      </c>
      <c r="AP132">
        <f>IF(J132="","",IF(F132="男",COUNTIF(手直し!$B$6:$F$55,D132),COUNTIF(手直し!$G$6:$K$55,D132)))</f>
        <v/>
      </c>
      <c r="AQ132">
        <f>IF(AND(J132&lt;&gt;"",AP132=0),1,0)</f>
        <v/>
      </c>
      <c r="AR132">
        <f>IF(AND(AQ132=1,F132="男"),COUNTIFS($AQ$2:AQ132,1,$F$2:F132,"男"),"")</f>
        <v/>
      </c>
      <c r="AS132">
        <f>IF(AND(AQ132=1,F132="女"),COUNTIFS($AQ$2:AQ132,1,$F$2:F132,"女"),"")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  <c r="AO133">
        <f>IF(J133="","",F133&amp;D133)</f>
        <v/>
      </c>
      <c r="AP133">
        <f>IF(J133="","",IF(F133="男",COUNTIF(手直し!$B$6:$F$55,D133),COUNTIF(手直し!$G$6:$K$55,D133)))</f>
        <v/>
      </c>
      <c r="AQ133">
        <f>IF(AND(J133&lt;&gt;"",AP133=0),1,0)</f>
        <v/>
      </c>
      <c r="AR133">
        <f>IF(AND(AQ133=1,F133="男"),COUNTIFS($AQ$2:AQ133,1,$F$2:F133,"男"),"")</f>
        <v/>
      </c>
      <c r="AS133">
        <f>IF(AND(AQ133=1,F133="女"),COUNTIFS($AQ$2:AQ133,1,$F$2:F133,"女"),"")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  <c r="AO134">
        <f>IF(J134="","",F134&amp;D134)</f>
        <v/>
      </c>
      <c r="AP134">
        <f>IF(J134="","",IF(F134="男",COUNTIF(手直し!$B$6:$F$55,D134),COUNTIF(手直し!$G$6:$K$55,D134)))</f>
        <v/>
      </c>
      <c r="AQ134">
        <f>IF(AND(J134&lt;&gt;"",AP134=0),1,0)</f>
        <v/>
      </c>
      <c r="AR134">
        <f>IF(AND(AQ134=1,F134="男"),COUNTIFS($AQ$2:AQ134,1,$F$2:F134,"男"),"")</f>
        <v/>
      </c>
      <c r="AS134">
        <f>IF(AND(AQ134=1,F134="女"),COUNTIFS($AQ$2:AQ134,1,$F$2:F134,"女"),"")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  <c r="AO135">
        <f>IF(J135="","",F135&amp;D135)</f>
        <v/>
      </c>
      <c r="AP135">
        <f>IF(J135="","",IF(F135="男",COUNTIF(手直し!$B$6:$F$55,D135),COUNTIF(手直し!$G$6:$K$55,D135)))</f>
        <v/>
      </c>
      <c r="AQ135">
        <f>IF(AND(J135&lt;&gt;"",AP135=0),1,0)</f>
        <v/>
      </c>
      <c r="AR135">
        <f>IF(AND(AQ135=1,F135="男"),COUNTIFS($AQ$2:AQ135,1,$F$2:F135,"男"),"")</f>
        <v/>
      </c>
      <c r="AS135">
        <f>IF(AND(AQ135=1,F135="女"),COUNTIFS($AQ$2:AQ135,1,$F$2:F135,"女"),"")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  <c r="AO136">
        <f>IF(J136="","",F136&amp;D136)</f>
        <v/>
      </c>
      <c r="AP136">
        <f>IF(J136="","",IF(F136="男",COUNTIF(手直し!$B$6:$F$55,D136),COUNTIF(手直し!$G$6:$K$55,D136)))</f>
        <v/>
      </c>
      <c r="AQ136">
        <f>IF(AND(J136&lt;&gt;"",AP136=0),1,0)</f>
        <v/>
      </c>
      <c r="AR136">
        <f>IF(AND(AQ136=1,F136="男"),COUNTIFS($AQ$2:AQ136,1,$F$2:F136,"男"),"")</f>
        <v/>
      </c>
      <c r="AS136">
        <f>IF(AND(AQ136=1,F136="女"),COUNTIFS($AQ$2:AQ136,1,$F$2:F136,"女"),"")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  <c r="AO137">
        <f>IF(J137="","",F137&amp;D137)</f>
        <v/>
      </c>
      <c r="AP137">
        <f>IF(J137="","",IF(F137="男",COUNTIF(手直し!$B$6:$F$55,D137),COUNTIF(手直し!$G$6:$K$55,D137)))</f>
        <v/>
      </c>
      <c r="AQ137">
        <f>IF(AND(J137&lt;&gt;"",AP137=0),1,0)</f>
        <v/>
      </c>
      <c r="AR137">
        <f>IF(AND(AQ137=1,F137="男"),COUNTIFS($AQ$2:AQ137,1,$F$2:F137,"男"),"")</f>
        <v/>
      </c>
      <c r="AS137">
        <f>IF(AND(AQ137=1,F137="女"),COUNTIFS($AQ$2:AQ137,1,$F$2:F137,"女"),"")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  <c r="AO138">
        <f>IF(J138="","",F138&amp;D138)</f>
        <v/>
      </c>
      <c r="AP138">
        <f>IF(J138="","",IF(F138="男",COUNTIF(手直し!$B$6:$F$55,D138),COUNTIF(手直し!$G$6:$K$55,D138)))</f>
        <v/>
      </c>
      <c r="AQ138">
        <f>IF(AND(J138&lt;&gt;"",AP138=0),1,0)</f>
        <v/>
      </c>
      <c r="AR138">
        <f>IF(AND(AQ138=1,F138="男"),COUNTIFS($AQ$2:AQ138,1,$F$2:F138,"男"),"")</f>
        <v/>
      </c>
      <c r="AS138">
        <f>IF(AND(AQ138=1,F138="女"),COUNTIFS($AQ$2:AQ138,1,$F$2:F138,"女"),"")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  <c r="AO139">
        <f>IF(J139="","",F139&amp;D139)</f>
        <v/>
      </c>
      <c r="AP139">
        <f>IF(J139="","",IF(F139="男",COUNTIF(手直し!$B$6:$F$55,D139),COUNTIF(手直し!$G$6:$K$55,D139)))</f>
        <v/>
      </c>
      <c r="AQ139">
        <f>IF(AND(J139&lt;&gt;"",AP139=0),1,0)</f>
        <v/>
      </c>
      <c r="AR139">
        <f>IF(AND(AQ139=1,F139="男"),COUNTIFS($AQ$2:AQ139,1,$F$2:F139,"男"),"")</f>
        <v/>
      </c>
      <c r="AS139">
        <f>IF(AND(AQ139=1,F139="女"),COUNTIFS($AQ$2:AQ139,1,$F$2:F139,"女"),"")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  <c r="AO140">
        <f>IF(J140="","",F140&amp;D140)</f>
        <v/>
      </c>
      <c r="AP140">
        <f>IF(J140="","",IF(F140="男",COUNTIF(手直し!$B$6:$F$55,D140),COUNTIF(手直し!$G$6:$K$55,D140)))</f>
        <v/>
      </c>
      <c r="AQ140">
        <f>IF(AND(J140&lt;&gt;"",AP140=0),1,0)</f>
        <v/>
      </c>
      <c r="AR140">
        <f>IF(AND(AQ140=1,F140="男"),COUNTIFS($AQ$2:AQ140,1,$F$2:F140,"男"),"")</f>
        <v/>
      </c>
      <c r="AS140">
        <f>IF(AND(AQ140=1,F140="女"),COUNTIFS($AQ$2:AQ140,1,$F$2:F140,"女"),"")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  <c r="AO141">
        <f>IF(J141="","",F141&amp;D141)</f>
        <v/>
      </c>
      <c r="AP141">
        <f>IF(J141="","",IF(F141="男",COUNTIF(手直し!$B$6:$F$55,D141),COUNTIF(手直し!$G$6:$K$55,D141)))</f>
        <v/>
      </c>
      <c r="AQ141">
        <f>IF(AND(J141&lt;&gt;"",AP141=0),1,0)</f>
        <v/>
      </c>
      <c r="AR141">
        <f>IF(AND(AQ141=1,F141="男"),COUNTIFS($AQ$2:AQ141,1,$F$2:F141,"男"),"")</f>
        <v/>
      </c>
      <c r="AS141">
        <f>IF(AND(AQ141=1,F141="女"),COUNTIFS($AQ$2:AQ141,1,$F$2:F141,"女"),"")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  <c r="AO142">
        <f>IF(J142="","",F142&amp;D142)</f>
        <v/>
      </c>
      <c r="AP142">
        <f>IF(J142="","",IF(F142="男",COUNTIF(手直し!$B$6:$F$55,D142),COUNTIF(手直し!$G$6:$K$55,D142)))</f>
        <v/>
      </c>
      <c r="AQ142">
        <f>IF(AND(J142&lt;&gt;"",AP142=0),1,0)</f>
        <v/>
      </c>
      <c r="AR142">
        <f>IF(AND(AQ142=1,F142="男"),COUNTIFS($AQ$2:AQ142,1,$F$2:F142,"男"),"")</f>
        <v/>
      </c>
      <c r="AS142">
        <f>IF(AND(AQ142=1,F142="女"),COUNTIFS($AQ$2:AQ142,1,$F$2:F142,"女"),"")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  <c r="AO143">
        <f>IF(J143="","",F143&amp;D143)</f>
        <v/>
      </c>
      <c r="AP143">
        <f>IF(J143="","",IF(F143="男",COUNTIF(手直し!$B$6:$F$55,D143),COUNTIF(手直し!$G$6:$K$55,D143)))</f>
        <v/>
      </c>
      <c r="AQ143">
        <f>IF(AND(J143&lt;&gt;"",AP143=0),1,0)</f>
        <v/>
      </c>
      <c r="AR143">
        <f>IF(AND(AQ143=1,F143="男"),COUNTIFS($AQ$2:AQ143,1,$F$2:F143,"男"),"")</f>
        <v/>
      </c>
      <c r="AS143">
        <f>IF(AND(AQ143=1,F143="女"),COUNTIFS($AQ$2:AQ143,1,$F$2:F143,"女"),"")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  <c r="AO144">
        <f>IF(J144="","",F144&amp;D144)</f>
        <v/>
      </c>
      <c r="AP144">
        <f>IF(J144="","",IF(F144="男",COUNTIF(手直し!$B$6:$F$55,D144),COUNTIF(手直し!$G$6:$K$55,D144)))</f>
        <v/>
      </c>
      <c r="AQ144">
        <f>IF(AND(J144&lt;&gt;"",AP144=0),1,0)</f>
        <v/>
      </c>
      <c r="AR144">
        <f>IF(AND(AQ144=1,F144="男"),COUNTIFS($AQ$2:AQ144,1,$F$2:F144,"男"),"")</f>
        <v/>
      </c>
      <c r="AS144">
        <f>IF(AND(AQ144=1,F144="女"),COUNTIFS($AQ$2:AQ144,1,$F$2:F144,"女"),"")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  <c r="AO145">
        <f>IF(J145="","",F145&amp;D145)</f>
        <v/>
      </c>
      <c r="AP145">
        <f>IF(J145="","",IF(F145="男",COUNTIF(手直し!$B$6:$F$55,D145),COUNTIF(手直し!$G$6:$K$55,D145)))</f>
        <v/>
      </c>
      <c r="AQ145">
        <f>IF(AND(J145&lt;&gt;"",AP145=0),1,0)</f>
        <v/>
      </c>
      <c r="AR145">
        <f>IF(AND(AQ145=1,F145="男"),COUNTIFS($AQ$2:AQ145,1,$F$2:F145,"男"),"")</f>
        <v/>
      </c>
      <c r="AS145">
        <f>IF(AND(AQ145=1,F145="女"),COUNTIFS($AQ$2:AQ145,1,$F$2:F145,"女"),"")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  <c r="AO146">
        <f>IF(J146="","",F146&amp;D146)</f>
        <v/>
      </c>
      <c r="AP146">
        <f>IF(J146="","",IF(F146="男",COUNTIF(手直し!$B$6:$F$55,D146),COUNTIF(手直し!$G$6:$K$55,D146)))</f>
        <v/>
      </c>
      <c r="AQ146">
        <f>IF(AND(J146&lt;&gt;"",AP146=0),1,0)</f>
        <v/>
      </c>
      <c r="AR146">
        <f>IF(AND(AQ146=1,F146="男"),COUNTIFS($AQ$2:AQ146,1,$F$2:F146,"男"),"")</f>
        <v/>
      </c>
      <c r="AS146">
        <f>IF(AND(AQ146=1,F146="女"),COUNTIFS($AQ$2:AQ146,1,$F$2:F146,"女"),"")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  <c r="AO147">
        <f>IF(J147="","",F147&amp;D147)</f>
        <v/>
      </c>
      <c r="AP147">
        <f>IF(J147="","",IF(F147="男",COUNTIF(手直し!$B$6:$F$55,D147),COUNTIF(手直し!$G$6:$K$55,D147)))</f>
        <v/>
      </c>
      <c r="AQ147">
        <f>IF(AND(J147&lt;&gt;"",AP147=0),1,0)</f>
        <v/>
      </c>
      <c r="AR147">
        <f>IF(AND(AQ147=1,F147="男"),COUNTIFS($AQ$2:AQ147,1,$F$2:F147,"男"),"")</f>
        <v/>
      </c>
      <c r="AS147">
        <f>IF(AND(AQ147=1,F147="女"),COUNTIFS($AQ$2:AQ147,1,$F$2:F147,"女"),"")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  <c r="AO148">
        <f>IF(J148="","",F148&amp;D148)</f>
        <v/>
      </c>
      <c r="AP148">
        <f>IF(J148="","",IF(F148="男",COUNTIF(手直し!$B$6:$F$55,D148),COUNTIF(手直し!$G$6:$K$55,D148)))</f>
        <v/>
      </c>
      <c r="AQ148">
        <f>IF(AND(J148&lt;&gt;"",AP148=0),1,0)</f>
        <v/>
      </c>
      <c r="AR148">
        <f>IF(AND(AQ148=1,F148="男"),COUNTIFS($AQ$2:AQ148,1,$F$2:F148,"男"),"")</f>
        <v/>
      </c>
      <c r="AS148">
        <f>IF(AND(AQ148=1,F148="女"),COUNTIFS($AQ$2:AQ148,1,$F$2:F148,"女"),"")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  <c r="AO149">
        <f>IF(J149="","",F149&amp;D149)</f>
        <v/>
      </c>
      <c r="AP149">
        <f>IF(J149="","",IF(F149="男",COUNTIF(手直し!$B$6:$F$55,D149),COUNTIF(手直し!$G$6:$K$55,D149)))</f>
        <v/>
      </c>
      <c r="AQ149">
        <f>IF(AND(J149&lt;&gt;"",AP149=0),1,0)</f>
        <v/>
      </c>
      <c r="AR149">
        <f>IF(AND(AQ149=1,F149="男"),COUNTIFS($AQ$2:AQ149,1,$F$2:F149,"男"),"")</f>
        <v/>
      </c>
      <c r="AS149">
        <f>IF(AND(AQ149=1,F149="女"),COUNTIFS($AQ$2:AQ149,1,$F$2:F149,"女"),"")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  <c r="AO150">
        <f>IF(J150="","",F150&amp;D150)</f>
        <v/>
      </c>
      <c r="AP150">
        <f>IF(J150="","",IF(F150="男",COUNTIF(手直し!$B$6:$F$55,D150),COUNTIF(手直し!$G$6:$K$55,D150)))</f>
        <v/>
      </c>
      <c r="AQ150">
        <f>IF(AND(J150&lt;&gt;"",AP150=0),1,0)</f>
        <v/>
      </c>
      <c r="AR150">
        <f>IF(AND(AQ150=1,F150="男"),COUNTIFS($AQ$2:AQ150,1,$F$2:F150,"男"),"")</f>
        <v/>
      </c>
      <c r="AS150">
        <f>IF(AND(AQ150=1,F150="女"),COUNTIFS($AQ$2:AQ150,1,$F$2:F150,"女"),"")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  <c r="AO151">
        <f>IF(J151="","",F151&amp;D151)</f>
        <v/>
      </c>
      <c r="AP151">
        <f>IF(J151="","",IF(F151="男",COUNTIF(手直し!$B$6:$F$55,D151),COUNTIF(手直し!$G$6:$K$55,D151)))</f>
        <v/>
      </c>
      <c r="AQ151">
        <f>IF(AND(J151&lt;&gt;"",AP151=0),1,0)</f>
        <v/>
      </c>
      <c r="AR151">
        <f>IF(AND(AQ151=1,F151="男"),COUNTIFS($AQ$2:AQ151,1,$F$2:F151,"男"),"")</f>
        <v/>
      </c>
      <c r="AS151">
        <f>IF(AND(AQ151=1,F151="女"),COUNTIFS($AQ$2:AQ151,1,$F$2:F151,"女"),"")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  <c r="AO152">
        <f>IF(J152="","",F152&amp;D152)</f>
        <v/>
      </c>
      <c r="AP152">
        <f>IF(J152="","",IF(F152="男",COUNTIF(手直し!$B$6:$F$55,D152),COUNTIF(手直し!$G$6:$K$55,D152)))</f>
        <v/>
      </c>
      <c r="AQ152">
        <f>IF(AND(J152&lt;&gt;"",AP152=0),1,0)</f>
        <v/>
      </c>
      <c r="AR152">
        <f>IF(AND(AQ152=1,F152="男"),COUNTIFS($AQ$2:AQ152,1,$F$2:F152,"男"),"")</f>
        <v/>
      </c>
      <c r="AS152">
        <f>IF(AND(AQ152=1,F152="女"),COUNTIFS($AQ$2:AQ152,1,$F$2:F152,"女"),"")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  <c r="AO153">
        <f>IF(J153="","",F153&amp;D153)</f>
        <v/>
      </c>
      <c r="AP153">
        <f>IF(J153="","",IF(F153="男",COUNTIF(手直し!$B$6:$F$55,D153),COUNTIF(手直し!$G$6:$K$55,D153)))</f>
        <v/>
      </c>
      <c r="AQ153">
        <f>IF(AND(J153&lt;&gt;"",AP153=0),1,0)</f>
        <v/>
      </c>
      <c r="AR153">
        <f>IF(AND(AQ153=1,F153="男"),COUNTIFS($AQ$2:AQ153,1,$F$2:F153,"男"),"")</f>
        <v/>
      </c>
      <c r="AS153">
        <f>IF(AND(AQ153=1,F153="女"),COUNTIFS($AQ$2:AQ153,1,$F$2:F153,"女"),"")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  <c r="AO154">
        <f>IF(J154="","",F154&amp;D154)</f>
        <v/>
      </c>
      <c r="AP154">
        <f>IF(J154="","",IF(F154="男",COUNTIF(手直し!$B$6:$F$55,D154),COUNTIF(手直し!$G$6:$K$55,D154)))</f>
        <v/>
      </c>
      <c r="AQ154">
        <f>IF(AND(J154&lt;&gt;"",AP154=0),1,0)</f>
        <v/>
      </c>
      <c r="AR154">
        <f>IF(AND(AQ154=1,F154="男"),COUNTIFS($AQ$2:AQ154,1,$F$2:F154,"男"),"")</f>
        <v/>
      </c>
      <c r="AS154">
        <f>IF(AND(AQ154=1,F154="女"),COUNTIFS($AQ$2:AQ154,1,$F$2:F154,"女"),"")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  <c r="AO155">
        <f>IF(J155="","",F155&amp;D155)</f>
        <v/>
      </c>
      <c r="AP155">
        <f>IF(J155="","",IF(F155="男",COUNTIF(手直し!$B$6:$F$55,D155),COUNTIF(手直し!$G$6:$K$55,D155)))</f>
        <v/>
      </c>
      <c r="AQ155">
        <f>IF(AND(J155&lt;&gt;"",AP155=0),1,0)</f>
        <v/>
      </c>
      <c r="AR155">
        <f>IF(AND(AQ155=1,F155="男"),COUNTIFS($AQ$2:AQ155,1,$F$2:F155,"男"),"")</f>
        <v/>
      </c>
      <c r="AS155">
        <f>IF(AND(AQ155=1,F155="女"),COUNTIFS($AQ$2:AQ155,1,$F$2:F155,"女"),"")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  <c r="AO156">
        <f>IF(J156="","",F156&amp;D156)</f>
        <v/>
      </c>
      <c r="AP156">
        <f>IF(J156="","",IF(F156="男",COUNTIF(手直し!$B$6:$F$55,D156),COUNTIF(手直し!$G$6:$K$55,D156)))</f>
        <v/>
      </c>
      <c r="AQ156">
        <f>IF(AND(J156&lt;&gt;"",AP156=0),1,0)</f>
        <v/>
      </c>
      <c r="AR156">
        <f>IF(AND(AQ156=1,F156="男"),COUNTIFS($AQ$2:AQ156,1,$F$2:F156,"男"),"")</f>
        <v/>
      </c>
      <c r="AS156">
        <f>IF(AND(AQ156=1,F156="女"),COUNTIFS($AQ$2:AQ156,1,$F$2:F156,"女"),"")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  <c r="AO157">
        <f>IF(J157="","",F157&amp;D157)</f>
        <v/>
      </c>
      <c r="AP157">
        <f>IF(J157="","",IF(F157="男",COUNTIF(手直し!$B$6:$F$55,D157),COUNTIF(手直し!$G$6:$K$55,D157)))</f>
        <v/>
      </c>
      <c r="AQ157">
        <f>IF(AND(J157&lt;&gt;"",AP157=0),1,0)</f>
        <v/>
      </c>
      <c r="AR157">
        <f>IF(AND(AQ157=1,F157="男"),COUNTIFS($AQ$2:AQ157,1,$F$2:F157,"男"),"")</f>
        <v/>
      </c>
      <c r="AS157">
        <f>IF(AND(AQ157=1,F157="女"),COUNTIFS($AQ$2:AQ157,1,$F$2:F157,"女"),"")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  <c r="AO158">
        <f>IF(J158="","",F158&amp;D158)</f>
        <v/>
      </c>
      <c r="AP158">
        <f>IF(J158="","",IF(F158="男",COUNTIF(手直し!$B$6:$F$55,D158),COUNTIF(手直し!$G$6:$K$55,D158)))</f>
        <v/>
      </c>
      <c r="AQ158">
        <f>IF(AND(J158&lt;&gt;"",AP158=0),1,0)</f>
        <v/>
      </c>
      <c r="AR158">
        <f>IF(AND(AQ158=1,F158="男"),COUNTIFS($AQ$2:AQ158,1,$F$2:F158,"男"),"")</f>
        <v/>
      </c>
      <c r="AS158">
        <f>IF(AND(AQ158=1,F158="女"),COUNTIFS($AQ$2:AQ158,1,$F$2:F158,"女"),"")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  <c r="AO159">
        <f>IF(J159="","",F159&amp;D159)</f>
        <v/>
      </c>
      <c r="AP159">
        <f>IF(J159="","",IF(F159="男",COUNTIF(手直し!$B$6:$F$55,D159),COUNTIF(手直し!$G$6:$K$55,D159)))</f>
        <v/>
      </c>
      <c r="AQ159">
        <f>IF(AND(J159&lt;&gt;"",AP159=0),1,0)</f>
        <v/>
      </c>
      <c r="AR159">
        <f>IF(AND(AQ159=1,F159="男"),COUNTIFS($AQ$2:AQ159,1,$F$2:F159,"男"),"")</f>
        <v/>
      </c>
      <c r="AS159">
        <f>IF(AND(AQ159=1,F159="女"),COUNTIFS($AQ$2:AQ159,1,$F$2:F159,"女"),"")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  <c r="AO160">
        <f>IF(J160="","",F160&amp;D160)</f>
        <v/>
      </c>
      <c r="AP160">
        <f>IF(J160="","",IF(F160="男",COUNTIF(手直し!$B$6:$F$55,D160),COUNTIF(手直し!$G$6:$K$55,D160)))</f>
        <v/>
      </c>
      <c r="AQ160">
        <f>IF(AND(J160&lt;&gt;"",AP160=0),1,0)</f>
        <v/>
      </c>
      <c r="AR160">
        <f>IF(AND(AQ160=1,F160="男"),COUNTIFS($AQ$2:AQ160,1,$F$2:F160,"男"),"")</f>
        <v/>
      </c>
      <c r="AS160">
        <f>IF(AND(AQ160=1,F160="女"),COUNTIFS($AQ$2:AQ160,1,$F$2:F160,"女"),"")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  <c r="AO161">
        <f>IF(J161="","",F161&amp;D161)</f>
        <v/>
      </c>
      <c r="AP161">
        <f>IF(J161="","",IF(F161="男",COUNTIF(手直し!$B$6:$F$55,D161),COUNTIF(手直し!$G$6:$K$55,D161)))</f>
        <v/>
      </c>
      <c r="AQ161">
        <f>IF(AND(J161&lt;&gt;"",AP161=0),1,0)</f>
        <v/>
      </c>
      <c r="AR161">
        <f>IF(AND(AQ161=1,F161="男"),COUNTIFS($AQ$2:AQ161,1,$F$2:F161,"男"),"")</f>
        <v/>
      </c>
      <c r="AS161">
        <f>IF(AND(AQ161=1,F161="女"),COUNTIFS($AQ$2:AQ161,1,$F$2:F161,"女"),"")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  <c r="AO162">
        <f>IF(J162="","",F162&amp;D162)</f>
        <v/>
      </c>
      <c r="AP162">
        <f>IF(J162="","",IF(F162="男",COUNTIF(手直し!$B$6:$F$55,D162),COUNTIF(手直し!$G$6:$K$55,D162)))</f>
        <v/>
      </c>
      <c r="AQ162">
        <f>IF(AND(J162&lt;&gt;"",AP162=0),1,0)</f>
        <v/>
      </c>
      <c r="AR162">
        <f>IF(AND(AQ162=1,F162="男"),COUNTIFS($AQ$2:AQ162,1,$F$2:F162,"男"),"")</f>
        <v/>
      </c>
      <c r="AS162">
        <f>IF(AND(AQ162=1,F162="女"),COUNTIFS($AQ$2:AQ162,1,$F$2:F162,"女"),"")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  <c r="AO163">
        <f>IF(J163="","",F163&amp;D163)</f>
        <v/>
      </c>
      <c r="AP163">
        <f>IF(J163="","",IF(F163="男",COUNTIF(手直し!$B$6:$F$55,D163),COUNTIF(手直し!$G$6:$K$55,D163)))</f>
        <v/>
      </c>
      <c r="AQ163">
        <f>IF(AND(J163&lt;&gt;"",AP163=0),1,0)</f>
        <v/>
      </c>
      <c r="AR163">
        <f>IF(AND(AQ163=1,F163="男"),COUNTIFS($AQ$2:AQ163,1,$F$2:F163,"男"),"")</f>
        <v/>
      </c>
      <c r="AS163">
        <f>IF(AND(AQ163=1,F163="女"),COUNTIFS($AQ$2:AQ163,1,$F$2:F163,"女"),"")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  <c r="AO164">
        <f>IF(J164="","",F164&amp;D164)</f>
        <v/>
      </c>
      <c r="AP164">
        <f>IF(J164="","",IF(F164="男",COUNTIF(手直し!$B$6:$F$55,D164),COUNTIF(手直し!$G$6:$K$55,D164)))</f>
        <v/>
      </c>
      <c r="AQ164">
        <f>IF(AND(J164&lt;&gt;"",AP164=0),1,0)</f>
        <v/>
      </c>
      <c r="AR164">
        <f>IF(AND(AQ164=1,F164="男"),COUNTIFS($AQ$2:AQ164,1,$F$2:F164,"男"),"")</f>
        <v/>
      </c>
      <c r="AS164">
        <f>IF(AND(AQ164=1,F164="女"),COUNTIFS($AQ$2:AQ164,1,$F$2:F164,"女"),"")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  <c r="AO165">
        <f>IF(J165="","",F165&amp;D165)</f>
        <v/>
      </c>
      <c r="AP165">
        <f>IF(J165="","",IF(F165="男",COUNTIF(手直し!$B$6:$F$55,D165),COUNTIF(手直し!$G$6:$K$55,D165)))</f>
        <v/>
      </c>
      <c r="AQ165">
        <f>IF(AND(J165&lt;&gt;"",AP165=0),1,0)</f>
        <v/>
      </c>
      <c r="AR165">
        <f>IF(AND(AQ165=1,F165="男"),COUNTIFS($AQ$2:AQ165,1,$F$2:F165,"男"),"")</f>
        <v/>
      </c>
      <c r="AS165">
        <f>IF(AND(AQ165=1,F165="女"),COUNTIFS($AQ$2:AQ165,1,$F$2:F165,"女"),"")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  <c r="AO166">
        <f>IF(J166="","",F166&amp;D166)</f>
        <v/>
      </c>
      <c r="AP166">
        <f>IF(J166="","",IF(F166="男",COUNTIF(手直し!$B$6:$F$55,D166),COUNTIF(手直し!$G$6:$K$55,D166)))</f>
        <v/>
      </c>
      <c r="AQ166">
        <f>IF(AND(J166&lt;&gt;"",AP166=0),1,0)</f>
        <v/>
      </c>
      <c r="AR166">
        <f>IF(AND(AQ166=1,F166="男"),COUNTIFS($AQ$2:AQ166,1,$F$2:F166,"男"),"")</f>
        <v/>
      </c>
      <c r="AS166">
        <f>IF(AND(AQ166=1,F166="女"),COUNTIFS($AQ$2:AQ166,1,$F$2:F166,"女"),"")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  <c r="AO167">
        <f>IF(J167="","",F167&amp;D167)</f>
        <v/>
      </c>
      <c r="AP167">
        <f>IF(J167="","",IF(F167="男",COUNTIF(手直し!$B$6:$F$55,D167),COUNTIF(手直し!$G$6:$K$55,D167)))</f>
        <v/>
      </c>
      <c r="AQ167">
        <f>IF(AND(J167&lt;&gt;"",AP167=0),1,0)</f>
        <v/>
      </c>
      <c r="AR167">
        <f>IF(AND(AQ167=1,F167="男"),COUNTIFS($AQ$2:AQ167,1,$F$2:F167,"男"),"")</f>
        <v/>
      </c>
      <c r="AS167">
        <f>IF(AND(AQ167=1,F167="女"),COUNTIFS($AQ$2:AQ167,1,$F$2:F167,"女"),"")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  <c r="AO168">
        <f>IF(J168="","",F168&amp;D168)</f>
        <v/>
      </c>
      <c r="AP168">
        <f>IF(J168="","",IF(F168="男",COUNTIF(手直し!$B$6:$F$55,D168),COUNTIF(手直し!$G$6:$K$55,D168)))</f>
        <v/>
      </c>
      <c r="AQ168">
        <f>IF(AND(J168&lt;&gt;"",AP168=0),1,0)</f>
        <v/>
      </c>
      <c r="AR168">
        <f>IF(AND(AQ168=1,F168="男"),COUNTIFS($AQ$2:AQ168,1,$F$2:F168,"男"),"")</f>
        <v/>
      </c>
      <c r="AS168">
        <f>IF(AND(AQ168=1,F168="女"),COUNTIFS($AQ$2:AQ168,1,$F$2:F168,"女"),"")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  <c r="AO169">
        <f>IF(J169="","",F169&amp;D169)</f>
        <v/>
      </c>
      <c r="AP169">
        <f>IF(J169="","",IF(F169="男",COUNTIF(手直し!$B$6:$F$55,D169),COUNTIF(手直し!$G$6:$K$55,D169)))</f>
        <v/>
      </c>
      <c r="AQ169">
        <f>IF(AND(J169&lt;&gt;"",AP169=0),1,0)</f>
        <v/>
      </c>
      <c r="AR169">
        <f>IF(AND(AQ169=1,F169="男"),COUNTIFS($AQ$2:AQ169,1,$F$2:F169,"男"),"")</f>
        <v/>
      </c>
      <c r="AS169">
        <f>IF(AND(AQ169=1,F169="女"),COUNTIFS($AQ$2:AQ169,1,$F$2:F169,"女"),"")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  <c r="AO170">
        <f>IF(J170="","",F170&amp;D170)</f>
        <v/>
      </c>
      <c r="AP170">
        <f>IF(J170="","",IF(F170="男",COUNTIF(手直し!$B$6:$F$55,D170),COUNTIF(手直し!$G$6:$K$55,D170)))</f>
        <v/>
      </c>
      <c r="AQ170">
        <f>IF(AND(J170&lt;&gt;"",AP170=0),1,0)</f>
        <v/>
      </c>
      <c r="AR170">
        <f>IF(AND(AQ170=1,F170="男"),COUNTIFS($AQ$2:AQ170,1,$F$2:F170,"男"),"")</f>
        <v/>
      </c>
      <c r="AS170">
        <f>IF(AND(AQ170=1,F170="女"),COUNTIFS($AQ$2:AQ170,1,$F$2:F170,"女"),"")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  <c r="AO171">
        <f>IF(J171="","",F171&amp;D171)</f>
        <v/>
      </c>
      <c r="AP171">
        <f>IF(J171="","",IF(F171="男",COUNTIF(手直し!$B$6:$F$55,D171),COUNTIF(手直し!$G$6:$K$55,D171)))</f>
        <v/>
      </c>
      <c r="AQ171">
        <f>IF(AND(J171&lt;&gt;"",AP171=0),1,0)</f>
        <v/>
      </c>
      <c r="AR171">
        <f>IF(AND(AQ171=1,F171="男"),COUNTIFS($AQ$2:AQ171,1,$F$2:F171,"男"),"")</f>
        <v/>
      </c>
      <c r="AS171">
        <f>IF(AND(AQ171=1,F171="女"),COUNTIFS($AQ$2:AQ171,1,$F$2:F171,"女"),"")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  <c r="AO172">
        <f>IF(J172="","",F172&amp;D172)</f>
        <v/>
      </c>
      <c r="AP172">
        <f>IF(J172="","",IF(F172="男",COUNTIF(手直し!$B$6:$F$55,D172),COUNTIF(手直し!$G$6:$K$55,D172)))</f>
        <v/>
      </c>
      <c r="AQ172">
        <f>IF(AND(J172&lt;&gt;"",AP172=0),1,0)</f>
        <v/>
      </c>
      <c r="AR172">
        <f>IF(AND(AQ172=1,F172="男"),COUNTIFS($AQ$2:AQ172,1,$F$2:F172,"男"),"")</f>
        <v/>
      </c>
      <c r="AS172">
        <f>IF(AND(AQ172=1,F172="女"),COUNTIFS($AQ$2:AQ172,1,$F$2:F172,"女"),"")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  <c r="AO173">
        <f>IF(J173="","",F173&amp;D173)</f>
        <v/>
      </c>
      <c r="AP173">
        <f>IF(J173="","",IF(F173="男",COUNTIF(手直し!$B$6:$F$55,D173),COUNTIF(手直し!$G$6:$K$55,D173)))</f>
        <v/>
      </c>
      <c r="AQ173">
        <f>IF(AND(J173&lt;&gt;"",AP173=0),1,0)</f>
        <v/>
      </c>
      <c r="AR173">
        <f>IF(AND(AQ173=1,F173="男"),COUNTIFS($AQ$2:AQ173,1,$F$2:F173,"男"),"")</f>
        <v/>
      </c>
      <c r="AS173">
        <f>IF(AND(AQ173=1,F173="女"),COUNTIFS($AQ$2:AQ173,1,$F$2:F173,"女"),"")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  <c r="AO174">
        <f>IF(J174="","",F174&amp;D174)</f>
        <v/>
      </c>
      <c r="AP174">
        <f>IF(J174="","",IF(F174="男",COUNTIF(手直し!$B$6:$F$55,D174),COUNTIF(手直し!$G$6:$K$55,D174)))</f>
        <v/>
      </c>
      <c r="AQ174">
        <f>IF(AND(J174&lt;&gt;"",AP174=0),1,0)</f>
        <v/>
      </c>
      <c r="AR174">
        <f>IF(AND(AQ174=1,F174="男"),COUNTIFS($AQ$2:AQ174,1,$F$2:F174,"男"),"")</f>
        <v/>
      </c>
      <c r="AS174">
        <f>IF(AND(AQ174=1,F174="女"),COUNTIFS($AQ$2:AQ174,1,$F$2:F174,"女"),"")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  <c r="AO175">
        <f>IF(J175="","",F175&amp;D175)</f>
        <v/>
      </c>
      <c r="AP175">
        <f>IF(J175="","",IF(F175="男",COUNTIF(手直し!$B$6:$F$55,D175),COUNTIF(手直し!$G$6:$K$55,D175)))</f>
        <v/>
      </c>
      <c r="AQ175">
        <f>IF(AND(J175&lt;&gt;"",AP175=0),1,0)</f>
        <v/>
      </c>
      <c r="AR175">
        <f>IF(AND(AQ175=1,F175="男"),COUNTIFS($AQ$2:AQ175,1,$F$2:F175,"男"),"")</f>
        <v/>
      </c>
      <c r="AS175">
        <f>IF(AND(AQ175=1,F175="女"),COUNTIFS($AQ$2:AQ175,1,$F$2:F175,"女"),"")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  <c r="AO176">
        <f>IF(J176="","",F176&amp;D176)</f>
        <v/>
      </c>
      <c r="AP176">
        <f>IF(J176="","",IF(F176="男",COUNTIF(手直し!$B$6:$F$55,D176),COUNTIF(手直し!$G$6:$K$55,D176)))</f>
        <v/>
      </c>
      <c r="AQ176">
        <f>IF(AND(J176&lt;&gt;"",AP176=0),1,0)</f>
        <v/>
      </c>
      <c r="AR176">
        <f>IF(AND(AQ176=1,F176="男"),COUNTIFS($AQ$2:AQ176,1,$F$2:F176,"男"),"")</f>
        <v/>
      </c>
      <c r="AS176">
        <f>IF(AND(AQ176=1,F176="女"),COUNTIFS($AQ$2:AQ176,1,$F$2:F176,"女"),"")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  <c r="AO177">
        <f>IF(J177="","",F177&amp;D177)</f>
        <v/>
      </c>
      <c r="AP177">
        <f>IF(J177="","",IF(F177="男",COUNTIF(手直し!$B$6:$F$55,D177),COUNTIF(手直し!$G$6:$K$55,D177)))</f>
        <v/>
      </c>
      <c r="AQ177">
        <f>IF(AND(J177&lt;&gt;"",AP177=0),1,0)</f>
        <v/>
      </c>
      <c r="AR177">
        <f>IF(AND(AQ177=1,F177="男"),COUNTIFS($AQ$2:AQ177,1,$F$2:F177,"男"),"")</f>
        <v/>
      </c>
      <c r="AS177">
        <f>IF(AND(AQ177=1,F177="女"),COUNTIFS($AQ$2:AQ177,1,$F$2:F177,"女"),"")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  <c r="AO178">
        <f>IF(J178="","",F178&amp;D178)</f>
        <v/>
      </c>
      <c r="AP178">
        <f>IF(J178="","",IF(F178="男",COUNTIF(手直し!$B$6:$F$55,D178),COUNTIF(手直し!$G$6:$K$55,D178)))</f>
        <v/>
      </c>
      <c r="AQ178">
        <f>IF(AND(J178&lt;&gt;"",AP178=0),1,0)</f>
        <v/>
      </c>
      <c r="AR178">
        <f>IF(AND(AQ178=1,F178="男"),COUNTIFS($AQ$2:AQ178,1,$F$2:F178,"男"),"")</f>
        <v/>
      </c>
      <c r="AS178">
        <f>IF(AND(AQ178=1,F178="女"),COUNTIFS($AQ$2:AQ178,1,$F$2:F178,"女"),"")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  <c r="AO179">
        <f>IF(J179="","",F179&amp;D179)</f>
        <v/>
      </c>
      <c r="AP179">
        <f>IF(J179="","",IF(F179="男",COUNTIF(手直し!$B$6:$F$55,D179),COUNTIF(手直し!$G$6:$K$55,D179)))</f>
        <v/>
      </c>
      <c r="AQ179">
        <f>IF(AND(J179&lt;&gt;"",AP179=0),1,0)</f>
        <v/>
      </c>
      <c r="AR179">
        <f>IF(AND(AQ179=1,F179="男"),COUNTIFS($AQ$2:AQ179,1,$F$2:F179,"男"),"")</f>
        <v/>
      </c>
      <c r="AS179">
        <f>IF(AND(AQ179=1,F179="女"),COUNTIFS($AQ$2:AQ179,1,$F$2:F179,"女"),"")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  <c r="AO180">
        <f>IF(J180="","",F180&amp;D180)</f>
        <v/>
      </c>
      <c r="AP180">
        <f>IF(J180="","",IF(F180="男",COUNTIF(手直し!$B$6:$F$55,D180),COUNTIF(手直し!$G$6:$K$55,D180)))</f>
        <v/>
      </c>
      <c r="AQ180">
        <f>IF(AND(J180&lt;&gt;"",AP180=0),1,0)</f>
        <v/>
      </c>
      <c r="AR180">
        <f>IF(AND(AQ180=1,F180="男"),COUNTIFS($AQ$2:AQ180,1,$F$2:F180,"男"),"")</f>
        <v/>
      </c>
      <c r="AS180">
        <f>IF(AND(AQ180=1,F180="女"),COUNTIFS($AQ$2:AQ180,1,$F$2:F180,"女"),"")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  <c r="AO181">
        <f>IF(J181="","",F181&amp;D181)</f>
        <v/>
      </c>
      <c r="AP181">
        <f>IF(J181="","",IF(F181="男",COUNTIF(手直し!$B$6:$F$55,D181),COUNTIF(手直し!$G$6:$K$55,D181)))</f>
        <v/>
      </c>
      <c r="AQ181">
        <f>IF(AND(J181&lt;&gt;"",AP181=0),1,0)</f>
        <v/>
      </c>
      <c r="AR181">
        <f>IF(AND(AQ181=1,F181="男"),COUNTIFS($AQ$2:AQ181,1,$F$2:F181,"男"),"")</f>
        <v/>
      </c>
      <c r="AS181">
        <f>IF(AND(AQ181=1,F181="女"),COUNTIFS($AQ$2:AQ181,1,$F$2:F181,"女"),"")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  <c r="AO182">
        <f>IF(J182="","",F182&amp;D182)</f>
        <v/>
      </c>
      <c r="AP182">
        <f>IF(J182="","",IF(F182="男",COUNTIF(手直し!$B$6:$F$55,D182),COUNTIF(手直し!$G$6:$K$55,D182)))</f>
        <v/>
      </c>
      <c r="AQ182">
        <f>IF(AND(J182&lt;&gt;"",AP182=0),1,0)</f>
        <v/>
      </c>
      <c r="AR182">
        <f>IF(AND(AQ182=1,F182="男"),COUNTIFS($AQ$2:AQ182,1,$F$2:F182,"男"),"")</f>
        <v/>
      </c>
      <c r="AS182">
        <f>IF(AND(AQ182=1,F182="女"),COUNTIFS($AQ$2:AQ182,1,$F$2:F182,"女"),"")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  <c r="AO183">
        <f>IF(J183="","",F183&amp;D183)</f>
        <v/>
      </c>
      <c r="AP183">
        <f>IF(J183="","",IF(F183="男",COUNTIF(手直し!$B$6:$F$55,D183),COUNTIF(手直し!$G$6:$K$55,D183)))</f>
        <v/>
      </c>
      <c r="AQ183">
        <f>IF(AND(J183&lt;&gt;"",AP183=0),1,0)</f>
        <v/>
      </c>
      <c r="AR183">
        <f>IF(AND(AQ183=1,F183="男"),COUNTIFS($AQ$2:AQ183,1,$F$2:F183,"男"),"")</f>
        <v/>
      </c>
      <c r="AS183">
        <f>IF(AND(AQ183=1,F183="女"),COUNTIFS($AQ$2:AQ183,1,$F$2:F183,"女"),"")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  <c r="AO184">
        <f>IF(J184="","",F184&amp;D184)</f>
        <v/>
      </c>
      <c r="AP184">
        <f>IF(J184="","",IF(F184="男",COUNTIF(手直し!$B$6:$F$55,D184),COUNTIF(手直し!$G$6:$K$55,D184)))</f>
        <v/>
      </c>
      <c r="AQ184">
        <f>IF(AND(J184&lt;&gt;"",AP184=0),1,0)</f>
        <v/>
      </c>
      <c r="AR184">
        <f>IF(AND(AQ184=1,F184="男"),COUNTIFS($AQ$2:AQ184,1,$F$2:F184,"男"),"")</f>
        <v/>
      </c>
      <c r="AS184">
        <f>IF(AND(AQ184=1,F184="女"),COUNTIFS($AQ$2:AQ184,1,$F$2:F184,"女"),"")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  <c r="AO185">
        <f>IF(J185="","",F185&amp;D185)</f>
        <v/>
      </c>
      <c r="AP185">
        <f>IF(J185="","",IF(F185="男",COUNTIF(手直し!$B$6:$F$55,D185),COUNTIF(手直し!$G$6:$K$55,D185)))</f>
        <v/>
      </c>
      <c r="AQ185">
        <f>IF(AND(J185&lt;&gt;"",AP185=0),1,0)</f>
        <v/>
      </c>
      <c r="AR185">
        <f>IF(AND(AQ185=1,F185="男"),COUNTIFS($AQ$2:AQ185,1,$F$2:F185,"男"),"")</f>
        <v/>
      </c>
      <c r="AS185">
        <f>IF(AND(AQ185=1,F185="女"),COUNTIFS($AQ$2:AQ185,1,$F$2:F185,"女"),"")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  <c r="AO186">
        <f>IF(J186="","",F186&amp;D186)</f>
        <v/>
      </c>
      <c r="AP186">
        <f>IF(J186="","",IF(F186="男",COUNTIF(手直し!$B$6:$F$55,D186),COUNTIF(手直し!$G$6:$K$55,D186)))</f>
        <v/>
      </c>
      <c r="AQ186">
        <f>IF(AND(J186&lt;&gt;"",AP186=0),1,0)</f>
        <v/>
      </c>
      <c r="AR186">
        <f>IF(AND(AQ186=1,F186="男"),COUNTIFS($AQ$2:AQ186,1,$F$2:F186,"男"),"")</f>
        <v/>
      </c>
      <c r="AS186">
        <f>IF(AND(AQ186=1,F186="女"),COUNTIFS($AQ$2:AQ186,1,$F$2:F186,"女"),"")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2026-10-05T08:38:47Z</dcterms:modified>
  <cp:lastModifiedBy>馬場　久寿</cp:lastModifiedBy>
  <cp:revision>0</cp:revision>
  <cp:lastPrinted>2026-09-12T09:14:17Z</cp:lastPrinted>
</cp:coreProperties>
</file>