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梅 横長" sheetId="1" state="visible" r:id="rId1"/>
    <sheet name="名前カード" sheetId="2" state="visible" r:id="rId2"/>
    <sheet name="名前カード (松組)" sheetId="3" state="visible" r:id="rId3"/>
    <sheet name="名前カード (竹組)" sheetId="4" state="visible" r:id="rId4"/>
    <sheet name="名前カード (梅組)" sheetId="5" state="visible" r:id="rId5"/>
    <sheet name="名前カード (月組)" sheetId="6" state="visible" r:id="rId6"/>
    <sheet name="名前カード (ひらがな)" sheetId="7" state="visible" r:id="rId7"/>
    <sheet name="名前カード (特大)" sheetId="8" state="visible" r:id="rId8"/>
    <sheet name="名前カード (大)" sheetId="9" state="visible" r:id="rId9"/>
    <sheet name="名前カード (小)" sheetId="10" state="visible" r:id="rId10"/>
    <sheet name="名前カード (縦書き)" sheetId="11" state="visible" r:id="rId11"/>
    <sheet name="座席表" sheetId="12" state="visible" r:id="rId12"/>
    <sheet name="座席表 （低学年用）" sheetId="13" state="visible" r:id="rId13"/>
    <sheet name="提出物チェック表" sheetId="14" state="visible" r:id="rId14"/>
    <sheet name="班分け表" sheetId="15" state="visible" r:id="rId15"/>
    <sheet name="使い方" sheetId="16" state="visible" r:id="rId16"/>
  </sheets>
  <definedNames>
    <definedName name="_xlnm.Print_Area" localSheetId="0">'梅 横長'!$B$1:$D$37</definedName>
    <definedName name="_xlnm.Print_Area" localSheetId="7">OFFSET('名前カード (特大)'!$A$1,0,0,CEILING(IFERROR(LOOKUP(2,1/('梅 横長'!$C$3:$C$37&amp;'梅 横長'!$D$3:$D$37&lt;&gt;""),ROW('梅 横長'!$C$3:$C$37)-2),1)/1,1)*2,1)</definedName>
    <definedName name="_xlnm.Print_Area" localSheetId="8">OFFSET('名前カード (大)'!$A$1,0,0,CEILING(IFERROR(LOOKUP(2,1/('梅 横長'!$C$3:$C$37&amp;'梅 横長'!$D$3:$D$37&lt;&gt;""),ROW('梅 横長'!$C$3:$C$37)-2),1)/10,1)*10,2)</definedName>
    <definedName name="_xlnm.Print_Area" localSheetId="13">'提出物チェック表'!$A$1:$R$40</definedName>
    <definedName name="_xlnm.Print_Area" localSheetId="14">'班分け表'!$F$1:$P$21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2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Ｐゴシック"/>
      <charset val="128"/>
      <family val="2"/>
      <color theme="1"/>
      <sz val="11"/>
    </font>
    <font>
      <name val="ＭＳ Ｐゴシック"/>
      <charset val="128"/>
      <family val="2"/>
      <color theme="0"/>
      <sz val="11"/>
    </font>
    <font>
      <name val="ＭＳ Ｐゴシック"/>
      <charset val="128"/>
      <family val="2"/>
      <color rgb="FF9C6500"/>
      <sz val="11"/>
    </font>
    <font>
      <name val="ＭＳ Ｐゴシック"/>
      <charset val="128"/>
      <family val="2"/>
      <b val="1"/>
      <color theme="0"/>
      <sz val="11"/>
    </font>
    <font>
      <name val="ＭＳ Ｐゴシック"/>
      <charset val="128"/>
      <family val="2"/>
      <color theme="1"/>
      <sz val="12"/>
    </font>
    <font>
      <name val="ＭＳ Ｐゴシック"/>
      <charset val="128"/>
      <family val="2"/>
      <color rgb="FFFA7D00"/>
      <sz val="11"/>
    </font>
    <font>
      <name val="ＭＳ Ｐゴシック"/>
      <charset val="128"/>
      <family val="2"/>
      <color rgb="FF3F3F76"/>
      <sz val="11"/>
    </font>
    <font>
      <name val="ＭＳ Ｐゴシック"/>
      <charset val="128"/>
      <family val="2"/>
      <b val="1"/>
      <color rgb="FF3F3F3F"/>
      <sz val="11"/>
    </font>
    <font>
      <name val="ＭＳ Ｐゴシック"/>
      <charset val="128"/>
      <family val="2"/>
      <color rgb="FF9C0006"/>
      <sz val="11"/>
    </font>
    <font>
      <name val="ＭＳ Ｐゴシック"/>
      <charset val="1"/>
      <family val="2"/>
      <color theme="1"/>
      <sz val="11"/>
    </font>
    <font>
      <name val="ＭＳ Ｐゴシック"/>
      <charset val="128"/>
      <family val="2"/>
      <color rgb="FF006100"/>
      <sz val="11"/>
    </font>
    <font>
      <name val="ＭＳ Ｐゴシック"/>
      <charset val="128"/>
      <family val="2"/>
      <b val="1"/>
      <color rgb="FFFA7D00"/>
      <sz val="11"/>
    </font>
    <font>
      <name val="ＭＳ Ｐゴシック"/>
      <charset val="128"/>
      <family val="2"/>
      <i val="1"/>
      <color rgb="FF7F7F7F"/>
      <sz val="11"/>
    </font>
    <font>
      <name val="ＭＳ Ｐゴシック"/>
      <charset val="128"/>
      <family val="2"/>
      <color rgb="FFFF0000"/>
      <sz val="11"/>
    </font>
    <font>
      <name val="ＭＳ Ｐゴシック"/>
      <charset val="128"/>
      <family val="2"/>
      <b val="1"/>
      <color theme="1"/>
      <sz val="11"/>
    </font>
    <font>
      <name val="ＭＳ Ｐゴシック"/>
      <charset val="128"/>
      <family val="3"/>
      <sz val="9"/>
    </font>
    <font>
      <name val="Noto Sans CJK SC"/>
      <charset val="1"/>
      <family val="2"/>
      <sz val="9"/>
    </font>
    <font>
      <name val="Noto Sans CJK SC"/>
      <charset val="1"/>
      <family val="2"/>
      <sz val="11"/>
    </font>
    <font>
      <name val="Noto Sans CJK SC"/>
      <charset val="1"/>
      <family val="2"/>
      <color theme="1"/>
      <sz val="9"/>
    </font>
    <font>
      <name val="HG丸ｺﾞｼｯｸM-PRO"/>
      <charset val="128"/>
      <family val="3"/>
      <color theme="1"/>
      <sz val="9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theme="1"/>
      <sz val="9"/>
    </font>
    <font>
      <name val="メイリオ"/>
      <charset val="1"/>
      <family val="0"/>
      <sz val="20"/>
    </font>
    <font>
      <name val="メイリオ"/>
      <charset val="1"/>
      <family val="0"/>
      <sz val="36"/>
    </font>
    <font>
      <name val="Noto Sans CJK SC"/>
      <charset val="1"/>
      <family val="2"/>
      <sz val="28"/>
    </font>
    <font>
      <name val="HG丸ｺﾞｼｯｸM-PRO"/>
      <charset val="128"/>
      <family val="3"/>
      <sz val="11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sz val="9"/>
    </font>
    <font>
      <name val="メイリオ"/>
      <charset val="1"/>
      <family val="0"/>
      <sz val="11"/>
    </font>
    <font>
      <name val="メイリオ"/>
      <charset val="1"/>
      <family val="0"/>
      <b val="1"/>
      <sz val="9"/>
    </font>
    <font>
      <name val="Noto Sans CJK SC"/>
      <family val="2"/>
      <b val="1"/>
      <sz val="9"/>
    </font>
    <font>
      <name val="メイリオ"/>
      <charset val="1"/>
      <family val="0"/>
      <sz val="16"/>
    </font>
    <font>
      <name val="HG丸ｺﾞｼｯｸM-PRO"/>
      <charset val="128"/>
      <family val="3"/>
      <sz val="16"/>
    </font>
    <font>
      <name val="Cambria"/>
      <charset val="1"/>
      <family val="0"/>
      <sz val="11"/>
    </font>
    <font>
      <name val="メイリオ"/>
      <sz val="40"/>
    </font>
    <font>
      <name val="メイリオ"/>
      <sz val="130"/>
    </font>
    <font>
      <name val="メイリオ"/>
      <sz val="18"/>
    </font>
    <font>
      <name val="メイリオ"/>
      <sz val="48"/>
    </font>
    <font>
      <name val="メイリオ"/>
      <sz val="9"/>
    </font>
    <font>
      <name val="メイリオ"/>
      <sz val="22"/>
    </font>
    <font>
      <name val="メイリオ"/>
      <sz val="16"/>
    </font>
    <font>
      <name val="メイリオ"/>
      <b val="1"/>
      <sz val="16"/>
    </font>
    <font>
      <name val="メイリオ"/>
      <sz val="10"/>
    </font>
    <font>
      <name val="メイリオ"/>
      <sz val="8"/>
    </font>
    <font>
      <name val="メイリオ"/>
      <b val="1"/>
      <sz val="9"/>
    </font>
    <font>
      <name val="メイリオ"/>
      <b val="1"/>
      <sz val="12"/>
    </font>
    <font>
      <name val="メイリオ"/>
      <sz val="12"/>
    </font>
    <font>
      <name val="メイリオ"/>
      <b val="1"/>
      <sz val="10"/>
    </font>
  </fonts>
  <fills count="38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CE6F2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C6EFCE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B2B2B2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95B3D7"/>
      </patternFill>
    </fill>
    <fill>
      <patternFill patternType="solid">
        <fgColor theme="9" tint="0.3999"/>
        <bgColor rgb="FFFFCC99"/>
      </patternFill>
    </fill>
    <fill>
      <patternFill patternType="solid">
        <fgColor rgb="FFFFEB9C"/>
        <bgColor rgb="FFFCD5B5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B2B2B2"/>
      </patternFill>
    </fill>
    <fill>
      <patternFill patternType="solid">
        <fgColor rgb="FFFFFFCC"/>
        <bgColor rgb="FFFFFACD"/>
      </patternFill>
    </fill>
    <fill>
      <patternFill patternType="solid">
        <fgColor rgb="FFFFCC99"/>
        <bgColor rgb="FFFAC090"/>
      </patternFill>
    </fill>
    <fill>
      <patternFill patternType="solid">
        <fgColor rgb="FFF2F2F2"/>
        <bgColor rgb="FFEBF1DE"/>
      </patternFill>
    </fill>
    <fill>
      <patternFill patternType="solid">
        <fgColor rgb="FFFFC7CE"/>
        <bgColor rgb="FFFCD5B5"/>
      </patternFill>
    </fill>
    <fill>
      <patternFill patternType="solid">
        <fgColor rgb="FFC6EFCE"/>
        <bgColor rgb="FFD7E4BD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79646"/>
      </patternFill>
    </fill>
    <fill>
      <patternFill patternType="solid">
        <fgColor rgb="FFFFFACD"/>
        <bgColor rgb="FFFFFFCC"/>
      </patternFill>
    </fill>
    <fill>
      <patternFill patternType="solid">
        <fgColor rgb="FFFFFACD"/>
      </patternFill>
    </fill>
    <fill>
      <patternFill patternType="solid">
        <fgColor rgb="FFDDEBF7"/>
      </patternFill>
    </fill>
  </fills>
  <borders count="4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/>
      <right style="double"/>
      <top style="medium"/>
      <bottom style="medium"/>
      <diagonal/>
    </border>
    <border>
      <left style="double"/>
      <right style="double"/>
      <top style="medium"/>
      <bottom style="medium"/>
      <diagonal/>
    </border>
    <border>
      <left style="double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double"/>
      <right style="double"/>
      <top/>
      <bottom style="thin"/>
      <diagonal/>
    </border>
    <border>
      <left style="double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double"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 style="double"/>
      <right style="double"/>
      <top/>
      <bottom/>
      <diagonal/>
    </border>
    <border>
      <left style="double"/>
      <right style="medium"/>
      <top style="thin"/>
      <bottom style="medium"/>
      <diagonal/>
    </border>
    <border>
      <left style="double"/>
      <right style="double"/>
      <top style="medium"/>
      <bottom style="thin"/>
      <diagonal/>
    </border>
    <border>
      <left style="medium"/>
      <right/>
      <top/>
      <bottom style="thin"/>
      <diagonal/>
    </border>
    <border>
      <left style="double"/>
      <right style="double"/>
      <top/>
      <bottom style="medium"/>
      <diagonal/>
    </border>
    <border>
      <left style="medium"/>
      <right/>
      <top style="thin"/>
      <bottom/>
      <diagonal/>
    </border>
    <border>
      <left style="double"/>
      <right style="double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thin"/>
    </border>
    <border>
      <left style="medium"/>
      <top style="medium"/>
      <bottom style="thin"/>
    </border>
    <border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4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0" fontId="6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5" fillId="26" borderId="0" applyAlignment="1">
      <alignment horizontal="general" vertical="center"/>
    </xf>
    <xf numFmtId="0" fontId="7" fillId="27" borderId="1" applyAlignment="1">
      <alignment horizontal="general" vertical="center"/>
    </xf>
    <xf numFmtId="0" fontId="4" fillId="28" borderId="2" applyAlignment="1">
      <alignment horizontal="general" vertical="center"/>
    </xf>
    <xf numFmtId="0" fontId="8" fillId="28" borderId="2" applyAlignment="1">
      <alignment horizontal="general" vertical="center"/>
    </xf>
    <xf numFmtId="0" fontId="9" fillId="0" borderId="3" applyAlignment="1">
      <alignment horizontal="general" vertical="center"/>
    </xf>
    <xf numFmtId="0" fontId="10" fillId="29" borderId="4" applyAlignment="1">
      <alignment horizontal="general" vertical="center"/>
    </xf>
    <xf numFmtId="0" fontId="11" fillId="30" borderId="5" applyAlignment="1">
      <alignment horizontal="general" vertical="center"/>
    </xf>
    <xf numFmtId="0" fontId="12" fillId="31" borderId="0" applyAlignment="1">
      <alignment horizontal="general" vertical="center"/>
    </xf>
    <xf numFmtId="0" fontId="0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13" fillId="0" borderId="0" applyAlignment="1">
      <alignment horizontal="general" vertical="bottom"/>
    </xf>
    <xf numFmtId="0" fontId="8" fillId="0" borderId="0" applyAlignment="1">
      <alignment horizontal="general" vertical="center"/>
    </xf>
    <xf numFmtId="0" fontId="14" fillId="32" borderId="0" applyAlignment="1">
      <alignment horizontal="general" vertical="center"/>
    </xf>
    <xf numFmtId="0" fontId="15" fillId="30" borderId="4" applyAlignment="1">
      <alignment horizontal="general" vertical="center"/>
    </xf>
    <xf numFmtId="0" fontId="16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8" fillId="0" borderId="6" applyAlignment="1">
      <alignment horizontal="general" vertical="center"/>
    </xf>
  </cellStyleXfs>
  <cellXfs count="138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general" vertical="center"/>
    </xf>
    <xf numFmtId="0" fontId="21" fillId="0" borderId="9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22" fillId="33" borderId="11" applyAlignment="1" pivotButton="0" quotePrefix="0" xfId="0">
      <alignment horizontal="general" vertical="center" shrinkToFit="1"/>
    </xf>
    <xf numFmtId="0" fontId="20" fillId="0" borderId="12" applyAlignment="1" pivotButton="0" quotePrefix="0" xfId="0">
      <alignment horizontal="general" vertical="top" wrapText="1"/>
    </xf>
    <xf numFmtId="0" fontId="0" fillId="0" borderId="13" applyAlignment="1" pivotButton="0" quotePrefix="0" xfId="0">
      <alignment horizontal="center" vertical="center"/>
    </xf>
    <xf numFmtId="0" fontId="22" fillId="33" borderId="14" applyAlignment="1" pivotButton="0" quotePrefix="0" xfId="0">
      <alignment horizontal="general" vertical="top" wrapText="1" shrinkToFit="1"/>
    </xf>
    <xf numFmtId="0" fontId="0" fillId="0" borderId="15" applyAlignment="1" pivotButton="0" quotePrefix="0" xfId="0">
      <alignment horizontal="center" vertical="center"/>
    </xf>
    <xf numFmtId="0" fontId="22" fillId="33" borderId="16" applyAlignment="1" pivotButton="0" quotePrefix="0" xfId="0">
      <alignment horizontal="general" vertical="center" shrinkToFit="1"/>
    </xf>
    <xf numFmtId="0" fontId="22" fillId="33" borderId="17" applyAlignment="1" pivotButton="0" quotePrefix="0" xfId="0">
      <alignment horizontal="general" vertical="top" wrapText="1" shrinkToFit="1"/>
    </xf>
    <xf numFmtId="0" fontId="23" fillId="33" borderId="18" applyAlignment="1" pivotButton="0" quotePrefix="0" xfId="0">
      <alignment horizontal="general" vertical="center" shrinkToFit="1"/>
    </xf>
    <xf numFmtId="0" fontId="23" fillId="33" borderId="12" applyAlignment="1" pivotButton="0" quotePrefix="0" xfId="0">
      <alignment horizontal="general" vertical="top" wrapText="1" shrinkToFit="1"/>
    </xf>
    <xf numFmtId="0" fontId="0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general" vertical="top" wrapText="1"/>
    </xf>
    <xf numFmtId="0" fontId="23" fillId="33" borderId="20" applyAlignment="1" pivotButton="0" quotePrefix="0" xfId="0">
      <alignment horizontal="general" vertical="center" shrinkToFit="1"/>
    </xf>
    <xf numFmtId="0" fontId="23" fillId="0" borderId="17" applyAlignment="1" pivotButton="0" quotePrefix="0" xfId="0">
      <alignment horizontal="general" vertical="top" wrapText="1" shrinkToFit="1"/>
    </xf>
    <xf numFmtId="0" fontId="24" fillId="33" borderId="0" applyAlignment="1" pivotButton="0" quotePrefix="0" xfId="0">
      <alignment horizontal="left" vertical="center" shrinkToFit="1"/>
    </xf>
    <xf numFmtId="0" fontId="19" fillId="0" borderId="12" applyAlignment="1" pivotButton="0" quotePrefix="0" xfId="0">
      <alignment horizontal="general" vertical="top" wrapText="1"/>
    </xf>
    <xf numFmtId="0" fontId="0" fillId="0" borderId="21" applyAlignment="1" pivotButton="0" quotePrefix="0" xfId="0">
      <alignment horizontal="center" vertical="center"/>
    </xf>
    <xf numFmtId="0" fontId="0" fillId="0" borderId="14" applyAlignment="1" pivotButton="0" quotePrefix="0" xfId="0">
      <alignment horizontal="general" vertical="center"/>
    </xf>
    <xf numFmtId="0" fontId="23" fillId="33" borderId="22" applyAlignment="1" pivotButton="0" quotePrefix="0" xfId="0">
      <alignment horizontal="general" vertical="center" shrinkToFit="1"/>
    </xf>
    <xf numFmtId="0" fontId="0" fillId="0" borderId="17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6" fillId="0" borderId="23" applyAlignment="1" pivotButton="0" quotePrefix="0" xfId="0">
      <alignment horizontal="center" vertical="center" shrinkToFit="1"/>
    </xf>
    <xf numFmtId="0" fontId="27" fillId="0" borderId="24" applyAlignment="1" pivotButton="0" quotePrefix="0" xfId="0">
      <alignment horizontal="center" vertical="center" shrinkToFit="1"/>
    </xf>
    <xf numFmtId="0" fontId="28" fillId="0" borderId="25" applyAlignment="1" pivotButton="0" quotePrefix="0" xfId="0">
      <alignment horizontal="center" vertical="center" shrinkToFit="1"/>
    </xf>
    <xf numFmtId="0" fontId="29" fillId="0" borderId="0" applyAlignment="1" pivotButton="0" quotePrefix="0" xfId="0">
      <alignment horizontal="center" vertical="center"/>
    </xf>
    <xf numFmtId="0" fontId="28" fillId="0" borderId="25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31" fillId="0" borderId="25" applyAlignment="1" pivotButton="0" quotePrefix="0" xfId="0">
      <alignment horizontal="center" vertical="center"/>
    </xf>
    <xf numFmtId="0" fontId="0" fillId="34" borderId="25" applyAlignment="1" pivotButton="0" quotePrefix="0" xfId="0">
      <alignment horizontal="general" vertical="center"/>
    </xf>
    <xf numFmtId="0" fontId="31" fillId="34" borderId="25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bottom" shrinkToFit="1"/>
    </xf>
    <xf numFmtId="0" fontId="33" fillId="34" borderId="25" applyAlignment="1" pivotButton="0" quotePrefix="0" xfId="0">
      <alignment horizontal="center" vertical="center"/>
    </xf>
    <xf numFmtId="0" fontId="32" fillId="35" borderId="25" applyAlignment="1" pivotButton="0" quotePrefix="0" xfId="0">
      <alignment horizontal="center" vertical="center"/>
    </xf>
    <xf numFmtId="0" fontId="35" fillId="0" borderId="25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general" vertical="center"/>
    </xf>
    <xf numFmtId="0" fontId="21" fillId="0" borderId="9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22" fillId="33" borderId="11" applyAlignment="1" pivotButton="0" quotePrefix="0" xfId="0">
      <alignment horizontal="general" vertical="center" shrinkToFit="1"/>
    </xf>
    <xf numFmtId="0" fontId="20" fillId="0" borderId="12" applyAlignment="1" pivotButton="0" quotePrefix="0" xfId="0">
      <alignment horizontal="general" vertical="top" wrapText="1"/>
    </xf>
    <xf numFmtId="0" fontId="0" fillId="0" borderId="13" applyAlignment="1" pivotButton="0" quotePrefix="0" xfId="0">
      <alignment horizontal="center" vertical="center"/>
    </xf>
    <xf numFmtId="0" fontId="22" fillId="33" borderId="14" applyAlignment="1" pivotButton="0" quotePrefix="0" xfId="0">
      <alignment horizontal="general" vertical="top" wrapText="1" shrinkToFit="1"/>
    </xf>
    <xf numFmtId="0" fontId="0" fillId="0" borderId="15" applyAlignment="1" pivotButton="0" quotePrefix="0" xfId="0">
      <alignment horizontal="center" vertical="center"/>
    </xf>
    <xf numFmtId="0" fontId="22" fillId="33" borderId="16" applyAlignment="1" pivotButton="0" quotePrefix="0" xfId="0">
      <alignment horizontal="general" vertical="center" shrinkToFit="1"/>
    </xf>
    <xf numFmtId="0" fontId="22" fillId="33" borderId="17" applyAlignment="1" pivotButton="0" quotePrefix="0" xfId="0">
      <alignment horizontal="general" vertical="top" wrapText="1" shrinkToFit="1"/>
    </xf>
    <xf numFmtId="0" fontId="23" fillId="33" borderId="18" applyAlignment="1" pivotButton="0" quotePrefix="0" xfId="0">
      <alignment horizontal="general" vertical="center" shrinkToFit="1"/>
    </xf>
    <xf numFmtId="0" fontId="23" fillId="33" borderId="12" applyAlignment="1" pivotButton="0" quotePrefix="0" xfId="0">
      <alignment horizontal="general" vertical="top" wrapText="1" shrinkToFit="1"/>
    </xf>
    <xf numFmtId="0" fontId="0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general" vertical="top" wrapText="1"/>
    </xf>
    <xf numFmtId="0" fontId="23" fillId="33" borderId="20" applyAlignment="1" pivotButton="0" quotePrefix="0" xfId="0">
      <alignment horizontal="general" vertical="center" shrinkToFit="1"/>
    </xf>
    <xf numFmtId="0" fontId="23" fillId="0" borderId="17" applyAlignment="1" pivotButton="0" quotePrefix="0" xfId="0">
      <alignment horizontal="general" vertical="top" wrapText="1" shrinkToFit="1"/>
    </xf>
    <xf numFmtId="0" fontId="24" fillId="33" borderId="0" applyAlignment="1" pivotButton="0" quotePrefix="0" xfId="0">
      <alignment horizontal="left" vertical="center" shrinkToFit="1"/>
    </xf>
    <xf numFmtId="0" fontId="19" fillId="0" borderId="12" applyAlignment="1" pivotButton="0" quotePrefix="0" xfId="0">
      <alignment horizontal="general" vertical="top" wrapText="1"/>
    </xf>
    <xf numFmtId="0" fontId="0" fillId="0" borderId="21" applyAlignment="1" pivotButton="0" quotePrefix="0" xfId="0">
      <alignment horizontal="center" vertical="center"/>
    </xf>
    <xf numFmtId="0" fontId="0" fillId="0" borderId="14" applyAlignment="1" pivotButton="0" quotePrefix="0" xfId="0">
      <alignment horizontal="general" vertical="center"/>
    </xf>
    <xf numFmtId="0" fontId="23" fillId="33" borderId="22" applyAlignment="1" pivotButton="0" quotePrefix="0" xfId="0">
      <alignment horizontal="general" vertical="center" shrinkToFit="1"/>
    </xf>
    <xf numFmtId="0" fontId="0" fillId="0" borderId="17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6" fillId="0" borderId="23" applyAlignment="1" pivotButton="0" quotePrefix="0" xfId="0">
      <alignment horizontal="center" vertical="center" shrinkToFit="1"/>
    </xf>
    <xf numFmtId="0" fontId="27" fillId="0" borderId="24" applyAlignment="1" pivotButton="0" quotePrefix="0" xfId="0">
      <alignment horizontal="center" vertical="center" shrinkToFit="1"/>
    </xf>
    <xf numFmtId="0" fontId="28" fillId="0" borderId="25" applyAlignment="1" pivotButton="0" quotePrefix="0" xfId="0">
      <alignment horizontal="center" vertical="center" shrinkToFit="1"/>
    </xf>
    <xf numFmtId="0" fontId="38" fillId="0" borderId="0" applyAlignment="1" pivotButton="0" quotePrefix="0" xfId="0">
      <alignment horizontal="center" vertical="center" shrinkToFit="1"/>
    </xf>
    <xf numFmtId="0" fontId="39" fillId="0" borderId="0" applyAlignment="1" pivotButton="0" quotePrefix="0" xfId="0">
      <alignment horizontal="center" vertical="center" shrinkToFit="1"/>
    </xf>
    <xf numFmtId="0" fontId="40" fillId="0" borderId="0" applyAlignment="1" pivotButton="0" quotePrefix="0" xfId="0">
      <alignment horizontal="center" vertical="center" shrinkToFit="1"/>
    </xf>
    <xf numFmtId="0" fontId="41" fillId="0" borderId="0" applyAlignment="1" pivotButton="0" quotePrefix="0" xfId="0">
      <alignment horizontal="center" vertical="center" shrinkToFit="1"/>
    </xf>
    <xf numFmtId="0" fontId="42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center" vertical="center" shrinkToFit="1"/>
    </xf>
    <xf numFmtId="0" fontId="44" fillId="0" borderId="0" applyAlignment="1" pivotButton="0" quotePrefix="0" xfId="0">
      <alignment horizontal="center" vertical="center" textRotation="255" shrinkToFit="1"/>
    </xf>
    <xf numFmtId="0" fontId="42" fillId="0" borderId="0" applyAlignment="1" pivotButton="0" quotePrefix="0" xfId="0">
      <alignment horizontal="center" vertical="center" textRotation="255" shrinkToFit="1"/>
    </xf>
    <xf numFmtId="0" fontId="29" fillId="0" borderId="0" applyAlignment="1" pivotButton="0" quotePrefix="0" xfId="0">
      <alignment horizontal="center" vertical="center"/>
    </xf>
    <xf numFmtId="0" fontId="2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30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31" fillId="0" borderId="25" applyAlignment="1" pivotButton="0" quotePrefix="0" xfId="0">
      <alignment horizontal="center" vertical="center"/>
    </xf>
    <xf numFmtId="0" fontId="0" fillId="34" borderId="25" applyAlignment="1" pivotButton="0" quotePrefix="0" xfId="0">
      <alignment horizontal="general" vertical="center"/>
    </xf>
    <xf numFmtId="0" fontId="31" fillId="34" borderId="25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bottom" shrinkToFit="1"/>
    </xf>
    <xf numFmtId="0" fontId="0" fillId="0" borderId="33" pivotButton="0" quotePrefix="0" xfId="0"/>
    <xf numFmtId="0" fontId="33" fillId="34" borderId="25" applyAlignment="1" pivotButton="0" quotePrefix="0" xfId="0">
      <alignment horizontal="center" vertical="center"/>
    </xf>
    <xf numFmtId="0" fontId="32" fillId="35" borderId="25" applyAlignment="1" pivotButton="0" quotePrefix="0" xfId="0">
      <alignment horizontal="center" vertical="center"/>
    </xf>
    <xf numFmtId="0" fontId="35" fillId="0" borderId="25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center" vertical="center" shrinkToFit="1"/>
    </xf>
    <xf numFmtId="0" fontId="0" fillId="0" borderId="27" pivotButton="0" quotePrefix="0" xfId="0"/>
    <xf numFmtId="0" fontId="0" fillId="0" borderId="29" pivotButton="0" quotePrefix="0" xfId="0"/>
    <xf numFmtId="0" fontId="45" fillId="36" borderId="0" applyAlignment="1" pivotButton="0" quotePrefix="0" xfId="0">
      <alignment horizontal="center" vertical="center"/>
    </xf>
    <xf numFmtId="0" fontId="42" fillId="0" borderId="34" applyAlignment="1" pivotButton="0" quotePrefix="0" xfId="0">
      <alignment horizontal="center" vertical="center" wrapText="1"/>
    </xf>
    <xf numFmtId="0" fontId="42" fillId="36" borderId="34" applyAlignment="1" pivotButton="0" quotePrefix="0" xfId="0">
      <alignment horizontal="center" vertical="top" textRotation="255" shrinkToFit="1"/>
    </xf>
    <xf numFmtId="0" fontId="42" fillId="0" borderId="35" applyAlignment="1" pivotButton="0" quotePrefix="0" xfId="0">
      <alignment horizontal="center" vertical="center"/>
    </xf>
    <xf numFmtId="0" fontId="46" fillId="0" borderId="35" applyAlignment="1" pivotButton="0" quotePrefix="0" xfId="0">
      <alignment horizontal="left" vertical="center" shrinkToFit="1"/>
    </xf>
    <xf numFmtId="0" fontId="42" fillId="0" borderId="36" applyAlignment="1" pivotButton="0" quotePrefix="0" xfId="0">
      <alignment horizontal="center" vertical="center"/>
    </xf>
    <xf numFmtId="0" fontId="46" fillId="0" borderId="36" applyAlignment="1" pivotButton="0" quotePrefix="0" xfId="0">
      <alignment horizontal="left" vertical="center" shrinkToFit="1"/>
    </xf>
    <xf numFmtId="0" fontId="42" fillId="0" borderId="37" applyAlignment="1" pivotButton="0" quotePrefix="0" xfId="0">
      <alignment horizontal="center" vertical="center"/>
    </xf>
    <xf numFmtId="0" fontId="42" fillId="0" borderId="35" applyAlignment="1" pivotButton="0" quotePrefix="0" xfId="0">
      <alignment horizontal="center" vertical="center"/>
    </xf>
    <xf numFmtId="0" fontId="47" fillId="0" borderId="0" pivotButton="0" quotePrefix="0" xfId="0"/>
    <xf numFmtId="0" fontId="48" fillId="0" borderId="0" pivotButton="0" quotePrefix="0" xfId="0"/>
    <xf numFmtId="0" fontId="42" fillId="0" borderId="34" applyAlignment="1" pivotButton="0" quotePrefix="0" xfId="0">
      <alignment horizontal="center" vertical="center"/>
    </xf>
    <xf numFmtId="0" fontId="49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42" fillId="0" borderId="35" applyAlignment="1" pivotButton="0" quotePrefix="0" xfId="0">
      <alignment horizontal="left" vertical="center" shrinkToFit="1"/>
    </xf>
    <xf numFmtId="0" fontId="42" fillId="36" borderId="35" applyAlignment="1" pivotButton="0" quotePrefix="0" xfId="0">
      <alignment horizontal="center" vertical="center"/>
    </xf>
    <xf numFmtId="0" fontId="46" fillId="0" borderId="40" applyAlignment="1" pivotButton="0" quotePrefix="0" xfId="0">
      <alignment horizontal="center" vertical="center" shrinkToFit="1"/>
    </xf>
    <xf numFmtId="0" fontId="50" fillId="0" borderId="41" applyAlignment="1" pivotButton="0" quotePrefix="0" xfId="0">
      <alignment horizontal="left" vertical="center" shrinkToFit="1"/>
    </xf>
    <xf numFmtId="0" fontId="42" fillId="0" borderId="36" applyAlignment="1" pivotButton="0" quotePrefix="0" xfId="0">
      <alignment horizontal="left" vertical="center" shrinkToFit="1"/>
    </xf>
    <xf numFmtId="0" fontId="42" fillId="36" borderId="36" applyAlignment="1" pivotButton="0" quotePrefix="0" xfId="0">
      <alignment horizontal="center" vertical="center"/>
    </xf>
    <xf numFmtId="0" fontId="46" fillId="0" borderId="42" applyAlignment="1" pivotButton="0" quotePrefix="0" xfId="0">
      <alignment horizontal="center" vertical="center" shrinkToFit="1"/>
    </xf>
    <xf numFmtId="0" fontId="50" fillId="0" borderId="43" applyAlignment="1" pivotButton="0" quotePrefix="0" xfId="0">
      <alignment horizontal="left" vertical="center" shrinkToFit="1"/>
    </xf>
    <xf numFmtId="0" fontId="42" fillId="0" borderId="0" applyAlignment="1" pivotButton="0" quotePrefix="0" xfId="0">
      <alignment horizontal="center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51" fillId="37" borderId="35" applyAlignment="1" pivotButton="0" quotePrefix="0" xfId="0">
      <alignment vertical="center" wrapText="1"/>
    </xf>
    <xf numFmtId="0" fontId="46" fillId="0" borderId="35" applyAlignment="1" pivotButton="0" quotePrefix="0" xfId="0">
      <alignment vertical="center" wrapText="1"/>
    </xf>
    <xf numFmtId="0" fontId="51" fillId="0" borderId="0" applyAlignment="1" pivotButton="0" quotePrefix="0" xfId="0">
      <alignment vertical="center" wrapText="1"/>
    </xf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アクセント 1 2" xfId="6"/>
    <cellStyle name="20% - アクセント 2 2" xfId="7"/>
    <cellStyle name="20% - アクセント 3 2" xfId="8"/>
    <cellStyle name="20% - アクセント 4 2" xfId="9"/>
    <cellStyle name="20% - アクセント 5 2" xfId="10"/>
    <cellStyle name="20% - アクセント 6 2" xfId="11"/>
    <cellStyle name="40% - アクセント 1 2" xfId="12"/>
    <cellStyle name="40% - アクセント 2 2" xfId="13"/>
    <cellStyle name="40% - アクセント 3 2" xfId="14"/>
    <cellStyle name="40% - アクセント 4 2" xfId="15"/>
    <cellStyle name="40% - アクセント 5 2" xfId="16"/>
    <cellStyle name="40% - アクセント 6 2" xfId="17"/>
    <cellStyle name="60% - アクセント 1 2" xfId="18"/>
    <cellStyle name="60% - アクセント 2 2" xfId="19"/>
    <cellStyle name="60% - アクセント 3 2" xfId="20"/>
    <cellStyle name="60% - アクセント 4 2" xfId="21"/>
    <cellStyle name="60% - アクセント 5 2" xfId="22"/>
    <cellStyle name="60% - アクセント 6 2" xfId="23"/>
    <cellStyle name="どちらでもない 2" xfId="24"/>
    <cellStyle name="アクセント 1 2" xfId="25"/>
    <cellStyle name="アクセント 2 2" xfId="26"/>
    <cellStyle name="アクセント 3 2" xfId="27"/>
    <cellStyle name="アクセント 4 2" xfId="28"/>
    <cellStyle name="アクセント 5 2" xfId="29"/>
    <cellStyle name="アクセント 6 2" xfId="30"/>
    <cellStyle name="チェック セル 2" xfId="31"/>
    <cellStyle name="メモ 2" xfId="32"/>
    <cellStyle name="メモ 3" xfId="33"/>
    <cellStyle name="リンク セル 2" xfId="34"/>
    <cellStyle name="入力 2" xfId="35"/>
    <cellStyle name="出力 2" xfId="36"/>
    <cellStyle name="悪い 2" xfId="37"/>
    <cellStyle name="標準 2" xfId="38"/>
    <cellStyle name="標準 2 2" xfId="39"/>
    <cellStyle name="標準 3" xfId="40"/>
    <cellStyle name="標準 4" xfId="41"/>
    <cellStyle name="良い 2" xfId="42"/>
    <cellStyle name="計算 2" xfId="43"/>
    <cellStyle name="説明文 2" xfId="44"/>
    <cellStyle name="警告文 2" xfId="45"/>
    <cellStyle name="集計 2" xfId="46"/>
  </cellStyles>
  <dxfs count="4">
    <dxf>
      <border>
        <left style="thin"/>
        <right style="thin"/>
        <top style="thin"/>
      </border>
    </dxf>
    <dxf>
      <border>
        <left style="thin"/>
        <right style="thin"/>
        <bottom style="thin"/>
      </border>
    </dxf>
    <dxf>
      <border>
        <left style="thin"/>
        <top style="thin"/>
        <bottom style="thin"/>
      </border>
    </dxf>
    <dxf>
      <border>
        <right style="thin"/>
        <top style="thin"/>
        <bottom style="thin"/>
      </border>
    </dxf>
  </dxfs>
  <colors>
    <indexedColors>
      <rgbColor rgb="FF000000"/>
      <rgbColor rgb="FFFFFFFF"/>
      <rgbColor rgb="FFFF0000"/>
      <rgbColor rgb="FFEBF1DE"/>
      <rgbColor rgb="FF0000FF"/>
      <rgbColor rgb="FFFFFACD"/>
      <rgbColor rgb="FFFDEADA"/>
      <rgbColor rgb="FFC3D69B"/>
      <rgbColor rgb="FF9C0006"/>
      <rgbColor rgb="FF006100"/>
      <rgbColor rgb="FF000080"/>
      <rgbColor rgb="FF9C6500"/>
      <rgbColor rgb="FF800080"/>
      <rgbColor rgb="FFE6E0EC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CD5B5"/>
      <rgbColor rgb="FFB9CDE5"/>
      <rgbColor rgb="FF000080"/>
      <rgbColor rgb="FFF2F2F2"/>
      <rgbColor rgb="FFFAC090"/>
      <rgbColor rgb="FFD7E4BD"/>
      <rgbColor rgb="FF800080"/>
      <rgbColor rgb="FF800000"/>
      <rgbColor rgb="FFF2DCDB"/>
      <rgbColor rgb="FF0000FF"/>
      <rgbColor rgb="FFB7DEE8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FC000"/>
      <rgbColor rgb="FFFF8001"/>
      <rgbColor rgb="FFFA7D00"/>
      <rgbColor rgb="FF8064A2"/>
      <rgbColor rgb="FFA5A5A5"/>
      <rgbColor rgb="FF003366"/>
      <rgbColor rgb="FFB2B2B2"/>
      <rgbColor rgb="FF003300"/>
      <rgbColor rgb="FF333300"/>
      <rgbColor rgb="FFFFC7CE"/>
      <rgbColor rgb="FFE6B9B8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1.jpeg" Id="rId2" /><Relationship Type="http://schemas.openxmlformats.org/officeDocument/2006/relationships/image" Target="/xl/media/image1.jpeg" Id="rId3" /><Relationship Type="http://schemas.openxmlformats.org/officeDocument/2006/relationships/image" Target="/xl/media/image1.jpeg" Id="rId4" /><Relationship Type="http://schemas.openxmlformats.org/officeDocument/2006/relationships/image" Target="/xl/media/image1.jpeg" Id="rId5" /><Relationship Type="http://schemas.openxmlformats.org/officeDocument/2006/relationships/image" Target="/xl/media/image1.jpeg" Id="rId6" /><Relationship Type="http://schemas.openxmlformats.org/officeDocument/2006/relationships/image" Target="/xl/media/image1.jpeg" Id="rId7" /><Relationship Type="http://schemas.openxmlformats.org/officeDocument/2006/relationships/image" Target="/xl/media/image1.jpeg" Id="rId8" /><Relationship Type="http://schemas.openxmlformats.org/officeDocument/2006/relationships/image" Target="/xl/media/image1.jpeg" Id="rId9" /><Relationship Type="http://schemas.openxmlformats.org/officeDocument/2006/relationships/image" Target="/xl/media/image1.jpeg" Id="rId10" /><Relationship Type="http://schemas.openxmlformats.org/officeDocument/2006/relationships/image" Target="/xl/media/image1.jpeg" Id="rId11" /><Relationship Type="http://schemas.openxmlformats.org/officeDocument/2006/relationships/image" Target="/xl/media/image1.jpeg" Id="rId12" /><Relationship Type="http://schemas.openxmlformats.org/officeDocument/2006/relationships/image" Target="/xl/media/image1.jpeg" Id="rId13" /><Relationship Type="http://schemas.openxmlformats.org/officeDocument/2006/relationships/image" Target="/xl/media/image1.jpeg" Id="rId14" /><Relationship Type="http://schemas.openxmlformats.org/officeDocument/2006/relationships/image" Target="/xl/media/image1.jpeg" Id="rId15" /><Relationship Type="http://schemas.openxmlformats.org/officeDocument/2006/relationships/image" Target="/xl/media/image1.jpeg" Id="rId16" /><Relationship Type="http://schemas.openxmlformats.org/officeDocument/2006/relationships/image" Target="/xl/media/image1.jpeg" Id="rId17" /><Relationship Type="http://schemas.openxmlformats.org/officeDocument/2006/relationships/image" Target="/xl/media/image1.jpeg" Id="rId18" /><Relationship Type="http://schemas.openxmlformats.org/officeDocument/2006/relationships/image" Target="/xl/media/image1.jpeg" Id="rId19" /><Relationship Type="http://schemas.openxmlformats.org/officeDocument/2006/relationships/image" Target="/xl/media/image1.jpeg" Id="rId20" /><Relationship Type="http://schemas.openxmlformats.org/officeDocument/2006/relationships/image" Target="/xl/media/image1.jpeg" Id="rId21" /><Relationship Type="http://schemas.openxmlformats.org/officeDocument/2006/relationships/image" Target="/xl/media/image1.jpeg" Id="rId22" /><Relationship Type="http://schemas.openxmlformats.org/officeDocument/2006/relationships/image" Target="/xl/media/image1.jpeg" Id="rId23" /><Relationship Type="http://schemas.openxmlformats.org/officeDocument/2006/relationships/image" Target="/xl/media/image1.jpeg" Id="rId24" /><Relationship Type="http://schemas.openxmlformats.org/officeDocument/2006/relationships/image" Target="/xl/media/image1.jpeg" Id="rId25" /><Relationship Type="http://schemas.openxmlformats.org/officeDocument/2006/relationships/image" Target="/xl/media/image1.jpeg" Id="rId26" /><Relationship Type="http://schemas.openxmlformats.org/officeDocument/2006/relationships/image" Target="/xl/media/image1.jpeg" Id="rId27" /><Relationship Type="http://schemas.openxmlformats.org/officeDocument/2006/relationships/image" Target="/xl/media/image1.jpeg" Id="rId28" /><Relationship Type="http://schemas.openxmlformats.org/officeDocument/2006/relationships/image" Target="/xl/media/image1.jpeg" Id="rId29" /><Relationship Type="http://schemas.openxmlformats.org/officeDocument/2006/relationships/image" Target="/xl/media/image1.jpeg" Id="rId30" /><Relationship Type="http://schemas.openxmlformats.org/officeDocument/2006/relationships/image" Target="/xl/media/image1.jpeg" Id="rId31" /><Relationship Type="http://schemas.openxmlformats.org/officeDocument/2006/relationships/image" Target="/xl/media/image1.jpeg" Id="rId32" /><Relationship Type="http://schemas.openxmlformats.org/officeDocument/2006/relationships/image" Target="/xl/media/image1.jpeg" Id="rId33" /><Relationship Type="http://schemas.openxmlformats.org/officeDocument/2006/relationships/image" Target="/xl/media/image1.jpeg" Id="rId34" /><Relationship Type="http://schemas.openxmlformats.org/officeDocument/2006/relationships/image" Target="/xl/media/image1.jpeg" Id="rId3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6.jpeg" Id="rId1" /><Relationship Type="http://schemas.openxmlformats.org/officeDocument/2006/relationships/image" Target="/xl/media/image36.jpeg" Id="rId2" /><Relationship Type="http://schemas.openxmlformats.org/officeDocument/2006/relationships/image" Target="/xl/media/image36.jpeg" Id="rId3" /><Relationship Type="http://schemas.openxmlformats.org/officeDocument/2006/relationships/image" Target="/xl/media/image36.jpeg" Id="rId4" /><Relationship Type="http://schemas.openxmlformats.org/officeDocument/2006/relationships/image" Target="/xl/media/image36.jpeg" Id="rId5" /><Relationship Type="http://schemas.openxmlformats.org/officeDocument/2006/relationships/image" Target="/xl/media/image36.jpeg" Id="rId6" /><Relationship Type="http://schemas.openxmlformats.org/officeDocument/2006/relationships/image" Target="/xl/media/image36.jpeg" Id="rId7" /><Relationship Type="http://schemas.openxmlformats.org/officeDocument/2006/relationships/image" Target="/xl/media/image36.jpeg" Id="rId8" /><Relationship Type="http://schemas.openxmlformats.org/officeDocument/2006/relationships/image" Target="/xl/media/image36.jpeg" Id="rId9" /><Relationship Type="http://schemas.openxmlformats.org/officeDocument/2006/relationships/image" Target="/xl/media/image36.jpeg" Id="rId10" /><Relationship Type="http://schemas.openxmlformats.org/officeDocument/2006/relationships/image" Target="/xl/media/image36.jpeg" Id="rId11" /><Relationship Type="http://schemas.openxmlformats.org/officeDocument/2006/relationships/image" Target="/xl/media/image36.jpeg" Id="rId12" /><Relationship Type="http://schemas.openxmlformats.org/officeDocument/2006/relationships/image" Target="/xl/media/image36.jpeg" Id="rId13" /><Relationship Type="http://schemas.openxmlformats.org/officeDocument/2006/relationships/image" Target="/xl/media/image36.jpeg" Id="rId14" /><Relationship Type="http://schemas.openxmlformats.org/officeDocument/2006/relationships/image" Target="/xl/media/image36.jpeg" Id="rId15" /><Relationship Type="http://schemas.openxmlformats.org/officeDocument/2006/relationships/image" Target="/xl/media/image36.jpeg" Id="rId16" /><Relationship Type="http://schemas.openxmlformats.org/officeDocument/2006/relationships/image" Target="/xl/media/image36.jpeg" Id="rId17" /><Relationship Type="http://schemas.openxmlformats.org/officeDocument/2006/relationships/image" Target="/xl/media/image36.jpeg" Id="rId18" /><Relationship Type="http://schemas.openxmlformats.org/officeDocument/2006/relationships/image" Target="/xl/media/image36.jpeg" Id="rId19" /><Relationship Type="http://schemas.openxmlformats.org/officeDocument/2006/relationships/image" Target="/xl/media/image36.jpeg" Id="rId20" /><Relationship Type="http://schemas.openxmlformats.org/officeDocument/2006/relationships/image" Target="/xl/media/image36.jpeg" Id="rId21" /><Relationship Type="http://schemas.openxmlformats.org/officeDocument/2006/relationships/image" Target="/xl/media/image36.jpeg" Id="rId22" /><Relationship Type="http://schemas.openxmlformats.org/officeDocument/2006/relationships/image" Target="/xl/media/image36.jpeg" Id="rId23" /><Relationship Type="http://schemas.openxmlformats.org/officeDocument/2006/relationships/image" Target="/xl/media/image36.jpeg" Id="rId24" /><Relationship Type="http://schemas.openxmlformats.org/officeDocument/2006/relationships/image" Target="/xl/media/image36.jpeg" Id="rId25" /><Relationship Type="http://schemas.openxmlformats.org/officeDocument/2006/relationships/image" Target="/xl/media/image36.jpeg" Id="rId26" /><Relationship Type="http://schemas.openxmlformats.org/officeDocument/2006/relationships/image" Target="/xl/media/image36.jpeg" Id="rId27" /><Relationship Type="http://schemas.openxmlformats.org/officeDocument/2006/relationships/image" Target="/xl/media/image36.jpeg" Id="rId28" /><Relationship Type="http://schemas.openxmlformats.org/officeDocument/2006/relationships/image" Target="/xl/media/image36.jpeg" Id="rId29" /><Relationship Type="http://schemas.openxmlformats.org/officeDocument/2006/relationships/image" Target="/xl/media/image36.jpeg" Id="rId30" /><Relationship Type="http://schemas.openxmlformats.org/officeDocument/2006/relationships/image" Target="/xl/media/image36.jpeg" Id="rId31" /><Relationship Type="http://schemas.openxmlformats.org/officeDocument/2006/relationships/image" Target="/xl/media/image36.jpeg" Id="rId32" /><Relationship Type="http://schemas.openxmlformats.org/officeDocument/2006/relationships/image" Target="/xl/media/image36.jpeg" Id="rId33" /><Relationship Type="http://schemas.openxmlformats.org/officeDocument/2006/relationships/image" Target="/xl/media/image36.jpeg" Id="rId34" /><Relationship Type="http://schemas.openxmlformats.org/officeDocument/2006/relationships/image" Target="/xl/media/image36.jpeg" Id="rId3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1.jpeg" Id="rId2" /><Relationship Type="http://schemas.openxmlformats.org/officeDocument/2006/relationships/image" Target="/xl/media/image71.jpeg" Id="rId3" /><Relationship Type="http://schemas.openxmlformats.org/officeDocument/2006/relationships/image" Target="/xl/media/image71.jpeg" Id="rId4" /><Relationship Type="http://schemas.openxmlformats.org/officeDocument/2006/relationships/image" Target="/xl/media/image71.jpeg" Id="rId5" /><Relationship Type="http://schemas.openxmlformats.org/officeDocument/2006/relationships/image" Target="/xl/media/image71.jpeg" Id="rId6" /><Relationship Type="http://schemas.openxmlformats.org/officeDocument/2006/relationships/image" Target="/xl/media/image71.jpeg" Id="rId7" /><Relationship Type="http://schemas.openxmlformats.org/officeDocument/2006/relationships/image" Target="/xl/media/image71.jpeg" Id="rId8" /><Relationship Type="http://schemas.openxmlformats.org/officeDocument/2006/relationships/image" Target="/xl/media/image71.jpeg" Id="rId9" /><Relationship Type="http://schemas.openxmlformats.org/officeDocument/2006/relationships/image" Target="/xl/media/image71.jpeg" Id="rId10" /><Relationship Type="http://schemas.openxmlformats.org/officeDocument/2006/relationships/image" Target="/xl/media/image71.jpeg" Id="rId11" /><Relationship Type="http://schemas.openxmlformats.org/officeDocument/2006/relationships/image" Target="/xl/media/image71.jpeg" Id="rId12" /><Relationship Type="http://schemas.openxmlformats.org/officeDocument/2006/relationships/image" Target="/xl/media/image71.jpeg" Id="rId13" /><Relationship Type="http://schemas.openxmlformats.org/officeDocument/2006/relationships/image" Target="/xl/media/image71.jpeg" Id="rId14" /><Relationship Type="http://schemas.openxmlformats.org/officeDocument/2006/relationships/image" Target="/xl/media/image71.jpeg" Id="rId15" /><Relationship Type="http://schemas.openxmlformats.org/officeDocument/2006/relationships/image" Target="/xl/media/image71.jpeg" Id="rId16" /><Relationship Type="http://schemas.openxmlformats.org/officeDocument/2006/relationships/image" Target="/xl/media/image71.jpeg" Id="rId17" /><Relationship Type="http://schemas.openxmlformats.org/officeDocument/2006/relationships/image" Target="/xl/media/image71.jpeg" Id="rId18" /><Relationship Type="http://schemas.openxmlformats.org/officeDocument/2006/relationships/image" Target="/xl/media/image71.jpeg" Id="rId19" /><Relationship Type="http://schemas.openxmlformats.org/officeDocument/2006/relationships/image" Target="/xl/media/image71.jpeg" Id="rId20" /><Relationship Type="http://schemas.openxmlformats.org/officeDocument/2006/relationships/image" Target="/xl/media/image71.jpeg" Id="rId21" /><Relationship Type="http://schemas.openxmlformats.org/officeDocument/2006/relationships/image" Target="/xl/media/image71.jpeg" Id="rId22" /><Relationship Type="http://schemas.openxmlformats.org/officeDocument/2006/relationships/image" Target="/xl/media/image71.jpeg" Id="rId23" /><Relationship Type="http://schemas.openxmlformats.org/officeDocument/2006/relationships/image" Target="/xl/media/image71.jpeg" Id="rId24" /><Relationship Type="http://schemas.openxmlformats.org/officeDocument/2006/relationships/image" Target="/xl/media/image71.jpeg" Id="rId25" /><Relationship Type="http://schemas.openxmlformats.org/officeDocument/2006/relationships/image" Target="/xl/media/image71.jpeg" Id="rId26" /><Relationship Type="http://schemas.openxmlformats.org/officeDocument/2006/relationships/image" Target="/xl/media/image71.jpeg" Id="rId27" /><Relationship Type="http://schemas.openxmlformats.org/officeDocument/2006/relationships/image" Target="/xl/media/image71.jpeg" Id="rId28" /><Relationship Type="http://schemas.openxmlformats.org/officeDocument/2006/relationships/image" Target="/xl/media/image71.jpeg" Id="rId29" /><Relationship Type="http://schemas.openxmlformats.org/officeDocument/2006/relationships/image" Target="/xl/media/image71.jpeg" Id="rId30" /><Relationship Type="http://schemas.openxmlformats.org/officeDocument/2006/relationships/image" Target="/xl/media/image71.jpeg" Id="rId31" /><Relationship Type="http://schemas.openxmlformats.org/officeDocument/2006/relationships/image" Target="/xl/media/image71.jpeg" Id="rId32" /><Relationship Type="http://schemas.openxmlformats.org/officeDocument/2006/relationships/image" Target="/xl/media/image71.jpeg" Id="rId33" /><Relationship Type="http://schemas.openxmlformats.org/officeDocument/2006/relationships/image" Target="/xl/media/image71.jpeg" Id="rId34" /><Relationship Type="http://schemas.openxmlformats.org/officeDocument/2006/relationships/image" Target="/xl/media/image71.jpeg" Id="rId3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6.jpeg" Id="rId1" /><Relationship Type="http://schemas.openxmlformats.org/officeDocument/2006/relationships/image" Target="/xl/media/image106.jpeg" Id="rId2" /><Relationship Type="http://schemas.openxmlformats.org/officeDocument/2006/relationships/image" Target="/xl/media/image106.jpeg" Id="rId3" /><Relationship Type="http://schemas.openxmlformats.org/officeDocument/2006/relationships/image" Target="/xl/media/image106.jpeg" Id="rId4" /><Relationship Type="http://schemas.openxmlformats.org/officeDocument/2006/relationships/image" Target="/xl/media/image106.jpeg" Id="rId5" /><Relationship Type="http://schemas.openxmlformats.org/officeDocument/2006/relationships/image" Target="/xl/media/image106.jpeg" Id="rId6" /><Relationship Type="http://schemas.openxmlformats.org/officeDocument/2006/relationships/image" Target="/xl/media/image106.jpeg" Id="rId7" /><Relationship Type="http://schemas.openxmlformats.org/officeDocument/2006/relationships/image" Target="/xl/media/image106.jpeg" Id="rId8" /><Relationship Type="http://schemas.openxmlformats.org/officeDocument/2006/relationships/image" Target="/xl/media/image106.jpeg" Id="rId9" /><Relationship Type="http://schemas.openxmlformats.org/officeDocument/2006/relationships/image" Target="/xl/media/image106.jpeg" Id="rId10" /><Relationship Type="http://schemas.openxmlformats.org/officeDocument/2006/relationships/image" Target="/xl/media/image106.jpeg" Id="rId11" /><Relationship Type="http://schemas.openxmlformats.org/officeDocument/2006/relationships/image" Target="/xl/media/image106.jpeg" Id="rId12" /><Relationship Type="http://schemas.openxmlformats.org/officeDocument/2006/relationships/image" Target="/xl/media/image106.jpeg" Id="rId13" /><Relationship Type="http://schemas.openxmlformats.org/officeDocument/2006/relationships/image" Target="/xl/media/image106.jpeg" Id="rId14" /><Relationship Type="http://schemas.openxmlformats.org/officeDocument/2006/relationships/image" Target="/xl/media/image106.jpeg" Id="rId15" /><Relationship Type="http://schemas.openxmlformats.org/officeDocument/2006/relationships/image" Target="/xl/media/image106.jpeg" Id="rId16" /><Relationship Type="http://schemas.openxmlformats.org/officeDocument/2006/relationships/image" Target="/xl/media/image106.jpeg" Id="rId17" /><Relationship Type="http://schemas.openxmlformats.org/officeDocument/2006/relationships/image" Target="/xl/media/image106.jpeg" Id="rId18" /><Relationship Type="http://schemas.openxmlformats.org/officeDocument/2006/relationships/image" Target="/xl/media/image106.jpeg" Id="rId19" /><Relationship Type="http://schemas.openxmlformats.org/officeDocument/2006/relationships/image" Target="/xl/media/image106.jpeg" Id="rId20" /><Relationship Type="http://schemas.openxmlformats.org/officeDocument/2006/relationships/image" Target="/xl/media/image106.jpeg" Id="rId21" /><Relationship Type="http://schemas.openxmlformats.org/officeDocument/2006/relationships/image" Target="/xl/media/image106.jpeg" Id="rId22" /><Relationship Type="http://schemas.openxmlformats.org/officeDocument/2006/relationships/image" Target="/xl/media/image106.jpeg" Id="rId23" /><Relationship Type="http://schemas.openxmlformats.org/officeDocument/2006/relationships/image" Target="/xl/media/image106.jpeg" Id="rId24" /><Relationship Type="http://schemas.openxmlformats.org/officeDocument/2006/relationships/image" Target="/xl/media/image106.jpeg" Id="rId25" /><Relationship Type="http://schemas.openxmlformats.org/officeDocument/2006/relationships/image" Target="/xl/media/image106.jpeg" Id="rId26" /><Relationship Type="http://schemas.openxmlformats.org/officeDocument/2006/relationships/image" Target="/xl/media/image106.jpeg" Id="rId27" /><Relationship Type="http://schemas.openxmlformats.org/officeDocument/2006/relationships/image" Target="/xl/media/image106.jpeg" Id="rId28" /><Relationship Type="http://schemas.openxmlformats.org/officeDocument/2006/relationships/image" Target="/xl/media/image106.jpeg" Id="rId29" /><Relationship Type="http://schemas.openxmlformats.org/officeDocument/2006/relationships/image" Target="/xl/media/image106.jpeg" Id="rId30" /><Relationship Type="http://schemas.openxmlformats.org/officeDocument/2006/relationships/image" Target="/xl/media/image106.jpeg" Id="rId31" /><Relationship Type="http://schemas.openxmlformats.org/officeDocument/2006/relationships/image" Target="/xl/media/image106.jpeg" Id="rId32" /><Relationship Type="http://schemas.openxmlformats.org/officeDocument/2006/relationships/image" Target="/xl/media/image106.jpeg" Id="rId33" /><Relationship Type="http://schemas.openxmlformats.org/officeDocument/2006/relationships/image" Target="/xl/media/image106.jpeg" Id="rId34" /><Relationship Type="http://schemas.openxmlformats.org/officeDocument/2006/relationships/image" Target="/xl/media/image106.jpeg" Id="rId3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123840</rowOff>
    </from>
    <to>
      <col>0</col>
      <colOff>561240</colOff>
      <row>0</row>
      <rowOff>304200</rowOff>
    </to>
    <pic>
      <nvPicPr>
        <cNvPr id="0" name="Image 1" descr="Picture"/>
        <cNvPicPr/>
      </nvPicPr>
      <blipFill>
        <a:blip r:embed="rId1"/>
        <a:stretch>
          <a:fillRect/>
        </a:stretch>
      </blipFill>
      <spPr>
        <a:xfrm>
          <a:off x="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0</row>
      <rowOff>123840</rowOff>
    </from>
    <to>
      <col>1</col>
      <colOff>561240</colOff>
      <row>0</row>
      <rowOff>304200</rowOff>
    </to>
    <pic>
      <nvPicPr>
        <cNvPr id="1" name="Image 2" descr="Picture"/>
        <cNvPicPr/>
      </nvPicPr>
      <blipFill>
        <a:blip r:embed="rId2"/>
        <a:stretch>
          <a:fillRect/>
        </a:stretch>
      </blipFill>
      <spPr>
        <a:xfrm>
          <a:off x="415620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0</row>
      <rowOff>123840</rowOff>
    </from>
    <to>
      <col>2</col>
      <colOff>561240</colOff>
      <row>0</row>
      <rowOff>304200</rowOff>
    </to>
    <pic>
      <nvPicPr>
        <cNvPr id="2" name="Image 3" descr="Picture"/>
        <cNvPicPr/>
      </nvPicPr>
      <blipFill>
        <a:blip r:embed="rId3"/>
        <a:stretch>
          <a:fillRect/>
        </a:stretch>
      </blipFill>
      <spPr>
        <a:xfrm>
          <a:off x="831204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</row>
      <rowOff>123840</rowOff>
    </from>
    <to>
      <col>0</col>
      <colOff>561240</colOff>
      <row>2</row>
      <rowOff>304200</rowOff>
    </to>
    <pic>
      <nvPicPr>
        <cNvPr id="3" name="Image 4" descr="Picture"/>
        <cNvPicPr/>
      </nvPicPr>
      <blipFill>
        <a:blip r:embed="rId4"/>
        <a:stretch>
          <a:fillRect/>
        </a:stretch>
      </blipFill>
      <spPr>
        <a:xfrm>
          <a:off x="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</row>
      <rowOff>123840</rowOff>
    </from>
    <to>
      <col>1</col>
      <colOff>561240</colOff>
      <row>2</row>
      <rowOff>304200</rowOff>
    </to>
    <pic>
      <nvPicPr>
        <cNvPr id="4" name="Image 5" descr="Picture"/>
        <cNvPicPr/>
      </nvPicPr>
      <blipFill>
        <a:blip r:embed="rId5"/>
        <a:stretch>
          <a:fillRect/>
        </a:stretch>
      </blipFill>
      <spPr>
        <a:xfrm>
          <a:off x="415620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</row>
      <rowOff>123840</rowOff>
    </from>
    <to>
      <col>2</col>
      <colOff>561240</colOff>
      <row>2</row>
      <rowOff>304200</rowOff>
    </to>
    <pic>
      <nvPicPr>
        <cNvPr id="5" name="Image 6" descr="Picture"/>
        <cNvPicPr/>
      </nvPicPr>
      <blipFill>
        <a:blip r:embed="rId6"/>
        <a:stretch>
          <a:fillRect/>
        </a:stretch>
      </blipFill>
      <spPr>
        <a:xfrm>
          <a:off x="831204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4</row>
      <rowOff>123840</rowOff>
    </from>
    <to>
      <col>0</col>
      <colOff>561240</colOff>
      <row>4</row>
      <rowOff>304200</rowOff>
    </to>
    <pic>
      <nvPicPr>
        <cNvPr id="6" name="Image 7" descr="Picture"/>
        <cNvPicPr/>
      </nvPicPr>
      <blipFill>
        <a:blip r:embed="rId7"/>
        <a:stretch>
          <a:fillRect/>
        </a:stretch>
      </blipFill>
      <spPr>
        <a:xfrm>
          <a:off x="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4</row>
      <rowOff>123840</rowOff>
    </from>
    <to>
      <col>1</col>
      <colOff>561240</colOff>
      <row>4</row>
      <rowOff>304200</rowOff>
    </to>
    <pic>
      <nvPicPr>
        <cNvPr id="7" name="Image 8" descr="Picture"/>
        <cNvPicPr/>
      </nvPicPr>
      <blipFill>
        <a:blip r:embed="rId8"/>
        <a:stretch>
          <a:fillRect/>
        </a:stretch>
      </blipFill>
      <spPr>
        <a:xfrm>
          <a:off x="415620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4</row>
      <rowOff>123840</rowOff>
    </from>
    <to>
      <col>2</col>
      <colOff>561240</colOff>
      <row>4</row>
      <rowOff>304200</rowOff>
    </to>
    <pic>
      <nvPicPr>
        <cNvPr id="8" name="Image 9" descr="Picture"/>
        <cNvPicPr/>
      </nvPicPr>
      <blipFill>
        <a:blip r:embed="rId9"/>
        <a:stretch>
          <a:fillRect/>
        </a:stretch>
      </blipFill>
      <spPr>
        <a:xfrm>
          <a:off x="831204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6</row>
      <rowOff>123840</rowOff>
    </from>
    <to>
      <col>0</col>
      <colOff>561240</colOff>
      <row>6</row>
      <rowOff>304200</rowOff>
    </to>
    <pic>
      <nvPicPr>
        <cNvPr id="9" name="Image 10" descr="Picture"/>
        <cNvPicPr/>
      </nvPicPr>
      <blipFill>
        <a:blip r:embed="rId10"/>
        <a:stretch>
          <a:fillRect/>
        </a:stretch>
      </blipFill>
      <spPr>
        <a:xfrm>
          <a:off x="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6</row>
      <rowOff>123840</rowOff>
    </from>
    <to>
      <col>1</col>
      <colOff>561240</colOff>
      <row>6</row>
      <rowOff>304200</rowOff>
    </to>
    <pic>
      <nvPicPr>
        <cNvPr id="10" name="Image 11" descr="Picture"/>
        <cNvPicPr/>
      </nvPicPr>
      <blipFill>
        <a:blip r:embed="rId11"/>
        <a:stretch>
          <a:fillRect/>
        </a:stretch>
      </blipFill>
      <spPr>
        <a:xfrm>
          <a:off x="415620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6</row>
      <rowOff>123840</rowOff>
    </from>
    <to>
      <col>2</col>
      <colOff>561240</colOff>
      <row>6</row>
      <rowOff>304200</rowOff>
    </to>
    <pic>
      <nvPicPr>
        <cNvPr id="11" name="Image 12" descr="Picture"/>
        <cNvPicPr/>
      </nvPicPr>
      <blipFill>
        <a:blip r:embed="rId12"/>
        <a:stretch>
          <a:fillRect/>
        </a:stretch>
      </blipFill>
      <spPr>
        <a:xfrm>
          <a:off x="831204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8</row>
      <rowOff>123840</rowOff>
    </from>
    <to>
      <col>0</col>
      <colOff>561240</colOff>
      <row>8</row>
      <rowOff>304200</rowOff>
    </to>
    <pic>
      <nvPicPr>
        <cNvPr id="12" name="Image 13" descr="Picture"/>
        <cNvPicPr/>
      </nvPicPr>
      <blipFill>
        <a:blip r:embed="rId13"/>
        <a:stretch>
          <a:fillRect/>
        </a:stretch>
      </blipFill>
      <spPr>
        <a:xfrm>
          <a:off x="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8</row>
      <rowOff>123840</rowOff>
    </from>
    <to>
      <col>1</col>
      <colOff>561240</colOff>
      <row>8</row>
      <rowOff>304200</rowOff>
    </to>
    <pic>
      <nvPicPr>
        <cNvPr id="13" name="Image 14" descr="Picture"/>
        <cNvPicPr/>
      </nvPicPr>
      <blipFill>
        <a:blip r:embed="rId14"/>
        <a:stretch>
          <a:fillRect/>
        </a:stretch>
      </blipFill>
      <spPr>
        <a:xfrm>
          <a:off x="415620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8</row>
      <rowOff>123840</rowOff>
    </from>
    <to>
      <col>2</col>
      <colOff>561240</colOff>
      <row>8</row>
      <rowOff>304200</rowOff>
    </to>
    <pic>
      <nvPicPr>
        <cNvPr id="14" name="Image 15" descr="Picture"/>
        <cNvPicPr/>
      </nvPicPr>
      <blipFill>
        <a:blip r:embed="rId15"/>
        <a:stretch>
          <a:fillRect/>
        </a:stretch>
      </blipFill>
      <spPr>
        <a:xfrm>
          <a:off x="831204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10</row>
      <rowOff>123840</rowOff>
    </from>
    <to>
      <col>0</col>
      <colOff>561240</colOff>
      <row>10</row>
      <rowOff>304200</rowOff>
    </to>
    <pic>
      <nvPicPr>
        <cNvPr id="15" name="Image 16" descr="Picture"/>
        <cNvPicPr/>
      </nvPicPr>
      <blipFill>
        <a:blip r:embed="rId16"/>
        <a:stretch>
          <a:fillRect/>
        </a:stretch>
      </blipFill>
      <spPr>
        <a:xfrm>
          <a:off x="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10</row>
      <rowOff>123840</rowOff>
    </from>
    <to>
      <col>1</col>
      <colOff>561240</colOff>
      <row>10</row>
      <rowOff>304200</rowOff>
    </to>
    <pic>
      <nvPicPr>
        <cNvPr id="16" name="Image 17" descr="Picture"/>
        <cNvPicPr/>
      </nvPicPr>
      <blipFill>
        <a:blip r:embed="rId17"/>
        <a:stretch>
          <a:fillRect/>
        </a:stretch>
      </blipFill>
      <spPr>
        <a:xfrm>
          <a:off x="415620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10</row>
      <rowOff>123840</rowOff>
    </from>
    <to>
      <col>2</col>
      <colOff>561240</colOff>
      <row>10</row>
      <rowOff>304200</rowOff>
    </to>
    <pic>
      <nvPicPr>
        <cNvPr id="17" name="Image 18" descr="Picture"/>
        <cNvPicPr/>
      </nvPicPr>
      <blipFill>
        <a:blip r:embed="rId18"/>
        <a:stretch>
          <a:fillRect/>
        </a:stretch>
      </blipFill>
      <spPr>
        <a:xfrm>
          <a:off x="831204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12</row>
      <rowOff>123840</rowOff>
    </from>
    <to>
      <col>0</col>
      <colOff>561240</colOff>
      <row>12</row>
      <rowOff>304200</rowOff>
    </to>
    <pic>
      <nvPicPr>
        <cNvPr id="18" name="Image 19" descr="Picture"/>
        <cNvPicPr/>
      </nvPicPr>
      <blipFill>
        <a:blip r:embed="rId19"/>
        <a:stretch>
          <a:fillRect/>
        </a:stretch>
      </blipFill>
      <spPr>
        <a:xfrm>
          <a:off x="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12</row>
      <rowOff>123840</rowOff>
    </from>
    <to>
      <col>1</col>
      <colOff>561240</colOff>
      <row>12</row>
      <rowOff>304200</rowOff>
    </to>
    <pic>
      <nvPicPr>
        <cNvPr id="19" name="Image 20" descr="Picture"/>
        <cNvPicPr/>
      </nvPicPr>
      <blipFill>
        <a:blip r:embed="rId20"/>
        <a:stretch>
          <a:fillRect/>
        </a:stretch>
      </blipFill>
      <spPr>
        <a:xfrm>
          <a:off x="415620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12</row>
      <rowOff>123840</rowOff>
    </from>
    <to>
      <col>2</col>
      <colOff>561240</colOff>
      <row>12</row>
      <rowOff>304200</rowOff>
    </to>
    <pic>
      <nvPicPr>
        <cNvPr id="20" name="Image 21" descr="Picture"/>
        <cNvPicPr/>
      </nvPicPr>
      <blipFill>
        <a:blip r:embed="rId21"/>
        <a:stretch>
          <a:fillRect/>
        </a:stretch>
      </blipFill>
      <spPr>
        <a:xfrm>
          <a:off x="831204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14</row>
      <rowOff>123840</rowOff>
    </from>
    <to>
      <col>0</col>
      <colOff>561240</colOff>
      <row>14</row>
      <rowOff>304200</rowOff>
    </to>
    <pic>
      <nvPicPr>
        <cNvPr id="21" name="Image 22" descr="Picture"/>
        <cNvPicPr/>
      </nvPicPr>
      <blipFill>
        <a:blip r:embed="rId22"/>
        <a:stretch>
          <a:fillRect/>
        </a:stretch>
      </blipFill>
      <spPr>
        <a:xfrm>
          <a:off x="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14</row>
      <rowOff>123840</rowOff>
    </from>
    <to>
      <col>1</col>
      <colOff>561240</colOff>
      <row>14</row>
      <rowOff>304200</rowOff>
    </to>
    <pic>
      <nvPicPr>
        <cNvPr id="22" name="Image 23" descr="Picture"/>
        <cNvPicPr/>
      </nvPicPr>
      <blipFill>
        <a:blip r:embed="rId23"/>
        <a:stretch>
          <a:fillRect/>
        </a:stretch>
      </blipFill>
      <spPr>
        <a:xfrm>
          <a:off x="415620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14</row>
      <rowOff>123840</rowOff>
    </from>
    <to>
      <col>2</col>
      <colOff>561240</colOff>
      <row>14</row>
      <rowOff>304200</rowOff>
    </to>
    <pic>
      <nvPicPr>
        <cNvPr id="23" name="Image 24" descr="Picture"/>
        <cNvPicPr/>
      </nvPicPr>
      <blipFill>
        <a:blip r:embed="rId24"/>
        <a:stretch>
          <a:fillRect/>
        </a:stretch>
      </blipFill>
      <spPr>
        <a:xfrm>
          <a:off x="831204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16</row>
      <rowOff>123840</rowOff>
    </from>
    <to>
      <col>0</col>
      <colOff>561240</colOff>
      <row>16</row>
      <rowOff>304200</rowOff>
    </to>
    <pic>
      <nvPicPr>
        <cNvPr id="24" name="Image 25" descr="Picture"/>
        <cNvPicPr/>
      </nvPicPr>
      <blipFill>
        <a:blip r:embed="rId25"/>
        <a:stretch>
          <a:fillRect/>
        </a:stretch>
      </blipFill>
      <spPr>
        <a:xfrm>
          <a:off x="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16</row>
      <rowOff>123840</rowOff>
    </from>
    <to>
      <col>1</col>
      <colOff>561240</colOff>
      <row>16</row>
      <rowOff>304200</rowOff>
    </to>
    <pic>
      <nvPicPr>
        <cNvPr id="25" name="Image 26" descr="Picture"/>
        <cNvPicPr/>
      </nvPicPr>
      <blipFill>
        <a:blip r:embed="rId26"/>
        <a:stretch>
          <a:fillRect/>
        </a:stretch>
      </blipFill>
      <spPr>
        <a:xfrm>
          <a:off x="415620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16</row>
      <rowOff>123840</rowOff>
    </from>
    <to>
      <col>2</col>
      <colOff>561240</colOff>
      <row>16</row>
      <rowOff>304200</rowOff>
    </to>
    <pic>
      <nvPicPr>
        <cNvPr id="26" name="Image 27" descr="Picture"/>
        <cNvPicPr/>
      </nvPicPr>
      <blipFill>
        <a:blip r:embed="rId27"/>
        <a:stretch>
          <a:fillRect/>
        </a:stretch>
      </blipFill>
      <spPr>
        <a:xfrm>
          <a:off x="831204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18</row>
      <rowOff>123840</rowOff>
    </from>
    <to>
      <col>0</col>
      <colOff>561240</colOff>
      <row>18</row>
      <rowOff>304200</rowOff>
    </to>
    <pic>
      <nvPicPr>
        <cNvPr id="27" name="Image 28" descr="Picture"/>
        <cNvPicPr/>
      </nvPicPr>
      <blipFill>
        <a:blip r:embed="rId28"/>
        <a:stretch>
          <a:fillRect/>
        </a:stretch>
      </blipFill>
      <spPr>
        <a:xfrm>
          <a:off x="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18</row>
      <rowOff>123840</rowOff>
    </from>
    <to>
      <col>1</col>
      <colOff>561240</colOff>
      <row>18</row>
      <rowOff>304200</rowOff>
    </to>
    <pic>
      <nvPicPr>
        <cNvPr id="28" name="Image 29" descr="Picture"/>
        <cNvPicPr/>
      </nvPicPr>
      <blipFill>
        <a:blip r:embed="rId29"/>
        <a:stretch>
          <a:fillRect/>
        </a:stretch>
      </blipFill>
      <spPr>
        <a:xfrm>
          <a:off x="415620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18</row>
      <rowOff>123840</rowOff>
    </from>
    <to>
      <col>2</col>
      <colOff>561240</colOff>
      <row>18</row>
      <rowOff>304200</rowOff>
    </to>
    <pic>
      <nvPicPr>
        <cNvPr id="29" name="Image 30" descr="Picture"/>
        <cNvPicPr/>
      </nvPicPr>
      <blipFill>
        <a:blip r:embed="rId30"/>
        <a:stretch>
          <a:fillRect/>
        </a:stretch>
      </blipFill>
      <spPr>
        <a:xfrm>
          <a:off x="831204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20</row>
      <rowOff>123840</rowOff>
    </from>
    <to>
      <col>0</col>
      <colOff>561240</colOff>
      <row>20</row>
      <rowOff>304200</rowOff>
    </to>
    <pic>
      <nvPicPr>
        <cNvPr id="30" name="Image 31" descr="Picture"/>
        <cNvPicPr/>
      </nvPicPr>
      <blipFill>
        <a:blip r:embed="rId31"/>
        <a:stretch>
          <a:fillRect/>
        </a:stretch>
      </blipFill>
      <spPr>
        <a:xfrm>
          <a:off x="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20</row>
      <rowOff>123840</rowOff>
    </from>
    <to>
      <col>1</col>
      <colOff>561240</colOff>
      <row>20</row>
      <rowOff>304200</rowOff>
    </to>
    <pic>
      <nvPicPr>
        <cNvPr id="31" name="Image 32" descr="Picture"/>
        <cNvPicPr/>
      </nvPicPr>
      <blipFill>
        <a:blip r:embed="rId32"/>
        <a:stretch>
          <a:fillRect/>
        </a:stretch>
      </blipFill>
      <spPr>
        <a:xfrm>
          <a:off x="415620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20</row>
      <rowOff>123840</rowOff>
    </from>
    <to>
      <col>2</col>
      <colOff>561240</colOff>
      <row>20</row>
      <rowOff>304200</rowOff>
    </to>
    <pic>
      <nvPicPr>
        <cNvPr id="32" name="Image 33" descr="Picture"/>
        <cNvPicPr/>
      </nvPicPr>
      <blipFill>
        <a:blip r:embed="rId33"/>
        <a:stretch>
          <a:fillRect/>
        </a:stretch>
      </blipFill>
      <spPr>
        <a:xfrm>
          <a:off x="831204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22</row>
      <rowOff>123840</rowOff>
    </from>
    <to>
      <col>0</col>
      <colOff>561240</colOff>
      <row>22</row>
      <rowOff>304200</rowOff>
    </to>
    <pic>
      <nvPicPr>
        <cNvPr id="33" name="Image 34" descr="Picture"/>
        <cNvPicPr/>
      </nvPicPr>
      <blipFill>
        <a:blip r:embed="rId34"/>
        <a:stretch>
          <a:fillRect/>
        </a:stretch>
      </blipFill>
      <spPr>
        <a:xfrm>
          <a:off x="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22</row>
      <rowOff>123840</rowOff>
    </from>
    <to>
      <col>1</col>
      <colOff>561240</colOff>
      <row>22</row>
      <rowOff>304200</rowOff>
    </to>
    <pic>
      <nvPicPr>
        <cNvPr id="34" name="Image 35" descr="Picture"/>
        <cNvPicPr/>
      </nvPicPr>
      <blipFill>
        <a:blip r:embed="rId35"/>
        <a:stretch>
          <a:fillRect/>
        </a:stretch>
      </blipFill>
      <spPr>
        <a:xfrm>
          <a:off x="415620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123840</rowOff>
    </from>
    <to>
      <col>0</col>
      <colOff>561240</colOff>
      <row>0</row>
      <rowOff>304200</rowOff>
    </to>
    <pic>
      <nvPicPr>
        <cNvPr id="35" name="Image 1" descr="Picture"/>
        <cNvPicPr/>
      </nvPicPr>
      <blipFill>
        <a:blip r:embed="rId1"/>
        <a:stretch>
          <a:fillRect/>
        </a:stretch>
      </blipFill>
      <spPr>
        <a:xfrm>
          <a:off x="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0</row>
      <rowOff>123840</rowOff>
    </from>
    <to>
      <col>1</col>
      <colOff>561240</colOff>
      <row>0</row>
      <rowOff>304200</rowOff>
    </to>
    <pic>
      <nvPicPr>
        <cNvPr id="36" name="Image 2" descr="Picture"/>
        <cNvPicPr/>
      </nvPicPr>
      <blipFill>
        <a:blip r:embed="rId2"/>
        <a:stretch>
          <a:fillRect/>
        </a:stretch>
      </blipFill>
      <spPr>
        <a:xfrm>
          <a:off x="415620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0</row>
      <rowOff>123840</rowOff>
    </from>
    <to>
      <col>2</col>
      <colOff>561240</colOff>
      <row>0</row>
      <rowOff>304200</rowOff>
    </to>
    <pic>
      <nvPicPr>
        <cNvPr id="37" name="Image 3" descr="Picture"/>
        <cNvPicPr/>
      </nvPicPr>
      <blipFill>
        <a:blip r:embed="rId3"/>
        <a:stretch>
          <a:fillRect/>
        </a:stretch>
      </blipFill>
      <spPr>
        <a:xfrm>
          <a:off x="831204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</row>
      <rowOff>123840</rowOff>
    </from>
    <to>
      <col>0</col>
      <colOff>561240</colOff>
      <row>2</row>
      <rowOff>304200</rowOff>
    </to>
    <pic>
      <nvPicPr>
        <cNvPr id="38" name="Image 4" descr="Picture"/>
        <cNvPicPr/>
      </nvPicPr>
      <blipFill>
        <a:blip r:embed="rId4"/>
        <a:stretch>
          <a:fillRect/>
        </a:stretch>
      </blipFill>
      <spPr>
        <a:xfrm>
          <a:off x="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</row>
      <rowOff>123840</rowOff>
    </from>
    <to>
      <col>1</col>
      <colOff>561240</colOff>
      <row>2</row>
      <rowOff>304200</rowOff>
    </to>
    <pic>
      <nvPicPr>
        <cNvPr id="39" name="Image 5" descr="Picture"/>
        <cNvPicPr/>
      </nvPicPr>
      <blipFill>
        <a:blip r:embed="rId5"/>
        <a:stretch>
          <a:fillRect/>
        </a:stretch>
      </blipFill>
      <spPr>
        <a:xfrm>
          <a:off x="415620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</row>
      <rowOff>123840</rowOff>
    </from>
    <to>
      <col>2</col>
      <colOff>561240</colOff>
      <row>2</row>
      <rowOff>304200</rowOff>
    </to>
    <pic>
      <nvPicPr>
        <cNvPr id="40" name="Image 6" descr="Picture"/>
        <cNvPicPr/>
      </nvPicPr>
      <blipFill>
        <a:blip r:embed="rId6"/>
        <a:stretch>
          <a:fillRect/>
        </a:stretch>
      </blipFill>
      <spPr>
        <a:xfrm>
          <a:off x="831204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4</row>
      <rowOff>123840</rowOff>
    </from>
    <to>
      <col>0</col>
      <colOff>561240</colOff>
      <row>4</row>
      <rowOff>304200</rowOff>
    </to>
    <pic>
      <nvPicPr>
        <cNvPr id="41" name="Image 7" descr="Picture"/>
        <cNvPicPr/>
      </nvPicPr>
      <blipFill>
        <a:blip r:embed="rId7"/>
        <a:stretch>
          <a:fillRect/>
        </a:stretch>
      </blipFill>
      <spPr>
        <a:xfrm>
          <a:off x="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4</row>
      <rowOff>123840</rowOff>
    </from>
    <to>
      <col>1</col>
      <colOff>561240</colOff>
      <row>4</row>
      <rowOff>304200</rowOff>
    </to>
    <pic>
      <nvPicPr>
        <cNvPr id="42" name="Image 8" descr="Picture"/>
        <cNvPicPr/>
      </nvPicPr>
      <blipFill>
        <a:blip r:embed="rId8"/>
        <a:stretch>
          <a:fillRect/>
        </a:stretch>
      </blipFill>
      <spPr>
        <a:xfrm>
          <a:off x="415620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4</row>
      <rowOff>123840</rowOff>
    </from>
    <to>
      <col>2</col>
      <colOff>561240</colOff>
      <row>4</row>
      <rowOff>304200</rowOff>
    </to>
    <pic>
      <nvPicPr>
        <cNvPr id="43" name="Image 9" descr="Picture"/>
        <cNvPicPr/>
      </nvPicPr>
      <blipFill>
        <a:blip r:embed="rId9"/>
        <a:stretch>
          <a:fillRect/>
        </a:stretch>
      </blipFill>
      <spPr>
        <a:xfrm>
          <a:off x="831204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6</row>
      <rowOff>123840</rowOff>
    </from>
    <to>
      <col>0</col>
      <colOff>561240</colOff>
      <row>6</row>
      <rowOff>304200</rowOff>
    </to>
    <pic>
      <nvPicPr>
        <cNvPr id="44" name="Image 10" descr="Picture"/>
        <cNvPicPr/>
      </nvPicPr>
      <blipFill>
        <a:blip r:embed="rId10"/>
        <a:stretch>
          <a:fillRect/>
        </a:stretch>
      </blipFill>
      <spPr>
        <a:xfrm>
          <a:off x="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6</row>
      <rowOff>123840</rowOff>
    </from>
    <to>
      <col>1</col>
      <colOff>561240</colOff>
      <row>6</row>
      <rowOff>304200</rowOff>
    </to>
    <pic>
      <nvPicPr>
        <cNvPr id="45" name="Image 11" descr="Picture"/>
        <cNvPicPr/>
      </nvPicPr>
      <blipFill>
        <a:blip r:embed="rId11"/>
        <a:stretch>
          <a:fillRect/>
        </a:stretch>
      </blipFill>
      <spPr>
        <a:xfrm>
          <a:off x="415620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6</row>
      <rowOff>123840</rowOff>
    </from>
    <to>
      <col>2</col>
      <colOff>561240</colOff>
      <row>6</row>
      <rowOff>304200</rowOff>
    </to>
    <pic>
      <nvPicPr>
        <cNvPr id="46" name="Image 12" descr="Picture"/>
        <cNvPicPr/>
      </nvPicPr>
      <blipFill>
        <a:blip r:embed="rId12"/>
        <a:stretch>
          <a:fillRect/>
        </a:stretch>
      </blipFill>
      <spPr>
        <a:xfrm>
          <a:off x="831204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8</row>
      <rowOff>123840</rowOff>
    </from>
    <to>
      <col>0</col>
      <colOff>561240</colOff>
      <row>8</row>
      <rowOff>304200</rowOff>
    </to>
    <pic>
      <nvPicPr>
        <cNvPr id="47" name="Image 13" descr="Picture"/>
        <cNvPicPr/>
      </nvPicPr>
      <blipFill>
        <a:blip r:embed="rId13"/>
        <a:stretch>
          <a:fillRect/>
        </a:stretch>
      </blipFill>
      <spPr>
        <a:xfrm>
          <a:off x="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8</row>
      <rowOff>123840</rowOff>
    </from>
    <to>
      <col>1</col>
      <colOff>561240</colOff>
      <row>8</row>
      <rowOff>304200</rowOff>
    </to>
    <pic>
      <nvPicPr>
        <cNvPr id="48" name="Image 14" descr="Picture"/>
        <cNvPicPr/>
      </nvPicPr>
      <blipFill>
        <a:blip r:embed="rId14"/>
        <a:stretch>
          <a:fillRect/>
        </a:stretch>
      </blipFill>
      <spPr>
        <a:xfrm>
          <a:off x="415620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8</row>
      <rowOff>123840</rowOff>
    </from>
    <to>
      <col>2</col>
      <colOff>561240</colOff>
      <row>8</row>
      <rowOff>304200</rowOff>
    </to>
    <pic>
      <nvPicPr>
        <cNvPr id="49" name="Image 15" descr="Picture"/>
        <cNvPicPr/>
      </nvPicPr>
      <blipFill>
        <a:blip r:embed="rId15"/>
        <a:stretch>
          <a:fillRect/>
        </a:stretch>
      </blipFill>
      <spPr>
        <a:xfrm>
          <a:off x="831204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10</row>
      <rowOff>123840</rowOff>
    </from>
    <to>
      <col>0</col>
      <colOff>561240</colOff>
      <row>10</row>
      <rowOff>304200</rowOff>
    </to>
    <pic>
      <nvPicPr>
        <cNvPr id="50" name="Image 16" descr="Picture"/>
        <cNvPicPr/>
      </nvPicPr>
      <blipFill>
        <a:blip r:embed="rId16"/>
        <a:stretch>
          <a:fillRect/>
        </a:stretch>
      </blipFill>
      <spPr>
        <a:xfrm>
          <a:off x="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10</row>
      <rowOff>123840</rowOff>
    </from>
    <to>
      <col>1</col>
      <colOff>561240</colOff>
      <row>10</row>
      <rowOff>304200</rowOff>
    </to>
    <pic>
      <nvPicPr>
        <cNvPr id="51" name="Image 17" descr="Picture"/>
        <cNvPicPr/>
      </nvPicPr>
      <blipFill>
        <a:blip r:embed="rId17"/>
        <a:stretch>
          <a:fillRect/>
        </a:stretch>
      </blipFill>
      <spPr>
        <a:xfrm>
          <a:off x="415620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10</row>
      <rowOff>123840</rowOff>
    </from>
    <to>
      <col>2</col>
      <colOff>561240</colOff>
      <row>10</row>
      <rowOff>304200</rowOff>
    </to>
    <pic>
      <nvPicPr>
        <cNvPr id="52" name="Image 18" descr="Picture"/>
        <cNvPicPr/>
      </nvPicPr>
      <blipFill>
        <a:blip r:embed="rId18"/>
        <a:stretch>
          <a:fillRect/>
        </a:stretch>
      </blipFill>
      <spPr>
        <a:xfrm>
          <a:off x="831204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12</row>
      <rowOff>123840</rowOff>
    </from>
    <to>
      <col>0</col>
      <colOff>561240</colOff>
      <row>12</row>
      <rowOff>304200</rowOff>
    </to>
    <pic>
      <nvPicPr>
        <cNvPr id="53" name="Image 19" descr="Picture"/>
        <cNvPicPr/>
      </nvPicPr>
      <blipFill>
        <a:blip r:embed="rId19"/>
        <a:stretch>
          <a:fillRect/>
        </a:stretch>
      </blipFill>
      <spPr>
        <a:xfrm>
          <a:off x="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12</row>
      <rowOff>123840</rowOff>
    </from>
    <to>
      <col>1</col>
      <colOff>561240</colOff>
      <row>12</row>
      <rowOff>304200</rowOff>
    </to>
    <pic>
      <nvPicPr>
        <cNvPr id="54" name="Image 20" descr="Picture"/>
        <cNvPicPr/>
      </nvPicPr>
      <blipFill>
        <a:blip r:embed="rId20"/>
        <a:stretch>
          <a:fillRect/>
        </a:stretch>
      </blipFill>
      <spPr>
        <a:xfrm>
          <a:off x="415620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12</row>
      <rowOff>123840</rowOff>
    </from>
    <to>
      <col>2</col>
      <colOff>561240</colOff>
      <row>12</row>
      <rowOff>304200</rowOff>
    </to>
    <pic>
      <nvPicPr>
        <cNvPr id="55" name="Image 21" descr="Picture"/>
        <cNvPicPr/>
      </nvPicPr>
      <blipFill>
        <a:blip r:embed="rId21"/>
        <a:stretch>
          <a:fillRect/>
        </a:stretch>
      </blipFill>
      <spPr>
        <a:xfrm>
          <a:off x="831204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14</row>
      <rowOff>123840</rowOff>
    </from>
    <to>
      <col>0</col>
      <colOff>561240</colOff>
      <row>14</row>
      <rowOff>304200</rowOff>
    </to>
    <pic>
      <nvPicPr>
        <cNvPr id="56" name="Image 22" descr="Picture"/>
        <cNvPicPr/>
      </nvPicPr>
      <blipFill>
        <a:blip r:embed="rId22"/>
        <a:stretch>
          <a:fillRect/>
        </a:stretch>
      </blipFill>
      <spPr>
        <a:xfrm>
          <a:off x="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14</row>
      <rowOff>123840</rowOff>
    </from>
    <to>
      <col>1</col>
      <colOff>561240</colOff>
      <row>14</row>
      <rowOff>304200</rowOff>
    </to>
    <pic>
      <nvPicPr>
        <cNvPr id="57" name="Image 23" descr="Picture"/>
        <cNvPicPr/>
      </nvPicPr>
      <blipFill>
        <a:blip r:embed="rId23"/>
        <a:stretch>
          <a:fillRect/>
        </a:stretch>
      </blipFill>
      <spPr>
        <a:xfrm>
          <a:off x="415620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14</row>
      <rowOff>123840</rowOff>
    </from>
    <to>
      <col>2</col>
      <colOff>561240</colOff>
      <row>14</row>
      <rowOff>304200</rowOff>
    </to>
    <pic>
      <nvPicPr>
        <cNvPr id="58" name="Image 24" descr="Picture"/>
        <cNvPicPr/>
      </nvPicPr>
      <blipFill>
        <a:blip r:embed="rId24"/>
        <a:stretch>
          <a:fillRect/>
        </a:stretch>
      </blipFill>
      <spPr>
        <a:xfrm>
          <a:off x="831204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16</row>
      <rowOff>123840</rowOff>
    </from>
    <to>
      <col>0</col>
      <colOff>561240</colOff>
      <row>16</row>
      <rowOff>304200</rowOff>
    </to>
    <pic>
      <nvPicPr>
        <cNvPr id="59" name="Image 25" descr="Picture"/>
        <cNvPicPr/>
      </nvPicPr>
      <blipFill>
        <a:blip r:embed="rId25"/>
        <a:stretch>
          <a:fillRect/>
        </a:stretch>
      </blipFill>
      <spPr>
        <a:xfrm>
          <a:off x="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16</row>
      <rowOff>123840</rowOff>
    </from>
    <to>
      <col>1</col>
      <colOff>561240</colOff>
      <row>16</row>
      <rowOff>304200</rowOff>
    </to>
    <pic>
      <nvPicPr>
        <cNvPr id="60" name="Image 26" descr="Picture"/>
        <cNvPicPr/>
      </nvPicPr>
      <blipFill>
        <a:blip r:embed="rId26"/>
        <a:stretch>
          <a:fillRect/>
        </a:stretch>
      </blipFill>
      <spPr>
        <a:xfrm>
          <a:off x="415620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16</row>
      <rowOff>123840</rowOff>
    </from>
    <to>
      <col>2</col>
      <colOff>561240</colOff>
      <row>16</row>
      <rowOff>304200</rowOff>
    </to>
    <pic>
      <nvPicPr>
        <cNvPr id="61" name="Image 27" descr="Picture"/>
        <cNvPicPr/>
      </nvPicPr>
      <blipFill>
        <a:blip r:embed="rId27"/>
        <a:stretch>
          <a:fillRect/>
        </a:stretch>
      </blipFill>
      <spPr>
        <a:xfrm>
          <a:off x="831204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18</row>
      <rowOff>123840</rowOff>
    </from>
    <to>
      <col>0</col>
      <colOff>561240</colOff>
      <row>18</row>
      <rowOff>304200</rowOff>
    </to>
    <pic>
      <nvPicPr>
        <cNvPr id="62" name="Image 28" descr="Picture"/>
        <cNvPicPr/>
      </nvPicPr>
      <blipFill>
        <a:blip r:embed="rId28"/>
        <a:stretch>
          <a:fillRect/>
        </a:stretch>
      </blipFill>
      <spPr>
        <a:xfrm>
          <a:off x="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18</row>
      <rowOff>123840</rowOff>
    </from>
    <to>
      <col>1</col>
      <colOff>561240</colOff>
      <row>18</row>
      <rowOff>304200</rowOff>
    </to>
    <pic>
      <nvPicPr>
        <cNvPr id="63" name="Image 29" descr="Picture"/>
        <cNvPicPr/>
      </nvPicPr>
      <blipFill>
        <a:blip r:embed="rId29"/>
        <a:stretch>
          <a:fillRect/>
        </a:stretch>
      </blipFill>
      <spPr>
        <a:xfrm>
          <a:off x="415620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18</row>
      <rowOff>123840</rowOff>
    </from>
    <to>
      <col>2</col>
      <colOff>561240</colOff>
      <row>18</row>
      <rowOff>304200</rowOff>
    </to>
    <pic>
      <nvPicPr>
        <cNvPr id="64" name="Image 30" descr="Picture"/>
        <cNvPicPr/>
      </nvPicPr>
      <blipFill>
        <a:blip r:embed="rId30"/>
        <a:stretch>
          <a:fillRect/>
        </a:stretch>
      </blipFill>
      <spPr>
        <a:xfrm>
          <a:off x="831204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20</row>
      <rowOff>123840</rowOff>
    </from>
    <to>
      <col>0</col>
      <colOff>561240</colOff>
      <row>20</row>
      <rowOff>304200</rowOff>
    </to>
    <pic>
      <nvPicPr>
        <cNvPr id="65" name="Image 31" descr="Picture"/>
        <cNvPicPr/>
      </nvPicPr>
      <blipFill>
        <a:blip r:embed="rId31"/>
        <a:stretch>
          <a:fillRect/>
        </a:stretch>
      </blipFill>
      <spPr>
        <a:xfrm>
          <a:off x="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20</row>
      <rowOff>123840</rowOff>
    </from>
    <to>
      <col>1</col>
      <colOff>561240</colOff>
      <row>20</row>
      <rowOff>304200</rowOff>
    </to>
    <pic>
      <nvPicPr>
        <cNvPr id="66" name="Image 32" descr="Picture"/>
        <cNvPicPr/>
      </nvPicPr>
      <blipFill>
        <a:blip r:embed="rId32"/>
        <a:stretch>
          <a:fillRect/>
        </a:stretch>
      </blipFill>
      <spPr>
        <a:xfrm>
          <a:off x="415620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20</row>
      <rowOff>123840</rowOff>
    </from>
    <to>
      <col>2</col>
      <colOff>561240</colOff>
      <row>20</row>
      <rowOff>304200</rowOff>
    </to>
    <pic>
      <nvPicPr>
        <cNvPr id="67" name="Image 33" descr="Picture"/>
        <cNvPicPr/>
      </nvPicPr>
      <blipFill>
        <a:blip r:embed="rId33"/>
        <a:stretch>
          <a:fillRect/>
        </a:stretch>
      </blipFill>
      <spPr>
        <a:xfrm>
          <a:off x="831204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22</row>
      <rowOff>123840</rowOff>
    </from>
    <to>
      <col>0</col>
      <colOff>561240</colOff>
      <row>22</row>
      <rowOff>304200</rowOff>
    </to>
    <pic>
      <nvPicPr>
        <cNvPr id="68" name="Image 34" descr="Picture"/>
        <cNvPicPr/>
      </nvPicPr>
      <blipFill>
        <a:blip r:embed="rId34"/>
        <a:stretch>
          <a:fillRect/>
        </a:stretch>
      </blipFill>
      <spPr>
        <a:xfrm>
          <a:off x="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22</row>
      <rowOff>123840</rowOff>
    </from>
    <to>
      <col>1</col>
      <colOff>561240</colOff>
      <row>22</row>
      <rowOff>304200</rowOff>
    </to>
    <pic>
      <nvPicPr>
        <cNvPr id="69" name="Image 35" descr="Picture"/>
        <cNvPicPr/>
      </nvPicPr>
      <blipFill>
        <a:blip r:embed="rId35"/>
        <a:stretch>
          <a:fillRect/>
        </a:stretch>
      </blipFill>
      <spPr>
        <a:xfrm>
          <a:off x="415620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123840</rowOff>
    </from>
    <to>
      <col>0</col>
      <colOff>561240</colOff>
      <row>0</row>
      <rowOff>304200</rowOff>
    </to>
    <pic>
      <nvPicPr>
        <cNvPr id="70" name="Image 1" descr="Picture"/>
        <cNvPicPr/>
      </nvPicPr>
      <blipFill>
        <a:blip r:embed="rId1"/>
        <a:stretch>
          <a:fillRect/>
        </a:stretch>
      </blipFill>
      <spPr>
        <a:xfrm>
          <a:off x="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0</row>
      <rowOff>123840</rowOff>
    </from>
    <to>
      <col>1</col>
      <colOff>561240</colOff>
      <row>0</row>
      <rowOff>304200</rowOff>
    </to>
    <pic>
      <nvPicPr>
        <cNvPr id="71" name="Image 2" descr="Picture"/>
        <cNvPicPr/>
      </nvPicPr>
      <blipFill>
        <a:blip r:embed="rId2"/>
        <a:stretch>
          <a:fillRect/>
        </a:stretch>
      </blipFill>
      <spPr>
        <a:xfrm>
          <a:off x="415620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0</row>
      <rowOff>123840</rowOff>
    </from>
    <to>
      <col>2</col>
      <colOff>561240</colOff>
      <row>0</row>
      <rowOff>304200</rowOff>
    </to>
    <pic>
      <nvPicPr>
        <cNvPr id="72" name="Image 3" descr="Picture"/>
        <cNvPicPr/>
      </nvPicPr>
      <blipFill>
        <a:blip r:embed="rId3"/>
        <a:stretch>
          <a:fillRect/>
        </a:stretch>
      </blipFill>
      <spPr>
        <a:xfrm>
          <a:off x="831204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</row>
      <rowOff>123840</rowOff>
    </from>
    <to>
      <col>0</col>
      <colOff>561240</colOff>
      <row>2</row>
      <rowOff>304200</rowOff>
    </to>
    <pic>
      <nvPicPr>
        <cNvPr id="73" name="Image 4" descr="Picture"/>
        <cNvPicPr/>
      </nvPicPr>
      <blipFill>
        <a:blip r:embed="rId4"/>
        <a:stretch>
          <a:fillRect/>
        </a:stretch>
      </blipFill>
      <spPr>
        <a:xfrm>
          <a:off x="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</row>
      <rowOff>123840</rowOff>
    </from>
    <to>
      <col>1</col>
      <colOff>561240</colOff>
      <row>2</row>
      <rowOff>304200</rowOff>
    </to>
    <pic>
      <nvPicPr>
        <cNvPr id="74" name="Image 5" descr="Picture"/>
        <cNvPicPr/>
      </nvPicPr>
      <blipFill>
        <a:blip r:embed="rId5"/>
        <a:stretch>
          <a:fillRect/>
        </a:stretch>
      </blipFill>
      <spPr>
        <a:xfrm>
          <a:off x="415620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</row>
      <rowOff>123840</rowOff>
    </from>
    <to>
      <col>2</col>
      <colOff>561240</colOff>
      <row>2</row>
      <rowOff>304200</rowOff>
    </to>
    <pic>
      <nvPicPr>
        <cNvPr id="75" name="Image 6" descr="Picture"/>
        <cNvPicPr/>
      </nvPicPr>
      <blipFill>
        <a:blip r:embed="rId6"/>
        <a:stretch>
          <a:fillRect/>
        </a:stretch>
      </blipFill>
      <spPr>
        <a:xfrm>
          <a:off x="831204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4</row>
      <rowOff>123840</rowOff>
    </from>
    <to>
      <col>0</col>
      <colOff>561240</colOff>
      <row>4</row>
      <rowOff>304200</rowOff>
    </to>
    <pic>
      <nvPicPr>
        <cNvPr id="76" name="Image 7" descr="Picture"/>
        <cNvPicPr/>
      </nvPicPr>
      <blipFill>
        <a:blip r:embed="rId7"/>
        <a:stretch>
          <a:fillRect/>
        </a:stretch>
      </blipFill>
      <spPr>
        <a:xfrm>
          <a:off x="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4</row>
      <rowOff>123840</rowOff>
    </from>
    <to>
      <col>1</col>
      <colOff>561240</colOff>
      <row>4</row>
      <rowOff>304200</rowOff>
    </to>
    <pic>
      <nvPicPr>
        <cNvPr id="77" name="Image 8" descr="Picture"/>
        <cNvPicPr/>
      </nvPicPr>
      <blipFill>
        <a:blip r:embed="rId8"/>
        <a:stretch>
          <a:fillRect/>
        </a:stretch>
      </blipFill>
      <spPr>
        <a:xfrm>
          <a:off x="415620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4</row>
      <rowOff>123840</rowOff>
    </from>
    <to>
      <col>2</col>
      <colOff>561240</colOff>
      <row>4</row>
      <rowOff>304200</rowOff>
    </to>
    <pic>
      <nvPicPr>
        <cNvPr id="78" name="Image 9" descr="Picture"/>
        <cNvPicPr/>
      </nvPicPr>
      <blipFill>
        <a:blip r:embed="rId9"/>
        <a:stretch>
          <a:fillRect/>
        </a:stretch>
      </blipFill>
      <spPr>
        <a:xfrm>
          <a:off x="831204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6</row>
      <rowOff>123840</rowOff>
    </from>
    <to>
      <col>0</col>
      <colOff>561240</colOff>
      <row>6</row>
      <rowOff>304200</rowOff>
    </to>
    <pic>
      <nvPicPr>
        <cNvPr id="79" name="Image 10" descr="Picture"/>
        <cNvPicPr/>
      </nvPicPr>
      <blipFill>
        <a:blip r:embed="rId10"/>
        <a:stretch>
          <a:fillRect/>
        </a:stretch>
      </blipFill>
      <spPr>
        <a:xfrm>
          <a:off x="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6</row>
      <rowOff>123840</rowOff>
    </from>
    <to>
      <col>1</col>
      <colOff>561240</colOff>
      <row>6</row>
      <rowOff>304200</rowOff>
    </to>
    <pic>
      <nvPicPr>
        <cNvPr id="80" name="Image 11" descr="Picture"/>
        <cNvPicPr/>
      </nvPicPr>
      <blipFill>
        <a:blip r:embed="rId11"/>
        <a:stretch>
          <a:fillRect/>
        </a:stretch>
      </blipFill>
      <spPr>
        <a:xfrm>
          <a:off x="415620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6</row>
      <rowOff>123840</rowOff>
    </from>
    <to>
      <col>2</col>
      <colOff>561240</colOff>
      <row>6</row>
      <rowOff>304200</rowOff>
    </to>
    <pic>
      <nvPicPr>
        <cNvPr id="81" name="Image 12" descr="Picture"/>
        <cNvPicPr/>
      </nvPicPr>
      <blipFill>
        <a:blip r:embed="rId12"/>
        <a:stretch>
          <a:fillRect/>
        </a:stretch>
      </blipFill>
      <spPr>
        <a:xfrm>
          <a:off x="831204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8</row>
      <rowOff>123840</rowOff>
    </from>
    <to>
      <col>0</col>
      <colOff>561240</colOff>
      <row>8</row>
      <rowOff>304200</rowOff>
    </to>
    <pic>
      <nvPicPr>
        <cNvPr id="82" name="Image 13" descr="Picture"/>
        <cNvPicPr/>
      </nvPicPr>
      <blipFill>
        <a:blip r:embed="rId13"/>
        <a:stretch>
          <a:fillRect/>
        </a:stretch>
      </blipFill>
      <spPr>
        <a:xfrm>
          <a:off x="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8</row>
      <rowOff>123840</rowOff>
    </from>
    <to>
      <col>1</col>
      <colOff>561240</colOff>
      <row>8</row>
      <rowOff>304200</rowOff>
    </to>
    <pic>
      <nvPicPr>
        <cNvPr id="83" name="Image 14" descr="Picture"/>
        <cNvPicPr/>
      </nvPicPr>
      <blipFill>
        <a:blip r:embed="rId14"/>
        <a:stretch>
          <a:fillRect/>
        </a:stretch>
      </blipFill>
      <spPr>
        <a:xfrm>
          <a:off x="415620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8</row>
      <rowOff>123840</rowOff>
    </from>
    <to>
      <col>2</col>
      <colOff>561240</colOff>
      <row>8</row>
      <rowOff>304200</rowOff>
    </to>
    <pic>
      <nvPicPr>
        <cNvPr id="84" name="Image 15" descr="Picture"/>
        <cNvPicPr/>
      </nvPicPr>
      <blipFill>
        <a:blip r:embed="rId15"/>
        <a:stretch>
          <a:fillRect/>
        </a:stretch>
      </blipFill>
      <spPr>
        <a:xfrm>
          <a:off x="831204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10</row>
      <rowOff>123840</rowOff>
    </from>
    <to>
      <col>0</col>
      <colOff>561240</colOff>
      <row>10</row>
      <rowOff>304200</rowOff>
    </to>
    <pic>
      <nvPicPr>
        <cNvPr id="85" name="Image 16" descr="Picture"/>
        <cNvPicPr/>
      </nvPicPr>
      <blipFill>
        <a:blip r:embed="rId16"/>
        <a:stretch>
          <a:fillRect/>
        </a:stretch>
      </blipFill>
      <spPr>
        <a:xfrm>
          <a:off x="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10</row>
      <rowOff>123840</rowOff>
    </from>
    <to>
      <col>1</col>
      <colOff>561240</colOff>
      <row>10</row>
      <rowOff>304200</rowOff>
    </to>
    <pic>
      <nvPicPr>
        <cNvPr id="86" name="Image 17" descr="Picture"/>
        <cNvPicPr/>
      </nvPicPr>
      <blipFill>
        <a:blip r:embed="rId17"/>
        <a:stretch>
          <a:fillRect/>
        </a:stretch>
      </blipFill>
      <spPr>
        <a:xfrm>
          <a:off x="415620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10</row>
      <rowOff>123840</rowOff>
    </from>
    <to>
      <col>2</col>
      <colOff>561240</colOff>
      <row>10</row>
      <rowOff>304200</rowOff>
    </to>
    <pic>
      <nvPicPr>
        <cNvPr id="87" name="Image 18" descr="Picture"/>
        <cNvPicPr/>
      </nvPicPr>
      <blipFill>
        <a:blip r:embed="rId18"/>
        <a:stretch>
          <a:fillRect/>
        </a:stretch>
      </blipFill>
      <spPr>
        <a:xfrm>
          <a:off x="831204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12</row>
      <rowOff>123840</rowOff>
    </from>
    <to>
      <col>0</col>
      <colOff>561240</colOff>
      <row>12</row>
      <rowOff>304200</rowOff>
    </to>
    <pic>
      <nvPicPr>
        <cNvPr id="88" name="Image 19" descr="Picture"/>
        <cNvPicPr/>
      </nvPicPr>
      <blipFill>
        <a:blip r:embed="rId19"/>
        <a:stretch>
          <a:fillRect/>
        </a:stretch>
      </blipFill>
      <spPr>
        <a:xfrm>
          <a:off x="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12</row>
      <rowOff>123840</rowOff>
    </from>
    <to>
      <col>1</col>
      <colOff>561240</colOff>
      <row>12</row>
      <rowOff>304200</rowOff>
    </to>
    <pic>
      <nvPicPr>
        <cNvPr id="89" name="Image 20" descr="Picture"/>
        <cNvPicPr/>
      </nvPicPr>
      <blipFill>
        <a:blip r:embed="rId20"/>
        <a:stretch>
          <a:fillRect/>
        </a:stretch>
      </blipFill>
      <spPr>
        <a:xfrm>
          <a:off x="415620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12</row>
      <rowOff>123840</rowOff>
    </from>
    <to>
      <col>2</col>
      <colOff>561240</colOff>
      <row>12</row>
      <rowOff>304200</rowOff>
    </to>
    <pic>
      <nvPicPr>
        <cNvPr id="90" name="Image 21" descr="Picture"/>
        <cNvPicPr/>
      </nvPicPr>
      <blipFill>
        <a:blip r:embed="rId21"/>
        <a:stretch>
          <a:fillRect/>
        </a:stretch>
      </blipFill>
      <spPr>
        <a:xfrm>
          <a:off x="831204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14</row>
      <rowOff>123840</rowOff>
    </from>
    <to>
      <col>0</col>
      <colOff>561240</colOff>
      <row>14</row>
      <rowOff>304200</rowOff>
    </to>
    <pic>
      <nvPicPr>
        <cNvPr id="91" name="Image 22" descr="Picture"/>
        <cNvPicPr/>
      </nvPicPr>
      <blipFill>
        <a:blip r:embed="rId22"/>
        <a:stretch>
          <a:fillRect/>
        </a:stretch>
      </blipFill>
      <spPr>
        <a:xfrm>
          <a:off x="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14</row>
      <rowOff>123840</rowOff>
    </from>
    <to>
      <col>1</col>
      <colOff>561240</colOff>
      <row>14</row>
      <rowOff>304200</rowOff>
    </to>
    <pic>
      <nvPicPr>
        <cNvPr id="92" name="Image 23" descr="Picture"/>
        <cNvPicPr/>
      </nvPicPr>
      <blipFill>
        <a:blip r:embed="rId23"/>
        <a:stretch>
          <a:fillRect/>
        </a:stretch>
      </blipFill>
      <spPr>
        <a:xfrm>
          <a:off x="415620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14</row>
      <rowOff>123840</rowOff>
    </from>
    <to>
      <col>2</col>
      <colOff>561240</colOff>
      <row>14</row>
      <rowOff>304200</rowOff>
    </to>
    <pic>
      <nvPicPr>
        <cNvPr id="93" name="Image 24" descr="Picture"/>
        <cNvPicPr/>
      </nvPicPr>
      <blipFill>
        <a:blip r:embed="rId24"/>
        <a:stretch>
          <a:fillRect/>
        </a:stretch>
      </blipFill>
      <spPr>
        <a:xfrm>
          <a:off x="831204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16</row>
      <rowOff>123840</rowOff>
    </from>
    <to>
      <col>0</col>
      <colOff>561240</colOff>
      <row>16</row>
      <rowOff>304200</rowOff>
    </to>
    <pic>
      <nvPicPr>
        <cNvPr id="94" name="Image 25" descr="Picture"/>
        <cNvPicPr/>
      </nvPicPr>
      <blipFill>
        <a:blip r:embed="rId25"/>
        <a:stretch>
          <a:fillRect/>
        </a:stretch>
      </blipFill>
      <spPr>
        <a:xfrm>
          <a:off x="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16</row>
      <rowOff>123840</rowOff>
    </from>
    <to>
      <col>1</col>
      <colOff>561240</colOff>
      <row>16</row>
      <rowOff>304200</rowOff>
    </to>
    <pic>
      <nvPicPr>
        <cNvPr id="95" name="Image 26" descr="Picture"/>
        <cNvPicPr/>
      </nvPicPr>
      <blipFill>
        <a:blip r:embed="rId26"/>
        <a:stretch>
          <a:fillRect/>
        </a:stretch>
      </blipFill>
      <spPr>
        <a:xfrm>
          <a:off x="415620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16</row>
      <rowOff>123840</rowOff>
    </from>
    <to>
      <col>2</col>
      <colOff>561240</colOff>
      <row>16</row>
      <rowOff>304200</rowOff>
    </to>
    <pic>
      <nvPicPr>
        <cNvPr id="96" name="Image 27" descr="Picture"/>
        <cNvPicPr/>
      </nvPicPr>
      <blipFill>
        <a:blip r:embed="rId27"/>
        <a:stretch>
          <a:fillRect/>
        </a:stretch>
      </blipFill>
      <spPr>
        <a:xfrm>
          <a:off x="831204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18</row>
      <rowOff>123840</rowOff>
    </from>
    <to>
      <col>0</col>
      <colOff>561240</colOff>
      <row>18</row>
      <rowOff>304200</rowOff>
    </to>
    <pic>
      <nvPicPr>
        <cNvPr id="97" name="Image 28" descr="Picture"/>
        <cNvPicPr/>
      </nvPicPr>
      <blipFill>
        <a:blip r:embed="rId28"/>
        <a:stretch>
          <a:fillRect/>
        </a:stretch>
      </blipFill>
      <spPr>
        <a:xfrm>
          <a:off x="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18</row>
      <rowOff>123840</rowOff>
    </from>
    <to>
      <col>1</col>
      <colOff>561240</colOff>
      <row>18</row>
      <rowOff>304200</rowOff>
    </to>
    <pic>
      <nvPicPr>
        <cNvPr id="98" name="Image 29" descr="Picture"/>
        <cNvPicPr/>
      </nvPicPr>
      <blipFill>
        <a:blip r:embed="rId29"/>
        <a:stretch>
          <a:fillRect/>
        </a:stretch>
      </blipFill>
      <spPr>
        <a:xfrm>
          <a:off x="415620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18</row>
      <rowOff>123840</rowOff>
    </from>
    <to>
      <col>2</col>
      <colOff>561240</colOff>
      <row>18</row>
      <rowOff>304200</rowOff>
    </to>
    <pic>
      <nvPicPr>
        <cNvPr id="99" name="Image 30" descr="Picture"/>
        <cNvPicPr/>
      </nvPicPr>
      <blipFill>
        <a:blip r:embed="rId30"/>
        <a:stretch>
          <a:fillRect/>
        </a:stretch>
      </blipFill>
      <spPr>
        <a:xfrm>
          <a:off x="831204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20</row>
      <rowOff>123840</rowOff>
    </from>
    <to>
      <col>0</col>
      <colOff>561240</colOff>
      <row>20</row>
      <rowOff>304200</rowOff>
    </to>
    <pic>
      <nvPicPr>
        <cNvPr id="100" name="Image 31" descr="Picture"/>
        <cNvPicPr/>
      </nvPicPr>
      <blipFill>
        <a:blip r:embed="rId31"/>
        <a:stretch>
          <a:fillRect/>
        </a:stretch>
      </blipFill>
      <spPr>
        <a:xfrm>
          <a:off x="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20</row>
      <rowOff>123840</rowOff>
    </from>
    <to>
      <col>1</col>
      <colOff>561240</colOff>
      <row>20</row>
      <rowOff>304200</rowOff>
    </to>
    <pic>
      <nvPicPr>
        <cNvPr id="101" name="Image 32" descr="Picture"/>
        <cNvPicPr/>
      </nvPicPr>
      <blipFill>
        <a:blip r:embed="rId32"/>
        <a:stretch>
          <a:fillRect/>
        </a:stretch>
      </blipFill>
      <spPr>
        <a:xfrm>
          <a:off x="415620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20</row>
      <rowOff>123840</rowOff>
    </from>
    <to>
      <col>2</col>
      <colOff>561240</colOff>
      <row>20</row>
      <rowOff>304200</rowOff>
    </to>
    <pic>
      <nvPicPr>
        <cNvPr id="102" name="Image 33" descr="Picture"/>
        <cNvPicPr/>
      </nvPicPr>
      <blipFill>
        <a:blip r:embed="rId33"/>
        <a:stretch>
          <a:fillRect/>
        </a:stretch>
      </blipFill>
      <spPr>
        <a:xfrm>
          <a:off x="831204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22</row>
      <rowOff>123840</rowOff>
    </from>
    <to>
      <col>0</col>
      <colOff>561240</colOff>
      <row>22</row>
      <rowOff>304200</rowOff>
    </to>
    <pic>
      <nvPicPr>
        <cNvPr id="103" name="Image 34" descr="Picture"/>
        <cNvPicPr/>
      </nvPicPr>
      <blipFill>
        <a:blip r:embed="rId34"/>
        <a:stretch>
          <a:fillRect/>
        </a:stretch>
      </blipFill>
      <spPr>
        <a:xfrm>
          <a:off x="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22</row>
      <rowOff>123840</rowOff>
    </from>
    <to>
      <col>1</col>
      <colOff>561240</colOff>
      <row>22</row>
      <rowOff>304200</rowOff>
    </to>
    <pic>
      <nvPicPr>
        <cNvPr id="104" name="Image 35" descr="Picture"/>
        <cNvPicPr/>
      </nvPicPr>
      <blipFill>
        <a:blip r:embed="rId35"/>
        <a:stretch>
          <a:fillRect/>
        </a:stretch>
      </blipFill>
      <spPr>
        <a:xfrm>
          <a:off x="415620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123840</rowOff>
    </from>
    <to>
      <col>0</col>
      <colOff>561240</colOff>
      <row>0</row>
      <rowOff>304200</rowOff>
    </to>
    <pic>
      <nvPicPr>
        <cNvPr id="105" name="Image 1" descr="Picture"/>
        <cNvPicPr/>
      </nvPicPr>
      <blipFill>
        <a:blip r:embed="rId1"/>
        <a:stretch>
          <a:fillRect/>
        </a:stretch>
      </blipFill>
      <spPr>
        <a:xfrm>
          <a:off x="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0</row>
      <rowOff>123840</rowOff>
    </from>
    <to>
      <col>1</col>
      <colOff>561240</colOff>
      <row>0</row>
      <rowOff>304200</rowOff>
    </to>
    <pic>
      <nvPicPr>
        <cNvPr id="106" name="Image 2" descr="Picture"/>
        <cNvPicPr/>
      </nvPicPr>
      <blipFill>
        <a:blip r:embed="rId2"/>
        <a:stretch>
          <a:fillRect/>
        </a:stretch>
      </blipFill>
      <spPr>
        <a:xfrm>
          <a:off x="415620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0</row>
      <rowOff>123840</rowOff>
    </from>
    <to>
      <col>2</col>
      <colOff>561240</colOff>
      <row>0</row>
      <rowOff>304200</rowOff>
    </to>
    <pic>
      <nvPicPr>
        <cNvPr id="107" name="Image 3" descr="Picture"/>
        <cNvPicPr/>
      </nvPicPr>
      <blipFill>
        <a:blip r:embed="rId3"/>
        <a:stretch>
          <a:fillRect/>
        </a:stretch>
      </blipFill>
      <spPr>
        <a:xfrm>
          <a:off x="8312040" y="123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</row>
      <rowOff>123840</rowOff>
    </from>
    <to>
      <col>0</col>
      <colOff>561240</colOff>
      <row>2</row>
      <rowOff>304200</rowOff>
    </to>
    <pic>
      <nvPicPr>
        <cNvPr id="108" name="Image 4" descr="Picture"/>
        <cNvPicPr/>
      </nvPicPr>
      <blipFill>
        <a:blip r:embed="rId4"/>
        <a:stretch>
          <a:fillRect/>
        </a:stretch>
      </blipFill>
      <spPr>
        <a:xfrm>
          <a:off x="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</row>
      <rowOff>123840</rowOff>
    </from>
    <to>
      <col>1</col>
      <colOff>561240</colOff>
      <row>2</row>
      <rowOff>304200</rowOff>
    </to>
    <pic>
      <nvPicPr>
        <cNvPr id="109" name="Image 5" descr="Picture"/>
        <cNvPicPr/>
      </nvPicPr>
      <blipFill>
        <a:blip r:embed="rId5"/>
        <a:stretch>
          <a:fillRect/>
        </a:stretch>
      </blipFill>
      <spPr>
        <a:xfrm>
          <a:off x="415620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</row>
      <rowOff>123840</rowOff>
    </from>
    <to>
      <col>2</col>
      <colOff>561240</colOff>
      <row>2</row>
      <rowOff>304200</rowOff>
    </to>
    <pic>
      <nvPicPr>
        <cNvPr id="110" name="Image 6" descr="Picture"/>
        <cNvPicPr/>
      </nvPicPr>
      <blipFill>
        <a:blip r:embed="rId6"/>
        <a:stretch>
          <a:fillRect/>
        </a:stretch>
      </blipFill>
      <spPr>
        <a:xfrm>
          <a:off x="8312040" y="1409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4</row>
      <rowOff>123840</rowOff>
    </from>
    <to>
      <col>0</col>
      <colOff>561240</colOff>
      <row>4</row>
      <rowOff>304200</rowOff>
    </to>
    <pic>
      <nvPicPr>
        <cNvPr id="111" name="Image 7" descr="Picture"/>
        <cNvPicPr/>
      </nvPicPr>
      <blipFill>
        <a:blip r:embed="rId7"/>
        <a:stretch>
          <a:fillRect/>
        </a:stretch>
      </blipFill>
      <spPr>
        <a:xfrm>
          <a:off x="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4</row>
      <rowOff>123840</rowOff>
    </from>
    <to>
      <col>1</col>
      <colOff>561240</colOff>
      <row>4</row>
      <rowOff>304200</rowOff>
    </to>
    <pic>
      <nvPicPr>
        <cNvPr id="112" name="Image 8" descr="Picture"/>
        <cNvPicPr/>
      </nvPicPr>
      <blipFill>
        <a:blip r:embed="rId8"/>
        <a:stretch>
          <a:fillRect/>
        </a:stretch>
      </blipFill>
      <spPr>
        <a:xfrm>
          <a:off x="415620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4</row>
      <rowOff>123840</rowOff>
    </from>
    <to>
      <col>2</col>
      <colOff>561240</colOff>
      <row>4</row>
      <rowOff>304200</rowOff>
    </to>
    <pic>
      <nvPicPr>
        <cNvPr id="113" name="Image 9" descr="Picture"/>
        <cNvPicPr/>
      </nvPicPr>
      <blipFill>
        <a:blip r:embed="rId9"/>
        <a:stretch>
          <a:fillRect/>
        </a:stretch>
      </blipFill>
      <spPr>
        <a:xfrm>
          <a:off x="8312040" y="2695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6</row>
      <rowOff>123840</rowOff>
    </from>
    <to>
      <col>0</col>
      <colOff>561240</colOff>
      <row>6</row>
      <rowOff>304200</rowOff>
    </to>
    <pic>
      <nvPicPr>
        <cNvPr id="114" name="Image 10" descr="Picture"/>
        <cNvPicPr/>
      </nvPicPr>
      <blipFill>
        <a:blip r:embed="rId10"/>
        <a:stretch>
          <a:fillRect/>
        </a:stretch>
      </blipFill>
      <spPr>
        <a:xfrm>
          <a:off x="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6</row>
      <rowOff>123840</rowOff>
    </from>
    <to>
      <col>1</col>
      <colOff>561240</colOff>
      <row>6</row>
      <rowOff>304200</rowOff>
    </to>
    <pic>
      <nvPicPr>
        <cNvPr id="115" name="Image 11" descr="Picture"/>
        <cNvPicPr/>
      </nvPicPr>
      <blipFill>
        <a:blip r:embed="rId11"/>
        <a:stretch>
          <a:fillRect/>
        </a:stretch>
      </blipFill>
      <spPr>
        <a:xfrm>
          <a:off x="415620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6</row>
      <rowOff>123840</rowOff>
    </from>
    <to>
      <col>2</col>
      <colOff>561240</colOff>
      <row>6</row>
      <rowOff>304200</rowOff>
    </to>
    <pic>
      <nvPicPr>
        <cNvPr id="116" name="Image 12" descr="Picture"/>
        <cNvPicPr/>
      </nvPicPr>
      <blipFill>
        <a:blip r:embed="rId12"/>
        <a:stretch>
          <a:fillRect/>
        </a:stretch>
      </blipFill>
      <spPr>
        <a:xfrm>
          <a:off x="8312040" y="3981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8</row>
      <rowOff>123840</rowOff>
    </from>
    <to>
      <col>0</col>
      <colOff>561240</colOff>
      <row>8</row>
      <rowOff>304200</rowOff>
    </to>
    <pic>
      <nvPicPr>
        <cNvPr id="117" name="Image 13" descr="Picture"/>
        <cNvPicPr/>
      </nvPicPr>
      <blipFill>
        <a:blip r:embed="rId13"/>
        <a:stretch>
          <a:fillRect/>
        </a:stretch>
      </blipFill>
      <spPr>
        <a:xfrm>
          <a:off x="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8</row>
      <rowOff>123840</rowOff>
    </from>
    <to>
      <col>1</col>
      <colOff>561240</colOff>
      <row>8</row>
      <rowOff>304200</rowOff>
    </to>
    <pic>
      <nvPicPr>
        <cNvPr id="118" name="Image 14" descr="Picture"/>
        <cNvPicPr/>
      </nvPicPr>
      <blipFill>
        <a:blip r:embed="rId14"/>
        <a:stretch>
          <a:fillRect/>
        </a:stretch>
      </blipFill>
      <spPr>
        <a:xfrm>
          <a:off x="415620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8</row>
      <rowOff>123840</rowOff>
    </from>
    <to>
      <col>2</col>
      <colOff>561240</colOff>
      <row>8</row>
      <rowOff>304200</rowOff>
    </to>
    <pic>
      <nvPicPr>
        <cNvPr id="119" name="Image 15" descr="Picture"/>
        <cNvPicPr/>
      </nvPicPr>
      <blipFill>
        <a:blip r:embed="rId15"/>
        <a:stretch>
          <a:fillRect/>
        </a:stretch>
      </blipFill>
      <spPr>
        <a:xfrm>
          <a:off x="8312040" y="52675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10</row>
      <rowOff>123840</rowOff>
    </from>
    <to>
      <col>0</col>
      <colOff>561240</colOff>
      <row>10</row>
      <rowOff>304200</rowOff>
    </to>
    <pic>
      <nvPicPr>
        <cNvPr id="120" name="Image 16" descr="Picture"/>
        <cNvPicPr/>
      </nvPicPr>
      <blipFill>
        <a:blip r:embed="rId16"/>
        <a:stretch>
          <a:fillRect/>
        </a:stretch>
      </blipFill>
      <spPr>
        <a:xfrm>
          <a:off x="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10</row>
      <rowOff>123840</rowOff>
    </from>
    <to>
      <col>1</col>
      <colOff>561240</colOff>
      <row>10</row>
      <rowOff>304200</rowOff>
    </to>
    <pic>
      <nvPicPr>
        <cNvPr id="121" name="Image 17" descr="Picture"/>
        <cNvPicPr/>
      </nvPicPr>
      <blipFill>
        <a:blip r:embed="rId17"/>
        <a:stretch>
          <a:fillRect/>
        </a:stretch>
      </blipFill>
      <spPr>
        <a:xfrm>
          <a:off x="415620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10</row>
      <rowOff>123840</rowOff>
    </from>
    <to>
      <col>2</col>
      <colOff>561240</colOff>
      <row>10</row>
      <rowOff>304200</rowOff>
    </to>
    <pic>
      <nvPicPr>
        <cNvPr id="122" name="Image 18" descr="Picture"/>
        <cNvPicPr/>
      </nvPicPr>
      <blipFill>
        <a:blip r:embed="rId18"/>
        <a:stretch>
          <a:fillRect/>
        </a:stretch>
      </blipFill>
      <spPr>
        <a:xfrm>
          <a:off x="8312040" y="65530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12</row>
      <rowOff>123840</rowOff>
    </from>
    <to>
      <col>0</col>
      <colOff>561240</colOff>
      <row>12</row>
      <rowOff>304200</rowOff>
    </to>
    <pic>
      <nvPicPr>
        <cNvPr id="123" name="Image 19" descr="Picture"/>
        <cNvPicPr/>
      </nvPicPr>
      <blipFill>
        <a:blip r:embed="rId19"/>
        <a:stretch>
          <a:fillRect/>
        </a:stretch>
      </blipFill>
      <spPr>
        <a:xfrm>
          <a:off x="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12</row>
      <rowOff>123840</rowOff>
    </from>
    <to>
      <col>1</col>
      <colOff>561240</colOff>
      <row>12</row>
      <rowOff>304200</rowOff>
    </to>
    <pic>
      <nvPicPr>
        <cNvPr id="124" name="Image 20" descr="Picture"/>
        <cNvPicPr/>
      </nvPicPr>
      <blipFill>
        <a:blip r:embed="rId20"/>
        <a:stretch>
          <a:fillRect/>
        </a:stretch>
      </blipFill>
      <spPr>
        <a:xfrm>
          <a:off x="415620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12</row>
      <rowOff>123840</rowOff>
    </from>
    <to>
      <col>2</col>
      <colOff>561240</colOff>
      <row>12</row>
      <rowOff>304200</rowOff>
    </to>
    <pic>
      <nvPicPr>
        <cNvPr id="125" name="Image 21" descr="Picture"/>
        <cNvPicPr/>
      </nvPicPr>
      <blipFill>
        <a:blip r:embed="rId21"/>
        <a:stretch>
          <a:fillRect/>
        </a:stretch>
      </blipFill>
      <spPr>
        <a:xfrm>
          <a:off x="8312040" y="78390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14</row>
      <rowOff>123840</rowOff>
    </from>
    <to>
      <col>0</col>
      <colOff>561240</colOff>
      <row>14</row>
      <rowOff>304200</rowOff>
    </to>
    <pic>
      <nvPicPr>
        <cNvPr id="126" name="Image 22" descr="Picture"/>
        <cNvPicPr/>
      </nvPicPr>
      <blipFill>
        <a:blip r:embed="rId22"/>
        <a:stretch>
          <a:fillRect/>
        </a:stretch>
      </blipFill>
      <spPr>
        <a:xfrm>
          <a:off x="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14</row>
      <rowOff>123840</rowOff>
    </from>
    <to>
      <col>1</col>
      <colOff>561240</colOff>
      <row>14</row>
      <rowOff>304200</rowOff>
    </to>
    <pic>
      <nvPicPr>
        <cNvPr id="127" name="Image 23" descr="Picture"/>
        <cNvPicPr/>
      </nvPicPr>
      <blipFill>
        <a:blip r:embed="rId23"/>
        <a:stretch>
          <a:fillRect/>
        </a:stretch>
      </blipFill>
      <spPr>
        <a:xfrm>
          <a:off x="415620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14</row>
      <rowOff>123840</rowOff>
    </from>
    <to>
      <col>2</col>
      <colOff>561240</colOff>
      <row>14</row>
      <rowOff>304200</rowOff>
    </to>
    <pic>
      <nvPicPr>
        <cNvPr id="128" name="Image 24" descr="Picture"/>
        <cNvPicPr/>
      </nvPicPr>
      <blipFill>
        <a:blip r:embed="rId24"/>
        <a:stretch>
          <a:fillRect/>
        </a:stretch>
      </blipFill>
      <spPr>
        <a:xfrm>
          <a:off x="8312040" y="912492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16</row>
      <rowOff>123840</rowOff>
    </from>
    <to>
      <col>0</col>
      <colOff>561240</colOff>
      <row>16</row>
      <rowOff>304200</rowOff>
    </to>
    <pic>
      <nvPicPr>
        <cNvPr id="129" name="Image 25" descr="Picture"/>
        <cNvPicPr/>
      </nvPicPr>
      <blipFill>
        <a:blip r:embed="rId25"/>
        <a:stretch>
          <a:fillRect/>
        </a:stretch>
      </blipFill>
      <spPr>
        <a:xfrm>
          <a:off x="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16</row>
      <rowOff>123840</rowOff>
    </from>
    <to>
      <col>1</col>
      <colOff>561240</colOff>
      <row>16</row>
      <rowOff>304200</rowOff>
    </to>
    <pic>
      <nvPicPr>
        <cNvPr id="130" name="Image 26" descr="Picture"/>
        <cNvPicPr/>
      </nvPicPr>
      <blipFill>
        <a:blip r:embed="rId26"/>
        <a:stretch>
          <a:fillRect/>
        </a:stretch>
      </blipFill>
      <spPr>
        <a:xfrm>
          <a:off x="415620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16</row>
      <rowOff>123840</rowOff>
    </from>
    <to>
      <col>2</col>
      <colOff>561240</colOff>
      <row>16</row>
      <rowOff>304200</rowOff>
    </to>
    <pic>
      <nvPicPr>
        <cNvPr id="131" name="Image 27" descr="Picture"/>
        <cNvPicPr/>
      </nvPicPr>
      <blipFill>
        <a:blip r:embed="rId27"/>
        <a:stretch>
          <a:fillRect/>
        </a:stretch>
      </blipFill>
      <spPr>
        <a:xfrm>
          <a:off x="8312040" y="1041084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18</row>
      <rowOff>123840</rowOff>
    </from>
    <to>
      <col>0</col>
      <colOff>561240</colOff>
      <row>18</row>
      <rowOff>304200</rowOff>
    </to>
    <pic>
      <nvPicPr>
        <cNvPr id="132" name="Image 28" descr="Picture"/>
        <cNvPicPr/>
      </nvPicPr>
      <blipFill>
        <a:blip r:embed="rId28"/>
        <a:stretch>
          <a:fillRect/>
        </a:stretch>
      </blipFill>
      <spPr>
        <a:xfrm>
          <a:off x="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18</row>
      <rowOff>123840</rowOff>
    </from>
    <to>
      <col>1</col>
      <colOff>561240</colOff>
      <row>18</row>
      <rowOff>304200</rowOff>
    </to>
    <pic>
      <nvPicPr>
        <cNvPr id="133" name="Image 29" descr="Picture"/>
        <cNvPicPr/>
      </nvPicPr>
      <blipFill>
        <a:blip r:embed="rId29"/>
        <a:stretch>
          <a:fillRect/>
        </a:stretch>
      </blipFill>
      <spPr>
        <a:xfrm>
          <a:off x="415620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18</row>
      <rowOff>123840</rowOff>
    </from>
    <to>
      <col>2</col>
      <colOff>561240</colOff>
      <row>18</row>
      <rowOff>304200</rowOff>
    </to>
    <pic>
      <nvPicPr>
        <cNvPr id="134" name="Image 30" descr="Picture"/>
        <cNvPicPr/>
      </nvPicPr>
      <blipFill>
        <a:blip r:embed="rId30"/>
        <a:stretch>
          <a:fillRect/>
        </a:stretch>
      </blipFill>
      <spPr>
        <a:xfrm>
          <a:off x="8312040" y="1169676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20</row>
      <rowOff>123840</rowOff>
    </from>
    <to>
      <col>0</col>
      <colOff>561240</colOff>
      <row>20</row>
      <rowOff>304200</rowOff>
    </to>
    <pic>
      <nvPicPr>
        <cNvPr id="135" name="Image 31" descr="Picture"/>
        <cNvPicPr/>
      </nvPicPr>
      <blipFill>
        <a:blip r:embed="rId31"/>
        <a:stretch>
          <a:fillRect/>
        </a:stretch>
      </blipFill>
      <spPr>
        <a:xfrm>
          <a:off x="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20</row>
      <rowOff>123840</rowOff>
    </from>
    <to>
      <col>1</col>
      <colOff>561240</colOff>
      <row>20</row>
      <rowOff>304200</rowOff>
    </to>
    <pic>
      <nvPicPr>
        <cNvPr id="136" name="Image 32" descr="Picture"/>
        <cNvPicPr/>
      </nvPicPr>
      <blipFill>
        <a:blip r:embed="rId32"/>
        <a:stretch>
          <a:fillRect/>
        </a:stretch>
      </blipFill>
      <spPr>
        <a:xfrm>
          <a:off x="415620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2</col>
      <colOff>0</colOff>
      <row>20</row>
      <rowOff>123840</rowOff>
    </from>
    <to>
      <col>2</col>
      <colOff>561240</colOff>
      <row>20</row>
      <rowOff>304200</rowOff>
    </to>
    <pic>
      <nvPicPr>
        <cNvPr id="137" name="Image 33" descr="Picture"/>
        <cNvPicPr/>
      </nvPicPr>
      <blipFill>
        <a:blip r:embed="rId33"/>
        <a:stretch>
          <a:fillRect/>
        </a:stretch>
      </blipFill>
      <spPr>
        <a:xfrm>
          <a:off x="8312040" y="1298268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0</col>
      <colOff>0</colOff>
      <row>22</row>
      <rowOff>123840</rowOff>
    </from>
    <to>
      <col>0</col>
      <colOff>561240</colOff>
      <row>22</row>
      <rowOff>304200</rowOff>
    </to>
    <pic>
      <nvPicPr>
        <cNvPr id="138" name="Image 34" descr="Picture"/>
        <cNvPicPr/>
      </nvPicPr>
      <blipFill>
        <a:blip r:embed="rId34"/>
        <a:stretch>
          <a:fillRect/>
        </a:stretch>
      </blipFill>
      <spPr>
        <a:xfrm>
          <a:off x="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</col>
      <colOff>0</colOff>
      <row>22</row>
      <rowOff>123840</rowOff>
    </from>
    <to>
      <col>1</col>
      <colOff>561240</colOff>
      <row>22</row>
      <rowOff>304200</rowOff>
    </to>
    <pic>
      <nvPicPr>
        <cNvPr id="139" name="Image 35" descr="Picture"/>
        <cNvPicPr/>
      </nvPicPr>
      <blipFill>
        <a:blip r:embed="rId35"/>
        <a:stretch>
          <a:fillRect/>
        </a:stretch>
      </blipFill>
      <spPr>
        <a:xfrm>
          <a:off x="4156200" y="14268600"/>
          <a:ext cx="561240" cy="1803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G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3" activeCellId="0" sqref="D3"/>
    </sheetView>
  </sheetViews>
  <sheetFormatPr baseColWidth="8" defaultColWidth="8.5390625" defaultRowHeight="22.5" zeroHeight="0" outlineLevelRow="0"/>
  <cols>
    <col width="3.63" customWidth="1" style="47" min="1" max="1"/>
    <col width="3.38" customWidth="1" style="48" min="2" max="2"/>
    <col width="14" customWidth="1" style="49" min="3" max="3"/>
    <col width="19.75" customWidth="1" style="47" min="4" max="4"/>
  </cols>
  <sheetData>
    <row r="1" ht="22.5" customHeight="1" s="50">
      <c r="B1" s="51" t="n"/>
    </row>
    <row r="2" ht="22.5" customHeight="1" s="50">
      <c r="B2" s="52" t="n"/>
      <c r="C2" s="53" t="inlineStr">
        <is>
          <t>漢字氏名</t>
        </is>
      </c>
      <c r="D2" s="54" t="inlineStr">
        <is>
          <t>かな氏名</t>
        </is>
      </c>
    </row>
    <row r="3" ht="13.5" customHeight="1" s="50">
      <c r="B3" s="55" t="n">
        <v>1</v>
      </c>
      <c r="C3" s="56" t="n"/>
      <c r="D3" s="57" t="n"/>
    </row>
    <row r="4" ht="13.5" customHeight="1" s="50">
      <c r="B4" s="58" t="n">
        <v>2</v>
      </c>
      <c r="C4" s="56" t="n"/>
      <c r="D4" s="59" t="n"/>
    </row>
    <row r="5" ht="13.5" customHeight="1" s="50">
      <c r="B5" s="58" t="n">
        <v>3</v>
      </c>
      <c r="C5" s="56" t="n"/>
      <c r="D5" s="59" t="n"/>
    </row>
    <row r="6" ht="13.5" customHeight="1" s="50">
      <c r="B6" s="58" t="n">
        <v>4</v>
      </c>
      <c r="C6" s="56" t="n"/>
      <c r="D6" s="59" t="n"/>
    </row>
    <row r="7" ht="13.5" customHeight="1" s="50">
      <c r="B7" s="60" t="n">
        <v>5</v>
      </c>
      <c r="C7" s="61" t="n"/>
      <c r="D7" s="62" t="n"/>
    </row>
    <row r="8" ht="13.5" customHeight="1" s="50">
      <c r="B8" s="55" t="n">
        <v>6</v>
      </c>
      <c r="C8" s="63" t="n"/>
      <c r="D8" s="64" t="n"/>
    </row>
    <row r="9" ht="13.5" customHeight="1" s="50">
      <c r="B9" s="65" t="n">
        <v>7</v>
      </c>
      <c r="C9" s="56" t="n"/>
      <c r="D9" s="59" t="n"/>
    </row>
    <row r="10" ht="13.5" customHeight="1" s="50">
      <c r="B10" s="58" t="n">
        <v>8</v>
      </c>
      <c r="C10" s="56" t="n"/>
      <c r="D10" s="66" t="n"/>
    </row>
    <row r="11" ht="13.5" customHeight="1" s="50">
      <c r="B11" s="58" t="n">
        <v>9</v>
      </c>
      <c r="C11" s="56" t="n"/>
      <c r="D11" s="59" t="n"/>
    </row>
    <row r="12" ht="13.5" customHeight="1" s="50">
      <c r="B12" s="60" t="n">
        <v>10</v>
      </c>
      <c r="C12" s="67" t="n"/>
      <c r="D12" s="62" t="n"/>
    </row>
    <row r="13" ht="13.5" customHeight="1" s="50">
      <c r="B13" s="55" t="n">
        <v>11</v>
      </c>
      <c r="C13" s="56" t="n"/>
      <c r="D13" s="64" t="n"/>
    </row>
    <row r="14" ht="13.5" customHeight="1" s="50">
      <c r="B14" s="58" t="n">
        <v>12</v>
      </c>
      <c r="C14" s="56" t="n"/>
      <c r="D14" s="59" t="n"/>
    </row>
    <row r="15" ht="13.5" customHeight="1" s="50">
      <c r="B15" s="58" t="n">
        <v>13</v>
      </c>
      <c r="C15" s="56" t="n"/>
      <c r="D15" s="66" t="n"/>
    </row>
    <row r="16" ht="13.5" customHeight="1" s="50">
      <c r="B16" s="58" t="n">
        <v>14</v>
      </c>
      <c r="C16" s="56" t="n"/>
      <c r="D16" s="59" t="n"/>
    </row>
    <row r="17" ht="13.5" customHeight="1" s="50">
      <c r="B17" s="60" t="n">
        <v>15</v>
      </c>
      <c r="C17" s="61" t="n"/>
      <c r="D17" s="62" t="n"/>
    </row>
    <row r="18" ht="13.5" customHeight="1" s="50">
      <c r="B18" s="55" t="n">
        <v>16</v>
      </c>
      <c r="C18" s="63" t="n"/>
      <c r="D18" s="64" t="n"/>
    </row>
    <row r="19" ht="13.5" customHeight="1" s="50">
      <c r="B19" s="58" t="n">
        <v>17</v>
      </c>
      <c r="C19" s="56" t="n"/>
      <c r="D19" s="59" t="n"/>
    </row>
    <row r="20" ht="13.5" customHeight="1" s="50">
      <c r="B20" s="58" t="n">
        <v>18</v>
      </c>
      <c r="C20" s="56" t="n"/>
      <c r="D20" s="66" t="n"/>
    </row>
    <row r="21" ht="13.5" customHeight="1" s="50">
      <c r="B21" s="58" t="n">
        <v>19</v>
      </c>
      <c r="C21" s="56" t="n"/>
      <c r="D21" s="59" t="n"/>
    </row>
    <row r="22" ht="13.5" customHeight="1" s="50">
      <c r="B22" s="60" t="n">
        <v>20</v>
      </c>
      <c r="C22" s="67" t="n"/>
      <c r="D22" s="68" t="n"/>
      <c r="G22" s="69" t="n"/>
    </row>
    <row r="23" ht="13.5" customHeight="1" s="50">
      <c r="B23" s="55" t="n">
        <v>21</v>
      </c>
      <c r="C23" s="56" t="n"/>
      <c r="D23" s="64" t="n"/>
    </row>
    <row r="24" ht="13.5" customHeight="1" s="50">
      <c r="B24" s="58" t="n">
        <v>22</v>
      </c>
      <c r="C24" s="56" t="n"/>
      <c r="D24" s="59" t="n"/>
    </row>
    <row r="25" ht="13.5" customHeight="1" s="50">
      <c r="B25" s="58" t="n">
        <v>23</v>
      </c>
      <c r="C25" s="56" t="n"/>
      <c r="D25" s="66" t="n"/>
    </row>
    <row r="26" ht="13.5" customHeight="1" s="50">
      <c r="B26" s="58" t="n">
        <v>24</v>
      </c>
      <c r="C26" s="56" t="n"/>
      <c r="D26" s="59" t="n"/>
    </row>
    <row r="27" ht="13.5" customHeight="1" s="50">
      <c r="B27" s="60" t="n">
        <v>25</v>
      </c>
      <c r="C27" s="61" t="n"/>
      <c r="D27" s="62" t="n"/>
    </row>
    <row r="28" ht="13.5" customHeight="1" s="50">
      <c r="B28" s="55" t="n">
        <v>26</v>
      </c>
      <c r="C28" s="63" t="n"/>
      <c r="D28" s="64" t="n"/>
    </row>
    <row r="29" ht="13.5" customHeight="1" s="50">
      <c r="B29" s="58" t="n">
        <v>27</v>
      </c>
      <c r="C29" s="56" t="n"/>
      <c r="D29" s="59" t="n"/>
    </row>
    <row r="30" ht="13.5" customHeight="1" s="50">
      <c r="B30" s="58" t="n">
        <v>28</v>
      </c>
      <c r="C30" s="56" t="n"/>
      <c r="D30" s="66" t="n"/>
    </row>
    <row r="31" ht="13.5" customHeight="1" s="50">
      <c r="B31" s="58" t="n">
        <v>29</v>
      </c>
      <c r="C31" s="56" t="n"/>
      <c r="D31" s="59" t="n"/>
    </row>
    <row r="32" ht="13.5" customHeight="1" s="50">
      <c r="B32" s="60" t="n">
        <v>30</v>
      </c>
      <c r="C32" s="67" t="n"/>
      <c r="D32" s="62" t="n"/>
    </row>
    <row r="33" ht="13.5" customHeight="1" s="50">
      <c r="B33" s="65" t="n">
        <v>31</v>
      </c>
      <c r="C33" s="56" t="n"/>
      <c r="D33" s="70" t="n"/>
    </row>
    <row r="34" ht="13.5" customHeight="1" s="50">
      <c r="B34" s="58" t="n">
        <v>32</v>
      </c>
      <c r="C34" s="56" t="n"/>
      <c r="D34" s="66" t="n"/>
    </row>
    <row r="35" ht="13.5" customHeight="1" s="50">
      <c r="B35" s="71" t="n">
        <v>33</v>
      </c>
      <c r="C35" s="56" t="n"/>
      <c r="D35" s="66" t="n"/>
    </row>
    <row r="36" ht="13.5" customHeight="1" s="50">
      <c r="B36" s="71" t="n">
        <v>34</v>
      </c>
      <c r="C36" s="56" t="n"/>
      <c r="D36" s="72" t="n"/>
    </row>
    <row r="37" ht="13.5" customHeight="1" s="50">
      <c r="B37" s="60" t="n">
        <v>35</v>
      </c>
      <c r="C37" s="73" t="n"/>
      <c r="D37" s="74" t="n"/>
    </row>
    <row r="38" ht="22.5" customHeight="1" s="50">
      <c r="C38" s="75" t="n"/>
    </row>
  </sheetData>
  <printOptions horizontalCentered="0" verticalCentered="0" headings="0" gridLines="0" gridLinesSet="1"/>
  <pageMargins left="0.302083333333333" right="0.427083333333333" top="0.551388888888889" bottom="0.354166666666667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30" customHeight="1" s="50">
      <c r="A1" s="76">
        <f>IF('梅 横長'!D3="","",'梅 横長'!D3)</f>
        <v/>
      </c>
      <c r="B1" s="76">
        <f>IF('梅 横長'!D4="","",'梅 横長'!D4)</f>
        <v/>
      </c>
      <c r="C1" s="76">
        <f>IF('梅 横長'!D5="","",'梅 横長'!D5)</f>
        <v/>
      </c>
    </row>
    <row r="2" ht="71.25" customHeight="1" s="50">
      <c r="A2" s="77">
        <f>IF('梅 横長'!C3="","",'梅 横長'!C3)</f>
        <v/>
      </c>
      <c r="B2" s="77">
        <f>IF('梅 横長'!C4="","",'梅 横長'!C4)</f>
        <v/>
      </c>
      <c r="C2" s="77">
        <f>IF('梅 横長'!C5="","",'梅 横長'!C5)</f>
        <v/>
      </c>
    </row>
    <row r="3" ht="30" customHeight="1" s="50">
      <c r="A3" s="76">
        <f>IF('梅 横長'!D6="","",'梅 横長'!D6)</f>
        <v/>
      </c>
      <c r="B3" s="76">
        <f>IF('梅 横長'!D7="","",'梅 横長'!D7)</f>
        <v/>
      </c>
      <c r="C3" s="76">
        <f>IF('梅 横長'!D8="","",'梅 横長'!D8)</f>
        <v/>
      </c>
    </row>
    <row r="4" ht="71.25" customHeight="1" s="50">
      <c r="A4" s="77">
        <f>IF('梅 横長'!C6="","",'梅 横長'!C6)</f>
        <v/>
      </c>
      <c r="B4" s="77">
        <f>IF('梅 横長'!C7="","",'梅 横長'!C7)</f>
        <v/>
      </c>
      <c r="C4" s="77">
        <f>IF('梅 横長'!C8="","",'梅 横長'!C8)</f>
        <v/>
      </c>
    </row>
    <row r="5" ht="30" customHeight="1" s="50">
      <c r="A5" s="76">
        <f>IF('梅 横長'!D9="","",'梅 横長'!D9)</f>
        <v/>
      </c>
      <c r="B5" s="76">
        <f>IF('梅 横長'!D10="","",'梅 横長'!D10)</f>
        <v/>
      </c>
      <c r="C5" s="76">
        <f>IF('梅 横長'!D11="","",'梅 横長'!D11)</f>
        <v/>
      </c>
    </row>
    <row r="6" ht="71.25" customHeight="1" s="50">
      <c r="A6" s="77">
        <f>IF('梅 横長'!C9="","",'梅 横長'!C9)</f>
        <v/>
      </c>
      <c r="B6" s="77">
        <f>IF('梅 横長'!C10="","",'梅 横長'!C10)</f>
        <v/>
      </c>
      <c r="C6" s="77">
        <f>IF('梅 横長'!C11="","",'梅 横長'!C11)</f>
        <v/>
      </c>
    </row>
    <row r="7" ht="30" customHeight="1" s="50">
      <c r="A7" s="76">
        <f>IF('梅 横長'!D12="","",'梅 横長'!D12)</f>
        <v/>
      </c>
      <c r="B7" s="76">
        <f>IF('梅 横長'!D13="","",'梅 横長'!D13)</f>
        <v/>
      </c>
      <c r="C7" s="76">
        <f>IF('梅 横長'!D14="","",'梅 横長'!D14)</f>
        <v/>
      </c>
    </row>
    <row r="8" ht="71.25" customHeight="1" s="50">
      <c r="A8" s="77">
        <f>IF('梅 横長'!C12="","",'梅 横長'!C12)</f>
        <v/>
      </c>
      <c r="B8" s="77">
        <f>IF('梅 横長'!C13="","",'梅 横長'!C13)</f>
        <v/>
      </c>
      <c r="C8" s="77">
        <f>IF('梅 横長'!C14="","",'梅 横長'!C14)</f>
        <v/>
      </c>
    </row>
    <row r="9" ht="30" customHeight="1" s="50">
      <c r="A9" s="76">
        <f>IF('梅 横長'!D15="","",'梅 横長'!D15)</f>
        <v/>
      </c>
      <c r="B9" s="76">
        <f>IF('梅 横長'!D16="","",'梅 横長'!D16)</f>
        <v/>
      </c>
      <c r="C9" s="76">
        <f>IF('梅 横長'!D17="","",'梅 横長'!D17)</f>
        <v/>
      </c>
    </row>
    <row r="10" ht="71.25" customHeight="1" s="50">
      <c r="A10" s="77">
        <f>IF('梅 横長'!C15="","",'梅 横長'!C15)</f>
        <v/>
      </c>
      <c r="B10" s="77">
        <f>IF('梅 横長'!C16="","",'梅 横長'!C16)</f>
        <v/>
      </c>
      <c r="C10" s="77">
        <f>IF('梅 横長'!C17="","",'梅 横長'!C17)</f>
        <v/>
      </c>
    </row>
    <row r="11" ht="30" customHeight="1" s="50">
      <c r="A11" s="76">
        <f>IF('梅 横長'!D18="","",'梅 横長'!D18)</f>
        <v/>
      </c>
      <c r="B11" s="76">
        <f>IF('梅 横長'!D19="","",'梅 横長'!D19)</f>
        <v/>
      </c>
      <c r="C11" s="76">
        <f>IF('梅 横長'!D20="","",'梅 横長'!D20)</f>
        <v/>
      </c>
    </row>
    <row r="12" ht="71.25" customHeight="1" s="50">
      <c r="A12" s="77">
        <f>IF('梅 横長'!C18="","",'梅 横長'!C18)</f>
        <v/>
      </c>
      <c r="B12" s="77">
        <f>IF('梅 横長'!C19="","",'梅 横長'!C19)</f>
        <v/>
      </c>
      <c r="C12" s="77">
        <f>IF('梅 横長'!C20="","",'梅 横長'!C20)</f>
        <v/>
      </c>
    </row>
    <row r="13" ht="30" customHeight="1" s="50">
      <c r="A13" s="76">
        <f>IF('梅 横長'!D21="","",'梅 横長'!D21)</f>
        <v/>
      </c>
      <c r="B13" s="76">
        <f>IF('梅 横長'!D22="","",'梅 横長'!D22)</f>
        <v/>
      </c>
      <c r="C13" s="76">
        <f>IF('梅 横長'!D23="","",'梅 横長'!D23)</f>
        <v/>
      </c>
    </row>
    <row r="14" ht="71.25" customHeight="1" s="50">
      <c r="A14" s="77">
        <f>IF('梅 横長'!C21="","",'梅 横長'!C21)</f>
        <v/>
      </c>
      <c r="B14" s="77">
        <f>IF('梅 横長'!C22="","",'梅 横長'!C22)</f>
        <v/>
      </c>
      <c r="C14" s="77">
        <f>IF('梅 横長'!C23="","",'梅 横長'!C23)</f>
        <v/>
      </c>
    </row>
    <row r="15" ht="30" customHeight="1" s="50">
      <c r="A15" s="76">
        <f>IF('梅 横長'!D24="","",'梅 横長'!D24)</f>
        <v/>
      </c>
      <c r="B15" s="76">
        <f>IF('梅 横長'!D25="","",'梅 横長'!D25)</f>
        <v/>
      </c>
      <c r="C15" s="76">
        <f>IF('梅 横長'!D26="","",'梅 横長'!D26)</f>
        <v/>
      </c>
    </row>
    <row r="16" ht="71.25" customHeight="1" s="50">
      <c r="A16" s="77">
        <f>IF('梅 横長'!C24="","",'梅 横長'!C24)</f>
        <v/>
      </c>
      <c r="B16" s="77">
        <f>IF('梅 横長'!C25="","",'梅 横長'!C25)</f>
        <v/>
      </c>
      <c r="C16" s="77">
        <f>IF('梅 横長'!C26="","",'梅 横長'!C26)</f>
        <v/>
      </c>
    </row>
    <row r="17" ht="30" customHeight="1" s="50">
      <c r="A17" s="76">
        <f>IF('梅 横長'!D27="","",'梅 横長'!D27)</f>
        <v/>
      </c>
      <c r="B17" s="76">
        <f>IF('梅 横長'!D28="","",'梅 横長'!D28)</f>
        <v/>
      </c>
      <c r="C17" s="76">
        <f>IF('梅 横長'!D29="","",'梅 横長'!D29)</f>
        <v/>
      </c>
    </row>
    <row r="18" ht="71.25" customHeight="1" s="50">
      <c r="A18" s="77">
        <f>IF('梅 横長'!C27="","",'梅 横長'!C27)</f>
        <v/>
      </c>
      <c r="B18" s="77">
        <f>IF('梅 横長'!C28="","",'梅 横長'!C28)</f>
        <v/>
      </c>
      <c r="C18" s="77">
        <f>IF('梅 横長'!C29="","",'梅 横長'!C29)</f>
        <v/>
      </c>
    </row>
    <row r="19" ht="30" customHeight="1" s="50">
      <c r="A19" s="76">
        <f>IF('梅 横長'!D30="","",'梅 横長'!D30)</f>
        <v/>
      </c>
      <c r="B19" s="76">
        <f>IF('梅 横長'!D31="","",'梅 横長'!D31)</f>
        <v/>
      </c>
      <c r="C19" s="76">
        <f>IF('梅 横長'!D32="","",'梅 横長'!D32)</f>
        <v/>
      </c>
    </row>
    <row r="20" ht="71.25" customHeight="1" s="50">
      <c r="A20" s="77">
        <f>IF('梅 横長'!C30="","",'梅 横長'!C30)</f>
        <v/>
      </c>
      <c r="B20" s="77">
        <f>IF('梅 横長'!C31="","",'梅 横長'!C31)</f>
        <v/>
      </c>
      <c r="C20" s="77">
        <f>IF('梅 横長'!C32="","",'梅 横長'!C32)</f>
        <v/>
      </c>
    </row>
    <row r="21" ht="30" customHeight="1" s="50">
      <c r="A21" s="76">
        <f>IF('梅 横長'!D33="","",'梅 横長'!D33)</f>
        <v/>
      </c>
      <c r="B21" s="76">
        <f>IF('梅 横長'!D34="","",'梅 横長'!D34)</f>
        <v/>
      </c>
      <c r="C21" s="76">
        <f>IF('梅 横長'!D35="","",'梅 横長'!D35)</f>
        <v/>
      </c>
    </row>
    <row r="22" ht="71.25" customHeight="1" s="50">
      <c r="A22" s="77">
        <f>IF('梅 横長'!C33="","",'梅 横長'!C33)</f>
        <v/>
      </c>
      <c r="B22" s="77">
        <f>IF('梅 横長'!C34="","",'梅 横長'!C34)</f>
        <v/>
      </c>
      <c r="C22" s="77">
        <f>IF('梅 横長'!C35="","",'梅 横長'!C35)</f>
        <v/>
      </c>
    </row>
    <row r="23" ht="30" customHeight="1" s="50">
      <c r="A23" s="76">
        <f>IF('梅 横長'!D36="","",'梅 横長'!D36)</f>
        <v/>
      </c>
      <c r="B23" s="76">
        <f>IF('梅 横長'!D37="","",'梅 横長'!D37)</f>
        <v/>
      </c>
      <c r="C23" s="76" t="n"/>
    </row>
    <row r="24" ht="71.25" customHeight="1" s="50">
      <c r="A24" s="77">
        <f>IF('梅 横長'!C36="","",'梅 横長'!C36)</f>
        <v/>
      </c>
      <c r="B24" s="77">
        <f>IF('梅 横長'!C37="","",'梅 横長'!C37)</f>
        <v/>
      </c>
      <c r="C24" s="77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30" customHeight="1" s="50">
      <c r="A1" s="76">
        <f>IF('梅 横長'!D3="","",'梅 横長'!D3)</f>
        <v/>
      </c>
      <c r="B1" s="76">
        <f>IF('梅 横長'!D4="","",'梅 横長'!D4)</f>
        <v/>
      </c>
      <c r="C1" s="76">
        <f>IF('梅 横長'!D5="","",'梅 横長'!D5)</f>
        <v/>
      </c>
    </row>
    <row r="2" ht="71.25" customHeight="1" s="50">
      <c r="A2" s="77">
        <f>IF('梅 横長'!C3="","",'梅 横長'!C3)</f>
        <v/>
      </c>
      <c r="B2" s="77">
        <f>IF('梅 横長'!C4="","",'梅 横長'!C4)</f>
        <v/>
      </c>
      <c r="C2" s="77">
        <f>IF('梅 横長'!C5="","",'梅 横長'!C5)</f>
        <v/>
      </c>
    </row>
    <row r="3" ht="30" customHeight="1" s="50">
      <c r="A3" s="76">
        <f>IF('梅 横長'!D6="","",'梅 横長'!D6)</f>
        <v/>
      </c>
      <c r="B3" s="76">
        <f>IF('梅 横長'!D7="","",'梅 横長'!D7)</f>
        <v/>
      </c>
      <c r="C3" s="76">
        <f>IF('梅 横長'!D8="","",'梅 横長'!D8)</f>
        <v/>
      </c>
    </row>
    <row r="4" ht="71.25" customHeight="1" s="50">
      <c r="A4" s="77">
        <f>IF('梅 横長'!C6="","",'梅 横長'!C6)</f>
        <v/>
      </c>
      <c r="B4" s="77">
        <f>IF('梅 横長'!C7="","",'梅 横長'!C7)</f>
        <v/>
      </c>
      <c r="C4" s="77">
        <f>IF('梅 横長'!C8="","",'梅 横長'!C8)</f>
        <v/>
      </c>
    </row>
    <row r="5" ht="30" customHeight="1" s="50">
      <c r="A5" s="76">
        <f>IF('梅 横長'!D9="","",'梅 横長'!D9)</f>
        <v/>
      </c>
      <c r="B5" s="76">
        <f>IF('梅 横長'!D10="","",'梅 横長'!D10)</f>
        <v/>
      </c>
      <c r="C5" s="76">
        <f>IF('梅 横長'!D11="","",'梅 横長'!D11)</f>
        <v/>
      </c>
    </row>
    <row r="6" ht="71.25" customHeight="1" s="50">
      <c r="A6" s="77">
        <f>IF('梅 横長'!C9="","",'梅 横長'!C9)</f>
        <v/>
      </c>
      <c r="B6" s="77">
        <f>IF('梅 横長'!C10="","",'梅 横長'!C10)</f>
        <v/>
      </c>
      <c r="C6" s="77">
        <f>IF('梅 横長'!C11="","",'梅 横長'!C11)</f>
        <v/>
      </c>
    </row>
    <row r="7" ht="30" customHeight="1" s="50">
      <c r="A7" s="76">
        <f>IF('梅 横長'!D12="","",'梅 横長'!D12)</f>
        <v/>
      </c>
      <c r="B7" s="76">
        <f>IF('梅 横長'!D13="","",'梅 横長'!D13)</f>
        <v/>
      </c>
      <c r="C7" s="76">
        <f>IF('梅 横長'!D14="","",'梅 横長'!D14)</f>
        <v/>
      </c>
    </row>
    <row r="8" ht="71.25" customHeight="1" s="50">
      <c r="A8" s="77">
        <f>IF('梅 横長'!C12="","",'梅 横長'!C12)</f>
        <v/>
      </c>
      <c r="B8" s="77">
        <f>IF('梅 横長'!C13="","",'梅 横長'!C13)</f>
        <v/>
      </c>
      <c r="C8" s="77">
        <f>IF('梅 横長'!C14="","",'梅 横長'!C14)</f>
        <v/>
      </c>
    </row>
    <row r="9" ht="30" customHeight="1" s="50">
      <c r="A9" s="76">
        <f>IF('梅 横長'!D15="","",'梅 横長'!D15)</f>
        <v/>
      </c>
      <c r="B9" s="76">
        <f>IF('梅 横長'!D16="","",'梅 横長'!D16)</f>
        <v/>
      </c>
      <c r="C9" s="76">
        <f>IF('梅 横長'!D17="","",'梅 横長'!D17)</f>
        <v/>
      </c>
    </row>
    <row r="10" ht="71.25" customHeight="1" s="50">
      <c r="A10" s="77">
        <f>IF('梅 横長'!C15="","",'梅 横長'!C15)</f>
        <v/>
      </c>
      <c r="B10" s="77">
        <f>IF('梅 横長'!C16="","",'梅 横長'!C16)</f>
        <v/>
      </c>
      <c r="C10" s="77">
        <f>IF('梅 横長'!C17="","",'梅 横長'!C17)</f>
        <v/>
      </c>
    </row>
    <row r="11" ht="30" customHeight="1" s="50">
      <c r="A11" s="76">
        <f>IF('梅 横長'!D18="","",'梅 横長'!D18)</f>
        <v/>
      </c>
      <c r="B11" s="76">
        <f>IF('梅 横長'!D19="","",'梅 横長'!D19)</f>
        <v/>
      </c>
      <c r="C11" s="76">
        <f>IF('梅 横長'!D20="","",'梅 横長'!D20)</f>
        <v/>
      </c>
    </row>
    <row r="12" ht="71.25" customHeight="1" s="50">
      <c r="A12" s="77">
        <f>IF('梅 横長'!C18="","",'梅 横長'!C18)</f>
        <v/>
      </c>
      <c r="B12" s="77">
        <f>IF('梅 横長'!C19="","",'梅 横長'!C19)</f>
        <v/>
      </c>
      <c r="C12" s="77">
        <f>IF('梅 横長'!C20="","",'梅 横長'!C20)</f>
        <v/>
      </c>
    </row>
    <row r="13" ht="30" customHeight="1" s="50">
      <c r="A13" s="76">
        <f>IF('梅 横長'!D21="","",'梅 横長'!D21)</f>
        <v/>
      </c>
      <c r="B13" s="76">
        <f>IF('梅 横長'!D22="","",'梅 横長'!D22)</f>
        <v/>
      </c>
      <c r="C13" s="76">
        <f>IF('梅 横長'!D23="","",'梅 横長'!D23)</f>
        <v/>
      </c>
    </row>
    <row r="14" ht="71.25" customHeight="1" s="50">
      <c r="A14" s="77">
        <f>IF('梅 横長'!C21="","",'梅 横長'!C21)</f>
        <v/>
      </c>
      <c r="B14" s="77">
        <f>IF('梅 横長'!C22="","",'梅 横長'!C22)</f>
        <v/>
      </c>
      <c r="C14" s="77">
        <f>IF('梅 横長'!C23="","",'梅 横長'!C23)</f>
        <v/>
      </c>
    </row>
    <row r="15" ht="30" customHeight="1" s="50">
      <c r="A15" s="76">
        <f>IF('梅 横長'!D24="","",'梅 横長'!D24)</f>
        <v/>
      </c>
      <c r="B15" s="76">
        <f>IF('梅 横長'!D25="","",'梅 横長'!D25)</f>
        <v/>
      </c>
      <c r="C15" s="76">
        <f>IF('梅 横長'!D26="","",'梅 横長'!D26)</f>
        <v/>
      </c>
    </row>
    <row r="16" ht="71.25" customHeight="1" s="50">
      <c r="A16" s="77">
        <f>IF('梅 横長'!C24="","",'梅 横長'!C24)</f>
        <v/>
      </c>
      <c r="B16" s="77">
        <f>IF('梅 横長'!C25="","",'梅 横長'!C25)</f>
        <v/>
      </c>
      <c r="C16" s="77">
        <f>IF('梅 横長'!C26="","",'梅 横長'!C26)</f>
        <v/>
      </c>
    </row>
    <row r="17" ht="30" customHeight="1" s="50">
      <c r="A17" s="76">
        <f>IF('梅 横長'!D27="","",'梅 横長'!D27)</f>
        <v/>
      </c>
      <c r="B17" s="76">
        <f>IF('梅 横長'!D28="","",'梅 横長'!D28)</f>
        <v/>
      </c>
      <c r="C17" s="76">
        <f>IF('梅 横長'!D29="","",'梅 横長'!D29)</f>
        <v/>
      </c>
    </row>
    <row r="18" ht="71.25" customHeight="1" s="50">
      <c r="A18" s="77">
        <f>IF('梅 横長'!C27="","",'梅 横長'!C27)</f>
        <v/>
      </c>
      <c r="B18" s="77">
        <f>IF('梅 横長'!C28="","",'梅 横長'!C28)</f>
        <v/>
      </c>
      <c r="C18" s="77">
        <f>IF('梅 横長'!C29="","",'梅 横長'!C29)</f>
        <v/>
      </c>
    </row>
    <row r="19" ht="30" customHeight="1" s="50">
      <c r="A19" s="76">
        <f>IF('梅 横長'!D30="","",'梅 横長'!D30)</f>
        <v/>
      </c>
      <c r="B19" s="76">
        <f>IF('梅 横長'!D31="","",'梅 横長'!D31)</f>
        <v/>
      </c>
      <c r="C19" s="76">
        <f>IF('梅 横長'!D32="","",'梅 横長'!D32)</f>
        <v/>
      </c>
    </row>
    <row r="20" ht="71.25" customHeight="1" s="50">
      <c r="A20" s="77">
        <f>IF('梅 横長'!C30="","",'梅 横長'!C30)</f>
        <v/>
      </c>
      <c r="B20" s="77">
        <f>IF('梅 横長'!C31="","",'梅 横長'!C31)</f>
        <v/>
      </c>
      <c r="C20" s="77">
        <f>IF('梅 横長'!C32="","",'梅 横長'!C32)</f>
        <v/>
      </c>
    </row>
    <row r="21" ht="30" customHeight="1" s="50">
      <c r="A21" s="76">
        <f>IF('梅 横長'!D33="","",'梅 横長'!D33)</f>
        <v/>
      </c>
      <c r="B21" s="76">
        <f>IF('梅 横長'!D34="","",'梅 横長'!D34)</f>
        <v/>
      </c>
      <c r="C21" s="76">
        <f>IF('梅 横長'!D35="","",'梅 横長'!D35)</f>
        <v/>
      </c>
    </row>
    <row r="22" ht="71.25" customHeight="1" s="50">
      <c r="A22" s="77">
        <f>IF('梅 横長'!C33="","",'梅 横長'!C33)</f>
        <v/>
      </c>
      <c r="B22" s="77">
        <f>IF('梅 横長'!C34="","",'梅 横長'!C34)</f>
        <v/>
      </c>
      <c r="C22" s="77">
        <f>IF('梅 横長'!C35="","",'梅 横長'!C35)</f>
        <v/>
      </c>
    </row>
    <row r="23" ht="30" customHeight="1" s="50">
      <c r="A23" s="76">
        <f>IF('梅 横長'!D36="","",'梅 横長'!D36)</f>
        <v/>
      </c>
      <c r="B23" s="76">
        <f>IF('梅 横長'!D37="","",'梅 横長'!D37)</f>
        <v/>
      </c>
      <c r="C23" s="76" t="n"/>
    </row>
    <row r="24" ht="71.25" customHeight="1" s="50">
      <c r="A24" s="77">
        <f>IF('梅 横長'!C36="","",'梅 横長'!C36)</f>
        <v/>
      </c>
      <c r="B24" s="77">
        <f>IF('梅 横長'!C37="","",'梅 横長'!C37)</f>
        <v/>
      </c>
      <c r="C24" s="77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30" customHeight="1" s="50">
      <c r="A1" s="76">
        <f>IF('梅 横長'!D3="","",'梅 横長'!D3)</f>
        <v/>
      </c>
      <c r="B1" s="76">
        <f>IF('梅 横長'!D4="","",'梅 横長'!D4)</f>
        <v/>
      </c>
      <c r="C1" s="76">
        <f>IF('梅 横長'!D5="","",'梅 横長'!D5)</f>
        <v/>
      </c>
    </row>
    <row r="2" ht="71.25" customHeight="1" s="50">
      <c r="A2" s="77">
        <f>IF('梅 横長'!C3="","",'梅 横長'!C3)</f>
        <v/>
      </c>
      <c r="B2" s="77">
        <f>IF('梅 横長'!C4="","",'梅 横長'!C4)</f>
        <v/>
      </c>
      <c r="C2" s="77">
        <f>IF('梅 横長'!C5="","",'梅 横長'!C5)</f>
        <v/>
      </c>
    </row>
    <row r="3" ht="30" customHeight="1" s="50">
      <c r="A3" s="76">
        <f>IF('梅 横長'!D6="","",'梅 横長'!D6)</f>
        <v/>
      </c>
      <c r="B3" s="76">
        <f>IF('梅 横長'!D7="","",'梅 横長'!D7)</f>
        <v/>
      </c>
      <c r="C3" s="76">
        <f>IF('梅 横長'!D8="","",'梅 横長'!D8)</f>
        <v/>
      </c>
    </row>
    <row r="4" ht="71.25" customHeight="1" s="50">
      <c r="A4" s="77">
        <f>IF('梅 横長'!C6="","",'梅 横長'!C6)</f>
        <v/>
      </c>
      <c r="B4" s="77">
        <f>IF('梅 横長'!C7="","",'梅 横長'!C7)</f>
        <v/>
      </c>
      <c r="C4" s="77">
        <f>IF('梅 横長'!C8="","",'梅 横長'!C8)</f>
        <v/>
      </c>
    </row>
    <row r="5" ht="30" customHeight="1" s="50">
      <c r="A5" s="76">
        <f>IF('梅 横長'!D9="","",'梅 横長'!D9)</f>
        <v/>
      </c>
      <c r="B5" s="76">
        <f>IF('梅 横長'!D10="","",'梅 横長'!D10)</f>
        <v/>
      </c>
      <c r="C5" s="76">
        <f>IF('梅 横長'!D11="","",'梅 横長'!D11)</f>
        <v/>
      </c>
    </row>
    <row r="6" ht="71.25" customHeight="1" s="50">
      <c r="A6" s="77">
        <f>IF('梅 横長'!C9="","",'梅 横長'!C9)</f>
        <v/>
      </c>
      <c r="B6" s="77">
        <f>IF('梅 横長'!C10="","",'梅 横長'!C10)</f>
        <v/>
      </c>
      <c r="C6" s="77">
        <f>IF('梅 横長'!C11="","",'梅 横長'!C11)</f>
        <v/>
      </c>
    </row>
    <row r="7" ht="30" customHeight="1" s="50">
      <c r="A7" s="76">
        <f>IF('梅 横長'!D12="","",'梅 横長'!D12)</f>
        <v/>
      </c>
      <c r="B7" s="76">
        <f>IF('梅 横長'!D13="","",'梅 横長'!D13)</f>
        <v/>
      </c>
      <c r="C7" s="76">
        <f>IF('梅 横長'!D14="","",'梅 横長'!D14)</f>
        <v/>
      </c>
    </row>
    <row r="8" ht="71.25" customHeight="1" s="50">
      <c r="A8" s="77">
        <f>IF('梅 横長'!C12="","",'梅 横長'!C12)</f>
        <v/>
      </c>
      <c r="B8" s="77">
        <f>IF('梅 横長'!C13="","",'梅 横長'!C13)</f>
        <v/>
      </c>
      <c r="C8" s="77">
        <f>IF('梅 横長'!C14="","",'梅 横長'!C14)</f>
        <v/>
      </c>
    </row>
    <row r="9" ht="30" customHeight="1" s="50">
      <c r="A9" s="76">
        <f>IF('梅 横長'!D15="","",'梅 横長'!D15)</f>
        <v/>
      </c>
      <c r="B9" s="76">
        <f>IF('梅 横長'!D16="","",'梅 横長'!D16)</f>
        <v/>
      </c>
      <c r="C9" s="76">
        <f>IF('梅 横長'!D17="","",'梅 横長'!D17)</f>
        <v/>
      </c>
    </row>
    <row r="10" ht="71.25" customHeight="1" s="50">
      <c r="A10" s="77">
        <f>IF('梅 横長'!C15="","",'梅 横長'!C15)</f>
        <v/>
      </c>
      <c r="B10" s="77">
        <f>IF('梅 横長'!C16="","",'梅 横長'!C16)</f>
        <v/>
      </c>
      <c r="C10" s="77">
        <f>IF('梅 横長'!C17="","",'梅 横長'!C17)</f>
        <v/>
      </c>
    </row>
    <row r="11" ht="30" customHeight="1" s="50">
      <c r="A11" s="76">
        <f>IF('梅 横長'!D18="","",'梅 横長'!D18)</f>
        <v/>
      </c>
      <c r="B11" s="76">
        <f>IF('梅 横長'!D19="","",'梅 横長'!D19)</f>
        <v/>
      </c>
      <c r="C11" s="76">
        <f>IF('梅 横長'!D20="","",'梅 横長'!D20)</f>
        <v/>
      </c>
    </row>
    <row r="12" ht="71.25" customHeight="1" s="50">
      <c r="A12" s="77">
        <f>IF('梅 横長'!C18="","",'梅 横長'!C18)</f>
        <v/>
      </c>
      <c r="B12" s="77">
        <f>IF('梅 横長'!C19="","",'梅 横長'!C19)</f>
        <v/>
      </c>
      <c r="C12" s="77">
        <f>IF('梅 横長'!C20="","",'梅 横長'!C20)</f>
        <v/>
      </c>
    </row>
    <row r="13" ht="30" customHeight="1" s="50">
      <c r="A13" s="76">
        <f>IF('梅 横長'!D21="","",'梅 横長'!D21)</f>
        <v/>
      </c>
      <c r="B13" s="76">
        <f>IF('梅 横長'!D22="","",'梅 横長'!D22)</f>
        <v/>
      </c>
      <c r="C13" s="76">
        <f>IF('梅 横長'!D23="","",'梅 横長'!D23)</f>
        <v/>
      </c>
    </row>
    <row r="14" ht="71.25" customHeight="1" s="50">
      <c r="A14" s="77">
        <f>IF('梅 横長'!C21="","",'梅 横長'!C21)</f>
        <v/>
      </c>
      <c r="B14" s="77">
        <f>IF('梅 横長'!C22="","",'梅 横長'!C22)</f>
        <v/>
      </c>
      <c r="C14" s="77">
        <f>IF('梅 横長'!C23="","",'梅 横長'!C23)</f>
        <v/>
      </c>
    </row>
    <row r="15" ht="30" customHeight="1" s="50">
      <c r="A15" s="76">
        <f>IF('梅 横長'!D24="","",'梅 横長'!D24)</f>
        <v/>
      </c>
      <c r="B15" s="76">
        <f>IF('梅 横長'!D25="","",'梅 横長'!D25)</f>
        <v/>
      </c>
      <c r="C15" s="76">
        <f>IF('梅 横長'!D26="","",'梅 横長'!D26)</f>
        <v/>
      </c>
    </row>
    <row r="16" ht="71.25" customHeight="1" s="50">
      <c r="A16" s="77">
        <f>IF('梅 横長'!C24="","",'梅 横長'!C24)</f>
        <v/>
      </c>
      <c r="B16" s="77">
        <f>IF('梅 横長'!C25="","",'梅 横長'!C25)</f>
        <v/>
      </c>
      <c r="C16" s="77">
        <f>IF('梅 横長'!C26="","",'梅 横長'!C26)</f>
        <v/>
      </c>
    </row>
    <row r="17" ht="30" customHeight="1" s="50">
      <c r="A17" s="76">
        <f>IF('梅 横長'!D27="","",'梅 横長'!D27)</f>
        <v/>
      </c>
      <c r="B17" s="76">
        <f>IF('梅 横長'!D28="","",'梅 横長'!D28)</f>
        <v/>
      </c>
      <c r="C17" s="76">
        <f>IF('梅 横長'!D29="","",'梅 横長'!D29)</f>
        <v/>
      </c>
    </row>
    <row r="18" ht="71.25" customHeight="1" s="50">
      <c r="A18" s="77">
        <f>IF('梅 横長'!C27="","",'梅 横長'!C27)</f>
        <v/>
      </c>
      <c r="B18" s="77">
        <f>IF('梅 横長'!C28="","",'梅 横長'!C28)</f>
        <v/>
      </c>
      <c r="C18" s="77">
        <f>IF('梅 横長'!C29="","",'梅 横長'!C29)</f>
        <v/>
      </c>
    </row>
    <row r="19" ht="30" customHeight="1" s="50">
      <c r="A19" s="76">
        <f>IF('梅 横長'!D30="","",'梅 横長'!D30)</f>
        <v/>
      </c>
      <c r="B19" s="76">
        <f>IF('梅 横長'!D31="","",'梅 横長'!D31)</f>
        <v/>
      </c>
      <c r="C19" s="76">
        <f>IF('梅 横長'!D32="","",'梅 横長'!D32)</f>
        <v/>
      </c>
    </row>
    <row r="20" ht="71.25" customHeight="1" s="50">
      <c r="A20" s="77">
        <f>IF('梅 横長'!C30="","",'梅 横長'!C30)</f>
        <v/>
      </c>
      <c r="B20" s="77">
        <f>IF('梅 横長'!C31="","",'梅 横長'!C31)</f>
        <v/>
      </c>
      <c r="C20" s="77">
        <f>IF('梅 横長'!C32="","",'梅 横長'!C32)</f>
        <v/>
      </c>
    </row>
    <row r="21" ht="30" customHeight="1" s="50">
      <c r="A21" s="76">
        <f>IF('梅 横長'!D33="","",'梅 横長'!D33)</f>
        <v/>
      </c>
      <c r="B21" s="76">
        <f>IF('梅 横長'!D34="","",'梅 横長'!D34)</f>
        <v/>
      </c>
      <c r="C21" s="76">
        <f>IF('梅 横長'!D35="","",'梅 横長'!D35)</f>
        <v/>
      </c>
    </row>
    <row r="22" ht="71.25" customHeight="1" s="50">
      <c r="A22" s="77">
        <f>IF('梅 横長'!C33="","",'梅 横長'!C33)</f>
        <v/>
      </c>
      <c r="B22" s="77">
        <f>IF('梅 横長'!C34="","",'梅 横長'!C34)</f>
        <v/>
      </c>
      <c r="C22" s="77">
        <f>IF('梅 横長'!C35="","",'梅 横長'!C35)</f>
        <v/>
      </c>
    </row>
    <row r="23" ht="30" customHeight="1" s="50">
      <c r="A23" s="76">
        <f>IF('梅 横長'!D36="","",'梅 横長'!D36)</f>
        <v/>
      </c>
      <c r="B23" s="76">
        <f>IF('梅 横長'!D37="","",'梅 横長'!D37)</f>
        <v/>
      </c>
      <c r="C23" s="76" t="n"/>
    </row>
    <row r="24" ht="71.25" customHeight="1" s="50">
      <c r="A24" s="77">
        <f>IF('梅 横長'!C36="","",'梅 横長'!C36)</f>
        <v/>
      </c>
      <c r="B24" s="77">
        <f>IF('梅 横長'!C37="","",'梅 横長'!C37)</f>
        <v/>
      </c>
      <c r="C24" s="77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30" customHeight="1" s="50">
      <c r="A1" s="76">
        <f>IF('梅 横長'!D3="","",'梅 横長'!D3)</f>
        <v/>
      </c>
      <c r="B1" s="76">
        <f>IF('梅 横長'!D4="","",'梅 横長'!D4)</f>
        <v/>
      </c>
      <c r="C1" s="76">
        <f>IF('梅 横長'!D5="","",'梅 横長'!D5)</f>
        <v/>
      </c>
    </row>
    <row r="2" ht="71.25" customHeight="1" s="50">
      <c r="A2" s="77">
        <f>IF('梅 横長'!C3="","",'梅 横長'!C3)</f>
        <v/>
      </c>
      <c r="B2" s="77">
        <f>IF('梅 横長'!C4="","",'梅 横長'!C4)</f>
        <v/>
      </c>
      <c r="C2" s="77">
        <f>IF('梅 横長'!C5="","",'梅 横長'!C5)</f>
        <v/>
      </c>
    </row>
    <row r="3" ht="30" customHeight="1" s="50">
      <c r="A3" s="76">
        <f>IF('梅 横長'!D6="","",'梅 横長'!D6)</f>
        <v/>
      </c>
      <c r="B3" s="76">
        <f>IF('梅 横長'!D7="","",'梅 横長'!D7)</f>
        <v/>
      </c>
      <c r="C3" s="76">
        <f>IF('梅 横長'!D8="","",'梅 横長'!D8)</f>
        <v/>
      </c>
    </row>
    <row r="4" ht="71.25" customHeight="1" s="50">
      <c r="A4" s="77">
        <f>IF('梅 横長'!C6="","",'梅 横長'!C6)</f>
        <v/>
      </c>
      <c r="B4" s="77">
        <f>IF('梅 横長'!C7="","",'梅 横長'!C7)</f>
        <v/>
      </c>
      <c r="C4" s="77">
        <f>IF('梅 横長'!C8="","",'梅 横長'!C8)</f>
        <v/>
      </c>
    </row>
    <row r="5" ht="30" customHeight="1" s="50">
      <c r="A5" s="76">
        <f>IF('梅 横長'!D9="","",'梅 横長'!D9)</f>
        <v/>
      </c>
      <c r="B5" s="76">
        <f>IF('梅 横長'!D10="","",'梅 横長'!D10)</f>
        <v/>
      </c>
      <c r="C5" s="76">
        <f>IF('梅 横長'!D11="","",'梅 横長'!D11)</f>
        <v/>
      </c>
    </row>
    <row r="6" ht="71.25" customHeight="1" s="50">
      <c r="A6" s="77">
        <f>IF('梅 横長'!C9="","",'梅 横長'!C9)</f>
        <v/>
      </c>
      <c r="B6" s="77">
        <f>IF('梅 横長'!C10="","",'梅 横長'!C10)</f>
        <v/>
      </c>
      <c r="C6" s="77">
        <f>IF('梅 横長'!C11="","",'梅 横長'!C11)</f>
        <v/>
      </c>
    </row>
    <row r="7" ht="30" customHeight="1" s="50">
      <c r="A7" s="76">
        <f>IF('梅 横長'!D12="","",'梅 横長'!D12)</f>
        <v/>
      </c>
      <c r="B7" s="76">
        <f>IF('梅 横長'!D13="","",'梅 横長'!D13)</f>
        <v/>
      </c>
      <c r="C7" s="76">
        <f>IF('梅 横長'!D14="","",'梅 横長'!D14)</f>
        <v/>
      </c>
    </row>
    <row r="8" ht="71.25" customHeight="1" s="50">
      <c r="A8" s="77">
        <f>IF('梅 横長'!C12="","",'梅 横長'!C12)</f>
        <v/>
      </c>
      <c r="B8" s="77">
        <f>IF('梅 横長'!C13="","",'梅 横長'!C13)</f>
        <v/>
      </c>
      <c r="C8" s="77">
        <f>IF('梅 横長'!C14="","",'梅 横長'!C14)</f>
        <v/>
      </c>
    </row>
    <row r="9" ht="30" customHeight="1" s="50">
      <c r="A9" s="76">
        <f>IF('梅 横長'!D15="","",'梅 横長'!D15)</f>
        <v/>
      </c>
      <c r="B9" s="76">
        <f>IF('梅 横長'!D16="","",'梅 横長'!D16)</f>
        <v/>
      </c>
      <c r="C9" s="76">
        <f>IF('梅 横長'!D17="","",'梅 横長'!D17)</f>
        <v/>
      </c>
    </row>
    <row r="10" ht="71.25" customHeight="1" s="50">
      <c r="A10" s="77">
        <f>IF('梅 横長'!C15="","",'梅 横長'!C15)</f>
        <v/>
      </c>
      <c r="B10" s="77">
        <f>IF('梅 横長'!C16="","",'梅 横長'!C16)</f>
        <v/>
      </c>
      <c r="C10" s="77">
        <f>IF('梅 横長'!C17="","",'梅 横長'!C17)</f>
        <v/>
      </c>
    </row>
    <row r="11" ht="30" customHeight="1" s="50">
      <c r="A11" s="76">
        <f>IF('梅 横長'!D18="","",'梅 横長'!D18)</f>
        <v/>
      </c>
      <c r="B11" s="76">
        <f>IF('梅 横長'!D19="","",'梅 横長'!D19)</f>
        <v/>
      </c>
      <c r="C11" s="76">
        <f>IF('梅 横長'!D20="","",'梅 横長'!D20)</f>
        <v/>
      </c>
    </row>
    <row r="12" ht="71.25" customHeight="1" s="50">
      <c r="A12" s="77">
        <f>IF('梅 横長'!C18="","",'梅 横長'!C18)</f>
        <v/>
      </c>
      <c r="B12" s="77">
        <f>IF('梅 横長'!C19="","",'梅 横長'!C19)</f>
        <v/>
      </c>
      <c r="C12" s="77">
        <f>IF('梅 横長'!C20="","",'梅 横長'!C20)</f>
        <v/>
      </c>
    </row>
    <row r="13" ht="30" customHeight="1" s="50">
      <c r="A13" s="76">
        <f>IF('梅 横長'!D21="","",'梅 横長'!D21)</f>
        <v/>
      </c>
      <c r="B13" s="76">
        <f>IF('梅 横長'!D22="","",'梅 横長'!D22)</f>
        <v/>
      </c>
      <c r="C13" s="76">
        <f>IF('梅 横長'!D23="","",'梅 横長'!D23)</f>
        <v/>
      </c>
    </row>
    <row r="14" ht="71.25" customHeight="1" s="50">
      <c r="A14" s="77">
        <f>IF('梅 横長'!C21="","",'梅 横長'!C21)</f>
        <v/>
      </c>
      <c r="B14" s="77">
        <f>IF('梅 横長'!C22="","",'梅 横長'!C22)</f>
        <v/>
      </c>
      <c r="C14" s="77">
        <f>IF('梅 横長'!C23="","",'梅 横長'!C23)</f>
        <v/>
      </c>
    </row>
    <row r="15" ht="30" customHeight="1" s="50">
      <c r="A15" s="76">
        <f>IF('梅 横長'!D24="","",'梅 横長'!D24)</f>
        <v/>
      </c>
      <c r="B15" s="76">
        <f>IF('梅 横長'!D25="","",'梅 横長'!D25)</f>
        <v/>
      </c>
      <c r="C15" s="76">
        <f>IF('梅 横長'!D26="","",'梅 横長'!D26)</f>
        <v/>
      </c>
    </row>
    <row r="16" ht="71.25" customHeight="1" s="50">
      <c r="A16" s="77">
        <f>IF('梅 横長'!C24="","",'梅 横長'!C24)</f>
        <v/>
      </c>
      <c r="B16" s="77">
        <f>IF('梅 横長'!C25="","",'梅 横長'!C25)</f>
        <v/>
      </c>
      <c r="C16" s="77">
        <f>IF('梅 横長'!C26="","",'梅 横長'!C26)</f>
        <v/>
      </c>
    </row>
    <row r="17" ht="30" customHeight="1" s="50">
      <c r="A17" s="76">
        <f>IF('梅 横長'!D27="","",'梅 横長'!D27)</f>
        <v/>
      </c>
      <c r="B17" s="76">
        <f>IF('梅 横長'!D28="","",'梅 横長'!D28)</f>
        <v/>
      </c>
      <c r="C17" s="76">
        <f>IF('梅 横長'!D29="","",'梅 横長'!D29)</f>
        <v/>
      </c>
    </row>
    <row r="18" ht="71.25" customHeight="1" s="50">
      <c r="A18" s="77">
        <f>IF('梅 横長'!C27="","",'梅 横長'!C27)</f>
        <v/>
      </c>
      <c r="B18" s="77">
        <f>IF('梅 横長'!C28="","",'梅 横長'!C28)</f>
        <v/>
      </c>
      <c r="C18" s="77">
        <f>IF('梅 横長'!C29="","",'梅 横長'!C29)</f>
        <v/>
      </c>
    </row>
    <row r="19" ht="30" customHeight="1" s="50">
      <c r="A19" s="76">
        <f>IF('梅 横長'!D30="","",'梅 横長'!D30)</f>
        <v/>
      </c>
      <c r="B19" s="76">
        <f>IF('梅 横長'!D31="","",'梅 横長'!D31)</f>
        <v/>
      </c>
      <c r="C19" s="76">
        <f>IF('梅 横長'!D32="","",'梅 横長'!D32)</f>
        <v/>
      </c>
    </row>
    <row r="20" ht="71.25" customHeight="1" s="50">
      <c r="A20" s="77">
        <f>IF('梅 横長'!C30="","",'梅 横長'!C30)</f>
        <v/>
      </c>
      <c r="B20" s="77">
        <f>IF('梅 横長'!C31="","",'梅 横長'!C31)</f>
        <v/>
      </c>
      <c r="C20" s="77">
        <f>IF('梅 横長'!C32="","",'梅 横長'!C32)</f>
        <v/>
      </c>
    </row>
    <row r="21" ht="30" customHeight="1" s="50">
      <c r="A21" s="76">
        <f>IF('梅 横長'!D33="","",'梅 横長'!D33)</f>
        <v/>
      </c>
      <c r="B21" s="76">
        <f>IF('梅 横長'!D34="","",'梅 横長'!D34)</f>
        <v/>
      </c>
      <c r="C21" s="76">
        <f>IF('梅 横長'!D35="","",'梅 横長'!D35)</f>
        <v/>
      </c>
    </row>
    <row r="22" ht="71.25" customHeight="1" s="50">
      <c r="A22" s="77">
        <f>IF('梅 横長'!C33="","",'梅 横長'!C33)</f>
        <v/>
      </c>
      <c r="B22" s="77">
        <f>IF('梅 横長'!C34="","",'梅 横長'!C34)</f>
        <v/>
      </c>
      <c r="C22" s="77">
        <f>IF('梅 横長'!C35="","",'梅 横長'!C35)</f>
        <v/>
      </c>
    </row>
    <row r="23" ht="30" customHeight="1" s="50">
      <c r="A23" s="76">
        <f>IF('梅 横長'!D36="","",'梅 横長'!D36)</f>
        <v/>
      </c>
      <c r="B23" s="76">
        <f>IF('梅 横長'!D37="","",'梅 横長'!D37)</f>
        <v/>
      </c>
      <c r="C23" s="76" t="n"/>
    </row>
    <row r="24" ht="71.25" customHeight="1" s="50">
      <c r="A24" s="77">
        <f>IF('梅 横長'!C36="","",'梅 横長'!C36)</f>
        <v/>
      </c>
      <c r="B24" s="77">
        <f>IF('梅 横長'!C37="","",'梅 横長'!C37)</f>
        <v/>
      </c>
      <c r="C24" s="77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30" customHeight="1" s="50">
      <c r="A1" s="76">
        <f>IF('梅 横長'!D3="","",'梅 横長'!D3)</f>
        <v/>
      </c>
      <c r="B1" s="76">
        <f>IF('梅 横長'!D4="","",'梅 横長'!D4)</f>
        <v/>
      </c>
      <c r="C1" s="76">
        <f>IF('梅 横長'!D5="","",'梅 横長'!D5)</f>
        <v/>
      </c>
    </row>
    <row r="2" ht="71.25" customHeight="1" s="50">
      <c r="A2" s="77">
        <f>IF('梅 横長'!C3="","",'梅 横長'!C3)</f>
        <v/>
      </c>
      <c r="B2" s="77">
        <f>IF('梅 横長'!C4="","",'梅 横長'!C4)</f>
        <v/>
      </c>
      <c r="C2" s="77">
        <f>IF('梅 横長'!C5="","",'梅 横長'!C5)</f>
        <v/>
      </c>
    </row>
    <row r="3" ht="30" customHeight="1" s="50">
      <c r="A3" s="76">
        <f>IF('梅 横長'!D6="","",'梅 横長'!D6)</f>
        <v/>
      </c>
      <c r="B3" s="76">
        <f>IF('梅 横長'!D7="","",'梅 横長'!D7)</f>
        <v/>
      </c>
      <c r="C3" s="76">
        <f>IF('梅 横長'!D8="","",'梅 横長'!D8)</f>
        <v/>
      </c>
    </row>
    <row r="4" ht="71.25" customHeight="1" s="50">
      <c r="A4" s="77">
        <f>IF('梅 横長'!C6="","",'梅 横長'!C6)</f>
        <v/>
      </c>
      <c r="B4" s="77">
        <f>IF('梅 横長'!C7="","",'梅 横長'!C7)</f>
        <v/>
      </c>
      <c r="C4" s="77">
        <f>IF('梅 横長'!C8="","",'梅 横長'!C8)</f>
        <v/>
      </c>
    </row>
    <row r="5" ht="30" customHeight="1" s="50">
      <c r="A5" s="76">
        <f>IF('梅 横長'!D9="","",'梅 横長'!D9)</f>
        <v/>
      </c>
      <c r="B5" s="76">
        <f>IF('梅 横長'!D10="","",'梅 横長'!D10)</f>
        <v/>
      </c>
      <c r="C5" s="76">
        <f>IF('梅 横長'!D11="","",'梅 横長'!D11)</f>
        <v/>
      </c>
    </row>
    <row r="6" ht="71.25" customHeight="1" s="50">
      <c r="A6" s="77">
        <f>IF('梅 横長'!C9="","",'梅 横長'!C9)</f>
        <v/>
      </c>
      <c r="B6" s="77">
        <f>IF('梅 横長'!C10="","",'梅 横長'!C10)</f>
        <v/>
      </c>
      <c r="C6" s="77">
        <f>IF('梅 横長'!C11="","",'梅 横長'!C11)</f>
        <v/>
      </c>
    </row>
    <row r="7" ht="30" customHeight="1" s="50">
      <c r="A7" s="76">
        <f>IF('梅 横長'!D12="","",'梅 横長'!D12)</f>
        <v/>
      </c>
      <c r="B7" s="76">
        <f>IF('梅 横長'!D13="","",'梅 横長'!D13)</f>
        <v/>
      </c>
      <c r="C7" s="76">
        <f>IF('梅 横長'!D14="","",'梅 横長'!D14)</f>
        <v/>
      </c>
    </row>
    <row r="8" ht="71.25" customHeight="1" s="50">
      <c r="A8" s="77">
        <f>IF('梅 横長'!C12="","",'梅 横長'!C12)</f>
        <v/>
      </c>
      <c r="B8" s="77">
        <f>IF('梅 横長'!C13="","",'梅 横長'!C13)</f>
        <v/>
      </c>
      <c r="C8" s="77">
        <f>IF('梅 横長'!C14="","",'梅 横長'!C14)</f>
        <v/>
      </c>
    </row>
    <row r="9" ht="30" customHeight="1" s="50">
      <c r="A9" s="76">
        <f>IF('梅 横長'!D15="","",'梅 横長'!D15)</f>
        <v/>
      </c>
      <c r="B9" s="76">
        <f>IF('梅 横長'!D16="","",'梅 横長'!D16)</f>
        <v/>
      </c>
      <c r="C9" s="76">
        <f>IF('梅 横長'!D17="","",'梅 横長'!D17)</f>
        <v/>
      </c>
    </row>
    <row r="10" ht="71.25" customHeight="1" s="50">
      <c r="A10" s="77">
        <f>IF('梅 横長'!C15="","",'梅 横長'!C15)</f>
        <v/>
      </c>
      <c r="B10" s="77">
        <f>IF('梅 横長'!C16="","",'梅 横長'!C16)</f>
        <v/>
      </c>
      <c r="C10" s="77">
        <f>IF('梅 横長'!C17="","",'梅 横長'!C17)</f>
        <v/>
      </c>
    </row>
    <row r="11" ht="30" customHeight="1" s="50">
      <c r="A11" s="76">
        <f>IF('梅 横長'!D18="","",'梅 横長'!D18)</f>
        <v/>
      </c>
      <c r="B11" s="76">
        <f>IF('梅 横長'!D19="","",'梅 横長'!D19)</f>
        <v/>
      </c>
      <c r="C11" s="76">
        <f>IF('梅 横長'!D20="","",'梅 横長'!D20)</f>
        <v/>
      </c>
    </row>
    <row r="12" ht="71.25" customHeight="1" s="50">
      <c r="A12" s="77">
        <f>IF('梅 横長'!C18="","",'梅 横長'!C18)</f>
        <v/>
      </c>
      <c r="B12" s="77">
        <f>IF('梅 横長'!C19="","",'梅 横長'!C19)</f>
        <v/>
      </c>
      <c r="C12" s="77">
        <f>IF('梅 横長'!C20="","",'梅 横長'!C20)</f>
        <v/>
      </c>
    </row>
    <row r="13" ht="30" customHeight="1" s="50">
      <c r="A13" s="76">
        <f>IF('梅 横長'!D21="","",'梅 横長'!D21)</f>
        <v/>
      </c>
      <c r="B13" s="76">
        <f>IF('梅 横長'!D22="","",'梅 横長'!D22)</f>
        <v/>
      </c>
      <c r="C13" s="76">
        <f>IF('梅 横長'!D23="","",'梅 横長'!D23)</f>
        <v/>
      </c>
    </row>
    <row r="14" ht="71.25" customHeight="1" s="50">
      <c r="A14" s="77">
        <f>IF('梅 横長'!C21="","",'梅 横長'!C21)</f>
        <v/>
      </c>
      <c r="B14" s="77">
        <f>IF('梅 横長'!C22="","",'梅 横長'!C22)</f>
        <v/>
      </c>
      <c r="C14" s="77">
        <f>IF('梅 横長'!C23="","",'梅 横長'!C23)</f>
        <v/>
      </c>
    </row>
    <row r="15" ht="30" customHeight="1" s="50">
      <c r="A15" s="76">
        <f>IF('梅 横長'!D24="","",'梅 横長'!D24)</f>
        <v/>
      </c>
      <c r="B15" s="76">
        <f>IF('梅 横長'!D25="","",'梅 横長'!D25)</f>
        <v/>
      </c>
      <c r="C15" s="76">
        <f>IF('梅 横長'!D26="","",'梅 横長'!D26)</f>
        <v/>
      </c>
    </row>
    <row r="16" ht="71.25" customHeight="1" s="50">
      <c r="A16" s="77">
        <f>IF('梅 横長'!C24="","",'梅 横長'!C24)</f>
        <v/>
      </c>
      <c r="B16" s="77">
        <f>IF('梅 横長'!C25="","",'梅 横長'!C25)</f>
        <v/>
      </c>
      <c r="C16" s="77">
        <f>IF('梅 横長'!C26="","",'梅 横長'!C26)</f>
        <v/>
      </c>
    </row>
    <row r="17" ht="30" customHeight="1" s="50">
      <c r="A17" s="76">
        <f>IF('梅 横長'!D27="","",'梅 横長'!D27)</f>
        <v/>
      </c>
      <c r="B17" s="76">
        <f>IF('梅 横長'!D28="","",'梅 横長'!D28)</f>
        <v/>
      </c>
      <c r="C17" s="76">
        <f>IF('梅 横長'!D29="","",'梅 横長'!D29)</f>
        <v/>
      </c>
    </row>
    <row r="18" ht="71.25" customHeight="1" s="50">
      <c r="A18" s="77">
        <f>IF('梅 横長'!C27="","",'梅 横長'!C27)</f>
        <v/>
      </c>
      <c r="B18" s="77">
        <f>IF('梅 横長'!C28="","",'梅 横長'!C28)</f>
        <v/>
      </c>
      <c r="C18" s="77">
        <f>IF('梅 横長'!C29="","",'梅 横長'!C29)</f>
        <v/>
      </c>
    </row>
    <row r="19" ht="30" customHeight="1" s="50">
      <c r="A19" s="76">
        <f>IF('梅 横長'!D30="","",'梅 横長'!D30)</f>
        <v/>
      </c>
      <c r="B19" s="76">
        <f>IF('梅 横長'!D31="","",'梅 横長'!D31)</f>
        <v/>
      </c>
      <c r="C19" s="76">
        <f>IF('梅 横長'!D32="","",'梅 横長'!D32)</f>
        <v/>
      </c>
    </row>
    <row r="20" ht="71.25" customHeight="1" s="50">
      <c r="A20" s="77">
        <f>IF('梅 横長'!C30="","",'梅 横長'!C30)</f>
        <v/>
      </c>
      <c r="B20" s="77">
        <f>IF('梅 横長'!C31="","",'梅 横長'!C31)</f>
        <v/>
      </c>
      <c r="C20" s="77">
        <f>IF('梅 横長'!C32="","",'梅 横長'!C32)</f>
        <v/>
      </c>
    </row>
    <row r="21" ht="30" customHeight="1" s="50">
      <c r="A21" s="76">
        <f>IF('梅 横長'!D33="","",'梅 横長'!D33)</f>
        <v/>
      </c>
      <c r="B21" s="76">
        <f>IF('梅 横長'!D34="","",'梅 横長'!D34)</f>
        <v/>
      </c>
      <c r="C21" s="76">
        <f>IF('梅 横長'!D35="","",'梅 横長'!D35)</f>
        <v/>
      </c>
    </row>
    <row r="22" ht="71.25" customHeight="1" s="50">
      <c r="A22" s="77">
        <f>IF('梅 横長'!C33="","",'梅 横長'!C33)</f>
        <v/>
      </c>
      <c r="B22" s="77">
        <f>IF('梅 横長'!C34="","",'梅 横長'!C34)</f>
        <v/>
      </c>
      <c r="C22" s="77">
        <f>IF('梅 横長'!C35="","",'梅 横長'!C35)</f>
        <v/>
      </c>
    </row>
    <row r="23" ht="30" customHeight="1" s="50">
      <c r="A23" s="76">
        <f>IF('梅 横長'!D36="","",'梅 横長'!D36)</f>
        <v/>
      </c>
      <c r="B23" s="76">
        <f>IF('梅 横長'!D37="","",'梅 横長'!D37)</f>
        <v/>
      </c>
      <c r="C23" s="76" t="n"/>
    </row>
    <row r="24" ht="71.25" customHeight="1" s="50">
      <c r="A24" s="77">
        <f>IF('梅 横長'!C36="","",'梅 横長'!C36)</f>
        <v/>
      </c>
      <c r="B24" s="77">
        <f>IF('梅 横長'!C37="","",'梅 横長'!C37)</f>
        <v/>
      </c>
      <c r="C24" s="77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3.5" zeroHeight="0" outlineLevelRow="0"/>
  <cols>
    <col width="46.75" customWidth="1" style="47" min="1" max="3"/>
  </cols>
  <sheetData>
    <row r="1" ht="101.25" customHeight="1" s="50">
      <c r="A1" s="78">
        <f>IF('梅 横長'!D3="","", '梅 横長'!D3)</f>
        <v/>
      </c>
      <c r="B1" s="78">
        <f>IF('梅 横長'!D4="","", '梅 横長'!D4)</f>
        <v/>
      </c>
      <c r="C1" s="78">
        <f>IF('梅 横長'!D5="","", '梅 横長'!D5)</f>
        <v/>
      </c>
    </row>
    <row r="2" ht="101.25" customHeight="1" s="50">
      <c r="A2" s="78">
        <f>IF('梅 横長'!D6="","", '梅 横長'!D6)</f>
        <v/>
      </c>
      <c r="B2" s="78">
        <f>IF('梅 横長'!D7="","", '梅 横長'!D7)</f>
        <v/>
      </c>
      <c r="C2" s="78">
        <f>IF('梅 横長'!D8="","", '梅 横長'!D8)</f>
        <v/>
      </c>
    </row>
    <row r="3" ht="101.25" customHeight="1" s="50">
      <c r="A3" s="78">
        <f>IF('梅 横長'!D9="","", '梅 横長'!D9)</f>
        <v/>
      </c>
      <c r="B3" s="78">
        <f>IF('梅 横長'!D10="","", '梅 横長'!D10)</f>
        <v/>
      </c>
      <c r="C3" s="78">
        <f>IF('梅 横長'!D11="","", '梅 横長'!D11)</f>
        <v/>
      </c>
    </row>
    <row r="4" ht="101.25" customHeight="1" s="50">
      <c r="A4" s="78">
        <f>IF('梅 横長'!D12="","", '梅 横長'!D12)</f>
        <v/>
      </c>
      <c r="B4" s="78">
        <f>IF('梅 横長'!D13="","", '梅 横長'!D13)</f>
        <v/>
      </c>
      <c r="C4" s="78">
        <f>IF('梅 横長'!D14="","", '梅 横長'!D14)</f>
        <v/>
      </c>
    </row>
    <row r="5" ht="101.25" customHeight="1" s="50">
      <c r="A5" s="78">
        <f>IF('梅 横長'!D15="","", '梅 横長'!D15)</f>
        <v/>
      </c>
      <c r="B5" s="78">
        <f>IF('梅 横長'!D16="","", '梅 横長'!D16)</f>
        <v/>
      </c>
      <c r="C5" s="78">
        <f>IF('梅 横長'!D17="","", '梅 横長'!D17)</f>
        <v/>
      </c>
    </row>
    <row r="6" ht="101.25" customHeight="1" s="50">
      <c r="A6" s="78">
        <f>IF('梅 横長'!D18="","", '梅 横長'!D18)</f>
        <v/>
      </c>
      <c r="B6" s="78">
        <f>IF('梅 横長'!D19="","", '梅 横長'!D19)</f>
        <v/>
      </c>
      <c r="C6" s="78">
        <f>IF('梅 横長'!D20="","", '梅 横長'!D20)</f>
        <v/>
      </c>
    </row>
    <row r="7" ht="101.25" customHeight="1" s="50">
      <c r="A7" s="78">
        <f>IF('梅 横長'!D21="","", '梅 横長'!D21)</f>
        <v/>
      </c>
      <c r="B7" s="78">
        <f>IF('梅 横長'!D22="","", '梅 横長'!D22)</f>
        <v/>
      </c>
      <c r="C7" s="78">
        <f>IF('梅 横長'!D23="","", '梅 横長'!D23)</f>
        <v/>
      </c>
    </row>
    <row r="8" ht="101.25" customHeight="1" s="50">
      <c r="A8" s="78">
        <f>IF('梅 横長'!D24="","", '梅 横長'!D24)</f>
        <v/>
      </c>
      <c r="B8" s="78">
        <f>IF('梅 横長'!D25="","", '梅 横長'!D25)</f>
        <v/>
      </c>
      <c r="C8" s="78">
        <f>IF('梅 横長'!D26="","", '梅 横長'!D26)</f>
        <v/>
      </c>
    </row>
    <row r="9" ht="101.25" customHeight="1" s="50">
      <c r="A9" s="78">
        <f>IF('梅 横長'!D27="","", '梅 横長'!D27)</f>
        <v/>
      </c>
      <c r="B9" s="78">
        <f>IF('梅 横長'!D28="","", '梅 横長'!D28)</f>
        <v/>
      </c>
      <c r="C9" s="78">
        <f>IF('梅 横長'!D29="","", '梅 横長'!D29)</f>
        <v/>
      </c>
    </row>
    <row r="10" ht="101.25" customHeight="1" s="50">
      <c r="A10" s="78">
        <f>IF('梅 横長'!D30="","", '梅 横長'!D30)</f>
        <v/>
      </c>
      <c r="B10" s="78">
        <f>IF('梅 横長'!D31="","", '梅 横長'!D31)</f>
        <v/>
      </c>
      <c r="C10" s="78">
        <f>IF('梅 横長'!D32="","", '梅 横長'!D32)</f>
        <v/>
      </c>
    </row>
    <row r="11" ht="101.25" customHeight="1" s="50">
      <c r="A11" s="78">
        <f>IF('梅 横長'!D33="","", '梅 横長'!D33)</f>
        <v/>
      </c>
      <c r="B11" s="78">
        <f>IF('梅 横長'!D34="","", '梅 横長'!D34)</f>
        <v/>
      </c>
      <c r="C11" s="78">
        <f>IF('梅 横長'!D35="","", '梅 横長'!D35)</f>
        <v/>
      </c>
    </row>
    <row r="12" ht="101.25" customHeight="1" s="50">
      <c r="A12" s="78">
        <f>IF('梅 横長'!D36="","", '梅 横長'!D36)</f>
        <v/>
      </c>
      <c r="B12" s="78">
        <f>IF('梅 横長'!D37="","", '梅 横長'!D37)</f>
        <v/>
      </c>
      <c r="C12" s="78" t="n"/>
    </row>
  </sheetData>
  <printOptions horizontalCentered="0" verticalCentered="0" headings="0" gridLines="0" gridLinesSet="1"/>
  <pageMargins left="0.25" right="0.25" top="0.270833333333333" bottom="0.40625" header="0.511811023622047" footer="0.511811023622047"/>
  <pageSetup orientation="portrait" paperSize="8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0"/>
  <sheetViews>
    <sheetView showGridLines="0" tabSelected="0" workbookViewId="0">
      <selection activeCell="A1" sqref="A1"/>
    </sheetView>
  </sheetViews>
  <sheetFormatPr baseColWidth="8" defaultRowHeight="15"/>
  <cols>
    <col width="120" customWidth="1" style="50" min="1" max="1"/>
  </cols>
  <sheetData>
    <row r="1" ht="90" customHeight="1" s="50">
      <c r="A1" s="79">
        <f>IF('梅 横長'!D3="","",'梅 横長'!D3)</f>
        <v/>
      </c>
    </row>
    <row r="2" ht="300" customHeight="1" s="50">
      <c r="A2" s="80">
        <f>IF('梅 横長'!C3="","",'梅 横長'!C3)</f>
        <v/>
      </c>
    </row>
    <row r="3" ht="90" customHeight="1" s="50">
      <c r="A3" s="79">
        <f>IF('梅 横長'!D4="","",'梅 横長'!D4)</f>
        <v/>
      </c>
    </row>
    <row r="4" ht="300" customHeight="1" s="50">
      <c r="A4" s="80">
        <f>IF('梅 横長'!C4="","",'梅 横長'!C4)</f>
        <v/>
      </c>
    </row>
    <row r="5" ht="90" customHeight="1" s="50">
      <c r="A5" s="79">
        <f>IF('梅 横長'!D5="","",'梅 横長'!D5)</f>
        <v/>
      </c>
    </row>
    <row r="6" ht="300" customHeight="1" s="50">
      <c r="A6" s="80">
        <f>IF('梅 横長'!C5="","",'梅 横長'!C5)</f>
        <v/>
      </c>
    </row>
    <row r="7" ht="90" customHeight="1" s="50">
      <c r="A7" s="79">
        <f>IF('梅 横長'!D6="","",'梅 横長'!D6)</f>
        <v/>
      </c>
    </row>
    <row r="8" ht="300" customHeight="1" s="50">
      <c r="A8" s="80">
        <f>IF('梅 横長'!C6="","",'梅 横長'!C6)</f>
        <v/>
      </c>
    </row>
    <row r="9" ht="90" customHeight="1" s="50">
      <c r="A9" s="79">
        <f>IF('梅 横長'!D7="","",'梅 横長'!D7)</f>
        <v/>
      </c>
    </row>
    <row r="10" ht="300" customHeight="1" s="50">
      <c r="A10" s="80">
        <f>IF('梅 横長'!C7="","",'梅 横長'!C7)</f>
        <v/>
      </c>
    </row>
    <row r="11" ht="90" customHeight="1" s="50">
      <c r="A11" s="79">
        <f>IF('梅 横長'!D8="","",'梅 横長'!D8)</f>
        <v/>
      </c>
    </row>
    <row r="12" ht="300" customHeight="1" s="50">
      <c r="A12" s="80">
        <f>IF('梅 横長'!C8="","",'梅 横長'!C8)</f>
        <v/>
      </c>
    </row>
    <row r="13" ht="90" customHeight="1" s="50">
      <c r="A13" s="79">
        <f>IF('梅 横長'!D9="","",'梅 横長'!D9)</f>
        <v/>
      </c>
    </row>
    <row r="14" ht="300" customHeight="1" s="50">
      <c r="A14" s="80">
        <f>IF('梅 横長'!C9="","",'梅 横長'!C9)</f>
        <v/>
      </c>
    </row>
    <row r="15" ht="90" customHeight="1" s="50">
      <c r="A15" s="79">
        <f>IF('梅 横長'!D10="","",'梅 横長'!D10)</f>
        <v/>
      </c>
    </row>
    <row r="16" ht="300" customHeight="1" s="50">
      <c r="A16" s="80">
        <f>IF('梅 横長'!C10="","",'梅 横長'!C10)</f>
        <v/>
      </c>
    </row>
    <row r="17" ht="90" customHeight="1" s="50">
      <c r="A17" s="79">
        <f>IF('梅 横長'!D11="","",'梅 横長'!D11)</f>
        <v/>
      </c>
    </row>
    <row r="18" ht="300" customHeight="1" s="50">
      <c r="A18" s="80">
        <f>IF('梅 横長'!C11="","",'梅 横長'!C11)</f>
        <v/>
      </c>
    </row>
    <row r="19" ht="90" customHeight="1" s="50">
      <c r="A19" s="79">
        <f>IF('梅 横長'!D12="","",'梅 横長'!D12)</f>
        <v/>
      </c>
    </row>
    <row r="20" ht="300" customHeight="1" s="50">
      <c r="A20" s="80">
        <f>IF('梅 横長'!C12="","",'梅 横長'!C12)</f>
        <v/>
      </c>
    </row>
    <row r="21" ht="90" customHeight="1" s="50">
      <c r="A21" s="79">
        <f>IF('梅 横長'!D13="","",'梅 横長'!D13)</f>
        <v/>
      </c>
    </row>
    <row r="22" ht="300" customHeight="1" s="50">
      <c r="A22" s="80">
        <f>IF('梅 横長'!C13="","",'梅 横長'!C13)</f>
        <v/>
      </c>
    </row>
    <row r="23" ht="90" customHeight="1" s="50">
      <c r="A23" s="79">
        <f>IF('梅 横長'!D14="","",'梅 横長'!D14)</f>
        <v/>
      </c>
    </row>
    <row r="24" ht="300" customHeight="1" s="50">
      <c r="A24" s="80">
        <f>IF('梅 横長'!C14="","",'梅 横長'!C14)</f>
        <v/>
      </c>
    </row>
    <row r="25" ht="90" customHeight="1" s="50">
      <c r="A25" s="79">
        <f>IF('梅 横長'!D15="","",'梅 横長'!D15)</f>
        <v/>
      </c>
    </row>
    <row r="26" ht="300" customHeight="1" s="50">
      <c r="A26" s="80">
        <f>IF('梅 横長'!C15="","",'梅 横長'!C15)</f>
        <v/>
      </c>
    </row>
    <row r="27" ht="90" customHeight="1" s="50">
      <c r="A27" s="79">
        <f>IF('梅 横長'!D16="","",'梅 横長'!D16)</f>
        <v/>
      </c>
    </row>
    <row r="28" ht="300" customHeight="1" s="50">
      <c r="A28" s="80">
        <f>IF('梅 横長'!C16="","",'梅 横長'!C16)</f>
        <v/>
      </c>
    </row>
    <row r="29" ht="90" customHeight="1" s="50">
      <c r="A29" s="79">
        <f>IF('梅 横長'!D17="","",'梅 横長'!D17)</f>
        <v/>
      </c>
    </row>
    <row r="30" ht="300" customHeight="1" s="50">
      <c r="A30" s="80">
        <f>IF('梅 横長'!C17="","",'梅 横長'!C17)</f>
        <v/>
      </c>
    </row>
    <row r="31" ht="90" customHeight="1" s="50">
      <c r="A31" s="79">
        <f>IF('梅 横長'!D18="","",'梅 横長'!D18)</f>
        <v/>
      </c>
    </row>
    <row r="32" ht="300" customHeight="1" s="50">
      <c r="A32" s="80">
        <f>IF('梅 横長'!C18="","",'梅 横長'!C18)</f>
        <v/>
      </c>
    </row>
    <row r="33" ht="90" customHeight="1" s="50">
      <c r="A33" s="79">
        <f>IF('梅 横長'!D19="","",'梅 横長'!D19)</f>
        <v/>
      </c>
    </row>
    <row r="34" ht="300" customHeight="1" s="50">
      <c r="A34" s="80">
        <f>IF('梅 横長'!C19="","",'梅 横長'!C19)</f>
        <v/>
      </c>
    </row>
    <row r="35" ht="90" customHeight="1" s="50">
      <c r="A35" s="79">
        <f>IF('梅 横長'!D20="","",'梅 横長'!D20)</f>
        <v/>
      </c>
    </row>
    <row r="36" ht="300" customHeight="1" s="50">
      <c r="A36" s="80">
        <f>IF('梅 横長'!C20="","",'梅 横長'!C20)</f>
        <v/>
      </c>
    </row>
    <row r="37" ht="90" customHeight="1" s="50">
      <c r="A37" s="79">
        <f>IF('梅 横長'!D21="","",'梅 横長'!D21)</f>
        <v/>
      </c>
    </row>
    <row r="38" ht="300" customHeight="1" s="50">
      <c r="A38" s="80">
        <f>IF('梅 横長'!C21="","",'梅 横長'!C21)</f>
        <v/>
      </c>
    </row>
    <row r="39" ht="90" customHeight="1" s="50">
      <c r="A39" s="79">
        <f>IF('梅 横長'!D22="","",'梅 横長'!D22)</f>
        <v/>
      </c>
    </row>
    <row r="40" ht="300" customHeight="1" s="50">
      <c r="A40" s="80">
        <f>IF('梅 横長'!C22="","",'梅 横長'!C22)</f>
        <v/>
      </c>
    </row>
    <row r="41" ht="90" customHeight="1" s="50">
      <c r="A41" s="79">
        <f>IF('梅 横長'!D23="","",'梅 横長'!D23)</f>
        <v/>
      </c>
    </row>
    <row r="42" ht="300" customHeight="1" s="50">
      <c r="A42" s="80">
        <f>IF('梅 横長'!C23="","",'梅 横長'!C23)</f>
        <v/>
      </c>
    </row>
    <row r="43" ht="90" customHeight="1" s="50">
      <c r="A43" s="79">
        <f>IF('梅 横長'!D24="","",'梅 横長'!D24)</f>
        <v/>
      </c>
    </row>
    <row r="44" ht="300" customHeight="1" s="50">
      <c r="A44" s="80">
        <f>IF('梅 横長'!C24="","",'梅 横長'!C24)</f>
        <v/>
      </c>
    </row>
    <row r="45" ht="90" customHeight="1" s="50">
      <c r="A45" s="79">
        <f>IF('梅 横長'!D25="","",'梅 横長'!D25)</f>
        <v/>
      </c>
    </row>
    <row r="46" ht="300" customHeight="1" s="50">
      <c r="A46" s="80">
        <f>IF('梅 横長'!C25="","",'梅 横長'!C25)</f>
        <v/>
      </c>
    </row>
    <row r="47" ht="90" customHeight="1" s="50">
      <c r="A47" s="79">
        <f>IF('梅 横長'!D26="","",'梅 横長'!D26)</f>
        <v/>
      </c>
    </row>
    <row r="48" ht="300" customHeight="1" s="50">
      <c r="A48" s="80">
        <f>IF('梅 横長'!C26="","",'梅 横長'!C26)</f>
        <v/>
      </c>
    </row>
    <row r="49" ht="90" customHeight="1" s="50">
      <c r="A49" s="79">
        <f>IF('梅 横長'!D27="","",'梅 横長'!D27)</f>
        <v/>
      </c>
    </row>
    <row r="50" ht="300" customHeight="1" s="50">
      <c r="A50" s="80">
        <f>IF('梅 横長'!C27="","",'梅 横長'!C27)</f>
        <v/>
      </c>
    </row>
    <row r="51" ht="90" customHeight="1" s="50">
      <c r="A51" s="79">
        <f>IF('梅 横長'!D28="","",'梅 横長'!D28)</f>
        <v/>
      </c>
    </row>
    <row r="52" ht="300" customHeight="1" s="50">
      <c r="A52" s="80">
        <f>IF('梅 横長'!C28="","",'梅 横長'!C28)</f>
        <v/>
      </c>
    </row>
    <row r="53" ht="90" customHeight="1" s="50">
      <c r="A53" s="79">
        <f>IF('梅 横長'!D29="","",'梅 横長'!D29)</f>
        <v/>
      </c>
    </row>
    <row r="54" ht="300" customHeight="1" s="50">
      <c r="A54" s="80">
        <f>IF('梅 横長'!C29="","",'梅 横長'!C29)</f>
        <v/>
      </c>
    </row>
    <row r="55" ht="90" customHeight="1" s="50">
      <c r="A55" s="79">
        <f>IF('梅 横長'!D30="","",'梅 横長'!D30)</f>
        <v/>
      </c>
    </row>
    <row r="56" ht="300" customHeight="1" s="50">
      <c r="A56" s="80">
        <f>IF('梅 横長'!C30="","",'梅 横長'!C30)</f>
        <v/>
      </c>
    </row>
    <row r="57" ht="90" customHeight="1" s="50">
      <c r="A57" s="79">
        <f>IF('梅 横長'!D31="","",'梅 横長'!D31)</f>
        <v/>
      </c>
    </row>
    <row r="58" ht="300" customHeight="1" s="50">
      <c r="A58" s="80">
        <f>IF('梅 横長'!C31="","",'梅 横長'!C31)</f>
        <v/>
      </c>
    </row>
    <row r="59" ht="90" customHeight="1" s="50">
      <c r="A59" s="79">
        <f>IF('梅 横長'!D32="","",'梅 横長'!D32)</f>
        <v/>
      </c>
    </row>
    <row r="60" ht="300" customHeight="1" s="50">
      <c r="A60" s="80">
        <f>IF('梅 横長'!C32="","",'梅 横長'!C32)</f>
        <v/>
      </c>
    </row>
    <row r="61" ht="90" customHeight="1" s="50">
      <c r="A61" s="79">
        <f>IF('梅 横長'!D33="","",'梅 横長'!D33)</f>
        <v/>
      </c>
    </row>
    <row r="62" ht="300" customHeight="1" s="50">
      <c r="A62" s="80">
        <f>IF('梅 横長'!C33="","",'梅 横長'!C33)</f>
        <v/>
      </c>
    </row>
    <row r="63" ht="90" customHeight="1" s="50">
      <c r="A63" s="79">
        <f>IF('梅 横長'!D34="","",'梅 横長'!D34)</f>
        <v/>
      </c>
    </row>
    <row r="64" ht="300" customHeight="1" s="50">
      <c r="A64" s="80">
        <f>IF('梅 横長'!C34="","",'梅 横長'!C34)</f>
        <v/>
      </c>
    </row>
    <row r="65" ht="90" customHeight="1" s="50">
      <c r="A65" s="79">
        <f>IF('梅 横長'!D35="","",'梅 横長'!D35)</f>
        <v/>
      </c>
    </row>
    <row r="66" ht="300" customHeight="1" s="50">
      <c r="A66" s="80">
        <f>IF('梅 横長'!C35="","",'梅 横長'!C35)</f>
        <v/>
      </c>
    </row>
    <row r="67" ht="90" customHeight="1" s="50">
      <c r="A67" s="79">
        <f>IF('梅 横長'!D36="","",'梅 横長'!D36)</f>
        <v/>
      </c>
    </row>
    <row r="68" ht="300" customHeight="1" s="50">
      <c r="A68" s="80">
        <f>IF('梅 横長'!C36="","",'梅 横長'!C36)</f>
        <v/>
      </c>
    </row>
    <row r="69" ht="90" customHeight="1" s="50">
      <c r="A69" s="79">
        <f>IF('梅 横長'!D37="","",'梅 横長'!D37)</f>
        <v/>
      </c>
    </row>
    <row r="70" ht="300" customHeight="1" s="50">
      <c r="A70" s="80">
        <f>IF('梅 横長'!C37="","",'梅 横長'!C37)</f>
        <v/>
      </c>
    </row>
  </sheetData>
  <conditionalFormatting sqref="A1">
    <cfRule type="expression" priority="1" dxfId="0">
      <formula>OR($A$1&lt;&gt;"",$A$2&lt;&gt;"")</formula>
    </cfRule>
  </conditionalFormatting>
  <conditionalFormatting sqref="A2">
    <cfRule type="expression" priority="2" dxfId="1">
      <formula>OR($A$1&lt;&gt;"",$A$2&lt;&gt;"")</formula>
    </cfRule>
  </conditionalFormatting>
  <conditionalFormatting sqref="A3">
    <cfRule type="expression" priority="3" dxfId="0">
      <formula>OR($A$3&lt;&gt;"",$A$4&lt;&gt;"")</formula>
    </cfRule>
  </conditionalFormatting>
  <conditionalFormatting sqref="A4">
    <cfRule type="expression" priority="4" dxfId="1">
      <formula>OR($A$3&lt;&gt;"",$A$4&lt;&gt;"")</formula>
    </cfRule>
  </conditionalFormatting>
  <conditionalFormatting sqref="A5">
    <cfRule type="expression" priority="5" dxfId="0">
      <formula>OR($A$5&lt;&gt;"",$A$6&lt;&gt;"")</formula>
    </cfRule>
  </conditionalFormatting>
  <conditionalFormatting sqref="A6">
    <cfRule type="expression" priority="6" dxfId="1">
      <formula>OR($A$5&lt;&gt;"",$A$6&lt;&gt;"")</formula>
    </cfRule>
  </conditionalFormatting>
  <conditionalFormatting sqref="A7">
    <cfRule type="expression" priority="7" dxfId="0">
      <formula>OR($A$7&lt;&gt;"",$A$8&lt;&gt;"")</formula>
    </cfRule>
  </conditionalFormatting>
  <conditionalFormatting sqref="A8">
    <cfRule type="expression" priority="8" dxfId="1">
      <formula>OR($A$7&lt;&gt;"",$A$8&lt;&gt;"")</formula>
    </cfRule>
  </conditionalFormatting>
  <conditionalFormatting sqref="A9">
    <cfRule type="expression" priority="9" dxfId="0">
      <formula>OR($A$9&lt;&gt;"",$A$10&lt;&gt;"")</formula>
    </cfRule>
  </conditionalFormatting>
  <conditionalFormatting sqref="A10">
    <cfRule type="expression" priority="10" dxfId="1">
      <formula>OR($A$9&lt;&gt;"",$A$10&lt;&gt;"")</formula>
    </cfRule>
  </conditionalFormatting>
  <conditionalFormatting sqref="A11">
    <cfRule type="expression" priority="11" dxfId="0">
      <formula>OR($A$11&lt;&gt;"",$A$12&lt;&gt;"")</formula>
    </cfRule>
  </conditionalFormatting>
  <conditionalFormatting sqref="A12">
    <cfRule type="expression" priority="12" dxfId="1">
      <formula>OR($A$11&lt;&gt;"",$A$12&lt;&gt;"")</formula>
    </cfRule>
  </conditionalFormatting>
  <conditionalFormatting sqref="A13">
    <cfRule type="expression" priority="13" dxfId="0">
      <formula>OR($A$13&lt;&gt;"",$A$14&lt;&gt;"")</formula>
    </cfRule>
  </conditionalFormatting>
  <conditionalFormatting sqref="A14">
    <cfRule type="expression" priority="14" dxfId="1">
      <formula>OR($A$13&lt;&gt;"",$A$14&lt;&gt;"")</formula>
    </cfRule>
  </conditionalFormatting>
  <conditionalFormatting sqref="A15">
    <cfRule type="expression" priority="15" dxfId="0">
      <formula>OR($A$15&lt;&gt;"",$A$16&lt;&gt;"")</formula>
    </cfRule>
  </conditionalFormatting>
  <conditionalFormatting sqref="A16">
    <cfRule type="expression" priority="16" dxfId="1">
      <formula>OR($A$15&lt;&gt;"",$A$16&lt;&gt;"")</formula>
    </cfRule>
  </conditionalFormatting>
  <conditionalFormatting sqref="A17">
    <cfRule type="expression" priority="17" dxfId="0">
      <formula>OR($A$17&lt;&gt;"",$A$18&lt;&gt;"")</formula>
    </cfRule>
  </conditionalFormatting>
  <conditionalFormatting sqref="A18">
    <cfRule type="expression" priority="18" dxfId="1">
      <formula>OR($A$17&lt;&gt;"",$A$18&lt;&gt;"")</formula>
    </cfRule>
  </conditionalFormatting>
  <conditionalFormatting sqref="A19">
    <cfRule type="expression" priority="19" dxfId="0">
      <formula>OR($A$19&lt;&gt;"",$A$20&lt;&gt;"")</formula>
    </cfRule>
  </conditionalFormatting>
  <conditionalFormatting sqref="A20">
    <cfRule type="expression" priority="20" dxfId="1">
      <formula>OR($A$19&lt;&gt;"",$A$20&lt;&gt;"")</formula>
    </cfRule>
  </conditionalFormatting>
  <conditionalFormatting sqref="A21">
    <cfRule type="expression" priority="21" dxfId="0">
      <formula>OR($A$21&lt;&gt;"",$A$22&lt;&gt;"")</formula>
    </cfRule>
  </conditionalFormatting>
  <conditionalFormatting sqref="A22">
    <cfRule type="expression" priority="22" dxfId="1">
      <formula>OR($A$21&lt;&gt;"",$A$22&lt;&gt;"")</formula>
    </cfRule>
  </conditionalFormatting>
  <conditionalFormatting sqref="A23">
    <cfRule type="expression" priority="23" dxfId="0">
      <formula>OR($A$23&lt;&gt;"",$A$24&lt;&gt;"")</formula>
    </cfRule>
  </conditionalFormatting>
  <conditionalFormatting sqref="A24">
    <cfRule type="expression" priority="24" dxfId="1">
      <formula>OR($A$23&lt;&gt;"",$A$24&lt;&gt;"")</formula>
    </cfRule>
  </conditionalFormatting>
  <conditionalFormatting sqref="A25">
    <cfRule type="expression" priority="25" dxfId="0">
      <formula>OR($A$25&lt;&gt;"",$A$26&lt;&gt;"")</formula>
    </cfRule>
  </conditionalFormatting>
  <conditionalFormatting sqref="A26">
    <cfRule type="expression" priority="26" dxfId="1">
      <formula>OR($A$25&lt;&gt;"",$A$26&lt;&gt;"")</formula>
    </cfRule>
  </conditionalFormatting>
  <conditionalFormatting sqref="A27">
    <cfRule type="expression" priority="27" dxfId="0">
      <formula>OR($A$27&lt;&gt;"",$A$28&lt;&gt;"")</formula>
    </cfRule>
  </conditionalFormatting>
  <conditionalFormatting sqref="A28">
    <cfRule type="expression" priority="28" dxfId="1">
      <formula>OR($A$27&lt;&gt;"",$A$28&lt;&gt;"")</formula>
    </cfRule>
  </conditionalFormatting>
  <conditionalFormatting sqref="A29">
    <cfRule type="expression" priority="29" dxfId="0">
      <formula>OR($A$29&lt;&gt;"",$A$30&lt;&gt;"")</formula>
    </cfRule>
  </conditionalFormatting>
  <conditionalFormatting sqref="A30">
    <cfRule type="expression" priority="30" dxfId="1">
      <formula>OR($A$29&lt;&gt;"",$A$30&lt;&gt;"")</formula>
    </cfRule>
  </conditionalFormatting>
  <conditionalFormatting sqref="A31">
    <cfRule type="expression" priority="31" dxfId="0">
      <formula>OR($A$31&lt;&gt;"",$A$32&lt;&gt;"")</formula>
    </cfRule>
  </conditionalFormatting>
  <conditionalFormatting sqref="A32">
    <cfRule type="expression" priority="32" dxfId="1">
      <formula>OR($A$31&lt;&gt;"",$A$32&lt;&gt;"")</formula>
    </cfRule>
  </conditionalFormatting>
  <conditionalFormatting sqref="A33">
    <cfRule type="expression" priority="33" dxfId="0">
      <formula>OR($A$33&lt;&gt;"",$A$34&lt;&gt;"")</formula>
    </cfRule>
  </conditionalFormatting>
  <conditionalFormatting sqref="A34">
    <cfRule type="expression" priority="34" dxfId="1">
      <formula>OR($A$33&lt;&gt;"",$A$34&lt;&gt;"")</formula>
    </cfRule>
  </conditionalFormatting>
  <conditionalFormatting sqref="A35">
    <cfRule type="expression" priority="35" dxfId="0">
      <formula>OR($A$35&lt;&gt;"",$A$36&lt;&gt;"")</formula>
    </cfRule>
  </conditionalFormatting>
  <conditionalFormatting sqref="A36">
    <cfRule type="expression" priority="36" dxfId="1">
      <formula>OR($A$35&lt;&gt;"",$A$36&lt;&gt;"")</formula>
    </cfRule>
  </conditionalFormatting>
  <conditionalFormatting sqref="A37">
    <cfRule type="expression" priority="37" dxfId="0">
      <formula>OR($A$37&lt;&gt;"",$A$38&lt;&gt;"")</formula>
    </cfRule>
  </conditionalFormatting>
  <conditionalFormatting sqref="A38">
    <cfRule type="expression" priority="38" dxfId="1">
      <formula>OR($A$37&lt;&gt;"",$A$38&lt;&gt;"")</formula>
    </cfRule>
  </conditionalFormatting>
  <conditionalFormatting sqref="A39">
    <cfRule type="expression" priority="39" dxfId="0">
      <formula>OR($A$39&lt;&gt;"",$A$40&lt;&gt;"")</formula>
    </cfRule>
  </conditionalFormatting>
  <conditionalFormatting sqref="A40">
    <cfRule type="expression" priority="40" dxfId="1">
      <formula>OR($A$39&lt;&gt;"",$A$40&lt;&gt;"")</formula>
    </cfRule>
  </conditionalFormatting>
  <conditionalFormatting sqref="A41">
    <cfRule type="expression" priority="41" dxfId="0">
      <formula>OR($A$41&lt;&gt;"",$A$42&lt;&gt;"")</formula>
    </cfRule>
  </conditionalFormatting>
  <conditionalFormatting sqref="A42">
    <cfRule type="expression" priority="42" dxfId="1">
      <formula>OR($A$41&lt;&gt;"",$A$42&lt;&gt;"")</formula>
    </cfRule>
  </conditionalFormatting>
  <conditionalFormatting sqref="A43">
    <cfRule type="expression" priority="43" dxfId="0">
      <formula>OR($A$43&lt;&gt;"",$A$44&lt;&gt;"")</formula>
    </cfRule>
  </conditionalFormatting>
  <conditionalFormatting sqref="A44">
    <cfRule type="expression" priority="44" dxfId="1">
      <formula>OR($A$43&lt;&gt;"",$A$44&lt;&gt;"")</formula>
    </cfRule>
  </conditionalFormatting>
  <conditionalFormatting sqref="A45">
    <cfRule type="expression" priority="45" dxfId="0">
      <formula>OR($A$45&lt;&gt;"",$A$46&lt;&gt;"")</formula>
    </cfRule>
  </conditionalFormatting>
  <conditionalFormatting sqref="A46">
    <cfRule type="expression" priority="46" dxfId="1">
      <formula>OR($A$45&lt;&gt;"",$A$46&lt;&gt;"")</formula>
    </cfRule>
  </conditionalFormatting>
  <conditionalFormatting sqref="A47">
    <cfRule type="expression" priority="47" dxfId="0">
      <formula>OR($A$47&lt;&gt;"",$A$48&lt;&gt;"")</formula>
    </cfRule>
  </conditionalFormatting>
  <conditionalFormatting sqref="A48">
    <cfRule type="expression" priority="48" dxfId="1">
      <formula>OR($A$47&lt;&gt;"",$A$48&lt;&gt;"")</formula>
    </cfRule>
  </conditionalFormatting>
  <conditionalFormatting sqref="A49">
    <cfRule type="expression" priority="49" dxfId="0">
      <formula>OR($A$49&lt;&gt;"",$A$50&lt;&gt;"")</formula>
    </cfRule>
  </conditionalFormatting>
  <conditionalFormatting sqref="A50">
    <cfRule type="expression" priority="50" dxfId="1">
      <formula>OR($A$49&lt;&gt;"",$A$50&lt;&gt;"")</formula>
    </cfRule>
  </conditionalFormatting>
  <conditionalFormatting sqref="A51">
    <cfRule type="expression" priority="51" dxfId="0">
      <formula>OR($A$51&lt;&gt;"",$A$52&lt;&gt;"")</formula>
    </cfRule>
  </conditionalFormatting>
  <conditionalFormatting sqref="A52">
    <cfRule type="expression" priority="52" dxfId="1">
      <formula>OR($A$51&lt;&gt;"",$A$52&lt;&gt;"")</formula>
    </cfRule>
  </conditionalFormatting>
  <conditionalFormatting sqref="A53">
    <cfRule type="expression" priority="53" dxfId="0">
      <formula>OR($A$53&lt;&gt;"",$A$54&lt;&gt;"")</formula>
    </cfRule>
  </conditionalFormatting>
  <conditionalFormatting sqref="A54">
    <cfRule type="expression" priority="54" dxfId="1">
      <formula>OR($A$53&lt;&gt;"",$A$54&lt;&gt;"")</formula>
    </cfRule>
  </conditionalFormatting>
  <conditionalFormatting sqref="A55">
    <cfRule type="expression" priority="55" dxfId="0">
      <formula>OR($A$55&lt;&gt;"",$A$56&lt;&gt;"")</formula>
    </cfRule>
  </conditionalFormatting>
  <conditionalFormatting sqref="A56">
    <cfRule type="expression" priority="56" dxfId="1">
      <formula>OR($A$55&lt;&gt;"",$A$56&lt;&gt;"")</formula>
    </cfRule>
  </conditionalFormatting>
  <conditionalFormatting sqref="A57">
    <cfRule type="expression" priority="57" dxfId="0">
      <formula>OR($A$57&lt;&gt;"",$A$58&lt;&gt;"")</formula>
    </cfRule>
  </conditionalFormatting>
  <conditionalFormatting sqref="A58">
    <cfRule type="expression" priority="58" dxfId="1">
      <formula>OR($A$57&lt;&gt;"",$A$58&lt;&gt;"")</formula>
    </cfRule>
  </conditionalFormatting>
  <conditionalFormatting sqref="A59">
    <cfRule type="expression" priority="59" dxfId="0">
      <formula>OR($A$59&lt;&gt;"",$A$60&lt;&gt;"")</formula>
    </cfRule>
  </conditionalFormatting>
  <conditionalFormatting sqref="A60">
    <cfRule type="expression" priority="60" dxfId="1">
      <formula>OR($A$59&lt;&gt;"",$A$60&lt;&gt;"")</formula>
    </cfRule>
  </conditionalFormatting>
  <conditionalFormatting sqref="A61">
    <cfRule type="expression" priority="61" dxfId="0">
      <formula>OR($A$61&lt;&gt;"",$A$62&lt;&gt;"")</formula>
    </cfRule>
  </conditionalFormatting>
  <conditionalFormatting sqref="A62">
    <cfRule type="expression" priority="62" dxfId="1">
      <formula>OR($A$61&lt;&gt;"",$A$62&lt;&gt;"")</formula>
    </cfRule>
  </conditionalFormatting>
  <conditionalFormatting sqref="A63">
    <cfRule type="expression" priority="63" dxfId="0">
      <formula>OR($A$63&lt;&gt;"",$A$64&lt;&gt;"")</formula>
    </cfRule>
  </conditionalFormatting>
  <conditionalFormatting sqref="A64">
    <cfRule type="expression" priority="64" dxfId="1">
      <formula>OR($A$63&lt;&gt;"",$A$64&lt;&gt;"")</formula>
    </cfRule>
  </conditionalFormatting>
  <conditionalFormatting sqref="A65">
    <cfRule type="expression" priority="65" dxfId="0">
      <formula>OR($A$65&lt;&gt;"",$A$66&lt;&gt;"")</formula>
    </cfRule>
  </conditionalFormatting>
  <conditionalFormatting sqref="A66">
    <cfRule type="expression" priority="66" dxfId="1">
      <formula>OR($A$65&lt;&gt;"",$A$66&lt;&gt;"")</formula>
    </cfRule>
  </conditionalFormatting>
  <conditionalFormatting sqref="A67">
    <cfRule type="expression" priority="67" dxfId="0">
      <formula>OR($A$67&lt;&gt;"",$A$68&lt;&gt;"")</formula>
    </cfRule>
  </conditionalFormatting>
  <conditionalFormatting sqref="A68">
    <cfRule type="expression" priority="68" dxfId="1">
      <formula>OR($A$67&lt;&gt;"",$A$68&lt;&gt;"")</formula>
    </cfRule>
  </conditionalFormatting>
  <conditionalFormatting sqref="A69">
    <cfRule type="expression" priority="69" dxfId="0">
      <formula>OR($A$69&lt;&gt;"",$A$70&lt;&gt;"")</formula>
    </cfRule>
  </conditionalFormatting>
  <conditionalFormatting sqref="A70">
    <cfRule type="expression" priority="70" dxfId="1">
      <formula>OR($A$69&lt;&gt;"",$A$70&lt;&gt;"")</formula>
    </cfRule>
  </conditionalFormatting>
  <printOptions horizontalCentered="1" verticalCentered="1"/>
  <pageMargins left="0.4" right="0.4" top="0.4" bottom="0.4" header="0.2" footer="0.2"/>
  <pageSetup orientation="landscape" paperSize="9"/>
  <rowBreaks count="34" manualBreakCount="34">
    <brk id="2" min="0" max="16383" man="1"/>
    <brk id="4" min="0" max="16383" man="1"/>
    <brk id="6" min="0" max="16383" man="1"/>
    <brk id="8" min="0" max="16383" man="1"/>
    <brk id="10" min="0" max="16383" man="1"/>
    <brk id="12" min="0" max="16383" man="1"/>
    <brk id="14" min="0" max="16383" man="1"/>
    <brk id="16" min="0" max="16383" man="1"/>
    <brk id="18" min="0" max="16383" man="1"/>
    <brk id="20" min="0" max="16383" man="1"/>
    <brk id="22" min="0" max="16383" man="1"/>
    <brk id="24" min="0" max="16383" man="1"/>
    <brk id="26" min="0" max="16383" man="1"/>
    <brk id="28" min="0" max="16383" man="1"/>
    <brk id="30" min="0" max="16383" man="1"/>
    <brk id="32" min="0" max="16383" man="1"/>
    <brk id="34" min="0" max="16383" man="1"/>
    <brk id="36" min="0" max="16383" man="1"/>
    <brk id="38" min="0" max="16383" man="1"/>
    <brk id="40" min="0" max="16383" man="1"/>
    <brk id="42" min="0" max="16383" man="1"/>
    <brk id="44" min="0" max="16383" man="1"/>
    <brk id="46" min="0" max="16383" man="1"/>
    <brk id="48" min="0" max="16383" man="1"/>
    <brk id="50" min="0" max="16383" man="1"/>
    <brk id="52" min="0" max="16383" man="1"/>
    <brk id="54" min="0" max="16383" man="1"/>
    <brk id="56" min="0" max="16383" man="1"/>
    <brk id="58" min="0" max="16383" man="1"/>
    <brk id="60" min="0" max="16383" man="1"/>
    <brk id="62" min="0" max="16383" man="1"/>
    <brk id="64" min="0" max="16383" man="1"/>
    <brk id="66" min="0" max="16383" man="1"/>
    <brk id="68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tabSelected="0" workbookViewId="0">
      <selection activeCell="A1" sqref="A1"/>
    </sheetView>
  </sheetViews>
  <sheetFormatPr baseColWidth="8" defaultRowHeight="15"/>
  <cols>
    <col width="38" customWidth="1" style="50" min="1" max="1"/>
    <col width="38" customWidth="1" style="50" min="2" max="2"/>
  </cols>
  <sheetData>
    <row r="1" ht="34" customHeight="1" s="50">
      <c r="A1" s="81">
        <f>IF('梅 横長'!D3="","",'梅 横長'!D3)</f>
        <v/>
      </c>
      <c r="B1" s="81">
        <f>IF('梅 横長'!D4="","",'梅 横長'!D4)</f>
        <v/>
      </c>
    </row>
    <row r="2" ht="110" customHeight="1" s="50">
      <c r="A2" s="82">
        <f>IF('梅 横長'!C3="","",'梅 横長'!C3)</f>
        <v/>
      </c>
      <c r="B2" s="82">
        <f>IF('梅 横長'!C4="","",'梅 横長'!C4)</f>
        <v/>
      </c>
    </row>
    <row r="3" ht="34" customHeight="1" s="50">
      <c r="A3" s="81">
        <f>IF('梅 横長'!D5="","",'梅 横長'!D5)</f>
        <v/>
      </c>
      <c r="B3" s="81">
        <f>IF('梅 横長'!D6="","",'梅 横長'!D6)</f>
        <v/>
      </c>
    </row>
    <row r="4" ht="110" customHeight="1" s="50">
      <c r="A4" s="82">
        <f>IF('梅 横長'!C5="","",'梅 横長'!C5)</f>
        <v/>
      </c>
      <c r="B4" s="82">
        <f>IF('梅 横長'!C6="","",'梅 横長'!C6)</f>
        <v/>
      </c>
    </row>
    <row r="5" ht="34" customHeight="1" s="50">
      <c r="A5" s="81">
        <f>IF('梅 横長'!D7="","",'梅 横長'!D7)</f>
        <v/>
      </c>
      <c r="B5" s="81">
        <f>IF('梅 横長'!D8="","",'梅 横長'!D8)</f>
        <v/>
      </c>
    </row>
    <row r="6" ht="110" customHeight="1" s="50">
      <c r="A6" s="82">
        <f>IF('梅 横長'!C7="","",'梅 横長'!C7)</f>
        <v/>
      </c>
      <c r="B6" s="82">
        <f>IF('梅 横長'!C8="","",'梅 横長'!C8)</f>
        <v/>
      </c>
    </row>
    <row r="7" ht="34" customHeight="1" s="50">
      <c r="A7" s="81">
        <f>IF('梅 横長'!D9="","",'梅 横長'!D9)</f>
        <v/>
      </c>
      <c r="B7" s="81">
        <f>IF('梅 横長'!D10="","",'梅 横長'!D10)</f>
        <v/>
      </c>
    </row>
    <row r="8" ht="110" customHeight="1" s="50">
      <c r="A8" s="82">
        <f>IF('梅 横長'!C9="","",'梅 横長'!C9)</f>
        <v/>
      </c>
      <c r="B8" s="82">
        <f>IF('梅 横長'!C10="","",'梅 横長'!C10)</f>
        <v/>
      </c>
    </row>
    <row r="9" ht="34" customHeight="1" s="50">
      <c r="A9" s="81">
        <f>IF('梅 横長'!D11="","",'梅 横長'!D11)</f>
        <v/>
      </c>
      <c r="B9" s="81">
        <f>IF('梅 横長'!D12="","",'梅 横長'!D12)</f>
        <v/>
      </c>
    </row>
    <row r="10" ht="110" customHeight="1" s="50">
      <c r="A10" s="82">
        <f>IF('梅 横長'!C11="","",'梅 横長'!C11)</f>
        <v/>
      </c>
      <c r="B10" s="82">
        <f>IF('梅 横長'!C12="","",'梅 横長'!C12)</f>
        <v/>
      </c>
    </row>
    <row r="11" ht="34" customHeight="1" s="50">
      <c r="A11" s="81">
        <f>IF('梅 横長'!D13="","",'梅 横長'!D13)</f>
        <v/>
      </c>
      <c r="B11" s="81">
        <f>IF('梅 横長'!D14="","",'梅 横長'!D14)</f>
        <v/>
      </c>
    </row>
    <row r="12" ht="110" customHeight="1" s="50">
      <c r="A12" s="82">
        <f>IF('梅 横長'!C13="","",'梅 横長'!C13)</f>
        <v/>
      </c>
      <c r="B12" s="82">
        <f>IF('梅 横長'!C14="","",'梅 横長'!C14)</f>
        <v/>
      </c>
    </row>
    <row r="13" ht="34" customHeight="1" s="50">
      <c r="A13" s="81">
        <f>IF('梅 横長'!D15="","",'梅 横長'!D15)</f>
        <v/>
      </c>
      <c r="B13" s="81">
        <f>IF('梅 横長'!D16="","",'梅 横長'!D16)</f>
        <v/>
      </c>
    </row>
    <row r="14" ht="110" customHeight="1" s="50">
      <c r="A14" s="82">
        <f>IF('梅 横長'!C15="","",'梅 横長'!C15)</f>
        <v/>
      </c>
      <c r="B14" s="82">
        <f>IF('梅 横長'!C16="","",'梅 横長'!C16)</f>
        <v/>
      </c>
    </row>
    <row r="15" ht="34" customHeight="1" s="50">
      <c r="A15" s="81">
        <f>IF('梅 横長'!D17="","",'梅 横長'!D17)</f>
        <v/>
      </c>
      <c r="B15" s="81">
        <f>IF('梅 横長'!D18="","",'梅 横長'!D18)</f>
        <v/>
      </c>
    </row>
    <row r="16" ht="110" customHeight="1" s="50">
      <c r="A16" s="82">
        <f>IF('梅 横長'!C17="","",'梅 横長'!C17)</f>
        <v/>
      </c>
      <c r="B16" s="82">
        <f>IF('梅 横長'!C18="","",'梅 横長'!C18)</f>
        <v/>
      </c>
    </row>
    <row r="17" ht="34" customHeight="1" s="50">
      <c r="A17" s="81">
        <f>IF('梅 横長'!D19="","",'梅 横長'!D19)</f>
        <v/>
      </c>
      <c r="B17" s="81">
        <f>IF('梅 横長'!D20="","",'梅 横長'!D20)</f>
        <v/>
      </c>
    </row>
    <row r="18" ht="110" customHeight="1" s="50">
      <c r="A18" s="82">
        <f>IF('梅 横長'!C19="","",'梅 横長'!C19)</f>
        <v/>
      </c>
      <c r="B18" s="82">
        <f>IF('梅 横長'!C20="","",'梅 横長'!C20)</f>
        <v/>
      </c>
    </row>
    <row r="19" ht="34" customHeight="1" s="50">
      <c r="A19" s="81">
        <f>IF('梅 横長'!D21="","",'梅 横長'!D21)</f>
        <v/>
      </c>
      <c r="B19" s="81">
        <f>IF('梅 横長'!D22="","",'梅 横長'!D22)</f>
        <v/>
      </c>
    </row>
    <row r="20" ht="110" customHeight="1" s="50">
      <c r="A20" s="82">
        <f>IF('梅 横長'!C21="","",'梅 横長'!C21)</f>
        <v/>
      </c>
      <c r="B20" s="82">
        <f>IF('梅 横長'!C22="","",'梅 横長'!C22)</f>
        <v/>
      </c>
    </row>
    <row r="21" ht="34" customHeight="1" s="50">
      <c r="A21" s="81">
        <f>IF('梅 横長'!D23="","",'梅 横長'!D23)</f>
        <v/>
      </c>
      <c r="B21" s="81">
        <f>IF('梅 横長'!D24="","",'梅 横長'!D24)</f>
        <v/>
      </c>
    </row>
    <row r="22" ht="110" customHeight="1" s="50">
      <c r="A22" s="82">
        <f>IF('梅 横長'!C23="","",'梅 横長'!C23)</f>
        <v/>
      </c>
      <c r="B22" s="82">
        <f>IF('梅 横長'!C24="","",'梅 横長'!C24)</f>
        <v/>
      </c>
    </row>
    <row r="23" ht="34" customHeight="1" s="50">
      <c r="A23" s="81">
        <f>IF('梅 横長'!D25="","",'梅 横長'!D25)</f>
        <v/>
      </c>
      <c r="B23" s="81">
        <f>IF('梅 横長'!D26="","",'梅 横長'!D26)</f>
        <v/>
      </c>
    </row>
    <row r="24" ht="110" customHeight="1" s="50">
      <c r="A24" s="82">
        <f>IF('梅 横長'!C25="","",'梅 横長'!C25)</f>
        <v/>
      </c>
      <c r="B24" s="82">
        <f>IF('梅 横長'!C26="","",'梅 横長'!C26)</f>
        <v/>
      </c>
    </row>
    <row r="25" ht="34" customHeight="1" s="50">
      <c r="A25" s="81">
        <f>IF('梅 横長'!D27="","",'梅 横長'!D27)</f>
        <v/>
      </c>
      <c r="B25" s="81">
        <f>IF('梅 横長'!D28="","",'梅 横長'!D28)</f>
        <v/>
      </c>
    </row>
    <row r="26" ht="110" customHeight="1" s="50">
      <c r="A26" s="82">
        <f>IF('梅 横長'!C27="","",'梅 横長'!C27)</f>
        <v/>
      </c>
      <c r="B26" s="82">
        <f>IF('梅 横長'!C28="","",'梅 横長'!C28)</f>
        <v/>
      </c>
    </row>
    <row r="27" ht="34" customHeight="1" s="50">
      <c r="A27" s="81">
        <f>IF('梅 横長'!D29="","",'梅 横長'!D29)</f>
        <v/>
      </c>
      <c r="B27" s="81">
        <f>IF('梅 横長'!D30="","",'梅 横長'!D30)</f>
        <v/>
      </c>
    </row>
    <row r="28" ht="110" customHeight="1" s="50">
      <c r="A28" s="82">
        <f>IF('梅 横長'!C29="","",'梅 横長'!C29)</f>
        <v/>
      </c>
      <c r="B28" s="82">
        <f>IF('梅 横長'!C30="","",'梅 横長'!C30)</f>
        <v/>
      </c>
    </row>
    <row r="29" ht="34" customHeight="1" s="50">
      <c r="A29" s="81">
        <f>IF('梅 横長'!D31="","",'梅 横長'!D31)</f>
        <v/>
      </c>
      <c r="B29" s="81">
        <f>IF('梅 横長'!D32="","",'梅 横長'!D32)</f>
        <v/>
      </c>
    </row>
    <row r="30" ht="110" customHeight="1" s="50">
      <c r="A30" s="82">
        <f>IF('梅 横長'!C31="","",'梅 横長'!C31)</f>
        <v/>
      </c>
      <c r="B30" s="82">
        <f>IF('梅 横長'!C32="","",'梅 横長'!C32)</f>
        <v/>
      </c>
    </row>
    <row r="31" ht="34" customHeight="1" s="50">
      <c r="A31" s="81">
        <f>IF('梅 横長'!D33="","",'梅 横長'!D33)</f>
        <v/>
      </c>
      <c r="B31" s="81">
        <f>IF('梅 横長'!D34="","",'梅 横長'!D34)</f>
        <v/>
      </c>
    </row>
    <row r="32" ht="110" customHeight="1" s="50">
      <c r="A32" s="82">
        <f>IF('梅 横長'!C33="","",'梅 横長'!C33)</f>
        <v/>
      </c>
      <c r="B32" s="82">
        <f>IF('梅 横長'!C34="","",'梅 横長'!C34)</f>
        <v/>
      </c>
    </row>
    <row r="33" ht="34" customHeight="1" s="50">
      <c r="A33" s="81">
        <f>IF('梅 横長'!D35="","",'梅 横長'!D35)</f>
        <v/>
      </c>
      <c r="B33" s="81">
        <f>IF('梅 横長'!D36="","",'梅 横長'!D36)</f>
        <v/>
      </c>
    </row>
    <row r="34" ht="110" customHeight="1" s="50">
      <c r="A34" s="82">
        <f>IF('梅 横長'!C35="","",'梅 横長'!C35)</f>
        <v/>
      </c>
      <c r="B34" s="82">
        <f>IF('梅 横長'!C36="","",'梅 横長'!C36)</f>
        <v/>
      </c>
    </row>
    <row r="35" ht="34" customHeight="1" s="50">
      <c r="A35" s="81">
        <f>IF('梅 横長'!D37="","",'梅 横長'!D37)</f>
        <v/>
      </c>
      <c r="B35" s="81" t="n"/>
    </row>
    <row r="36" ht="110" customHeight="1" s="50">
      <c r="A36" s="82">
        <f>IF('梅 横長'!C37="","",'梅 横長'!C37)</f>
        <v/>
      </c>
      <c r="B36" s="82" t="n"/>
    </row>
    <row r="37" ht="34" customHeight="1" s="50">
      <c r="A37" s="81" t="n"/>
      <c r="B37" s="81" t="n"/>
    </row>
    <row r="38" ht="110" customHeight="1" s="50">
      <c r="A38" s="82" t="n"/>
      <c r="B38" s="82" t="n"/>
    </row>
    <row r="39" ht="34" customHeight="1" s="50">
      <c r="A39" s="81" t="n"/>
      <c r="B39" s="81" t="n"/>
    </row>
    <row r="40" ht="110" customHeight="1" s="50">
      <c r="A40" s="82" t="n"/>
      <c r="B40" s="82" t="n"/>
    </row>
  </sheetData>
  <conditionalFormatting sqref="A1">
    <cfRule type="expression" priority="1" dxfId="0">
      <formula>OR($A$1&lt;&gt;"",$A$2&lt;&gt;"")</formula>
    </cfRule>
  </conditionalFormatting>
  <conditionalFormatting sqref="A2">
    <cfRule type="expression" priority="2" dxfId="1">
      <formula>OR($A$1&lt;&gt;"",$A$2&lt;&gt;"")</formula>
    </cfRule>
  </conditionalFormatting>
  <conditionalFormatting sqref="B1">
    <cfRule type="expression" priority="3" dxfId="0">
      <formula>OR($B$1&lt;&gt;"",$B$2&lt;&gt;"")</formula>
    </cfRule>
  </conditionalFormatting>
  <conditionalFormatting sqref="B2">
    <cfRule type="expression" priority="4" dxfId="1">
      <formula>OR($B$1&lt;&gt;"",$B$2&lt;&gt;"")</formula>
    </cfRule>
  </conditionalFormatting>
  <conditionalFormatting sqref="A3">
    <cfRule type="expression" priority="5" dxfId="0">
      <formula>OR($A$3&lt;&gt;"",$A$4&lt;&gt;"")</formula>
    </cfRule>
  </conditionalFormatting>
  <conditionalFormatting sqref="A4">
    <cfRule type="expression" priority="6" dxfId="1">
      <formula>OR($A$3&lt;&gt;"",$A$4&lt;&gt;"")</formula>
    </cfRule>
  </conditionalFormatting>
  <conditionalFormatting sqref="B3">
    <cfRule type="expression" priority="7" dxfId="0">
      <formula>OR($B$3&lt;&gt;"",$B$4&lt;&gt;"")</formula>
    </cfRule>
  </conditionalFormatting>
  <conditionalFormatting sqref="B4">
    <cfRule type="expression" priority="8" dxfId="1">
      <formula>OR($B$3&lt;&gt;"",$B$4&lt;&gt;"")</formula>
    </cfRule>
  </conditionalFormatting>
  <conditionalFormatting sqref="A5">
    <cfRule type="expression" priority="9" dxfId="0">
      <formula>OR($A$5&lt;&gt;"",$A$6&lt;&gt;"")</formula>
    </cfRule>
  </conditionalFormatting>
  <conditionalFormatting sqref="A6">
    <cfRule type="expression" priority="10" dxfId="1">
      <formula>OR($A$5&lt;&gt;"",$A$6&lt;&gt;"")</formula>
    </cfRule>
  </conditionalFormatting>
  <conditionalFormatting sqref="B5">
    <cfRule type="expression" priority="11" dxfId="0">
      <formula>OR($B$5&lt;&gt;"",$B$6&lt;&gt;"")</formula>
    </cfRule>
  </conditionalFormatting>
  <conditionalFormatting sqref="B6">
    <cfRule type="expression" priority="12" dxfId="1">
      <formula>OR($B$5&lt;&gt;"",$B$6&lt;&gt;"")</formula>
    </cfRule>
  </conditionalFormatting>
  <conditionalFormatting sqref="A7">
    <cfRule type="expression" priority="13" dxfId="0">
      <formula>OR($A$7&lt;&gt;"",$A$8&lt;&gt;"")</formula>
    </cfRule>
  </conditionalFormatting>
  <conditionalFormatting sqref="A8">
    <cfRule type="expression" priority="14" dxfId="1">
      <formula>OR($A$7&lt;&gt;"",$A$8&lt;&gt;"")</formula>
    </cfRule>
  </conditionalFormatting>
  <conditionalFormatting sqref="B7">
    <cfRule type="expression" priority="15" dxfId="0">
      <formula>OR($B$7&lt;&gt;"",$B$8&lt;&gt;"")</formula>
    </cfRule>
  </conditionalFormatting>
  <conditionalFormatting sqref="B8">
    <cfRule type="expression" priority="16" dxfId="1">
      <formula>OR($B$7&lt;&gt;"",$B$8&lt;&gt;"")</formula>
    </cfRule>
  </conditionalFormatting>
  <conditionalFormatting sqref="A9">
    <cfRule type="expression" priority="17" dxfId="0">
      <formula>OR($A$9&lt;&gt;"",$A$10&lt;&gt;"")</formula>
    </cfRule>
  </conditionalFormatting>
  <conditionalFormatting sqref="A10">
    <cfRule type="expression" priority="18" dxfId="1">
      <formula>OR($A$9&lt;&gt;"",$A$10&lt;&gt;"")</formula>
    </cfRule>
  </conditionalFormatting>
  <conditionalFormatting sqref="B9">
    <cfRule type="expression" priority="19" dxfId="0">
      <formula>OR($B$9&lt;&gt;"",$B$10&lt;&gt;"")</formula>
    </cfRule>
  </conditionalFormatting>
  <conditionalFormatting sqref="B10">
    <cfRule type="expression" priority="20" dxfId="1">
      <formula>OR($B$9&lt;&gt;"",$B$10&lt;&gt;"")</formula>
    </cfRule>
  </conditionalFormatting>
  <conditionalFormatting sqref="A11">
    <cfRule type="expression" priority="21" dxfId="0">
      <formula>OR($A$11&lt;&gt;"",$A$12&lt;&gt;"")</formula>
    </cfRule>
  </conditionalFormatting>
  <conditionalFormatting sqref="A12">
    <cfRule type="expression" priority="22" dxfId="1">
      <formula>OR($A$11&lt;&gt;"",$A$12&lt;&gt;"")</formula>
    </cfRule>
  </conditionalFormatting>
  <conditionalFormatting sqref="B11">
    <cfRule type="expression" priority="23" dxfId="0">
      <formula>OR($B$11&lt;&gt;"",$B$12&lt;&gt;"")</formula>
    </cfRule>
  </conditionalFormatting>
  <conditionalFormatting sqref="B12">
    <cfRule type="expression" priority="24" dxfId="1">
      <formula>OR($B$11&lt;&gt;"",$B$12&lt;&gt;"")</formula>
    </cfRule>
  </conditionalFormatting>
  <conditionalFormatting sqref="A13">
    <cfRule type="expression" priority="25" dxfId="0">
      <formula>OR($A$13&lt;&gt;"",$A$14&lt;&gt;"")</formula>
    </cfRule>
  </conditionalFormatting>
  <conditionalFormatting sqref="A14">
    <cfRule type="expression" priority="26" dxfId="1">
      <formula>OR($A$13&lt;&gt;"",$A$14&lt;&gt;"")</formula>
    </cfRule>
  </conditionalFormatting>
  <conditionalFormatting sqref="B13">
    <cfRule type="expression" priority="27" dxfId="0">
      <formula>OR($B$13&lt;&gt;"",$B$14&lt;&gt;"")</formula>
    </cfRule>
  </conditionalFormatting>
  <conditionalFormatting sqref="B14">
    <cfRule type="expression" priority="28" dxfId="1">
      <formula>OR($B$13&lt;&gt;"",$B$14&lt;&gt;"")</formula>
    </cfRule>
  </conditionalFormatting>
  <conditionalFormatting sqref="A15">
    <cfRule type="expression" priority="29" dxfId="0">
      <formula>OR($A$15&lt;&gt;"",$A$16&lt;&gt;"")</formula>
    </cfRule>
  </conditionalFormatting>
  <conditionalFormatting sqref="A16">
    <cfRule type="expression" priority="30" dxfId="1">
      <formula>OR($A$15&lt;&gt;"",$A$16&lt;&gt;"")</formula>
    </cfRule>
  </conditionalFormatting>
  <conditionalFormatting sqref="B15">
    <cfRule type="expression" priority="31" dxfId="0">
      <formula>OR($B$15&lt;&gt;"",$B$16&lt;&gt;"")</formula>
    </cfRule>
  </conditionalFormatting>
  <conditionalFormatting sqref="B16">
    <cfRule type="expression" priority="32" dxfId="1">
      <formula>OR($B$15&lt;&gt;"",$B$16&lt;&gt;"")</formula>
    </cfRule>
  </conditionalFormatting>
  <conditionalFormatting sqref="A17">
    <cfRule type="expression" priority="33" dxfId="0">
      <formula>OR($A$17&lt;&gt;"",$A$18&lt;&gt;"")</formula>
    </cfRule>
  </conditionalFormatting>
  <conditionalFormatting sqref="A18">
    <cfRule type="expression" priority="34" dxfId="1">
      <formula>OR($A$17&lt;&gt;"",$A$18&lt;&gt;"")</formula>
    </cfRule>
  </conditionalFormatting>
  <conditionalFormatting sqref="B17">
    <cfRule type="expression" priority="35" dxfId="0">
      <formula>OR($B$17&lt;&gt;"",$B$18&lt;&gt;"")</formula>
    </cfRule>
  </conditionalFormatting>
  <conditionalFormatting sqref="B18">
    <cfRule type="expression" priority="36" dxfId="1">
      <formula>OR($B$17&lt;&gt;"",$B$18&lt;&gt;"")</formula>
    </cfRule>
  </conditionalFormatting>
  <conditionalFormatting sqref="A19">
    <cfRule type="expression" priority="37" dxfId="0">
      <formula>OR($A$19&lt;&gt;"",$A$20&lt;&gt;"")</formula>
    </cfRule>
  </conditionalFormatting>
  <conditionalFormatting sqref="A20">
    <cfRule type="expression" priority="38" dxfId="1">
      <formula>OR($A$19&lt;&gt;"",$A$20&lt;&gt;"")</formula>
    </cfRule>
  </conditionalFormatting>
  <conditionalFormatting sqref="B19">
    <cfRule type="expression" priority="39" dxfId="0">
      <formula>OR($B$19&lt;&gt;"",$B$20&lt;&gt;"")</formula>
    </cfRule>
  </conditionalFormatting>
  <conditionalFormatting sqref="B20">
    <cfRule type="expression" priority="40" dxfId="1">
      <formula>OR($B$19&lt;&gt;"",$B$20&lt;&gt;"")</formula>
    </cfRule>
  </conditionalFormatting>
  <conditionalFormatting sqref="A21">
    <cfRule type="expression" priority="41" dxfId="0">
      <formula>OR($A$21&lt;&gt;"",$A$22&lt;&gt;"")</formula>
    </cfRule>
  </conditionalFormatting>
  <conditionalFormatting sqref="A22">
    <cfRule type="expression" priority="42" dxfId="1">
      <formula>OR($A$21&lt;&gt;"",$A$22&lt;&gt;"")</formula>
    </cfRule>
  </conditionalFormatting>
  <conditionalFormatting sqref="B21">
    <cfRule type="expression" priority="43" dxfId="0">
      <formula>OR($B$21&lt;&gt;"",$B$22&lt;&gt;"")</formula>
    </cfRule>
  </conditionalFormatting>
  <conditionalFormatting sqref="B22">
    <cfRule type="expression" priority="44" dxfId="1">
      <formula>OR($B$21&lt;&gt;"",$B$22&lt;&gt;"")</formula>
    </cfRule>
  </conditionalFormatting>
  <conditionalFormatting sqref="A23">
    <cfRule type="expression" priority="45" dxfId="0">
      <formula>OR($A$23&lt;&gt;"",$A$24&lt;&gt;"")</formula>
    </cfRule>
  </conditionalFormatting>
  <conditionalFormatting sqref="A24">
    <cfRule type="expression" priority="46" dxfId="1">
      <formula>OR($A$23&lt;&gt;"",$A$24&lt;&gt;"")</formula>
    </cfRule>
  </conditionalFormatting>
  <conditionalFormatting sqref="B23">
    <cfRule type="expression" priority="47" dxfId="0">
      <formula>OR($B$23&lt;&gt;"",$B$24&lt;&gt;"")</formula>
    </cfRule>
  </conditionalFormatting>
  <conditionalFormatting sqref="B24">
    <cfRule type="expression" priority="48" dxfId="1">
      <formula>OR($B$23&lt;&gt;"",$B$24&lt;&gt;"")</formula>
    </cfRule>
  </conditionalFormatting>
  <conditionalFormatting sqref="A25">
    <cfRule type="expression" priority="49" dxfId="0">
      <formula>OR($A$25&lt;&gt;"",$A$26&lt;&gt;"")</formula>
    </cfRule>
  </conditionalFormatting>
  <conditionalFormatting sqref="A26">
    <cfRule type="expression" priority="50" dxfId="1">
      <formula>OR($A$25&lt;&gt;"",$A$26&lt;&gt;"")</formula>
    </cfRule>
  </conditionalFormatting>
  <conditionalFormatting sqref="B25">
    <cfRule type="expression" priority="51" dxfId="0">
      <formula>OR($B$25&lt;&gt;"",$B$26&lt;&gt;"")</formula>
    </cfRule>
  </conditionalFormatting>
  <conditionalFormatting sqref="B26">
    <cfRule type="expression" priority="52" dxfId="1">
      <formula>OR($B$25&lt;&gt;"",$B$26&lt;&gt;"")</formula>
    </cfRule>
  </conditionalFormatting>
  <conditionalFormatting sqref="A27">
    <cfRule type="expression" priority="53" dxfId="0">
      <formula>OR($A$27&lt;&gt;"",$A$28&lt;&gt;"")</formula>
    </cfRule>
  </conditionalFormatting>
  <conditionalFormatting sqref="A28">
    <cfRule type="expression" priority="54" dxfId="1">
      <formula>OR($A$27&lt;&gt;"",$A$28&lt;&gt;"")</formula>
    </cfRule>
  </conditionalFormatting>
  <conditionalFormatting sqref="B27">
    <cfRule type="expression" priority="55" dxfId="0">
      <formula>OR($B$27&lt;&gt;"",$B$28&lt;&gt;"")</formula>
    </cfRule>
  </conditionalFormatting>
  <conditionalFormatting sqref="B28">
    <cfRule type="expression" priority="56" dxfId="1">
      <formula>OR($B$27&lt;&gt;"",$B$28&lt;&gt;"")</formula>
    </cfRule>
  </conditionalFormatting>
  <conditionalFormatting sqref="A29">
    <cfRule type="expression" priority="57" dxfId="0">
      <formula>OR($A$29&lt;&gt;"",$A$30&lt;&gt;"")</formula>
    </cfRule>
  </conditionalFormatting>
  <conditionalFormatting sqref="A30">
    <cfRule type="expression" priority="58" dxfId="1">
      <formula>OR($A$29&lt;&gt;"",$A$30&lt;&gt;"")</formula>
    </cfRule>
  </conditionalFormatting>
  <conditionalFormatting sqref="B29">
    <cfRule type="expression" priority="59" dxfId="0">
      <formula>OR($B$29&lt;&gt;"",$B$30&lt;&gt;"")</formula>
    </cfRule>
  </conditionalFormatting>
  <conditionalFormatting sqref="B30">
    <cfRule type="expression" priority="60" dxfId="1">
      <formula>OR($B$29&lt;&gt;"",$B$30&lt;&gt;"")</formula>
    </cfRule>
  </conditionalFormatting>
  <conditionalFormatting sqref="A31">
    <cfRule type="expression" priority="61" dxfId="0">
      <formula>OR($A$31&lt;&gt;"",$A$32&lt;&gt;"")</formula>
    </cfRule>
  </conditionalFormatting>
  <conditionalFormatting sqref="A32">
    <cfRule type="expression" priority="62" dxfId="1">
      <formula>OR($A$31&lt;&gt;"",$A$32&lt;&gt;"")</formula>
    </cfRule>
  </conditionalFormatting>
  <conditionalFormatting sqref="B31">
    <cfRule type="expression" priority="63" dxfId="0">
      <formula>OR($B$31&lt;&gt;"",$B$32&lt;&gt;"")</formula>
    </cfRule>
  </conditionalFormatting>
  <conditionalFormatting sqref="B32">
    <cfRule type="expression" priority="64" dxfId="1">
      <formula>OR($B$31&lt;&gt;"",$B$32&lt;&gt;"")</formula>
    </cfRule>
  </conditionalFormatting>
  <conditionalFormatting sqref="A33">
    <cfRule type="expression" priority="65" dxfId="0">
      <formula>OR($A$33&lt;&gt;"",$A$34&lt;&gt;"")</formula>
    </cfRule>
  </conditionalFormatting>
  <conditionalFormatting sqref="A34">
    <cfRule type="expression" priority="66" dxfId="1">
      <formula>OR($A$33&lt;&gt;"",$A$34&lt;&gt;"")</formula>
    </cfRule>
  </conditionalFormatting>
  <conditionalFormatting sqref="B33">
    <cfRule type="expression" priority="67" dxfId="0">
      <formula>OR($B$33&lt;&gt;"",$B$34&lt;&gt;"")</formula>
    </cfRule>
  </conditionalFormatting>
  <conditionalFormatting sqref="B34">
    <cfRule type="expression" priority="68" dxfId="1">
      <formula>OR($B$33&lt;&gt;"",$B$34&lt;&gt;"")</formula>
    </cfRule>
  </conditionalFormatting>
  <conditionalFormatting sqref="A35">
    <cfRule type="expression" priority="69" dxfId="0">
      <formula>OR($A$35&lt;&gt;"",$A$36&lt;&gt;"")</formula>
    </cfRule>
  </conditionalFormatting>
  <conditionalFormatting sqref="A36">
    <cfRule type="expression" priority="70" dxfId="1">
      <formula>OR($A$35&lt;&gt;"",$A$36&lt;&gt;"")</formula>
    </cfRule>
  </conditionalFormatting>
  <conditionalFormatting sqref="B35">
    <cfRule type="expression" priority="71" dxfId="0">
      <formula>OR($B$35&lt;&gt;"",$B$36&lt;&gt;"")</formula>
    </cfRule>
  </conditionalFormatting>
  <conditionalFormatting sqref="B36">
    <cfRule type="expression" priority="72" dxfId="1">
      <formula>OR($B$35&lt;&gt;"",$B$36&lt;&gt;"")</formula>
    </cfRule>
  </conditionalFormatting>
  <conditionalFormatting sqref="A37">
    <cfRule type="expression" priority="73" dxfId="0">
      <formula>OR($A$37&lt;&gt;"",$A$38&lt;&gt;"")</formula>
    </cfRule>
  </conditionalFormatting>
  <conditionalFormatting sqref="A38">
    <cfRule type="expression" priority="74" dxfId="1">
      <formula>OR($A$37&lt;&gt;"",$A$38&lt;&gt;"")</formula>
    </cfRule>
  </conditionalFormatting>
  <conditionalFormatting sqref="B37">
    <cfRule type="expression" priority="75" dxfId="0">
      <formula>OR($B$37&lt;&gt;"",$B$38&lt;&gt;"")</formula>
    </cfRule>
  </conditionalFormatting>
  <conditionalFormatting sqref="B38">
    <cfRule type="expression" priority="76" dxfId="1">
      <formula>OR($B$37&lt;&gt;"",$B$38&lt;&gt;"")</formula>
    </cfRule>
  </conditionalFormatting>
  <conditionalFormatting sqref="A39">
    <cfRule type="expression" priority="77" dxfId="0">
      <formula>OR($A$39&lt;&gt;"",$A$40&lt;&gt;"")</formula>
    </cfRule>
  </conditionalFormatting>
  <conditionalFormatting sqref="A40">
    <cfRule type="expression" priority="78" dxfId="1">
      <formula>OR($A$39&lt;&gt;"",$A$40&lt;&gt;"")</formula>
    </cfRule>
  </conditionalFormatting>
  <conditionalFormatting sqref="B39">
    <cfRule type="expression" priority="79" dxfId="0">
      <formula>OR($B$39&lt;&gt;"",$B$40&lt;&gt;"")</formula>
    </cfRule>
  </conditionalFormatting>
  <conditionalFormatting sqref="B40">
    <cfRule type="expression" priority="80" dxfId="1">
      <formula>OR($B$39&lt;&gt;"",$B$40&lt;&gt;"")</formula>
    </cfRule>
  </conditionalFormatting>
  <printOptions horizontalCentered="1" verticalCentered="0"/>
  <pageMargins left="0.4" right="0.4" top="0.4" bottom="0.4" header="0.2" footer="0.2"/>
  <pageSetup orientation="portrait" paperSize="9"/>
  <rowBreaks count="3" manualBreakCount="3">
    <brk id="10" min="0" max="16383" man="1"/>
    <brk id="20" min="0" max="16383" man="1"/>
    <brk id="3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abSelected="0" workbookViewId="0">
      <selection activeCell="A1" sqref="A1"/>
    </sheetView>
  </sheetViews>
  <sheetFormatPr baseColWidth="8" defaultRowHeight="15"/>
  <cols>
    <col width="21.5" customWidth="1" style="50" min="1" max="1"/>
    <col width="21.5" customWidth="1" style="50" min="2" max="2"/>
    <col width="21.5" customWidth="1" style="50" min="3" max="3"/>
    <col width="21.5" customWidth="1" style="50" min="4" max="4"/>
  </cols>
  <sheetData>
    <row r="1" ht="18" customHeight="1" s="50">
      <c r="A1" s="83">
        <f>IF('梅 横長'!D3="","",'梅 横長'!D3)</f>
        <v/>
      </c>
      <c r="B1" s="83">
        <f>IF('梅 横長'!D4="","",'梅 横長'!D4)</f>
        <v/>
      </c>
      <c r="C1" s="83">
        <f>IF('梅 横長'!D5="","",'梅 横長'!D5)</f>
        <v/>
      </c>
      <c r="D1" s="83">
        <f>IF('梅 横長'!D6="","",'梅 横長'!D6)</f>
        <v/>
      </c>
    </row>
    <row r="2" ht="54" customHeight="1" s="50">
      <c r="A2" s="84">
        <f>IF('梅 横長'!C3="","",'梅 横長'!C3)</f>
        <v/>
      </c>
      <c r="B2" s="84">
        <f>IF('梅 横長'!C4="","",'梅 横長'!C4)</f>
        <v/>
      </c>
      <c r="C2" s="84">
        <f>IF('梅 横長'!C5="","",'梅 横長'!C5)</f>
        <v/>
      </c>
      <c r="D2" s="84">
        <f>IF('梅 横長'!C6="","",'梅 横長'!C6)</f>
        <v/>
      </c>
    </row>
    <row r="3" ht="18" customHeight="1" s="50">
      <c r="A3" s="83">
        <f>IF('梅 横長'!D7="","",'梅 横長'!D7)</f>
        <v/>
      </c>
      <c r="B3" s="83">
        <f>IF('梅 横長'!D8="","",'梅 横長'!D8)</f>
        <v/>
      </c>
      <c r="C3" s="83">
        <f>IF('梅 横長'!D9="","",'梅 横長'!D9)</f>
        <v/>
      </c>
      <c r="D3" s="83">
        <f>IF('梅 横長'!D10="","",'梅 横長'!D10)</f>
        <v/>
      </c>
    </row>
    <row r="4" ht="54" customHeight="1" s="50">
      <c r="A4" s="84">
        <f>IF('梅 横長'!C7="","",'梅 横長'!C7)</f>
        <v/>
      </c>
      <c r="B4" s="84">
        <f>IF('梅 横長'!C8="","",'梅 横長'!C8)</f>
        <v/>
      </c>
      <c r="C4" s="84">
        <f>IF('梅 横長'!C9="","",'梅 横長'!C9)</f>
        <v/>
      </c>
      <c r="D4" s="84">
        <f>IF('梅 横長'!C10="","",'梅 横長'!C10)</f>
        <v/>
      </c>
    </row>
    <row r="5" ht="18" customHeight="1" s="50">
      <c r="A5" s="83">
        <f>IF('梅 横長'!D11="","",'梅 横長'!D11)</f>
        <v/>
      </c>
      <c r="B5" s="83">
        <f>IF('梅 横長'!D12="","",'梅 横長'!D12)</f>
        <v/>
      </c>
      <c r="C5" s="83">
        <f>IF('梅 横長'!D13="","",'梅 横長'!D13)</f>
        <v/>
      </c>
      <c r="D5" s="83">
        <f>IF('梅 横長'!D14="","",'梅 横長'!D14)</f>
        <v/>
      </c>
    </row>
    <row r="6" ht="54" customHeight="1" s="50">
      <c r="A6" s="84">
        <f>IF('梅 横長'!C11="","",'梅 横長'!C11)</f>
        <v/>
      </c>
      <c r="B6" s="84">
        <f>IF('梅 横長'!C12="","",'梅 横長'!C12)</f>
        <v/>
      </c>
      <c r="C6" s="84">
        <f>IF('梅 横長'!C13="","",'梅 横長'!C13)</f>
        <v/>
      </c>
      <c r="D6" s="84">
        <f>IF('梅 横長'!C14="","",'梅 横長'!C14)</f>
        <v/>
      </c>
    </row>
    <row r="7" ht="18" customHeight="1" s="50">
      <c r="A7" s="83">
        <f>IF('梅 横長'!D15="","",'梅 横長'!D15)</f>
        <v/>
      </c>
      <c r="B7" s="83">
        <f>IF('梅 横長'!D16="","",'梅 横長'!D16)</f>
        <v/>
      </c>
      <c r="C7" s="83">
        <f>IF('梅 横長'!D17="","",'梅 横長'!D17)</f>
        <v/>
      </c>
      <c r="D7" s="83">
        <f>IF('梅 横長'!D18="","",'梅 横長'!D18)</f>
        <v/>
      </c>
    </row>
    <row r="8" ht="54" customHeight="1" s="50">
      <c r="A8" s="84">
        <f>IF('梅 横長'!C15="","",'梅 横長'!C15)</f>
        <v/>
      </c>
      <c r="B8" s="84">
        <f>IF('梅 横長'!C16="","",'梅 横長'!C16)</f>
        <v/>
      </c>
      <c r="C8" s="84">
        <f>IF('梅 横長'!C17="","",'梅 横長'!C17)</f>
        <v/>
      </c>
      <c r="D8" s="84">
        <f>IF('梅 横長'!C18="","",'梅 横長'!C18)</f>
        <v/>
      </c>
    </row>
    <row r="9" ht="18" customHeight="1" s="50">
      <c r="A9" s="83">
        <f>IF('梅 横長'!D19="","",'梅 横長'!D19)</f>
        <v/>
      </c>
      <c r="B9" s="83">
        <f>IF('梅 横長'!D20="","",'梅 横長'!D20)</f>
        <v/>
      </c>
      <c r="C9" s="83">
        <f>IF('梅 横長'!D21="","",'梅 横長'!D21)</f>
        <v/>
      </c>
      <c r="D9" s="83">
        <f>IF('梅 横長'!D22="","",'梅 横長'!D22)</f>
        <v/>
      </c>
    </row>
    <row r="10" ht="54" customHeight="1" s="50">
      <c r="A10" s="84">
        <f>IF('梅 横長'!C19="","",'梅 横長'!C19)</f>
        <v/>
      </c>
      <c r="B10" s="84">
        <f>IF('梅 横長'!C20="","",'梅 横長'!C20)</f>
        <v/>
      </c>
      <c r="C10" s="84">
        <f>IF('梅 横長'!C21="","",'梅 横長'!C21)</f>
        <v/>
      </c>
      <c r="D10" s="84">
        <f>IF('梅 横長'!C22="","",'梅 横長'!C22)</f>
        <v/>
      </c>
    </row>
    <row r="11" ht="18" customHeight="1" s="50">
      <c r="A11" s="83">
        <f>IF('梅 横長'!D23="","",'梅 横長'!D23)</f>
        <v/>
      </c>
      <c r="B11" s="83">
        <f>IF('梅 横長'!D24="","",'梅 横長'!D24)</f>
        <v/>
      </c>
      <c r="C11" s="83">
        <f>IF('梅 横長'!D25="","",'梅 横長'!D25)</f>
        <v/>
      </c>
      <c r="D11" s="83">
        <f>IF('梅 横長'!D26="","",'梅 横長'!D26)</f>
        <v/>
      </c>
    </row>
    <row r="12" ht="54" customHeight="1" s="50">
      <c r="A12" s="84">
        <f>IF('梅 横長'!C23="","",'梅 横長'!C23)</f>
        <v/>
      </c>
      <c r="B12" s="84">
        <f>IF('梅 横長'!C24="","",'梅 横長'!C24)</f>
        <v/>
      </c>
      <c r="C12" s="84">
        <f>IF('梅 横長'!C25="","",'梅 横長'!C25)</f>
        <v/>
      </c>
      <c r="D12" s="84">
        <f>IF('梅 横長'!C26="","",'梅 横長'!C26)</f>
        <v/>
      </c>
    </row>
    <row r="13" ht="18" customHeight="1" s="50">
      <c r="A13" s="83">
        <f>IF('梅 横長'!D27="","",'梅 横長'!D27)</f>
        <v/>
      </c>
      <c r="B13" s="83">
        <f>IF('梅 横長'!D28="","",'梅 横長'!D28)</f>
        <v/>
      </c>
      <c r="C13" s="83">
        <f>IF('梅 横長'!D29="","",'梅 横長'!D29)</f>
        <v/>
      </c>
      <c r="D13" s="83">
        <f>IF('梅 横長'!D30="","",'梅 横長'!D30)</f>
        <v/>
      </c>
    </row>
    <row r="14" ht="54" customHeight="1" s="50">
      <c r="A14" s="84">
        <f>IF('梅 横長'!C27="","",'梅 横長'!C27)</f>
        <v/>
      </c>
      <c r="B14" s="84">
        <f>IF('梅 横長'!C28="","",'梅 横長'!C28)</f>
        <v/>
      </c>
      <c r="C14" s="84">
        <f>IF('梅 横長'!C29="","",'梅 横長'!C29)</f>
        <v/>
      </c>
      <c r="D14" s="84">
        <f>IF('梅 横長'!C30="","",'梅 横長'!C30)</f>
        <v/>
      </c>
    </row>
    <row r="15" ht="18" customHeight="1" s="50">
      <c r="A15" s="83">
        <f>IF('梅 横長'!D31="","",'梅 横長'!D31)</f>
        <v/>
      </c>
      <c r="B15" s="83">
        <f>IF('梅 横長'!D32="","",'梅 横長'!D32)</f>
        <v/>
      </c>
      <c r="C15" s="83">
        <f>IF('梅 横長'!D33="","",'梅 横長'!D33)</f>
        <v/>
      </c>
      <c r="D15" s="83">
        <f>IF('梅 横長'!D34="","",'梅 横長'!D34)</f>
        <v/>
      </c>
    </row>
    <row r="16" ht="54" customHeight="1" s="50">
      <c r="A16" s="84">
        <f>IF('梅 横長'!C31="","",'梅 横長'!C31)</f>
        <v/>
      </c>
      <c r="B16" s="84">
        <f>IF('梅 横長'!C32="","",'梅 横長'!C32)</f>
        <v/>
      </c>
      <c r="C16" s="84">
        <f>IF('梅 横長'!C33="","",'梅 横長'!C33)</f>
        <v/>
      </c>
      <c r="D16" s="84">
        <f>IF('梅 横長'!C34="","",'梅 横長'!C34)</f>
        <v/>
      </c>
    </row>
    <row r="17" ht="18" customHeight="1" s="50">
      <c r="A17" s="83">
        <f>IF('梅 横長'!D35="","",'梅 横長'!D35)</f>
        <v/>
      </c>
      <c r="B17" s="83">
        <f>IF('梅 横長'!D36="","",'梅 横長'!D36)</f>
        <v/>
      </c>
      <c r="C17" s="83">
        <f>IF('梅 横長'!D37="","",'梅 横長'!D37)</f>
        <v/>
      </c>
      <c r="D17" s="83" t="n"/>
    </row>
    <row r="18" ht="54" customHeight="1" s="50">
      <c r="A18" s="84">
        <f>IF('梅 横長'!C35="","",'梅 横長'!C35)</f>
        <v/>
      </c>
      <c r="B18" s="84">
        <f>IF('梅 横長'!C36="","",'梅 横長'!C36)</f>
        <v/>
      </c>
      <c r="C18" s="84">
        <f>IF('梅 横長'!C37="","",'梅 横長'!C37)</f>
        <v/>
      </c>
      <c r="D18" s="84" t="n"/>
    </row>
    <row r="19" ht="18" customHeight="1" s="50">
      <c r="A19" s="83" t="n"/>
      <c r="B19" s="83" t="n"/>
      <c r="C19" s="83" t="n"/>
      <c r="D19" s="83" t="n"/>
    </row>
    <row r="20" ht="54" customHeight="1" s="50">
      <c r="A20" s="84" t="n"/>
      <c r="B20" s="84" t="n"/>
      <c r="C20" s="84" t="n"/>
      <c r="D20" s="84" t="n"/>
    </row>
  </sheetData>
  <conditionalFormatting sqref="A1">
    <cfRule type="expression" priority="1" dxfId="0">
      <formula>OR($A$1&lt;&gt;"",$A$2&lt;&gt;"")</formula>
    </cfRule>
  </conditionalFormatting>
  <conditionalFormatting sqref="A2">
    <cfRule type="expression" priority="2" dxfId="1">
      <formula>OR($A$1&lt;&gt;"",$A$2&lt;&gt;"")</formula>
    </cfRule>
  </conditionalFormatting>
  <conditionalFormatting sqref="B1">
    <cfRule type="expression" priority="3" dxfId="0">
      <formula>OR($B$1&lt;&gt;"",$B$2&lt;&gt;"")</formula>
    </cfRule>
  </conditionalFormatting>
  <conditionalFormatting sqref="B2">
    <cfRule type="expression" priority="4" dxfId="1">
      <formula>OR($B$1&lt;&gt;"",$B$2&lt;&gt;"")</formula>
    </cfRule>
  </conditionalFormatting>
  <conditionalFormatting sqref="C1">
    <cfRule type="expression" priority="5" dxfId="0">
      <formula>OR($C$1&lt;&gt;"",$C$2&lt;&gt;"")</formula>
    </cfRule>
  </conditionalFormatting>
  <conditionalFormatting sqref="C2">
    <cfRule type="expression" priority="6" dxfId="1">
      <formula>OR($C$1&lt;&gt;"",$C$2&lt;&gt;"")</formula>
    </cfRule>
  </conditionalFormatting>
  <conditionalFormatting sqref="D1">
    <cfRule type="expression" priority="7" dxfId="0">
      <formula>OR($D$1&lt;&gt;"",$D$2&lt;&gt;"")</formula>
    </cfRule>
  </conditionalFormatting>
  <conditionalFormatting sqref="D2">
    <cfRule type="expression" priority="8" dxfId="1">
      <formula>OR($D$1&lt;&gt;"",$D$2&lt;&gt;"")</formula>
    </cfRule>
  </conditionalFormatting>
  <conditionalFormatting sqref="A3">
    <cfRule type="expression" priority="9" dxfId="0">
      <formula>OR($A$3&lt;&gt;"",$A$4&lt;&gt;"")</formula>
    </cfRule>
  </conditionalFormatting>
  <conditionalFormatting sqref="A4">
    <cfRule type="expression" priority="10" dxfId="1">
      <formula>OR($A$3&lt;&gt;"",$A$4&lt;&gt;"")</formula>
    </cfRule>
  </conditionalFormatting>
  <conditionalFormatting sqref="B3">
    <cfRule type="expression" priority="11" dxfId="0">
      <formula>OR($B$3&lt;&gt;"",$B$4&lt;&gt;"")</formula>
    </cfRule>
  </conditionalFormatting>
  <conditionalFormatting sqref="B4">
    <cfRule type="expression" priority="12" dxfId="1">
      <formula>OR($B$3&lt;&gt;"",$B$4&lt;&gt;"")</formula>
    </cfRule>
  </conditionalFormatting>
  <conditionalFormatting sqref="C3">
    <cfRule type="expression" priority="13" dxfId="0">
      <formula>OR($C$3&lt;&gt;"",$C$4&lt;&gt;"")</formula>
    </cfRule>
  </conditionalFormatting>
  <conditionalFormatting sqref="C4">
    <cfRule type="expression" priority="14" dxfId="1">
      <formula>OR($C$3&lt;&gt;"",$C$4&lt;&gt;"")</formula>
    </cfRule>
  </conditionalFormatting>
  <conditionalFormatting sqref="D3">
    <cfRule type="expression" priority="15" dxfId="0">
      <formula>OR($D$3&lt;&gt;"",$D$4&lt;&gt;"")</formula>
    </cfRule>
  </conditionalFormatting>
  <conditionalFormatting sqref="D4">
    <cfRule type="expression" priority="16" dxfId="1">
      <formula>OR($D$3&lt;&gt;"",$D$4&lt;&gt;"")</formula>
    </cfRule>
  </conditionalFormatting>
  <conditionalFormatting sqref="A5">
    <cfRule type="expression" priority="17" dxfId="0">
      <formula>OR($A$5&lt;&gt;"",$A$6&lt;&gt;"")</formula>
    </cfRule>
  </conditionalFormatting>
  <conditionalFormatting sqref="A6">
    <cfRule type="expression" priority="18" dxfId="1">
      <formula>OR($A$5&lt;&gt;"",$A$6&lt;&gt;"")</formula>
    </cfRule>
  </conditionalFormatting>
  <conditionalFormatting sqref="B5">
    <cfRule type="expression" priority="19" dxfId="0">
      <formula>OR($B$5&lt;&gt;"",$B$6&lt;&gt;"")</formula>
    </cfRule>
  </conditionalFormatting>
  <conditionalFormatting sqref="B6">
    <cfRule type="expression" priority="20" dxfId="1">
      <formula>OR($B$5&lt;&gt;"",$B$6&lt;&gt;"")</formula>
    </cfRule>
  </conditionalFormatting>
  <conditionalFormatting sqref="C5">
    <cfRule type="expression" priority="21" dxfId="0">
      <formula>OR($C$5&lt;&gt;"",$C$6&lt;&gt;"")</formula>
    </cfRule>
  </conditionalFormatting>
  <conditionalFormatting sqref="C6">
    <cfRule type="expression" priority="22" dxfId="1">
      <formula>OR($C$5&lt;&gt;"",$C$6&lt;&gt;"")</formula>
    </cfRule>
  </conditionalFormatting>
  <conditionalFormatting sqref="D5">
    <cfRule type="expression" priority="23" dxfId="0">
      <formula>OR($D$5&lt;&gt;"",$D$6&lt;&gt;"")</formula>
    </cfRule>
  </conditionalFormatting>
  <conditionalFormatting sqref="D6">
    <cfRule type="expression" priority="24" dxfId="1">
      <formula>OR($D$5&lt;&gt;"",$D$6&lt;&gt;"")</formula>
    </cfRule>
  </conditionalFormatting>
  <conditionalFormatting sqref="A7">
    <cfRule type="expression" priority="25" dxfId="0">
      <formula>OR($A$7&lt;&gt;"",$A$8&lt;&gt;"")</formula>
    </cfRule>
  </conditionalFormatting>
  <conditionalFormatting sqref="A8">
    <cfRule type="expression" priority="26" dxfId="1">
      <formula>OR($A$7&lt;&gt;"",$A$8&lt;&gt;"")</formula>
    </cfRule>
  </conditionalFormatting>
  <conditionalFormatting sqref="B7">
    <cfRule type="expression" priority="27" dxfId="0">
      <formula>OR($B$7&lt;&gt;"",$B$8&lt;&gt;"")</formula>
    </cfRule>
  </conditionalFormatting>
  <conditionalFormatting sqref="B8">
    <cfRule type="expression" priority="28" dxfId="1">
      <formula>OR($B$7&lt;&gt;"",$B$8&lt;&gt;"")</formula>
    </cfRule>
  </conditionalFormatting>
  <conditionalFormatting sqref="C7">
    <cfRule type="expression" priority="29" dxfId="0">
      <formula>OR($C$7&lt;&gt;"",$C$8&lt;&gt;"")</formula>
    </cfRule>
  </conditionalFormatting>
  <conditionalFormatting sqref="C8">
    <cfRule type="expression" priority="30" dxfId="1">
      <formula>OR($C$7&lt;&gt;"",$C$8&lt;&gt;"")</formula>
    </cfRule>
  </conditionalFormatting>
  <conditionalFormatting sqref="D7">
    <cfRule type="expression" priority="31" dxfId="0">
      <formula>OR($D$7&lt;&gt;"",$D$8&lt;&gt;"")</formula>
    </cfRule>
  </conditionalFormatting>
  <conditionalFormatting sqref="D8">
    <cfRule type="expression" priority="32" dxfId="1">
      <formula>OR($D$7&lt;&gt;"",$D$8&lt;&gt;"")</formula>
    </cfRule>
  </conditionalFormatting>
  <conditionalFormatting sqref="A9">
    <cfRule type="expression" priority="33" dxfId="0">
      <formula>OR($A$9&lt;&gt;"",$A$10&lt;&gt;"")</formula>
    </cfRule>
  </conditionalFormatting>
  <conditionalFormatting sqref="A10">
    <cfRule type="expression" priority="34" dxfId="1">
      <formula>OR($A$9&lt;&gt;"",$A$10&lt;&gt;"")</formula>
    </cfRule>
  </conditionalFormatting>
  <conditionalFormatting sqref="B9">
    <cfRule type="expression" priority="35" dxfId="0">
      <formula>OR($B$9&lt;&gt;"",$B$10&lt;&gt;"")</formula>
    </cfRule>
  </conditionalFormatting>
  <conditionalFormatting sqref="B10">
    <cfRule type="expression" priority="36" dxfId="1">
      <formula>OR($B$9&lt;&gt;"",$B$10&lt;&gt;"")</formula>
    </cfRule>
  </conditionalFormatting>
  <conditionalFormatting sqref="C9">
    <cfRule type="expression" priority="37" dxfId="0">
      <formula>OR($C$9&lt;&gt;"",$C$10&lt;&gt;"")</formula>
    </cfRule>
  </conditionalFormatting>
  <conditionalFormatting sqref="C10">
    <cfRule type="expression" priority="38" dxfId="1">
      <formula>OR($C$9&lt;&gt;"",$C$10&lt;&gt;"")</formula>
    </cfRule>
  </conditionalFormatting>
  <conditionalFormatting sqref="D9">
    <cfRule type="expression" priority="39" dxfId="0">
      <formula>OR($D$9&lt;&gt;"",$D$10&lt;&gt;"")</formula>
    </cfRule>
  </conditionalFormatting>
  <conditionalFormatting sqref="D10">
    <cfRule type="expression" priority="40" dxfId="1">
      <formula>OR($D$9&lt;&gt;"",$D$10&lt;&gt;"")</formula>
    </cfRule>
  </conditionalFormatting>
  <conditionalFormatting sqref="A11">
    <cfRule type="expression" priority="41" dxfId="0">
      <formula>OR($A$11&lt;&gt;"",$A$12&lt;&gt;"")</formula>
    </cfRule>
  </conditionalFormatting>
  <conditionalFormatting sqref="A12">
    <cfRule type="expression" priority="42" dxfId="1">
      <formula>OR($A$11&lt;&gt;"",$A$12&lt;&gt;"")</formula>
    </cfRule>
  </conditionalFormatting>
  <conditionalFormatting sqref="B11">
    <cfRule type="expression" priority="43" dxfId="0">
      <formula>OR($B$11&lt;&gt;"",$B$12&lt;&gt;"")</formula>
    </cfRule>
  </conditionalFormatting>
  <conditionalFormatting sqref="B12">
    <cfRule type="expression" priority="44" dxfId="1">
      <formula>OR($B$11&lt;&gt;"",$B$12&lt;&gt;"")</formula>
    </cfRule>
  </conditionalFormatting>
  <conditionalFormatting sqref="C11">
    <cfRule type="expression" priority="45" dxfId="0">
      <formula>OR($C$11&lt;&gt;"",$C$12&lt;&gt;"")</formula>
    </cfRule>
  </conditionalFormatting>
  <conditionalFormatting sqref="C12">
    <cfRule type="expression" priority="46" dxfId="1">
      <formula>OR($C$11&lt;&gt;"",$C$12&lt;&gt;"")</formula>
    </cfRule>
  </conditionalFormatting>
  <conditionalFormatting sqref="D11">
    <cfRule type="expression" priority="47" dxfId="0">
      <formula>OR($D$11&lt;&gt;"",$D$12&lt;&gt;"")</formula>
    </cfRule>
  </conditionalFormatting>
  <conditionalFormatting sqref="D12">
    <cfRule type="expression" priority="48" dxfId="1">
      <formula>OR($D$11&lt;&gt;"",$D$12&lt;&gt;"")</formula>
    </cfRule>
  </conditionalFormatting>
  <conditionalFormatting sqref="A13">
    <cfRule type="expression" priority="49" dxfId="0">
      <formula>OR($A$13&lt;&gt;"",$A$14&lt;&gt;"")</formula>
    </cfRule>
  </conditionalFormatting>
  <conditionalFormatting sqref="A14">
    <cfRule type="expression" priority="50" dxfId="1">
      <formula>OR($A$13&lt;&gt;"",$A$14&lt;&gt;"")</formula>
    </cfRule>
  </conditionalFormatting>
  <conditionalFormatting sqref="B13">
    <cfRule type="expression" priority="51" dxfId="0">
      <formula>OR($B$13&lt;&gt;"",$B$14&lt;&gt;"")</formula>
    </cfRule>
  </conditionalFormatting>
  <conditionalFormatting sqref="B14">
    <cfRule type="expression" priority="52" dxfId="1">
      <formula>OR($B$13&lt;&gt;"",$B$14&lt;&gt;"")</formula>
    </cfRule>
  </conditionalFormatting>
  <conditionalFormatting sqref="C13">
    <cfRule type="expression" priority="53" dxfId="0">
      <formula>OR($C$13&lt;&gt;"",$C$14&lt;&gt;"")</formula>
    </cfRule>
  </conditionalFormatting>
  <conditionalFormatting sqref="C14">
    <cfRule type="expression" priority="54" dxfId="1">
      <formula>OR($C$13&lt;&gt;"",$C$14&lt;&gt;"")</formula>
    </cfRule>
  </conditionalFormatting>
  <conditionalFormatting sqref="D13">
    <cfRule type="expression" priority="55" dxfId="0">
      <formula>OR($D$13&lt;&gt;"",$D$14&lt;&gt;"")</formula>
    </cfRule>
  </conditionalFormatting>
  <conditionalFormatting sqref="D14">
    <cfRule type="expression" priority="56" dxfId="1">
      <formula>OR($D$13&lt;&gt;"",$D$14&lt;&gt;"")</formula>
    </cfRule>
  </conditionalFormatting>
  <conditionalFormatting sqref="A15">
    <cfRule type="expression" priority="57" dxfId="0">
      <formula>OR($A$15&lt;&gt;"",$A$16&lt;&gt;"")</formula>
    </cfRule>
  </conditionalFormatting>
  <conditionalFormatting sqref="A16">
    <cfRule type="expression" priority="58" dxfId="1">
      <formula>OR($A$15&lt;&gt;"",$A$16&lt;&gt;"")</formula>
    </cfRule>
  </conditionalFormatting>
  <conditionalFormatting sqref="B15">
    <cfRule type="expression" priority="59" dxfId="0">
      <formula>OR($B$15&lt;&gt;"",$B$16&lt;&gt;"")</formula>
    </cfRule>
  </conditionalFormatting>
  <conditionalFormatting sqref="B16">
    <cfRule type="expression" priority="60" dxfId="1">
      <formula>OR($B$15&lt;&gt;"",$B$16&lt;&gt;"")</formula>
    </cfRule>
  </conditionalFormatting>
  <conditionalFormatting sqref="C15">
    <cfRule type="expression" priority="61" dxfId="0">
      <formula>OR($C$15&lt;&gt;"",$C$16&lt;&gt;"")</formula>
    </cfRule>
  </conditionalFormatting>
  <conditionalFormatting sqref="C16">
    <cfRule type="expression" priority="62" dxfId="1">
      <formula>OR($C$15&lt;&gt;"",$C$16&lt;&gt;"")</formula>
    </cfRule>
  </conditionalFormatting>
  <conditionalFormatting sqref="D15">
    <cfRule type="expression" priority="63" dxfId="0">
      <formula>OR($D$15&lt;&gt;"",$D$16&lt;&gt;"")</formula>
    </cfRule>
  </conditionalFormatting>
  <conditionalFormatting sqref="D16">
    <cfRule type="expression" priority="64" dxfId="1">
      <formula>OR($D$15&lt;&gt;"",$D$16&lt;&gt;"")</formula>
    </cfRule>
  </conditionalFormatting>
  <conditionalFormatting sqref="A17">
    <cfRule type="expression" priority="65" dxfId="0">
      <formula>OR($A$17&lt;&gt;"",$A$18&lt;&gt;"")</formula>
    </cfRule>
  </conditionalFormatting>
  <conditionalFormatting sqref="A18">
    <cfRule type="expression" priority="66" dxfId="1">
      <formula>OR($A$17&lt;&gt;"",$A$18&lt;&gt;"")</formula>
    </cfRule>
  </conditionalFormatting>
  <conditionalFormatting sqref="B17">
    <cfRule type="expression" priority="67" dxfId="0">
      <formula>OR($B$17&lt;&gt;"",$B$18&lt;&gt;"")</formula>
    </cfRule>
  </conditionalFormatting>
  <conditionalFormatting sqref="B18">
    <cfRule type="expression" priority="68" dxfId="1">
      <formula>OR($B$17&lt;&gt;"",$B$18&lt;&gt;"")</formula>
    </cfRule>
  </conditionalFormatting>
  <conditionalFormatting sqref="C17">
    <cfRule type="expression" priority="69" dxfId="0">
      <formula>OR($C$17&lt;&gt;"",$C$18&lt;&gt;"")</formula>
    </cfRule>
  </conditionalFormatting>
  <conditionalFormatting sqref="C18">
    <cfRule type="expression" priority="70" dxfId="1">
      <formula>OR($C$17&lt;&gt;"",$C$18&lt;&gt;"")</formula>
    </cfRule>
  </conditionalFormatting>
  <conditionalFormatting sqref="D17">
    <cfRule type="expression" priority="71" dxfId="0">
      <formula>OR($D$17&lt;&gt;"",$D$18&lt;&gt;"")</formula>
    </cfRule>
  </conditionalFormatting>
  <conditionalFormatting sqref="D18">
    <cfRule type="expression" priority="72" dxfId="1">
      <formula>OR($D$17&lt;&gt;"",$D$18&lt;&gt;"")</formula>
    </cfRule>
  </conditionalFormatting>
  <conditionalFormatting sqref="A19">
    <cfRule type="expression" priority="73" dxfId="0">
      <formula>OR($A$19&lt;&gt;"",$A$20&lt;&gt;"")</formula>
    </cfRule>
  </conditionalFormatting>
  <conditionalFormatting sqref="A20">
    <cfRule type="expression" priority="74" dxfId="1">
      <formula>OR($A$19&lt;&gt;"",$A$20&lt;&gt;"")</formula>
    </cfRule>
  </conditionalFormatting>
  <conditionalFormatting sqref="B19">
    <cfRule type="expression" priority="75" dxfId="0">
      <formula>OR($B$19&lt;&gt;"",$B$20&lt;&gt;"")</formula>
    </cfRule>
  </conditionalFormatting>
  <conditionalFormatting sqref="B20">
    <cfRule type="expression" priority="76" dxfId="1">
      <formula>OR($B$19&lt;&gt;"",$B$20&lt;&gt;"")</formula>
    </cfRule>
  </conditionalFormatting>
  <conditionalFormatting sqref="C19">
    <cfRule type="expression" priority="77" dxfId="0">
      <formula>OR($C$19&lt;&gt;"",$C$20&lt;&gt;"")</formula>
    </cfRule>
  </conditionalFormatting>
  <conditionalFormatting sqref="C20">
    <cfRule type="expression" priority="78" dxfId="1">
      <formula>OR($C$19&lt;&gt;"",$C$20&lt;&gt;"")</formula>
    </cfRule>
  </conditionalFormatting>
  <conditionalFormatting sqref="D19">
    <cfRule type="expression" priority="79" dxfId="0">
      <formula>OR($D$19&lt;&gt;"",$D$20&lt;&gt;"")</formula>
    </cfRule>
  </conditionalFormatting>
  <conditionalFormatting sqref="D20">
    <cfRule type="expression" priority="80" dxfId="1">
      <formula>OR($D$19&lt;&gt;"",$D$20&lt;&gt;"")</formula>
    </cfRule>
  </conditionalFormatting>
  <printOptions horizontalCentered="1"/>
  <pageMargins left="0.4" right="0.4" top="0.4" bottom="0.4" header="0.2" footer="0.2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tabSelected="0" workbookViewId="0">
      <selection activeCell="A1" sqref="A1"/>
    </sheetView>
  </sheetViews>
  <sheetFormatPr baseColWidth="8" defaultRowHeight="15"/>
  <cols>
    <col width="6" customWidth="1" style="50" min="1" max="1"/>
    <col width="3" customWidth="1" style="50" min="2" max="2"/>
    <col width="6" customWidth="1" style="50" min="3" max="3"/>
    <col width="3" customWidth="1" style="50" min="4" max="4"/>
    <col width="6" customWidth="1" style="50" min="5" max="5"/>
    <col width="3" customWidth="1" style="50" min="6" max="6"/>
    <col width="6" customWidth="1" style="50" min="7" max="7"/>
    <col width="3" customWidth="1" style="50" min="8" max="8"/>
    <col width="6" customWidth="1" style="50" min="9" max="9"/>
    <col width="3" customWidth="1" style="50" min="10" max="10"/>
    <col width="6" customWidth="1" style="50" min="11" max="11"/>
    <col width="3" customWidth="1" style="50" min="12" max="12"/>
    <col width="6" customWidth="1" style="50" min="13" max="13"/>
    <col width="3" customWidth="1" style="50" min="14" max="14"/>
    <col width="6" customWidth="1" style="50" min="15" max="15"/>
    <col width="3" customWidth="1" style="50" min="16" max="16"/>
    <col width="6" customWidth="1" style="50" min="17" max="17"/>
    <col width="3" customWidth="1" style="50" min="18" max="18"/>
    <col width="6" customWidth="1" style="50" min="19" max="19"/>
    <col width="3" customWidth="1" style="50" min="20" max="20"/>
    <col width="6" customWidth="1" style="50" min="21" max="21"/>
    <col width="3" customWidth="1" style="50" min="22" max="22"/>
    <col width="6" customWidth="1" style="50" min="23" max="23"/>
    <col width="3" customWidth="1" style="50" min="24" max="24"/>
  </cols>
  <sheetData>
    <row r="1" ht="175" customHeight="1" s="50">
      <c r="A1" s="85">
        <f>IF('梅 横長'!C3="","",'梅 横長'!C3)</f>
        <v/>
      </c>
      <c r="B1" s="86">
        <f>IF('梅 横長'!D3="","",'梅 横長'!D3)</f>
        <v/>
      </c>
      <c r="C1" s="85">
        <f>IF('梅 横長'!C4="","",'梅 横長'!C4)</f>
        <v/>
      </c>
      <c r="D1" s="86">
        <f>IF('梅 横長'!D4="","",'梅 横長'!D4)</f>
        <v/>
      </c>
      <c r="E1" s="85">
        <f>IF('梅 横長'!C5="","",'梅 横長'!C5)</f>
        <v/>
      </c>
      <c r="F1" s="86">
        <f>IF('梅 横長'!D5="","",'梅 横長'!D5)</f>
        <v/>
      </c>
      <c r="G1" s="85">
        <f>IF('梅 横長'!C6="","",'梅 横長'!C6)</f>
        <v/>
      </c>
      <c r="H1" s="86">
        <f>IF('梅 横長'!D6="","",'梅 横長'!D6)</f>
        <v/>
      </c>
      <c r="I1" s="85">
        <f>IF('梅 横長'!C7="","",'梅 横長'!C7)</f>
        <v/>
      </c>
      <c r="J1" s="86">
        <f>IF('梅 横長'!D7="","",'梅 横長'!D7)</f>
        <v/>
      </c>
      <c r="K1" s="85">
        <f>IF('梅 横長'!C8="","",'梅 横長'!C8)</f>
        <v/>
      </c>
      <c r="L1" s="86">
        <f>IF('梅 横長'!D8="","",'梅 横長'!D8)</f>
        <v/>
      </c>
      <c r="M1" s="85">
        <f>IF('梅 横長'!C9="","",'梅 横長'!C9)</f>
        <v/>
      </c>
      <c r="N1" s="86">
        <f>IF('梅 横長'!D9="","",'梅 横長'!D9)</f>
        <v/>
      </c>
      <c r="O1" s="85">
        <f>IF('梅 横長'!C10="","",'梅 横長'!C10)</f>
        <v/>
      </c>
      <c r="P1" s="86">
        <f>IF('梅 横長'!D10="","",'梅 横長'!D10)</f>
        <v/>
      </c>
      <c r="Q1" s="85">
        <f>IF('梅 横長'!C11="","",'梅 横長'!C11)</f>
        <v/>
      </c>
      <c r="R1" s="86">
        <f>IF('梅 横長'!D11="","",'梅 横長'!D11)</f>
        <v/>
      </c>
      <c r="S1" s="85">
        <f>IF('梅 横長'!C12="","",'梅 横長'!C12)</f>
        <v/>
      </c>
      <c r="T1" s="86">
        <f>IF('梅 横長'!D12="","",'梅 横長'!D12)</f>
        <v/>
      </c>
      <c r="U1" s="85">
        <f>IF('梅 横長'!C13="","",'梅 横長'!C13)</f>
        <v/>
      </c>
      <c r="V1" s="86">
        <f>IF('梅 横長'!D13="","",'梅 横長'!D13)</f>
        <v/>
      </c>
      <c r="W1" s="85">
        <f>IF('梅 横長'!C14="","",'梅 横長'!C14)</f>
        <v/>
      </c>
      <c r="X1" s="86">
        <f>IF('梅 横長'!D14="","",'梅 横長'!D14)</f>
        <v/>
      </c>
    </row>
    <row r="2" ht="175" customHeight="1" s="50">
      <c r="A2" s="85">
        <f>IF('梅 横長'!C15="","",'梅 横長'!C15)</f>
        <v/>
      </c>
      <c r="B2" s="86">
        <f>IF('梅 横長'!D15="","",'梅 横長'!D15)</f>
        <v/>
      </c>
      <c r="C2" s="85">
        <f>IF('梅 横長'!C16="","",'梅 横長'!C16)</f>
        <v/>
      </c>
      <c r="D2" s="86">
        <f>IF('梅 横長'!D16="","",'梅 横長'!D16)</f>
        <v/>
      </c>
      <c r="E2" s="85">
        <f>IF('梅 横長'!C17="","",'梅 横長'!C17)</f>
        <v/>
      </c>
      <c r="F2" s="86">
        <f>IF('梅 横長'!D17="","",'梅 横長'!D17)</f>
        <v/>
      </c>
      <c r="G2" s="85">
        <f>IF('梅 横長'!C18="","",'梅 横長'!C18)</f>
        <v/>
      </c>
      <c r="H2" s="86">
        <f>IF('梅 横長'!D18="","",'梅 横長'!D18)</f>
        <v/>
      </c>
      <c r="I2" s="85">
        <f>IF('梅 横長'!C19="","",'梅 横長'!C19)</f>
        <v/>
      </c>
      <c r="J2" s="86">
        <f>IF('梅 横長'!D19="","",'梅 横長'!D19)</f>
        <v/>
      </c>
      <c r="K2" s="85">
        <f>IF('梅 横長'!C20="","",'梅 横長'!C20)</f>
        <v/>
      </c>
      <c r="L2" s="86">
        <f>IF('梅 横長'!D20="","",'梅 横長'!D20)</f>
        <v/>
      </c>
      <c r="M2" s="85">
        <f>IF('梅 横長'!C21="","",'梅 横長'!C21)</f>
        <v/>
      </c>
      <c r="N2" s="86">
        <f>IF('梅 横長'!D21="","",'梅 横長'!D21)</f>
        <v/>
      </c>
      <c r="O2" s="85">
        <f>IF('梅 横長'!C22="","",'梅 横長'!C22)</f>
        <v/>
      </c>
      <c r="P2" s="86">
        <f>IF('梅 横長'!D22="","",'梅 横長'!D22)</f>
        <v/>
      </c>
      <c r="Q2" s="85">
        <f>IF('梅 横長'!C23="","",'梅 横長'!C23)</f>
        <v/>
      </c>
      <c r="R2" s="86">
        <f>IF('梅 横長'!D23="","",'梅 横長'!D23)</f>
        <v/>
      </c>
      <c r="S2" s="85">
        <f>IF('梅 横長'!C24="","",'梅 横長'!C24)</f>
        <v/>
      </c>
      <c r="T2" s="86">
        <f>IF('梅 横長'!D24="","",'梅 横長'!D24)</f>
        <v/>
      </c>
      <c r="U2" s="85">
        <f>IF('梅 横長'!C25="","",'梅 横長'!C25)</f>
        <v/>
      </c>
      <c r="V2" s="86">
        <f>IF('梅 横長'!D25="","",'梅 横長'!D25)</f>
        <v/>
      </c>
      <c r="W2" s="85">
        <f>IF('梅 横長'!C26="","",'梅 横長'!C26)</f>
        <v/>
      </c>
      <c r="X2" s="86">
        <f>IF('梅 横長'!D26="","",'梅 横長'!D26)</f>
        <v/>
      </c>
    </row>
    <row r="3" ht="175" customHeight="1" s="50">
      <c r="A3" s="85">
        <f>IF('梅 横長'!C27="","",'梅 横長'!C27)</f>
        <v/>
      </c>
      <c r="B3" s="86">
        <f>IF('梅 横長'!D27="","",'梅 横長'!D27)</f>
        <v/>
      </c>
      <c r="C3" s="85">
        <f>IF('梅 横長'!C28="","",'梅 横長'!C28)</f>
        <v/>
      </c>
      <c r="D3" s="86">
        <f>IF('梅 横長'!D28="","",'梅 横長'!D28)</f>
        <v/>
      </c>
      <c r="E3" s="85">
        <f>IF('梅 横長'!C29="","",'梅 横長'!C29)</f>
        <v/>
      </c>
      <c r="F3" s="86">
        <f>IF('梅 横長'!D29="","",'梅 横長'!D29)</f>
        <v/>
      </c>
      <c r="G3" s="85">
        <f>IF('梅 横長'!C30="","",'梅 横長'!C30)</f>
        <v/>
      </c>
      <c r="H3" s="86">
        <f>IF('梅 横長'!D30="","",'梅 横長'!D30)</f>
        <v/>
      </c>
      <c r="I3" s="85">
        <f>IF('梅 横長'!C31="","",'梅 横長'!C31)</f>
        <v/>
      </c>
      <c r="J3" s="86">
        <f>IF('梅 横長'!D31="","",'梅 横長'!D31)</f>
        <v/>
      </c>
      <c r="K3" s="85">
        <f>IF('梅 横長'!C32="","",'梅 横長'!C32)</f>
        <v/>
      </c>
      <c r="L3" s="86">
        <f>IF('梅 横長'!D32="","",'梅 横長'!D32)</f>
        <v/>
      </c>
      <c r="M3" s="85">
        <f>IF('梅 横長'!C33="","",'梅 横長'!C33)</f>
        <v/>
      </c>
      <c r="N3" s="86">
        <f>IF('梅 横長'!D33="","",'梅 横長'!D33)</f>
        <v/>
      </c>
      <c r="O3" s="85">
        <f>IF('梅 横長'!C34="","",'梅 横長'!C34)</f>
        <v/>
      </c>
      <c r="P3" s="86">
        <f>IF('梅 横長'!D34="","",'梅 横長'!D34)</f>
        <v/>
      </c>
      <c r="Q3" s="85">
        <f>IF('梅 横長'!C35="","",'梅 横長'!C35)</f>
        <v/>
      </c>
      <c r="R3" s="86">
        <f>IF('梅 横長'!D35="","",'梅 横長'!D35)</f>
        <v/>
      </c>
      <c r="S3" s="85">
        <f>IF('梅 横長'!C36="","",'梅 横長'!C36)</f>
        <v/>
      </c>
      <c r="T3" s="86">
        <f>IF('梅 横長'!D36="","",'梅 横長'!D36)</f>
        <v/>
      </c>
      <c r="U3" s="85">
        <f>IF('梅 横長'!C37="","",'梅 横長'!C37)</f>
        <v/>
      </c>
      <c r="V3" s="86">
        <f>IF('梅 横長'!D37="","",'梅 横長'!D37)</f>
        <v/>
      </c>
      <c r="W3" s="85" t="n"/>
      <c r="X3" s="86" t="n"/>
    </row>
  </sheetData>
  <conditionalFormatting sqref="A1">
    <cfRule type="expression" priority="1" dxfId="2">
      <formula>OR($A$1&lt;&gt;"",$B$1&lt;&gt;"")</formula>
    </cfRule>
  </conditionalFormatting>
  <conditionalFormatting sqref="B1">
    <cfRule type="expression" priority="2" dxfId="3">
      <formula>OR($A$1&lt;&gt;"",$B$1&lt;&gt;"")</formula>
    </cfRule>
  </conditionalFormatting>
  <conditionalFormatting sqref="C1">
    <cfRule type="expression" priority="3" dxfId="2">
      <formula>OR($C$1&lt;&gt;"",$D$1&lt;&gt;"")</formula>
    </cfRule>
  </conditionalFormatting>
  <conditionalFormatting sqref="D1">
    <cfRule type="expression" priority="4" dxfId="3">
      <formula>OR($C$1&lt;&gt;"",$D$1&lt;&gt;"")</formula>
    </cfRule>
  </conditionalFormatting>
  <conditionalFormatting sqref="E1">
    <cfRule type="expression" priority="5" dxfId="2">
      <formula>OR($E$1&lt;&gt;"",$F$1&lt;&gt;"")</formula>
    </cfRule>
  </conditionalFormatting>
  <conditionalFormatting sqref="F1">
    <cfRule type="expression" priority="6" dxfId="3">
      <formula>OR($E$1&lt;&gt;"",$F$1&lt;&gt;"")</formula>
    </cfRule>
  </conditionalFormatting>
  <conditionalFormatting sqref="G1">
    <cfRule type="expression" priority="7" dxfId="2">
      <formula>OR($G$1&lt;&gt;"",$H$1&lt;&gt;"")</formula>
    </cfRule>
  </conditionalFormatting>
  <conditionalFormatting sqref="H1">
    <cfRule type="expression" priority="8" dxfId="3">
      <formula>OR($G$1&lt;&gt;"",$H$1&lt;&gt;"")</formula>
    </cfRule>
  </conditionalFormatting>
  <conditionalFormatting sqref="I1">
    <cfRule type="expression" priority="9" dxfId="2">
      <formula>OR($I$1&lt;&gt;"",$J$1&lt;&gt;"")</formula>
    </cfRule>
  </conditionalFormatting>
  <conditionalFormatting sqref="J1">
    <cfRule type="expression" priority="10" dxfId="3">
      <formula>OR($I$1&lt;&gt;"",$J$1&lt;&gt;"")</formula>
    </cfRule>
  </conditionalFormatting>
  <conditionalFormatting sqref="K1">
    <cfRule type="expression" priority="11" dxfId="2">
      <formula>OR($K$1&lt;&gt;"",$L$1&lt;&gt;"")</formula>
    </cfRule>
  </conditionalFormatting>
  <conditionalFormatting sqref="L1">
    <cfRule type="expression" priority="12" dxfId="3">
      <formula>OR($K$1&lt;&gt;"",$L$1&lt;&gt;"")</formula>
    </cfRule>
  </conditionalFormatting>
  <conditionalFormatting sqref="M1">
    <cfRule type="expression" priority="13" dxfId="2">
      <formula>OR($M$1&lt;&gt;"",$N$1&lt;&gt;"")</formula>
    </cfRule>
  </conditionalFormatting>
  <conditionalFormatting sqref="N1">
    <cfRule type="expression" priority="14" dxfId="3">
      <formula>OR($M$1&lt;&gt;"",$N$1&lt;&gt;"")</formula>
    </cfRule>
  </conditionalFormatting>
  <conditionalFormatting sqref="O1">
    <cfRule type="expression" priority="15" dxfId="2">
      <formula>OR($O$1&lt;&gt;"",$P$1&lt;&gt;"")</formula>
    </cfRule>
  </conditionalFormatting>
  <conditionalFormatting sqref="P1">
    <cfRule type="expression" priority="16" dxfId="3">
      <formula>OR($O$1&lt;&gt;"",$P$1&lt;&gt;"")</formula>
    </cfRule>
  </conditionalFormatting>
  <conditionalFormatting sqref="Q1">
    <cfRule type="expression" priority="17" dxfId="2">
      <formula>OR($Q$1&lt;&gt;"",$R$1&lt;&gt;"")</formula>
    </cfRule>
  </conditionalFormatting>
  <conditionalFormatting sqref="R1">
    <cfRule type="expression" priority="18" dxfId="3">
      <formula>OR($Q$1&lt;&gt;"",$R$1&lt;&gt;"")</formula>
    </cfRule>
  </conditionalFormatting>
  <conditionalFormatting sqref="S1">
    <cfRule type="expression" priority="19" dxfId="2">
      <formula>OR($S$1&lt;&gt;"",$T$1&lt;&gt;"")</formula>
    </cfRule>
  </conditionalFormatting>
  <conditionalFormatting sqref="T1">
    <cfRule type="expression" priority="20" dxfId="3">
      <formula>OR($S$1&lt;&gt;"",$T$1&lt;&gt;"")</formula>
    </cfRule>
  </conditionalFormatting>
  <conditionalFormatting sqref="U1">
    <cfRule type="expression" priority="21" dxfId="2">
      <formula>OR($U$1&lt;&gt;"",$V$1&lt;&gt;"")</formula>
    </cfRule>
  </conditionalFormatting>
  <conditionalFormatting sqref="V1">
    <cfRule type="expression" priority="22" dxfId="3">
      <formula>OR($U$1&lt;&gt;"",$V$1&lt;&gt;"")</formula>
    </cfRule>
  </conditionalFormatting>
  <conditionalFormatting sqref="W1">
    <cfRule type="expression" priority="23" dxfId="2">
      <formula>OR($W$1&lt;&gt;"",$X$1&lt;&gt;"")</formula>
    </cfRule>
  </conditionalFormatting>
  <conditionalFormatting sqref="X1">
    <cfRule type="expression" priority="24" dxfId="3">
      <formula>OR($W$1&lt;&gt;"",$X$1&lt;&gt;"")</formula>
    </cfRule>
  </conditionalFormatting>
  <conditionalFormatting sqref="A2">
    <cfRule type="expression" priority="25" dxfId="2">
      <formula>OR($A$2&lt;&gt;"",$B$2&lt;&gt;"")</formula>
    </cfRule>
  </conditionalFormatting>
  <conditionalFormatting sqref="B2">
    <cfRule type="expression" priority="26" dxfId="3">
      <formula>OR($A$2&lt;&gt;"",$B$2&lt;&gt;"")</formula>
    </cfRule>
  </conditionalFormatting>
  <conditionalFormatting sqref="C2">
    <cfRule type="expression" priority="27" dxfId="2">
      <formula>OR($C$2&lt;&gt;"",$D$2&lt;&gt;"")</formula>
    </cfRule>
  </conditionalFormatting>
  <conditionalFormatting sqref="D2">
    <cfRule type="expression" priority="28" dxfId="3">
      <formula>OR($C$2&lt;&gt;"",$D$2&lt;&gt;"")</formula>
    </cfRule>
  </conditionalFormatting>
  <conditionalFormatting sqref="E2">
    <cfRule type="expression" priority="29" dxfId="2">
      <formula>OR($E$2&lt;&gt;"",$F$2&lt;&gt;"")</formula>
    </cfRule>
  </conditionalFormatting>
  <conditionalFormatting sqref="F2">
    <cfRule type="expression" priority="30" dxfId="3">
      <formula>OR($E$2&lt;&gt;"",$F$2&lt;&gt;"")</formula>
    </cfRule>
  </conditionalFormatting>
  <conditionalFormatting sqref="G2">
    <cfRule type="expression" priority="31" dxfId="2">
      <formula>OR($G$2&lt;&gt;"",$H$2&lt;&gt;"")</formula>
    </cfRule>
  </conditionalFormatting>
  <conditionalFormatting sqref="H2">
    <cfRule type="expression" priority="32" dxfId="3">
      <formula>OR($G$2&lt;&gt;"",$H$2&lt;&gt;"")</formula>
    </cfRule>
  </conditionalFormatting>
  <conditionalFormatting sqref="I2">
    <cfRule type="expression" priority="33" dxfId="2">
      <formula>OR($I$2&lt;&gt;"",$J$2&lt;&gt;"")</formula>
    </cfRule>
  </conditionalFormatting>
  <conditionalFormatting sqref="J2">
    <cfRule type="expression" priority="34" dxfId="3">
      <formula>OR($I$2&lt;&gt;"",$J$2&lt;&gt;"")</formula>
    </cfRule>
  </conditionalFormatting>
  <conditionalFormatting sqref="K2">
    <cfRule type="expression" priority="35" dxfId="2">
      <formula>OR($K$2&lt;&gt;"",$L$2&lt;&gt;"")</formula>
    </cfRule>
  </conditionalFormatting>
  <conditionalFormatting sqref="L2">
    <cfRule type="expression" priority="36" dxfId="3">
      <formula>OR($K$2&lt;&gt;"",$L$2&lt;&gt;"")</formula>
    </cfRule>
  </conditionalFormatting>
  <conditionalFormatting sqref="M2">
    <cfRule type="expression" priority="37" dxfId="2">
      <formula>OR($M$2&lt;&gt;"",$N$2&lt;&gt;"")</formula>
    </cfRule>
  </conditionalFormatting>
  <conditionalFormatting sqref="N2">
    <cfRule type="expression" priority="38" dxfId="3">
      <formula>OR($M$2&lt;&gt;"",$N$2&lt;&gt;"")</formula>
    </cfRule>
  </conditionalFormatting>
  <conditionalFormatting sqref="O2">
    <cfRule type="expression" priority="39" dxfId="2">
      <formula>OR($O$2&lt;&gt;"",$P$2&lt;&gt;"")</formula>
    </cfRule>
  </conditionalFormatting>
  <conditionalFormatting sqref="P2">
    <cfRule type="expression" priority="40" dxfId="3">
      <formula>OR($O$2&lt;&gt;"",$P$2&lt;&gt;"")</formula>
    </cfRule>
  </conditionalFormatting>
  <conditionalFormatting sqref="Q2">
    <cfRule type="expression" priority="41" dxfId="2">
      <formula>OR($Q$2&lt;&gt;"",$R$2&lt;&gt;"")</formula>
    </cfRule>
  </conditionalFormatting>
  <conditionalFormatting sqref="R2">
    <cfRule type="expression" priority="42" dxfId="3">
      <formula>OR($Q$2&lt;&gt;"",$R$2&lt;&gt;"")</formula>
    </cfRule>
  </conditionalFormatting>
  <conditionalFormatting sqref="S2">
    <cfRule type="expression" priority="43" dxfId="2">
      <formula>OR($S$2&lt;&gt;"",$T$2&lt;&gt;"")</formula>
    </cfRule>
  </conditionalFormatting>
  <conditionalFormatting sqref="T2">
    <cfRule type="expression" priority="44" dxfId="3">
      <formula>OR($S$2&lt;&gt;"",$T$2&lt;&gt;"")</formula>
    </cfRule>
  </conditionalFormatting>
  <conditionalFormatting sqref="U2">
    <cfRule type="expression" priority="45" dxfId="2">
      <formula>OR($U$2&lt;&gt;"",$V$2&lt;&gt;"")</formula>
    </cfRule>
  </conditionalFormatting>
  <conditionalFormatting sqref="V2">
    <cfRule type="expression" priority="46" dxfId="3">
      <formula>OR($U$2&lt;&gt;"",$V$2&lt;&gt;"")</formula>
    </cfRule>
  </conditionalFormatting>
  <conditionalFormatting sqref="W2">
    <cfRule type="expression" priority="47" dxfId="2">
      <formula>OR($W$2&lt;&gt;"",$X$2&lt;&gt;"")</formula>
    </cfRule>
  </conditionalFormatting>
  <conditionalFormatting sqref="X2">
    <cfRule type="expression" priority="48" dxfId="3">
      <formula>OR($W$2&lt;&gt;"",$X$2&lt;&gt;"")</formula>
    </cfRule>
  </conditionalFormatting>
  <conditionalFormatting sqref="A3">
    <cfRule type="expression" priority="49" dxfId="2">
      <formula>OR($A$3&lt;&gt;"",$B$3&lt;&gt;"")</formula>
    </cfRule>
  </conditionalFormatting>
  <conditionalFormatting sqref="B3">
    <cfRule type="expression" priority="50" dxfId="3">
      <formula>OR($A$3&lt;&gt;"",$B$3&lt;&gt;"")</formula>
    </cfRule>
  </conditionalFormatting>
  <conditionalFormatting sqref="C3">
    <cfRule type="expression" priority="51" dxfId="2">
      <formula>OR($C$3&lt;&gt;"",$D$3&lt;&gt;"")</formula>
    </cfRule>
  </conditionalFormatting>
  <conditionalFormatting sqref="D3">
    <cfRule type="expression" priority="52" dxfId="3">
      <formula>OR($C$3&lt;&gt;"",$D$3&lt;&gt;"")</formula>
    </cfRule>
  </conditionalFormatting>
  <conditionalFormatting sqref="E3">
    <cfRule type="expression" priority="53" dxfId="2">
      <formula>OR($E$3&lt;&gt;"",$F$3&lt;&gt;"")</formula>
    </cfRule>
  </conditionalFormatting>
  <conditionalFormatting sqref="F3">
    <cfRule type="expression" priority="54" dxfId="3">
      <formula>OR($E$3&lt;&gt;"",$F$3&lt;&gt;"")</formula>
    </cfRule>
  </conditionalFormatting>
  <conditionalFormatting sqref="G3">
    <cfRule type="expression" priority="55" dxfId="2">
      <formula>OR($G$3&lt;&gt;"",$H$3&lt;&gt;"")</formula>
    </cfRule>
  </conditionalFormatting>
  <conditionalFormatting sqref="H3">
    <cfRule type="expression" priority="56" dxfId="3">
      <formula>OR($G$3&lt;&gt;"",$H$3&lt;&gt;"")</formula>
    </cfRule>
  </conditionalFormatting>
  <conditionalFormatting sqref="I3">
    <cfRule type="expression" priority="57" dxfId="2">
      <formula>OR($I$3&lt;&gt;"",$J$3&lt;&gt;"")</formula>
    </cfRule>
  </conditionalFormatting>
  <conditionalFormatting sqref="J3">
    <cfRule type="expression" priority="58" dxfId="3">
      <formula>OR($I$3&lt;&gt;"",$J$3&lt;&gt;"")</formula>
    </cfRule>
  </conditionalFormatting>
  <conditionalFormatting sqref="K3">
    <cfRule type="expression" priority="59" dxfId="2">
      <formula>OR($K$3&lt;&gt;"",$L$3&lt;&gt;"")</formula>
    </cfRule>
  </conditionalFormatting>
  <conditionalFormatting sqref="L3">
    <cfRule type="expression" priority="60" dxfId="3">
      <formula>OR($K$3&lt;&gt;"",$L$3&lt;&gt;"")</formula>
    </cfRule>
  </conditionalFormatting>
  <conditionalFormatting sqref="M3">
    <cfRule type="expression" priority="61" dxfId="2">
      <formula>OR($M$3&lt;&gt;"",$N$3&lt;&gt;"")</formula>
    </cfRule>
  </conditionalFormatting>
  <conditionalFormatting sqref="N3">
    <cfRule type="expression" priority="62" dxfId="3">
      <formula>OR($M$3&lt;&gt;"",$N$3&lt;&gt;"")</formula>
    </cfRule>
  </conditionalFormatting>
  <conditionalFormatting sqref="O3">
    <cfRule type="expression" priority="63" dxfId="2">
      <formula>OR($O$3&lt;&gt;"",$P$3&lt;&gt;"")</formula>
    </cfRule>
  </conditionalFormatting>
  <conditionalFormatting sqref="P3">
    <cfRule type="expression" priority="64" dxfId="3">
      <formula>OR($O$3&lt;&gt;"",$P$3&lt;&gt;"")</formula>
    </cfRule>
  </conditionalFormatting>
  <conditionalFormatting sqref="Q3">
    <cfRule type="expression" priority="65" dxfId="2">
      <formula>OR($Q$3&lt;&gt;"",$R$3&lt;&gt;"")</formula>
    </cfRule>
  </conditionalFormatting>
  <conditionalFormatting sqref="R3">
    <cfRule type="expression" priority="66" dxfId="3">
      <formula>OR($Q$3&lt;&gt;"",$R$3&lt;&gt;"")</formula>
    </cfRule>
  </conditionalFormatting>
  <conditionalFormatting sqref="S3">
    <cfRule type="expression" priority="67" dxfId="2">
      <formula>OR($S$3&lt;&gt;"",$T$3&lt;&gt;"")</formula>
    </cfRule>
  </conditionalFormatting>
  <conditionalFormatting sqref="T3">
    <cfRule type="expression" priority="68" dxfId="3">
      <formula>OR($S$3&lt;&gt;"",$T$3&lt;&gt;"")</formula>
    </cfRule>
  </conditionalFormatting>
  <conditionalFormatting sqref="U3">
    <cfRule type="expression" priority="69" dxfId="2">
      <formula>OR($U$3&lt;&gt;"",$V$3&lt;&gt;"")</formula>
    </cfRule>
  </conditionalFormatting>
  <conditionalFormatting sqref="V3">
    <cfRule type="expression" priority="70" dxfId="3">
      <formula>OR($U$3&lt;&gt;"",$V$3&lt;&gt;"")</formula>
    </cfRule>
  </conditionalFormatting>
  <conditionalFormatting sqref="W3">
    <cfRule type="expression" priority="71" dxfId="2">
      <formula>OR($W$3&lt;&gt;"",$X$3&lt;&gt;"")</formula>
    </cfRule>
  </conditionalFormatting>
  <conditionalFormatting sqref="X3">
    <cfRule type="expression" priority="72" dxfId="3">
      <formula>OR($W$3&lt;&gt;"",$X$3&lt;&gt;"")</formula>
    </cfRule>
  </conditionalFormatting>
  <printOptions horizontalCentered="1"/>
  <pageMargins left="0.4" right="0.4" top="0.4" bottom="0.4" header="0.2" footer="0.2"/>
  <pageSetup orientation="landscape" paperSize="9" fitToHeight="1" fitToWidth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Y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8.5390625" defaultRowHeight="13.5" zeroHeight="0" outlineLevelRow="0"/>
  <cols>
    <col width="11.13" customWidth="1" style="87" min="1" max="2"/>
    <col width="2" customWidth="1" style="87" min="3" max="3"/>
    <col width="11.13" customWidth="1" style="87" min="4" max="5"/>
    <col width="2" customWidth="1" style="87" min="6" max="6"/>
    <col width="11.13" customWidth="1" style="87" min="7" max="8"/>
    <col width="2" customWidth="1" style="87" min="9" max="9"/>
    <col width="11.13" customWidth="1" style="87" min="10" max="11"/>
    <col width="2" customWidth="1" style="87" min="12" max="12"/>
    <col width="11" customWidth="1" style="87" min="13" max="14"/>
    <col width="2" customWidth="1" style="87" min="15" max="15"/>
    <col width="11" customWidth="1" style="87" min="16" max="17"/>
    <col width="11" customWidth="1" style="47" min="18" max="18"/>
    <col width="6" customWidth="1" style="47" min="19" max="19"/>
    <col width="7" customWidth="1" style="47" min="20" max="25"/>
  </cols>
  <sheetData>
    <row r="1" ht="13.5" customHeight="1" s="50">
      <c r="G1" s="88" t="inlineStr">
        <is>
          <t>黒板</t>
        </is>
      </c>
      <c r="H1" s="89" t="n"/>
      <c r="I1" s="89" t="n"/>
      <c r="J1" s="89" t="n"/>
      <c r="K1" s="90" t="n"/>
      <c r="S1" s="91" t="inlineStr">
        <is>
          <t>【入力用】出席番号を入力（↑黒板側）</t>
        </is>
      </c>
    </row>
    <row r="2" ht="22.5" customHeight="1" s="50">
      <c r="G2" s="92" t="n"/>
      <c r="H2" s="93" t="n"/>
      <c r="I2" s="93" t="n"/>
      <c r="J2" s="93" t="n"/>
      <c r="K2" s="94" t="n"/>
      <c r="T2" s="95" t="inlineStr">
        <is>
          <t>列1</t>
        </is>
      </c>
      <c r="U2" s="95" t="inlineStr">
        <is>
          <t>列2</t>
        </is>
      </c>
      <c r="V2" s="95" t="inlineStr">
        <is>
          <t>列3</t>
        </is>
      </c>
      <c r="W2" s="95" t="inlineStr">
        <is>
          <t>列4</t>
        </is>
      </c>
      <c r="X2" s="95" t="inlineStr">
        <is>
          <t>列5</t>
        </is>
      </c>
      <c r="Y2" s="95" t="inlineStr">
        <is>
          <t>列6</t>
        </is>
      </c>
    </row>
    <row r="3" ht="22.5" customHeight="1" s="50">
      <c r="S3" s="96" t="n"/>
      <c r="T3" s="97" t="inlineStr">
        <is>
          <t>列1</t>
        </is>
      </c>
      <c r="U3" s="97" t="inlineStr">
        <is>
          <t>列2</t>
        </is>
      </c>
      <c r="V3" s="97" t="inlineStr">
        <is>
          <t>列3</t>
        </is>
      </c>
      <c r="W3" s="97" t="inlineStr">
        <is>
          <t>列4</t>
        </is>
      </c>
      <c r="X3" s="97" t="inlineStr">
        <is>
          <t>列5</t>
        </is>
      </c>
      <c r="Y3" s="95" t="inlineStr">
        <is>
          <t>列6</t>
        </is>
      </c>
    </row>
    <row r="4" ht="22.5" customHeight="1" s="50">
      <c r="A4" s="98">
        <f>IF(T4="","",IFERROR(VLOOKUP(T4,'梅 横長'!$B$3:$D$37,3,FALSE()),""))</f>
        <v/>
      </c>
      <c r="B4" s="99" t="n"/>
      <c r="D4" s="98">
        <f>IF(U4="","",IFERROR(VLOOKUP(U4,'梅 横長'!$B$3:$D$37,3,FALSE()),""))</f>
        <v/>
      </c>
      <c r="E4" s="99" t="n"/>
      <c r="G4" s="98">
        <f>IF(V4="","",IFERROR(VLOOKUP(V4,'梅 横長'!$B$3:$D$37,3,FALSE()),""))</f>
        <v/>
      </c>
      <c r="H4" s="99" t="n"/>
      <c r="J4" s="98">
        <f>IF(W4="","",IFERROR(VLOOKUP(W4,'梅 横長'!$B$3:$D$37,3,FALSE()),""))</f>
        <v/>
      </c>
      <c r="K4" s="99" t="n"/>
      <c r="M4" s="98">
        <f>IF(X4="","",IFERROR(VLOOKUP(X4,'梅 横長'!$B$3:$D$37,3,FALSE()),""))</f>
        <v/>
      </c>
      <c r="N4" s="99" t="n"/>
      <c r="P4" s="98">
        <f>IF(Y4="","",IFERROR(VLOOKUP(Y4,'梅 横長'!$B$3:$D$37,3,FALSE()),""))</f>
        <v/>
      </c>
      <c r="Q4" s="99" t="n"/>
      <c r="S4" s="100" t="inlineStr">
        <is>
          <t>1列目</t>
        </is>
      </c>
      <c r="T4" s="101" t="n"/>
      <c r="U4" s="101" t="n"/>
      <c r="V4" s="101" t="n"/>
      <c r="W4" s="101" t="n"/>
      <c r="X4" s="101" t="n"/>
      <c r="Y4" s="101" t="n"/>
    </row>
    <row r="5" ht="22.5" customHeight="1" s="50">
      <c r="A5" s="102">
        <f>IF(T4="","",IFERROR(VLOOKUP(T4,'梅 横長'!$B$3:$D$37,2,FALSE()),""))</f>
        <v/>
      </c>
      <c r="B5" s="90" t="n"/>
      <c r="D5" s="102">
        <f>IF(U4="","",IFERROR(VLOOKUP(U4,'梅 横長'!$B$3:$D$37,2,FALSE()),""))</f>
        <v/>
      </c>
      <c r="E5" s="90" t="n"/>
      <c r="G5" s="102">
        <f>IF(V4="","",IFERROR(VLOOKUP(V4,'梅 横長'!$B$3:$D$37,2,FALSE()),""))</f>
        <v/>
      </c>
      <c r="H5" s="90" t="n"/>
      <c r="J5" s="102">
        <f>IF(W4="","",IFERROR(VLOOKUP(W4,'梅 横長'!$B$3:$D$37,2,FALSE()),""))</f>
        <v/>
      </c>
      <c r="K5" s="90" t="n"/>
      <c r="M5" s="102">
        <f>IF(X4="","",IFERROR(VLOOKUP(X4,'梅 横長'!$B$3:$D$37,2,FALSE()),""))</f>
        <v/>
      </c>
      <c r="N5" s="90" t="n"/>
      <c r="O5" s="103" t="n"/>
      <c r="P5" s="102">
        <f>IF(Y4="","",IFERROR(VLOOKUP(Y4,'梅 横長'!$B$3:$D$37,2,FALSE()),""))</f>
        <v/>
      </c>
      <c r="Q5" s="90" t="n"/>
      <c r="S5" s="100" t="inlineStr">
        <is>
          <t>2列目</t>
        </is>
      </c>
      <c r="T5" s="101" t="n"/>
      <c r="U5" s="101" t="n"/>
      <c r="V5" s="101" t="n"/>
      <c r="W5" s="101" t="n"/>
      <c r="X5" s="101" t="n"/>
      <c r="Y5" s="101" t="n"/>
    </row>
    <row r="6" ht="22.5" customHeight="1" s="50">
      <c r="A6" s="92" t="n"/>
      <c r="B6" s="94" t="n"/>
      <c r="D6" s="92" t="n"/>
      <c r="E6" s="94" t="n"/>
      <c r="G6" s="92" t="n"/>
      <c r="H6" s="94" t="n"/>
      <c r="J6" s="92" t="n"/>
      <c r="K6" s="94" t="n"/>
      <c r="M6" s="92" t="n"/>
      <c r="N6" s="94" t="n"/>
      <c r="O6" s="103" t="n"/>
      <c r="P6" s="92" t="n"/>
      <c r="Q6" s="94" t="n"/>
      <c r="S6" s="100" t="inlineStr">
        <is>
          <t>3列目</t>
        </is>
      </c>
      <c r="T6" s="101" t="n"/>
      <c r="U6" s="101" t="n"/>
      <c r="V6" s="101" t="n"/>
      <c r="W6" s="101" t="n"/>
      <c r="X6" s="101" t="n"/>
      <c r="Y6" s="101" t="n"/>
    </row>
    <row r="7" ht="22.5" customHeight="1" s="50">
      <c r="S7" s="100" t="inlineStr">
        <is>
          <t>4列目</t>
        </is>
      </c>
      <c r="T7" s="101" t="n"/>
      <c r="U7" s="101" t="n"/>
      <c r="V7" s="101" t="n"/>
      <c r="W7" s="101" t="n"/>
      <c r="X7" s="101" t="n"/>
      <c r="Y7" s="101" t="n"/>
    </row>
    <row r="8" ht="22.5" customHeight="1" s="50">
      <c r="A8" s="98">
        <f>IF(T5="","",IFERROR(VLOOKUP(T5,'梅 横長'!$B$3:$D$37,3,FALSE()),""))</f>
        <v/>
      </c>
      <c r="B8" s="99" t="n"/>
      <c r="D8" s="98">
        <f>IF(U5="","",IFERROR(VLOOKUP(U5,'梅 横長'!$B$3:$D$37,3,FALSE()),""))</f>
        <v/>
      </c>
      <c r="E8" s="99" t="n"/>
      <c r="G8" s="98">
        <f>IF(V5="","",IFERROR(VLOOKUP(V5,'梅 横長'!$B$3:$D$37,3,FALSE()),""))</f>
        <v/>
      </c>
      <c r="H8" s="99" t="n"/>
      <c r="J8" s="98">
        <f>IF(W5="","",IFERROR(VLOOKUP(W5,'梅 横長'!$B$3:$D$37,3,FALSE()),""))</f>
        <v/>
      </c>
      <c r="K8" s="99" t="n"/>
      <c r="M8" s="98">
        <f>IF(X5="","",IFERROR(VLOOKUP(X5,'梅 横長'!$B$3:$D$37,3,FALSE()),""))</f>
        <v/>
      </c>
      <c r="N8" s="99" t="n"/>
      <c r="P8" s="98">
        <f>IF(Y5="","",IFERROR(VLOOKUP(Y5,'梅 横長'!$B$3:$D$37,3,FALSE()),""))</f>
        <v/>
      </c>
      <c r="Q8" s="99" t="n"/>
      <c r="S8" s="104" t="inlineStr">
        <is>
          <t>5列目</t>
        </is>
      </c>
      <c r="T8" s="101" t="n"/>
      <c r="U8" s="101" t="n"/>
      <c r="V8" s="101" t="n"/>
      <c r="W8" s="101" t="n"/>
      <c r="X8" s="101" t="n"/>
      <c r="Y8" s="101" t="n"/>
    </row>
    <row r="9" ht="22.5" customHeight="1" s="50">
      <c r="A9" s="102">
        <f>IF(T5="","",IFERROR(VLOOKUP(T5,'梅 横長'!$B$3:$D$37,2,FALSE()),""))</f>
        <v/>
      </c>
      <c r="B9" s="90" t="n"/>
      <c r="C9" s="103" t="n"/>
      <c r="D9" s="102">
        <f>IF(U5="","",IFERROR(VLOOKUP(U5,'梅 横長'!$B$3:$D$37,2,FALSE()),""))</f>
        <v/>
      </c>
      <c r="E9" s="90" t="n"/>
      <c r="F9" s="103" t="n"/>
      <c r="G9" s="102">
        <f>IF(V5="","",IFERROR(VLOOKUP(V5,'梅 横長'!$B$3:$D$37,2,FALSE()),""))</f>
        <v/>
      </c>
      <c r="H9" s="90" t="n"/>
      <c r="I9" s="103" t="n"/>
      <c r="J9" s="102">
        <f>IF(W5="","",IFERROR(VLOOKUP(W5,'梅 横長'!$B$3:$D$37,2,FALSE()),""))</f>
        <v/>
      </c>
      <c r="K9" s="90" t="n"/>
      <c r="L9" s="103" t="n"/>
      <c r="M9" s="102">
        <f>IF(X5="","",IFERROR(VLOOKUP(X5,'梅 横長'!$B$3:$D$37,2,FALSE()),""))</f>
        <v/>
      </c>
      <c r="N9" s="90" t="n"/>
      <c r="O9" s="103" t="n"/>
      <c r="P9" s="102">
        <f>IF(Y5="","",IFERROR(VLOOKUP(Y5,'梅 横長'!$B$3:$D$37,2,FALSE()),""))</f>
        <v/>
      </c>
      <c r="Q9" s="90" t="n"/>
      <c r="S9" s="104" t="inlineStr">
        <is>
          <t>6列目</t>
        </is>
      </c>
      <c r="T9" s="101" t="n"/>
      <c r="U9" s="101" t="n"/>
      <c r="V9" s="101" t="n"/>
      <c r="W9" s="101" t="n"/>
      <c r="X9" s="101" t="n"/>
      <c r="Y9" s="101" t="n"/>
    </row>
    <row r="10" ht="22.5" customHeight="1" s="50">
      <c r="A10" s="92" t="n"/>
      <c r="B10" s="94" t="n"/>
      <c r="C10" s="103" t="n"/>
      <c r="D10" s="92" t="n"/>
      <c r="E10" s="94" t="n"/>
      <c r="F10" s="103" t="n"/>
      <c r="G10" s="92" t="n"/>
      <c r="H10" s="94" t="n"/>
      <c r="I10" s="103" t="n"/>
      <c r="J10" s="92" t="n"/>
      <c r="K10" s="94" t="n"/>
      <c r="L10" s="103" t="n"/>
      <c r="M10" s="92" t="n"/>
      <c r="N10" s="94" t="n"/>
      <c r="O10" s="103" t="n"/>
      <c r="P10" s="92" t="n"/>
      <c r="Q10" s="94" t="n"/>
    </row>
    <row r="11" ht="22.5" customHeight="1" s="50"/>
    <row r="12" ht="22.5" customHeight="1" s="50">
      <c r="A12" s="98">
        <f>IF(T6="","",IFERROR(VLOOKUP(T6,'梅 横長'!$B$3:$D$37,3,FALSE()),""))</f>
        <v/>
      </c>
      <c r="B12" s="99" t="n"/>
      <c r="D12" s="98">
        <f>IF(U6="","",IFERROR(VLOOKUP(U6,'梅 横長'!$B$3:$D$37,3,FALSE()),""))</f>
        <v/>
      </c>
      <c r="E12" s="99" t="n"/>
      <c r="G12" s="98">
        <f>IF(V6="","",IFERROR(VLOOKUP(V6,'梅 横長'!$B$3:$D$37,3,FALSE()),""))</f>
        <v/>
      </c>
      <c r="H12" s="99" t="n"/>
      <c r="J12" s="98">
        <f>IF(W6="","",IFERROR(VLOOKUP(W6,'梅 横長'!$B$3:$D$37,3,FALSE()),""))</f>
        <v/>
      </c>
      <c r="K12" s="99" t="n"/>
      <c r="M12" s="98">
        <f>IF(X6="","",IFERROR(VLOOKUP(X6,'梅 横長'!$B$3:$D$37,3,FALSE()),""))</f>
        <v/>
      </c>
      <c r="N12" s="99" t="n"/>
      <c r="P12" s="98">
        <f>IF(Y6="","",IFERROR(VLOOKUP(Y6,'梅 横長'!$B$3:$D$37,3,FALSE()),""))</f>
        <v/>
      </c>
      <c r="Q12" s="99" t="n"/>
      <c r="S12" s="105" t="n"/>
      <c r="T12" s="105" t="n"/>
      <c r="U12" s="105" t="n"/>
      <c r="V12" s="105" t="n"/>
      <c r="W12" s="105" t="n"/>
      <c r="X12" s="105" t="n"/>
      <c r="Y12" s="105" t="n"/>
    </row>
    <row r="13" ht="22.5" customHeight="1" s="50">
      <c r="A13" s="102">
        <f>IF(T6="","",IFERROR(VLOOKUP(T6,'梅 横長'!$B$3:$D$37,2,FALSE()),""))</f>
        <v/>
      </c>
      <c r="B13" s="90" t="n"/>
      <c r="C13" s="103" t="n"/>
      <c r="D13" s="102">
        <f>IF(U6="","",IFERROR(VLOOKUP(U6,'梅 横長'!$B$3:$D$37,2,FALSE()),""))</f>
        <v/>
      </c>
      <c r="E13" s="90" t="n"/>
      <c r="F13" s="103" t="n"/>
      <c r="G13" s="102">
        <f>IF(V6="","",IFERROR(VLOOKUP(V6,'梅 横長'!$B$3:$D$37,2,FALSE()),""))</f>
        <v/>
      </c>
      <c r="H13" s="90" t="n"/>
      <c r="I13" s="103" t="n"/>
      <c r="J13" s="102">
        <f>IF(W6="","",IFERROR(VLOOKUP(W6,'梅 横長'!$B$3:$D$37,2,FALSE()),""))</f>
        <v/>
      </c>
      <c r="K13" s="90" t="n"/>
      <c r="L13" s="103" t="n"/>
      <c r="M13" s="102">
        <f>IF(X6="","",IFERROR(VLOOKUP(X6,'梅 横長'!$B$3:$D$37,2,FALSE()),""))</f>
        <v/>
      </c>
      <c r="N13" s="90" t="n"/>
      <c r="O13" s="103" t="n"/>
      <c r="P13" s="102">
        <f>IF(Y6="","",IFERROR(VLOOKUP(Y6,'梅 横長'!$B$3:$D$37,2,FALSE()),""))</f>
        <v/>
      </c>
      <c r="Q13" s="90" t="n"/>
    </row>
    <row r="14" ht="22.5" customHeight="1" s="50">
      <c r="A14" s="92" t="n"/>
      <c r="B14" s="94" t="n"/>
      <c r="C14" s="103" t="n"/>
      <c r="D14" s="92" t="n"/>
      <c r="E14" s="94" t="n"/>
      <c r="F14" s="103" t="n"/>
      <c r="G14" s="92" t="n"/>
      <c r="H14" s="94" t="n"/>
      <c r="I14" s="103" t="n"/>
      <c r="J14" s="92" t="n"/>
      <c r="K14" s="94" t="n"/>
      <c r="L14" s="103" t="n"/>
      <c r="M14" s="92" t="n"/>
      <c r="N14" s="94" t="n"/>
      <c r="O14" s="103" t="n"/>
      <c r="P14" s="92" t="n"/>
      <c r="Q14" s="94" t="n"/>
    </row>
    <row r="15" ht="22.5" customHeight="1" s="50"/>
    <row r="16" ht="22.5" customHeight="1" s="50">
      <c r="A16" s="98">
        <f>IF(T7="","",IFERROR(VLOOKUP(T7,'梅 横長'!$B$3:$D$37,3,FALSE()),""))</f>
        <v/>
      </c>
      <c r="B16" s="99" t="n"/>
      <c r="D16" s="98">
        <f>IF(U7="","",IFERROR(VLOOKUP(U7,'梅 横長'!$B$3:$D$37,3,FALSE()),""))</f>
        <v/>
      </c>
      <c r="E16" s="99" t="n"/>
      <c r="G16" s="98">
        <f>IF(V7="","",IFERROR(VLOOKUP(V7,'梅 横長'!$B$3:$D$37,3,FALSE()),""))</f>
        <v/>
      </c>
      <c r="H16" s="99" t="n"/>
      <c r="J16" s="98">
        <f>IF(W7="","",IFERROR(VLOOKUP(W7,'梅 横長'!$B$3:$D$37,3,FALSE()),""))</f>
        <v/>
      </c>
      <c r="K16" s="99" t="n"/>
      <c r="M16" s="98">
        <f>IF(X7="","",IFERROR(VLOOKUP(X7,'梅 横長'!$B$3:$D$37,3,FALSE()),""))</f>
        <v/>
      </c>
      <c r="N16" s="99" t="n"/>
      <c r="P16" s="98">
        <f>IF(Y7="","",IFERROR(VLOOKUP(Y7,'梅 横長'!$B$3:$D$37,3,FALSE()),""))</f>
        <v/>
      </c>
      <c r="Q16" s="99" t="n"/>
      <c r="S16" s="105" t="n"/>
      <c r="T16" s="105" t="n"/>
      <c r="U16" s="105" t="n"/>
      <c r="V16" s="105" t="n"/>
      <c r="W16" s="105" t="n"/>
      <c r="X16" s="105" t="n"/>
      <c r="Y16" s="105" t="n"/>
    </row>
    <row r="17" ht="22.5" customHeight="1" s="50">
      <c r="A17" s="102">
        <f>IF(T7="","",IFERROR(VLOOKUP(T7,'梅 横長'!$B$3:$D$37,2,FALSE()),""))</f>
        <v/>
      </c>
      <c r="B17" s="90" t="n"/>
      <c r="C17" s="103" t="n"/>
      <c r="D17" s="102">
        <f>IF(U7="","",IFERROR(VLOOKUP(U7,'梅 横長'!$B$3:$D$37,2,FALSE()),""))</f>
        <v/>
      </c>
      <c r="E17" s="90" t="n"/>
      <c r="F17" s="103" t="n"/>
      <c r="G17" s="102">
        <f>IF(V7="","",IFERROR(VLOOKUP(V7,'梅 横長'!$B$3:$D$37,2,FALSE()),""))</f>
        <v/>
      </c>
      <c r="H17" s="90" t="n"/>
      <c r="I17" s="103" t="n"/>
      <c r="J17" s="102">
        <f>IF(W7="","",IFERROR(VLOOKUP(W7,'梅 横長'!$B$3:$D$37,2,FALSE()),""))</f>
        <v/>
      </c>
      <c r="K17" s="90" t="n"/>
      <c r="L17" s="103" t="n"/>
      <c r="M17" s="102">
        <f>IF(X7="","",IFERROR(VLOOKUP(X7,'梅 横長'!$B$3:$D$37,2,FALSE()),""))</f>
        <v/>
      </c>
      <c r="N17" s="90" t="n"/>
      <c r="O17" s="103" t="n"/>
      <c r="P17" s="102">
        <f>IF(Y7="","",IFERROR(VLOOKUP(Y7,'梅 横長'!$B$3:$D$37,2,FALSE()),""))</f>
        <v/>
      </c>
      <c r="Q17" s="90" t="n"/>
    </row>
    <row r="18" ht="22.5" customHeight="1" s="50">
      <c r="A18" s="92" t="n"/>
      <c r="B18" s="94" t="n"/>
      <c r="C18" s="103" t="n"/>
      <c r="D18" s="92" t="n"/>
      <c r="E18" s="94" t="n"/>
      <c r="F18" s="103" t="n"/>
      <c r="G18" s="92" t="n"/>
      <c r="H18" s="94" t="n"/>
      <c r="I18" s="103" t="n"/>
      <c r="J18" s="92" t="n"/>
      <c r="K18" s="94" t="n"/>
      <c r="L18" s="103" t="n"/>
      <c r="M18" s="92" t="n"/>
      <c r="N18" s="94" t="n"/>
      <c r="O18" s="103" t="n"/>
      <c r="P18" s="92" t="n"/>
      <c r="Q18" s="94" t="n"/>
    </row>
    <row r="19" ht="22.5" customHeight="1" s="50"/>
    <row r="20" ht="22.5" customHeight="1" s="50">
      <c r="A20" s="98">
        <f>IF(T8="","",IFERROR(VLOOKUP(T8,'梅 横長'!$B$3:$D$37,3,FALSE()),""))</f>
        <v/>
      </c>
      <c r="B20" s="99" t="n"/>
      <c r="D20" s="98">
        <f>IF(U8="","",IFERROR(VLOOKUP(U8,'梅 横長'!$B$3:$D$37,3,FALSE()),""))</f>
        <v/>
      </c>
      <c r="E20" s="99" t="n"/>
      <c r="G20" s="98">
        <f>IF(V8="","",IFERROR(VLOOKUP(V8,'梅 横長'!$B$3:$D$37,3,FALSE()),""))</f>
        <v/>
      </c>
      <c r="H20" s="99" t="n"/>
      <c r="J20" s="98">
        <f>IF(W8="","",IFERROR(VLOOKUP(W8,'梅 横長'!$B$3:$D$37,3,FALSE()),""))</f>
        <v/>
      </c>
      <c r="K20" s="99" t="n"/>
      <c r="M20" s="98">
        <f>IF(X8="","",IFERROR(VLOOKUP(X8,'梅 横長'!$B$3:$D$37,3,FALSE()),""))</f>
        <v/>
      </c>
      <c r="N20" s="99" t="n"/>
      <c r="P20" s="98">
        <f>IF(Y8="","",IFERROR(VLOOKUP(Y8,'梅 横長'!$B$3:$D$37,3,FALSE()),""))</f>
        <v/>
      </c>
      <c r="Q20" s="99" t="n"/>
      <c r="S20" s="105" t="n"/>
      <c r="T20" s="105" t="n"/>
      <c r="U20" s="105" t="n"/>
      <c r="V20" s="105" t="n"/>
      <c r="W20" s="105" t="n"/>
      <c r="X20" s="105" t="n"/>
      <c r="Y20" s="105" t="n"/>
    </row>
    <row r="21" ht="22.5" customHeight="1" s="50">
      <c r="A21" s="102">
        <f>IF(T8="","",IFERROR(VLOOKUP(T8,'梅 横長'!$B$3:$D$37,2,FALSE()),""))</f>
        <v/>
      </c>
      <c r="B21" s="90" t="n"/>
      <c r="C21" s="103" t="n"/>
      <c r="D21" s="102">
        <f>IF(U8="","",IFERROR(VLOOKUP(U8,'梅 横長'!$B$3:$D$37,2,FALSE()),""))</f>
        <v/>
      </c>
      <c r="E21" s="90" t="n"/>
      <c r="F21" s="103" t="n"/>
      <c r="G21" s="102">
        <f>IF(V8="","",IFERROR(VLOOKUP(V8,'梅 横長'!$B$3:$D$37,2,FALSE()),""))</f>
        <v/>
      </c>
      <c r="H21" s="90" t="n"/>
      <c r="I21" s="103" t="n"/>
      <c r="J21" s="102">
        <f>IF(W8="","",IFERROR(VLOOKUP(W8,'梅 横長'!$B$3:$D$37,2,FALSE()),""))</f>
        <v/>
      </c>
      <c r="K21" s="90" t="n"/>
      <c r="L21" s="103" t="n"/>
      <c r="M21" s="102">
        <f>IF(X8="","",IFERROR(VLOOKUP(X8,'梅 横長'!$B$3:$D$37,2,FALSE()),""))</f>
        <v/>
      </c>
      <c r="N21" s="90" t="n"/>
      <c r="O21" s="103" t="n"/>
      <c r="P21" s="102">
        <f>IF(Y8="","",IFERROR(VLOOKUP(Y8,'梅 横長'!$B$3:$D$37,2,FALSE()),""))</f>
        <v/>
      </c>
      <c r="Q21" s="90" t="n"/>
    </row>
    <row r="22" ht="22.5" customHeight="1" s="50">
      <c r="A22" s="92" t="n"/>
      <c r="B22" s="94" t="n"/>
      <c r="C22" s="103" t="n"/>
      <c r="D22" s="92" t="n"/>
      <c r="E22" s="94" t="n"/>
      <c r="F22" s="103" t="n"/>
      <c r="G22" s="92" t="n"/>
      <c r="H22" s="94" t="n"/>
      <c r="I22" s="103" t="n"/>
      <c r="J22" s="92" t="n"/>
      <c r="K22" s="94" t="n"/>
      <c r="L22" s="103" t="n"/>
      <c r="M22" s="92" t="n"/>
      <c r="N22" s="94" t="n"/>
      <c r="O22" s="103" t="n"/>
      <c r="P22" s="92" t="n"/>
      <c r="Q22" s="94" t="n"/>
    </row>
    <row r="23" ht="22.5" customHeight="1" s="50"/>
    <row r="24" ht="22.5" customHeight="1" s="50">
      <c r="A24" s="98">
        <f>IF(T9="","",IFERROR(VLOOKUP(T9,'梅 横長'!$B$3:$D$37,3,FALSE()),""))</f>
        <v/>
      </c>
      <c r="B24" s="99" t="n"/>
      <c r="D24" s="98">
        <f>IF(U9="","",IFERROR(VLOOKUP(U9,'梅 横長'!$B$3:$D$37,3,FALSE()),""))</f>
        <v/>
      </c>
      <c r="E24" s="99" t="n"/>
      <c r="G24" s="98">
        <f>IF(V9="","",IFERROR(VLOOKUP(V9,'梅 横長'!$B$3:$D$37,3,FALSE()),""))</f>
        <v/>
      </c>
      <c r="H24" s="99" t="n"/>
      <c r="J24" s="98">
        <f>IF(W9="","",IFERROR(VLOOKUP(W9,'梅 横長'!$B$3:$D$37,3,FALSE()),""))</f>
        <v/>
      </c>
      <c r="K24" s="99" t="n"/>
      <c r="M24" s="98">
        <f>IF(X9="","",IFERROR(VLOOKUP(X9,'梅 横長'!$B$3:$D$37,3,FALSE()),""))</f>
        <v/>
      </c>
      <c r="N24" s="99" t="n"/>
      <c r="P24" s="98">
        <f>IF(Y9="","",IFERROR(VLOOKUP(Y9,'梅 横長'!$B$3:$D$37,3,FALSE()),""))</f>
        <v/>
      </c>
      <c r="Q24" s="99" t="n"/>
      <c r="S24" s="105" t="n"/>
      <c r="T24" s="105" t="n"/>
      <c r="U24" s="105" t="n"/>
      <c r="V24" s="105" t="n"/>
      <c r="W24" s="105" t="n"/>
      <c r="X24" s="105" t="n"/>
      <c r="Y24" s="105" t="n"/>
    </row>
    <row r="25" ht="22.5" customHeight="1" s="50">
      <c r="A25" s="102">
        <f>IF(T9="","",IFERROR(VLOOKUP(T9,'梅 横長'!$B$3:$D$37,2,FALSE()),""))</f>
        <v/>
      </c>
      <c r="B25" s="90" t="n"/>
      <c r="C25" s="103" t="n"/>
      <c r="D25" s="102">
        <f>IF(U9="","",IFERROR(VLOOKUP(U9,'梅 横長'!$B$3:$D$37,2,FALSE()),""))</f>
        <v/>
      </c>
      <c r="E25" s="90" t="n"/>
      <c r="F25" s="103" t="n"/>
      <c r="G25" s="102">
        <f>IF(V9="","",IFERROR(VLOOKUP(V9,'梅 横長'!$B$3:$D$37,2,FALSE()),""))</f>
        <v/>
      </c>
      <c r="H25" s="90" t="n"/>
      <c r="I25" s="103" t="n"/>
      <c r="J25" s="102">
        <f>IF(W9="","",IFERROR(VLOOKUP(W9,'梅 横長'!$B$3:$D$37,2,FALSE()),""))</f>
        <v/>
      </c>
      <c r="K25" s="90" t="n"/>
      <c r="L25" s="103" t="n"/>
      <c r="M25" s="102">
        <f>IF(X9="","",IFERROR(VLOOKUP(X9,'梅 横長'!$B$3:$D$37,2,FALSE()),""))</f>
        <v/>
      </c>
      <c r="N25" s="90" t="n"/>
      <c r="O25" s="103" t="n"/>
      <c r="P25" s="102">
        <f>IF(Y9="","",IFERROR(VLOOKUP(Y9,'梅 横長'!$B$3:$D$37,2,FALSE()),""))</f>
        <v/>
      </c>
      <c r="Q25" s="90" t="n"/>
    </row>
    <row r="26" ht="22.5" customHeight="1" s="50">
      <c r="A26" s="92" t="n"/>
      <c r="B26" s="94" t="n"/>
      <c r="C26" s="103" t="n"/>
      <c r="D26" s="92" t="n"/>
      <c r="E26" s="94" t="n"/>
      <c r="F26" s="103" t="n"/>
      <c r="G26" s="92" t="n"/>
      <c r="H26" s="94" t="n"/>
      <c r="I26" s="103" t="n"/>
      <c r="J26" s="92" t="n"/>
      <c r="K26" s="94" t="n"/>
      <c r="L26" s="103" t="n"/>
      <c r="M26" s="92" t="n"/>
      <c r="N26" s="94" t="n"/>
      <c r="O26" s="103" t="n"/>
      <c r="P26" s="92" t="n"/>
      <c r="Q26" s="94" t="n"/>
    </row>
    <row r="27" ht="22.5" customHeight="1" s="50"/>
    <row r="28" ht="22.5" customHeight="1" s="50"/>
    <row r="29" ht="22.5" customHeight="1" s="50"/>
    <row r="30" ht="22.5" customHeight="1" s="50"/>
    <row r="31" ht="22.5" customHeight="1" s="50"/>
    <row r="32" ht="22.5" customHeight="1" s="50"/>
    <row r="33" ht="22.5" customHeight="1" s="50"/>
    <row r="34" ht="22.5" customHeight="1" s="50"/>
    <row r="35" ht="22.5" customHeight="1" s="50"/>
    <row r="36" ht="22.5" customHeight="1" s="50"/>
    <row r="37" ht="22.5" customHeight="1" s="50"/>
    <row r="38" ht="22.5" customHeight="1" s="50"/>
    <row r="39" ht="22.5" customHeight="1" s="50"/>
    <row r="40" ht="22.5" customHeight="1" s="50"/>
    <row r="41" ht="22.5" customHeight="1" s="50"/>
    <row r="42" ht="22.5" customHeight="1" s="50"/>
  </sheetData>
  <mergeCells count="73">
    <mergeCell ref="P4:Q4"/>
    <mergeCell ref="M13:N14"/>
    <mergeCell ref="A24:B24"/>
    <mergeCell ref="G12:H12"/>
    <mergeCell ref="D20:E20"/>
    <mergeCell ref="P17:Q18"/>
    <mergeCell ref="M25:N26"/>
    <mergeCell ref="P20:Q20"/>
    <mergeCell ref="A5:B6"/>
    <mergeCell ref="G5:H6"/>
    <mergeCell ref="A21:B22"/>
    <mergeCell ref="G8:H8"/>
    <mergeCell ref="M21:N22"/>
    <mergeCell ref="P13:Q14"/>
    <mergeCell ref="A17:B18"/>
    <mergeCell ref="D9:E10"/>
    <mergeCell ref="D25:E26"/>
    <mergeCell ref="A13:B14"/>
    <mergeCell ref="A16:B16"/>
    <mergeCell ref="M17:N18"/>
    <mergeCell ref="J21:K22"/>
    <mergeCell ref="J25:K26"/>
    <mergeCell ref="M20:N20"/>
    <mergeCell ref="J24:K24"/>
    <mergeCell ref="G1:K2"/>
    <mergeCell ref="P8:Q8"/>
    <mergeCell ref="G25:H26"/>
    <mergeCell ref="D5:E6"/>
    <mergeCell ref="J5:K6"/>
    <mergeCell ref="P5:Q6"/>
    <mergeCell ref="A9:B10"/>
    <mergeCell ref="G9:H10"/>
    <mergeCell ref="A12:B12"/>
    <mergeCell ref="M16:N16"/>
    <mergeCell ref="J17:K18"/>
    <mergeCell ref="J4:K4"/>
    <mergeCell ref="M9:N10"/>
    <mergeCell ref="D16:E16"/>
    <mergeCell ref="J20:K20"/>
    <mergeCell ref="G21:H22"/>
    <mergeCell ref="M12:N12"/>
    <mergeCell ref="G24:H24"/>
    <mergeCell ref="J16:K16"/>
    <mergeCell ref="P16:Q16"/>
    <mergeCell ref="P25:Q26"/>
    <mergeCell ref="D4:E4"/>
    <mergeCell ref="M5:N6"/>
    <mergeCell ref="A8:B8"/>
    <mergeCell ref="M8:N8"/>
    <mergeCell ref="J13:K14"/>
    <mergeCell ref="D12:E12"/>
    <mergeCell ref="G17:H18"/>
    <mergeCell ref="A4:B4"/>
    <mergeCell ref="G4:H4"/>
    <mergeCell ref="M24:N24"/>
    <mergeCell ref="D21:E22"/>
    <mergeCell ref="D8:E8"/>
    <mergeCell ref="J9:K10"/>
    <mergeCell ref="P9:Q10"/>
    <mergeCell ref="G13:H14"/>
    <mergeCell ref="J12:K12"/>
    <mergeCell ref="P12:Q12"/>
    <mergeCell ref="A20:B20"/>
    <mergeCell ref="G16:H16"/>
    <mergeCell ref="G20:H20"/>
    <mergeCell ref="D17:E18"/>
    <mergeCell ref="P21:Q22"/>
    <mergeCell ref="D24:E24"/>
    <mergeCell ref="P24:Q24"/>
    <mergeCell ref="J8:K8"/>
    <mergeCell ref="M4:N4"/>
    <mergeCell ref="A25:B26"/>
    <mergeCell ref="D13:E14"/>
  </mergeCells>
  <printOptions horizontalCentered="0" verticalCentered="0" headings="0" gridLines="0" gridLinesSet="1"/>
  <pageMargins left="0.197916666666667" right="0.125" top="0.291666666666667" bottom="0.21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Y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7" activeCellId="0" sqref="E7"/>
    </sheetView>
  </sheetViews>
  <sheetFormatPr baseColWidth="8" defaultColWidth="8.5390625" defaultRowHeight="13.5" zeroHeight="0" outlineLevelRow="0"/>
  <cols>
    <col width="11.13" customWidth="1" style="87" min="1" max="2"/>
    <col width="2" customWidth="1" style="87" min="3" max="3"/>
    <col width="11.13" customWidth="1" style="87" min="4" max="5"/>
    <col width="2" customWidth="1" style="87" min="6" max="6"/>
    <col width="11.13" customWidth="1" style="87" min="7" max="8"/>
    <col width="2" customWidth="1" style="87" min="9" max="9"/>
    <col width="11.13" customWidth="1" style="87" min="10" max="11"/>
    <col width="2" customWidth="1" style="87" min="12" max="12"/>
    <col width="11" customWidth="1" style="87" min="13" max="14"/>
    <col width="2" customWidth="1" style="87" min="15" max="15"/>
    <col width="11" customWidth="1" style="87" min="16" max="17"/>
    <col width="11" customWidth="1" style="47" min="18" max="18"/>
    <col width="6" customWidth="1" style="47" min="19" max="19"/>
    <col width="7" customWidth="1" style="47" min="20" max="25"/>
  </cols>
  <sheetData>
    <row r="1" ht="13.5" customHeight="1" s="50">
      <c r="G1" s="88" t="inlineStr">
        <is>
          <t>黒板</t>
        </is>
      </c>
      <c r="H1" s="89" t="n"/>
      <c r="I1" s="89" t="n"/>
      <c r="J1" s="89" t="n"/>
      <c r="K1" s="90" t="n"/>
      <c r="S1" s="91" t="inlineStr">
        <is>
          <t>【入力用】出席番号を入力（↑黒板側）</t>
        </is>
      </c>
    </row>
    <row r="2" ht="22.5" customHeight="1" s="50">
      <c r="G2" s="92" t="n"/>
      <c r="H2" s="93" t="n"/>
      <c r="I2" s="93" t="n"/>
      <c r="J2" s="93" t="n"/>
      <c r="K2" s="94" t="n"/>
      <c r="T2" s="95" t="inlineStr">
        <is>
          <t>列1</t>
        </is>
      </c>
      <c r="U2" s="95" t="inlineStr">
        <is>
          <t>列2</t>
        </is>
      </c>
      <c r="V2" s="95" t="inlineStr">
        <is>
          <t>列3</t>
        </is>
      </c>
      <c r="W2" s="95" t="inlineStr">
        <is>
          <t>列4</t>
        </is>
      </c>
      <c r="X2" s="95" t="inlineStr">
        <is>
          <t>列5</t>
        </is>
      </c>
      <c r="Y2" s="95" t="inlineStr">
        <is>
          <t>列6</t>
        </is>
      </c>
    </row>
    <row r="3" ht="22.5" customHeight="1" s="50">
      <c r="S3" s="96" t="n"/>
      <c r="T3" s="97" t="inlineStr">
        <is>
          <t>列1</t>
        </is>
      </c>
      <c r="U3" s="97" t="inlineStr">
        <is>
          <t>列2</t>
        </is>
      </c>
      <c r="V3" s="97" t="inlineStr">
        <is>
          <t>列3</t>
        </is>
      </c>
      <c r="W3" s="97" t="inlineStr">
        <is>
          <t>列4</t>
        </is>
      </c>
      <c r="X3" s="97" t="inlineStr">
        <is>
          <t>列5</t>
        </is>
      </c>
      <c r="Y3" s="95" t="inlineStr">
        <is>
          <t>列6</t>
        </is>
      </c>
    </row>
    <row r="4" ht="22.5" customHeight="1" s="50">
      <c r="A4" s="102">
        <f>IF(T4="","",IFERROR(VLOOKUP(T4,'梅 横長'!$B$3:$D$37,3,FALSE()),""))</f>
        <v/>
      </c>
      <c r="B4" s="90" t="n"/>
      <c r="C4" s="106" t="n"/>
      <c r="D4" s="102">
        <f>IF(U4="","",IFERROR(VLOOKUP(U4,'梅 横長'!$B$3:$D$37,3,FALSE()),""))</f>
        <v/>
      </c>
      <c r="E4" s="90" t="n"/>
      <c r="F4" s="107" t="n"/>
      <c r="G4" s="102">
        <f>IF(V4="","",IFERROR(VLOOKUP(V4,'梅 横長'!$B$3:$D$37,3,FALSE()),""))</f>
        <v/>
      </c>
      <c r="H4" s="90" t="n"/>
      <c r="I4" s="107" t="n"/>
      <c r="J4" s="102">
        <f>IF(W4="","",IFERROR(VLOOKUP(W4,'梅 横長'!$B$3:$D$37,3,FALSE()),""))</f>
        <v/>
      </c>
      <c r="K4" s="90" t="n"/>
      <c r="L4" s="107" t="n"/>
      <c r="M4" s="102">
        <f>IF(X4="","",IFERROR(VLOOKUP(X4,'梅 横長'!$B$3:$D$37,3,FALSE()),""))</f>
        <v/>
      </c>
      <c r="N4" s="90" t="n"/>
      <c r="O4" s="107" t="n"/>
      <c r="P4" s="102">
        <f>IF(Y4="","",IFERROR(VLOOKUP(Y4,'梅 横長'!$B$3:$D$37,3,FALSE()),""))</f>
        <v/>
      </c>
      <c r="Q4" s="90" t="n"/>
      <c r="S4" s="100" t="inlineStr">
        <is>
          <t>1列目</t>
        </is>
      </c>
      <c r="T4" s="101" t="n"/>
      <c r="U4" s="101" t="n"/>
      <c r="V4" s="101" t="n"/>
      <c r="W4" s="101" t="n"/>
      <c r="X4" s="101" t="n"/>
      <c r="Y4" s="101" t="n"/>
    </row>
    <row r="5" ht="22.5" customHeight="1" s="50">
      <c r="A5" s="108" t="n"/>
      <c r="B5" s="109" t="n"/>
      <c r="C5" s="106" t="n"/>
      <c r="D5" s="108" t="n"/>
      <c r="E5" s="109" t="n"/>
      <c r="F5" s="107" t="n"/>
      <c r="G5" s="108" t="n"/>
      <c r="H5" s="109" t="n"/>
      <c r="I5" s="107" t="n"/>
      <c r="J5" s="108" t="n"/>
      <c r="K5" s="109" t="n"/>
      <c r="L5" s="107" t="n"/>
      <c r="M5" s="108" t="n"/>
      <c r="N5" s="109" t="n"/>
      <c r="O5" s="107" t="n"/>
      <c r="P5" s="108" t="n"/>
      <c r="Q5" s="109" t="n"/>
      <c r="S5" s="100" t="inlineStr">
        <is>
          <t>2列目</t>
        </is>
      </c>
      <c r="T5" s="101" t="n"/>
      <c r="U5" s="101" t="n"/>
      <c r="V5" s="101" t="n"/>
      <c r="W5" s="101" t="n"/>
      <c r="X5" s="101" t="n"/>
      <c r="Y5" s="101" t="n"/>
    </row>
    <row r="6" ht="22.5" customHeight="1" s="50">
      <c r="A6" s="92" t="n"/>
      <c r="B6" s="94" t="n"/>
      <c r="C6" s="106" t="n"/>
      <c r="D6" s="92" t="n"/>
      <c r="E6" s="94" t="n"/>
      <c r="F6" s="107" t="n"/>
      <c r="G6" s="92" t="n"/>
      <c r="H6" s="94" t="n"/>
      <c r="I6" s="107" t="n"/>
      <c r="J6" s="92" t="n"/>
      <c r="K6" s="94" t="n"/>
      <c r="L6" s="107" t="n"/>
      <c r="M6" s="92" t="n"/>
      <c r="N6" s="94" t="n"/>
      <c r="O6" s="107" t="n"/>
      <c r="P6" s="92" t="n"/>
      <c r="Q6" s="94" t="n"/>
      <c r="S6" s="100" t="inlineStr">
        <is>
          <t>3列目</t>
        </is>
      </c>
      <c r="T6" s="101" t="n"/>
      <c r="U6" s="101" t="n"/>
      <c r="V6" s="101" t="n"/>
      <c r="W6" s="101" t="n"/>
      <c r="X6" s="101" t="n"/>
      <c r="Y6" s="101" t="n"/>
    </row>
    <row r="7" ht="22.5" customHeight="1" s="50">
      <c r="S7" s="100" t="inlineStr">
        <is>
          <t>4列目</t>
        </is>
      </c>
      <c r="T7" s="101" t="n"/>
      <c r="U7" s="101" t="n"/>
      <c r="V7" s="101" t="n"/>
      <c r="W7" s="101" t="n"/>
      <c r="X7" s="101" t="n"/>
      <c r="Y7" s="101" t="n"/>
    </row>
    <row r="8" ht="22.5" customHeight="1" s="50">
      <c r="A8" s="102">
        <f>IF(T5="","",IFERROR(VLOOKUP(T5,'梅 横長'!$B$3:$D$37,3,FALSE()),""))</f>
        <v/>
      </c>
      <c r="B8" s="90" t="n"/>
      <c r="C8" s="107" t="n"/>
      <c r="D8" s="102">
        <f>IF(U5="","",IFERROR(VLOOKUP(U5,'梅 横長'!$B$3:$D$37,3,FALSE()),""))</f>
        <v/>
      </c>
      <c r="E8" s="90" t="n"/>
      <c r="F8" s="107" t="n"/>
      <c r="G8" s="102">
        <f>IF(V5="","",IFERROR(VLOOKUP(V5,'梅 横長'!$B$3:$D$37,3,FALSE()),""))</f>
        <v/>
      </c>
      <c r="H8" s="90" t="n"/>
      <c r="I8" s="107" t="n"/>
      <c r="J8" s="102">
        <f>IF(W5="","",IFERROR(VLOOKUP(W5,'梅 横長'!$B$3:$D$37,3,FALSE()),""))</f>
        <v/>
      </c>
      <c r="K8" s="90" t="n"/>
      <c r="L8" s="107" t="n"/>
      <c r="M8" s="102">
        <f>IF(X5="","",IFERROR(VLOOKUP(X5,'梅 横長'!$B$3:$D$37,3,FALSE()),""))</f>
        <v/>
      </c>
      <c r="N8" s="90" t="n"/>
      <c r="O8" s="107" t="n"/>
      <c r="P8" s="102">
        <f>IF(Y5="","",IFERROR(VLOOKUP(Y5,'梅 横長'!$B$3:$D$37,3,FALSE()),""))</f>
        <v/>
      </c>
      <c r="Q8" s="90" t="n"/>
      <c r="S8" s="104" t="inlineStr">
        <is>
          <t>5列目</t>
        </is>
      </c>
      <c r="T8" s="101" t="n"/>
      <c r="U8" s="101" t="n"/>
      <c r="V8" s="101" t="n"/>
      <c r="W8" s="101" t="n"/>
      <c r="X8" s="101" t="n"/>
      <c r="Y8" s="101" t="n"/>
    </row>
    <row r="9" ht="22.5" customHeight="1" s="50">
      <c r="A9" s="108" t="n"/>
      <c r="B9" s="109" t="n"/>
      <c r="C9" s="107" t="n"/>
      <c r="D9" s="108" t="n"/>
      <c r="E9" s="109" t="n"/>
      <c r="F9" s="107" t="n"/>
      <c r="G9" s="108" t="n"/>
      <c r="H9" s="109" t="n"/>
      <c r="I9" s="107" t="n"/>
      <c r="J9" s="108" t="n"/>
      <c r="K9" s="109" t="n"/>
      <c r="L9" s="107" t="n"/>
      <c r="M9" s="108" t="n"/>
      <c r="N9" s="109" t="n"/>
      <c r="O9" s="107" t="n"/>
      <c r="P9" s="108" t="n"/>
      <c r="Q9" s="109" t="n"/>
      <c r="S9" s="104" t="inlineStr">
        <is>
          <t>6列目</t>
        </is>
      </c>
      <c r="T9" s="101" t="n"/>
      <c r="U9" s="101" t="n"/>
      <c r="V9" s="101" t="n"/>
      <c r="W9" s="101" t="n"/>
      <c r="X9" s="101" t="n"/>
      <c r="Y9" s="101" t="n"/>
    </row>
    <row r="10" ht="22.5" customHeight="1" s="50">
      <c r="A10" s="92" t="n"/>
      <c r="B10" s="94" t="n"/>
      <c r="C10" s="107" t="n"/>
      <c r="D10" s="92" t="n"/>
      <c r="E10" s="94" t="n"/>
      <c r="F10" s="107" t="n"/>
      <c r="G10" s="92" t="n"/>
      <c r="H10" s="94" t="n"/>
      <c r="I10" s="107" t="n"/>
      <c r="J10" s="92" t="n"/>
      <c r="K10" s="94" t="n"/>
      <c r="L10" s="107" t="n"/>
      <c r="M10" s="92" t="n"/>
      <c r="N10" s="94" t="n"/>
      <c r="O10" s="107" t="n"/>
      <c r="P10" s="92" t="n"/>
      <c r="Q10" s="94" t="n"/>
    </row>
    <row r="11" ht="22.5" customHeight="1" s="50">
      <c r="A11" s="106" t="n"/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  <c r="M11" s="106" t="n"/>
      <c r="N11" s="106" t="n"/>
      <c r="O11" s="106" t="n"/>
      <c r="P11" s="106" t="n"/>
      <c r="Q11" s="106" t="n"/>
    </row>
    <row r="12" ht="22.5" customHeight="1" s="50">
      <c r="A12" s="102">
        <f>IF(T6="","",IFERROR(VLOOKUP(T6,'梅 横長'!$B$3:$D$37,3,FALSE()),""))</f>
        <v/>
      </c>
      <c r="B12" s="90" t="n"/>
      <c r="C12" s="107" t="n"/>
      <c r="D12" s="102">
        <f>IF(U6="","",IFERROR(VLOOKUP(U6,'梅 横長'!$B$3:$D$37,3,FALSE()),""))</f>
        <v/>
      </c>
      <c r="E12" s="90" t="n"/>
      <c r="F12" s="107" t="n"/>
      <c r="G12" s="102">
        <f>IF(V6="","",IFERROR(VLOOKUP(V6,'梅 横長'!$B$3:$D$37,3,FALSE()),""))</f>
        <v/>
      </c>
      <c r="H12" s="90" t="n"/>
      <c r="I12" s="107" t="n"/>
      <c r="J12" s="102">
        <f>IF(W6="","",IFERROR(VLOOKUP(W6,'梅 横長'!$B$3:$D$37,3,FALSE()),""))</f>
        <v/>
      </c>
      <c r="K12" s="90" t="n"/>
      <c r="L12" s="107" t="n"/>
      <c r="M12" s="102">
        <f>IF(X6="","",IFERROR(VLOOKUP(X6,'梅 横長'!$B$3:$D$37,3,FALSE()),""))</f>
        <v/>
      </c>
      <c r="N12" s="90" t="n"/>
      <c r="O12" s="107" t="n"/>
      <c r="P12" s="102">
        <f>IF(Y6="","",IFERROR(VLOOKUP(Y6,'梅 横長'!$B$3:$D$37,3,FALSE()),""))</f>
        <v/>
      </c>
      <c r="Q12" s="90" t="n"/>
      <c r="S12" s="105" t="n"/>
      <c r="T12" s="105" t="n"/>
      <c r="U12" s="105" t="n"/>
      <c r="V12" s="105" t="n"/>
      <c r="W12" s="105" t="n"/>
      <c r="X12" s="105" t="n"/>
      <c r="Y12" s="105" t="n"/>
    </row>
    <row r="13" ht="22.5" customHeight="1" s="50">
      <c r="A13" s="108" t="n"/>
      <c r="B13" s="109" t="n"/>
      <c r="C13" s="107" t="n"/>
      <c r="D13" s="108" t="n"/>
      <c r="E13" s="109" t="n"/>
      <c r="F13" s="107" t="n"/>
      <c r="G13" s="108" t="n"/>
      <c r="H13" s="109" t="n"/>
      <c r="I13" s="107" t="n"/>
      <c r="J13" s="108" t="n"/>
      <c r="K13" s="109" t="n"/>
      <c r="L13" s="107" t="n"/>
      <c r="M13" s="108" t="n"/>
      <c r="N13" s="109" t="n"/>
      <c r="O13" s="107" t="n"/>
      <c r="P13" s="108" t="n"/>
      <c r="Q13" s="109" t="n"/>
    </row>
    <row r="14" ht="22.5" customHeight="1" s="50">
      <c r="A14" s="92" t="n"/>
      <c r="B14" s="94" t="n"/>
      <c r="C14" s="107" t="n"/>
      <c r="D14" s="92" t="n"/>
      <c r="E14" s="94" t="n"/>
      <c r="F14" s="107" t="n"/>
      <c r="G14" s="92" t="n"/>
      <c r="H14" s="94" t="n"/>
      <c r="I14" s="107" t="n"/>
      <c r="J14" s="92" t="n"/>
      <c r="K14" s="94" t="n"/>
      <c r="L14" s="107" t="n"/>
      <c r="M14" s="92" t="n"/>
      <c r="N14" s="94" t="n"/>
      <c r="O14" s="107" t="n"/>
      <c r="P14" s="92" t="n"/>
      <c r="Q14" s="94" t="n"/>
    </row>
    <row r="15" ht="22.5" customHeight="1" s="50">
      <c r="A15" s="106" t="n"/>
      <c r="B15" s="106" t="n"/>
      <c r="C15" s="106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106" t="n"/>
      <c r="O15" s="106" t="n"/>
      <c r="P15" s="106" t="n"/>
      <c r="Q15" s="106" t="n"/>
    </row>
    <row r="16" ht="22.5" customHeight="1" s="50">
      <c r="A16" s="102">
        <f>IF(T7="","",IFERROR(VLOOKUP(T7,'梅 横長'!$B$3:$D$37,3,FALSE()),""))</f>
        <v/>
      </c>
      <c r="B16" s="90" t="n"/>
      <c r="C16" s="107" t="n"/>
      <c r="D16" s="102">
        <f>IF(U7="","",IFERROR(VLOOKUP(U7,'梅 横長'!$B$3:$D$37,3,FALSE()),""))</f>
        <v/>
      </c>
      <c r="E16" s="90" t="n"/>
      <c r="F16" s="107" t="n"/>
      <c r="G16" s="102">
        <f>IF(V7="","",IFERROR(VLOOKUP(V7,'梅 横長'!$B$3:$D$37,3,FALSE()),""))</f>
        <v/>
      </c>
      <c r="H16" s="90" t="n"/>
      <c r="I16" s="107" t="n"/>
      <c r="J16" s="102">
        <f>IF(W7="","",IFERROR(VLOOKUP(W7,'梅 横長'!$B$3:$D$37,3,FALSE()),""))</f>
        <v/>
      </c>
      <c r="K16" s="90" t="n"/>
      <c r="L16" s="107" t="n"/>
      <c r="M16" s="102">
        <f>IF(X7="","",IFERROR(VLOOKUP(X7,'梅 横長'!$B$3:$D$37,3,FALSE()),""))</f>
        <v/>
      </c>
      <c r="N16" s="90" t="n"/>
      <c r="O16" s="107" t="n"/>
      <c r="P16" s="102">
        <f>IF(Y7="","",IFERROR(VLOOKUP(Y7,'梅 横長'!$B$3:$D$37,3,FALSE()),""))</f>
        <v/>
      </c>
      <c r="Q16" s="90" t="n"/>
      <c r="S16" s="105" t="n"/>
      <c r="T16" s="105" t="n"/>
      <c r="U16" s="105" t="n"/>
      <c r="V16" s="105" t="n"/>
      <c r="W16" s="105" t="n"/>
      <c r="X16" s="105" t="n"/>
      <c r="Y16" s="105" t="n"/>
    </row>
    <row r="17" ht="22.5" customHeight="1" s="50">
      <c r="A17" s="108" t="n"/>
      <c r="B17" s="109" t="n"/>
      <c r="C17" s="107" t="n"/>
      <c r="D17" s="108" t="n"/>
      <c r="E17" s="109" t="n"/>
      <c r="F17" s="107" t="n"/>
      <c r="G17" s="108" t="n"/>
      <c r="H17" s="109" t="n"/>
      <c r="I17" s="107" t="n"/>
      <c r="J17" s="108" t="n"/>
      <c r="K17" s="109" t="n"/>
      <c r="L17" s="107" t="n"/>
      <c r="M17" s="108" t="n"/>
      <c r="N17" s="109" t="n"/>
      <c r="O17" s="107" t="n"/>
      <c r="P17" s="108" t="n"/>
      <c r="Q17" s="109" t="n"/>
    </row>
    <row r="18" ht="22.5" customHeight="1" s="50">
      <c r="A18" s="92" t="n"/>
      <c r="B18" s="94" t="n"/>
      <c r="C18" s="107" t="n"/>
      <c r="D18" s="92" t="n"/>
      <c r="E18" s="94" t="n"/>
      <c r="F18" s="107" t="n"/>
      <c r="G18" s="92" t="n"/>
      <c r="H18" s="94" t="n"/>
      <c r="I18" s="107" t="n"/>
      <c r="J18" s="92" t="n"/>
      <c r="K18" s="94" t="n"/>
      <c r="L18" s="107" t="n"/>
      <c r="M18" s="92" t="n"/>
      <c r="N18" s="94" t="n"/>
      <c r="O18" s="107" t="n"/>
      <c r="P18" s="92" t="n"/>
      <c r="Q18" s="94" t="n"/>
    </row>
    <row r="19" ht="22.5" customHeight="1" s="50">
      <c r="A19" s="106" t="n"/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  <c r="O19" s="106" t="n"/>
      <c r="P19" s="106" t="n"/>
      <c r="Q19" s="106" t="n"/>
    </row>
    <row r="20" ht="22.5" customHeight="1" s="50">
      <c r="A20" s="102">
        <f>IF(T8="","",IFERROR(VLOOKUP(T8,'梅 横長'!$B$3:$D$37,3,FALSE()),""))</f>
        <v/>
      </c>
      <c r="B20" s="90" t="n"/>
      <c r="C20" s="107" t="n"/>
      <c r="D20" s="102">
        <f>IF(U8="","",IFERROR(VLOOKUP(U8,'梅 横長'!$B$3:$D$37,3,FALSE()),""))</f>
        <v/>
      </c>
      <c r="E20" s="90" t="n"/>
      <c r="F20" s="107" t="n"/>
      <c r="G20" s="102">
        <f>IF(V8="","",IFERROR(VLOOKUP(V8,'梅 横長'!$B$3:$D$37,3,FALSE()),""))</f>
        <v/>
      </c>
      <c r="H20" s="90" t="n"/>
      <c r="I20" s="107" t="n"/>
      <c r="J20" s="102">
        <f>IF(W8="","",IFERROR(VLOOKUP(W8,'梅 横長'!$B$3:$D$37,3,FALSE()),""))</f>
        <v/>
      </c>
      <c r="K20" s="90" t="n"/>
      <c r="L20" s="107" t="n"/>
      <c r="M20" s="102">
        <f>IF(X8="","",IFERROR(VLOOKUP(X8,'梅 横長'!$B$3:$D$37,3,FALSE()),""))</f>
        <v/>
      </c>
      <c r="N20" s="90" t="n"/>
      <c r="O20" s="107" t="n"/>
      <c r="P20" s="102">
        <f>IF(Y8="","",IFERROR(VLOOKUP(Y8,'梅 横長'!$B$3:$D$37,3,FALSE()),""))</f>
        <v/>
      </c>
      <c r="Q20" s="90" t="n"/>
      <c r="S20" s="105" t="n"/>
      <c r="T20" s="105" t="n"/>
      <c r="U20" s="105" t="n"/>
      <c r="V20" s="105" t="n"/>
      <c r="W20" s="105" t="n"/>
      <c r="X20" s="105" t="n"/>
      <c r="Y20" s="105" t="n"/>
    </row>
    <row r="21" ht="22.5" customHeight="1" s="50">
      <c r="A21" s="108" t="n"/>
      <c r="B21" s="109" t="n"/>
      <c r="C21" s="107" t="n"/>
      <c r="D21" s="108" t="n"/>
      <c r="E21" s="109" t="n"/>
      <c r="F21" s="107" t="n"/>
      <c r="G21" s="108" t="n"/>
      <c r="H21" s="109" t="n"/>
      <c r="I21" s="107" t="n"/>
      <c r="J21" s="108" t="n"/>
      <c r="K21" s="109" t="n"/>
      <c r="L21" s="107" t="n"/>
      <c r="M21" s="108" t="n"/>
      <c r="N21" s="109" t="n"/>
      <c r="O21" s="107" t="n"/>
      <c r="P21" s="108" t="n"/>
      <c r="Q21" s="109" t="n"/>
    </row>
    <row r="22" ht="22.5" customHeight="1" s="50">
      <c r="A22" s="92" t="n"/>
      <c r="B22" s="94" t="n"/>
      <c r="C22" s="107" t="n"/>
      <c r="D22" s="92" t="n"/>
      <c r="E22" s="94" t="n"/>
      <c r="F22" s="107" t="n"/>
      <c r="G22" s="92" t="n"/>
      <c r="H22" s="94" t="n"/>
      <c r="I22" s="107" t="n"/>
      <c r="J22" s="92" t="n"/>
      <c r="K22" s="94" t="n"/>
      <c r="L22" s="107" t="n"/>
      <c r="M22" s="92" t="n"/>
      <c r="N22" s="94" t="n"/>
      <c r="O22" s="107" t="n"/>
      <c r="P22" s="92" t="n"/>
      <c r="Q22" s="94" t="n"/>
    </row>
    <row r="23" ht="22.5" customHeight="1" s="50">
      <c r="A23" s="106" t="n"/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106" t="n"/>
      <c r="O23" s="106" t="n"/>
      <c r="P23" s="106" t="n"/>
      <c r="Q23" s="106" t="n"/>
    </row>
    <row r="24" ht="22.5" customHeight="1" s="50">
      <c r="A24" s="102">
        <f>IF(T9="","",IFERROR(VLOOKUP(T9,'梅 横長'!$B$3:$D$37,3,FALSE()),""))</f>
        <v/>
      </c>
      <c r="B24" s="90" t="n"/>
      <c r="C24" s="107" t="n"/>
      <c r="D24" s="102">
        <f>IF(U9="","",IFERROR(VLOOKUP(U9,'梅 横長'!$B$3:$D$37,3,FALSE()),""))</f>
        <v/>
      </c>
      <c r="E24" s="90" t="n"/>
      <c r="F24" s="107" t="n"/>
      <c r="G24" s="102">
        <f>IF(V9="","",IFERROR(VLOOKUP(V9,'梅 横長'!$B$3:$D$37,3,FALSE()),""))</f>
        <v/>
      </c>
      <c r="H24" s="90" t="n"/>
      <c r="I24" s="107" t="n"/>
      <c r="J24" s="102">
        <f>IF(W9="","",IFERROR(VLOOKUP(W9,'梅 横長'!$B$3:$D$37,3,FALSE()),""))</f>
        <v/>
      </c>
      <c r="K24" s="90" t="n"/>
      <c r="L24" s="107" t="n"/>
      <c r="M24" s="102">
        <f>IF(X9="","",IFERROR(VLOOKUP(X9,'梅 横長'!$B$3:$D$37,3,FALSE()),""))</f>
        <v/>
      </c>
      <c r="N24" s="90" t="n"/>
      <c r="O24" s="107" t="n"/>
      <c r="P24" s="102">
        <f>IF(Y9="","",IFERROR(VLOOKUP(Y9,'梅 横長'!$B$3:$D$37,3,FALSE()),""))</f>
        <v/>
      </c>
      <c r="Q24" s="90" t="n"/>
      <c r="S24" s="105" t="n"/>
      <c r="T24" s="105" t="n"/>
      <c r="U24" s="105" t="n"/>
      <c r="V24" s="105" t="n"/>
      <c r="W24" s="105" t="n"/>
      <c r="X24" s="105" t="n"/>
      <c r="Y24" s="105" t="n"/>
    </row>
    <row r="25" ht="22.5" customHeight="1" s="50">
      <c r="A25" s="108" t="n"/>
      <c r="B25" s="109" t="n"/>
      <c r="C25" s="107" t="n"/>
      <c r="D25" s="108" t="n"/>
      <c r="E25" s="109" t="n"/>
      <c r="F25" s="107" t="n"/>
      <c r="G25" s="108" t="n"/>
      <c r="H25" s="109" t="n"/>
      <c r="I25" s="107" t="n"/>
      <c r="J25" s="108" t="n"/>
      <c r="K25" s="109" t="n"/>
      <c r="L25" s="107" t="n"/>
      <c r="M25" s="108" t="n"/>
      <c r="N25" s="109" t="n"/>
      <c r="O25" s="107" t="n"/>
      <c r="P25" s="108" t="n"/>
      <c r="Q25" s="109" t="n"/>
    </row>
    <row r="26" ht="22.5" customHeight="1" s="50">
      <c r="A26" s="92" t="n"/>
      <c r="B26" s="94" t="n"/>
      <c r="C26" s="107" t="n"/>
      <c r="D26" s="92" t="n"/>
      <c r="E26" s="94" t="n"/>
      <c r="F26" s="107" t="n"/>
      <c r="G26" s="92" t="n"/>
      <c r="H26" s="94" t="n"/>
      <c r="I26" s="107" t="n"/>
      <c r="J26" s="92" t="n"/>
      <c r="K26" s="94" t="n"/>
      <c r="L26" s="107" t="n"/>
      <c r="M26" s="92" t="n"/>
      <c r="N26" s="94" t="n"/>
      <c r="O26" s="107" t="n"/>
      <c r="P26" s="92" t="n"/>
      <c r="Q26" s="94" t="n"/>
    </row>
    <row r="27" ht="22.5" customHeight="1" s="50"/>
    <row r="28" ht="22.5" customHeight="1" s="50"/>
    <row r="29" ht="22.5" customHeight="1" s="50"/>
    <row r="30" ht="22.5" customHeight="1" s="50"/>
    <row r="31" ht="22.5" customHeight="1" s="50"/>
    <row r="32" ht="22.5" customHeight="1" s="50"/>
    <row r="33" ht="22.5" customHeight="1" s="50"/>
    <row r="34" ht="22.5" customHeight="1" s="50"/>
    <row r="35" ht="22.5" customHeight="1" s="50"/>
    <row r="36" ht="22.5" customHeight="1" s="50"/>
    <row r="37" ht="22.5" customHeight="1" s="50"/>
    <row r="38" ht="22.5" customHeight="1" s="50"/>
    <row r="39" ht="22.5" customHeight="1" s="50"/>
    <row r="40" ht="22.5" customHeight="1" s="50"/>
    <row r="41" ht="22.5" customHeight="1" s="50"/>
    <row r="42" ht="22.5" customHeight="1" s="50"/>
  </sheetData>
  <mergeCells count="37">
    <mergeCell ref="M4:N6"/>
    <mergeCell ref="G16:H18"/>
    <mergeCell ref="P24:Q26"/>
    <mergeCell ref="D20:E22"/>
    <mergeCell ref="A24:B26"/>
    <mergeCell ref="G8:H10"/>
    <mergeCell ref="P20:Q22"/>
    <mergeCell ref="M20:N22"/>
    <mergeCell ref="J8:K10"/>
    <mergeCell ref="G12:H14"/>
    <mergeCell ref="P4:Q6"/>
    <mergeCell ref="G1:K2"/>
    <mergeCell ref="J24:K26"/>
    <mergeCell ref="A16:B18"/>
    <mergeCell ref="M16:N18"/>
    <mergeCell ref="P8:Q10"/>
    <mergeCell ref="D16:E18"/>
    <mergeCell ref="J20:K22"/>
    <mergeCell ref="G24:H26"/>
    <mergeCell ref="A12:B14"/>
    <mergeCell ref="D4:E6"/>
    <mergeCell ref="J4:K6"/>
    <mergeCell ref="M12:N14"/>
    <mergeCell ref="A8:B10"/>
    <mergeCell ref="J16:K18"/>
    <mergeCell ref="D12:E14"/>
    <mergeCell ref="P16:Q18"/>
    <mergeCell ref="D8:E10"/>
    <mergeCell ref="A20:B22"/>
    <mergeCell ref="G20:H22"/>
    <mergeCell ref="M24:N26"/>
    <mergeCell ref="D24:E26"/>
    <mergeCell ref="M8:N10"/>
    <mergeCell ref="A4:B6"/>
    <mergeCell ref="G4:H6"/>
    <mergeCell ref="J12:K14"/>
    <mergeCell ref="P12:Q14"/>
  </mergeCells>
  <printOptions horizontalCentered="0" verticalCentered="0" headings="0" gridLines="0" gridLinesSet="1"/>
  <pageMargins left="0.197916666666667" right="0.125" top="0.291666666666667" bottom="0.21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42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style="50" min="1" max="1"/>
    <col width="17" customWidth="1" style="50" min="2" max="2"/>
    <col width="4.6" customWidth="1" style="50" min="3" max="3"/>
    <col width="4.6" customWidth="1" style="50" min="4" max="4"/>
    <col width="4.6" customWidth="1" style="50" min="5" max="5"/>
    <col width="4.6" customWidth="1" style="50" min="6" max="6"/>
    <col width="4.6" customWidth="1" style="50" min="7" max="7"/>
    <col width="4.6" customWidth="1" style="50" min="8" max="8"/>
    <col width="4.6" customWidth="1" style="50" min="9" max="9"/>
    <col width="4.6" customWidth="1" style="50" min="10" max="10"/>
    <col width="4.6" customWidth="1" style="50" min="11" max="11"/>
    <col width="4.6" customWidth="1" style="50" min="12" max="12"/>
    <col width="4.6" customWidth="1" style="50" min="13" max="13"/>
    <col width="4.6" customWidth="1" style="50" min="14" max="14"/>
    <col width="4.6" customWidth="1" style="50" min="15" max="15"/>
    <col width="4.6" customWidth="1" style="50" min="16" max="16"/>
    <col width="4.6" customWidth="1" style="50" min="17" max="17"/>
    <col width="6.5" customWidth="1" style="50" min="18" max="18"/>
  </cols>
  <sheetData>
    <row r="1" ht="30" customHeight="1" s="50">
      <c r="A1" s="110" t="inlineStr">
        <is>
          <t>提出物チェック表</t>
        </is>
      </c>
    </row>
    <row r="2" ht="8" customHeight="1" s="50"/>
    <row r="3" ht="90" customHeight="1" s="50">
      <c r="A3" s="111" t="inlineStr">
        <is>
          <t>番号</t>
        </is>
      </c>
      <c r="B3" s="111" t="inlineStr">
        <is>
          <t>名前</t>
        </is>
      </c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1" t="inlineStr">
        <is>
          <t>未提出</t>
        </is>
      </c>
    </row>
    <row r="4" ht="18" customHeight="1" s="50">
      <c r="A4" s="113">
        <f>'梅 横長'!B3</f>
        <v/>
      </c>
      <c r="B4" s="114">
        <f>IF('梅 横長'!C3="","",'梅 横長'!C3)</f>
        <v/>
      </c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113" t="n"/>
      <c r="N4" s="113" t="n"/>
      <c r="O4" s="113" t="n"/>
      <c r="P4" s="113" t="n"/>
      <c r="Q4" s="113" t="n"/>
      <c r="R4" s="113">
        <f>IF($B4="","",COUNTA($C$3:$Q$3)-COUNTA(C4:Q4))</f>
        <v/>
      </c>
    </row>
    <row r="5" ht="18" customHeight="1" s="50">
      <c r="A5" s="113">
        <f>'梅 横長'!B4</f>
        <v/>
      </c>
      <c r="B5" s="114">
        <f>IF('梅 横長'!C4="","",'梅 横長'!C4)</f>
        <v/>
      </c>
      <c r="C5" s="113" t="n"/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>
        <f>IF($B5="","",COUNTA($C$3:$Q$3)-COUNTA(C5:Q5))</f>
        <v/>
      </c>
    </row>
    <row r="6" ht="18" customHeight="1" s="50">
      <c r="A6" s="113">
        <f>'梅 横長'!B5</f>
        <v/>
      </c>
      <c r="B6" s="114">
        <f>IF('梅 横長'!C5="","",'梅 横長'!C5)</f>
        <v/>
      </c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>
        <f>IF($B6="","",COUNTA($C$3:$Q$3)-COUNTA(C6:Q6))</f>
        <v/>
      </c>
    </row>
    <row r="7" ht="18" customHeight="1" s="50">
      <c r="A7" s="113">
        <f>'梅 横長'!B6</f>
        <v/>
      </c>
      <c r="B7" s="114">
        <f>IF('梅 横長'!C6="","",'梅 横長'!C6)</f>
        <v/>
      </c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>
        <f>IF($B7="","",COUNTA($C$3:$Q$3)-COUNTA(C7:Q7))</f>
        <v/>
      </c>
    </row>
    <row r="8" ht="18" customHeight="1" s="50">
      <c r="A8" s="115">
        <f>'梅 横長'!B7</f>
        <v/>
      </c>
      <c r="B8" s="116">
        <f>IF('梅 横長'!C7="","",'梅 横長'!C7)</f>
        <v/>
      </c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>
        <f>IF($B8="","",COUNTA($C$3:$Q$3)-COUNTA(C8:Q8))</f>
        <v/>
      </c>
    </row>
    <row r="9" ht="18" customHeight="1" s="50">
      <c r="A9" s="113">
        <f>'梅 横長'!B8</f>
        <v/>
      </c>
      <c r="B9" s="114">
        <f>IF('梅 横長'!C8="","",'梅 横長'!C8)</f>
        <v/>
      </c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>
        <f>IF($B9="","",COUNTA($C$3:$Q$3)-COUNTA(C9:Q9))</f>
        <v/>
      </c>
    </row>
    <row r="10" ht="18" customHeight="1" s="50">
      <c r="A10" s="113">
        <f>'梅 横長'!B9</f>
        <v/>
      </c>
      <c r="B10" s="114">
        <f>IF('梅 横長'!C9="","",'梅 横長'!C9)</f>
        <v/>
      </c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>
        <f>IF($B10="","",COUNTA($C$3:$Q$3)-COUNTA(C10:Q10))</f>
        <v/>
      </c>
    </row>
    <row r="11" ht="18" customHeight="1" s="50">
      <c r="A11" s="113">
        <f>'梅 横長'!B10</f>
        <v/>
      </c>
      <c r="B11" s="114">
        <f>IF('梅 横長'!C10="","",'梅 横長'!C10)</f>
        <v/>
      </c>
      <c r="C11" s="113" t="n"/>
      <c r="D11" s="113" t="n"/>
      <c r="E11" s="113" t="n"/>
      <c r="F11" s="113" t="n"/>
      <c r="G11" s="113" t="n"/>
      <c r="H11" s="113" t="n"/>
      <c r="I11" s="113" t="n"/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>
        <f>IF($B11="","",COUNTA($C$3:$Q$3)-COUNTA(C11:Q11))</f>
        <v/>
      </c>
    </row>
    <row r="12" ht="18" customHeight="1" s="50">
      <c r="A12" s="113">
        <f>'梅 横長'!B11</f>
        <v/>
      </c>
      <c r="B12" s="114">
        <f>IF('梅 横長'!C11="","",'梅 横長'!C11)</f>
        <v/>
      </c>
      <c r="C12" s="113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>
        <f>IF($B12="","",COUNTA($C$3:$Q$3)-COUNTA(C12:Q12))</f>
        <v/>
      </c>
    </row>
    <row r="13" ht="18" customHeight="1" s="50">
      <c r="A13" s="115">
        <f>'梅 横長'!B12</f>
        <v/>
      </c>
      <c r="B13" s="116">
        <f>IF('梅 横長'!C12="","",'梅 横長'!C12)</f>
        <v/>
      </c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>
        <f>IF($B13="","",COUNTA($C$3:$Q$3)-COUNTA(C13:Q13))</f>
        <v/>
      </c>
    </row>
    <row r="14" ht="18" customHeight="1" s="50">
      <c r="A14" s="113">
        <f>'梅 横長'!B13</f>
        <v/>
      </c>
      <c r="B14" s="114">
        <f>IF('梅 横長'!C13="","",'梅 横長'!C13)</f>
        <v/>
      </c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>
        <f>IF($B14="","",COUNTA($C$3:$Q$3)-COUNTA(C14:Q14))</f>
        <v/>
      </c>
    </row>
    <row r="15" ht="18" customHeight="1" s="50">
      <c r="A15" s="113">
        <f>'梅 横長'!B14</f>
        <v/>
      </c>
      <c r="B15" s="114">
        <f>IF('梅 横長'!C14="","",'梅 横長'!C14)</f>
        <v/>
      </c>
      <c r="C15" s="113" t="n"/>
      <c r="D15" s="113" t="n"/>
      <c r="E15" s="113" t="n"/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>
        <f>IF($B15="","",COUNTA($C$3:$Q$3)-COUNTA(C15:Q15))</f>
        <v/>
      </c>
    </row>
    <row r="16" ht="18" customHeight="1" s="50">
      <c r="A16" s="113">
        <f>'梅 横長'!B15</f>
        <v/>
      </c>
      <c r="B16" s="114">
        <f>IF('梅 横長'!C15="","",'梅 横長'!C15)</f>
        <v/>
      </c>
      <c r="C16" s="113" t="n"/>
      <c r="D16" s="113" t="n"/>
      <c r="E16" s="113" t="n"/>
      <c r="F16" s="113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>
        <f>IF($B16="","",COUNTA($C$3:$Q$3)-COUNTA(C16:Q16))</f>
        <v/>
      </c>
    </row>
    <row r="17" ht="18" customHeight="1" s="50">
      <c r="A17" s="113">
        <f>'梅 横長'!B16</f>
        <v/>
      </c>
      <c r="B17" s="114">
        <f>IF('梅 横長'!C16="","",'梅 横長'!C16)</f>
        <v/>
      </c>
      <c r="C17" s="113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>
        <f>IF($B17="","",COUNTA($C$3:$Q$3)-COUNTA(C17:Q17))</f>
        <v/>
      </c>
    </row>
    <row r="18" ht="18" customHeight="1" s="50">
      <c r="A18" s="115">
        <f>'梅 横長'!B17</f>
        <v/>
      </c>
      <c r="B18" s="116">
        <f>IF('梅 横長'!C17="","",'梅 横長'!C17)</f>
        <v/>
      </c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>
        <f>IF($B18="","",COUNTA($C$3:$Q$3)-COUNTA(C18:Q18))</f>
        <v/>
      </c>
    </row>
    <row r="19" ht="18" customHeight="1" s="50">
      <c r="A19" s="113">
        <f>'梅 横長'!B18</f>
        <v/>
      </c>
      <c r="B19" s="114">
        <f>IF('梅 横長'!C18="","",'梅 横長'!C18)</f>
        <v/>
      </c>
      <c r="C19" s="113" t="n"/>
      <c r="D19" s="113" t="n"/>
      <c r="E19" s="113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>
        <f>IF($B19="","",COUNTA($C$3:$Q$3)-COUNTA(C19:Q19))</f>
        <v/>
      </c>
    </row>
    <row r="20" ht="18" customHeight="1" s="50">
      <c r="A20" s="113">
        <f>'梅 横長'!B19</f>
        <v/>
      </c>
      <c r="B20" s="114">
        <f>IF('梅 横長'!C19="","",'梅 横長'!C19)</f>
        <v/>
      </c>
      <c r="C20" s="113" t="n"/>
      <c r="D20" s="113" t="n"/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>
        <f>IF($B20="","",COUNTA($C$3:$Q$3)-COUNTA(C20:Q20))</f>
        <v/>
      </c>
    </row>
    <row r="21" ht="18" customHeight="1" s="50">
      <c r="A21" s="113">
        <f>'梅 横長'!B20</f>
        <v/>
      </c>
      <c r="B21" s="114">
        <f>IF('梅 横長'!C20="","",'梅 横長'!C20)</f>
        <v/>
      </c>
      <c r="C21" s="113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3" t="n"/>
      <c r="P21" s="113" t="n"/>
      <c r="Q21" s="113" t="n"/>
      <c r="R21" s="113">
        <f>IF($B21="","",COUNTA($C$3:$Q$3)-COUNTA(C21:Q21))</f>
        <v/>
      </c>
    </row>
    <row r="22" ht="18" customHeight="1" s="50">
      <c r="A22" s="113">
        <f>'梅 横長'!B21</f>
        <v/>
      </c>
      <c r="B22" s="114">
        <f>IF('梅 横長'!C21="","",'梅 横長'!C21)</f>
        <v/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>
        <f>IF($B22="","",COUNTA($C$3:$Q$3)-COUNTA(C22:Q22))</f>
        <v/>
      </c>
    </row>
    <row r="23" ht="18" customHeight="1" s="50">
      <c r="A23" s="115">
        <f>'梅 横長'!B22</f>
        <v/>
      </c>
      <c r="B23" s="116">
        <f>IF('梅 横長'!C22="","",'梅 横長'!C22)</f>
        <v/>
      </c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>
        <f>IF($B23="","",COUNTA($C$3:$Q$3)-COUNTA(C23:Q23))</f>
        <v/>
      </c>
    </row>
    <row r="24" ht="18" customHeight="1" s="50">
      <c r="A24" s="113">
        <f>'梅 横長'!B23</f>
        <v/>
      </c>
      <c r="B24" s="114">
        <f>IF('梅 横長'!C23="","",'梅 横長'!C23)</f>
        <v/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>
        <f>IF($B24="","",COUNTA($C$3:$Q$3)-COUNTA(C24:Q24))</f>
        <v/>
      </c>
    </row>
    <row r="25" ht="18" customHeight="1" s="50">
      <c r="A25" s="113">
        <f>'梅 横長'!B24</f>
        <v/>
      </c>
      <c r="B25" s="114">
        <f>IF('梅 横長'!C24="","",'梅 横長'!C24)</f>
        <v/>
      </c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>
        <f>IF($B25="","",COUNTA($C$3:$Q$3)-COUNTA(C25:Q25))</f>
        <v/>
      </c>
    </row>
    <row r="26" ht="18" customHeight="1" s="50">
      <c r="A26" s="113">
        <f>'梅 横長'!B25</f>
        <v/>
      </c>
      <c r="B26" s="114">
        <f>IF('梅 横長'!C25="","",'梅 横長'!C25)</f>
        <v/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>
        <f>IF($B26="","",COUNTA($C$3:$Q$3)-COUNTA(C26:Q26))</f>
        <v/>
      </c>
    </row>
    <row r="27" ht="18" customHeight="1" s="50">
      <c r="A27" s="113">
        <f>'梅 横長'!B26</f>
        <v/>
      </c>
      <c r="B27" s="114">
        <f>IF('梅 横長'!C26="","",'梅 横長'!C26)</f>
        <v/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>
        <f>IF($B27="","",COUNTA($C$3:$Q$3)-COUNTA(C27:Q27))</f>
        <v/>
      </c>
    </row>
    <row r="28" ht="18" customHeight="1" s="50">
      <c r="A28" s="115">
        <f>'梅 横長'!B27</f>
        <v/>
      </c>
      <c r="B28" s="116">
        <f>IF('梅 横長'!C27="","",'梅 横長'!C27)</f>
        <v/>
      </c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>
        <f>IF($B28="","",COUNTA($C$3:$Q$3)-COUNTA(C28:Q28))</f>
        <v/>
      </c>
    </row>
    <row r="29" ht="18" customHeight="1" s="50">
      <c r="A29" s="113">
        <f>'梅 横長'!B28</f>
        <v/>
      </c>
      <c r="B29" s="114">
        <f>IF('梅 横長'!C28="","",'梅 横長'!C28)</f>
        <v/>
      </c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>
        <f>IF($B29="","",COUNTA($C$3:$Q$3)-COUNTA(C29:Q29))</f>
        <v/>
      </c>
    </row>
    <row r="30" ht="18" customHeight="1" s="50">
      <c r="A30" s="113">
        <f>'梅 横長'!B29</f>
        <v/>
      </c>
      <c r="B30" s="114">
        <f>IF('梅 横長'!C29="","",'梅 横長'!C29)</f>
        <v/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>
        <f>IF($B30="","",COUNTA($C$3:$Q$3)-COUNTA(C30:Q30))</f>
        <v/>
      </c>
    </row>
    <row r="31" ht="18" customHeight="1" s="50">
      <c r="A31" s="113">
        <f>'梅 横長'!B30</f>
        <v/>
      </c>
      <c r="B31" s="114">
        <f>IF('梅 横長'!C30="","",'梅 横長'!C30)</f>
        <v/>
      </c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>
        <f>IF($B31="","",COUNTA($C$3:$Q$3)-COUNTA(C31:Q31))</f>
        <v/>
      </c>
    </row>
    <row r="32" ht="18" customHeight="1" s="50">
      <c r="A32" s="113">
        <f>'梅 横長'!B31</f>
        <v/>
      </c>
      <c r="B32" s="114">
        <f>IF('梅 横長'!C31="","",'梅 横長'!C31)</f>
        <v/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>
        <f>IF($B32="","",COUNTA($C$3:$Q$3)-COUNTA(C32:Q32))</f>
        <v/>
      </c>
    </row>
    <row r="33" ht="18" customHeight="1" s="50">
      <c r="A33" s="115">
        <f>'梅 横長'!B32</f>
        <v/>
      </c>
      <c r="B33" s="116">
        <f>IF('梅 横長'!C32="","",'梅 横長'!C32)</f>
        <v/>
      </c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>
        <f>IF($B33="","",COUNTA($C$3:$Q$3)-COUNTA(C33:Q33))</f>
        <v/>
      </c>
    </row>
    <row r="34" ht="18" customHeight="1" s="50">
      <c r="A34" s="113">
        <f>'梅 横長'!B33</f>
        <v/>
      </c>
      <c r="B34" s="114">
        <f>IF('梅 横長'!C33="","",'梅 横長'!C33)</f>
        <v/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>
        <f>IF($B34="","",COUNTA($C$3:$Q$3)-COUNTA(C34:Q34))</f>
        <v/>
      </c>
    </row>
    <row r="35" ht="18" customHeight="1" s="50">
      <c r="A35" s="113">
        <f>'梅 横長'!B34</f>
        <v/>
      </c>
      <c r="B35" s="114">
        <f>IF('梅 横長'!C34="","",'梅 横長'!C34)</f>
        <v/>
      </c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>
        <f>IF($B35="","",COUNTA($C$3:$Q$3)-COUNTA(C35:Q35))</f>
        <v/>
      </c>
    </row>
    <row r="36" ht="18" customHeight="1" s="50">
      <c r="A36" s="113">
        <f>'梅 横長'!B35</f>
        <v/>
      </c>
      <c r="B36" s="114">
        <f>IF('梅 横長'!C35="","",'梅 横長'!C35)</f>
        <v/>
      </c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>
        <f>IF($B36="","",COUNTA($C$3:$Q$3)-COUNTA(C36:Q36))</f>
        <v/>
      </c>
    </row>
    <row r="37" ht="18" customHeight="1" s="50">
      <c r="A37" s="113">
        <f>'梅 横長'!B36</f>
        <v/>
      </c>
      <c r="B37" s="114">
        <f>IF('梅 横長'!C36="","",'梅 横長'!C36)</f>
        <v/>
      </c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>
        <f>IF($B37="","",COUNTA($C$3:$Q$3)-COUNTA(C37:Q37))</f>
        <v/>
      </c>
    </row>
    <row r="38" ht="18" customHeight="1" s="50">
      <c r="A38" s="115">
        <f>'梅 横長'!B37</f>
        <v/>
      </c>
      <c r="B38" s="116">
        <f>IF('梅 横長'!C37="","",'梅 横長'!C37)</f>
        <v/>
      </c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>
        <f>IF($B38="","",COUNTA($C$3:$Q$3)-COUNTA(C38:Q38))</f>
        <v/>
      </c>
    </row>
    <row r="39" ht="18" customHeight="1" s="50">
      <c r="A39" s="117" t="inlineStr">
        <is>
          <t>提出数</t>
        </is>
      </c>
      <c r="B39" s="117" t="n"/>
      <c r="C39" s="117">
        <f>IF(C$3="","",COUNTA(C4:C38))</f>
        <v/>
      </c>
      <c r="D39" s="117">
        <f>IF(D$3="","",COUNTA(D4:D38))</f>
        <v/>
      </c>
      <c r="E39" s="117">
        <f>IF(E$3="","",COUNTA(E4:E38))</f>
        <v/>
      </c>
      <c r="F39" s="117">
        <f>IF(F$3="","",COUNTA(F4:F38))</f>
        <v/>
      </c>
      <c r="G39" s="117">
        <f>IF(G$3="","",COUNTA(G4:G38))</f>
        <v/>
      </c>
      <c r="H39" s="117">
        <f>IF(H$3="","",COUNTA(H4:H38))</f>
        <v/>
      </c>
      <c r="I39" s="117">
        <f>IF(I$3="","",COUNTA(I4:I38))</f>
        <v/>
      </c>
      <c r="J39" s="117">
        <f>IF(J$3="","",COUNTA(J4:J38))</f>
        <v/>
      </c>
      <c r="K39" s="117">
        <f>IF(K$3="","",COUNTA(K4:K38))</f>
        <v/>
      </c>
      <c r="L39" s="117">
        <f>IF(L$3="","",COUNTA(L4:L38))</f>
        <v/>
      </c>
      <c r="M39" s="117">
        <f>IF(M$3="","",COUNTA(M4:M38))</f>
        <v/>
      </c>
      <c r="N39" s="117">
        <f>IF(N$3="","",COUNTA(N4:N38))</f>
        <v/>
      </c>
      <c r="O39" s="117">
        <f>IF(O$3="","",COUNTA(O4:O38))</f>
        <v/>
      </c>
      <c r="P39" s="117">
        <f>IF(P$3="","",COUNTA(P4:P38))</f>
        <v/>
      </c>
      <c r="Q39" s="117">
        <f>IF(Q$3="","",COUNTA(Q4:Q38))</f>
        <v/>
      </c>
      <c r="R39" s="117" t="n"/>
    </row>
    <row r="40" ht="18" customHeight="1" s="50">
      <c r="A40" s="118" t="inlineStr">
        <is>
          <t>未提出</t>
        </is>
      </c>
      <c r="B40" s="118" t="n"/>
      <c r="C40" s="118">
        <f>IF(C$3="","",COUNTIF($B$4:$B$38,"?*")-COUNTA(C4:C38))</f>
        <v/>
      </c>
      <c r="D40" s="118">
        <f>IF(D$3="","",COUNTIF($B$4:$B$38,"?*")-COUNTA(D4:D38))</f>
        <v/>
      </c>
      <c r="E40" s="118">
        <f>IF(E$3="","",COUNTIF($B$4:$B$38,"?*")-COUNTA(E4:E38))</f>
        <v/>
      </c>
      <c r="F40" s="118">
        <f>IF(F$3="","",COUNTIF($B$4:$B$38,"?*")-COUNTA(F4:F38))</f>
        <v/>
      </c>
      <c r="G40" s="118">
        <f>IF(G$3="","",COUNTIF($B$4:$B$38,"?*")-COUNTA(G4:G38))</f>
        <v/>
      </c>
      <c r="H40" s="118">
        <f>IF(H$3="","",COUNTIF($B$4:$B$38,"?*")-COUNTA(H4:H38))</f>
        <v/>
      </c>
      <c r="I40" s="118">
        <f>IF(I$3="","",COUNTIF($B$4:$B$38,"?*")-COUNTA(I4:I38))</f>
        <v/>
      </c>
      <c r="J40" s="118">
        <f>IF(J$3="","",COUNTIF($B$4:$B$38,"?*")-COUNTA(J4:J38))</f>
        <v/>
      </c>
      <c r="K40" s="118">
        <f>IF(K$3="","",COUNTIF($B$4:$B$38,"?*")-COUNTA(K4:K38))</f>
        <v/>
      </c>
      <c r="L40" s="118">
        <f>IF(L$3="","",COUNTIF($B$4:$B$38,"?*")-COUNTA(L4:L38))</f>
        <v/>
      </c>
      <c r="M40" s="118">
        <f>IF(M$3="","",COUNTIF($B$4:$B$38,"?*")-COUNTA(M4:M38))</f>
        <v/>
      </c>
      <c r="N40" s="118">
        <f>IF(N$3="","",COUNTIF($B$4:$B$38,"?*")-COUNTA(N4:N38))</f>
        <v/>
      </c>
      <c r="O40" s="118">
        <f>IF(O$3="","",COUNTIF($B$4:$B$38,"?*")-COUNTA(O4:O38))</f>
        <v/>
      </c>
      <c r="P40" s="118">
        <f>IF(P$3="","",COUNTIF($B$4:$B$38,"?*")-COUNTA(P4:P38))</f>
        <v/>
      </c>
      <c r="Q40" s="118">
        <f>IF(Q$3="","",COUNTIF($B$4:$B$38,"?*")-COUNTA(Q4:Q38))</f>
        <v/>
      </c>
      <c r="R40" s="118" t="n"/>
    </row>
    <row r="42">
      <c r="A42" s="119" t="inlineStr">
        <is>
          <t>黄色のセルに題名・提出物名を入力。提出したら○などを入れると「未提出」が自動で数えられます。</t>
        </is>
      </c>
    </row>
  </sheetData>
  <mergeCells count="3">
    <mergeCell ref="A1:R1"/>
    <mergeCell ref="A39:B39"/>
    <mergeCell ref="A40:B40"/>
  </mergeCells>
  <printOptions horizontalCentered="1"/>
  <pageMargins left="0.4" right="0.4" top="0.4" bottom="0.4" header="0.2" footer="0.2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style="50" min="1" max="1"/>
    <col width="15" customWidth="1" style="50" min="2" max="2"/>
    <col width="5" customWidth="1" style="50" min="3" max="3"/>
    <col hidden="1" width="6" customWidth="1" style="50" min="4" max="4"/>
    <col width="3" customWidth="1" style="50" min="5" max="5"/>
    <col width="4.5" customWidth="1" style="50" min="6" max="6"/>
    <col width="15" customWidth="1" style="50" min="7" max="7"/>
    <col width="2.5" customWidth="1" style="50" min="8" max="8"/>
    <col width="4.5" customWidth="1" style="50" min="9" max="9"/>
    <col width="15" customWidth="1" style="50" min="10" max="10"/>
    <col width="2.5" customWidth="1" style="50" min="11" max="11"/>
    <col width="4.5" customWidth="1" style="50" min="12" max="12"/>
    <col width="15" customWidth="1" style="50" min="13" max="13"/>
    <col width="2.5" customWidth="1" style="50" min="14" max="14"/>
    <col width="4.5" customWidth="1" style="50" min="15" max="15"/>
    <col width="15" customWidth="1" style="50" min="16" max="16"/>
    <col width="2.5" customWidth="1" style="50" min="17" max="17"/>
  </cols>
  <sheetData>
    <row r="1" ht="30" customHeight="1" s="50">
      <c r="A1" s="120" t="inlineStr">
        <is>
          <t>【入力用】班の番号（1〜8）を入力</t>
        </is>
      </c>
      <c r="F1" s="110" t="inlineStr">
        <is>
          <t>班分け表</t>
        </is>
      </c>
    </row>
    <row r="3" ht="24" customHeight="1" s="50">
      <c r="A3" s="121" t="inlineStr">
        <is>
          <t>番号</t>
        </is>
      </c>
      <c r="B3" s="121" t="inlineStr">
        <is>
          <t>名前</t>
        </is>
      </c>
      <c r="C3" s="121" t="inlineStr">
        <is>
          <t>班</t>
        </is>
      </c>
      <c r="F3" s="122">
        <f>1&amp;"班（"&amp;COUNTIF($D$4:$D$38,"1-*")&amp;"人）"</f>
        <v/>
      </c>
      <c r="G3" s="123" t="n"/>
      <c r="I3" s="122">
        <f>2&amp;"班（"&amp;COUNTIF($D$4:$D$38,"2-*")&amp;"人）"</f>
        <v/>
      </c>
      <c r="J3" s="123" t="n"/>
      <c r="L3" s="122">
        <f>3&amp;"班（"&amp;COUNTIF($D$4:$D$38,"3-*")&amp;"人）"</f>
        <v/>
      </c>
      <c r="M3" s="123" t="n"/>
      <c r="O3" s="122">
        <f>4&amp;"班（"&amp;COUNTIF($D$4:$D$38,"4-*")&amp;"人）"</f>
        <v/>
      </c>
      <c r="P3" s="123" t="n"/>
    </row>
    <row r="4" ht="24" customHeight="1" s="50">
      <c r="A4" s="113">
        <f>'梅 横長'!B3</f>
        <v/>
      </c>
      <c r="B4" s="124">
        <f>IF('梅 横長'!C3="","",'梅 横長'!C3)</f>
        <v/>
      </c>
      <c r="C4" s="125" t="n"/>
      <c r="D4">
        <f>IF(OR($B4="",$C4=""),"",$C4&amp;"-"&amp;COUNTIFS($C$4:$C4,$C4,$B$4:$B4,"?*"))</f>
        <v/>
      </c>
      <c r="F4" s="126">
        <f>IFERROR(INDEX($A$4:$A$38,MATCH("1-1",$D$4:$D$38,0)),"")</f>
        <v/>
      </c>
      <c r="G4" s="127">
        <f>IFERROR(INDEX($B$4:$B$38,MATCH("1-1",$D$4:$D$38,0)),"")</f>
        <v/>
      </c>
      <c r="I4" s="126">
        <f>IFERROR(INDEX($A$4:$A$38,MATCH("2-1",$D$4:$D$38,0)),"")</f>
        <v/>
      </c>
      <c r="J4" s="127">
        <f>IFERROR(INDEX($B$4:$B$38,MATCH("2-1",$D$4:$D$38,0)),"")</f>
        <v/>
      </c>
      <c r="L4" s="126">
        <f>IFERROR(INDEX($A$4:$A$38,MATCH("3-1",$D$4:$D$38,0)),"")</f>
        <v/>
      </c>
      <c r="M4" s="127">
        <f>IFERROR(INDEX($B$4:$B$38,MATCH("3-1",$D$4:$D$38,0)),"")</f>
        <v/>
      </c>
      <c r="O4" s="126">
        <f>IFERROR(INDEX($A$4:$A$38,MATCH("4-1",$D$4:$D$38,0)),"")</f>
        <v/>
      </c>
      <c r="P4" s="127">
        <f>IFERROR(INDEX($B$4:$B$38,MATCH("4-1",$D$4:$D$38,0)),"")</f>
        <v/>
      </c>
    </row>
    <row r="5" ht="24" customHeight="1" s="50">
      <c r="A5" s="113">
        <f>'梅 横長'!B4</f>
        <v/>
      </c>
      <c r="B5" s="124">
        <f>IF('梅 横長'!C4="","",'梅 横長'!C4)</f>
        <v/>
      </c>
      <c r="C5" s="125" t="n"/>
      <c r="D5">
        <f>IF(OR($B5="",$C5=""),"",$C5&amp;"-"&amp;COUNTIFS($C$4:$C5,$C5,$B$4:$B5,"?*"))</f>
        <v/>
      </c>
      <c r="F5" s="126">
        <f>IFERROR(INDEX($A$4:$A$38,MATCH("1-2",$D$4:$D$38,0)),"")</f>
        <v/>
      </c>
      <c r="G5" s="127">
        <f>IFERROR(INDEX($B$4:$B$38,MATCH("1-2",$D$4:$D$38,0)),"")</f>
        <v/>
      </c>
      <c r="I5" s="126">
        <f>IFERROR(INDEX($A$4:$A$38,MATCH("2-2",$D$4:$D$38,0)),"")</f>
        <v/>
      </c>
      <c r="J5" s="127">
        <f>IFERROR(INDEX($B$4:$B$38,MATCH("2-2",$D$4:$D$38,0)),"")</f>
        <v/>
      </c>
      <c r="L5" s="126">
        <f>IFERROR(INDEX($A$4:$A$38,MATCH("3-2",$D$4:$D$38,0)),"")</f>
        <v/>
      </c>
      <c r="M5" s="127">
        <f>IFERROR(INDEX($B$4:$B$38,MATCH("3-2",$D$4:$D$38,0)),"")</f>
        <v/>
      </c>
      <c r="O5" s="126">
        <f>IFERROR(INDEX($A$4:$A$38,MATCH("4-2",$D$4:$D$38,0)),"")</f>
        <v/>
      </c>
      <c r="P5" s="127">
        <f>IFERROR(INDEX($B$4:$B$38,MATCH("4-2",$D$4:$D$38,0)),"")</f>
        <v/>
      </c>
    </row>
    <row r="6" ht="24" customHeight="1" s="50">
      <c r="A6" s="113">
        <f>'梅 横長'!B5</f>
        <v/>
      </c>
      <c r="B6" s="124">
        <f>IF('梅 横長'!C5="","",'梅 横長'!C5)</f>
        <v/>
      </c>
      <c r="C6" s="125" t="n"/>
      <c r="D6">
        <f>IF(OR($B6="",$C6=""),"",$C6&amp;"-"&amp;COUNTIFS($C$4:$C6,$C6,$B$4:$B6,"?*"))</f>
        <v/>
      </c>
      <c r="F6" s="126">
        <f>IFERROR(INDEX($A$4:$A$38,MATCH("1-3",$D$4:$D$38,0)),"")</f>
        <v/>
      </c>
      <c r="G6" s="127">
        <f>IFERROR(INDEX($B$4:$B$38,MATCH("1-3",$D$4:$D$38,0)),"")</f>
        <v/>
      </c>
      <c r="I6" s="126">
        <f>IFERROR(INDEX($A$4:$A$38,MATCH("2-3",$D$4:$D$38,0)),"")</f>
        <v/>
      </c>
      <c r="J6" s="127">
        <f>IFERROR(INDEX($B$4:$B$38,MATCH("2-3",$D$4:$D$38,0)),"")</f>
        <v/>
      </c>
      <c r="L6" s="126">
        <f>IFERROR(INDEX($A$4:$A$38,MATCH("3-3",$D$4:$D$38,0)),"")</f>
        <v/>
      </c>
      <c r="M6" s="127">
        <f>IFERROR(INDEX($B$4:$B$38,MATCH("3-3",$D$4:$D$38,0)),"")</f>
        <v/>
      </c>
      <c r="O6" s="126">
        <f>IFERROR(INDEX($A$4:$A$38,MATCH("4-3",$D$4:$D$38,0)),"")</f>
        <v/>
      </c>
      <c r="P6" s="127">
        <f>IFERROR(INDEX($B$4:$B$38,MATCH("4-3",$D$4:$D$38,0)),"")</f>
        <v/>
      </c>
    </row>
    <row r="7" ht="24" customHeight="1" s="50">
      <c r="A7" s="113">
        <f>'梅 横長'!B6</f>
        <v/>
      </c>
      <c r="B7" s="124">
        <f>IF('梅 横長'!C6="","",'梅 横長'!C6)</f>
        <v/>
      </c>
      <c r="C7" s="125" t="n"/>
      <c r="D7">
        <f>IF(OR($B7="",$C7=""),"",$C7&amp;"-"&amp;COUNTIFS($C$4:$C7,$C7,$B$4:$B7,"?*"))</f>
        <v/>
      </c>
      <c r="F7" s="126">
        <f>IFERROR(INDEX($A$4:$A$38,MATCH("1-4",$D$4:$D$38,0)),"")</f>
        <v/>
      </c>
      <c r="G7" s="127">
        <f>IFERROR(INDEX($B$4:$B$38,MATCH("1-4",$D$4:$D$38,0)),"")</f>
        <v/>
      </c>
      <c r="I7" s="126">
        <f>IFERROR(INDEX($A$4:$A$38,MATCH("2-4",$D$4:$D$38,0)),"")</f>
        <v/>
      </c>
      <c r="J7" s="127">
        <f>IFERROR(INDEX($B$4:$B$38,MATCH("2-4",$D$4:$D$38,0)),"")</f>
        <v/>
      </c>
      <c r="L7" s="126">
        <f>IFERROR(INDEX($A$4:$A$38,MATCH("3-4",$D$4:$D$38,0)),"")</f>
        <v/>
      </c>
      <c r="M7" s="127">
        <f>IFERROR(INDEX($B$4:$B$38,MATCH("3-4",$D$4:$D$38,0)),"")</f>
        <v/>
      </c>
      <c r="O7" s="126">
        <f>IFERROR(INDEX($A$4:$A$38,MATCH("4-4",$D$4:$D$38,0)),"")</f>
        <v/>
      </c>
      <c r="P7" s="127">
        <f>IFERROR(INDEX($B$4:$B$38,MATCH("4-4",$D$4:$D$38,0)),"")</f>
        <v/>
      </c>
    </row>
    <row r="8" ht="24" customHeight="1" s="50">
      <c r="A8" s="115">
        <f>'梅 横長'!B7</f>
        <v/>
      </c>
      <c r="B8" s="128">
        <f>IF('梅 横長'!C7="","",'梅 横長'!C7)</f>
        <v/>
      </c>
      <c r="C8" s="129" t="n"/>
      <c r="D8">
        <f>IF(OR($B8="",$C8=""),"",$C8&amp;"-"&amp;COUNTIFS($C$4:$C8,$C8,$B$4:$B8,"?*"))</f>
        <v/>
      </c>
      <c r="F8" s="126">
        <f>IFERROR(INDEX($A$4:$A$38,MATCH("1-5",$D$4:$D$38,0)),"")</f>
        <v/>
      </c>
      <c r="G8" s="127">
        <f>IFERROR(INDEX($B$4:$B$38,MATCH("1-5",$D$4:$D$38,0)),"")</f>
        <v/>
      </c>
      <c r="I8" s="126">
        <f>IFERROR(INDEX($A$4:$A$38,MATCH("2-5",$D$4:$D$38,0)),"")</f>
        <v/>
      </c>
      <c r="J8" s="127">
        <f>IFERROR(INDEX($B$4:$B$38,MATCH("2-5",$D$4:$D$38,0)),"")</f>
        <v/>
      </c>
      <c r="L8" s="126">
        <f>IFERROR(INDEX($A$4:$A$38,MATCH("3-5",$D$4:$D$38,0)),"")</f>
        <v/>
      </c>
      <c r="M8" s="127">
        <f>IFERROR(INDEX($B$4:$B$38,MATCH("3-5",$D$4:$D$38,0)),"")</f>
        <v/>
      </c>
      <c r="O8" s="126">
        <f>IFERROR(INDEX($A$4:$A$38,MATCH("4-5",$D$4:$D$38,0)),"")</f>
        <v/>
      </c>
      <c r="P8" s="127">
        <f>IFERROR(INDEX($B$4:$B$38,MATCH("4-5",$D$4:$D$38,0)),"")</f>
        <v/>
      </c>
    </row>
    <row r="9" ht="24" customHeight="1" s="50">
      <c r="A9" s="113">
        <f>'梅 横長'!B8</f>
        <v/>
      </c>
      <c r="B9" s="124">
        <f>IF('梅 横長'!C8="","",'梅 横長'!C8)</f>
        <v/>
      </c>
      <c r="C9" s="125" t="n"/>
      <c r="D9">
        <f>IF(OR($B9="",$C9=""),"",$C9&amp;"-"&amp;COUNTIFS($C$4:$C9,$C9,$B$4:$B9,"?*"))</f>
        <v/>
      </c>
      <c r="F9" s="126">
        <f>IFERROR(INDEX($A$4:$A$38,MATCH("1-6",$D$4:$D$38,0)),"")</f>
        <v/>
      </c>
      <c r="G9" s="127">
        <f>IFERROR(INDEX($B$4:$B$38,MATCH("1-6",$D$4:$D$38,0)),"")</f>
        <v/>
      </c>
      <c r="I9" s="126">
        <f>IFERROR(INDEX($A$4:$A$38,MATCH("2-6",$D$4:$D$38,0)),"")</f>
        <v/>
      </c>
      <c r="J9" s="127">
        <f>IFERROR(INDEX($B$4:$B$38,MATCH("2-6",$D$4:$D$38,0)),"")</f>
        <v/>
      </c>
      <c r="L9" s="126">
        <f>IFERROR(INDEX($A$4:$A$38,MATCH("3-6",$D$4:$D$38,0)),"")</f>
        <v/>
      </c>
      <c r="M9" s="127">
        <f>IFERROR(INDEX($B$4:$B$38,MATCH("3-6",$D$4:$D$38,0)),"")</f>
        <v/>
      </c>
      <c r="O9" s="126">
        <f>IFERROR(INDEX($A$4:$A$38,MATCH("4-6",$D$4:$D$38,0)),"")</f>
        <v/>
      </c>
      <c r="P9" s="127">
        <f>IFERROR(INDEX($B$4:$B$38,MATCH("4-6",$D$4:$D$38,0)),"")</f>
        <v/>
      </c>
    </row>
    <row r="10" ht="24" customHeight="1" s="50">
      <c r="A10" s="113">
        <f>'梅 横長'!B9</f>
        <v/>
      </c>
      <c r="B10" s="124">
        <f>IF('梅 横長'!C9="","",'梅 横長'!C9)</f>
        <v/>
      </c>
      <c r="C10" s="125" t="n"/>
      <c r="D10">
        <f>IF(OR($B10="",$C10=""),"",$C10&amp;"-"&amp;COUNTIFS($C$4:$C10,$C10,$B$4:$B10,"?*"))</f>
        <v/>
      </c>
      <c r="F10" s="126">
        <f>IFERROR(INDEX($A$4:$A$38,MATCH("1-7",$D$4:$D$38,0)),"")</f>
        <v/>
      </c>
      <c r="G10" s="127">
        <f>IFERROR(INDEX($B$4:$B$38,MATCH("1-7",$D$4:$D$38,0)),"")</f>
        <v/>
      </c>
      <c r="I10" s="126">
        <f>IFERROR(INDEX($A$4:$A$38,MATCH("2-7",$D$4:$D$38,0)),"")</f>
        <v/>
      </c>
      <c r="J10" s="127">
        <f>IFERROR(INDEX($B$4:$B$38,MATCH("2-7",$D$4:$D$38,0)),"")</f>
        <v/>
      </c>
      <c r="L10" s="126">
        <f>IFERROR(INDEX($A$4:$A$38,MATCH("3-7",$D$4:$D$38,0)),"")</f>
        <v/>
      </c>
      <c r="M10" s="127">
        <f>IFERROR(INDEX($B$4:$B$38,MATCH("3-7",$D$4:$D$38,0)),"")</f>
        <v/>
      </c>
      <c r="O10" s="126">
        <f>IFERROR(INDEX($A$4:$A$38,MATCH("4-7",$D$4:$D$38,0)),"")</f>
        <v/>
      </c>
      <c r="P10" s="127">
        <f>IFERROR(INDEX($B$4:$B$38,MATCH("4-7",$D$4:$D$38,0)),"")</f>
        <v/>
      </c>
    </row>
    <row r="11" ht="24" customHeight="1" s="50">
      <c r="A11" s="113">
        <f>'梅 横長'!B10</f>
        <v/>
      </c>
      <c r="B11" s="124">
        <f>IF('梅 横長'!C10="","",'梅 横長'!C10)</f>
        <v/>
      </c>
      <c r="C11" s="125" t="n"/>
      <c r="D11">
        <f>IF(OR($B11="",$C11=""),"",$C11&amp;"-"&amp;COUNTIFS($C$4:$C11,$C11,$B$4:$B11,"?*"))</f>
        <v/>
      </c>
      <c r="F11" s="130">
        <f>IFERROR(INDEX($A$4:$A$38,MATCH("1-8",$D$4:$D$38,0)),"")</f>
        <v/>
      </c>
      <c r="G11" s="131">
        <f>IFERROR(INDEX($B$4:$B$38,MATCH("1-8",$D$4:$D$38,0)),"")</f>
        <v/>
      </c>
      <c r="I11" s="130">
        <f>IFERROR(INDEX($A$4:$A$38,MATCH("2-8",$D$4:$D$38,0)),"")</f>
        <v/>
      </c>
      <c r="J11" s="131">
        <f>IFERROR(INDEX($B$4:$B$38,MATCH("2-8",$D$4:$D$38,0)),"")</f>
        <v/>
      </c>
      <c r="L11" s="130">
        <f>IFERROR(INDEX($A$4:$A$38,MATCH("3-8",$D$4:$D$38,0)),"")</f>
        <v/>
      </c>
      <c r="M11" s="131">
        <f>IFERROR(INDEX($B$4:$B$38,MATCH("3-8",$D$4:$D$38,0)),"")</f>
        <v/>
      </c>
      <c r="O11" s="130">
        <f>IFERROR(INDEX($A$4:$A$38,MATCH("4-8",$D$4:$D$38,0)),"")</f>
        <v/>
      </c>
      <c r="P11" s="131">
        <f>IFERROR(INDEX($B$4:$B$38,MATCH("4-8",$D$4:$D$38,0)),"")</f>
        <v/>
      </c>
    </row>
    <row r="12" ht="15.75" customHeight="1" s="50">
      <c r="A12" s="113">
        <f>'梅 横長'!B11</f>
        <v/>
      </c>
      <c r="B12" s="124">
        <f>IF('梅 横長'!C11="","",'梅 横長'!C11)</f>
        <v/>
      </c>
      <c r="C12" s="125" t="n"/>
      <c r="D12">
        <f>IF(OR($B12="",$C12=""),"",$C12&amp;"-"&amp;COUNTIFS($C$4:$C12,$C12,$B$4:$B12,"?*"))</f>
        <v/>
      </c>
    </row>
    <row r="13" ht="24" customHeight="1" s="50">
      <c r="A13" s="115">
        <f>'梅 横長'!B12</f>
        <v/>
      </c>
      <c r="B13" s="128">
        <f>IF('梅 横長'!C12="","",'梅 横長'!C12)</f>
        <v/>
      </c>
      <c r="C13" s="129" t="n"/>
      <c r="D13">
        <f>IF(OR($B13="",$C13=""),"",$C13&amp;"-"&amp;COUNTIFS($C$4:$C13,$C13,$B$4:$B13,"?*"))</f>
        <v/>
      </c>
      <c r="F13" s="122">
        <f>5&amp;"班（"&amp;COUNTIF($D$4:$D$38,"5-*")&amp;"人）"</f>
        <v/>
      </c>
      <c r="G13" s="123" t="n"/>
      <c r="I13" s="122">
        <f>6&amp;"班（"&amp;COUNTIF($D$4:$D$38,"6-*")&amp;"人）"</f>
        <v/>
      </c>
      <c r="J13" s="123" t="n"/>
      <c r="L13" s="122">
        <f>7&amp;"班（"&amp;COUNTIF($D$4:$D$38,"7-*")&amp;"人）"</f>
        <v/>
      </c>
      <c r="M13" s="123" t="n"/>
      <c r="O13" s="122">
        <f>8&amp;"班（"&amp;COUNTIF($D$4:$D$38,"8-*")&amp;"人）"</f>
        <v/>
      </c>
      <c r="P13" s="123" t="n"/>
    </row>
    <row r="14" ht="24" customHeight="1" s="50">
      <c r="A14" s="113">
        <f>'梅 横長'!B13</f>
        <v/>
      </c>
      <c r="B14" s="124">
        <f>IF('梅 横長'!C13="","",'梅 横長'!C13)</f>
        <v/>
      </c>
      <c r="C14" s="125" t="n"/>
      <c r="D14">
        <f>IF(OR($B14="",$C14=""),"",$C14&amp;"-"&amp;COUNTIFS($C$4:$C14,$C14,$B$4:$B14,"?*"))</f>
        <v/>
      </c>
      <c r="F14" s="126">
        <f>IFERROR(INDEX($A$4:$A$38,MATCH("5-1",$D$4:$D$38,0)),"")</f>
        <v/>
      </c>
      <c r="G14" s="127">
        <f>IFERROR(INDEX($B$4:$B$38,MATCH("5-1",$D$4:$D$38,0)),"")</f>
        <v/>
      </c>
      <c r="I14" s="126">
        <f>IFERROR(INDEX($A$4:$A$38,MATCH("6-1",$D$4:$D$38,0)),"")</f>
        <v/>
      </c>
      <c r="J14" s="127">
        <f>IFERROR(INDEX($B$4:$B$38,MATCH("6-1",$D$4:$D$38,0)),"")</f>
        <v/>
      </c>
      <c r="L14" s="126">
        <f>IFERROR(INDEX($A$4:$A$38,MATCH("7-1",$D$4:$D$38,0)),"")</f>
        <v/>
      </c>
      <c r="M14" s="127">
        <f>IFERROR(INDEX($B$4:$B$38,MATCH("7-1",$D$4:$D$38,0)),"")</f>
        <v/>
      </c>
      <c r="O14" s="126">
        <f>IFERROR(INDEX($A$4:$A$38,MATCH("8-1",$D$4:$D$38,0)),"")</f>
        <v/>
      </c>
      <c r="P14" s="127">
        <f>IFERROR(INDEX($B$4:$B$38,MATCH("8-1",$D$4:$D$38,0)),"")</f>
        <v/>
      </c>
    </row>
    <row r="15" ht="24" customHeight="1" s="50">
      <c r="A15" s="113">
        <f>'梅 横長'!B14</f>
        <v/>
      </c>
      <c r="B15" s="124">
        <f>IF('梅 横長'!C14="","",'梅 横長'!C14)</f>
        <v/>
      </c>
      <c r="C15" s="125" t="n"/>
      <c r="D15">
        <f>IF(OR($B15="",$C15=""),"",$C15&amp;"-"&amp;COUNTIFS($C$4:$C15,$C15,$B$4:$B15,"?*"))</f>
        <v/>
      </c>
      <c r="F15" s="126">
        <f>IFERROR(INDEX($A$4:$A$38,MATCH("5-2",$D$4:$D$38,0)),"")</f>
        <v/>
      </c>
      <c r="G15" s="127">
        <f>IFERROR(INDEX($B$4:$B$38,MATCH("5-2",$D$4:$D$38,0)),"")</f>
        <v/>
      </c>
      <c r="I15" s="126">
        <f>IFERROR(INDEX($A$4:$A$38,MATCH("6-2",$D$4:$D$38,0)),"")</f>
        <v/>
      </c>
      <c r="J15" s="127">
        <f>IFERROR(INDEX($B$4:$B$38,MATCH("6-2",$D$4:$D$38,0)),"")</f>
        <v/>
      </c>
      <c r="L15" s="126">
        <f>IFERROR(INDEX($A$4:$A$38,MATCH("7-2",$D$4:$D$38,0)),"")</f>
        <v/>
      </c>
      <c r="M15" s="127">
        <f>IFERROR(INDEX($B$4:$B$38,MATCH("7-2",$D$4:$D$38,0)),"")</f>
        <v/>
      </c>
      <c r="O15" s="126">
        <f>IFERROR(INDEX($A$4:$A$38,MATCH("8-2",$D$4:$D$38,0)),"")</f>
        <v/>
      </c>
      <c r="P15" s="127">
        <f>IFERROR(INDEX($B$4:$B$38,MATCH("8-2",$D$4:$D$38,0)),"")</f>
        <v/>
      </c>
    </row>
    <row r="16" ht="24" customHeight="1" s="50">
      <c r="A16" s="113">
        <f>'梅 横長'!B15</f>
        <v/>
      </c>
      <c r="B16" s="124">
        <f>IF('梅 横長'!C15="","",'梅 横長'!C15)</f>
        <v/>
      </c>
      <c r="C16" s="125" t="n"/>
      <c r="D16">
        <f>IF(OR($B16="",$C16=""),"",$C16&amp;"-"&amp;COUNTIFS($C$4:$C16,$C16,$B$4:$B16,"?*"))</f>
        <v/>
      </c>
      <c r="F16" s="126">
        <f>IFERROR(INDEX($A$4:$A$38,MATCH("5-3",$D$4:$D$38,0)),"")</f>
        <v/>
      </c>
      <c r="G16" s="127">
        <f>IFERROR(INDEX($B$4:$B$38,MATCH("5-3",$D$4:$D$38,0)),"")</f>
        <v/>
      </c>
      <c r="I16" s="126">
        <f>IFERROR(INDEX($A$4:$A$38,MATCH("6-3",$D$4:$D$38,0)),"")</f>
        <v/>
      </c>
      <c r="J16" s="127">
        <f>IFERROR(INDEX($B$4:$B$38,MATCH("6-3",$D$4:$D$38,0)),"")</f>
        <v/>
      </c>
      <c r="L16" s="126">
        <f>IFERROR(INDEX($A$4:$A$38,MATCH("7-3",$D$4:$D$38,0)),"")</f>
        <v/>
      </c>
      <c r="M16" s="127">
        <f>IFERROR(INDEX($B$4:$B$38,MATCH("7-3",$D$4:$D$38,0)),"")</f>
        <v/>
      </c>
      <c r="O16" s="126">
        <f>IFERROR(INDEX($A$4:$A$38,MATCH("8-3",$D$4:$D$38,0)),"")</f>
        <v/>
      </c>
      <c r="P16" s="127">
        <f>IFERROR(INDEX($B$4:$B$38,MATCH("8-3",$D$4:$D$38,0)),"")</f>
        <v/>
      </c>
    </row>
    <row r="17" ht="24" customHeight="1" s="50">
      <c r="A17" s="113">
        <f>'梅 横長'!B16</f>
        <v/>
      </c>
      <c r="B17" s="124">
        <f>IF('梅 横長'!C16="","",'梅 横長'!C16)</f>
        <v/>
      </c>
      <c r="C17" s="125" t="n"/>
      <c r="D17">
        <f>IF(OR($B17="",$C17=""),"",$C17&amp;"-"&amp;COUNTIFS($C$4:$C17,$C17,$B$4:$B17,"?*"))</f>
        <v/>
      </c>
      <c r="F17" s="126">
        <f>IFERROR(INDEX($A$4:$A$38,MATCH("5-4",$D$4:$D$38,0)),"")</f>
        <v/>
      </c>
      <c r="G17" s="127">
        <f>IFERROR(INDEX($B$4:$B$38,MATCH("5-4",$D$4:$D$38,0)),"")</f>
        <v/>
      </c>
      <c r="I17" s="126">
        <f>IFERROR(INDEX($A$4:$A$38,MATCH("6-4",$D$4:$D$38,0)),"")</f>
        <v/>
      </c>
      <c r="J17" s="127">
        <f>IFERROR(INDEX($B$4:$B$38,MATCH("6-4",$D$4:$D$38,0)),"")</f>
        <v/>
      </c>
      <c r="L17" s="126">
        <f>IFERROR(INDEX($A$4:$A$38,MATCH("7-4",$D$4:$D$38,0)),"")</f>
        <v/>
      </c>
      <c r="M17" s="127">
        <f>IFERROR(INDEX($B$4:$B$38,MATCH("7-4",$D$4:$D$38,0)),"")</f>
        <v/>
      </c>
      <c r="O17" s="126">
        <f>IFERROR(INDEX($A$4:$A$38,MATCH("8-4",$D$4:$D$38,0)),"")</f>
        <v/>
      </c>
      <c r="P17" s="127">
        <f>IFERROR(INDEX($B$4:$B$38,MATCH("8-4",$D$4:$D$38,0)),"")</f>
        <v/>
      </c>
    </row>
    <row r="18" ht="24" customHeight="1" s="50">
      <c r="A18" s="115">
        <f>'梅 横長'!B17</f>
        <v/>
      </c>
      <c r="B18" s="128">
        <f>IF('梅 横長'!C17="","",'梅 横長'!C17)</f>
        <v/>
      </c>
      <c r="C18" s="129" t="n"/>
      <c r="D18">
        <f>IF(OR($B18="",$C18=""),"",$C18&amp;"-"&amp;COUNTIFS($C$4:$C18,$C18,$B$4:$B18,"?*"))</f>
        <v/>
      </c>
      <c r="F18" s="126">
        <f>IFERROR(INDEX($A$4:$A$38,MATCH("5-5",$D$4:$D$38,0)),"")</f>
        <v/>
      </c>
      <c r="G18" s="127">
        <f>IFERROR(INDEX($B$4:$B$38,MATCH("5-5",$D$4:$D$38,0)),"")</f>
        <v/>
      </c>
      <c r="I18" s="126">
        <f>IFERROR(INDEX($A$4:$A$38,MATCH("6-5",$D$4:$D$38,0)),"")</f>
        <v/>
      </c>
      <c r="J18" s="127">
        <f>IFERROR(INDEX($B$4:$B$38,MATCH("6-5",$D$4:$D$38,0)),"")</f>
        <v/>
      </c>
      <c r="L18" s="126">
        <f>IFERROR(INDEX($A$4:$A$38,MATCH("7-5",$D$4:$D$38,0)),"")</f>
        <v/>
      </c>
      <c r="M18" s="127">
        <f>IFERROR(INDEX($B$4:$B$38,MATCH("7-5",$D$4:$D$38,0)),"")</f>
        <v/>
      </c>
      <c r="O18" s="126">
        <f>IFERROR(INDEX($A$4:$A$38,MATCH("8-5",$D$4:$D$38,0)),"")</f>
        <v/>
      </c>
      <c r="P18" s="127">
        <f>IFERROR(INDEX($B$4:$B$38,MATCH("8-5",$D$4:$D$38,0)),"")</f>
        <v/>
      </c>
    </row>
    <row r="19" ht="24" customHeight="1" s="50">
      <c r="A19" s="113">
        <f>'梅 横長'!B18</f>
        <v/>
      </c>
      <c r="B19" s="124">
        <f>IF('梅 横長'!C18="","",'梅 横長'!C18)</f>
        <v/>
      </c>
      <c r="C19" s="125" t="n"/>
      <c r="D19">
        <f>IF(OR($B19="",$C19=""),"",$C19&amp;"-"&amp;COUNTIFS($C$4:$C19,$C19,$B$4:$B19,"?*"))</f>
        <v/>
      </c>
      <c r="F19" s="126">
        <f>IFERROR(INDEX($A$4:$A$38,MATCH("5-6",$D$4:$D$38,0)),"")</f>
        <v/>
      </c>
      <c r="G19" s="127">
        <f>IFERROR(INDEX($B$4:$B$38,MATCH("5-6",$D$4:$D$38,0)),"")</f>
        <v/>
      </c>
      <c r="I19" s="126">
        <f>IFERROR(INDEX($A$4:$A$38,MATCH("6-6",$D$4:$D$38,0)),"")</f>
        <v/>
      </c>
      <c r="J19" s="127">
        <f>IFERROR(INDEX($B$4:$B$38,MATCH("6-6",$D$4:$D$38,0)),"")</f>
        <v/>
      </c>
      <c r="L19" s="126">
        <f>IFERROR(INDEX($A$4:$A$38,MATCH("7-6",$D$4:$D$38,0)),"")</f>
        <v/>
      </c>
      <c r="M19" s="127">
        <f>IFERROR(INDEX($B$4:$B$38,MATCH("7-6",$D$4:$D$38,0)),"")</f>
        <v/>
      </c>
      <c r="O19" s="126">
        <f>IFERROR(INDEX($A$4:$A$38,MATCH("8-6",$D$4:$D$38,0)),"")</f>
        <v/>
      </c>
      <c r="P19" s="127">
        <f>IFERROR(INDEX($B$4:$B$38,MATCH("8-6",$D$4:$D$38,0)),"")</f>
        <v/>
      </c>
    </row>
    <row r="20" ht="24" customHeight="1" s="50">
      <c r="A20" s="113">
        <f>'梅 横長'!B19</f>
        <v/>
      </c>
      <c r="B20" s="124">
        <f>IF('梅 横長'!C19="","",'梅 横長'!C19)</f>
        <v/>
      </c>
      <c r="C20" s="125" t="n"/>
      <c r="D20">
        <f>IF(OR($B20="",$C20=""),"",$C20&amp;"-"&amp;COUNTIFS($C$4:$C20,$C20,$B$4:$B20,"?*"))</f>
        <v/>
      </c>
      <c r="F20" s="126">
        <f>IFERROR(INDEX($A$4:$A$38,MATCH("5-7",$D$4:$D$38,0)),"")</f>
        <v/>
      </c>
      <c r="G20" s="127">
        <f>IFERROR(INDEX($B$4:$B$38,MATCH("5-7",$D$4:$D$38,0)),"")</f>
        <v/>
      </c>
      <c r="I20" s="126">
        <f>IFERROR(INDEX($A$4:$A$38,MATCH("6-7",$D$4:$D$38,0)),"")</f>
        <v/>
      </c>
      <c r="J20" s="127">
        <f>IFERROR(INDEX($B$4:$B$38,MATCH("6-7",$D$4:$D$38,0)),"")</f>
        <v/>
      </c>
      <c r="L20" s="126">
        <f>IFERROR(INDEX($A$4:$A$38,MATCH("7-7",$D$4:$D$38,0)),"")</f>
        <v/>
      </c>
      <c r="M20" s="127">
        <f>IFERROR(INDEX($B$4:$B$38,MATCH("7-7",$D$4:$D$38,0)),"")</f>
        <v/>
      </c>
      <c r="O20" s="126">
        <f>IFERROR(INDEX($A$4:$A$38,MATCH("8-7",$D$4:$D$38,0)),"")</f>
        <v/>
      </c>
      <c r="P20" s="127">
        <f>IFERROR(INDEX($B$4:$B$38,MATCH("8-7",$D$4:$D$38,0)),"")</f>
        <v/>
      </c>
    </row>
    <row r="21" ht="24" customHeight="1" s="50">
      <c r="A21" s="113">
        <f>'梅 横長'!B20</f>
        <v/>
      </c>
      <c r="B21" s="124">
        <f>IF('梅 横長'!C20="","",'梅 横長'!C20)</f>
        <v/>
      </c>
      <c r="C21" s="125" t="n"/>
      <c r="D21">
        <f>IF(OR($B21="",$C21=""),"",$C21&amp;"-"&amp;COUNTIFS($C$4:$C21,$C21,$B$4:$B21,"?*"))</f>
        <v/>
      </c>
      <c r="F21" s="130">
        <f>IFERROR(INDEX($A$4:$A$38,MATCH("5-8",$D$4:$D$38,0)),"")</f>
        <v/>
      </c>
      <c r="G21" s="131">
        <f>IFERROR(INDEX($B$4:$B$38,MATCH("5-8",$D$4:$D$38,0)),"")</f>
        <v/>
      </c>
      <c r="I21" s="130">
        <f>IFERROR(INDEX($A$4:$A$38,MATCH("6-8",$D$4:$D$38,0)),"")</f>
        <v/>
      </c>
      <c r="J21" s="131">
        <f>IFERROR(INDEX($B$4:$B$38,MATCH("6-8",$D$4:$D$38,0)),"")</f>
        <v/>
      </c>
      <c r="L21" s="130">
        <f>IFERROR(INDEX($A$4:$A$38,MATCH("7-8",$D$4:$D$38,0)),"")</f>
        <v/>
      </c>
      <c r="M21" s="131">
        <f>IFERROR(INDEX($B$4:$B$38,MATCH("7-8",$D$4:$D$38,0)),"")</f>
        <v/>
      </c>
      <c r="O21" s="130">
        <f>IFERROR(INDEX($A$4:$A$38,MATCH("8-8",$D$4:$D$38,0)),"")</f>
        <v/>
      </c>
      <c r="P21" s="131">
        <f>IFERROR(INDEX($B$4:$B$38,MATCH("8-8",$D$4:$D$38,0)),"")</f>
        <v/>
      </c>
    </row>
    <row r="22" ht="15.75" customHeight="1" s="50">
      <c r="A22" s="113">
        <f>'梅 横長'!B21</f>
        <v/>
      </c>
      <c r="B22" s="124">
        <f>IF('梅 横長'!C21="","",'梅 横長'!C21)</f>
        <v/>
      </c>
      <c r="C22" s="125" t="n"/>
      <c r="D22">
        <f>IF(OR($B22="",$C22=""),"",$C22&amp;"-"&amp;COUNTIFS($C$4:$C22,$C22,$B$4:$B22,"?*"))</f>
        <v/>
      </c>
    </row>
    <row r="23" ht="15.75" customHeight="1" s="50">
      <c r="A23" s="115">
        <f>'梅 横長'!B22</f>
        <v/>
      </c>
      <c r="B23" s="128">
        <f>IF('梅 横長'!C22="","",'梅 横長'!C22)</f>
        <v/>
      </c>
      <c r="C23" s="129" t="n"/>
      <c r="D23">
        <f>IF(OR($B23="",$C23=""),"",$C23&amp;"-"&amp;COUNTIFS($C$4:$C23,$C23,$B$4:$B23,"?*"))</f>
        <v/>
      </c>
    </row>
    <row r="24" ht="15.75" customHeight="1" s="50">
      <c r="A24" s="113">
        <f>'梅 横長'!B23</f>
        <v/>
      </c>
      <c r="B24" s="124">
        <f>IF('梅 横長'!C23="","",'梅 横長'!C23)</f>
        <v/>
      </c>
      <c r="C24" s="125" t="n"/>
      <c r="D24">
        <f>IF(OR($B24="",$C24=""),"",$C24&amp;"-"&amp;COUNTIFS($C$4:$C24,$C24,$B$4:$B24,"?*"))</f>
        <v/>
      </c>
    </row>
    <row r="25" ht="15.75" customHeight="1" s="50">
      <c r="A25" s="113">
        <f>'梅 横長'!B24</f>
        <v/>
      </c>
      <c r="B25" s="124">
        <f>IF('梅 横長'!C24="","",'梅 横長'!C24)</f>
        <v/>
      </c>
      <c r="C25" s="125" t="n"/>
      <c r="D25">
        <f>IF(OR($B25="",$C25=""),"",$C25&amp;"-"&amp;COUNTIFS($C$4:$C25,$C25,$B$4:$B25,"?*"))</f>
        <v/>
      </c>
    </row>
    <row r="26" ht="15.75" customHeight="1" s="50">
      <c r="A26" s="113">
        <f>'梅 横長'!B25</f>
        <v/>
      </c>
      <c r="B26" s="124">
        <f>IF('梅 横長'!C25="","",'梅 横長'!C25)</f>
        <v/>
      </c>
      <c r="C26" s="125" t="n"/>
      <c r="D26">
        <f>IF(OR($B26="",$C26=""),"",$C26&amp;"-"&amp;COUNTIFS($C$4:$C26,$C26,$B$4:$B26,"?*"))</f>
        <v/>
      </c>
    </row>
    <row r="27" ht="15.75" customHeight="1" s="50">
      <c r="A27" s="113">
        <f>'梅 横長'!B26</f>
        <v/>
      </c>
      <c r="B27" s="124">
        <f>IF('梅 横長'!C26="","",'梅 横長'!C26)</f>
        <v/>
      </c>
      <c r="C27" s="125" t="n"/>
      <c r="D27">
        <f>IF(OR($B27="",$C27=""),"",$C27&amp;"-"&amp;COUNTIFS($C$4:$C27,$C27,$B$4:$B27,"?*"))</f>
        <v/>
      </c>
    </row>
    <row r="28" ht="15.75" customHeight="1" s="50">
      <c r="A28" s="115">
        <f>'梅 横長'!B27</f>
        <v/>
      </c>
      <c r="B28" s="128">
        <f>IF('梅 横長'!C27="","",'梅 横長'!C27)</f>
        <v/>
      </c>
      <c r="C28" s="129" t="n"/>
      <c r="D28">
        <f>IF(OR($B28="",$C28=""),"",$C28&amp;"-"&amp;COUNTIFS($C$4:$C28,$C28,$B$4:$B28,"?*"))</f>
        <v/>
      </c>
    </row>
    <row r="29" ht="15.75" customHeight="1" s="50">
      <c r="A29" s="113">
        <f>'梅 横長'!B28</f>
        <v/>
      </c>
      <c r="B29" s="124">
        <f>IF('梅 横長'!C28="","",'梅 横長'!C28)</f>
        <v/>
      </c>
      <c r="C29" s="125" t="n"/>
      <c r="D29">
        <f>IF(OR($B29="",$C29=""),"",$C29&amp;"-"&amp;COUNTIFS($C$4:$C29,$C29,$B$4:$B29,"?*"))</f>
        <v/>
      </c>
    </row>
    <row r="30" ht="15.75" customHeight="1" s="50">
      <c r="A30" s="113">
        <f>'梅 横長'!B29</f>
        <v/>
      </c>
      <c r="B30" s="124">
        <f>IF('梅 横長'!C29="","",'梅 横長'!C29)</f>
        <v/>
      </c>
      <c r="C30" s="125" t="n"/>
      <c r="D30">
        <f>IF(OR($B30="",$C30=""),"",$C30&amp;"-"&amp;COUNTIFS($C$4:$C30,$C30,$B$4:$B30,"?*"))</f>
        <v/>
      </c>
    </row>
    <row r="31" ht="15.75" customHeight="1" s="50">
      <c r="A31" s="113">
        <f>'梅 横長'!B30</f>
        <v/>
      </c>
      <c r="B31" s="124">
        <f>IF('梅 横長'!C30="","",'梅 横長'!C30)</f>
        <v/>
      </c>
      <c r="C31" s="125" t="n"/>
      <c r="D31">
        <f>IF(OR($B31="",$C31=""),"",$C31&amp;"-"&amp;COUNTIFS($C$4:$C31,$C31,$B$4:$B31,"?*"))</f>
        <v/>
      </c>
    </row>
    <row r="32" ht="15.75" customHeight="1" s="50">
      <c r="A32" s="113">
        <f>'梅 横長'!B31</f>
        <v/>
      </c>
      <c r="B32" s="124">
        <f>IF('梅 横長'!C31="","",'梅 横長'!C31)</f>
        <v/>
      </c>
      <c r="C32" s="125" t="n"/>
      <c r="D32">
        <f>IF(OR($B32="",$C32=""),"",$C32&amp;"-"&amp;COUNTIFS($C$4:$C32,$C32,$B$4:$B32,"?*"))</f>
        <v/>
      </c>
    </row>
    <row r="33" ht="15.75" customHeight="1" s="50">
      <c r="A33" s="115">
        <f>'梅 横長'!B32</f>
        <v/>
      </c>
      <c r="B33" s="128">
        <f>IF('梅 横長'!C32="","",'梅 横長'!C32)</f>
        <v/>
      </c>
      <c r="C33" s="129" t="n"/>
      <c r="D33">
        <f>IF(OR($B33="",$C33=""),"",$C33&amp;"-"&amp;COUNTIFS($C$4:$C33,$C33,$B$4:$B33,"?*"))</f>
        <v/>
      </c>
    </row>
    <row r="34" ht="15.75" customHeight="1" s="50">
      <c r="A34" s="113">
        <f>'梅 横長'!B33</f>
        <v/>
      </c>
      <c r="B34" s="124">
        <f>IF('梅 横長'!C33="","",'梅 横長'!C33)</f>
        <v/>
      </c>
      <c r="C34" s="125" t="n"/>
      <c r="D34">
        <f>IF(OR($B34="",$C34=""),"",$C34&amp;"-"&amp;COUNTIFS($C$4:$C34,$C34,$B$4:$B34,"?*"))</f>
        <v/>
      </c>
    </row>
    <row r="35" ht="15.75" customHeight="1" s="50">
      <c r="A35" s="113">
        <f>'梅 横長'!B34</f>
        <v/>
      </c>
      <c r="B35" s="124">
        <f>IF('梅 横長'!C34="","",'梅 横長'!C34)</f>
        <v/>
      </c>
      <c r="C35" s="125" t="n"/>
      <c r="D35">
        <f>IF(OR($B35="",$C35=""),"",$C35&amp;"-"&amp;COUNTIFS($C$4:$C35,$C35,$B$4:$B35,"?*"))</f>
        <v/>
      </c>
    </row>
    <row r="36" ht="15.75" customHeight="1" s="50">
      <c r="A36" s="113">
        <f>'梅 横長'!B35</f>
        <v/>
      </c>
      <c r="B36" s="124">
        <f>IF('梅 横長'!C35="","",'梅 横長'!C35)</f>
        <v/>
      </c>
      <c r="C36" s="125" t="n"/>
      <c r="D36">
        <f>IF(OR($B36="",$C36=""),"",$C36&amp;"-"&amp;COUNTIFS($C$4:$C36,$C36,$B$4:$B36,"?*"))</f>
        <v/>
      </c>
    </row>
    <row r="37" ht="15.75" customHeight="1" s="50">
      <c r="A37" s="113">
        <f>'梅 横長'!B36</f>
        <v/>
      </c>
      <c r="B37" s="124">
        <f>IF('梅 横長'!C36="","",'梅 横長'!C36)</f>
        <v/>
      </c>
      <c r="C37" s="125" t="n"/>
      <c r="D37">
        <f>IF(OR($B37="",$C37=""),"",$C37&amp;"-"&amp;COUNTIFS($C$4:$C37,$C37,$B$4:$B37,"?*"))</f>
        <v/>
      </c>
    </row>
    <row r="38" ht="15.75" customHeight="1" s="50">
      <c r="A38" s="115">
        <f>'梅 横長'!B37</f>
        <v/>
      </c>
      <c r="B38" s="128">
        <f>IF('梅 横長'!C37="","",'梅 横長'!C37)</f>
        <v/>
      </c>
      <c r="C38" s="129" t="n"/>
      <c r="D38">
        <f>IF(OR($B38="",$C38=""),"",$C38&amp;"-"&amp;COUNTIFS($C$4:$C38,$C38,$B$4:$B38,"?*"))</f>
        <v/>
      </c>
    </row>
    <row r="39">
      <c r="A39" s="132" t="inlineStr">
        <is>
          <t>未入力</t>
        </is>
      </c>
      <c r="C39" s="132">
        <f>SUMPRODUCT(($B$4:$B$38&lt;&gt;"")*($C$4:$C$38=""))&amp;"人"</f>
        <v/>
      </c>
    </row>
  </sheetData>
  <mergeCells count="9">
    <mergeCell ref="F1:P1"/>
    <mergeCell ref="L3:M3"/>
    <mergeCell ref="F3:G3"/>
    <mergeCell ref="O3:P3"/>
    <mergeCell ref="I13:J13"/>
    <mergeCell ref="F13:G13"/>
    <mergeCell ref="L13:M13"/>
    <mergeCell ref="O13:P13"/>
    <mergeCell ref="I3:J3"/>
  </mergeCells>
  <dataValidations count="1">
    <dataValidation sqref="C4:C38" showDropDown="0" showInputMessage="0" showErrorMessage="1" allowBlank="1" errorTitle="班の番号" error="1〜8の数字を入力してください。" type="whole" operator="between">
      <formula1>1</formula1>
      <formula2>8</formula2>
    </dataValidation>
  </dataValidations>
  <printOptions horizontalCentered="1"/>
  <pageMargins left="0.4" right="0.4" top="0.4" bottom="0.4" header="0.2" footer="0.2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C20"/>
  <sheetViews>
    <sheetView showGridLines="0" tabSelected="0" workbookViewId="0">
      <selection activeCell="A1" sqref="A1"/>
    </sheetView>
  </sheetViews>
  <sheetFormatPr baseColWidth="8" defaultRowHeight="15"/>
  <cols>
    <col width="2" customWidth="1" style="50" min="1" max="1"/>
    <col width="26" customWidth="1" style="50" min="2" max="2"/>
    <col width="70" customWidth="1" style="50" min="3" max="3"/>
  </cols>
  <sheetData>
    <row r="1" ht="30" customHeight="1" s="50">
      <c r="B1" s="133" t="inlineStr">
        <is>
          <t>使い方</t>
        </is>
      </c>
      <c r="C1" s="134" t="n"/>
    </row>
    <row r="2" ht="20" customHeight="1" s="50">
      <c r="B2" s="134" t="n"/>
      <c r="C2" s="134" t="n"/>
    </row>
    <row r="3" ht="20" customHeight="1" s="50">
      <c r="B3" s="134" t="inlineStr">
        <is>
          <t>① 名簿を入力</t>
        </is>
      </c>
      <c r="C3" s="134" t="inlineStr">
        <is>
          <t>「梅 横長」シートに、漢字氏名とかな氏名を入力します。ほかのシートには自動で名前が入ります。</t>
        </is>
      </c>
    </row>
    <row r="4" ht="20" customHeight="1" s="50">
      <c r="B4" s="134" t="inlineStr">
        <is>
          <t>② 印刷したいシートを開く</t>
        </is>
      </c>
      <c r="C4" s="134" t="inlineStr">
        <is>
          <t>下の表から、使いたいシートを選んで印刷します。</t>
        </is>
      </c>
    </row>
    <row r="5" ht="20" customHeight="1" s="50">
      <c r="B5" s="134" t="n"/>
      <c r="C5" s="134" t="n"/>
    </row>
    <row r="6" ht="20" customHeight="1" s="50">
      <c r="B6" s="135" t="inlineStr">
        <is>
          <t>シート名</t>
        </is>
      </c>
      <c r="C6" s="135" t="inlineStr">
        <is>
          <t>用途・用紙</t>
        </is>
      </c>
    </row>
    <row r="7" ht="20" customHeight="1" s="50">
      <c r="B7" s="136" t="inlineStr">
        <is>
          <t>名前カード</t>
        </is>
      </c>
      <c r="C7" s="136" t="inlineStr">
        <is>
          <t>A3縦・1枚に36人（今までのもの）</t>
        </is>
      </c>
    </row>
    <row r="8" ht="20" customHeight="1" s="50">
      <c r="B8" s="136" t="inlineStr">
        <is>
          <t>名前カード (松組/竹組/梅組/月組)</t>
        </is>
      </c>
      <c r="C8" s="136" t="inlineStr">
        <is>
          <t>A3縦・クラスのマーク入り</t>
        </is>
      </c>
    </row>
    <row r="9" ht="20" customHeight="1" s="50">
      <c r="B9" s="136" t="inlineStr">
        <is>
          <t>名前カード (ひらがな)</t>
        </is>
      </c>
      <c r="C9" s="136" t="inlineStr">
        <is>
          <t>A3縦・ひらがなだけ</t>
        </is>
      </c>
    </row>
    <row r="10" ht="20" customHeight="1" s="50">
      <c r="B10" s="136" t="inlineStr">
        <is>
          <t>名前カード (特大)</t>
        </is>
      </c>
      <c r="C10" s="136" t="inlineStr">
        <is>
          <t>A4横・1枚に1人。机の上や掲示用。名前のある人数分だけ印刷されます。</t>
        </is>
      </c>
    </row>
    <row r="11" ht="20" customHeight="1" s="50">
      <c r="B11" s="136" t="inlineStr">
        <is>
          <t>名前カード (大)</t>
        </is>
      </c>
      <c r="C11" s="136" t="inlineStr">
        <is>
          <t>A4縦・1枚に10人。名前のあるページだけ印刷されます。</t>
        </is>
      </c>
    </row>
    <row r="12" ht="20" customHeight="1" s="50">
      <c r="B12" s="136" t="inlineStr">
        <is>
          <t>名前カード (小)</t>
        </is>
      </c>
      <c r="C12" s="136" t="inlineStr">
        <is>
          <t>A4縦・1枚に40人。小さな名札・シール用。</t>
        </is>
      </c>
    </row>
    <row r="13" ht="20" customHeight="1" s="50">
      <c r="B13" s="136" t="inlineStr">
        <is>
          <t>名前カード (縦書き)</t>
        </is>
      </c>
      <c r="C13" s="136" t="inlineStr">
        <is>
          <t>A4横・1枚に36人の縦書き。靴箱・ロッカー用。</t>
        </is>
      </c>
    </row>
    <row r="14" ht="20" customHeight="1" s="50">
      <c r="B14" s="136" t="inlineStr">
        <is>
          <t>座席表 / 座席表 （低学年用）</t>
        </is>
      </c>
      <c r="C14" s="136" t="inlineStr">
        <is>
          <t>黄色の欄に出席番号を入力すると座席表ができます。</t>
        </is>
      </c>
    </row>
    <row r="15" ht="20" customHeight="1" s="50">
      <c r="B15" s="136" t="inlineStr">
        <is>
          <t>提出物チェック表</t>
        </is>
      </c>
      <c r="C15" s="136" t="inlineStr">
        <is>
          <t>黄色の欄に題名と提出物名を入力。未提出の数を自動で数えます。</t>
        </is>
      </c>
    </row>
    <row r="16" ht="20" customHeight="1" s="50">
      <c r="B16" s="136" t="inlineStr">
        <is>
          <t>班分け表</t>
        </is>
      </c>
      <c r="C16" s="136" t="inlineStr">
        <is>
          <t>黄色の欄に班の番号（1〜8）を入力すると、班ごとの名簿ができます。</t>
        </is>
      </c>
    </row>
    <row r="17" ht="20" customHeight="1" s="50">
      <c r="B17" s="134" t="n"/>
      <c r="C17" s="134" t="n"/>
    </row>
    <row r="18" ht="20" customHeight="1" s="50">
      <c r="B18" s="137" t="inlineStr">
        <is>
          <t>メモ</t>
        </is>
      </c>
      <c r="C18" s="134" t="inlineStr">
        <is>
          <t>黄色のセルが入力するところです。それ以外のセルには数式が入っているので、消さないようにしてください。</t>
        </is>
      </c>
    </row>
    <row r="19" ht="20" customHeight="1" s="50">
      <c r="B19" s="134" t="n"/>
      <c r="C19" s="134" t="inlineStr">
        <is>
          <t>名前の長い人は、カードの枠に入るように文字が自動で小さくなります。</t>
        </is>
      </c>
    </row>
    <row r="20" ht="20" customHeight="1" s="50">
      <c r="B20" s="134" t="n"/>
      <c r="C20" s="134" t="inlineStr">
        <is>
          <t>名前が入っていないカードは枠も印刷されません。</t>
        </is>
      </c>
    </row>
  </sheetData>
  <printOptions horizontalCentered="1"/>
  <pageMargins left="0.4" right="0.4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0009559469</dc:creator>
  <dc:language>en-US</dc:language>
  <dcterms:created xsi:type="dcterms:W3CDTF">2010-03-30T02:52:27Z</dcterms:created>
  <dcterms:modified xsi:type="dcterms:W3CDTF">2026-10-03T11:56:34Z</dcterms:modified>
  <cp:lastModifiedBy>toshi baba</cp:lastModifiedBy>
  <cp:revision>0</cp:revision>
</cp:coreProperties>
</file>