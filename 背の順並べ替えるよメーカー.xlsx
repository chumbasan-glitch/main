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1・2列" sheetId="2" state="visible" r:id="rId2"/>
    <sheet name="4列" sheetId="3" state="visible" r:id="rId3"/>
  </sheets>
  <definedNames>
    <definedName name="_xlnm.Print_Area" localSheetId="1">'1・2列'!$A$4:$B$48,'1・2列'!$D$4:$F$28,'1・2列'!$H$4:$J$33</definedName>
    <definedName name="_xlnm.Print_Area" localSheetId="2">'4列'!$A$4:$E$18,'4列'!$A$23:$E$37,'4列'!$G$4:$K$18,'4列'!$G$23:$K$40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color rgb="00808080"/>
      <sz val="9"/>
    </font>
    <font>
      <name val="游ゴシック"/>
      <b val="1"/>
      <sz val="12"/>
    </font>
    <font>
      <name val="游ゴシック"/>
      <b val="1"/>
      <sz val="16"/>
    </font>
    <font>
      <name val="游ゴシック"/>
      <color rgb="00808080"/>
      <sz val="11"/>
    </font>
    <font>
      <name val="游ゴシック"/>
      <b val="1"/>
      <sz val="13"/>
    </font>
    <font>
      <name val="游ゴシック"/>
      <color rgb="00808080"/>
      <sz val="10"/>
    </font>
    <font>
      <name val="游ゴシック"/>
      <sz val="13"/>
    </font>
    <font>
      <name val="游ゴシック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10" customWidth="1" min="4" max="4"/>
    <col width="19" customWidth="1" min="5" max="5"/>
    <col width="10" customWidth="1" min="6" max="6"/>
    <col width="11" customWidth="1" min="7" max="7"/>
    <col width="16" customWidth="1" min="8" max="8"/>
    <col hidden="1" width="8" customWidth="1" min="9" max="9"/>
    <col width="14" customWidth="1" min="11" max="11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男女</t>
        </is>
      </c>
      <c r="D1" s="1" t="inlineStr">
        <is>
          <t>自動の順番</t>
        </is>
      </c>
      <c r="E1" s="1" t="inlineStr">
        <is>
          <t>手動の順番
(入れ替えたい時だけ)</t>
        </is>
      </c>
      <c r="F1" s="1" t="inlineStr">
        <is>
          <t>決定の順番</t>
        </is>
      </c>
      <c r="G1" s="1" t="inlineStr">
        <is>
          <t>男女別の順番</t>
        </is>
      </c>
      <c r="H1" s="1" t="inlineStr">
        <is>
          <t>チェック</t>
        </is>
      </c>
      <c r="I1" s="1" t="inlineStr">
        <is>
          <t>計算用</t>
        </is>
      </c>
      <c r="K1" s="2" t="inlineStr">
        <is>
          <t>使い方</t>
        </is>
      </c>
    </row>
    <row r="2">
      <c r="A2" s="3" t="n"/>
      <c r="B2" s="4" t="n"/>
      <c r="C2" s="5" t="n"/>
      <c r="D2" s="6">
        <f>IF(OR(A2="",B2=""),"",COUNTIF($B$2:$B$41,"&lt;"&amp;B2)+COUNTIF($B$2:B2,B2))</f>
        <v/>
      </c>
      <c r="E2" s="5" t="n"/>
      <c r="F2" s="6">
        <f>IF(D2="","",IF(E2="",D2,E2))</f>
        <v/>
      </c>
      <c r="G2" s="6">
        <f>IF(OR(F2="",AND(C2&lt;&gt;"男",C2&lt;&gt;"女")),"",COUNTIFS($C$2:$C$41,C2,$F$2:$F$41,"&lt;"&amp;F2)+1)</f>
        <v/>
      </c>
      <c r="H2" s="7">
        <f>IF(F2="","",IF(COUNTIF($F$2:$F$41,F2)&gt;1,"⚠ 順番が重複",IF(F2&gt;COUNT($F$2:$F$41),"⚠ 番号が大きすぎ",IF(G2="","男女が未入力",""))))</f>
        <v/>
      </c>
      <c r="I2" s="8">
        <f>IF(G2="","",C2&amp;G2)</f>
        <v/>
      </c>
      <c r="K2" s="9" t="inlineStr">
        <is>
          <t>① 黄色の「名前」「身長」「男女」を入れる（貼り付けOK・最大40人）</t>
        </is>
      </c>
    </row>
    <row r="3">
      <c r="A3" s="3" t="n"/>
      <c r="B3" s="4" t="n"/>
      <c r="C3" s="5" t="n"/>
      <c r="D3" s="6">
        <f>IF(OR(A3="",B3=""),"",COUNTIF($B$2:$B$41,"&lt;"&amp;B3)+COUNTIF($B$2:B3,B3))</f>
        <v/>
      </c>
      <c r="E3" s="5" t="n"/>
      <c r="F3" s="6">
        <f>IF(D3="","",IF(E3="",D3,E3))</f>
        <v/>
      </c>
      <c r="G3" s="6">
        <f>IF(OR(F3="",AND(C3&lt;&gt;"男",C3&lt;&gt;"女")),"",COUNTIFS($C$2:$C$41,C3,$F$2:$F$41,"&lt;"&amp;F3)+1)</f>
        <v/>
      </c>
      <c r="H3" s="7">
        <f>IF(F3="","",IF(COUNTIF($F$2:$F$41,F3)&gt;1,"⚠ 順番が重複",IF(F3&gt;COUNT($F$2:$F$41),"⚠ 番号が大きすぎ",IF(G3="","男女が未入力",""))))</f>
        <v/>
      </c>
      <c r="I3" s="8">
        <f>IF(G3="","",C3&amp;G3)</f>
        <v/>
      </c>
      <c r="K3" s="9" t="inlineStr">
        <is>
          <t>② 「1・2列」「4列」シートに背の順が自動でできる</t>
        </is>
      </c>
    </row>
    <row r="4">
      <c r="A4" s="3" t="n"/>
      <c r="B4" s="4" t="n"/>
      <c r="C4" s="5" t="n"/>
      <c r="D4" s="6">
        <f>IF(OR(A4="",B4=""),"",COUNTIF($B$2:$B$41,"&lt;"&amp;B4)+COUNTIF($B$2:B4,B4))</f>
        <v/>
      </c>
      <c r="E4" s="5" t="n"/>
      <c r="F4" s="6">
        <f>IF(D4="","",IF(E4="",D4,E4))</f>
        <v/>
      </c>
      <c r="G4" s="6">
        <f>IF(OR(F4="",AND(C4&lt;&gt;"男",C4&lt;&gt;"女")),"",COUNTIFS($C$2:$C$41,C4,$F$2:$F$41,"&lt;"&amp;F4)+1)</f>
        <v/>
      </c>
      <c r="H4" s="7">
        <f>IF(F4="","",IF(COUNTIF($F$2:$F$41,F4)&gt;1,"⚠ 順番が重複",IF(F4&gt;COUNT($F$2:$F$41),"⚠ 番号が大きすぎ",IF(G4="","男女が未入力",""))))</f>
        <v/>
      </c>
      <c r="I4" s="8">
        <f>IF(G4="","",C4&amp;G4)</f>
        <v/>
      </c>
      <c r="K4" s="9" t="inlineStr">
        <is>
          <t>③ 各シート上の「前の向き」で 上が前／下が前 を切り替え</t>
        </is>
      </c>
    </row>
    <row r="5">
      <c r="A5" s="3" t="n"/>
      <c r="B5" s="4" t="n"/>
      <c r="C5" s="5" t="n"/>
      <c r="D5" s="6">
        <f>IF(OR(A5="",B5=""),"",COUNTIF($B$2:$B$41,"&lt;"&amp;B5)+COUNTIF($B$2:B5,B5))</f>
        <v/>
      </c>
      <c r="E5" s="5" t="n"/>
      <c r="F5" s="6">
        <f>IF(D5="","",IF(E5="",D5,E5))</f>
        <v/>
      </c>
      <c r="G5" s="6">
        <f>IF(OR(F5="",AND(C5&lt;&gt;"男",C5&lt;&gt;"女")),"",COUNTIFS($C$2:$C$41,C5,$F$2:$F$41,"&lt;"&amp;F5)+1)</f>
        <v/>
      </c>
      <c r="H5" s="7">
        <f>IF(F5="","",IF(COUNTIF($F$2:$F$41,F5)&gt;1,"⚠ 順番が重複",IF(F5&gt;COUNT($F$2:$F$41),"⚠ 番号が大きすぎ",IF(G5="","男女が未入力",""))))</f>
        <v/>
      </c>
      <c r="I5" s="8">
        <f>IF(G5="","",C5&amp;G5)</f>
        <v/>
      </c>
      <c r="K5" s="9" t="inlineStr">
        <is>
          <t>④ 入れ替えたい時は「手動の順番」に番号を入れる</t>
        </is>
      </c>
    </row>
    <row r="6">
      <c r="A6" s="3" t="n"/>
      <c r="B6" s="4" t="n"/>
      <c r="C6" s="5" t="n"/>
      <c r="D6" s="6">
        <f>IF(OR(A6="",B6=""),"",COUNTIF($B$2:$B$41,"&lt;"&amp;B6)+COUNTIF($B$2:B6,B6))</f>
        <v/>
      </c>
      <c r="E6" s="5" t="n"/>
      <c r="F6" s="6">
        <f>IF(D6="","",IF(E6="",D6,E6))</f>
        <v/>
      </c>
      <c r="G6" s="6">
        <f>IF(OR(F6="",AND(C6&lt;&gt;"男",C6&lt;&gt;"女")),"",COUNTIFS($C$2:$C$41,C6,$F$2:$F$41,"&lt;"&amp;F6)+1)</f>
        <v/>
      </c>
      <c r="H6" s="7">
        <f>IF(F6="","",IF(COUNTIF($F$2:$F$41,F6)&gt;1,"⚠ 順番が重複",IF(F6&gt;COUNT($F$2:$F$41),"⚠ 番号が大きすぎ",IF(G6="","男女が未入力",""))))</f>
        <v/>
      </c>
      <c r="I6" s="8">
        <f>IF(G6="","",C6&amp;G6)</f>
        <v/>
      </c>
      <c r="K6" s="9" t="inlineStr">
        <is>
          <t xml:space="preserve">　 例：5番と6番を入れ替える → 5番の子に 6、6番の子に 5</t>
        </is>
      </c>
    </row>
    <row r="7">
      <c r="A7" s="3" t="n"/>
      <c r="B7" s="4" t="n"/>
      <c r="C7" s="5" t="n"/>
      <c r="D7" s="6">
        <f>IF(OR(A7="",B7=""),"",COUNTIF($B$2:$B$41,"&lt;"&amp;B7)+COUNTIF($B$2:B7,B7))</f>
        <v/>
      </c>
      <c r="E7" s="5" t="n"/>
      <c r="F7" s="6">
        <f>IF(D7="","",IF(E7="",D7,E7))</f>
        <v/>
      </c>
      <c r="G7" s="6">
        <f>IF(OR(F7="",AND(C7&lt;&gt;"男",C7&lt;&gt;"女")),"",COUNTIFS($C$2:$C$41,C7,$F$2:$F$41,"&lt;"&amp;F7)+1)</f>
        <v/>
      </c>
      <c r="H7" s="7">
        <f>IF(F7="","",IF(COUNTIF($F$2:$F$41,F7)&gt;1,"⚠ 順番が重複",IF(F7&gt;COUNT($F$2:$F$41),"⚠ 番号が大きすぎ",IF(G7="","男女が未入力",""))))</f>
        <v/>
      </c>
      <c r="I7" s="8">
        <f>IF(G7="","",C7&amp;G7)</f>
        <v/>
      </c>
      <c r="K7" s="9" t="inlineStr">
        <is>
          <t xml:space="preserve">　 「チェック」に ⚠ が出たら番号が重なっています</t>
        </is>
      </c>
    </row>
    <row r="8">
      <c r="A8" s="3" t="n"/>
      <c r="B8" s="4" t="n"/>
      <c r="C8" s="5" t="n"/>
      <c r="D8" s="6">
        <f>IF(OR(A8="",B8=""),"",COUNTIF($B$2:$B$41,"&lt;"&amp;B8)+COUNTIF($B$2:B8,B8))</f>
        <v/>
      </c>
      <c r="E8" s="5" t="n"/>
      <c r="F8" s="6">
        <f>IF(D8="","",IF(E8="",D8,E8))</f>
        <v/>
      </c>
      <c r="G8" s="6">
        <f>IF(OR(F8="",AND(C8&lt;&gt;"男",C8&lt;&gt;"女")),"",COUNTIFS($C$2:$C$41,C8,$F$2:$F$41,"&lt;"&amp;F8)+1)</f>
        <v/>
      </c>
      <c r="H8" s="7">
        <f>IF(F8="","",IF(COUNTIF($F$2:$F$41,F8)&gt;1,"⚠ 順番が重複",IF(F8&gt;COUNT($F$2:$F$41),"⚠ 番号が大きすぎ",IF(G8="","男女が未入力",""))))</f>
        <v/>
      </c>
      <c r="I8" s="8">
        <f>IF(G8="","",C8&amp;G8)</f>
        <v/>
      </c>
      <c r="K8" s="9" t="inlineStr">
        <is>
          <t>※ 同じ身長の子は、上の行に書いた子が前になります</t>
        </is>
      </c>
    </row>
    <row r="9">
      <c r="A9" s="3" t="n"/>
      <c r="B9" s="4" t="n"/>
      <c r="C9" s="5" t="n"/>
      <c r="D9" s="6">
        <f>IF(OR(A9="",B9=""),"",COUNTIF($B$2:$B$41,"&lt;"&amp;B9)+COUNTIF($B$2:B9,B9))</f>
        <v/>
      </c>
      <c r="E9" s="5" t="n"/>
      <c r="F9" s="6">
        <f>IF(D9="","",IF(E9="",D9,E9))</f>
        <v/>
      </c>
      <c r="G9" s="6">
        <f>IF(OR(F9="",AND(C9&lt;&gt;"男",C9&lt;&gt;"女")),"",COUNTIFS($C$2:$C$41,C9,$F$2:$F$41,"&lt;"&amp;F9)+1)</f>
        <v/>
      </c>
      <c r="H9" s="7">
        <f>IF(F9="","",IF(COUNTIF($F$2:$F$41,F9)&gt;1,"⚠ 順番が重複",IF(F9&gt;COUNT($F$2:$F$41),"⚠ 番号が大きすぎ",IF(G9="","男女が未入力",""))))</f>
        <v/>
      </c>
      <c r="I9" s="8">
        <f>IF(G9="","",C9&amp;G9)</f>
        <v/>
      </c>
      <c r="K9" s="9" t="inlineStr">
        <is>
          <t>※ 男女別の並びは「決定の順番」をもとに男女ごとに並べます</t>
        </is>
      </c>
    </row>
    <row r="10">
      <c r="A10" s="3" t="n"/>
      <c r="B10" s="4" t="n"/>
      <c r="C10" s="5" t="n"/>
      <c r="D10" s="6">
        <f>IF(OR(A10="",B10=""),"",COUNTIF($B$2:$B$41,"&lt;"&amp;B10)+COUNTIF($B$2:B10,B10))</f>
        <v/>
      </c>
      <c r="E10" s="5" t="n"/>
      <c r="F10" s="6">
        <f>IF(D10="","",IF(E10="",D10,E10))</f>
        <v/>
      </c>
      <c r="G10" s="6">
        <f>IF(OR(F10="",AND(C10&lt;&gt;"男",C10&lt;&gt;"女")),"",COUNTIFS($C$2:$C$41,C10,$F$2:$F$41,"&lt;"&amp;F10)+1)</f>
        <v/>
      </c>
      <c r="H10" s="7">
        <f>IF(F10="","",IF(COUNTIF($F$2:$F$41,F10)&gt;1,"⚠ 順番が重複",IF(F10&gt;COUNT($F$2:$F$41),"⚠ 番号が大きすぎ",IF(G10="","男女が未入力",""))))</f>
        <v/>
      </c>
      <c r="I10" s="8">
        <f>IF(G10="","",C10&amp;G10)</f>
        <v/>
      </c>
      <c r="K10" s="9" t="inlineStr">
        <is>
          <t>※ 灰色のセルは自動計算です（さわらないでください）</t>
        </is>
      </c>
    </row>
    <row r="11">
      <c r="A11" s="3" t="n"/>
      <c r="B11" s="4" t="n"/>
      <c r="C11" s="5" t="n"/>
      <c r="D11" s="6">
        <f>IF(OR(A11="",B11=""),"",COUNTIF($B$2:$B$41,"&lt;"&amp;B11)+COUNTIF($B$2:B11,B11))</f>
        <v/>
      </c>
      <c r="E11" s="5" t="n"/>
      <c r="F11" s="6">
        <f>IF(D11="","",IF(E11="",D11,E11))</f>
        <v/>
      </c>
      <c r="G11" s="6">
        <f>IF(OR(F11="",AND(C11&lt;&gt;"男",C11&lt;&gt;"女")),"",COUNTIFS($C$2:$C$41,C11,$F$2:$F$41,"&lt;"&amp;F11)+1)</f>
        <v/>
      </c>
      <c r="H11" s="7">
        <f>IF(F11="","",IF(COUNTIF($F$2:$F$41,F11)&gt;1,"⚠ 順番が重複",IF(F11&gt;COUNT($F$2:$F$41),"⚠ 番号が大きすぎ",IF(G11="","男女が未入力",""))))</f>
        <v/>
      </c>
      <c r="I11" s="8">
        <f>IF(G11="","",C11&amp;G11)</f>
        <v/>
      </c>
    </row>
    <row r="12">
      <c r="A12" s="3" t="n"/>
      <c r="B12" s="4" t="n"/>
      <c r="C12" s="5" t="n"/>
      <c r="D12" s="6">
        <f>IF(OR(A12="",B12=""),"",COUNTIF($B$2:$B$41,"&lt;"&amp;B12)+COUNTIF($B$2:B12,B12))</f>
        <v/>
      </c>
      <c r="E12" s="5" t="n"/>
      <c r="F12" s="6">
        <f>IF(D12="","",IF(E12="",D12,E12))</f>
        <v/>
      </c>
      <c r="G12" s="6">
        <f>IF(OR(F12="",AND(C12&lt;&gt;"男",C12&lt;&gt;"女")),"",COUNTIFS($C$2:$C$41,C12,$F$2:$F$41,"&lt;"&amp;F12)+1)</f>
        <v/>
      </c>
      <c r="H12" s="7">
        <f>IF(F12="","",IF(COUNTIF($F$2:$F$41,F12)&gt;1,"⚠ 順番が重複",IF(F12&gt;COUNT($F$2:$F$41),"⚠ 番号が大きすぎ",IF(G12="","男女が未入力",""))))</f>
        <v/>
      </c>
      <c r="I12" s="8">
        <f>IF(G12="","",C12&amp;G12)</f>
        <v/>
      </c>
    </row>
    <row r="13">
      <c r="A13" s="3" t="n"/>
      <c r="B13" s="4" t="n"/>
      <c r="C13" s="5" t="n"/>
      <c r="D13" s="6">
        <f>IF(OR(A13="",B13=""),"",COUNTIF($B$2:$B$41,"&lt;"&amp;B13)+COUNTIF($B$2:B13,B13))</f>
        <v/>
      </c>
      <c r="E13" s="5" t="n"/>
      <c r="F13" s="6">
        <f>IF(D13="","",IF(E13="",D13,E13))</f>
        <v/>
      </c>
      <c r="G13" s="6">
        <f>IF(OR(F13="",AND(C13&lt;&gt;"男",C13&lt;&gt;"女")),"",COUNTIFS($C$2:$C$41,C13,$F$2:$F$41,"&lt;"&amp;F13)+1)</f>
        <v/>
      </c>
      <c r="H13" s="7">
        <f>IF(F13="","",IF(COUNTIF($F$2:$F$41,F13)&gt;1,"⚠ 順番が重複",IF(F13&gt;COUNT($F$2:$F$41),"⚠ 番号が大きすぎ",IF(G13="","男女が未入力",""))))</f>
        <v/>
      </c>
      <c r="I13" s="8">
        <f>IF(G13="","",C13&amp;G13)</f>
        <v/>
      </c>
      <c r="K13" s="10" t="inlineStr">
        <is>
          <t>入力した人数</t>
        </is>
      </c>
      <c r="M13" s="10">
        <f>COUNT($F$2:$F$41)</f>
        <v/>
      </c>
    </row>
    <row r="14">
      <c r="A14" s="3" t="n"/>
      <c r="B14" s="4" t="n"/>
      <c r="C14" s="5" t="n"/>
      <c r="D14" s="6">
        <f>IF(OR(A14="",B14=""),"",COUNTIF($B$2:$B$41,"&lt;"&amp;B14)+COUNTIF($B$2:B14,B14))</f>
        <v/>
      </c>
      <c r="E14" s="5" t="n"/>
      <c r="F14" s="6">
        <f>IF(D14="","",IF(E14="",D14,E14))</f>
        <v/>
      </c>
      <c r="G14" s="6">
        <f>IF(OR(F14="",AND(C14&lt;&gt;"男",C14&lt;&gt;"女")),"",COUNTIFS($C$2:$C$41,C14,$F$2:$F$41,"&lt;"&amp;F14)+1)</f>
        <v/>
      </c>
      <c r="H14" s="7">
        <f>IF(F14="","",IF(COUNTIF($F$2:$F$41,F14)&gt;1,"⚠ 順番が重複",IF(F14&gt;COUNT($F$2:$F$41),"⚠ 番号が大きすぎ",IF(G14="","男女が未入力",""))))</f>
        <v/>
      </c>
      <c r="I14" s="8">
        <f>IF(G14="","",C14&amp;G14)</f>
        <v/>
      </c>
      <c r="K14" s="10" t="inlineStr">
        <is>
          <t>男子</t>
        </is>
      </c>
      <c r="M14" s="10">
        <f>COUNTIF($I$2:$I$41,"男*")</f>
        <v/>
      </c>
    </row>
    <row r="15">
      <c r="A15" s="3" t="n"/>
      <c r="B15" s="4" t="n"/>
      <c r="C15" s="5" t="n"/>
      <c r="D15" s="6">
        <f>IF(OR(A15="",B15=""),"",COUNTIF($B$2:$B$41,"&lt;"&amp;B15)+COUNTIF($B$2:B15,B15))</f>
        <v/>
      </c>
      <c r="E15" s="5" t="n"/>
      <c r="F15" s="6">
        <f>IF(D15="","",IF(E15="",D15,E15))</f>
        <v/>
      </c>
      <c r="G15" s="6">
        <f>IF(OR(F15="",AND(C15&lt;&gt;"男",C15&lt;&gt;"女")),"",COUNTIFS($C$2:$C$41,C15,$F$2:$F$41,"&lt;"&amp;F15)+1)</f>
        <v/>
      </c>
      <c r="H15" s="7">
        <f>IF(F15="","",IF(COUNTIF($F$2:$F$41,F15)&gt;1,"⚠ 順番が重複",IF(F15&gt;COUNT($F$2:$F$41),"⚠ 番号が大きすぎ",IF(G15="","男女が未入力",""))))</f>
        <v/>
      </c>
      <c r="I15" s="8">
        <f>IF(G15="","",C15&amp;G15)</f>
        <v/>
      </c>
      <c r="K15" s="10" t="inlineStr">
        <is>
          <t>女子</t>
        </is>
      </c>
      <c r="M15" s="10">
        <f>COUNTIF($I$2:$I$41,"女*")</f>
        <v/>
      </c>
    </row>
    <row r="16">
      <c r="A16" s="3" t="n"/>
      <c r="B16" s="4" t="n"/>
      <c r="C16" s="5" t="n"/>
      <c r="D16" s="6">
        <f>IF(OR(A16="",B16=""),"",COUNTIF($B$2:$B$41,"&lt;"&amp;B16)+COUNTIF($B$2:B16,B16))</f>
        <v/>
      </c>
      <c r="E16" s="5" t="n"/>
      <c r="F16" s="6">
        <f>IF(D16="","",IF(E16="",D16,E16))</f>
        <v/>
      </c>
      <c r="G16" s="6">
        <f>IF(OR(F16="",AND(C16&lt;&gt;"男",C16&lt;&gt;"女")),"",COUNTIFS($C$2:$C$41,C16,$F$2:$F$41,"&lt;"&amp;F16)+1)</f>
        <v/>
      </c>
      <c r="H16" s="7">
        <f>IF(F16="","",IF(COUNTIF($F$2:$F$41,F16)&gt;1,"⚠ 順番が重複",IF(F16&gt;COUNT($F$2:$F$41),"⚠ 番号が大きすぎ",IF(G16="","男女が未入力",""))))</f>
        <v/>
      </c>
      <c r="I16" s="8">
        <f>IF(G16="","",C16&amp;G16)</f>
        <v/>
      </c>
      <c r="K16" s="10" t="inlineStr">
        <is>
          <t>男女が未入力</t>
        </is>
      </c>
      <c r="M16" s="10">
        <f>M13-M14-M15</f>
        <v/>
      </c>
    </row>
    <row r="17">
      <c r="A17" s="3" t="n"/>
      <c r="B17" s="4" t="n"/>
      <c r="C17" s="5" t="n"/>
      <c r="D17" s="6">
        <f>IF(OR(A17="",B17=""),"",COUNTIF($B$2:$B$41,"&lt;"&amp;B17)+COUNTIF($B$2:B17,B17))</f>
        <v/>
      </c>
      <c r="E17" s="5" t="n"/>
      <c r="F17" s="6">
        <f>IF(D17="","",IF(E17="",D17,E17))</f>
        <v/>
      </c>
      <c r="G17" s="6">
        <f>IF(OR(F17="",AND(C17&lt;&gt;"男",C17&lt;&gt;"女")),"",COUNTIFS($C$2:$C$41,C17,$F$2:$F$41,"&lt;"&amp;F17)+1)</f>
        <v/>
      </c>
      <c r="H17" s="7">
        <f>IF(F17="","",IF(COUNTIF($F$2:$F$41,F17)&gt;1,"⚠ 順番が重複",IF(F17&gt;COUNT($F$2:$F$41),"⚠ 番号が大きすぎ",IF(G17="","男女が未入力",""))))</f>
        <v/>
      </c>
      <c r="I17" s="8">
        <f>IF(G17="","",C17&amp;G17)</f>
        <v/>
      </c>
      <c r="K17" s="10" t="inlineStr">
        <is>
          <t>順番の重複</t>
        </is>
      </c>
      <c r="M17" s="11">
        <f>IF(COUNTIF($H$2:$H$41,"⚠*")=0,"なし","あり（チェック欄を見てください）")</f>
        <v/>
      </c>
    </row>
    <row r="18">
      <c r="A18" s="3" t="n"/>
      <c r="B18" s="4" t="n"/>
      <c r="C18" s="5" t="n"/>
      <c r="D18" s="6">
        <f>IF(OR(A18="",B18=""),"",COUNTIF($B$2:$B$41,"&lt;"&amp;B18)+COUNTIF($B$2:B18,B18))</f>
        <v/>
      </c>
      <c r="E18" s="5" t="n"/>
      <c r="F18" s="6">
        <f>IF(D18="","",IF(E18="",D18,E18))</f>
        <v/>
      </c>
      <c r="G18" s="6">
        <f>IF(OR(F18="",AND(C18&lt;&gt;"男",C18&lt;&gt;"女")),"",COUNTIFS($C$2:$C$41,C18,$F$2:$F$41,"&lt;"&amp;F18)+1)</f>
        <v/>
      </c>
      <c r="H18" s="7">
        <f>IF(F18="","",IF(COUNTIF($F$2:$F$41,F18)&gt;1,"⚠ 順番が重複",IF(F18&gt;COUNT($F$2:$F$41),"⚠ 番号が大きすぎ",IF(G18="","男女が未入力",""))))</f>
        <v/>
      </c>
      <c r="I18" s="8">
        <f>IF(G18="","",C18&amp;G18)</f>
        <v/>
      </c>
    </row>
    <row r="19">
      <c r="A19" s="3" t="n"/>
      <c r="B19" s="4" t="n"/>
      <c r="C19" s="5" t="n"/>
      <c r="D19" s="6">
        <f>IF(OR(A19="",B19=""),"",COUNTIF($B$2:$B$41,"&lt;"&amp;B19)+COUNTIF($B$2:B19,B19))</f>
        <v/>
      </c>
      <c r="E19" s="5" t="n"/>
      <c r="F19" s="6">
        <f>IF(D19="","",IF(E19="",D19,E19))</f>
        <v/>
      </c>
      <c r="G19" s="6">
        <f>IF(OR(F19="",AND(C19&lt;&gt;"男",C19&lt;&gt;"女")),"",COUNTIFS($C$2:$C$41,C19,$F$2:$F$41,"&lt;"&amp;F19)+1)</f>
        <v/>
      </c>
      <c r="H19" s="7">
        <f>IF(F19="","",IF(COUNTIF($F$2:$F$41,F19)&gt;1,"⚠ 順番が重複",IF(F19&gt;COUNT($F$2:$F$41),"⚠ 番号が大きすぎ",IF(G19="","男女が未入力",""))))</f>
        <v/>
      </c>
      <c r="I19" s="8">
        <f>IF(G19="","",C19&amp;G19)</f>
        <v/>
      </c>
    </row>
    <row r="20">
      <c r="A20" s="3" t="n"/>
      <c r="B20" s="4" t="n"/>
      <c r="C20" s="5" t="n"/>
      <c r="D20" s="6">
        <f>IF(OR(A20="",B20=""),"",COUNTIF($B$2:$B$41,"&lt;"&amp;B20)+COUNTIF($B$2:B20,B20))</f>
        <v/>
      </c>
      <c r="E20" s="5" t="n"/>
      <c r="F20" s="6">
        <f>IF(D20="","",IF(E20="",D20,E20))</f>
        <v/>
      </c>
      <c r="G20" s="6">
        <f>IF(OR(F20="",AND(C20&lt;&gt;"男",C20&lt;&gt;"女")),"",COUNTIFS($C$2:$C$41,C20,$F$2:$F$41,"&lt;"&amp;F20)+1)</f>
        <v/>
      </c>
      <c r="H20" s="7">
        <f>IF(F20="","",IF(COUNTIF($F$2:$F$41,F20)&gt;1,"⚠ 順番が重複",IF(F20&gt;COUNT($F$2:$F$41),"⚠ 番号が大きすぎ",IF(G20="","男女が未入力",""))))</f>
        <v/>
      </c>
      <c r="I20" s="8">
        <f>IF(G20="","",C20&amp;G20)</f>
        <v/>
      </c>
    </row>
    <row r="21">
      <c r="A21" s="3" t="n"/>
      <c r="B21" s="4" t="n"/>
      <c r="C21" s="5" t="n"/>
      <c r="D21" s="6">
        <f>IF(OR(A21="",B21=""),"",COUNTIF($B$2:$B$41,"&lt;"&amp;B21)+COUNTIF($B$2:B21,B21))</f>
        <v/>
      </c>
      <c r="E21" s="5" t="n"/>
      <c r="F21" s="6">
        <f>IF(D21="","",IF(E21="",D21,E21))</f>
        <v/>
      </c>
      <c r="G21" s="6">
        <f>IF(OR(F21="",AND(C21&lt;&gt;"男",C21&lt;&gt;"女")),"",COUNTIFS($C$2:$C$41,C21,$F$2:$F$41,"&lt;"&amp;F21)+1)</f>
        <v/>
      </c>
      <c r="H21" s="7">
        <f>IF(F21="","",IF(COUNTIF($F$2:$F$41,F21)&gt;1,"⚠ 順番が重複",IF(F21&gt;COUNT($F$2:$F$41),"⚠ 番号が大きすぎ",IF(G21="","男女が未入力",""))))</f>
        <v/>
      </c>
      <c r="I21" s="8">
        <f>IF(G21="","",C21&amp;G21)</f>
        <v/>
      </c>
    </row>
    <row r="22">
      <c r="A22" s="3" t="n"/>
      <c r="B22" s="4" t="n"/>
      <c r="C22" s="5" t="n"/>
      <c r="D22" s="6">
        <f>IF(OR(A22="",B22=""),"",COUNTIF($B$2:$B$41,"&lt;"&amp;B22)+COUNTIF($B$2:B22,B22))</f>
        <v/>
      </c>
      <c r="E22" s="5" t="n"/>
      <c r="F22" s="6">
        <f>IF(D22="","",IF(E22="",D22,E22))</f>
        <v/>
      </c>
      <c r="G22" s="6">
        <f>IF(OR(F22="",AND(C22&lt;&gt;"男",C22&lt;&gt;"女")),"",COUNTIFS($C$2:$C$41,C22,$F$2:$F$41,"&lt;"&amp;F22)+1)</f>
        <v/>
      </c>
      <c r="H22" s="7">
        <f>IF(F22="","",IF(COUNTIF($F$2:$F$41,F22)&gt;1,"⚠ 順番が重複",IF(F22&gt;COUNT($F$2:$F$41),"⚠ 番号が大きすぎ",IF(G22="","男女が未入力",""))))</f>
        <v/>
      </c>
      <c r="I22" s="8">
        <f>IF(G22="","",C22&amp;G22)</f>
        <v/>
      </c>
    </row>
    <row r="23">
      <c r="A23" s="3" t="n"/>
      <c r="B23" s="4" t="n"/>
      <c r="C23" s="5" t="n"/>
      <c r="D23" s="6">
        <f>IF(OR(A23="",B23=""),"",COUNTIF($B$2:$B$41,"&lt;"&amp;B23)+COUNTIF($B$2:B23,B23))</f>
        <v/>
      </c>
      <c r="E23" s="5" t="n"/>
      <c r="F23" s="6">
        <f>IF(D23="","",IF(E23="",D23,E23))</f>
        <v/>
      </c>
      <c r="G23" s="6">
        <f>IF(OR(F23="",AND(C23&lt;&gt;"男",C23&lt;&gt;"女")),"",COUNTIFS($C$2:$C$41,C23,$F$2:$F$41,"&lt;"&amp;F23)+1)</f>
        <v/>
      </c>
      <c r="H23" s="7">
        <f>IF(F23="","",IF(COUNTIF($F$2:$F$41,F23)&gt;1,"⚠ 順番が重複",IF(F23&gt;COUNT($F$2:$F$41),"⚠ 番号が大きすぎ",IF(G23="","男女が未入力",""))))</f>
        <v/>
      </c>
      <c r="I23" s="8">
        <f>IF(G23="","",C23&amp;G23)</f>
        <v/>
      </c>
    </row>
    <row r="24">
      <c r="A24" s="3" t="n"/>
      <c r="B24" s="4" t="n"/>
      <c r="C24" s="5" t="n"/>
      <c r="D24" s="6">
        <f>IF(OR(A24="",B24=""),"",COUNTIF($B$2:$B$41,"&lt;"&amp;B24)+COUNTIF($B$2:B24,B24))</f>
        <v/>
      </c>
      <c r="E24" s="5" t="n"/>
      <c r="F24" s="6">
        <f>IF(D24="","",IF(E24="",D24,E24))</f>
        <v/>
      </c>
      <c r="G24" s="6">
        <f>IF(OR(F24="",AND(C24&lt;&gt;"男",C24&lt;&gt;"女")),"",COUNTIFS($C$2:$C$41,C24,$F$2:$F$41,"&lt;"&amp;F24)+1)</f>
        <v/>
      </c>
      <c r="H24" s="7">
        <f>IF(F24="","",IF(COUNTIF($F$2:$F$41,F24)&gt;1,"⚠ 順番が重複",IF(F24&gt;COUNT($F$2:$F$41),"⚠ 番号が大きすぎ",IF(G24="","男女が未入力",""))))</f>
        <v/>
      </c>
      <c r="I24" s="8">
        <f>IF(G24="","",C24&amp;G24)</f>
        <v/>
      </c>
    </row>
    <row r="25">
      <c r="A25" s="3" t="n"/>
      <c r="B25" s="4" t="n"/>
      <c r="C25" s="5" t="n"/>
      <c r="D25" s="6">
        <f>IF(OR(A25="",B25=""),"",COUNTIF($B$2:$B$41,"&lt;"&amp;B25)+COUNTIF($B$2:B25,B25))</f>
        <v/>
      </c>
      <c r="E25" s="5" t="n"/>
      <c r="F25" s="6">
        <f>IF(D25="","",IF(E25="",D25,E25))</f>
        <v/>
      </c>
      <c r="G25" s="6">
        <f>IF(OR(F25="",AND(C25&lt;&gt;"男",C25&lt;&gt;"女")),"",COUNTIFS($C$2:$C$41,C25,$F$2:$F$41,"&lt;"&amp;F25)+1)</f>
        <v/>
      </c>
      <c r="H25" s="7">
        <f>IF(F25="","",IF(COUNTIF($F$2:$F$41,F25)&gt;1,"⚠ 順番が重複",IF(F25&gt;COUNT($F$2:$F$41),"⚠ 番号が大きすぎ",IF(G25="","男女が未入力",""))))</f>
        <v/>
      </c>
      <c r="I25" s="8">
        <f>IF(G25="","",C25&amp;G25)</f>
        <v/>
      </c>
    </row>
    <row r="26">
      <c r="A26" s="3" t="n"/>
      <c r="B26" s="4" t="n"/>
      <c r="C26" s="5" t="n"/>
      <c r="D26" s="6">
        <f>IF(OR(A26="",B26=""),"",COUNTIF($B$2:$B$41,"&lt;"&amp;B26)+COUNTIF($B$2:B26,B26))</f>
        <v/>
      </c>
      <c r="E26" s="5" t="n"/>
      <c r="F26" s="6">
        <f>IF(D26="","",IF(E26="",D26,E26))</f>
        <v/>
      </c>
      <c r="G26" s="6">
        <f>IF(OR(F26="",AND(C26&lt;&gt;"男",C26&lt;&gt;"女")),"",COUNTIFS($C$2:$C$41,C26,$F$2:$F$41,"&lt;"&amp;F26)+1)</f>
        <v/>
      </c>
      <c r="H26" s="7">
        <f>IF(F26="","",IF(COUNTIF($F$2:$F$41,F26)&gt;1,"⚠ 順番が重複",IF(F26&gt;COUNT($F$2:$F$41),"⚠ 番号が大きすぎ",IF(G26="","男女が未入力",""))))</f>
        <v/>
      </c>
      <c r="I26" s="8">
        <f>IF(G26="","",C26&amp;G26)</f>
        <v/>
      </c>
    </row>
    <row r="27">
      <c r="A27" s="3" t="n"/>
      <c r="B27" s="4" t="n"/>
      <c r="C27" s="5" t="n"/>
      <c r="D27" s="6">
        <f>IF(OR(A27="",B27=""),"",COUNTIF($B$2:$B$41,"&lt;"&amp;B27)+COUNTIF($B$2:B27,B27))</f>
        <v/>
      </c>
      <c r="E27" s="5" t="n"/>
      <c r="F27" s="6">
        <f>IF(D27="","",IF(E27="",D27,E27))</f>
        <v/>
      </c>
      <c r="G27" s="6">
        <f>IF(OR(F27="",AND(C27&lt;&gt;"男",C27&lt;&gt;"女")),"",COUNTIFS($C$2:$C$41,C27,$F$2:$F$41,"&lt;"&amp;F27)+1)</f>
        <v/>
      </c>
      <c r="H27" s="7">
        <f>IF(F27="","",IF(COUNTIF($F$2:$F$41,F27)&gt;1,"⚠ 順番が重複",IF(F27&gt;COUNT($F$2:$F$41),"⚠ 番号が大きすぎ",IF(G27="","男女が未入力",""))))</f>
        <v/>
      </c>
      <c r="I27" s="8">
        <f>IF(G27="","",C27&amp;G27)</f>
        <v/>
      </c>
    </row>
    <row r="28">
      <c r="A28" s="3" t="n"/>
      <c r="B28" s="4" t="n"/>
      <c r="C28" s="5" t="n"/>
      <c r="D28" s="6">
        <f>IF(OR(A28="",B28=""),"",COUNTIF($B$2:$B$41,"&lt;"&amp;B28)+COUNTIF($B$2:B28,B28))</f>
        <v/>
      </c>
      <c r="E28" s="5" t="n"/>
      <c r="F28" s="6">
        <f>IF(D28="","",IF(E28="",D28,E28))</f>
        <v/>
      </c>
      <c r="G28" s="6">
        <f>IF(OR(F28="",AND(C28&lt;&gt;"男",C28&lt;&gt;"女")),"",COUNTIFS($C$2:$C$41,C28,$F$2:$F$41,"&lt;"&amp;F28)+1)</f>
        <v/>
      </c>
      <c r="H28" s="7">
        <f>IF(F28="","",IF(COUNTIF($F$2:$F$41,F28)&gt;1,"⚠ 順番が重複",IF(F28&gt;COUNT($F$2:$F$41),"⚠ 番号が大きすぎ",IF(G28="","男女が未入力",""))))</f>
        <v/>
      </c>
      <c r="I28" s="8">
        <f>IF(G28="","",C28&amp;G28)</f>
        <v/>
      </c>
    </row>
    <row r="29">
      <c r="A29" s="3" t="n"/>
      <c r="B29" s="4" t="n"/>
      <c r="C29" s="5" t="n"/>
      <c r="D29" s="6">
        <f>IF(OR(A29="",B29=""),"",COUNTIF($B$2:$B$41,"&lt;"&amp;B29)+COUNTIF($B$2:B29,B29))</f>
        <v/>
      </c>
      <c r="E29" s="5" t="n"/>
      <c r="F29" s="6">
        <f>IF(D29="","",IF(E29="",D29,E29))</f>
        <v/>
      </c>
      <c r="G29" s="6">
        <f>IF(OR(F29="",AND(C29&lt;&gt;"男",C29&lt;&gt;"女")),"",COUNTIFS($C$2:$C$41,C29,$F$2:$F$41,"&lt;"&amp;F29)+1)</f>
        <v/>
      </c>
      <c r="H29" s="7">
        <f>IF(F29="","",IF(COUNTIF($F$2:$F$41,F29)&gt;1,"⚠ 順番が重複",IF(F29&gt;COUNT($F$2:$F$41),"⚠ 番号が大きすぎ",IF(G29="","男女が未入力",""))))</f>
        <v/>
      </c>
      <c r="I29" s="8">
        <f>IF(G29="","",C29&amp;G29)</f>
        <v/>
      </c>
    </row>
    <row r="30">
      <c r="A30" s="3" t="n"/>
      <c r="B30" s="4" t="n"/>
      <c r="C30" s="5" t="n"/>
      <c r="D30" s="6">
        <f>IF(OR(A30="",B30=""),"",COUNTIF($B$2:$B$41,"&lt;"&amp;B30)+COUNTIF($B$2:B30,B30))</f>
        <v/>
      </c>
      <c r="E30" s="5" t="n"/>
      <c r="F30" s="6">
        <f>IF(D30="","",IF(E30="",D30,E30))</f>
        <v/>
      </c>
      <c r="G30" s="6">
        <f>IF(OR(F30="",AND(C30&lt;&gt;"男",C30&lt;&gt;"女")),"",COUNTIFS($C$2:$C$41,C30,$F$2:$F$41,"&lt;"&amp;F30)+1)</f>
        <v/>
      </c>
      <c r="H30" s="7">
        <f>IF(F30="","",IF(COUNTIF($F$2:$F$41,F30)&gt;1,"⚠ 順番が重複",IF(F30&gt;COUNT($F$2:$F$41),"⚠ 番号が大きすぎ",IF(G30="","男女が未入力",""))))</f>
        <v/>
      </c>
      <c r="I30" s="8">
        <f>IF(G30="","",C30&amp;G30)</f>
        <v/>
      </c>
    </row>
    <row r="31">
      <c r="A31" s="3" t="n"/>
      <c r="B31" s="4" t="n"/>
      <c r="C31" s="5" t="n"/>
      <c r="D31" s="6">
        <f>IF(OR(A31="",B31=""),"",COUNTIF($B$2:$B$41,"&lt;"&amp;B31)+COUNTIF($B$2:B31,B31))</f>
        <v/>
      </c>
      <c r="E31" s="5" t="n"/>
      <c r="F31" s="6">
        <f>IF(D31="","",IF(E31="",D31,E31))</f>
        <v/>
      </c>
      <c r="G31" s="6">
        <f>IF(OR(F31="",AND(C31&lt;&gt;"男",C31&lt;&gt;"女")),"",COUNTIFS($C$2:$C$41,C31,$F$2:$F$41,"&lt;"&amp;F31)+1)</f>
        <v/>
      </c>
      <c r="H31" s="7">
        <f>IF(F31="","",IF(COUNTIF($F$2:$F$41,F31)&gt;1,"⚠ 順番が重複",IF(F31&gt;COUNT($F$2:$F$41),"⚠ 番号が大きすぎ",IF(G31="","男女が未入力",""))))</f>
        <v/>
      </c>
      <c r="I31" s="8">
        <f>IF(G31="","",C31&amp;G31)</f>
        <v/>
      </c>
    </row>
    <row r="32">
      <c r="A32" s="3" t="n"/>
      <c r="B32" s="4" t="n"/>
      <c r="C32" s="5" t="n"/>
      <c r="D32" s="6">
        <f>IF(OR(A32="",B32=""),"",COUNTIF($B$2:$B$41,"&lt;"&amp;B32)+COUNTIF($B$2:B32,B32))</f>
        <v/>
      </c>
      <c r="E32" s="5" t="n"/>
      <c r="F32" s="6">
        <f>IF(D32="","",IF(E32="",D32,E32))</f>
        <v/>
      </c>
      <c r="G32" s="6">
        <f>IF(OR(F32="",AND(C32&lt;&gt;"男",C32&lt;&gt;"女")),"",COUNTIFS($C$2:$C$41,C32,$F$2:$F$41,"&lt;"&amp;F32)+1)</f>
        <v/>
      </c>
      <c r="H32" s="7">
        <f>IF(F32="","",IF(COUNTIF($F$2:$F$41,F32)&gt;1,"⚠ 順番が重複",IF(F32&gt;COUNT($F$2:$F$41),"⚠ 番号が大きすぎ",IF(G32="","男女が未入力",""))))</f>
        <v/>
      </c>
      <c r="I32" s="8">
        <f>IF(G32="","",C32&amp;G32)</f>
        <v/>
      </c>
    </row>
    <row r="33">
      <c r="A33" s="3" t="n"/>
      <c r="B33" s="4" t="n"/>
      <c r="C33" s="5" t="n"/>
      <c r="D33" s="6">
        <f>IF(OR(A33="",B33=""),"",COUNTIF($B$2:$B$41,"&lt;"&amp;B33)+COUNTIF($B$2:B33,B33))</f>
        <v/>
      </c>
      <c r="E33" s="5" t="n"/>
      <c r="F33" s="6">
        <f>IF(D33="","",IF(E33="",D33,E33))</f>
        <v/>
      </c>
      <c r="G33" s="6">
        <f>IF(OR(F33="",AND(C33&lt;&gt;"男",C33&lt;&gt;"女")),"",COUNTIFS($C$2:$C$41,C33,$F$2:$F$41,"&lt;"&amp;F33)+1)</f>
        <v/>
      </c>
      <c r="H33" s="7">
        <f>IF(F33="","",IF(COUNTIF($F$2:$F$41,F33)&gt;1,"⚠ 順番が重複",IF(F33&gt;COUNT($F$2:$F$41),"⚠ 番号が大きすぎ",IF(G33="","男女が未入力",""))))</f>
        <v/>
      </c>
      <c r="I33" s="8">
        <f>IF(G33="","",C33&amp;G33)</f>
        <v/>
      </c>
    </row>
    <row r="34">
      <c r="A34" s="3" t="n"/>
      <c r="B34" s="4" t="n"/>
      <c r="C34" s="5" t="n"/>
      <c r="D34" s="6">
        <f>IF(OR(A34="",B34=""),"",COUNTIF($B$2:$B$41,"&lt;"&amp;B34)+COUNTIF($B$2:B34,B34))</f>
        <v/>
      </c>
      <c r="E34" s="5" t="n"/>
      <c r="F34" s="6">
        <f>IF(D34="","",IF(E34="",D34,E34))</f>
        <v/>
      </c>
      <c r="G34" s="6">
        <f>IF(OR(F34="",AND(C34&lt;&gt;"男",C34&lt;&gt;"女")),"",COUNTIFS($C$2:$C$41,C34,$F$2:$F$41,"&lt;"&amp;F34)+1)</f>
        <v/>
      </c>
      <c r="H34" s="7">
        <f>IF(F34="","",IF(COUNTIF($F$2:$F$41,F34)&gt;1,"⚠ 順番が重複",IF(F34&gt;COUNT($F$2:$F$41),"⚠ 番号が大きすぎ",IF(G34="","男女が未入力",""))))</f>
        <v/>
      </c>
      <c r="I34" s="8">
        <f>IF(G34="","",C34&amp;G34)</f>
        <v/>
      </c>
    </row>
    <row r="35">
      <c r="A35" s="3" t="n"/>
      <c r="B35" s="4" t="n"/>
      <c r="C35" s="5" t="n"/>
      <c r="D35" s="6">
        <f>IF(OR(A35="",B35=""),"",COUNTIF($B$2:$B$41,"&lt;"&amp;B35)+COUNTIF($B$2:B35,B35))</f>
        <v/>
      </c>
      <c r="E35" s="5" t="n"/>
      <c r="F35" s="6">
        <f>IF(D35="","",IF(E35="",D35,E35))</f>
        <v/>
      </c>
      <c r="G35" s="6">
        <f>IF(OR(F35="",AND(C35&lt;&gt;"男",C35&lt;&gt;"女")),"",COUNTIFS($C$2:$C$41,C35,$F$2:$F$41,"&lt;"&amp;F35)+1)</f>
        <v/>
      </c>
      <c r="H35" s="7">
        <f>IF(F35="","",IF(COUNTIF($F$2:$F$41,F35)&gt;1,"⚠ 順番が重複",IF(F35&gt;COUNT($F$2:$F$41),"⚠ 番号が大きすぎ",IF(G35="","男女が未入力",""))))</f>
        <v/>
      </c>
      <c r="I35" s="8">
        <f>IF(G35="","",C35&amp;G35)</f>
        <v/>
      </c>
    </row>
    <row r="36">
      <c r="A36" s="3" t="n"/>
      <c r="B36" s="4" t="n"/>
      <c r="C36" s="5" t="n"/>
      <c r="D36" s="6">
        <f>IF(OR(A36="",B36=""),"",COUNTIF($B$2:$B$41,"&lt;"&amp;B36)+COUNTIF($B$2:B36,B36))</f>
        <v/>
      </c>
      <c r="E36" s="5" t="n"/>
      <c r="F36" s="6">
        <f>IF(D36="","",IF(E36="",D36,E36))</f>
        <v/>
      </c>
      <c r="G36" s="6">
        <f>IF(OR(F36="",AND(C36&lt;&gt;"男",C36&lt;&gt;"女")),"",COUNTIFS($C$2:$C$41,C36,$F$2:$F$41,"&lt;"&amp;F36)+1)</f>
        <v/>
      </c>
      <c r="H36" s="7">
        <f>IF(F36="","",IF(COUNTIF($F$2:$F$41,F36)&gt;1,"⚠ 順番が重複",IF(F36&gt;COUNT($F$2:$F$41),"⚠ 番号が大きすぎ",IF(G36="","男女が未入力",""))))</f>
        <v/>
      </c>
      <c r="I36" s="8">
        <f>IF(G36="","",C36&amp;G36)</f>
        <v/>
      </c>
    </row>
    <row r="37">
      <c r="A37" s="3" t="n"/>
      <c r="B37" s="4" t="n"/>
      <c r="C37" s="5" t="n"/>
      <c r="D37" s="6">
        <f>IF(OR(A37="",B37=""),"",COUNTIF($B$2:$B$41,"&lt;"&amp;B37)+COUNTIF($B$2:B37,B37))</f>
        <v/>
      </c>
      <c r="E37" s="5" t="n"/>
      <c r="F37" s="6">
        <f>IF(D37="","",IF(E37="",D37,E37))</f>
        <v/>
      </c>
      <c r="G37" s="6">
        <f>IF(OR(F37="",AND(C37&lt;&gt;"男",C37&lt;&gt;"女")),"",COUNTIFS($C$2:$C$41,C37,$F$2:$F$41,"&lt;"&amp;F37)+1)</f>
        <v/>
      </c>
      <c r="H37" s="7">
        <f>IF(F37="","",IF(COUNTIF($F$2:$F$41,F37)&gt;1,"⚠ 順番が重複",IF(F37&gt;COUNT($F$2:$F$41),"⚠ 番号が大きすぎ",IF(G37="","男女が未入力",""))))</f>
        <v/>
      </c>
      <c r="I37" s="8">
        <f>IF(G37="","",C37&amp;G37)</f>
        <v/>
      </c>
    </row>
    <row r="38">
      <c r="A38" s="3" t="n"/>
      <c r="B38" s="4" t="n"/>
      <c r="C38" s="5" t="n"/>
      <c r="D38" s="6">
        <f>IF(OR(A38="",B38=""),"",COUNTIF($B$2:$B$41,"&lt;"&amp;B38)+COUNTIF($B$2:B38,B38))</f>
        <v/>
      </c>
      <c r="E38" s="5" t="n"/>
      <c r="F38" s="6">
        <f>IF(D38="","",IF(E38="",D38,E38))</f>
        <v/>
      </c>
      <c r="G38" s="6">
        <f>IF(OR(F38="",AND(C38&lt;&gt;"男",C38&lt;&gt;"女")),"",COUNTIFS($C$2:$C$41,C38,$F$2:$F$41,"&lt;"&amp;F38)+1)</f>
        <v/>
      </c>
      <c r="H38" s="7">
        <f>IF(F38="","",IF(COUNTIF($F$2:$F$41,F38)&gt;1,"⚠ 順番が重複",IF(F38&gt;COUNT($F$2:$F$41),"⚠ 番号が大きすぎ",IF(G38="","男女が未入力",""))))</f>
        <v/>
      </c>
      <c r="I38" s="8">
        <f>IF(G38="","",C38&amp;G38)</f>
        <v/>
      </c>
    </row>
    <row r="39">
      <c r="A39" s="3" t="n"/>
      <c r="B39" s="4" t="n"/>
      <c r="C39" s="5" t="n"/>
      <c r="D39" s="6">
        <f>IF(OR(A39="",B39=""),"",COUNTIF($B$2:$B$41,"&lt;"&amp;B39)+COUNTIF($B$2:B39,B39))</f>
        <v/>
      </c>
      <c r="E39" s="5" t="n"/>
      <c r="F39" s="6">
        <f>IF(D39="","",IF(E39="",D39,E39))</f>
        <v/>
      </c>
      <c r="G39" s="6">
        <f>IF(OR(F39="",AND(C39&lt;&gt;"男",C39&lt;&gt;"女")),"",COUNTIFS($C$2:$C$41,C39,$F$2:$F$41,"&lt;"&amp;F39)+1)</f>
        <v/>
      </c>
      <c r="H39" s="7">
        <f>IF(F39="","",IF(COUNTIF($F$2:$F$41,F39)&gt;1,"⚠ 順番が重複",IF(F39&gt;COUNT($F$2:$F$41),"⚠ 番号が大きすぎ",IF(G39="","男女が未入力",""))))</f>
        <v/>
      </c>
      <c r="I39" s="8">
        <f>IF(G39="","",C39&amp;G39)</f>
        <v/>
      </c>
    </row>
    <row r="40">
      <c r="A40" s="3" t="n"/>
      <c r="B40" s="4" t="n"/>
      <c r="C40" s="5" t="n"/>
      <c r="D40" s="6">
        <f>IF(OR(A40="",B40=""),"",COUNTIF($B$2:$B$41,"&lt;"&amp;B40)+COUNTIF($B$2:B40,B40))</f>
        <v/>
      </c>
      <c r="E40" s="5" t="n"/>
      <c r="F40" s="6">
        <f>IF(D40="","",IF(E40="",D40,E40))</f>
        <v/>
      </c>
      <c r="G40" s="6">
        <f>IF(OR(F40="",AND(C40&lt;&gt;"男",C40&lt;&gt;"女")),"",COUNTIFS($C$2:$C$41,C40,$F$2:$F$41,"&lt;"&amp;F40)+1)</f>
        <v/>
      </c>
      <c r="H40" s="7">
        <f>IF(F40="","",IF(COUNTIF($F$2:$F$41,F40)&gt;1,"⚠ 順番が重複",IF(F40&gt;COUNT($F$2:$F$41),"⚠ 番号が大きすぎ",IF(G40="","男女が未入力",""))))</f>
        <v/>
      </c>
      <c r="I40" s="8">
        <f>IF(G40="","",C40&amp;G40)</f>
        <v/>
      </c>
    </row>
    <row r="41">
      <c r="A41" s="3" t="n"/>
      <c r="B41" s="4" t="n"/>
      <c r="C41" s="5" t="n"/>
      <c r="D41" s="6">
        <f>IF(OR(A41="",B41=""),"",COUNTIF($B$2:$B$41,"&lt;"&amp;B41)+COUNTIF($B$2:B41,B41))</f>
        <v/>
      </c>
      <c r="E41" s="5" t="n"/>
      <c r="F41" s="6">
        <f>IF(D41="","",IF(E41="",D41,E41))</f>
        <v/>
      </c>
      <c r="G41" s="6">
        <f>IF(OR(F41="",AND(C41&lt;&gt;"男",C41&lt;&gt;"女")),"",COUNTIFS($C$2:$C$41,C41,$F$2:$F$41,"&lt;"&amp;F41)+1)</f>
        <v/>
      </c>
      <c r="H41" s="7">
        <f>IF(F41="","",IF(COUNTIF($F$2:$F$41,F41)&gt;1,"⚠ 順番が重複",IF(F41&gt;COUNT($F$2:$F$41),"⚠ 番号が大きすぎ",IF(G41="","男女が未入力",""))))</f>
        <v/>
      </c>
      <c r="I41" s="8">
        <f>IF(G41="","",C41&amp;G41)</f>
        <v/>
      </c>
    </row>
  </sheetData>
  <dataValidations count="3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C2:C41" showDropDown="0" showInputMessage="0" showErrorMessage="1" allowBlank="1" errorTitle="男女" error="「男」か「女」を入れてください" type="list">
      <formula1>"男,女"</formula1>
    </dataValidation>
    <dataValidation sqref="E2:E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3" customWidth="1" min="3" max="3"/>
    <col width="4" customWidth="1" min="4" max="4"/>
    <col width="18" customWidth="1" min="5" max="5"/>
    <col width="18" customWidth="1" min="6" max="6"/>
    <col width="3" customWidth="1" min="7" max="7"/>
    <col width="4" customWidth="1" min="8" max="8"/>
    <col width="18" customWidth="1" min="9" max="9"/>
    <col width="18" customWidth="1" min="10" max="10"/>
    <col width="3" customWidth="1" min="11" max="11"/>
  </cols>
  <sheetData>
    <row r="1">
      <c r="A1" s="12" t="inlineStr">
        <is>
          <t>背の順　1・2列</t>
        </is>
      </c>
    </row>
    <row r="2">
      <c r="A2" s="10" t="inlineStr">
        <is>
          <t>前の向き</t>
        </is>
      </c>
      <c r="B2" s="13" t="inlineStr">
        <is>
          <t>上が前</t>
        </is>
      </c>
      <c r="C2" s="14" t="inlineStr">
        <is>
          <t>← 「上が前」「下が前」を選べます</t>
        </is>
      </c>
    </row>
    <row r="4">
      <c r="A4" s="2" t="inlineStr">
        <is>
          <t>1列</t>
        </is>
      </c>
      <c r="D4" s="2" t="inlineStr">
        <is>
          <t>2列①　Ｚ方式（1・2／3・4…）</t>
        </is>
      </c>
      <c r="H4" s="2" t="inlineStr">
        <is>
          <t>2列②　男女別</t>
        </is>
      </c>
    </row>
    <row r="5">
      <c r="B5" s="15">
        <f>IF($B$2="下が前","後ろ","前")</f>
        <v/>
      </c>
      <c r="E5" s="15">
        <f>IF($B$2="下が前","後ろ","前")</f>
        <v/>
      </c>
      <c r="I5" s="15">
        <f>IF($B$2="下が前","後ろ","前")</f>
        <v/>
      </c>
    </row>
    <row r="6">
      <c r="I6" s="16" t="inlineStr">
        <is>
          <t>男子</t>
        </is>
      </c>
      <c r="J6" s="17" t="inlineStr">
        <is>
          <t>女子</t>
        </is>
      </c>
    </row>
    <row r="7" ht="24" customHeight="1">
      <c r="A7" s="18">
        <f>IF(IF($B$2="下が前",40,1)&lt;=('入力シート'!$M$13),IF($B$2="下が前",40,1),"")</f>
        <v/>
      </c>
      <c r="B7" s="19">
        <f>IF($A7="","",IFERROR(INDEX('入力シート'!$A$2:$A$41,MATCH($A7,'入力シート'!$F$2:$F$41,0)),""))</f>
        <v/>
      </c>
      <c r="D7" s="18">
        <f>IF(IF($B$2="下が前",20,1)&lt;=(ROUNDUP('入力シート'!$M$13/2,0)),IF($B$2="下が前",20,1),"")</f>
        <v/>
      </c>
      <c r="E7" s="19">
        <f>IF($D7="","",IFERROR(INDEX('入力シート'!$A$2:$A$41,MATCH(($D7-1)*2+1,'入力シート'!$F$2:$F$41,0)),""))</f>
        <v/>
      </c>
      <c r="F7" s="19">
        <f>IF($D7="","",IFERROR(INDEX('入力シート'!$A$2:$A$41,MATCH(($D7-1)*2+2,'入力シート'!$F$2:$F$41,0)),""))</f>
        <v/>
      </c>
      <c r="H7" s="18">
        <f>IF(IF($B$2="下が前",25,1)&lt;=(MAX('入力シート'!$M$14,'入力シート'!$M$15)),IF($B$2="下が前",25,1),"")</f>
        <v/>
      </c>
      <c r="I7" s="19">
        <f>IF($H7="","",IFERROR(INDEX('入力シート'!$A$2:$A$41,MATCH("男"&amp;($H7),'入力シート'!$I$2:$I$41,0)),""))</f>
        <v/>
      </c>
      <c r="J7" s="19">
        <f>IF($H7="","",IFERROR(INDEX('入力シート'!$A$2:$A$41,MATCH("女"&amp;($H7),'入力シート'!$I$2:$I$41,0)),""))</f>
        <v/>
      </c>
    </row>
    <row r="8" ht="24" customHeight="1">
      <c r="A8" s="18">
        <f>IF(IF($B$2="下が前",39,2)&lt;=('入力シート'!$M$13),IF($B$2="下が前",39,2),"")</f>
        <v/>
      </c>
      <c r="B8" s="19">
        <f>IF($A8="","",IFERROR(INDEX('入力シート'!$A$2:$A$41,MATCH($A8,'入力シート'!$F$2:$F$41,0)),""))</f>
        <v/>
      </c>
      <c r="D8" s="18">
        <f>IF(IF($B$2="下が前",19,2)&lt;=(ROUNDUP('入力シート'!$M$13/2,0)),IF($B$2="下が前",19,2),"")</f>
        <v/>
      </c>
      <c r="E8" s="19">
        <f>IF($D8="","",IFERROR(INDEX('入力シート'!$A$2:$A$41,MATCH(($D8-1)*2+1,'入力シート'!$F$2:$F$41,0)),""))</f>
        <v/>
      </c>
      <c r="F8" s="19">
        <f>IF($D8="","",IFERROR(INDEX('入力シート'!$A$2:$A$41,MATCH(($D8-1)*2+2,'入力シート'!$F$2:$F$41,0)),""))</f>
        <v/>
      </c>
      <c r="H8" s="18">
        <f>IF(IF($B$2="下が前",24,2)&lt;=(MAX('入力シート'!$M$14,'入力シート'!$M$15)),IF($B$2="下が前",24,2),"")</f>
        <v/>
      </c>
      <c r="I8" s="19">
        <f>IF($H8="","",IFERROR(INDEX('入力シート'!$A$2:$A$41,MATCH("男"&amp;($H8),'入力シート'!$I$2:$I$41,0)),""))</f>
        <v/>
      </c>
      <c r="J8" s="19">
        <f>IF($H8="","",IFERROR(INDEX('入力シート'!$A$2:$A$41,MATCH("女"&amp;($H8),'入力シート'!$I$2:$I$41,0)),""))</f>
        <v/>
      </c>
    </row>
    <row r="9" ht="24" customHeight="1">
      <c r="A9" s="18">
        <f>IF(IF($B$2="下が前",38,3)&lt;=('入力シート'!$M$13),IF($B$2="下が前",38,3),"")</f>
        <v/>
      </c>
      <c r="B9" s="19">
        <f>IF($A9="","",IFERROR(INDEX('入力シート'!$A$2:$A$41,MATCH($A9,'入力シート'!$F$2:$F$41,0)),""))</f>
        <v/>
      </c>
      <c r="D9" s="18">
        <f>IF(IF($B$2="下が前",18,3)&lt;=(ROUNDUP('入力シート'!$M$13/2,0)),IF($B$2="下が前",18,3),"")</f>
        <v/>
      </c>
      <c r="E9" s="19">
        <f>IF($D9="","",IFERROR(INDEX('入力シート'!$A$2:$A$41,MATCH(($D9-1)*2+1,'入力シート'!$F$2:$F$41,0)),""))</f>
        <v/>
      </c>
      <c r="F9" s="19">
        <f>IF($D9="","",IFERROR(INDEX('入力シート'!$A$2:$A$41,MATCH(($D9-1)*2+2,'入力シート'!$F$2:$F$41,0)),""))</f>
        <v/>
      </c>
      <c r="H9" s="18">
        <f>IF(IF($B$2="下が前",23,3)&lt;=(MAX('入力シート'!$M$14,'入力シート'!$M$15)),IF($B$2="下が前",23,3),"")</f>
        <v/>
      </c>
      <c r="I9" s="19">
        <f>IF($H9="","",IFERROR(INDEX('入力シート'!$A$2:$A$41,MATCH("男"&amp;($H9),'入力シート'!$I$2:$I$41,0)),""))</f>
        <v/>
      </c>
      <c r="J9" s="19">
        <f>IF($H9="","",IFERROR(INDEX('入力シート'!$A$2:$A$41,MATCH("女"&amp;($H9),'入力シート'!$I$2:$I$41,0)),""))</f>
        <v/>
      </c>
    </row>
    <row r="10" ht="24" customHeight="1">
      <c r="A10" s="18">
        <f>IF(IF($B$2="下が前",37,4)&lt;=('入力シート'!$M$13),IF($B$2="下が前",37,4),"")</f>
        <v/>
      </c>
      <c r="B10" s="19">
        <f>IF($A10="","",IFERROR(INDEX('入力シート'!$A$2:$A$41,MATCH($A10,'入力シート'!$F$2:$F$41,0)),""))</f>
        <v/>
      </c>
      <c r="D10" s="18">
        <f>IF(IF($B$2="下が前",17,4)&lt;=(ROUNDUP('入力シート'!$M$13/2,0)),IF($B$2="下が前",17,4),"")</f>
        <v/>
      </c>
      <c r="E10" s="19">
        <f>IF($D10="","",IFERROR(INDEX('入力シート'!$A$2:$A$41,MATCH(($D10-1)*2+1,'入力シート'!$F$2:$F$41,0)),""))</f>
        <v/>
      </c>
      <c r="F10" s="19">
        <f>IF($D10="","",IFERROR(INDEX('入力シート'!$A$2:$A$41,MATCH(($D10-1)*2+2,'入力シート'!$F$2:$F$41,0)),""))</f>
        <v/>
      </c>
      <c r="H10" s="18">
        <f>IF(IF($B$2="下が前",22,4)&lt;=(MAX('入力シート'!$M$14,'入力シート'!$M$15)),IF($B$2="下が前",22,4),"")</f>
        <v/>
      </c>
      <c r="I10" s="19">
        <f>IF($H10="","",IFERROR(INDEX('入力シート'!$A$2:$A$41,MATCH("男"&amp;($H10),'入力シート'!$I$2:$I$41,0)),""))</f>
        <v/>
      </c>
      <c r="J10" s="19">
        <f>IF($H10="","",IFERROR(INDEX('入力シート'!$A$2:$A$41,MATCH("女"&amp;($H10),'入力シート'!$I$2:$I$41,0)),""))</f>
        <v/>
      </c>
    </row>
    <row r="11" ht="24" customHeight="1">
      <c r="A11" s="18">
        <f>IF(IF($B$2="下が前",36,5)&lt;=('入力シート'!$M$13),IF($B$2="下が前",36,5),"")</f>
        <v/>
      </c>
      <c r="B11" s="19">
        <f>IF($A11="","",IFERROR(INDEX('入力シート'!$A$2:$A$41,MATCH($A11,'入力シート'!$F$2:$F$41,0)),""))</f>
        <v/>
      </c>
      <c r="D11" s="18">
        <f>IF(IF($B$2="下が前",16,5)&lt;=(ROUNDUP('入力シート'!$M$13/2,0)),IF($B$2="下が前",16,5),"")</f>
        <v/>
      </c>
      <c r="E11" s="19">
        <f>IF($D11="","",IFERROR(INDEX('入力シート'!$A$2:$A$41,MATCH(($D11-1)*2+1,'入力シート'!$F$2:$F$41,0)),""))</f>
        <v/>
      </c>
      <c r="F11" s="19">
        <f>IF($D11="","",IFERROR(INDEX('入力シート'!$A$2:$A$41,MATCH(($D11-1)*2+2,'入力シート'!$F$2:$F$41,0)),""))</f>
        <v/>
      </c>
      <c r="H11" s="18">
        <f>IF(IF($B$2="下が前",21,5)&lt;=(MAX('入力シート'!$M$14,'入力シート'!$M$15)),IF($B$2="下が前",21,5),"")</f>
        <v/>
      </c>
      <c r="I11" s="19">
        <f>IF($H11="","",IFERROR(INDEX('入力シート'!$A$2:$A$41,MATCH("男"&amp;($H11),'入力シート'!$I$2:$I$41,0)),""))</f>
        <v/>
      </c>
      <c r="J11" s="19">
        <f>IF($H11="","",IFERROR(INDEX('入力シート'!$A$2:$A$41,MATCH("女"&amp;($H11),'入力シート'!$I$2:$I$41,0)),""))</f>
        <v/>
      </c>
    </row>
    <row r="12" ht="24" customHeight="1">
      <c r="A12" s="18">
        <f>IF(IF($B$2="下が前",35,6)&lt;=('入力シート'!$M$13),IF($B$2="下が前",35,6),"")</f>
        <v/>
      </c>
      <c r="B12" s="19">
        <f>IF($A12="","",IFERROR(INDEX('入力シート'!$A$2:$A$41,MATCH($A12,'入力シート'!$F$2:$F$41,0)),""))</f>
        <v/>
      </c>
      <c r="D12" s="18">
        <f>IF(IF($B$2="下が前",15,6)&lt;=(ROUNDUP('入力シート'!$M$13/2,0)),IF($B$2="下が前",15,6),"")</f>
        <v/>
      </c>
      <c r="E12" s="19">
        <f>IF($D12="","",IFERROR(INDEX('入力シート'!$A$2:$A$41,MATCH(($D12-1)*2+1,'入力シート'!$F$2:$F$41,0)),""))</f>
        <v/>
      </c>
      <c r="F12" s="19">
        <f>IF($D12="","",IFERROR(INDEX('入力シート'!$A$2:$A$41,MATCH(($D12-1)*2+2,'入力シート'!$F$2:$F$41,0)),""))</f>
        <v/>
      </c>
      <c r="H12" s="18">
        <f>IF(IF($B$2="下が前",20,6)&lt;=(MAX('入力シート'!$M$14,'入力シート'!$M$15)),IF($B$2="下が前",20,6),"")</f>
        <v/>
      </c>
      <c r="I12" s="19">
        <f>IF($H12="","",IFERROR(INDEX('入力シート'!$A$2:$A$41,MATCH("男"&amp;($H12),'入力シート'!$I$2:$I$41,0)),""))</f>
        <v/>
      </c>
      <c r="J12" s="19">
        <f>IF($H12="","",IFERROR(INDEX('入力シート'!$A$2:$A$41,MATCH("女"&amp;($H12),'入力シート'!$I$2:$I$41,0)),""))</f>
        <v/>
      </c>
    </row>
    <row r="13" ht="24" customHeight="1">
      <c r="A13" s="18">
        <f>IF(IF($B$2="下が前",34,7)&lt;=('入力シート'!$M$13),IF($B$2="下が前",34,7),"")</f>
        <v/>
      </c>
      <c r="B13" s="19">
        <f>IF($A13="","",IFERROR(INDEX('入力シート'!$A$2:$A$41,MATCH($A13,'入力シート'!$F$2:$F$41,0)),""))</f>
        <v/>
      </c>
      <c r="D13" s="18">
        <f>IF(IF($B$2="下が前",14,7)&lt;=(ROUNDUP('入力シート'!$M$13/2,0)),IF($B$2="下が前",14,7),"")</f>
        <v/>
      </c>
      <c r="E13" s="19">
        <f>IF($D13="","",IFERROR(INDEX('入力シート'!$A$2:$A$41,MATCH(($D13-1)*2+1,'入力シート'!$F$2:$F$41,0)),""))</f>
        <v/>
      </c>
      <c r="F13" s="19">
        <f>IF($D13="","",IFERROR(INDEX('入力シート'!$A$2:$A$41,MATCH(($D13-1)*2+2,'入力シート'!$F$2:$F$41,0)),""))</f>
        <v/>
      </c>
      <c r="H13" s="18">
        <f>IF(IF($B$2="下が前",19,7)&lt;=(MAX('入力シート'!$M$14,'入力シート'!$M$15)),IF($B$2="下が前",19,7),"")</f>
        <v/>
      </c>
      <c r="I13" s="19">
        <f>IF($H13="","",IFERROR(INDEX('入力シート'!$A$2:$A$41,MATCH("男"&amp;($H13),'入力シート'!$I$2:$I$41,0)),""))</f>
        <v/>
      </c>
      <c r="J13" s="19">
        <f>IF($H13="","",IFERROR(INDEX('入力シート'!$A$2:$A$41,MATCH("女"&amp;($H13),'入力シート'!$I$2:$I$41,0)),""))</f>
        <v/>
      </c>
    </row>
    <row r="14" ht="24" customHeight="1">
      <c r="A14" s="18">
        <f>IF(IF($B$2="下が前",33,8)&lt;=('入力シート'!$M$13),IF($B$2="下が前",33,8),"")</f>
        <v/>
      </c>
      <c r="B14" s="19">
        <f>IF($A14="","",IFERROR(INDEX('入力シート'!$A$2:$A$41,MATCH($A14,'入力シート'!$F$2:$F$41,0)),""))</f>
        <v/>
      </c>
      <c r="D14" s="18">
        <f>IF(IF($B$2="下が前",13,8)&lt;=(ROUNDUP('入力シート'!$M$13/2,0)),IF($B$2="下が前",13,8),"")</f>
        <v/>
      </c>
      <c r="E14" s="19">
        <f>IF($D14="","",IFERROR(INDEX('入力シート'!$A$2:$A$41,MATCH(($D14-1)*2+1,'入力シート'!$F$2:$F$41,0)),""))</f>
        <v/>
      </c>
      <c r="F14" s="19">
        <f>IF($D14="","",IFERROR(INDEX('入力シート'!$A$2:$A$41,MATCH(($D14-1)*2+2,'入力シート'!$F$2:$F$41,0)),""))</f>
        <v/>
      </c>
      <c r="H14" s="18">
        <f>IF(IF($B$2="下が前",18,8)&lt;=(MAX('入力シート'!$M$14,'入力シート'!$M$15)),IF($B$2="下が前",18,8),"")</f>
        <v/>
      </c>
      <c r="I14" s="19">
        <f>IF($H14="","",IFERROR(INDEX('入力シート'!$A$2:$A$41,MATCH("男"&amp;($H14),'入力シート'!$I$2:$I$41,0)),""))</f>
        <v/>
      </c>
      <c r="J14" s="19">
        <f>IF($H14="","",IFERROR(INDEX('入力シート'!$A$2:$A$41,MATCH("女"&amp;($H14),'入力シート'!$I$2:$I$41,0)),""))</f>
        <v/>
      </c>
    </row>
    <row r="15" ht="24" customHeight="1">
      <c r="A15" s="18">
        <f>IF(IF($B$2="下が前",32,9)&lt;=('入力シート'!$M$13),IF($B$2="下が前",32,9),"")</f>
        <v/>
      </c>
      <c r="B15" s="19">
        <f>IF($A15="","",IFERROR(INDEX('入力シート'!$A$2:$A$41,MATCH($A15,'入力シート'!$F$2:$F$41,0)),""))</f>
        <v/>
      </c>
      <c r="D15" s="18">
        <f>IF(IF($B$2="下が前",12,9)&lt;=(ROUNDUP('入力シート'!$M$13/2,0)),IF($B$2="下が前",12,9),"")</f>
        <v/>
      </c>
      <c r="E15" s="19">
        <f>IF($D15="","",IFERROR(INDEX('入力シート'!$A$2:$A$41,MATCH(($D15-1)*2+1,'入力シート'!$F$2:$F$41,0)),""))</f>
        <v/>
      </c>
      <c r="F15" s="19">
        <f>IF($D15="","",IFERROR(INDEX('入力シート'!$A$2:$A$41,MATCH(($D15-1)*2+2,'入力シート'!$F$2:$F$41,0)),""))</f>
        <v/>
      </c>
      <c r="H15" s="18">
        <f>IF(IF($B$2="下が前",17,9)&lt;=(MAX('入力シート'!$M$14,'入力シート'!$M$15)),IF($B$2="下が前",17,9),"")</f>
        <v/>
      </c>
      <c r="I15" s="19">
        <f>IF($H15="","",IFERROR(INDEX('入力シート'!$A$2:$A$41,MATCH("男"&amp;($H15),'入力シート'!$I$2:$I$41,0)),""))</f>
        <v/>
      </c>
      <c r="J15" s="19">
        <f>IF($H15="","",IFERROR(INDEX('入力シート'!$A$2:$A$41,MATCH("女"&amp;($H15),'入力シート'!$I$2:$I$41,0)),""))</f>
        <v/>
      </c>
    </row>
    <row r="16" ht="24" customHeight="1">
      <c r="A16" s="18">
        <f>IF(IF($B$2="下が前",31,10)&lt;=('入力シート'!$M$13),IF($B$2="下が前",31,10),"")</f>
        <v/>
      </c>
      <c r="B16" s="19">
        <f>IF($A16="","",IFERROR(INDEX('入力シート'!$A$2:$A$41,MATCH($A16,'入力シート'!$F$2:$F$41,0)),""))</f>
        <v/>
      </c>
      <c r="D16" s="18">
        <f>IF(IF($B$2="下が前",11,10)&lt;=(ROUNDUP('入力シート'!$M$13/2,0)),IF($B$2="下が前",11,10),"")</f>
        <v/>
      </c>
      <c r="E16" s="19">
        <f>IF($D16="","",IFERROR(INDEX('入力シート'!$A$2:$A$41,MATCH(($D16-1)*2+1,'入力シート'!$F$2:$F$41,0)),""))</f>
        <v/>
      </c>
      <c r="F16" s="19">
        <f>IF($D16="","",IFERROR(INDEX('入力シート'!$A$2:$A$41,MATCH(($D16-1)*2+2,'入力シート'!$F$2:$F$41,0)),""))</f>
        <v/>
      </c>
      <c r="H16" s="18">
        <f>IF(IF($B$2="下が前",16,10)&lt;=(MAX('入力シート'!$M$14,'入力シート'!$M$15)),IF($B$2="下が前",16,10),"")</f>
        <v/>
      </c>
      <c r="I16" s="19">
        <f>IF($H16="","",IFERROR(INDEX('入力シート'!$A$2:$A$41,MATCH("男"&amp;($H16),'入力シート'!$I$2:$I$41,0)),""))</f>
        <v/>
      </c>
      <c r="J16" s="19">
        <f>IF($H16="","",IFERROR(INDEX('入力シート'!$A$2:$A$41,MATCH("女"&amp;($H16),'入力シート'!$I$2:$I$41,0)),""))</f>
        <v/>
      </c>
    </row>
    <row r="17" ht="24" customHeight="1">
      <c r="A17" s="18">
        <f>IF(IF($B$2="下が前",30,11)&lt;=('入力シート'!$M$13),IF($B$2="下が前",30,11),"")</f>
        <v/>
      </c>
      <c r="B17" s="19">
        <f>IF($A17="","",IFERROR(INDEX('入力シート'!$A$2:$A$41,MATCH($A17,'入力シート'!$F$2:$F$41,0)),""))</f>
        <v/>
      </c>
      <c r="D17" s="18">
        <f>IF(IF($B$2="下が前",10,11)&lt;=(ROUNDUP('入力シート'!$M$13/2,0)),IF($B$2="下が前",10,11),"")</f>
        <v/>
      </c>
      <c r="E17" s="19">
        <f>IF($D17="","",IFERROR(INDEX('入力シート'!$A$2:$A$41,MATCH(($D17-1)*2+1,'入力シート'!$F$2:$F$41,0)),""))</f>
        <v/>
      </c>
      <c r="F17" s="19">
        <f>IF($D17="","",IFERROR(INDEX('入力シート'!$A$2:$A$41,MATCH(($D17-1)*2+2,'入力シート'!$F$2:$F$41,0)),""))</f>
        <v/>
      </c>
      <c r="H17" s="18">
        <f>IF(IF($B$2="下が前",15,11)&lt;=(MAX('入力シート'!$M$14,'入力シート'!$M$15)),IF($B$2="下が前",15,11),"")</f>
        <v/>
      </c>
      <c r="I17" s="19">
        <f>IF($H17="","",IFERROR(INDEX('入力シート'!$A$2:$A$41,MATCH("男"&amp;($H17),'入力シート'!$I$2:$I$41,0)),""))</f>
        <v/>
      </c>
      <c r="J17" s="19">
        <f>IF($H17="","",IFERROR(INDEX('入力シート'!$A$2:$A$41,MATCH("女"&amp;($H17),'入力シート'!$I$2:$I$41,0)),""))</f>
        <v/>
      </c>
    </row>
    <row r="18" ht="24" customHeight="1">
      <c r="A18" s="18">
        <f>IF(IF($B$2="下が前",29,12)&lt;=('入力シート'!$M$13),IF($B$2="下が前",29,12),"")</f>
        <v/>
      </c>
      <c r="B18" s="19">
        <f>IF($A18="","",IFERROR(INDEX('入力シート'!$A$2:$A$41,MATCH($A18,'入力シート'!$F$2:$F$41,0)),""))</f>
        <v/>
      </c>
      <c r="D18" s="18">
        <f>IF(IF($B$2="下が前",9,12)&lt;=(ROUNDUP('入力シート'!$M$13/2,0)),IF($B$2="下が前",9,12),"")</f>
        <v/>
      </c>
      <c r="E18" s="19">
        <f>IF($D18="","",IFERROR(INDEX('入力シート'!$A$2:$A$41,MATCH(($D18-1)*2+1,'入力シート'!$F$2:$F$41,0)),""))</f>
        <v/>
      </c>
      <c r="F18" s="19">
        <f>IF($D18="","",IFERROR(INDEX('入力シート'!$A$2:$A$41,MATCH(($D18-1)*2+2,'入力シート'!$F$2:$F$41,0)),""))</f>
        <v/>
      </c>
      <c r="H18" s="18">
        <f>IF(IF($B$2="下が前",14,12)&lt;=(MAX('入力シート'!$M$14,'入力シート'!$M$15)),IF($B$2="下が前",14,12),"")</f>
        <v/>
      </c>
      <c r="I18" s="19">
        <f>IF($H18="","",IFERROR(INDEX('入力シート'!$A$2:$A$41,MATCH("男"&amp;($H18),'入力シート'!$I$2:$I$41,0)),""))</f>
        <v/>
      </c>
      <c r="J18" s="19">
        <f>IF($H18="","",IFERROR(INDEX('入力シート'!$A$2:$A$41,MATCH("女"&amp;($H18),'入力シート'!$I$2:$I$41,0)),""))</f>
        <v/>
      </c>
    </row>
    <row r="19" ht="24" customHeight="1">
      <c r="A19" s="18">
        <f>IF(IF($B$2="下が前",28,13)&lt;=('入力シート'!$M$13),IF($B$2="下が前",28,13),"")</f>
        <v/>
      </c>
      <c r="B19" s="19">
        <f>IF($A19="","",IFERROR(INDEX('入力シート'!$A$2:$A$41,MATCH($A19,'入力シート'!$F$2:$F$41,0)),""))</f>
        <v/>
      </c>
      <c r="D19" s="18">
        <f>IF(IF($B$2="下が前",8,13)&lt;=(ROUNDUP('入力シート'!$M$13/2,0)),IF($B$2="下が前",8,13),"")</f>
        <v/>
      </c>
      <c r="E19" s="19">
        <f>IF($D19="","",IFERROR(INDEX('入力シート'!$A$2:$A$41,MATCH(($D19-1)*2+1,'入力シート'!$F$2:$F$41,0)),""))</f>
        <v/>
      </c>
      <c r="F19" s="19">
        <f>IF($D19="","",IFERROR(INDEX('入力シート'!$A$2:$A$41,MATCH(($D19-1)*2+2,'入力シート'!$F$2:$F$41,0)),""))</f>
        <v/>
      </c>
      <c r="H19" s="18">
        <f>IF(IF($B$2="下が前",13,13)&lt;=(MAX('入力シート'!$M$14,'入力シート'!$M$15)),IF($B$2="下が前",13,13),"")</f>
        <v/>
      </c>
      <c r="I19" s="19">
        <f>IF($H19="","",IFERROR(INDEX('入力シート'!$A$2:$A$41,MATCH("男"&amp;($H19),'入力シート'!$I$2:$I$41,0)),""))</f>
        <v/>
      </c>
      <c r="J19" s="19">
        <f>IF($H19="","",IFERROR(INDEX('入力シート'!$A$2:$A$41,MATCH("女"&amp;($H19),'入力シート'!$I$2:$I$41,0)),""))</f>
        <v/>
      </c>
    </row>
    <row r="20" ht="24" customHeight="1">
      <c r="A20" s="18">
        <f>IF(IF($B$2="下が前",27,14)&lt;=('入力シート'!$M$13),IF($B$2="下が前",27,14),"")</f>
        <v/>
      </c>
      <c r="B20" s="19">
        <f>IF($A20="","",IFERROR(INDEX('入力シート'!$A$2:$A$41,MATCH($A20,'入力シート'!$F$2:$F$41,0)),""))</f>
        <v/>
      </c>
      <c r="D20" s="18">
        <f>IF(IF($B$2="下が前",7,14)&lt;=(ROUNDUP('入力シート'!$M$13/2,0)),IF($B$2="下が前",7,14),"")</f>
        <v/>
      </c>
      <c r="E20" s="19">
        <f>IF($D20="","",IFERROR(INDEX('入力シート'!$A$2:$A$41,MATCH(($D20-1)*2+1,'入力シート'!$F$2:$F$41,0)),""))</f>
        <v/>
      </c>
      <c r="F20" s="19">
        <f>IF($D20="","",IFERROR(INDEX('入力シート'!$A$2:$A$41,MATCH(($D20-1)*2+2,'入力シート'!$F$2:$F$41,0)),""))</f>
        <v/>
      </c>
      <c r="H20" s="18">
        <f>IF(IF($B$2="下が前",12,14)&lt;=(MAX('入力シート'!$M$14,'入力シート'!$M$15)),IF($B$2="下が前",12,14),"")</f>
        <v/>
      </c>
      <c r="I20" s="19">
        <f>IF($H20="","",IFERROR(INDEX('入力シート'!$A$2:$A$41,MATCH("男"&amp;($H20),'入力シート'!$I$2:$I$41,0)),""))</f>
        <v/>
      </c>
      <c r="J20" s="19">
        <f>IF($H20="","",IFERROR(INDEX('入力シート'!$A$2:$A$41,MATCH("女"&amp;($H20),'入力シート'!$I$2:$I$41,0)),""))</f>
        <v/>
      </c>
    </row>
    <row r="21" ht="24" customHeight="1">
      <c r="A21" s="18">
        <f>IF(IF($B$2="下が前",26,15)&lt;=('入力シート'!$M$13),IF($B$2="下が前",26,15),"")</f>
        <v/>
      </c>
      <c r="B21" s="19">
        <f>IF($A21="","",IFERROR(INDEX('入力シート'!$A$2:$A$41,MATCH($A21,'入力シート'!$F$2:$F$41,0)),""))</f>
        <v/>
      </c>
      <c r="D21" s="18">
        <f>IF(IF($B$2="下が前",6,15)&lt;=(ROUNDUP('入力シート'!$M$13/2,0)),IF($B$2="下が前",6,15),"")</f>
        <v/>
      </c>
      <c r="E21" s="19">
        <f>IF($D21="","",IFERROR(INDEX('入力シート'!$A$2:$A$41,MATCH(($D21-1)*2+1,'入力シート'!$F$2:$F$41,0)),""))</f>
        <v/>
      </c>
      <c r="F21" s="19">
        <f>IF($D21="","",IFERROR(INDEX('入力シート'!$A$2:$A$41,MATCH(($D21-1)*2+2,'入力シート'!$F$2:$F$41,0)),""))</f>
        <v/>
      </c>
      <c r="H21" s="18">
        <f>IF(IF($B$2="下が前",11,15)&lt;=(MAX('入力シート'!$M$14,'入力シート'!$M$15)),IF($B$2="下が前",11,15),"")</f>
        <v/>
      </c>
      <c r="I21" s="19">
        <f>IF($H21="","",IFERROR(INDEX('入力シート'!$A$2:$A$41,MATCH("男"&amp;($H21),'入力シート'!$I$2:$I$41,0)),""))</f>
        <v/>
      </c>
      <c r="J21" s="19">
        <f>IF($H21="","",IFERROR(INDEX('入力シート'!$A$2:$A$41,MATCH("女"&amp;($H21),'入力シート'!$I$2:$I$41,0)),""))</f>
        <v/>
      </c>
    </row>
    <row r="22" ht="24" customHeight="1">
      <c r="A22" s="18">
        <f>IF(IF($B$2="下が前",25,16)&lt;=('入力シート'!$M$13),IF($B$2="下が前",25,16),"")</f>
        <v/>
      </c>
      <c r="B22" s="19">
        <f>IF($A22="","",IFERROR(INDEX('入力シート'!$A$2:$A$41,MATCH($A22,'入力シート'!$F$2:$F$41,0)),""))</f>
        <v/>
      </c>
      <c r="D22" s="18">
        <f>IF(IF($B$2="下が前",5,16)&lt;=(ROUNDUP('入力シート'!$M$13/2,0)),IF($B$2="下が前",5,16),"")</f>
        <v/>
      </c>
      <c r="E22" s="19">
        <f>IF($D22="","",IFERROR(INDEX('入力シート'!$A$2:$A$41,MATCH(($D22-1)*2+1,'入力シート'!$F$2:$F$41,0)),""))</f>
        <v/>
      </c>
      <c r="F22" s="19">
        <f>IF($D22="","",IFERROR(INDEX('入力シート'!$A$2:$A$41,MATCH(($D22-1)*2+2,'入力シート'!$F$2:$F$41,0)),""))</f>
        <v/>
      </c>
      <c r="H22" s="18">
        <f>IF(IF($B$2="下が前",10,16)&lt;=(MAX('入力シート'!$M$14,'入力シート'!$M$15)),IF($B$2="下が前",10,16),"")</f>
        <v/>
      </c>
      <c r="I22" s="19">
        <f>IF($H22="","",IFERROR(INDEX('入力シート'!$A$2:$A$41,MATCH("男"&amp;($H22),'入力シート'!$I$2:$I$41,0)),""))</f>
        <v/>
      </c>
      <c r="J22" s="19">
        <f>IF($H22="","",IFERROR(INDEX('入力シート'!$A$2:$A$41,MATCH("女"&amp;($H22),'入力シート'!$I$2:$I$41,0)),""))</f>
        <v/>
      </c>
    </row>
    <row r="23" ht="24" customHeight="1">
      <c r="A23" s="18">
        <f>IF(IF($B$2="下が前",24,17)&lt;=('入力シート'!$M$13),IF($B$2="下が前",24,17),"")</f>
        <v/>
      </c>
      <c r="B23" s="19">
        <f>IF($A23="","",IFERROR(INDEX('入力シート'!$A$2:$A$41,MATCH($A23,'入力シート'!$F$2:$F$41,0)),""))</f>
        <v/>
      </c>
      <c r="D23" s="18">
        <f>IF(IF($B$2="下が前",4,17)&lt;=(ROUNDUP('入力シート'!$M$13/2,0)),IF($B$2="下が前",4,17),"")</f>
        <v/>
      </c>
      <c r="E23" s="19">
        <f>IF($D23="","",IFERROR(INDEX('入力シート'!$A$2:$A$41,MATCH(($D23-1)*2+1,'入力シート'!$F$2:$F$41,0)),""))</f>
        <v/>
      </c>
      <c r="F23" s="19">
        <f>IF($D23="","",IFERROR(INDEX('入力シート'!$A$2:$A$41,MATCH(($D23-1)*2+2,'入力シート'!$F$2:$F$41,0)),""))</f>
        <v/>
      </c>
      <c r="H23" s="18">
        <f>IF(IF($B$2="下が前",9,17)&lt;=(MAX('入力シート'!$M$14,'入力シート'!$M$15)),IF($B$2="下が前",9,17),"")</f>
        <v/>
      </c>
      <c r="I23" s="19">
        <f>IF($H23="","",IFERROR(INDEX('入力シート'!$A$2:$A$41,MATCH("男"&amp;($H23),'入力シート'!$I$2:$I$41,0)),""))</f>
        <v/>
      </c>
      <c r="J23" s="19">
        <f>IF($H23="","",IFERROR(INDEX('入力シート'!$A$2:$A$41,MATCH("女"&amp;($H23),'入力シート'!$I$2:$I$41,0)),""))</f>
        <v/>
      </c>
    </row>
    <row r="24" ht="24" customHeight="1">
      <c r="A24" s="18">
        <f>IF(IF($B$2="下が前",23,18)&lt;=('入力シート'!$M$13),IF($B$2="下が前",23,18),"")</f>
        <v/>
      </c>
      <c r="B24" s="19">
        <f>IF($A24="","",IFERROR(INDEX('入力シート'!$A$2:$A$41,MATCH($A24,'入力シート'!$F$2:$F$41,0)),""))</f>
        <v/>
      </c>
      <c r="D24" s="18">
        <f>IF(IF($B$2="下が前",3,18)&lt;=(ROUNDUP('入力シート'!$M$13/2,0)),IF($B$2="下が前",3,18),"")</f>
        <v/>
      </c>
      <c r="E24" s="19">
        <f>IF($D24="","",IFERROR(INDEX('入力シート'!$A$2:$A$41,MATCH(($D24-1)*2+1,'入力シート'!$F$2:$F$41,0)),""))</f>
        <v/>
      </c>
      <c r="F24" s="19">
        <f>IF($D24="","",IFERROR(INDEX('入力シート'!$A$2:$A$41,MATCH(($D24-1)*2+2,'入力シート'!$F$2:$F$41,0)),""))</f>
        <v/>
      </c>
      <c r="H24" s="18">
        <f>IF(IF($B$2="下が前",8,18)&lt;=(MAX('入力シート'!$M$14,'入力シート'!$M$15)),IF($B$2="下が前",8,18),"")</f>
        <v/>
      </c>
      <c r="I24" s="19">
        <f>IF($H24="","",IFERROR(INDEX('入力シート'!$A$2:$A$41,MATCH("男"&amp;($H24),'入力シート'!$I$2:$I$41,0)),""))</f>
        <v/>
      </c>
      <c r="J24" s="19">
        <f>IF($H24="","",IFERROR(INDEX('入力シート'!$A$2:$A$41,MATCH("女"&amp;($H24),'入力シート'!$I$2:$I$41,0)),""))</f>
        <v/>
      </c>
    </row>
    <row r="25" ht="24" customHeight="1">
      <c r="A25" s="18">
        <f>IF(IF($B$2="下が前",22,19)&lt;=('入力シート'!$M$13),IF($B$2="下が前",22,19),"")</f>
        <v/>
      </c>
      <c r="B25" s="19">
        <f>IF($A25="","",IFERROR(INDEX('入力シート'!$A$2:$A$41,MATCH($A25,'入力シート'!$F$2:$F$41,0)),""))</f>
        <v/>
      </c>
      <c r="D25" s="18">
        <f>IF(IF($B$2="下が前",2,19)&lt;=(ROUNDUP('入力シート'!$M$13/2,0)),IF($B$2="下が前",2,19),"")</f>
        <v/>
      </c>
      <c r="E25" s="19">
        <f>IF($D25="","",IFERROR(INDEX('入力シート'!$A$2:$A$41,MATCH(($D25-1)*2+1,'入力シート'!$F$2:$F$41,0)),""))</f>
        <v/>
      </c>
      <c r="F25" s="19">
        <f>IF($D25="","",IFERROR(INDEX('入力シート'!$A$2:$A$41,MATCH(($D25-1)*2+2,'入力シート'!$F$2:$F$41,0)),""))</f>
        <v/>
      </c>
      <c r="H25" s="18">
        <f>IF(IF($B$2="下が前",7,19)&lt;=(MAX('入力シート'!$M$14,'入力シート'!$M$15)),IF($B$2="下が前",7,19),"")</f>
        <v/>
      </c>
      <c r="I25" s="19">
        <f>IF($H25="","",IFERROR(INDEX('入力シート'!$A$2:$A$41,MATCH("男"&amp;($H25),'入力シート'!$I$2:$I$41,0)),""))</f>
        <v/>
      </c>
      <c r="J25" s="19">
        <f>IF($H25="","",IFERROR(INDEX('入力シート'!$A$2:$A$41,MATCH("女"&amp;($H25),'入力シート'!$I$2:$I$41,0)),""))</f>
        <v/>
      </c>
    </row>
    <row r="26" ht="24" customHeight="1">
      <c r="A26" s="18">
        <f>IF(IF($B$2="下が前",21,20)&lt;=('入力シート'!$M$13),IF($B$2="下が前",21,20),"")</f>
        <v/>
      </c>
      <c r="B26" s="19">
        <f>IF($A26="","",IFERROR(INDEX('入力シート'!$A$2:$A$41,MATCH($A26,'入力シート'!$F$2:$F$41,0)),""))</f>
        <v/>
      </c>
      <c r="D26" s="18">
        <f>IF(IF($B$2="下が前",1,20)&lt;=(ROUNDUP('入力シート'!$M$13/2,0)),IF($B$2="下が前",1,20),"")</f>
        <v/>
      </c>
      <c r="E26" s="19">
        <f>IF($D26="","",IFERROR(INDEX('入力シート'!$A$2:$A$41,MATCH(($D26-1)*2+1,'入力シート'!$F$2:$F$41,0)),""))</f>
        <v/>
      </c>
      <c r="F26" s="19">
        <f>IF($D26="","",IFERROR(INDEX('入力シート'!$A$2:$A$41,MATCH(($D26-1)*2+2,'入力シート'!$F$2:$F$41,0)),""))</f>
        <v/>
      </c>
      <c r="H26" s="18">
        <f>IF(IF($B$2="下が前",6,20)&lt;=(MAX('入力シート'!$M$14,'入力シート'!$M$15)),IF($B$2="下が前",6,20),"")</f>
        <v/>
      </c>
      <c r="I26" s="19">
        <f>IF($H26="","",IFERROR(INDEX('入力シート'!$A$2:$A$41,MATCH("男"&amp;($H26),'入力シート'!$I$2:$I$41,0)),""))</f>
        <v/>
      </c>
      <c r="J26" s="19">
        <f>IF($H26="","",IFERROR(INDEX('入力シート'!$A$2:$A$41,MATCH("女"&amp;($H26),'入力シート'!$I$2:$I$41,0)),""))</f>
        <v/>
      </c>
    </row>
    <row r="27" ht="24" customHeight="1">
      <c r="A27" s="18">
        <f>IF(IF($B$2="下が前",20,21)&lt;=('入力シート'!$M$13),IF($B$2="下が前",20,21),"")</f>
        <v/>
      </c>
      <c r="B27" s="19">
        <f>IF($A27="","",IFERROR(INDEX('入力シート'!$A$2:$A$41,MATCH($A27,'入力シート'!$F$2:$F$41,0)),""))</f>
        <v/>
      </c>
      <c r="E27" s="15">
        <f>IF($B$2="下が前","前","後ろ")</f>
        <v/>
      </c>
      <c r="H27" s="18">
        <f>IF(IF($B$2="下が前",5,21)&lt;=(MAX('入力シート'!$M$14,'入力シート'!$M$15)),IF($B$2="下が前",5,21),"")</f>
        <v/>
      </c>
      <c r="I27" s="19">
        <f>IF($H27="","",IFERROR(INDEX('入力シート'!$A$2:$A$41,MATCH("男"&amp;($H27),'入力シート'!$I$2:$I$41,0)),""))</f>
        <v/>
      </c>
      <c r="J27" s="19">
        <f>IF($H27="","",IFERROR(INDEX('入力シート'!$A$2:$A$41,MATCH("女"&amp;($H27),'入力シート'!$I$2:$I$41,0)),""))</f>
        <v/>
      </c>
    </row>
    <row r="28" ht="24" customHeight="1">
      <c r="A28" s="18">
        <f>IF(IF($B$2="下が前",19,22)&lt;=('入力シート'!$M$13),IF($B$2="下が前",19,22),"")</f>
        <v/>
      </c>
      <c r="B28" s="19">
        <f>IF($A28="","",IFERROR(INDEX('入力シート'!$A$2:$A$41,MATCH($A28,'入力シート'!$F$2:$F$41,0)),""))</f>
        <v/>
      </c>
      <c r="D28" s="11">
        <f>IF((ROUNDUP('入力シート'!$M$13/2,0))&gt;20,"⚠ 入りきらない子がいます","")</f>
        <v/>
      </c>
      <c r="H28" s="18">
        <f>IF(IF($B$2="下が前",4,22)&lt;=(MAX('入力シート'!$M$14,'入力シート'!$M$15)),IF($B$2="下が前",4,22),"")</f>
        <v/>
      </c>
      <c r="I28" s="19">
        <f>IF($H28="","",IFERROR(INDEX('入力シート'!$A$2:$A$41,MATCH("男"&amp;($H28),'入力シート'!$I$2:$I$41,0)),""))</f>
        <v/>
      </c>
      <c r="J28" s="19">
        <f>IF($H28="","",IFERROR(INDEX('入力シート'!$A$2:$A$41,MATCH("女"&amp;($H28),'入力シート'!$I$2:$I$41,0)),""))</f>
        <v/>
      </c>
    </row>
    <row r="29" ht="24" customHeight="1">
      <c r="A29" s="18">
        <f>IF(IF($B$2="下が前",18,23)&lt;=('入力シート'!$M$13),IF($B$2="下が前",18,23),"")</f>
        <v/>
      </c>
      <c r="B29" s="19">
        <f>IF($A29="","",IFERROR(INDEX('入力シート'!$A$2:$A$41,MATCH($A29,'入力シート'!$F$2:$F$41,0)),""))</f>
        <v/>
      </c>
      <c r="H29" s="18">
        <f>IF(IF($B$2="下が前",3,23)&lt;=(MAX('入力シート'!$M$14,'入力シート'!$M$15)),IF($B$2="下が前",3,23),"")</f>
        <v/>
      </c>
      <c r="I29" s="19">
        <f>IF($H29="","",IFERROR(INDEX('入力シート'!$A$2:$A$41,MATCH("男"&amp;($H29),'入力シート'!$I$2:$I$41,0)),""))</f>
        <v/>
      </c>
      <c r="J29" s="19">
        <f>IF($H29="","",IFERROR(INDEX('入力シート'!$A$2:$A$41,MATCH("女"&amp;($H29),'入力シート'!$I$2:$I$41,0)),""))</f>
        <v/>
      </c>
    </row>
    <row r="30" ht="24" customHeight="1">
      <c r="A30" s="18">
        <f>IF(IF($B$2="下が前",17,24)&lt;=('入力シート'!$M$13),IF($B$2="下が前",17,24),"")</f>
        <v/>
      </c>
      <c r="B30" s="19">
        <f>IF($A30="","",IFERROR(INDEX('入力シート'!$A$2:$A$41,MATCH($A30,'入力シート'!$F$2:$F$41,0)),""))</f>
        <v/>
      </c>
      <c r="H30" s="18">
        <f>IF(IF($B$2="下が前",2,24)&lt;=(MAX('入力シート'!$M$14,'入力シート'!$M$15)),IF($B$2="下が前",2,24),"")</f>
        <v/>
      </c>
      <c r="I30" s="19">
        <f>IF($H30="","",IFERROR(INDEX('入力シート'!$A$2:$A$41,MATCH("男"&amp;($H30),'入力シート'!$I$2:$I$41,0)),""))</f>
        <v/>
      </c>
      <c r="J30" s="19">
        <f>IF($H30="","",IFERROR(INDEX('入力シート'!$A$2:$A$41,MATCH("女"&amp;($H30),'入力シート'!$I$2:$I$41,0)),""))</f>
        <v/>
      </c>
    </row>
    <row r="31" ht="24" customHeight="1">
      <c r="A31" s="18">
        <f>IF(IF($B$2="下が前",16,25)&lt;=('入力シート'!$M$13),IF($B$2="下が前",16,25),"")</f>
        <v/>
      </c>
      <c r="B31" s="19">
        <f>IF($A31="","",IFERROR(INDEX('入力シート'!$A$2:$A$41,MATCH($A31,'入力シート'!$F$2:$F$41,0)),""))</f>
        <v/>
      </c>
      <c r="H31" s="18">
        <f>IF(IF($B$2="下が前",1,25)&lt;=(MAX('入力シート'!$M$14,'入力シート'!$M$15)),IF($B$2="下が前",1,25),"")</f>
        <v/>
      </c>
      <c r="I31" s="19">
        <f>IF($H31="","",IFERROR(INDEX('入力シート'!$A$2:$A$41,MATCH("男"&amp;($H31),'入力シート'!$I$2:$I$41,0)),""))</f>
        <v/>
      </c>
      <c r="J31" s="19">
        <f>IF($H31="","",IFERROR(INDEX('入力シート'!$A$2:$A$41,MATCH("女"&amp;($H31),'入力シート'!$I$2:$I$41,0)),""))</f>
        <v/>
      </c>
    </row>
    <row r="32" ht="24" customHeight="1">
      <c r="A32" s="18">
        <f>IF(IF($B$2="下が前",15,26)&lt;=('入力シート'!$M$13),IF($B$2="下が前",15,26),"")</f>
        <v/>
      </c>
      <c r="B32" s="19">
        <f>IF($A32="","",IFERROR(INDEX('入力シート'!$A$2:$A$41,MATCH($A32,'入力シート'!$F$2:$F$41,0)),""))</f>
        <v/>
      </c>
      <c r="I32" s="15">
        <f>IF($B$2="下が前","前","後ろ")</f>
        <v/>
      </c>
    </row>
    <row r="33" ht="24" customHeight="1">
      <c r="A33" s="18">
        <f>IF(IF($B$2="下が前",14,27)&lt;=('入力シート'!$M$13),IF($B$2="下が前",14,27),"")</f>
        <v/>
      </c>
      <c r="B33" s="19">
        <f>IF($A33="","",IFERROR(INDEX('入力シート'!$A$2:$A$41,MATCH($A33,'入力シート'!$F$2:$F$41,0)),""))</f>
        <v/>
      </c>
      <c r="H33" s="11">
        <f>IF((MAX('入力シート'!$M$14,'入力シート'!$M$15))&gt;25,"⚠ 入りきらない子がいます","")&amp;IF('入力シート'!$M$16&gt;0,"⚠ 男女が未入力の子："&amp;'入力シート'!$M$16&amp;"人","")</f>
        <v/>
      </c>
    </row>
    <row r="34" ht="24" customHeight="1">
      <c r="A34" s="18">
        <f>IF(IF($B$2="下が前",13,28)&lt;=('入力シート'!$M$13),IF($B$2="下が前",13,28),"")</f>
        <v/>
      </c>
      <c r="B34" s="19">
        <f>IF($A34="","",IFERROR(INDEX('入力シート'!$A$2:$A$41,MATCH($A34,'入力シート'!$F$2:$F$41,0)),""))</f>
        <v/>
      </c>
    </row>
    <row r="35" ht="24" customHeight="1">
      <c r="A35" s="18">
        <f>IF(IF($B$2="下が前",12,29)&lt;=('入力シート'!$M$13),IF($B$2="下が前",12,29),"")</f>
        <v/>
      </c>
      <c r="B35" s="19">
        <f>IF($A35="","",IFERROR(INDEX('入力シート'!$A$2:$A$41,MATCH($A35,'入力シート'!$F$2:$F$41,0)),""))</f>
        <v/>
      </c>
    </row>
    <row r="36" ht="24" customHeight="1">
      <c r="A36" s="18">
        <f>IF(IF($B$2="下が前",11,30)&lt;=('入力シート'!$M$13),IF($B$2="下が前",11,30),"")</f>
        <v/>
      </c>
      <c r="B36" s="19">
        <f>IF($A36="","",IFERROR(INDEX('入力シート'!$A$2:$A$41,MATCH($A36,'入力シート'!$F$2:$F$41,0)),""))</f>
        <v/>
      </c>
    </row>
    <row r="37" ht="24" customHeight="1">
      <c r="A37" s="18">
        <f>IF(IF($B$2="下が前",10,31)&lt;=('入力シート'!$M$13),IF($B$2="下が前",10,31),"")</f>
        <v/>
      </c>
      <c r="B37" s="19">
        <f>IF($A37="","",IFERROR(INDEX('入力シート'!$A$2:$A$41,MATCH($A37,'入力シート'!$F$2:$F$41,0)),""))</f>
        <v/>
      </c>
    </row>
    <row r="38" ht="24" customHeight="1">
      <c r="A38" s="18">
        <f>IF(IF($B$2="下が前",9,32)&lt;=('入力シート'!$M$13),IF($B$2="下が前",9,32),"")</f>
        <v/>
      </c>
      <c r="B38" s="19">
        <f>IF($A38="","",IFERROR(INDEX('入力シート'!$A$2:$A$41,MATCH($A38,'入力シート'!$F$2:$F$41,0)),""))</f>
        <v/>
      </c>
    </row>
    <row r="39" ht="24" customHeight="1">
      <c r="A39" s="18">
        <f>IF(IF($B$2="下が前",8,33)&lt;=('入力シート'!$M$13),IF($B$2="下が前",8,33),"")</f>
        <v/>
      </c>
      <c r="B39" s="19">
        <f>IF($A39="","",IFERROR(INDEX('入力シート'!$A$2:$A$41,MATCH($A39,'入力シート'!$F$2:$F$41,0)),""))</f>
        <v/>
      </c>
    </row>
    <row r="40" ht="24" customHeight="1">
      <c r="A40" s="18">
        <f>IF(IF($B$2="下が前",7,34)&lt;=('入力シート'!$M$13),IF($B$2="下が前",7,34),"")</f>
        <v/>
      </c>
      <c r="B40" s="19">
        <f>IF($A40="","",IFERROR(INDEX('入力シート'!$A$2:$A$41,MATCH($A40,'入力シート'!$F$2:$F$41,0)),""))</f>
        <v/>
      </c>
    </row>
    <row r="41" ht="24" customHeight="1">
      <c r="A41" s="18">
        <f>IF(IF($B$2="下が前",6,35)&lt;=('入力シート'!$M$13),IF($B$2="下が前",6,35),"")</f>
        <v/>
      </c>
      <c r="B41" s="19">
        <f>IF($A41="","",IFERROR(INDEX('入力シート'!$A$2:$A$41,MATCH($A41,'入力シート'!$F$2:$F$41,0)),""))</f>
        <v/>
      </c>
    </row>
    <row r="42" ht="24" customHeight="1">
      <c r="A42" s="18">
        <f>IF(IF($B$2="下が前",5,36)&lt;=('入力シート'!$M$13),IF($B$2="下が前",5,36),"")</f>
        <v/>
      </c>
      <c r="B42" s="19">
        <f>IF($A42="","",IFERROR(INDEX('入力シート'!$A$2:$A$41,MATCH($A42,'入力シート'!$F$2:$F$41,0)),""))</f>
        <v/>
      </c>
    </row>
    <row r="43" ht="24" customHeight="1">
      <c r="A43" s="18">
        <f>IF(IF($B$2="下が前",4,37)&lt;=('入力シート'!$M$13),IF($B$2="下が前",4,37),"")</f>
        <v/>
      </c>
      <c r="B43" s="19">
        <f>IF($A43="","",IFERROR(INDEX('入力シート'!$A$2:$A$41,MATCH($A43,'入力シート'!$F$2:$F$41,0)),""))</f>
        <v/>
      </c>
    </row>
    <row r="44" ht="24" customHeight="1">
      <c r="A44" s="18">
        <f>IF(IF($B$2="下が前",3,38)&lt;=('入力シート'!$M$13),IF($B$2="下が前",3,38),"")</f>
        <v/>
      </c>
      <c r="B44" s="19">
        <f>IF($A44="","",IFERROR(INDEX('入力シート'!$A$2:$A$41,MATCH($A44,'入力シート'!$F$2:$F$41,0)),""))</f>
        <v/>
      </c>
    </row>
    <row r="45" ht="24" customHeight="1">
      <c r="A45" s="18">
        <f>IF(IF($B$2="下が前",2,39)&lt;=('入力シート'!$M$13),IF($B$2="下が前",2,39),"")</f>
        <v/>
      </c>
      <c r="B45" s="19">
        <f>IF($A45="","",IFERROR(INDEX('入力シート'!$A$2:$A$41,MATCH($A45,'入力シート'!$F$2:$F$41,0)),""))</f>
        <v/>
      </c>
    </row>
    <row r="46" ht="24" customHeight="1">
      <c r="A46" s="18">
        <f>IF(IF($B$2="下が前",1,40)&lt;=('入力シート'!$M$13),IF($B$2="下が前",1,40),"")</f>
        <v/>
      </c>
      <c r="B46" s="19">
        <f>IF($A46="","",IFERROR(INDEX('入力シート'!$A$2:$A$41,MATCH($A46,'入力シート'!$F$2:$F$41,0)),""))</f>
        <v/>
      </c>
    </row>
    <row r="47">
      <c r="B47" s="15">
        <f>IF($B$2="下が前","前","後ろ")</f>
        <v/>
      </c>
    </row>
    <row r="48">
      <c r="A48" s="11">
        <f>IF(('入力シート'!$M$13)&gt;40,"⚠ 入りきらない子がいます","")</f>
        <v/>
      </c>
    </row>
  </sheetData>
  <mergeCells count="6">
    <mergeCell ref="I32:J32"/>
    <mergeCell ref="E27:F27"/>
    <mergeCell ref="E5:F5"/>
    <mergeCell ref="B47"/>
    <mergeCell ref="I5:J5"/>
    <mergeCell ref="B5"/>
  </mergeCells>
  <conditionalFormatting sqref="B7:B46">
    <cfRule type="expression" priority="1" dxfId="0">
      <formula>B7&lt;&gt;""</formula>
    </cfRule>
  </conditionalFormatting>
  <conditionalFormatting sqref="E7:F26">
    <cfRule type="expression" priority="2" dxfId="0">
      <formula>E7&lt;&gt;""</formula>
    </cfRule>
  </conditionalFormatting>
  <conditionalFormatting sqref="I7:J31">
    <cfRule type="expression" priority="3" dxfId="0">
      <formula>I7&lt;&gt;""</formula>
    </cfRule>
  </conditionalFormatting>
  <dataValidations count="1">
    <dataValidation sqref="B2" showDropDown="0" showInputMessage="0" showErrorMessage="1" allowBlank="0" type="list">
      <formula1>"上が前,下が前"</formula1>
    </dataValidation>
  </dataValidations>
  <printOptions horizontalCentered="1"/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4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</cols>
  <sheetData>
    <row r="1">
      <c r="A1" s="12" t="inlineStr">
        <is>
          <t>背の順　4列</t>
        </is>
      </c>
    </row>
    <row r="2">
      <c r="A2" s="10" t="inlineStr">
        <is>
          <t>前の向き</t>
        </is>
      </c>
      <c r="B2" s="13" t="inlineStr">
        <is>
          <t>上が前</t>
        </is>
      </c>
      <c r="C2" s="14" t="inlineStr">
        <is>
          <t>← 「上が前」「下が前」を選べます</t>
        </is>
      </c>
    </row>
    <row r="4">
      <c r="A4" s="2" t="inlineStr">
        <is>
          <t>4列①　横に順番（1・2・3・4／5・6・7・8）</t>
        </is>
      </c>
      <c r="G4" s="2" t="inlineStr">
        <is>
          <t>4列②　蛇腹方式（1・2・3・4／8・7・6・5）</t>
        </is>
      </c>
    </row>
    <row r="5">
      <c r="B5" s="15">
        <f>IF($B$2="下が前","後ろ","前")</f>
        <v/>
      </c>
      <c r="H5" s="15">
        <f>IF($B$2="下が前","後ろ","前")</f>
        <v/>
      </c>
    </row>
    <row r="7" ht="24" customHeight="1">
      <c r="A7" s="18">
        <f>IF(IF($B$2="下が前",10,1)&lt;=(ROUNDUP('入力シート'!$M$13/4,0)),IF($B$2="下が前",10,1),"")</f>
        <v/>
      </c>
      <c r="B7" s="20">
        <f>IF($A7="","",IFERROR(INDEX('入力シート'!$A$2:$A$41,MATCH(($A7-1)*4+1,'入力シート'!$F$2:$F$41,0)),""))</f>
        <v/>
      </c>
      <c r="C7" s="20">
        <f>IF($A7="","",IFERROR(INDEX('入力シート'!$A$2:$A$41,MATCH(($A7-1)*4+2,'入力シート'!$F$2:$F$41,0)),""))</f>
        <v/>
      </c>
      <c r="D7" s="20">
        <f>IF($A7="","",IFERROR(INDEX('入力シート'!$A$2:$A$41,MATCH(($A7-1)*4+3,'入力シート'!$F$2:$F$41,0)),""))</f>
        <v/>
      </c>
      <c r="E7" s="20">
        <f>IF($A7="","",IFERROR(INDEX('入力シート'!$A$2:$A$41,MATCH(($A7-1)*4+4,'入力シート'!$F$2:$F$41,0)),""))</f>
        <v/>
      </c>
      <c r="G7" s="18">
        <f>IF(IF($B$2="下が前",10,1)&lt;=(ROUNDUP('入力シート'!$M$13/4,0)),IF($B$2="下が前",10,1),"")</f>
        <v/>
      </c>
      <c r="H7" s="20">
        <f>IF($G7="","",IFERROR(INDEX('入力シート'!$A$2:$A$41,MATCH(IF(MOD($G7,2)=1,($G7-1)*4+1,($G7-1)*4+4),'入力シート'!$F$2:$F$41,0)),""))</f>
        <v/>
      </c>
      <c r="I7" s="20">
        <f>IF($G7="","",IFERROR(INDEX('入力シート'!$A$2:$A$41,MATCH(IF(MOD($G7,2)=1,($G7-1)*4+2,($G7-1)*4+3),'入力シート'!$F$2:$F$41,0)),""))</f>
        <v/>
      </c>
      <c r="J7" s="20">
        <f>IF($G7="","",IFERROR(INDEX('入力シート'!$A$2:$A$41,MATCH(IF(MOD($G7,2)=1,($G7-1)*4+3,($G7-1)*4+2),'入力シート'!$F$2:$F$41,0)),""))</f>
        <v/>
      </c>
      <c r="K7" s="20">
        <f>IF($G7="","",IFERROR(INDEX('入力シート'!$A$2:$A$41,MATCH(IF(MOD($G7,2)=1,($G7-1)*4+4,($G7-1)*4+1),'入力シート'!$F$2:$F$41,0)),""))</f>
        <v/>
      </c>
    </row>
    <row r="8" ht="24" customHeight="1">
      <c r="A8" s="18">
        <f>IF(IF($B$2="下が前",9,2)&lt;=(ROUNDUP('入力シート'!$M$13/4,0)),IF($B$2="下が前",9,2),"")</f>
        <v/>
      </c>
      <c r="B8" s="20">
        <f>IF($A8="","",IFERROR(INDEX('入力シート'!$A$2:$A$41,MATCH(($A8-1)*4+1,'入力シート'!$F$2:$F$41,0)),""))</f>
        <v/>
      </c>
      <c r="C8" s="20">
        <f>IF($A8="","",IFERROR(INDEX('入力シート'!$A$2:$A$41,MATCH(($A8-1)*4+2,'入力シート'!$F$2:$F$41,0)),""))</f>
        <v/>
      </c>
      <c r="D8" s="20">
        <f>IF($A8="","",IFERROR(INDEX('入力シート'!$A$2:$A$41,MATCH(($A8-1)*4+3,'入力シート'!$F$2:$F$41,0)),""))</f>
        <v/>
      </c>
      <c r="E8" s="20">
        <f>IF($A8="","",IFERROR(INDEX('入力シート'!$A$2:$A$41,MATCH(($A8-1)*4+4,'入力シート'!$F$2:$F$41,0)),""))</f>
        <v/>
      </c>
      <c r="G8" s="18">
        <f>IF(IF($B$2="下が前",9,2)&lt;=(ROUNDUP('入力シート'!$M$13/4,0)),IF($B$2="下が前",9,2),"")</f>
        <v/>
      </c>
      <c r="H8" s="20">
        <f>IF($G8="","",IFERROR(INDEX('入力シート'!$A$2:$A$41,MATCH(IF(MOD($G8,2)=1,($G8-1)*4+1,($G8-1)*4+4),'入力シート'!$F$2:$F$41,0)),""))</f>
        <v/>
      </c>
      <c r="I8" s="20">
        <f>IF($G8="","",IFERROR(INDEX('入力シート'!$A$2:$A$41,MATCH(IF(MOD($G8,2)=1,($G8-1)*4+2,($G8-1)*4+3),'入力シート'!$F$2:$F$41,0)),""))</f>
        <v/>
      </c>
      <c r="J8" s="20">
        <f>IF($G8="","",IFERROR(INDEX('入力シート'!$A$2:$A$41,MATCH(IF(MOD($G8,2)=1,($G8-1)*4+3,($G8-1)*4+2),'入力シート'!$F$2:$F$41,0)),""))</f>
        <v/>
      </c>
      <c r="K8" s="20">
        <f>IF($G8="","",IFERROR(INDEX('入力シート'!$A$2:$A$41,MATCH(IF(MOD($G8,2)=1,($G8-1)*4+4,($G8-1)*4+1),'入力シート'!$F$2:$F$41,0)),""))</f>
        <v/>
      </c>
    </row>
    <row r="9" ht="24" customHeight="1">
      <c r="A9" s="18">
        <f>IF(IF($B$2="下が前",8,3)&lt;=(ROUNDUP('入力シート'!$M$13/4,0)),IF($B$2="下が前",8,3),"")</f>
        <v/>
      </c>
      <c r="B9" s="20">
        <f>IF($A9="","",IFERROR(INDEX('入力シート'!$A$2:$A$41,MATCH(($A9-1)*4+1,'入力シート'!$F$2:$F$41,0)),""))</f>
        <v/>
      </c>
      <c r="C9" s="20">
        <f>IF($A9="","",IFERROR(INDEX('入力シート'!$A$2:$A$41,MATCH(($A9-1)*4+2,'入力シート'!$F$2:$F$41,0)),""))</f>
        <v/>
      </c>
      <c r="D9" s="20">
        <f>IF($A9="","",IFERROR(INDEX('入力シート'!$A$2:$A$41,MATCH(($A9-1)*4+3,'入力シート'!$F$2:$F$41,0)),""))</f>
        <v/>
      </c>
      <c r="E9" s="20">
        <f>IF($A9="","",IFERROR(INDEX('入力シート'!$A$2:$A$41,MATCH(($A9-1)*4+4,'入力シート'!$F$2:$F$41,0)),""))</f>
        <v/>
      </c>
      <c r="G9" s="18">
        <f>IF(IF($B$2="下が前",8,3)&lt;=(ROUNDUP('入力シート'!$M$13/4,0)),IF($B$2="下が前",8,3),"")</f>
        <v/>
      </c>
      <c r="H9" s="20">
        <f>IF($G9="","",IFERROR(INDEX('入力シート'!$A$2:$A$41,MATCH(IF(MOD($G9,2)=1,($G9-1)*4+1,($G9-1)*4+4),'入力シート'!$F$2:$F$41,0)),""))</f>
        <v/>
      </c>
      <c r="I9" s="20">
        <f>IF($G9="","",IFERROR(INDEX('入力シート'!$A$2:$A$41,MATCH(IF(MOD($G9,2)=1,($G9-1)*4+2,($G9-1)*4+3),'入力シート'!$F$2:$F$41,0)),""))</f>
        <v/>
      </c>
      <c r="J9" s="20">
        <f>IF($G9="","",IFERROR(INDEX('入力シート'!$A$2:$A$41,MATCH(IF(MOD($G9,2)=1,($G9-1)*4+3,($G9-1)*4+2),'入力シート'!$F$2:$F$41,0)),""))</f>
        <v/>
      </c>
      <c r="K9" s="20">
        <f>IF($G9="","",IFERROR(INDEX('入力シート'!$A$2:$A$41,MATCH(IF(MOD($G9,2)=1,($G9-1)*4+4,($G9-1)*4+1),'入力シート'!$F$2:$F$41,0)),""))</f>
        <v/>
      </c>
    </row>
    <row r="10" ht="24" customHeight="1">
      <c r="A10" s="18">
        <f>IF(IF($B$2="下が前",7,4)&lt;=(ROUNDUP('入力シート'!$M$13/4,0)),IF($B$2="下が前",7,4),"")</f>
        <v/>
      </c>
      <c r="B10" s="20">
        <f>IF($A10="","",IFERROR(INDEX('入力シート'!$A$2:$A$41,MATCH(($A10-1)*4+1,'入力シート'!$F$2:$F$41,0)),""))</f>
        <v/>
      </c>
      <c r="C10" s="20">
        <f>IF($A10="","",IFERROR(INDEX('入力シート'!$A$2:$A$41,MATCH(($A10-1)*4+2,'入力シート'!$F$2:$F$41,0)),""))</f>
        <v/>
      </c>
      <c r="D10" s="20">
        <f>IF($A10="","",IFERROR(INDEX('入力シート'!$A$2:$A$41,MATCH(($A10-1)*4+3,'入力シート'!$F$2:$F$41,0)),""))</f>
        <v/>
      </c>
      <c r="E10" s="20">
        <f>IF($A10="","",IFERROR(INDEX('入力シート'!$A$2:$A$41,MATCH(($A10-1)*4+4,'入力シート'!$F$2:$F$41,0)),""))</f>
        <v/>
      </c>
      <c r="G10" s="18">
        <f>IF(IF($B$2="下が前",7,4)&lt;=(ROUNDUP('入力シート'!$M$13/4,0)),IF($B$2="下が前",7,4),"")</f>
        <v/>
      </c>
      <c r="H10" s="20">
        <f>IF($G10="","",IFERROR(INDEX('入力シート'!$A$2:$A$41,MATCH(IF(MOD($G10,2)=1,($G10-1)*4+1,($G10-1)*4+4),'入力シート'!$F$2:$F$41,0)),""))</f>
        <v/>
      </c>
      <c r="I10" s="20">
        <f>IF($G10="","",IFERROR(INDEX('入力シート'!$A$2:$A$41,MATCH(IF(MOD($G10,2)=1,($G10-1)*4+2,($G10-1)*4+3),'入力シート'!$F$2:$F$41,0)),""))</f>
        <v/>
      </c>
      <c r="J10" s="20">
        <f>IF($G10="","",IFERROR(INDEX('入力シート'!$A$2:$A$41,MATCH(IF(MOD($G10,2)=1,($G10-1)*4+3,($G10-1)*4+2),'入力シート'!$F$2:$F$41,0)),""))</f>
        <v/>
      </c>
      <c r="K10" s="20">
        <f>IF($G10="","",IFERROR(INDEX('入力シート'!$A$2:$A$41,MATCH(IF(MOD($G10,2)=1,($G10-1)*4+4,($G10-1)*4+1),'入力シート'!$F$2:$F$41,0)),""))</f>
        <v/>
      </c>
    </row>
    <row r="11" ht="24" customHeight="1">
      <c r="A11" s="18">
        <f>IF(IF($B$2="下が前",6,5)&lt;=(ROUNDUP('入力シート'!$M$13/4,0)),IF($B$2="下が前",6,5),"")</f>
        <v/>
      </c>
      <c r="B11" s="20">
        <f>IF($A11="","",IFERROR(INDEX('入力シート'!$A$2:$A$41,MATCH(($A11-1)*4+1,'入力シート'!$F$2:$F$41,0)),""))</f>
        <v/>
      </c>
      <c r="C11" s="20">
        <f>IF($A11="","",IFERROR(INDEX('入力シート'!$A$2:$A$41,MATCH(($A11-1)*4+2,'入力シート'!$F$2:$F$41,0)),""))</f>
        <v/>
      </c>
      <c r="D11" s="20">
        <f>IF($A11="","",IFERROR(INDEX('入力シート'!$A$2:$A$41,MATCH(($A11-1)*4+3,'入力シート'!$F$2:$F$41,0)),""))</f>
        <v/>
      </c>
      <c r="E11" s="20">
        <f>IF($A11="","",IFERROR(INDEX('入力シート'!$A$2:$A$41,MATCH(($A11-1)*4+4,'入力シート'!$F$2:$F$41,0)),""))</f>
        <v/>
      </c>
      <c r="G11" s="18">
        <f>IF(IF($B$2="下が前",6,5)&lt;=(ROUNDUP('入力シート'!$M$13/4,0)),IF($B$2="下が前",6,5),"")</f>
        <v/>
      </c>
      <c r="H11" s="20">
        <f>IF($G11="","",IFERROR(INDEX('入力シート'!$A$2:$A$41,MATCH(IF(MOD($G11,2)=1,($G11-1)*4+1,($G11-1)*4+4),'入力シート'!$F$2:$F$41,0)),""))</f>
        <v/>
      </c>
      <c r="I11" s="20">
        <f>IF($G11="","",IFERROR(INDEX('入力シート'!$A$2:$A$41,MATCH(IF(MOD($G11,2)=1,($G11-1)*4+2,($G11-1)*4+3),'入力シート'!$F$2:$F$41,0)),""))</f>
        <v/>
      </c>
      <c r="J11" s="20">
        <f>IF($G11="","",IFERROR(INDEX('入力シート'!$A$2:$A$41,MATCH(IF(MOD($G11,2)=1,($G11-1)*4+3,($G11-1)*4+2),'入力シート'!$F$2:$F$41,0)),""))</f>
        <v/>
      </c>
      <c r="K11" s="20">
        <f>IF($G11="","",IFERROR(INDEX('入力シート'!$A$2:$A$41,MATCH(IF(MOD($G11,2)=1,($G11-1)*4+4,($G11-1)*4+1),'入力シート'!$F$2:$F$41,0)),""))</f>
        <v/>
      </c>
    </row>
    <row r="12" ht="24" customHeight="1">
      <c r="A12" s="18">
        <f>IF(IF($B$2="下が前",5,6)&lt;=(ROUNDUP('入力シート'!$M$13/4,0)),IF($B$2="下が前",5,6),"")</f>
        <v/>
      </c>
      <c r="B12" s="20">
        <f>IF($A12="","",IFERROR(INDEX('入力シート'!$A$2:$A$41,MATCH(($A12-1)*4+1,'入力シート'!$F$2:$F$41,0)),""))</f>
        <v/>
      </c>
      <c r="C12" s="20">
        <f>IF($A12="","",IFERROR(INDEX('入力シート'!$A$2:$A$41,MATCH(($A12-1)*4+2,'入力シート'!$F$2:$F$41,0)),""))</f>
        <v/>
      </c>
      <c r="D12" s="20">
        <f>IF($A12="","",IFERROR(INDEX('入力シート'!$A$2:$A$41,MATCH(($A12-1)*4+3,'入力シート'!$F$2:$F$41,0)),""))</f>
        <v/>
      </c>
      <c r="E12" s="20">
        <f>IF($A12="","",IFERROR(INDEX('入力シート'!$A$2:$A$41,MATCH(($A12-1)*4+4,'入力シート'!$F$2:$F$41,0)),""))</f>
        <v/>
      </c>
      <c r="G12" s="18">
        <f>IF(IF($B$2="下が前",5,6)&lt;=(ROUNDUP('入力シート'!$M$13/4,0)),IF($B$2="下が前",5,6),"")</f>
        <v/>
      </c>
      <c r="H12" s="20">
        <f>IF($G12="","",IFERROR(INDEX('入力シート'!$A$2:$A$41,MATCH(IF(MOD($G12,2)=1,($G12-1)*4+1,($G12-1)*4+4),'入力シート'!$F$2:$F$41,0)),""))</f>
        <v/>
      </c>
      <c r="I12" s="20">
        <f>IF($G12="","",IFERROR(INDEX('入力シート'!$A$2:$A$41,MATCH(IF(MOD($G12,2)=1,($G12-1)*4+2,($G12-1)*4+3),'入力シート'!$F$2:$F$41,0)),""))</f>
        <v/>
      </c>
      <c r="J12" s="20">
        <f>IF($G12="","",IFERROR(INDEX('入力シート'!$A$2:$A$41,MATCH(IF(MOD($G12,2)=1,($G12-1)*4+3,($G12-1)*4+2),'入力シート'!$F$2:$F$41,0)),""))</f>
        <v/>
      </c>
      <c r="K12" s="20">
        <f>IF($G12="","",IFERROR(INDEX('入力シート'!$A$2:$A$41,MATCH(IF(MOD($G12,2)=1,($G12-1)*4+4,($G12-1)*4+1),'入力シート'!$F$2:$F$41,0)),""))</f>
        <v/>
      </c>
    </row>
    <row r="13" ht="24" customHeight="1">
      <c r="A13" s="18">
        <f>IF(IF($B$2="下が前",4,7)&lt;=(ROUNDUP('入力シート'!$M$13/4,0)),IF($B$2="下が前",4,7),"")</f>
        <v/>
      </c>
      <c r="B13" s="20">
        <f>IF($A13="","",IFERROR(INDEX('入力シート'!$A$2:$A$41,MATCH(($A13-1)*4+1,'入力シート'!$F$2:$F$41,0)),""))</f>
        <v/>
      </c>
      <c r="C13" s="20">
        <f>IF($A13="","",IFERROR(INDEX('入力シート'!$A$2:$A$41,MATCH(($A13-1)*4+2,'入力シート'!$F$2:$F$41,0)),""))</f>
        <v/>
      </c>
      <c r="D13" s="20">
        <f>IF($A13="","",IFERROR(INDEX('入力シート'!$A$2:$A$41,MATCH(($A13-1)*4+3,'入力シート'!$F$2:$F$41,0)),""))</f>
        <v/>
      </c>
      <c r="E13" s="20">
        <f>IF($A13="","",IFERROR(INDEX('入力シート'!$A$2:$A$41,MATCH(($A13-1)*4+4,'入力シート'!$F$2:$F$41,0)),""))</f>
        <v/>
      </c>
      <c r="G13" s="18">
        <f>IF(IF($B$2="下が前",4,7)&lt;=(ROUNDUP('入力シート'!$M$13/4,0)),IF($B$2="下が前",4,7),"")</f>
        <v/>
      </c>
      <c r="H13" s="20">
        <f>IF($G13="","",IFERROR(INDEX('入力シート'!$A$2:$A$41,MATCH(IF(MOD($G13,2)=1,($G13-1)*4+1,($G13-1)*4+4),'入力シート'!$F$2:$F$41,0)),""))</f>
        <v/>
      </c>
      <c r="I13" s="20">
        <f>IF($G13="","",IFERROR(INDEX('入力シート'!$A$2:$A$41,MATCH(IF(MOD($G13,2)=1,($G13-1)*4+2,($G13-1)*4+3),'入力シート'!$F$2:$F$41,0)),""))</f>
        <v/>
      </c>
      <c r="J13" s="20">
        <f>IF($G13="","",IFERROR(INDEX('入力シート'!$A$2:$A$41,MATCH(IF(MOD($G13,2)=1,($G13-1)*4+3,($G13-1)*4+2),'入力シート'!$F$2:$F$41,0)),""))</f>
        <v/>
      </c>
      <c r="K13" s="20">
        <f>IF($G13="","",IFERROR(INDEX('入力シート'!$A$2:$A$41,MATCH(IF(MOD($G13,2)=1,($G13-1)*4+4,($G13-1)*4+1),'入力シート'!$F$2:$F$41,0)),""))</f>
        <v/>
      </c>
    </row>
    <row r="14" ht="24" customHeight="1">
      <c r="A14" s="18">
        <f>IF(IF($B$2="下が前",3,8)&lt;=(ROUNDUP('入力シート'!$M$13/4,0)),IF($B$2="下が前",3,8),"")</f>
        <v/>
      </c>
      <c r="B14" s="20">
        <f>IF($A14="","",IFERROR(INDEX('入力シート'!$A$2:$A$41,MATCH(($A14-1)*4+1,'入力シート'!$F$2:$F$41,0)),""))</f>
        <v/>
      </c>
      <c r="C14" s="20">
        <f>IF($A14="","",IFERROR(INDEX('入力シート'!$A$2:$A$41,MATCH(($A14-1)*4+2,'入力シート'!$F$2:$F$41,0)),""))</f>
        <v/>
      </c>
      <c r="D14" s="20">
        <f>IF($A14="","",IFERROR(INDEX('入力シート'!$A$2:$A$41,MATCH(($A14-1)*4+3,'入力シート'!$F$2:$F$41,0)),""))</f>
        <v/>
      </c>
      <c r="E14" s="20">
        <f>IF($A14="","",IFERROR(INDEX('入力シート'!$A$2:$A$41,MATCH(($A14-1)*4+4,'入力シート'!$F$2:$F$41,0)),""))</f>
        <v/>
      </c>
      <c r="G14" s="18">
        <f>IF(IF($B$2="下が前",3,8)&lt;=(ROUNDUP('入力シート'!$M$13/4,0)),IF($B$2="下が前",3,8),"")</f>
        <v/>
      </c>
      <c r="H14" s="20">
        <f>IF($G14="","",IFERROR(INDEX('入力シート'!$A$2:$A$41,MATCH(IF(MOD($G14,2)=1,($G14-1)*4+1,($G14-1)*4+4),'入力シート'!$F$2:$F$41,0)),""))</f>
        <v/>
      </c>
      <c r="I14" s="20">
        <f>IF($G14="","",IFERROR(INDEX('入力シート'!$A$2:$A$41,MATCH(IF(MOD($G14,2)=1,($G14-1)*4+2,($G14-1)*4+3),'入力シート'!$F$2:$F$41,0)),""))</f>
        <v/>
      </c>
      <c r="J14" s="20">
        <f>IF($G14="","",IFERROR(INDEX('入力シート'!$A$2:$A$41,MATCH(IF(MOD($G14,2)=1,($G14-1)*4+3,($G14-1)*4+2),'入力シート'!$F$2:$F$41,0)),""))</f>
        <v/>
      </c>
      <c r="K14" s="20">
        <f>IF($G14="","",IFERROR(INDEX('入力シート'!$A$2:$A$41,MATCH(IF(MOD($G14,2)=1,($G14-1)*4+4,($G14-1)*4+1),'入力シート'!$F$2:$F$41,0)),""))</f>
        <v/>
      </c>
    </row>
    <row r="15" ht="24" customHeight="1">
      <c r="A15" s="18">
        <f>IF(IF($B$2="下が前",2,9)&lt;=(ROUNDUP('入力シート'!$M$13/4,0)),IF($B$2="下が前",2,9),"")</f>
        <v/>
      </c>
      <c r="B15" s="20">
        <f>IF($A15="","",IFERROR(INDEX('入力シート'!$A$2:$A$41,MATCH(($A15-1)*4+1,'入力シート'!$F$2:$F$41,0)),""))</f>
        <v/>
      </c>
      <c r="C15" s="20">
        <f>IF($A15="","",IFERROR(INDEX('入力シート'!$A$2:$A$41,MATCH(($A15-1)*4+2,'入力シート'!$F$2:$F$41,0)),""))</f>
        <v/>
      </c>
      <c r="D15" s="20">
        <f>IF($A15="","",IFERROR(INDEX('入力シート'!$A$2:$A$41,MATCH(($A15-1)*4+3,'入力シート'!$F$2:$F$41,0)),""))</f>
        <v/>
      </c>
      <c r="E15" s="20">
        <f>IF($A15="","",IFERROR(INDEX('入力シート'!$A$2:$A$41,MATCH(($A15-1)*4+4,'入力シート'!$F$2:$F$41,0)),""))</f>
        <v/>
      </c>
      <c r="G15" s="18">
        <f>IF(IF($B$2="下が前",2,9)&lt;=(ROUNDUP('入力シート'!$M$13/4,0)),IF($B$2="下が前",2,9),"")</f>
        <v/>
      </c>
      <c r="H15" s="20">
        <f>IF($G15="","",IFERROR(INDEX('入力シート'!$A$2:$A$41,MATCH(IF(MOD($G15,2)=1,($G15-1)*4+1,($G15-1)*4+4),'入力シート'!$F$2:$F$41,0)),""))</f>
        <v/>
      </c>
      <c r="I15" s="20">
        <f>IF($G15="","",IFERROR(INDEX('入力シート'!$A$2:$A$41,MATCH(IF(MOD($G15,2)=1,($G15-1)*4+2,($G15-1)*4+3),'入力シート'!$F$2:$F$41,0)),""))</f>
        <v/>
      </c>
      <c r="J15" s="20">
        <f>IF($G15="","",IFERROR(INDEX('入力シート'!$A$2:$A$41,MATCH(IF(MOD($G15,2)=1,($G15-1)*4+3,($G15-1)*4+2),'入力シート'!$F$2:$F$41,0)),""))</f>
        <v/>
      </c>
      <c r="K15" s="20">
        <f>IF($G15="","",IFERROR(INDEX('入力シート'!$A$2:$A$41,MATCH(IF(MOD($G15,2)=1,($G15-1)*4+4,($G15-1)*4+1),'入力シート'!$F$2:$F$41,0)),""))</f>
        <v/>
      </c>
    </row>
    <row r="16" ht="24" customHeight="1">
      <c r="A16" s="18">
        <f>IF(IF($B$2="下が前",1,10)&lt;=(ROUNDUP('入力シート'!$M$13/4,0)),IF($B$2="下が前",1,10),"")</f>
        <v/>
      </c>
      <c r="B16" s="20">
        <f>IF($A16="","",IFERROR(INDEX('入力シート'!$A$2:$A$41,MATCH(($A16-1)*4+1,'入力シート'!$F$2:$F$41,0)),""))</f>
        <v/>
      </c>
      <c r="C16" s="20">
        <f>IF($A16="","",IFERROR(INDEX('入力シート'!$A$2:$A$41,MATCH(($A16-1)*4+2,'入力シート'!$F$2:$F$41,0)),""))</f>
        <v/>
      </c>
      <c r="D16" s="20">
        <f>IF($A16="","",IFERROR(INDEX('入力シート'!$A$2:$A$41,MATCH(($A16-1)*4+3,'入力シート'!$F$2:$F$41,0)),""))</f>
        <v/>
      </c>
      <c r="E16" s="20">
        <f>IF($A16="","",IFERROR(INDEX('入力シート'!$A$2:$A$41,MATCH(($A16-1)*4+4,'入力シート'!$F$2:$F$41,0)),""))</f>
        <v/>
      </c>
      <c r="G16" s="18">
        <f>IF(IF($B$2="下が前",1,10)&lt;=(ROUNDUP('入力シート'!$M$13/4,0)),IF($B$2="下が前",1,10),"")</f>
        <v/>
      </c>
      <c r="H16" s="20">
        <f>IF($G16="","",IFERROR(INDEX('入力シート'!$A$2:$A$41,MATCH(IF(MOD($G16,2)=1,($G16-1)*4+1,($G16-1)*4+4),'入力シート'!$F$2:$F$41,0)),""))</f>
        <v/>
      </c>
      <c r="I16" s="20">
        <f>IF($G16="","",IFERROR(INDEX('入力シート'!$A$2:$A$41,MATCH(IF(MOD($G16,2)=1,($G16-1)*4+2,($G16-1)*4+3),'入力シート'!$F$2:$F$41,0)),""))</f>
        <v/>
      </c>
      <c r="J16" s="20">
        <f>IF($G16="","",IFERROR(INDEX('入力シート'!$A$2:$A$41,MATCH(IF(MOD($G16,2)=1,($G16-1)*4+3,($G16-1)*4+2),'入力シート'!$F$2:$F$41,0)),""))</f>
        <v/>
      </c>
      <c r="K16" s="20">
        <f>IF($G16="","",IFERROR(INDEX('入力シート'!$A$2:$A$41,MATCH(IF(MOD($G16,2)=1,($G16-1)*4+4,($G16-1)*4+1),'入力シート'!$F$2:$F$41,0)),""))</f>
        <v/>
      </c>
    </row>
    <row r="17">
      <c r="B17" s="15">
        <f>IF($B$2="下が前","前","後ろ")</f>
        <v/>
      </c>
      <c r="H17" s="15">
        <f>IF($B$2="下が前","前","後ろ")</f>
        <v/>
      </c>
    </row>
    <row r="18">
      <c r="A18" s="11">
        <f>IF((ROUNDUP('入力シート'!$M$13/4,0))&gt;10,"⚠ 入りきらない子がいます","")</f>
        <v/>
      </c>
      <c r="G18" s="11">
        <f>IF((ROUNDUP('入力シート'!$M$13/4,0))&gt;10,"⚠ 入りきらない子がいます","")</f>
        <v/>
      </c>
    </row>
    <row r="23">
      <c r="A23" s="2" t="inlineStr">
        <is>
          <t>4列③　2列から広げる（3・1・2・4／7・5・6・8）</t>
        </is>
      </c>
      <c r="G23" s="2" t="inlineStr">
        <is>
          <t>4列④　男子2列・女子2列</t>
        </is>
      </c>
    </row>
    <row r="24">
      <c r="B24" s="15">
        <f>IF($B$2="下が前","後ろ","前")</f>
        <v/>
      </c>
      <c r="H24" s="15">
        <f>IF($B$2="下が前","後ろ","前")</f>
        <v/>
      </c>
    </row>
    <row r="25">
      <c r="H25" s="16" t="inlineStr">
        <is>
          <t>男子</t>
        </is>
      </c>
      <c r="I25" s="16" t="inlineStr">
        <is>
          <t>男子</t>
        </is>
      </c>
      <c r="J25" s="17" t="inlineStr">
        <is>
          <t>女子</t>
        </is>
      </c>
      <c r="K25" s="17" t="inlineStr">
        <is>
          <t>女子</t>
        </is>
      </c>
    </row>
    <row r="26" ht="24" customHeight="1">
      <c r="A26" s="18">
        <f>IF(IF($B$2="下が前",10,1)&lt;=(ROUNDUP('入力シート'!$M$13/4,0)),IF($B$2="下が前",10,1),"")</f>
        <v/>
      </c>
      <c r="B26" s="20">
        <f>IF($A26="","",IFERROR(INDEX('入力シート'!$A$2:$A$41,MATCH(($A26-1)*4+3,'入力シート'!$F$2:$F$41,0)),""))</f>
        <v/>
      </c>
      <c r="C26" s="20">
        <f>IF($A26="","",IFERROR(INDEX('入力シート'!$A$2:$A$41,MATCH(($A26-1)*4+1,'入力シート'!$F$2:$F$41,0)),""))</f>
        <v/>
      </c>
      <c r="D26" s="20">
        <f>IF($A26="","",IFERROR(INDEX('入力シート'!$A$2:$A$41,MATCH(($A26-1)*4+2,'入力シート'!$F$2:$F$41,0)),""))</f>
        <v/>
      </c>
      <c r="E26" s="20">
        <f>IF($A26="","",IFERROR(INDEX('入力シート'!$A$2:$A$41,MATCH(($A26-1)*4+4,'入力シート'!$F$2:$F$41,0)),""))</f>
        <v/>
      </c>
      <c r="G26" s="18">
        <f>IF(IF($B$2="下が前",13,1)&lt;=(MAX(ROUNDUP('入力シート'!$M$14/2,0),ROUNDUP('入力シート'!$M$15/2,0))),IF($B$2="下が前",13,1),"")</f>
        <v/>
      </c>
      <c r="H26" s="20">
        <f>IF($G26="","",IFERROR(INDEX('入力シート'!$A$2:$A$41,MATCH("男"&amp;(($G26-1)*2+1),'入力シート'!$I$2:$I$41,0)),""))</f>
        <v/>
      </c>
      <c r="I26" s="20">
        <f>IF($G26="","",IFERROR(INDEX('入力シート'!$A$2:$A$41,MATCH("男"&amp;(($G26-1)*2+2),'入力シート'!$I$2:$I$41,0)),""))</f>
        <v/>
      </c>
      <c r="J26" s="20">
        <f>IF($G26="","",IFERROR(INDEX('入力シート'!$A$2:$A$41,MATCH("女"&amp;(($G26-1)*2+1),'入力シート'!$I$2:$I$41,0)),""))</f>
        <v/>
      </c>
      <c r="K26" s="20">
        <f>IF($G26="","",IFERROR(INDEX('入力シート'!$A$2:$A$41,MATCH("女"&amp;(($G26-1)*2+2),'入力シート'!$I$2:$I$41,0)),""))</f>
        <v/>
      </c>
    </row>
    <row r="27" ht="24" customHeight="1">
      <c r="A27" s="18">
        <f>IF(IF($B$2="下が前",9,2)&lt;=(ROUNDUP('入力シート'!$M$13/4,0)),IF($B$2="下が前",9,2),"")</f>
        <v/>
      </c>
      <c r="B27" s="20">
        <f>IF($A27="","",IFERROR(INDEX('入力シート'!$A$2:$A$41,MATCH(($A27-1)*4+3,'入力シート'!$F$2:$F$41,0)),""))</f>
        <v/>
      </c>
      <c r="C27" s="20">
        <f>IF($A27="","",IFERROR(INDEX('入力シート'!$A$2:$A$41,MATCH(($A27-1)*4+1,'入力シート'!$F$2:$F$41,0)),""))</f>
        <v/>
      </c>
      <c r="D27" s="20">
        <f>IF($A27="","",IFERROR(INDEX('入力シート'!$A$2:$A$41,MATCH(($A27-1)*4+2,'入力シート'!$F$2:$F$41,0)),""))</f>
        <v/>
      </c>
      <c r="E27" s="20">
        <f>IF($A27="","",IFERROR(INDEX('入力シート'!$A$2:$A$41,MATCH(($A27-1)*4+4,'入力シート'!$F$2:$F$41,0)),""))</f>
        <v/>
      </c>
      <c r="G27" s="18">
        <f>IF(IF($B$2="下が前",12,2)&lt;=(MAX(ROUNDUP('入力シート'!$M$14/2,0),ROUNDUP('入力シート'!$M$15/2,0))),IF($B$2="下が前",12,2),"")</f>
        <v/>
      </c>
      <c r="H27" s="20">
        <f>IF($G27="","",IFERROR(INDEX('入力シート'!$A$2:$A$41,MATCH("男"&amp;(($G27-1)*2+1),'入力シート'!$I$2:$I$41,0)),""))</f>
        <v/>
      </c>
      <c r="I27" s="20">
        <f>IF($G27="","",IFERROR(INDEX('入力シート'!$A$2:$A$41,MATCH("男"&amp;(($G27-1)*2+2),'入力シート'!$I$2:$I$41,0)),""))</f>
        <v/>
      </c>
      <c r="J27" s="20">
        <f>IF($G27="","",IFERROR(INDEX('入力シート'!$A$2:$A$41,MATCH("女"&amp;(($G27-1)*2+1),'入力シート'!$I$2:$I$41,0)),""))</f>
        <v/>
      </c>
      <c r="K27" s="20">
        <f>IF($G27="","",IFERROR(INDEX('入力シート'!$A$2:$A$41,MATCH("女"&amp;(($G27-1)*2+2),'入力シート'!$I$2:$I$41,0)),""))</f>
        <v/>
      </c>
    </row>
    <row r="28" ht="24" customHeight="1">
      <c r="A28" s="18">
        <f>IF(IF($B$2="下が前",8,3)&lt;=(ROUNDUP('入力シート'!$M$13/4,0)),IF($B$2="下が前",8,3),"")</f>
        <v/>
      </c>
      <c r="B28" s="20">
        <f>IF($A28="","",IFERROR(INDEX('入力シート'!$A$2:$A$41,MATCH(($A28-1)*4+3,'入力シート'!$F$2:$F$41,0)),""))</f>
        <v/>
      </c>
      <c r="C28" s="20">
        <f>IF($A28="","",IFERROR(INDEX('入力シート'!$A$2:$A$41,MATCH(($A28-1)*4+1,'入力シート'!$F$2:$F$41,0)),""))</f>
        <v/>
      </c>
      <c r="D28" s="20">
        <f>IF($A28="","",IFERROR(INDEX('入力シート'!$A$2:$A$41,MATCH(($A28-1)*4+2,'入力シート'!$F$2:$F$41,0)),""))</f>
        <v/>
      </c>
      <c r="E28" s="20">
        <f>IF($A28="","",IFERROR(INDEX('入力シート'!$A$2:$A$41,MATCH(($A28-1)*4+4,'入力シート'!$F$2:$F$41,0)),""))</f>
        <v/>
      </c>
      <c r="G28" s="18">
        <f>IF(IF($B$2="下が前",11,3)&lt;=(MAX(ROUNDUP('入力シート'!$M$14/2,0),ROUNDUP('入力シート'!$M$15/2,0))),IF($B$2="下が前",11,3),"")</f>
        <v/>
      </c>
      <c r="H28" s="20">
        <f>IF($G28="","",IFERROR(INDEX('入力シート'!$A$2:$A$41,MATCH("男"&amp;(($G28-1)*2+1),'入力シート'!$I$2:$I$41,0)),""))</f>
        <v/>
      </c>
      <c r="I28" s="20">
        <f>IF($G28="","",IFERROR(INDEX('入力シート'!$A$2:$A$41,MATCH("男"&amp;(($G28-1)*2+2),'入力シート'!$I$2:$I$41,0)),""))</f>
        <v/>
      </c>
      <c r="J28" s="20">
        <f>IF($G28="","",IFERROR(INDEX('入力シート'!$A$2:$A$41,MATCH("女"&amp;(($G28-1)*2+1),'入力シート'!$I$2:$I$41,0)),""))</f>
        <v/>
      </c>
      <c r="K28" s="20">
        <f>IF($G28="","",IFERROR(INDEX('入力シート'!$A$2:$A$41,MATCH("女"&amp;(($G28-1)*2+2),'入力シート'!$I$2:$I$41,0)),""))</f>
        <v/>
      </c>
    </row>
    <row r="29" ht="24" customHeight="1">
      <c r="A29" s="18">
        <f>IF(IF($B$2="下が前",7,4)&lt;=(ROUNDUP('入力シート'!$M$13/4,0)),IF($B$2="下が前",7,4),"")</f>
        <v/>
      </c>
      <c r="B29" s="20">
        <f>IF($A29="","",IFERROR(INDEX('入力シート'!$A$2:$A$41,MATCH(($A29-1)*4+3,'入力シート'!$F$2:$F$41,0)),""))</f>
        <v/>
      </c>
      <c r="C29" s="20">
        <f>IF($A29="","",IFERROR(INDEX('入力シート'!$A$2:$A$41,MATCH(($A29-1)*4+1,'入力シート'!$F$2:$F$41,0)),""))</f>
        <v/>
      </c>
      <c r="D29" s="20">
        <f>IF($A29="","",IFERROR(INDEX('入力シート'!$A$2:$A$41,MATCH(($A29-1)*4+2,'入力シート'!$F$2:$F$41,0)),""))</f>
        <v/>
      </c>
      <c r="E29" s="20">
        <f>IF($A29="","",IFERROR(INDEX('入力シート'!$A$2:$A$41,MATCH(($A29-1)*4+4,'入力シート'!$F$2:$F$41,0)),""))</f>
        <v/>
      </c>
      <c r="G29" s="18">
        <f>IF(IF($B$2="下が前",10,4)&lt;=(MAX(ROUNDUP('入力シート'!$M$14/2,0),ROUNDUP('入力シート'!$M$15/2,0))),IF($B$2="下が前",10,4),"")</f>
        <v/>
      </c>
      <c r="H29" s="20">
        <f>IF($G29="","",IFERROR(INDEX('入力シート'!$A$2:$A$41,MATCH("男"&amp;(($G29-1)*2+1),'入力シート'!$I$2:$I$41,0)),""))</f>
        <v/>
      </c>
      <c r="I29" s="20">
        <f>IF($G29="","",IFERROR(INDEX('入力シート'!$A$2:$A$41,MATCH("男"&amp;(($G29-1)*2+2),'入力シート'!$I$2:$I$41,0)),""))</f>
        <v/>
      </c>
      <c r="J29" s="20">
        <f>IF($G29="","",IFERROR(INDEX('入力シート'!$A$2:$A$41,MATCH("女"&amp;(($G29-1)*2+1),'入力シート'!$I$2:$I$41,0)),""))</f>
        <v/>
      </c>
      <c r="K29" s="20">
        <f>IF($G29="","",IFERROR(INDEX('入力シート'!$A$2:$A$41,MATCH("女"&amp;(($G29-1)*2+2),'入力シート'!$I$2:$I$41,0)),""))</f>
        <v/>
      </c>
    </row>
    <row r="30" ht="24" customHeight="1">
      <c r="A30" s="18">
        <f>IF(IF($B$2="下が前",6,5)&lt;=(ROUNDUP('入力シート'!$M$13/4,0)),IF($B$2="下が前",6,5),"")</f>
        <v/>
      </c>
      <c r="B30" s="20">
        <f>IF($A30="","",IFERROR(INDEX('入力シート'!$A$2:$A$41,MATCH(($A30-1)*4+3,'入力シート'!$F$2:$F$41,0)),""))</f>
        <v/>
      </c>
      <c r="C30" s="20">
        <f>IF($A30="","",IFERROR(INDEX('入力シート'!$A$2:$A$41,MATCH(($A30-1)*4+1,'入力シート'!$F$2:$F$41,0)),""))</f>
        <v/>
      </c>
      <c r="D30" s="20">
        <f>IF($A30="","",IFERROR(INDEX('入力シート'!$A$2:$A$41,MATCH(($A30-1)*4+2,'入力シート'!$F$2:$F$41,0)),""))</f>
        <v/>
      </c>
      <c r="E30" s="20">
        <f>IF($A30="","",IFERROR(INDEX('入力シート'!$A$2:$A$41,MATCH(($A30-1)*4+4,'入力シート'!$F$2:$F$41,0)),""))</f>
        <v/>
      </c>
      <c r="G30" s="18">
        <f>IF(IF($B$2="下が前",9,5)&lt;=(MAX(ROUNDUP('入力シート'!$M$14/2,0),ROUNDUP('入力シート'!$M$15/2,0))),IF($B$2="下が前",9,5),"")</f>
        <v/>
      </c>
      <c r="H30" s="20">
        <f>IF($G30="","",IFERROR(INDEX('入力シート'!$A$2:$A$41,MATCH("男"&amp;(($G30-1)*2+1),'入力シート'!$I$2:$I$41,0)),""))</f>
        <v/>
      </c>
      <c r="I30" s="20">
        <f>IF($G30="","",IFERROR(INDEX('入力シート'!$A$2:$A$41,MATCH("男"&amp;(($G30-1)*2+2),'入力シート'!$I$2:$I$41,0)),""))</f>
        <v/>
      </c>
      <c r="J30" s="20">
        <f>IF($G30="","",IFERROR(INDEX('入力シート'!$A$2:$A$41,MATCH("女"&amp;(($G30-1)*2+1),'入力シート'!$I$2:$I$41,0)),""))</f>
        <v/>
      </c>
      <c r="K30" s="20">
        <f>IF($G30="","",IFERROR(INDEX('入力シート'!$A$2:$A$41,MATCH("女"&amp;(($G30-1)*2+2),'入力シート'!$I$2:$I$41,0)),""))</f>
        <v/>
      </c>
    </row>
    <row r="31" ht="24" customHeight="1">
      <c r="A31" s="18">
        <f>IF(IF($B$2="下が前",5,6)&lt;=(ROUNDUP('入力シート'!$M$13/4,0)),IF($B$2="下が前",5,6),"")</f>
        <v/>
      </c>
      <c r="B31" s="20">
        <f>IF($A31="","",IFERROR(INDEX('入力シート'!$A$2:$A$41,MATCH(($A31-1)*4+3,'入力シート'!$F$2:$F$41,0)),""))</f>
        <v/>
      </c>
      <c r="C31" s="20">
        <f>IF($A31="","",IFERROR(INDEX('入力シート'!$A$2:$A$41,MATCH(($A31-1)*4+1,'入力シート'!$F$2:$F$41,0)),""))</f>
        <v/>
      </c>
      <c r="D31" s="20">
        <f>IF($A31="","",IFERROR(INDEX('入力シート'!$A$2:$A$41,MATCH(($A31-1)*4+2,'入力シート'!$F$2:$F$41,0)),""))</f>
        <v/>
      </c>
      <c r="E31" s="20">
        <f>IF($A31="","",IFERROR(INDEX('入力シート'!$A$2:$A$41,MATCH(($A31-1)*4+4,'入力シート'!$F$2:$F$41,0)),""))</f>
        <v/>
      </c>
      <c r="G31" s="18">
        <f>IF(IF($B$2="下が前",8,6)&lt;=(MAX(ROUNDUP('入力シート'!$M$14/2,0),ROUNDUP('入力シート'!$M$15/2,0))),IF($B$2="下が前",8,6),"")</f>
        <v/>
      </c>
      <c r="H31" s="20">
        <f>IF($G31="","",IFERROR(INDEX('入力シート'!$A$2:$A$41,MATCH("男"&amp;(($G31-1)*2+1),'入力シート'!$I$2:$I$41,0)),""))</f>
        <v/>
      </c>
      <c r="I31" s="20">
        <f>IF($G31="","",IFERROR(INDEX('入力シート'!$A$2:$A$41,MATCH("男"&amp;(($G31-1)*2+2),'入力シート'!$I$2:$I$41,0)),""))</f>
        <v/>
      </c>
      <c r="J31" s="20">
        <f>IF($G31="","",IFERROR(INDEX('入力シート'!$A$2:$A$41,MATCH("女"&amp;(($G31-1)*2+1),'入力シート'!$I$2:$I$41,0)),""))</f>
        <v/>
      </c>
      <c r="K31" s="20">
        <f>IF($G31="","",IFERROR(INDEX('入力シート'!$A$2:$A$41,MATCH("女"&amp;(($G31-1)*2+2),'入力シート'!$I$2:$I$41,0)),""))</f>
        <v/>
      </c>
    </row>
    <row r="32" ht="24" customHeight="1">
      <c r="A32" s="18">
        <f>IF(IF($B$2="下が前",4,7)&lt;=(ROUNDUP('入力シート'!$M$13/4,0)),IF($B$2="下が前",4,7),"")</f>
        <v/>
      </c>
      <c r="B32" s="20">
        <f>IF($A32="","",IFERROR(INDEX('入力シート'!$A$2:$A$41,MATCH(($A32-1)*4+3,'入力シート'!$F$2:$F$41,0)),""))</f>
        <v/>
      </c>
      <c r="C32" s="20">
        <f>IF($A32="","",IFERROR(INDEX('入力シート'!$A$2:$A$41,MATCH(($A32-1)*4+1,'入力シート'!$F$2:$F$41,0)),""))</f>
        <v/>
      </c>
      <c r="D32" s="20">
        <f>IF($A32="","",IFERROR(INDEX('入力シート'!$A$2:$A$41,MATCH(($A32-1)*4+2,'入力シート'!$F$2:$F$41,0)),""))</f>
        <v/>
      </c>
      <c r="E32" s="20">
        <f>IF($A32="","",IFERROR(INDEX('入力シート'!$A$2:$A$41,MATCH(($A32-1)*4+4,'入力シート'!$F$2:$F$41,0)),""))</f>
        <v/>
      </c>
      <c r="G32" s="18">
        <f>IF(IF($B$2="下が前",7,7)&lt;=(MAX(ROUNDUP('入力シート'!$M$14/2,0),ROUNDUP('入力シート'!$M$15/2,0))),IF($B$2="下が前",7,7),"")</f>
        <v/>
      </c>
      <c r="H32" s="20">
        <f>IF($G32="","",IFERROR(INDEX('入力シート'!$A$2:$A$41,MATCH("男"&amp;(($G32-1)*2+1),'入力シート'!$I$2:$I$41,0)),""))</f>
        <v/>
      </c>
      <c r="I32" s="20">
        <f>IF($G32="","",IFERROR(INDEX('入力シート'!$A$2:$A$41,MATCH("男"&amp;(($G32-1)*2+2),'入力シート'!$I$2:$I$41,0)),""))</f>
        <v/>
      </c>
      <c r="J32" s="20">
        <f>IF($G32="","",IFERROR(INDEX('入力シート'!$A$2:$A$41,MATCH("女"&amp;(($G32-1)*2+1),'入力シート'!$I$2:$I$41,0)),""))</f>
        <v/>
      </c>
      <c r="K32" s="20">
        <f>IF($G32="","",IFERROR(INDEX('入力シート'!$A$2:$A$41,MATCH("女"&amp;(($G32-1)*2+2),'入力シート'!$I$2:$I$41,0)),""))</f>
        <v/>
      </c>
    </row>
    <row r="33" ht="24" customHeight="1">
      <c r="A33" s="18">
        <f>IF(IF($B$2="下が前",3,8)&lt;=(ROUNDUP('入力シート'!$M$13/4,0)),IF($B$2="下が前",3,8),"")</f>
        <v/>
      </c>
      <c r="B33" s="20">
        <f>IF($A33="","",IFERROR(INDEX('入力シート'!$A$2:$A$41,MATCH(($A33-1)*4+3,'入力シート'!$F$2:$F$41,0)),""))</f>
        <v/>
      </c>
      <c r="C33" s="20">
        <f>IF($A33="","",IFERROR(INDEX('入力シート'!$A$2:$A$41,MATCH(($A33-1)*4+1,'入力シート'!$F$2:$F$41,0)),""))</f>
        <v/>
      </c>
      <c r="D33" s="20">
        <f>IF($A33="","",IFERROR(INDEX('入力シート'!$A$2:$A$41,MATCH(($A33-1)*4+2,'入力シート'!$F$2:$F$41,0)),""))</f>
        <v/>
      </c>
      <c r="E33" s="20">
        <f>IF($A33="","",IFERROR(INDEX('入力シート'!$A$2:$A$41,MATCH(($A33-1)*4+4,'入力シート'!$F$2:$F$41,0)),""))</f>
        <v/>
      </c>
      <c r="G33" s="18">
        <f>IF(IF($B$2="下が前",6,8)&lt;=(MAX(ROUNDUP('入力シート'!$M$14/2,0),ROUNDUP('入力シート'!$M$15/2,0))),IF($B$2="下が前",6,8),"")</f>
        <v/>
      </c>
      <c r="H33" s="20">
        <f>IF($G33="","",IFERROR(INDEX('入力シート'!$A$2:$A$41,MATCH("男"&amp;(($G33-1)*2+1),'入力シート'!$I$2:$I$41,0)),""))</f>
        <v/>
      </c>
      <c r="I33" s="20">
        <f>IF($G33="","",IFERROR(INDEX('入力シート'!$A$2:$A$41,MATCH("男"&amp;(($G33-1)*2+2),'入力シート'!$I$2:$I$41,0)),""))</f>
        <v/>
      </c>
      <c r="J33" s="20">
        <f>IF($G33="","",IFERROR(INDEX('入力シート'!$A$2:$A$41,MATCH("女"&amp;(($G33-1)*2+1),'入力シート'!$I$2:$I$41,0)),""))</f>
        <v/>
      </c>
      <c r="K33" s="20">
        <f>IF($G33="","",IFERROR(INDEX('入力シート'!$A$2:$A$41,MATCH("女"&amp;(($G33-1)*2+2),'入力シート'!$I$2:$I$41,0)),""))</f>
        <v/>
      </c>
    </row>
    <row r="34" ht="24" customHeight="1">
      <c r="A34" s="18">
        <f>IF(IF($B$2="下が前",2,9)&lt;=(ROUNDUP('入力シート'!$M$13/4,0)),IF($B$2="下が前",2,9),"")</f>
        <v/>
      </c>
      <c r="B34" s="20">
        <f>IF($A34="","",IFERROR(INDEX('入力シート'!$A$2:$A$41,MATCH(($A34-1)*4+3,'入力シート'!$F$2:$F$41,0)),""))</f>
        <v/>
      </c>
      <c r="C34" s="20">
        <f>IF($A34="","",IFERROR(INDEX('入力シート'!$A$2:$A$41,MATCH(($A34-1)*4+1,'入力シート'!$F$2:$F$41,0)),""))</f>
        <v/>
      </c>
      <c r="D34" s="20">
        <f>IF($A34="","",IFERROR(INDEX('入力シート'!$A$2:$A$41,MATCH(($A34-1)*4+2,'入力シート'!$F$2:$F$41,0)),""))</f>
        <v/>
      </c>
      <c r="E34" s="20">
        <f>IF($A34="","",IFERROR(INDEX('入力シート'!$A$2:$A$41,MATCH(($A34-1)*4+4,'入力シート'!$F$2:$F$41,0)),""))</f>
        <v/>
      </c>
      <c r="G34" s="18">
        <f>IF(IF($B$2="下が前",5,9)&lt;=(MAX(ROUNDUP('入力シート'!$M$14/2,0),ROUNDUP('入力シート'!$M$15/2,0))),IF($B$2="下が前",5,9),"")</f>
        <v/>
      </c>
      <c r="H34" s="20">
        <f>IF($G34="","",IFERROR(INDEX('入力シート'!$A$2:$A$41,MATCH("男"&amp;(($G34-1)*2+1),'入力シート'!$I$2:$I$41,0)),""))</f>
        <v/>
      </c>
      <c r="I34" s="20">
        <f>IF($G34="","",IFERROR(INDEX('入力シート'!$A$2:$A$41,MATCH("男"&amp;(($G34-1)*2+2),'入力シート'!$I$2:$I$41,0)),""))</f>
        <v/>
      </c>
      <c r="J34" s="20">
        <f>IF($G34="","",IFERROR(INDEX('入力シート'!$A$2:$A$41,MATCH("女"&amp;(($G34-1)*2+1),'入力シート'!$I$2:$I$41,0)),""))</f>
        <v/>
      </c>
      <c r="K34" s="20">
        <f>IF($G34="","",IFERROR(INDEX('入力シート'!$A$2:$A$41,MATCH("女"&amp;(($G34-1)*2+2),'入力シート'!$I$2:$I$41,0)),""))</f>
        <v/>
      </c>
    </row>
    <row r="35" ht="24" customHeight="1">
      <c r="A35" s="18">
        <f>IF(IF($B$2="下が前",1,10)&lt;=(ROUNDUP('入力シート'!$M$13/4,0)),IF($B$2="下が前",1,10),"")</f>
        <v/>
      </c>
      <c r="B35" s="20">
        <f>IF($A35="","",IFERROR(INDEX('入力シート'!$A$2:$A$41,MATCH(($A35-1)*4+3,'入力シート'!$F$2:$F$41,0)),""))</f>
        <v/>
      </c>
      <c r="C35" s="20">
        <f>IF($A35="","",IFERROR(INDEX('入力シート'!$A$2:$A$41,MATCH(($A35-1)*4+1,'入力シート'!$F$2:$F$41,0)),""))</f>
        <v/>
      </c>
      <c r="D35" s="20">
        <f>IF($A35="","",IFERROR(INDEX('入力シート'!$A$2:$A$41,MATCH(($A35-1)*4+2,'入力シート'!$F$2:$F$41,0)),""))</f>
        <v/>
      </c>
      <c r="E35" s="20">
        <f>IF($A35="","",IFERROR(INDEX('入力シート'!$A$2:$A$41,MATCH(($A35-1)*4+4,'入力シート'!$F$2:$F$41,0)),""))</f>
        <v/>
      </c>
      <c r="G35" s="18">
        <f>IF(IF($B$2="下が前",4,10)&lt;=(MAX(ROUNDUP('入力シート'!$M$14/2,0),ROUNDUP('入力シート'!$M$15/2,0))),IF($B$2="下が前",4,10),"")</f>
        <v/>
      </c>
      <c r="H35" s="20">
        <f>IF($G35="","",IFERROR(INDEX('入力シート'!$A$2:$A$41,MATCH("男"&amp;(($G35-1)*2+1),'入力シート'!$I$2:$I$41,0)),""))</f>
        <v/>
      </c>
      <c r="I35" s="20">
        <f>IF($G35="","",IFERROR(INDEX('入力シート'!$A$2:$A$41,MATCH("男"&amp;(($G35-1)*2+2),'入力シート'!$I$2:$I$41,0)),""))</f>
        <v/>
      </c>
      <c r="J35" s="20">
        <f>IF($G35="","",IFERROR(INDEX('入力シート'!$A$2:$A$41,MATCH("女"&amp;(($G35-1)*2+1),'入力シート'!$I$2:$I$41,0)),""))</f>
        <v/>
      </c>
      <c r="K35" s="20">
        <f>IF($G35="","",IFERROR(INDEX('入力シート'!$A$2:$A$41,MATCH("女"&amp;(($G35-1)*2+2),'入力シート'!$I$2:$I$41,0)),""))</f>
        <v/>
      </c>
    </row>
    <row r="36" ht="24" customHeight="1">
      <c r="B36" s="15">
        <f>IF($B$2="下が前","前","後ろ")</f>
        <v/>
      </c>
      <c r="G36" s="18">
        <f>IF(IF($B$2="下が前",3,11)&lt;=(MAX(ROUNDUP('入力シート'!$M$14/2,0),ROUNDUP('入力シート'!$M$15/2,0))),IF($B$2="下が前",3,11),"")</f>
        <v/>
      </c>
      <c r="H36" s="20">
        <f>IF($G36="","",IFERROR(INDEX('入力シート'!$A$2:$A$41,MATCH("男"&amp;(($G36-1)*2+1),'入力シート'!$I$2:$I$41,0)),""))</f>
        <v/>
      </c>
      <c r="I36" s="20">
        <f>IF($G36="","",IFERROR(INDEX('入力シート'!$A$2:$A$41,MATCH("男"&amp;(($G36-1)*2+2),'入力シート'!$I$2:$I$41,0)),""))</f>
        <v/>
      </c>
      <c r="J36" s="20">
        <f>IF($G36="","",IFERROR(INDEX('入力シート'!$A$2:$A$41,MATCH("女"&amp;(($G36-1)*2+1),'入力シート'!$I$2:$I$41,0)),""))</f>
        <v/>
      </c>
      <c r="K36" s="20">
        <f>IF($G36="","",IFERROR(INDEX('入力シート'!$A$2:$A$41,MATCH("女"&amp;(($G36-1)*2+2),'入力シート'!$I$2:$I$41,0)),""))</f>
        <v/>
      </c>
    </row>
    <row r="37" ht="24" customHeight="1">
      <c r="A37" s="11">
        <f>IF((ROUNDUP('入力シート'!$M$13/4,0))&gt;10,"⚠ 入りきらない子がいます","")</f>
        <v/>
      </c>
      <c r="G37" s="18">
        <f>IF(IF($B$2="下が前",2,12)&lt;=(MAX(ROUNDUP('入力シート'!$M$14/2,0),ROUNDUP('入力シート'!$M$15/2,0))),IF($B$2="下が前",2,12),"")</f>
        <v/>
      </c>
      <c r="H37" s="20">
        <f>IF($G37="","",IFERROR(INDEX('入力シート'!$A$2:$A$41,MATCH("男"&amp;(($G37-1)*2+1),'入力シート'!$I$2:$I$41,0)),""))</f>
        <v/>
      </c>
      <c r="I37" s="20">
        <f>IF($G37="","",IFERROR(INDEX('入力シート'!$A$2:$A$41,MATCH("男"&amp;(($G37-1)*2+2),'入力シート'!$I$2:$I$41,0)),""))</f>
        <v/>
      </c>
      <c r="J37" s="20">
        <f>IF($G37="","",IFERROR(INDEX('入力シート'!$A$2:$A$41,MATCH("女"&amp;(($G37-1)*2+1),'入力シート'!$I$2:$I$41,0)),""))</f>
        <v/>
      </c>
      <c r="K37" s="20">
        <f>IF($G37="","",IFERROR(INDEX('入力シート'!$A$2:$A$41,MATCH("女"&amp;(($G37-1)*2+2),'入力シート'!$I$2:$I$41,0)),""))</f>
        <v/>
      </c>
    </row>
    <row r="38" ht="24" customHeight="1">
      <c r="G38" s="18">
        <f>IF(IF($B$2="下が前",1,13)&lt;=(MAX(ROUNDUP('入力シート'!$M$14/2,0),ROUNDUP('入力シート'!$M$15/2,0))),IF($B$2="下が前",1,13),"")</f>
        <v/>
      </c>
      <c r="H38" s="20">
        <f>IF($G38="","",IFERROR(INDEX('入力シート'!$A$2:$A$41,MATCH("男"&amp;(($G38-1)*2+1),'入力シート'!$I$2:$I$41,0)),""))</f>
        <v/>
      </c>
      <c r="I38" s="20">
        <f>IF($G38="","",IFERROR(INDEX('入力シート'!$A$2:$A$41,MATCH("男"&amp;(($G38-1)*2+2),'入力シート'!$I$2:$I$41,0)),""))</f>
        <v/>
      </c>
      <c r="J38" s="20">
        <f>IF($G38="","",IFERROR(INDEX('入力シート'!$A$2:$A$41,MATCH("女"&amp;(($G38-1)*2+1),'入力シート'!$I$2:$I$41,0)),""))</f>
        <v/>
      </c>
      <c r="K38" s="20">
        <f>IF($G38="","",IFERROR(INDEX('入力シート'!$A$2:$A$41,MATCH("女"&amp;(($G38-1)*2+2),'入力シート'!$I$2:$I$41,0)),""))</f>
        <v/>
      </c>
    </row>
    <row r="39">
      <c r="H39" s="15">
        <f>IF($B$2="下が前","前","後ろ")</f>
        <v/>
      </c>
    </row>
    <row r="40">
      <c r="G40" s="11">
        <f>IF((MAX(ROUNDUP('入力シート'!$M$14/2,0),ROUNDUP('入力シート'!$M$15/2,0)))&gt;13,"⚠ 入りきらない子がいます","")&amp;IF('入力シート'!$M$16&gt;0,"⚠ 男女が未入力の子："&amp;'入力シート'!$M$16&amp;"人","")</f>
        <v/>
      </c>
    </row>
  </sheetData>
  <mergeCells count="8">
    <mergeCell ref="B17:E17"/>
    <mergeCell ref="H17:K17"/>
    <mergeCell ref="H39:K39"/>
    <mergeCell ref="B24:E24"/>
    <mergeCell ref="B5:E5"/>
    <mergeCell ref="H24:K24"/>
    <mergeCell ref="B36:E36"/>
    <mergeCell ref="H5:K5"/>
  </mergeCells>
  <conditionalFormatting sqref="B7:E16">
    <cfRule type="expression" priority="1" dxfId="0">
      <formula>B7&lt;&gt;""</formula>
    </cfRule>
  </conditionalFormatting>
  <conditionalFormatting sqref="H7:K16">
    <cfRule type="expression" priority="2" dxfId="0">
      <formula>H7&lt;&gt;""</formula>
    </cfRule>
  </conditionalFormatting>
  <conditionalFormatting sqref="B26:E35">
    <cfRule type="expression" priority="3" dxfId="0">
      <formula>B26&lt;&gt;""</formula>
    </cfRule>
  </conditionalFormatting>
  <conditionalFormatting sqref="H26:K38">
    <cfRule type="expression" priority="4" dxfId="0">
      <formula>H26&lt;&gt;""</formula>
    </cfRule>
  </conditionalFormatting>
  <dataValidations count="1">
    <dataValidation sqref="B2" showDropDown="0" showInputMessage="0" showErrorMessage="1" allowBlank="0" type="list">
      <formula1>"上が前,下が前"</formula1>
    </dataValidation>
  </dataValidations>
  <printOptions horizontalCentered="1"/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2026-09-29T22:13:32Z</dcterms:created>
  <dcterms:modified xsi:type="dcterms:W3CDTF">2026-09-29T22:13:32Z</dcterms:modified>
</cp:coreProperties>
</file>