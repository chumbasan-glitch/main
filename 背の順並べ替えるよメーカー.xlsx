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入力シート" sheetId="1" state="visible" r:id="rId1"/>
    <sheet name="1・2列" sheetId="2" state="visible" r:id="rId2"/>
    <sheet name="4列" sheetId="3" state="visible" r:id="rId3"/>
    <sheet name="印刷用" sheetId="4" state="visible" r:id="rId4"/>
    <sheet name="設定" sheetId="5" state="hidden" r:id="rId5"/>
  </sheets>
  <definedNames>
    <definedName name="_xlnm.Print_Area" localSheetId="3">'印刷用'!$A$1:$K$68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Calibri"/>
      <family val="2"/>
      <color theme="1"/>
      <sz val="11"/>
      <scheme val="minor"/>
    </font>
    <font>
      <name val="游ゴシック"/>
      <b val="1"/>
      <sz val="11"/>
    </font>
    <font>
      <name val="游ゴシック"/>
      <sz val="11"/>
    </font>
    <font>
      <name val="游ゴシック"/>
      <b val="1"/>
      <color rgb="00C00000"/>
      <sz val="11"/>
    </font>
    <font>
      <name val="游ゴシック"/>
      <b val="1"/>
      <sz val="12"/>
    </font>
    <font>
      <name val="游ゴシック"/>
      <b val="1"/>
      <sz val="16"/>
    </font>
    <font>
      <name val="游ゴシック"/>
      <color rgb="00C00000"/>
      <sz val="11"/>
    </font>
    <font>
      <name val="游ゴシック"/>
      <b val="1"/>
      <sz val="13"/>
    </font>
    <font>
      <name val="游ゴシック"/>
      <color rgb="00808080"/>
      <sz val="9"/>
    </font>
    <font>
      <name val="游ゴシック"/>
      <sz val="12"/>
    </font>
    <font>
      <name val="游ゴシック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shrinkToFit="1"/>
    </xf>
    <xf numFmtId="0" fontId="10" fillId="0" borderId="0" pivotButton="0" quotePrefix="0" xfId="0"/>
    <xf numFmtId="0" fontId="4" fillId="3" borderId="1" applyAlignment="1" pivotButton="0" quotePrefix="0" xfId="0">
      <alignment horizontal="center" vertical="center" shrinkToFit="1"/>
    </xf>
    <xf numFmtId="0" fontId="1" fillId="2" borderId="0" applyAlignment="1" pivotButton="0" quotePrefix="0" xfId="0">
      <alignment horizontal="center" vertical="center" shrinkToFit="1"/>
    </xf>
    <xf numFmtId="0" fontId="1" fillId="5" borderId="0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2" fillId="0" borderId="0" applyAlignment="1" pivotButton="0" quotePrefix="0" xfId="0">
      <alignment horizontal="center" vertical="center" shrinkToFit="1"/>
    </xf>
  </cellXfs>
  <cellStyles count="1">
    <cellStyle name="Normal" xfId="0" builtinId="0" hidden="0"/>
  </cellStyles>
  <dxfs count="2">
    <dxf>
      <font>
        <b val="1"/>
        <color rgb="00000000"/>
      </font>
      <fill>
        <patternFill patternType="solid">
          <fgColor rgb="00DDEBF7"/>
        </patternFill>
      </fill>
    </dxf>
    <dxf>
      <border>
        <left style="thin">
          <color rgb="00808080"/>
        </left>
        <right style="thin">
          <color rgb="00808080"/>
        </right>
        <top style="thin">
          <color rgb="00808080"/>
        </top>
        <bottom style="thin">
          <color rgb="00808080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7" customWidth="1" min="3" max="3"/>
    <col width="10" customWidth="1" min="4" max="4"/>
    <col width="19" customWidth="1" min="5" max="5"/>
    <col width="10" customWidth="1" min="6" max="6"/>
    <col width="11" customWidth="1" min="7" max="7"/>
    <col width="16" customWidth="1" min="8" max="8"/>
    <col hidden="1" width="8" customWidth="1" min="9" max="9"/>
    <col width="14" customWidth="1" min="11" max="11"/>
  </cols>
  <sheetData>
    <row r="1" ht="36" customHeight="1">
      <c r="A1" s="1" t="inlineStr">
        <is>
          <t>名前</t>
        </is>
      </c>
      <c r="B1" s="1" t="inlineStr">
        <is>
          <t>身長(cm)</t>
        </is>
      </c>
      <c r="C1" s="1" t="inlineStr">
        <is>
          <t>男女</t>
        </is>
      </c>
      <c r="D1" s="1" t="inlineStr">
        <is>
          <t>自動の順番</t>
        </is>
      </c>
      <c r="E1" s="1" t="inlineStr">
        <is>
          <t>手動の順番
(入れ替えたい時だけ)</t>
        </is>
      </c>
      <c r="F1" s="1" t="inlineStr">
        <is>
          <t>決定の順番</t>
        </is>
      </c>
      <c r="G1" s="1" t="inlineStr">
        <is>
          <t>男女別の順番</t>
        </is>
      </c>
      <c r="H1" s="1" t="inlineStr">
        <is>
          <t>チェック</t>
        </is>
      </c>
      <c r="I1" s="1" t="inlineStr">
        <is>
          <t>計算用</t>
        </is>
      </c>
      <c r="K1" s="2" t="inlineStr">
        <is>
          <t>使い方</t>
        </is>
      </c>
    </row>
    <row r="2">
      <c r="A2" s="3" t="n"/>
      <c r="B2" s="4" t="n"/>
      <c r="C2" s="5" t="n"/>
      <c r="D2" s="6">
        <f>IF(OR(A2="",B2=""),"",COUNTIF($B$2:$B$41,"&lt;"&amp;B2)+COUNTIF($B$2:B2,B2))</f>
        <v/>
      </c>
      <c r="E2" s="5" t="n"/>
      <c r="F2" s="6">
        <f>IF(D2="","",IF(E2="",D2,E2))</f>
        <v/>
      </c>
      <c r="G2" s="6">
        <f>IF(OR(F2="",AND(C2&lt;&gt;"男",C2&lt;&gt;"女")),"",COUNTIFS($C$2:$C$41,C2,$F$2:$F$41,"&lt;"&amp;F2)+1)</f>
        <v/>
      </c>
      <c r="H2" s="7">
        <f>IF(F2="","",IF(COUNTIF($F$2:$F$41,F2)&gt;1,"⚠ 順番が重複",IF(F2&gt;COUNT($F$2:$F$41),"⚠ 番号が大きすぎ",IF(G2="","男女が未入力",""))))</f>
        <v/>
      </c>
      <c r="I2" s="6">
        <f>IF(G2="","",C2&amp;G2)</f>
        <v/>
      </c>
      <c r="K2" s="8" t="inlineStr">
        <is>
          <t>① 黄色の「名前」「身長」「男女」を入れる（貼り付けOK・最大40人）</t>
        </is>
      </c>
    </row>
    <row r="3">
      <c r="A3" s="3" t="n"/>
      <c r="B3" s="4" t="n"/>
      <c r="C3" s="5" t="n"/>
      <c r="D3" s="6">
        <f>IF(OR(A3="",B3=""),"",COUNTIF($B$2:$B$41,"&lt;"&amp;B3)+COUNTIF($B$2:B3,B3))</f>
        <v/>
      </c>
      <c r="E3" s="5" t="n"/>
      <c r="F3" s="6">
        <f>IF(D3="","",IF(E3="",D3,E3))</f>
        <v/>
      </c>
      <c r="G3" s="6">
        <f>IF(OR(F3="",AND(C3&lt;&gt;"男",C3&lt;&gt;"女")),"",COUNTIFS($C$2:$C$41,C3,$F$2:$F$41,"&lt;"&amp;F3)+1)</f>
        <v/>
      </c>
      <c r="H3" s="7">
        <f>IF(F3="","",IF(COUNTIF($F$2:$F$41,F3)&gt;1,"⚠ 順番が重複",IF(F3&gt;COUNT($F$2:$F$41),"⚠ 番号が大きすぎ",IF(G3="","男女が未入力",""))))</f>
        <v/>
      </c>
      <c r="I3" s="6">
        <f>IF(G3="","",C3&amp;G3)</f>
        <v/>
      </c>
      <c r="K3" s="8" t="inlineStr">
        <is>
          <t>② 「1・2列」「4列」シートに背の順が自動でできる（上が前・下が前の両方）</t>
        </is>
      </c>
    </row>
    <row r="4">
      <c r="A4" s="3" t="n"/>
      <c r="B4" s="4" t="n"/>
      <c r="C4" s="5" t="n"/>
      <c r="D4" s="6">
        <f>IF(OR(A4="",B4=""),"",COUNTIF($B$2:$B$41,"&lt;"&amp;B4)+COUNTIF($B$2:B4,B4))</f>
        <v/>
      </c>
      <c r="E4" s="5" t="n"/>
      <c r="F4" s="6">
        <f>IF(D4="","",IF(E4="",D4,E4))</f>
        <v/>
      </c>
      <c r="G4" s="6">
        <f>IF(OR(F4="",AND(C4&lt;&gt;"男",C4&lt;&gt;"女")),"",COUNTIFS($C$2:$C$41,C4,$F$2:$F$41,"&lt;"&amp;F4)+1)</f>
        <v/>
      </c>
      <c r="H4" s="7">
        <f>IF(F4="","",IF(COUNTIF($F$2:$F$41,F4)&gt;1,"⚠ 順番が重複",IF(F4&gt;COUNT($F$2:$F$41),"⚠ 番号が大きすぎ",IF(G4="","男女が未入力",""))))</f>
        <v/>
      </c>
      <c r="I4" s="6">
        <f>IF(G4="","",C4&amp;G4)</f>
        <v/>
      </c>
      <c r="K4" s="8" t="inlineStr">
        <is>
          <t>③ 印刷したい並びの黄色いマスに ○ を入れる → 「印刷用」シートにまとまる</t>
        </is>
      </c>
    </row>
    <row r="5">
      <c r="A5" s="3" t="n"/>
      <c r="B5" s="4" t="n"/>
      <c r="C5" s="5" t="n"/>
      <c r="D5" s="6">
        <f>IF(OR(A5="",B5=""),"",COUNTIF($B$2:$B$41,"&lt;"&amp;B5)+COUNTIF($B$2:B5,B5))</f>
        <v/>
      </c>
      <c r="E5" s="5" t="n"/>
      <c r="F5" s="6">
        <f>IF(D5="","",IF(E5="",D5,E5))</f>
        <v/>
      </c>
      <c r="G5" s="6">
        <f>IF(OR(F5="",AND(C5&lt;&gt;"男",C5&lt;&gt;"女")),"",COUNTIFS($C$2:$C$41,C5,$F$2:$F$41,"&lt;"&amp;F5)+1)</f>
        <v/>
      </c>
      <c r="H5" s="7">
        <f>IF(F5="","",IF(COUNTIF($F$2:$F$41,F5)&gt;1,"⚠ 順番が重複",IF(F5&gt;COUNT($F$2:$F$41),"⚠ 番号が大きすぎ",IF(G5="","男女が未入力",""))))</f>
        <v/>
      </c>
      <c r="I5" s="6">
        <f>IF(G5="","",C5&amp;G5)</f>
        <v/>
      </c>
      <c r="K5" s="8" t="inlineStr">
        <is>
          <t xml:space="preserve">　 印刷用は A4 1枚：2列は2つまで、4列は4つまで</t>
        </is>
      </c>
    </row>
    <row r="6">
      <c r="A6" s="3" t="n"/>
      <c r="B6" s="4" t="n"/>
      <c r="C6" s="5" t="n"/>
      <c r="D6" s="6">
        <f>IF(OR(A6="",B6=""),"",COUNTIF($B$2:$B$41,"&lt;"&amp;B6)+COUNTIF($B$2:B6,B6))</f>
        <v/>
      </c>
      <c r="E6" s="5" t="n"/>
      <c r="F6" s="6">
        <f>IF(D6="","",IF(E6="",D6,E6))</f>
        <v/>
      </c>
      <c r="G6" s="6">
        <f>IF(OR(F6="",AND(C6&lt;&gt;"男",C6&lt;&gt;"女")),"",COUNTIFS($C$2:$C$41,C6,$F$2:$F$41,"&lt;"&amp;F6)+1)</f>
        <v/>
      </c>
      <c r="H6" s="7">
        <f>IF(F6="","",IF(COUNTIF($F$2:$F$41,F6)&gt;1,"⚠ 順番が重複",IF(F6&gt;COUNT($F$2:$F$41),"⚠ 番号が大きすぎ",IF(G6="","男女が未入力",""))))</f>
        <v/>
      </c>
      <c r="I6" s="6">
        <f>IF(G6="","",C6&amp;G6)</f>
        <v/>
      </c>
      <c r="K6" s="8" t="inlineStr">
        <is>
          <t>④ 入れ替えたい時は「手動の順番」に番号を入れる</t>
        </is>
      </c>
    </row>
    <row r="7">
      <c r="A7" s="3" t="n"/>
      <c r="B7" s="4" t="n"/>
      <c r="C7" s="5" t="n"/>
      <c r="D7" s="6">
        <f>IF(OR(A7="",B7=""),"",COUNTIF($B$2:$B$41,"&lt;"&amp;B7)+COUNTIF($B$2:B7,B7))</f>
        <v/>
      </c>
      <c r="E7" s="5" t="n"/>
      <c r="F7" s="6">
        <f>IF(D7="","",IF(E7="",D7,E7))</f>
        <v/>
      </c>
      <c r="G7" s="6">
        <f>IF(OR(F7="",AND(C7&lt;&gt;"男",C7&lt;&gt;"女")),"",COUNTIFS($C$2:$C$41,C7,$F$2:$F$41,"&lt;"&amp;F7)+1)</f>
        <v/>
      </c>
      <c r="H7" s="7">
        <f>IF(F7="","",IF(COUNTIF($F$2:$F$41,F7)&gt;1,"⚠ 順番が重複",IF(F7&gt;COUNT($F$2:$F$41),"⚠ 番号が大きすぎ",IF(G7="","男女が未入力",""))))</f>
        <v/>
      </c>
      <c r="I7" s="6">
        <f>IF(G7="","",C7&amp;G7)</f>
        <v/>
      </c>
      <c r="K7" s="8" t="inlineStr">
        <is>
          <t xml:space="preserve">　 例：5番と6番を入れ替える → 5番の子に 6、6番の子に 5</t>
        </is>
      </c>
    </row>
    <row r="8">
      <c r="A8" s="3" t="n"/>
      <c r="B8" s="4" t="n"/>
      <c r="C8" s="5" t="n"/>
      <c r="D8" s="6">
        <f>IF(OR(A8="",B8=""),"",COUNTIF($B$2:$B$41,"&lt;"&amp;B8)+COUNTIF($B$2:B8,B8))</f>
        <v/>
      </c>
      <c r="E8" s="5" t="n"/>
      <c r="F8" s="6">
        <f>IF(D8="","",IF(E8="",D8,E8))</f>
        <v/>
      </c>
      <c r="G8" s="6">
        <f>IF(OR(F8="",AND(C8&lt;&gt;"男",C8&lt;&gt;"女")),"",COUNTIFS($C$2:$C$41,C8,$F$2:$F$41,"&lt;"&amp;F8)+1)</f>
        <v/>
      </c>
      <c r="H8" s="7">
        <f>IF(F8="","",IF(COUNTIF($F$2:$F$41,F8)&gt;1,"⚠ 順番が重複",IF(F8&gt;COUNT($F$2:$F$41),"⚠ 番号が大きすぎ",IF(G8="","男女が未入力",""))))</f>
        <v/>
      </c>
      <c r="I8" s="6">
        <f>IF(G8="","",C8&amp;G8)</f>
        <v/>
      </c>
      <c r="K8" s="8" t="inlineStr">
        <is>
          <t xml:space="preserve">　 「チェック」に ⚠ が出たら番号が重なっています</t>
        </is>
      </c>
    </row>
    <row r="9">
      <c r="A9" s="3" t="n"/>
      <c r="B9" s="4" t="n"/>
      <c r="C9" s="5" t="n"/>
      <c r="D9" s="6">
        <f>IF(OR(A9="",B9=""),"",COUNTIF($B$2:$B$41,"&lt;"&amp;B9)+COUNTIF($B$2:B9,B9))</f>
        <v/>
      </c>
      <c r="E9" s="5" t="n"/>
      <c r="F9" s="6">
        <f>IF(D9="","",IF(E9="",D9,E9))</f>
        <v/>
      </c>
      <c r="G9" s="6">
        <f>IF(OR(F9="",AND(C9&lt;&gt;"男",C9&lt;&gt;"女")),"",COUNTIFS($C$2:$C$41,C9,$F$2:$F$41,"&lt;"&amp;F9)+1)</f>
        <v/>
      </c>
      <c r="H9" s="7">
        <f>IF(F9="","",IF(COUNTIF($F$2:$F$41,F9)&gt;1,"⚠ 順番が重複",IF(F9&gt;COUNT($F$2:$F$41),"⚠ 番号が大きすぎ",IF(G9="","男女が未入力",""))))</f>
        <v/>
      </c>
      <c r="I9" s="6">
        <f>IF(G9="","",C9&amp;G9)</f>
        <v/>
      </c>
      <c r="K9" s="8" t="inlineStr">
        <is>
          <t>※ 同じ身長の子は、上の行に書いた子が前になります</t>
        </is>
      </c>
    </row>
    <row r="10">
      <c r="A10" s="3" t="n"/>
      <c r="B10" s="4" t="n"/>
      <c r="C10" s="5" t="n"/>
      <c r="D10" s="6">
        <f>IF(OR(A10="",B10=""),"",COUNTIF($B$2:$B$41,"&lt;"&amp;B10)+COUNTIF($B$2:B10,B10))</f>
        <v/>
      </c>
      <c r="E10" s="5" t="n"/>
      <c r="F10" s="6">
        <f>IF(D10="","",IF(E10="",D10,E10))</f>
        <v/>
      </c>
      <c r="G10" s="6">
        <f>IF(OR(F10="",AND(C10&lt;&gt;"男",C10&lt;&gt;"女")),"",COUNTIFS($C$2:$C$41,C10,$F$2:$F$41,"&lt;"&amp;F10)+1)</f>
        <v/>
      </c>
      <c r="H10" s="7">
        <f>IF(F10="","",IF(COUNTIF($F$2:$F$41,F10)&gt;1,"⚠ 順番が重複",IF(F10&gt;COUNT($F$2:$F$41),"⚠ 番号が大きすぎ",IF(G10="","男女が未入力",""))))</f>
        <v/>
      </c>
      <c r="I10" s="6">
        <f>IF(G10="","",C10&amp;G10)</f>
        <v/>
      </c>
      <c r="K10" s="8" t="inlineStr">
        <is>
          <t>※ 灰色のセルは自動計算です（さわらないでください）</t>
        </is>
      </c>
    </row>
    <row r="11">
      <c r="A11" s="3" t="n"/>
      <c r="B11" s="4" t="n"/>
      <c r="C11" s="5" t="n"/>
      <c r="D11" s="6">
        <f>IF(OR(A11="",B11=""),"",COUNTIF($B$2:$B$41,"&lt;"&amp;B11)+COUNTIF($B$2:B11,B11))</f>
        <v/>
      </c>
      <c r="E11" s="5" t="n"/>
      <c r="F11" s="6">
        <f>IF(D11="","",IF(E11="",D11,E11))</f>
        <v/>
      </c>
      <c r="G11" s="6">
        <f>IF(OR(F11="",AND(C11&lt;&gt;"男",C11&lt;&gt;"女")),"",COUNTIFS($C$2:$C$41,C11,$F$2:$F$41,"&lt;"&amp;F11)+1)</f>
        <v/>
      </c>
      <c r="H11" s="7">
        <f>IF(F11="","",IF(COUNTIF($F$2:$F$41,F11)&gt;1,"⚠ 順番が重複",IF(F11&gt;COUNT($F$2:$F$41),"⚠ 番号が大きすぎ",IF(G11="","男女が未入力",""))))</f>
        <v/>
      </c>
      <c r="I11" s="6">
        <f>IF(G11="","",C11&amp;G11)</f>
        <v/>
      </c>
    </row>
    <row r="12">
      <c r="A12" s="3" t="n"/>
      <c r="B12" s="4" t="n"/>
      <c r="C12" s="5" t="n"/>
      <c r="D12" s="6">
        <f>IF(OR(A12="",B12=""),"",COUNTIF($B$2:$B$41,"&lt;"&amp;B12)+COUNTIF($B$2:B12,B12))</f>
        <v/>
      </c>
      <c r="E12" s="5" t="n"/>
      <c r="F12" s="6">
        <f>IF(D12="","",IF(E12="",D12,E12))</f>
        <v/>
      </c>
      <c r="G12" s="6">
        <f>IF(OR(F12="",AND(C12&lt;&gt;"男",C12&lt;&gt;"女")),"",COUNTIFS($C$2:$C$41,C12,$F$2:$F$41,"&lt;"&amp;F12)+1)</f>
        <v/>
      </c>
      <c r="H12" s="7">
        <f>IF(F12="","",IF(COUNTIF($F$2:$F$41,F12)&gt;1,"⚠ 順番が重複",IF(F12&gt;COUNT($F$2:$F$41),"⚠ 番号が大きすぎ",IF(G12="","男女が未入力",""))))</f>
        <v/>
      </c>
      <c r="I12" s="6">
        <f>IF(G12="","",C12&amp;G12)</f>
        <v/>
      </c>
    </row>
    <row r="13">
      <c r="A13" s="3" t="n"/>
      <c r="B13" s="4" t="n"/>
      <c r="C13" s="5" t="n"/>
      <c r="D13" s="6">
        <f>IF(OR(A13="",B13=""),"",COUNTIF($B$2:$B$41,"&lt;"&amp;B13)+COUNTIF($B$2:B13,B13))</f>
        <v/>
      </c>
      <c r="E13" s="5" t="n"/>
      <c r="F13" s="6">
        <f>IF(D13="","",IF(E13="",D13,E13))</f>
        <v/>
      </c>
      <c r="G13" s="6">
        <f>IF(OR(F13="",AND(C13&lt;&gt;"男",C13&lt;&gt;"女")),"",COUNTIFS($C$2:$C$41,C13,$F$2:$F$41,"&lt;"&amp;F13)+1)</f>
        <v/>
      </c>
      <c r="H13" s="7">
        <f>IF(F13="","",IF(COUNTIF($F$2:$F$41,F13)&gt;1,"⚠ 順番が重複",IF(F13&gt;COUNT($F$2:$F$41),"⚠ 番号が大きすぎ",IF(G13="","男女が未入力",""))))</f>
        <v/>
      </c>
      <c r="I13" s="6">
        <f>IF(G13="","",C13&amp;G13)</f>
        <v/>
      </c>
      <c r="K13" s="9" t="inlineStr">
        <is>
          <t>入力した人数</t>
        </is>
      </c>
      <c r="M13" s="9">
        <f>COUNT($F$2:$F$41)</f>
        <v/>
      </c>
    </row>
    <row r="14">
      <c r="A14" s="3" t="n"/>
      <c r="B14" s="4" t="n"/>
      <c r="C14" s="5" t="n"/>
      <c r="D14" s="6">
        <f>IF(OR(A14="",B14=""),"",COUNTIF($B$2:$B$41,"&lt;"&amp;B14)+COUNTIF($B$2:B14,B14))</f>
        <v/>
      </c>
      <c r="E14" s="5" t="n"/>
      <c r="F14" s="6">
        <f>IF(D14="","",IF(E14="",D14,E14))</f>
        <v/>
      </c>
      <c r="G14" s="6">
        <f>IF(OR(F14="",AND(C14&lt;&gt;"男",C14&lt;&gt;"女")),"",COUNTIFS($C$2:$C$41,C14,$F$2:$F$41,"&lt;"&amp;F14)+1)</f>
        <v/>
      </c>
      <c r="H14" s="7">
        <f>IF(F14="","",IF(COUNTIF($F$2:$F$41,F14)&gt;1,"⚠ 順番が重複",IF(F14&gt;COUNT($F$2:$F$41),"⚠ 番号が大きすぎ",IF(G14="","男女が未入力",""))))</f>
        <v/>
      </c>
      <c r="I14" s="6">
        <f>IF(G14="","",C14&amp;G14)</f>
        <v/>
      </c>
      <c r="K14" s="9" t="inlineStr">
        <is>
          <t>男子</t>
        </is>
      </c>
      <c r="M14" s="9">
        <f>COUNTIF($I$2:$I$41,"男*")</f>
        <v/>
      </c>
    </row>
    <row r="15">
      <c r="A15" s="3" t="n"/>
      <c r="B15" s="4" t="n"/>
      <c r="C15" s="5" t="n"/>
      <c r="D15" s="6">
        <f>IF(OR(A15="",B15=""),"",COUNTIF($B$2:$B$41,"&lt;"&amp;B15)+COUNTIF($B$2:B15,B15))</f>
        <v/>
      </c>
      <c r="E15" s="5" t="n"/>
      <c r="F15" s="6">
        <f>IF(D15="","",IF(E15="",D15,E15))</f>
        <v/>
      </c>
      <c r="G15" s="6">
        <f>IF(OR(F15="",AND(C15&lt;&gt;"男",C15&lt;&gt;"女")),"",COUNTIFS($C$2:$C$41,C15,$F$2:$F$41,"&lt;"&amp;F15)+1)</f>
        <v/>
      </c>
      <c r="H15" s="7">
        <f>IF(F15="","",IF(COUNTIF($F$2:$F$41,F15)&gt;1,"⚠ 順番が重複",IF(F15&gt;COUNT($F$2:$F$41),"⚠ 番号が大きすぎ",IF(G15="","男女が未入力",""))))</f>
        <v/>
      </c>
      <c r="I15" s="6">
        <f>IF(G15="","",C15&amp;G15)</f>
        <v/>
      </c>
      <c r="K15" s="9" t="inlineStr">
        <is>
          <t>女子</t>
        </is>
      </c>
      <c r="M15" s="9">
        <f>COUNTIF($I$2:$I$41,"女*")</f>
        <v/>
      </c>
    </row>
    <row r="16">
      <c r="A16" s="3" t="n"/>
      <c r="B16" s="4" t="n"/>
      <c r="C16" s="5" t="n"/>
      <c r="D16" s="6">
        <f>IF(OR(A16="",B16=""),"",COUNTIF($B$2:$B$41,"&lt;"&amp;B16)+COUNTIF($B$2:B16,B16))</f>
        <v/>
      </c>
      <c r="E16" s="5" t="n"/>
      <c r="F16" s="6">
        <f>IF(D16="","",IF(E16="",D16,E16))</f>
        <v/>
      </c>
      <c r="G16" s="6">
        <f>IF(OR(F16="",AND(C16&lt;&gt;"男",C16&lt;&gt;"女")),"",COUNTIFS($C$2:$C$41,C16,$F$2:$F$41,"&lt;"&amp;F16)+1)</f>
        <v/>
      </c>
      <c r="H16" s="7">
        <f>IF(F16="","",IF(COUNTIF($F$2:$F$41,F16)&gt;1,"⚠ 順番が重複",IF(F16&gt;COUNT($F$2:$F$41),"⚠ 番号が大きすぎ",IF(G16="","男女が未入力",""))))</f>
        <v/>
      </c>
      <c r="I16" s="6">
        <f>IF(G16="","",C16&amp;G16)</f>
        <v/>
      </c>
      <c r="K16" s="9" t="inlineStr">
        <is>
          <t>男女が未入力</t>
        </is>
      </c>
      <c r="M16" s="9">
        <f>M13-M14-M15</f>
        <v/>
      </c>
    </row>
    <row r="17">
      <c r="A17" s="3" t="n"/>
      <c r="B17" s="4" t="n"/>
      <c r="C17" s="5" t="n"/>
      <c r="D17" s="6">
        <f>IF(OR(A17="",B17=""),"",COUNTIF($B$2:$B$41,"&lt;"&amp;B17)+COUNTIF($B$2:B17,B17))</f>
        <v/>
      </c>
      <c r="E17" s="5" t="n"/>
      <c r="F17" s="6">
        <f>IF(D17="","",IF(E17="",D17,E17))</f>
        <v/>
      </c>
      <c r="G17" s="6">
        <f>IF(OR(F17="",AND(C17&lt;&gt;"男",C17&lt;&gt;"女")),"",COUNTIFS($C$2:$C$41,C17,$F$2:$F$41,"&lt;"&amp;F17)+1)</f>
        <v/>
      </c>
      <c r="H17" s="7">
        <f>IF(F17="","",IF(COUNTIF($F$2:$F$41,F17)&gt;1,"⚠ 順番が重複",IF(F17&gt;COUNT($F$2:$F$41),"⚠ 番号が大きすぎ",IF(G17="","男女が未入力",""))))</f>
        <v/>
      </c>
      <c r="I17" s="6">
        <f>IF(G17="","",C17&amp;G17)</f>
        <v/>
      </c>
      <c r="K17" s="9" t="inlineStr">
        <is>
          <t>順番の重複</t>
        </is>
      </c>
      <c r="M17" s="10">
        <f>IF(COUNTIF($H$2:$H$41,"⚠*")=0,"なし","あり（チェック欄を見てください）")</f>
        <v/>
      </c>
    </row>
    <row r="18">
      <c r="A18" s="3" t="n"/>
      <c r="B18" s="4" t="n"/>
      <c r="C18" s="5" t="n"/>
      <c r="D18" s="6">
        <f>IF(OR(A18="",B18=""),"",COUNTIF($B$2:$B$41,"&lt;"&amp;B18)+COUNTIF($B$2:B18,B18))</f>
        <v/>
      </c>
      <c r="E18" s="5" t="n"/>
      <c r="F18" s="6">
        <f>IF(D18="","",IF(E18="",D18,E18))</f>
        <v/>
      </c>
      <c r="G18" s="6">
        <f>IF(OR(F18="",AND(C18&lt;&gt;"男",C18&lt;&gt;"女")),"",COUNTIFS($C$2:$C$41,C18,$F$2:$F$41,"&lt;"&amp;F18)+1)</f>
        <v/>
      </c>
      <c r="H18" s="7">
        <f>IF(F18="","",IF(COUNTIF($F$2:$F$41,F18)&gt;1,"⚠ 順番が重複",IF(F18&gt;COUNT($F$2:$F$41),"⚠ 番号が大きすぎ",IF(G18="","男女が未入力",""))))</f>
        <v/>
      </c>
      <c r="I18" s="6">
        <f>IF(G18="","",C18&amp;G18)</f>
        <v/>
      </c>
    </row>
    <row r="19">
      <c r="A19" s="3" t="n"/>
      <c r="B19" s="4" t="n"/>
      <c r="C19" s="5" t="n"/>
      <c r="D19" s="6">
        <f>IF(OR(A19="",B19=""),"",COUNTIF($B$2:$B$41,"&lt;"&amp;B19)+COUNTIF($B$2:B19,B19))</f>
        <v/>
      </c>
      <c r="E19" s="5" t="n"/>
      <c r="F19" s="6">
        <f>IF(D19="","",IF(E19="",D19,E19))</f>
        <v/>
      </c>
      <c r="G19" s="6">
        <f>IF(OR(F19="",AND(C19&lt;&gt;"男",C19&lt;&gt;"女")),"",COUNTIFS($C$2:$C$41,C19,$F$2:$F$41,"&lt;"&amp;F19)+1)</f>
        <v/>
      </c>
      <c r="H19" s="7">
        <f>IF(F19="","",IF(COUNTIF($F$2:$F$41,F19)&gt;1,"⚠ 順番が重複",IF(F19&gt;COUNT($F$2:$F$41),"⚠ 番号が大きすぎ",IF(G19="","男女が未入力",""))))</f>
        <v/>
      </c>
      <c r="I19" s="6">
        <f>IF(G19="","",C19&amp;G19)</f>
        <v/>
      </c>
    </row>
    <row r="20">
      <c r="A20" s="3" t="n"/>
      <c r="B20" s="4" t="n"/>
      <c r="C20" s="5" t="n"/>
      <c r="D20" s="6">
        <f>IF(OR(A20="",B20=""),"",COUNTIF($B$2:$B$41,"&lt;"&amp;B20)+COUNTIF($B$2:B20,B20))</f>
        <v/>
      </c>
      <c r="E20" s="5" t="n"/>
      <c r="F20" s="6">
        <f>IF(D20="","",IF(E20="",D20,E20))</f>
        <v/>
      </c>
      <c r="G20" s="6">
        <f>IF(OR(F20="",AND(C20&lt;&gt;"男",C20&lt;&gt;"女")),"",COUNTIFS($C$2:$C$41,C20,$F$2:$F$41,"&lt;"&amp;F20)+1)</f>
        <v/>
      </c>
      <c r="H20" s="7">
        <f>IF(F20="","",IF(COUNTIF($F$2:$F$41,F20)&gt;1,"⚠ 順番が重複",IF(F20&gt;COUNT($F$2:$F$41),"⚠ 番号が大きすぎ",IF(G20="","男女が未入力",""))))</f>
        <v/>
      </c>
      <c r="I20" s="6">
        <f>IF(G20="","",C20&amp;G20)</f>
        <v/>
      </c>
    </row>
    <row r="21">
      <c r="A21" s="3" t="n"/>
      <c r="B21" s="4" t="n"/>
      <c r="C21" s="5" t="n"/>
      <c r="D21" s="6">
        <f>IF(OR(A21="",B21=""),"",COUNTIF($B$2:$B$41,"&lt;"&amp;B21)+COUNTIF($B$2:B21,B21))</f>
        <v/>
      </c>
      <c r="E21" s="5" t="n"/>
      <c r="F21" s="6">
        <f>IF(D21="","",IF(E21="",D21,E21))</f>
        <v/>
      </c>
      <c r="G21" s="6">
        <f>IF(OR(F21="",AND(C21&lt;&gt;"男",C21&lt;&gt;"女")),"",COUNTIFS($C$2:$C$41,C21,$F$2:$F$41,"&lt;"&amp;F21)+1)</f>
        <v/>
      </c>
      <c r="H21" s="7">
        <f>IF(F21="","",IF(COUNTIF($F$2:$F$41,F21)&gt;1,"⚠ 順番が重複",IF(F21&gt;COUNT($F$2:$F$41),"⚠ 番号が大きすぎ",IF(G21="","男女が未入力",""))))</f>
        <v/>
      </c>
      <c r="I21" s="6">
        <f>IF(G21="","",C21&amp;G21)</f>
        <v/>
      </c>
    </row>
    <row r="22">
      <c r="A22" s="3" t="n"/>
      <c r="B22" s="4" t="n"/>
      <c r="C22" s="5" t="n"/>
      <c r="D22" s="6">
        <f>IF(OR(A22="",B22=""),"",COUNTIF($B$2:$B$41,"&lt;"&amp;B22)+COUNTIF($B$2:B22,B22))</f>
        <v/>
      </c>
      <c r="E22" s="5" t="n"/>
      <c r="F22" s="6">
        <f>IF(D22="","",IF(E22="",D22,E22))</f>
        <v/>
      </c>
      <c r="G22" s="6">
        <f>IF(OR(F22="",AND(C22&lt;&gt;"男",C22&lt;&gt;"女")),"",COUNTIFS($C$2:$C$41,C22,$F$2:$F$41,"&lt;"&amp;F22)+1)</f>
        <v/>
      </c>
      <c r="H22" s="7">
        <f>IF(F22="","",IF(COUNTIF($F$2:$F$41,F22)&gt;1,"⚠ 順番が重複",IF(F22&gt;COUNT($F$2:$F$41),"⚠ 番号が大きすぎ",IF(G22="","男女が未入力",""))))</f>
        <v/>
      </c>
      <c r="I22" s="6">
        <f>IF(G22="","",C22&amp;G22)</f>
        <v/>
      </c>
    </row>
    <row r="23">
      <c r="A23" s="3" t="n"/>
      <c r="B23" s="4" t="n"/>
      <c r="C23" s="5" t="n"/>
      <c r="D23" s="6">
        <f>IF(OR(A23="",B23=""),"",COUNTIF($B$2:$B$41,"&lt;"&amp;B23)+COUNTIF($B$2:B23,B23))</f>
        <v/>
      </c>
      <c r="E23" s="5" t="n"/>
      <c r="F23" s="6">
        <f>IF(D23="","",IF(E23="",D23,E23))</f>
        <v/>
      </c>
      <c r="G23" s="6">
        <f>IF(OR(F23="",AND(C23&lt;&gt;"男",C23&lt;&gt;"女")),"",COUNTIFS($C$2:$C$41,C23,$F$2:$F$41,"&lt;"&amp;F23)+1)</f>
        <v/>
      </c>
      <c r="H23" s="7">
        <f>IF(F23="","",IF(COUNTIF($F$2:$F$41,F23)&gt;1,"⚠ 順番が重複",IF(F23&gt;COUNT($F$2:$F$41),"⚠ 番号が大きすぎ",IF(G23="","男女が未入力",""))))</f>
        <v/>
      </c>
      <c r="I23" s="6">
        <f>IF(G23="","",C23&amp;G23)</f>
        <v/>
      </c>
    </row>
    <row r="24">
      <c r="A24" s="3" t="n"/>
      <c r="B24" s="4" t="n"/>
      <c r="C24" s="5" t="n"/>
      <c r="D24" s="6">
        <f>IF(OR(A24="",B24=""),"",COUNTIF($B$2:$B$41,"&lt;"&amp;B24)+COUNTIF($B$2:B24,B24))</f>
        <v/>
      </c>
      <c r="E24" s="5" t="n"/>
      <c r="F24" s="6">
        <f>IF(D24="","",IF(E24="",D24,E24))</f>
        <v/>
      </c>
      <c r="G24" s="6">
        <f>IF(OR(F24="",AND(C24&lt;&gt;"男",C24&lt;&gt;"女")),"",COUNTIFS($C$2:$C$41,C24,$F$2:$F$41,"&lt;"&amp;F24)+1)</f>
        <v/>
      </c>
      <c r="H24" s="7">
        <f>IF(F24="","",IF(COUNTIF($F$2:$F$41,F24)&gt;1,"⚠ 順番が重複",IF(F24&gt;COUNT($F$2:$F$41),"⚠ 番号が大きすぎ",IF(G24="","男女が未入力",""))))</f>
        <v/>
      </c>
      <c r="I24" s="6">
        <f>IF(G24="","",C24&amp;G24)</f>
        <v/>
      </c>
    </row>
    <row r="25">
      <c r="A25" s="3" t="n"/>
      <c r="B25" s="4" t="n"/>
      <c r="C25" s="5" t="n"/>
      <c r="D25" s="6">
        <f>IF(OR(A25="",B25=""),"",COUNTIF($B$2:$B$41,"&lt;"&amp;B25)+COUNTIF($B$2:B25,B25))</f>
        <v/>
      </c>
      <c r="E25" s="5" t="n"/>
      <c r="F25" s="6">
        <f>IF(D25="","",IF(E25="",D25,E25))</f>
        <v/>
      </c>
      <c r="G25" s="6">
        <f>IF(OR(F25="",AND(C25&lt;&gt;"男",C25&lt;&gt;"女")),"",COUNTIFS($C$2:$C$41,C25,$F$2:$F$41,"&lt;"&amp;F25)+1)</f>
        <v/>
      </c>
      <c r="H25" s="7">
        <f>IF(F25="","",IF(COUNTIF($F$2:$F$41,F25)&gt;1,"⚠ 順番が重複",IF(F25&gt;COUNT($F$2:$F$41),"⚠ 番号が大きすぎ",IF(G25="","男女が未入力",""))))</f>
        <v/>
      </c>
      <c r="I25" s="6">
        <f>IF(G25="","",C25&amp;G25)</f>
        <v/>
      </c>
    </row>
    <row r="26">
      <c r="A26" s="3" t="n"/>
      <c r="B26" s="4" t="n"/>
      <c r="C26" s="5" t="n"/>
      <c r="D26" s="6">
        <f>IF(OR(A26="",B26=""),"",COUNTIF($B$2:$B$41,"&lt;"&amp;B26)+COUNTIF($B$2:B26,B26))</f>
        <v/>
      </c>
      <c r="E26" s="5" t="n"/>
      <c r="F26" s="6">
        <f>IF(D26="","",IF(E26="",D26,E26))</f>
        <v/>
      </c>
      <c r="G26" s="6">
        <f>IF(OR(F26="",AND(C26&lt;&gt;"男",C26&lt;&gt;"女")),"",COUNTIFS($C$2:$C$41,C26,$F$2:$F$41,"&lt;"&amp;F26)+1)</f>
        <v/>
      </c>
      <c r="H26" s="7">
        <f>IF(F26="","",IF(COUNTIF($F$2:$F$41,F26)&gt;1,"⚠ 順番が重複",IF(F26&gt;COUNT($F$2:$F$41),"⚠ 番号が大きすぎ",IF(G26="","男女が未入力",""))))</f>
        <v/>
      </c>
      <c r="I26" s="6">
        <f>IF(G26="","",C26&amp;G26)</f>
        <v/>
      </c>
    </row>
    <row r="27">
      <c r="A27" s="3" t="n"/>
      <c r="B27" s="4" t="n"/>
      <c r="C27" s="5" t="n"/>
      <c r="D27" s="6">
        <f>IF(OR(A27="",B27=""),"",COUNTIF($B$2:$B$41,"&lt;"&amp;B27)+COUNTIF($B$2:B27,B27))</f>
        <v/>
      </c>
      <c r="E27" s="5" t="n"/>
      <c r="F27" s="6">
        <f>IF(D27="","",IF(E27="",D27,E27))</f>
        <v/>
      </c>
      <c r="G27" s="6">
        <f>IF(OR(F27="",AND(C27&lt;&gt;"男",C27&lt;&gt;"女")),"",COUNTIFS($C$2:$C$41,C27,$F$2:$F$41,"&lt;"&amp;F27)+1)</f>
        <v/>
      </c>
      <c r="H27" s="7">
        <f>IF(F27="","",IF(COUNTIF($F$2:$F$41,F27)&gt;1,"⚠ 順番が重複",IF(F27&gt;COUNT($F$2:$F$41),"⚠ 番号が大きすぎ",IF(G27="","男女が未入力",""))))</f>
        <v/>
      </c>
      <c r="I27" s="6">
        <f>IF(G27="","",C27&amp;G27)</f>
        <v/>
      </c>
    </row>
    <row r="28">
      <c r="A28" s="3" t="n"/>
      <c r="B28" s="4" t="n"/>
      <c r="C28" s="5" t="n"/>
      <c r="D28" s="6">
        <f>IF(OR(A28="",B28=""),"",COUNTIF($B$2:$B$41,"&lt;"&amp;B28)+COUNTIF($B$2:B28,B28))</f>
        <v/>
      </c>
      <c r="E28" s="5" t="n"/>
      <c r="F28" s="6">
        <f>IF(D28="","",IF(E28="",D28,E28))</f>
        <v/>
      </c>
      <c r="G28" s="6">
        <f>IF(OR(F28="",AND(C28&lt;&gt;"男",C28&lt;&gt;"女")),"",COUNTIFS($C$2:$C$41,C28,$F$2:$F$41,"&lt;"&amp;F28)+1)</f>
        <v/>
      </c>
      <c r="H28" s="7">
        <f>IF(F28="","",IF(COUNTIF($F$2:$F$41,F28)&gt;1,"⚠ 順番が重複",IF(F28&gt;COUNT($F$2:$F$41),"⚠ 番号が大きすぎ",IF(G28="","男女が未入力",""))))</f>
        <v/>
      </c>
      <c r="I28" s="6">
        <f>IF(G28="","",C28&amp;G28)</f>
        <v/>
      </c>
    </row>
    <row r="29">
      <c r="A29" s="3" t="n"/>
      <c r="B29" s="4" t="n"/>
      <c r="C29" s="5" t="n"/>
      <c r="D29" s="6">
        <f>IF(OR(A29="",B29=""),"",COUNTIF($B$2:$B$41,"&lt;"&amp;B29)+COUNTIF($B$2:B29,B29))</f>
        <v/>
      </c>
      <c r="E29" s="5" t="n"/>
      <c r="F29" s="6">
        <f>IF(D29="","",IF(E29="",D29,E29))</f>
        <v/>
      </c>
      <c r="G29" s="6">
        <f>IF(OR(F29="",AND(C29&lt;&gt;"男",C29&lt;&gt;"女")),"",COUNTIFS($C$2:$C$41,C29,$F$2:$F$41,"&lt;"&amp;F29)+1)</f>
        <v/>
      </c>
      <c r="H29" s="7">
        <f>IF(F29="","",IF(COUNTIF($F$2:$F$41,F29)&gt;1,"⚠ 順番が重複",IF(F29&gt;COUNT($F$2:$F$41),"⚠ 番号が大きすぎ",IF(G29="","男女が未入力",""))))</f>
        <v/>
      </c>
      <c r="I29" s="6">
        <f>IF(G29="","",C29&amp;G29)</f>
        <v/>
      </c>
    </row>
    <row r="30">
      <c r="A30" s="3" t="n"/>
      <c r="B30" s="4" t="n"/>
      <c r="C30" s="5" t="n"/>
      <c r="D30" s="6">
        <f>IF(OR(A30="",B30=""),"",COUNTIF($B$2:$B$41,"&lt;"&amp;B30)+COUNTIF($B$2:B30,B30))</f>
        <v/>
      </c>
      <c r="E30" s="5" t="n"/>
      <c r="F30" s="6">
        <f>IF(D30="","",IF(E30="",D30,E30))</f>
        <v/>
      </c>
      <c r="G30" s="6">
        <f>IF(OR(F30="",AND(C30&lt;&gt;"男",C30&lt;&gt;"女")),"",COUNTIFS($C$2:$C$41,C30,$F$2:$F$41,"&lt;"&amp;F30)+1)</f>
        <v/>
      </c>
      <c r="H30" s="7">
        <f>IF(F30="","",IF(COUNTIF($F$2:$F$41,F30)&gt;1,"⚠ 順番が重複",IF(F30&gt;COUNT($F$2:$F$41),"⚠ 番号が大きすぎ",IF(G30="","男女が未入力",""))))</f>
        <v/>
      </c>
      <c r="I30" s="6">
        <f>IF(G30="","",C30&amp;G30)</f>
        <v/>
      </c>
    </row>
    <row r="31">
      <c r="A31" s="3" t="n"/>
      <c r="B31" s="4" t="n"/>
      <c r="C31" s="5" t="n"/>
      <c r="D31" s="6">
        <f>IF(OR(A31="",B31=""),"",COUNTIF($B$2:$B$41,"&lt;"&amp;B31)+COUNTIF($B$2:B31,B31))</f>
        <v/>
      </c>
      <c r="E31" s="5" t="n"/>
      <c r="F31" s="6">
        <f>IF(D31="","",IF(E31="",D31,E31))</f>
        <v/>
      </c>
      <c r="G31" s="6">
        <f>IF(OR(F31="",AND(C31&lt;&gt;"男",C31&lt;&gt;"女")),"",COUNTIFS($C$2:$C$41,C31,$F$2:$F$41,"&lt;"&amp;F31)+1)</f>
        <v/>
      </c>
      <c r="H31" s="7">
        <f>IF(F31="","",IF(COUNTIF($F$2:$F$41,F31)&gt;1,"⚠ 順番が重複",IF(F31&gt;COUNT($F$2:$F$41),"⚠ 番号が大きすぎ",IF(G31="","男女が未入力",""))))</f>
        <v/>
      </c>
      <c r="I31" s="6">
        <f>IF(G31="","",C31&amp;G31)</f>
        <v/>
      </c>
    </row>
    <row r="32">
      <c r="A32" s="3" t="n"/>
      <c r="B32" s="4" t="n"/>
      <c r="C32" s="5" t="n"/>
      <c r="D32" s="6">
        <f>IF(OR(A32="",B32=""),"",COUNTIF($B$2:$B$41,"&lt;"&amp;B32)+COUNTIF($B$2:B32,B32))</f>
        <v/>
      </c>
      <c r="E32" s="5" t="n"/>
      <c r="F32" s="6">
        <f>IF(D32="","",IF(E32="",D32,E32))</f>
        <v/>
      </c>
      <c r="G32" s="6">
        <f>IF(OR(F32="",AND(C32&lt;&gt;"男",C32&lt;&gt;"女")),"",COUNTIFS($C$2:$C$41,C32,$F$2:$F$41,"&lt;"&amp;F32)+1)</f>
        <v/>
      </c>
      <c r="H32" s="7">
        <f>IF(F32="","",IF(COUNTIF($F$2:$F$41,F32)&gt;1,"⚠ 順番が重複",IF(F32&gt;COUNT($F$2:$F$41),"⚠ 番号が大きすぎ",IF(G32="","男女が未入力",""))))</f>
        <v/>
      </c>
      <c r="I32" s="6">
        <f>IF(G32="","",C32&amp;G32)</f>
        <v/>
      </c>
    </row>
    <row r="33">
      <c r="A33" s="3" t="n"/>
      <c r="B33" s="4" t="n"/>
      <c r="C33" s="5" t="n"/>
      <c r="D33" s="6">
        <f>IF(OR(A33="",B33=""),"",COUNTIF($B$2:$B$41,"&lt;"&amp;B33)+COUNTIF($B$2:B33,B33))</f>
        <v/>
      </c>
      <c r="E33" s="5" t="n"/>
      <c r="F33" s="6">
        <f>IF(D33="","",IF(E33="",D33,E33))</f>
        <v/>
      </c>
      <c r="G33" s="6">
        <f>IF(OR(F33="",AND(C33&lt;&gt;"男",C33&lt;&gt;"女")),"",COUNTIFS($C$2:$C$41,C33,$F$2:$F$41,"&lt;"&amp;F33)+1)</f>
        <v/>
      </c>
      <c r="H33" s="7">
        <f>IF(F33="","",IF(COUNTIF($F$2:$F$41,F33)&gt;1,"⚠ 順番が重複",IF(F33&gt;COUNT($F$2:$F$41),"⚠ 番号が大きすぎ",IF(G33="","男女が未入力",""))))</f>
        <v/>
      </c>
      <c r="I33" s="6">
        <f>IF(G33="","",C33&amp;G33)</f>
        <v/>
      </c>
    </row>
    <row r="34">
      <c r="A34" s="3" t="n"/>
      <c r="B34" s="4" t="n"/>
      <c r="C34" s="5" t="n"/>
      <c r="D34" s="6">
        <f>IF(OR(A34="",B34=""),"",COUNTIF($B$2:$B$41,"&lt;"&amp;B34)+COUNTIF($B$2:B34,B34))</f>
        <v/>
      </c>
      <c r="E34" s="5" t="n"/>
      <c r="F34" s="6">
        <f>IF(D34="","",IF(E34="",D34,E34))</f>
        <v/>
      </c>
      <c r="G34" s="6">
        <f>IF(OR(F34="",AND(C34&lt;&gt;"男",C34&lt;&gt;"女")),"",COUNTIFS($C$2:$C$41,C34,$F$2:$F$41,"&lt;"&amp;F34)+1)</f>
        <v/>
      </c>
      <c r="H34" s="7">
        <f>IF(F34="","",IF(COUNTIF($F$2:$F$41,F34)&gt;1,"⚠ 順番が重複",IF(F34&gt;COUNT($F$2:$F$41),"⚠ 番号が大きすぎ",IF(G34="","男女が未入力",""))))</f>
        <v/>
      </c>
      <c r="I34" s="6">
        <f>IF(G34="","",C34&amp;G34)</f>
        <v/>
      </c>
    </row>
    <row r="35">
      <c r="A35" s="3" t="n"/>
      <c r="B35" s="4" t="n"/>
      <c r="C35" s="5" t="n"/>
      <c r="D35" s="6">
        <f>IF(OR(A35="",B35=""),"",COUNTIF($B$2:$B$41,"&lt;"&amp;B35)+COUNTIF($B$2:B35,B35))</f>
        <v/>
      </c>
      <c r="E35" s="5" t="n"/>
      <c r="F35" s="6">
        <f>IF(D35="","",IF(E35="",D35,E35))</f>
        <v/>
      </c>
      <c r="G35" s="6">
        <f>IF(OR(F35="",AND(C35&lt;&gt;"男",C35&lt;&gt;"女")),"",COUNTIFS($C$2:$C$41,C35,$F$2:$F$41,"&lt;"&amp;F35)+1)</f>
        <v/>
      </c>
      <c r="H35" s="7">
        <f>IF(F35="","",IF(COUNTIF($F$2:$F$41,F35)&gt;1,"⚠ 順番が重複",IF(F35&gt;COUNT($F$2:$F$41),"⚠ 番号が大きすぎ",IF(G35="","男女が未入力",""))))</f>
        <v/>
      </c>
      <c r="I35" s="6">
        <f>IF(G35="","",C35&amp;G35)</f>
        <v/>
      </c>
    </row>
    <row r="36">
      <c r="A36" s="3" t="n"/>
      <c r="B36" s="4" t="n"/>
      <c r="C36" s="5" t="n"/>
      <c r="D36" s="6">
        <f>IF(OR(A36="",B36=""),"",COUNTIF($B$2:$B$41,"&lt;"&amp;B36)+COUNTIF($B$2:B36,B36))</f>
        <v/>
      </c>
      <c r="E36" s="5" t="n"/>
      <c r="F36" s="6">
        <f>IF(D36="","",IF(E36="",D36,E36))</f>
        <v/>
      </c>
      <c r="G36" s="6">
        <f>IF(OR(F36="",AND(C36&lt;&gt;"男",C36&lt;&gt;"女")),"",COUNTIFS($C$2:$C$41,C36,$F$2:$F$41,"&lt;"&amp;F36)+1)</f>
        <v/>
      </c>
      <c r="H36" s="7">
        <f>IF(F36="","",IF(COUNTIF($F$2:$F$41,F36)&gt;1,"⚠ 順番が重複",IF(F36&gt;COUNT($F$2:$F$41),"⚠ 番号が大きすぎ",IF(G36="","男女が未入力",""))))</f>
        <v/>
      </c>
      <c r="I36" s="6">
        <f>IF(G36="","",C36&amp;G36)</f>
        <v/>
      </c>
    </row>
    <row r="37">
      <c r="A37" s="3" t="n"/>
      <c r="B37" s="4" t="n"/>
      <c r="C37" s="5" t="n"/>
      <c r="D37" s="6">
        <f>IF(OR(A37="",B37=""),"",COUNTIF($B$2:$B$41,"&lt;"&amp;B37)+COUNTIF($B$2:B37,B37))</f>
        <v/>
      </c>
      <c r="E37" s="5" t="n"/>
      <c r="F37" s="6">
        <f>IF(D37="","",IF(E37="",D37,E37))</f>
        <v/>
      </c>
      <c r="G37" s="6">
        <f>IF(OR(F37="",AND(C37&lt;&gt;"男",C37&lt;&gt;"女")),"",COUNTIFS($C$2:$C$41,C37,$F$2:$F$41,"&lt;"&amp;F37)+1)</f>
        <v/>
      </c>
      <c r="H37" s="7">
        <f>IF(F37="","",IF(COUNTIF($F$2:$F$41,F37)&gt;1,"⚠ 順番が重複",IF(F37&gt;COUNT($F$2:$F$41),"⚠ 番号が大きすぎ",IF(G37="","男女が未入力",""))))</f>
        <v/>
      </c>
      <c r="I37" s="6">
        <f>IF(G37="","",C37&amp;G37)</f>
        <v/>
      </c>
    </row>
    <row r="38">
      <c r="A38" s="3" t="n"/>
      <c r="B38" s="4" t="n"/>
      <c r="C38" s="5" t="n"/>
      <c r="D38" s="6">
        <f>IF(OR(A38="",B38=""),"",COUNTIF($B$2:$B$41,"&lt;"&amp;B38)+COUNTIF($B$2:B38,B38))</f>
        <v/>
      </c>
      <c r="E38" s="5" t="n"/>
      <c r="F38" s="6">
        <f>IF(D38="","",IF(E38="",D38,E38))</f>
        <v/>
      </c>
      <c r="G38" s="6">
        <f>IF(OR(F38="",AND(C38&lt;&gt;"男",C38&lt;&gt;"女")),"",COUNTIFS($C$2:$C$41,C38,$F$2:$F$41,"&lt;"&amp;F38)+1)</f>
        <v/>
      </c>
      <c r="H38" s="7">
        <f>IF(F38="","",IF(COUNTIF($F$2:$F$41,F38)&gt;1,"⚠ 順番が重複",IF(F38&gt;COUNT($F$2:$F$41),"⚠ 番号が大きすぎ",IF(G38="","男女が未入力",""))))</f>
        <v/>
      </c>
      <c r="I38" s="6">
        <f>IF(G38="","",C38&amp;G38)</f>
        <v/>
      </c>
    </row>
    <row r="39">
      <c r="A39" s="3" t="n"/>
      <c r="B39" s="4" t="n"/>
      <c r="C39" s="5" t="n"/>
      <c r="D39" s="6">
        <f>IF(OR(A39="",B39=""),"",COUNTIF($B$2:$B$41,"&lt;"&amp;B39)+COUNTIF($B$2:B39,B39))</f>
        <v/>
      </c>
      <c r="E39" s="5" t="n"/>
      <c r="F39" s="6">
        <f>IF(D39="","",IF(E39="",D39,E39))</f>
        <v/>
      </c>
      <c r="G39" s="6">
        <f>IF(OR(F39="",AND(C39&lt;&gt;"男",C39&lt;&gt;"女")),"",COUNTIFS($C$2:$C$41,C39,$F$2:$F$41,"&lt;"&amp;F39)+1)</f>
        <v/>
      </c>
      <c r="H39" s="7">
        <f>IF(F39="","",IF(COUNTIF($F$2:$F$41,F39)&gt;1,"⚠ 順番が重複",IF(F39&gt;COUNT($F$2:$F$41),"⚠ 番号が大きすぎ",IF(G39="","男女が未入力",""))))</f>
        <v/>
      </c>
      <c r="I39" s="6">
        <f>IF(G39="","",C39&amp;G39)</f>
        <v/>
      </c>
    </row>
    <row r="40">
      <c r="A40" s="3" t="n"/>
      <c r="B40" s="4" t="n"/>
      <c r="C40" s="5" t="n"/>
      <c r="D40" s="6">
        <f>IF(OR(A40="",B40=""),"",COUNTIF($B$2:$B$41,"&lt;"&amp;B40)+COUNTIF($B$2:B40,B40))</f>
        <v/>
      </c>
      <c r="E40" s="5" t="n"/>
      <c r="F40" s="6">
        <f>IF(D40="","",IF(E40="",D40,E40))</f>
        <v/>
      </c>
      <c r="G40" s="6">
        <f>IF(OR(F40="",AND(C40&lt;&gt;"男",C40&lt;&gt;"女")),"",COUNTIFS($C$2:$C$41,C40,$F$2:$F$41,"&lt;"&amp;F40)+1)</f>
        <v/>
      </c>
      <c r="H40" s="7">
        <f>IF(F40="","",IF(COUNTIF($F$2:$F$41,F40)&gt;1,"⚠ 順番が重複",IF(F40&gt;COUNT($F$2:$F$41),"⚠ 番号が大きすぎ",IF(G40="","男女が未入力",""))))</f>
        <v/>
      </c>
      <c r="I40" s="6">
        <f>IF(G40="","",C40&amp;G40)</f>
        <v/>
      </c>
    </row>
    <row r="41">
      <c r="A41" s="3" t="n"/>
      <c r="B41" s="4" t="n"/>
      <c r="C41" s="5" t="n"/>
      <c r="D41" s="6">
        <f>IF(OR(A41="",B41=""),"",COUNTIF($B$2:$B$41,"&lt;"&amp;B41)+COUNTIF($B$2:B41,B41))</f>
        <v/>
      </c>
      <c r="E41" s="5" t="n"/>
      <c r="F41" s="6">
        <f>IF(D41="","",IF(E41="",D41,E41))</f>
        <v/>
      </c>
      <c r="G41" s="6">
        <f>IF(OR(F41="",AND(C41&lt;&gt;"男",C41&lt;&gt;"女")),"",COUNTIFS($C$2:$C$41,C41,$F$2:$F$41,"&lt;"&amp;F41)+1)</f>
        <v/>
      </c>
      <c r="H41" s="7">
        <f>IF(F41="","",IF(COUNTIF($F$2:$F$41,F41)&gt;1,"⚠ 順番が重複",IF(F41&gt;COUNT($F$2:$F$41),"⚠ 番号が大きすぎ",IF(G41="","男女が未入力",""))))</f>
        <v/>
      </c>
      <c r="I41" s="6">
        <f>IF(G41="","",C41&amp;G41)</f>
        <v/>
      </c>
    </row>
  </sheetData>
  <dataValidations count="3">
    <dataValidation sqref="B2:B41" showDropDown="0" showInputMessage="0" showErrorMessage="1" allowBlank="0" errorTitle="身長" error="身長は cm の数字で入れてください（例：132.5）" type="decimal" operator="between">
      <formula1>50</formula1>
      <formula2>250</formula2>
    </dataValidation>
    <dataValidation sqref="C2:C41" showDropDown="0" showInputMessage="0" showErrorMessage="1" allowBlank="1" errorTitle="男女" error="「男」か「女」を入れてください" type="list">
      <formula1>"男,女"</formula1>
    </dataValidation>
    <dataValidation sqref="E2:E41" showDropDown="0" showInputMessage="0" showErrorMessage="1" allowBlank="0" errorTitle="手動の順番" error="1〜40 の整数を入れてください" type="whole" operator="between">
      <formula1>1</formula1>
      <formula2>40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0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3" customWidth="1" min="3" max="3"/>
    <col width="3" customWidth="1" min="4" max="4"/>
    <col width="5" customWidth="1" min="5" max="5"/>
    <col width="13" customWidth="1" min="6" max="6"/>
    <col width="13" customWidth="1" min="7" max="7"/>
    <col width="3" customWidth="1" min="8" max="8"/>
  </cols>
  <sheetData>
    <row r="1">
      <c r="A1" s="11" t="inlineStr">
        <is>
          <t>背の順　1・2列</t>
        </is>
      </c>
    </row>
    <row r="2">
      <c r="A2" s="12" t="inlineStr">
        <is>
          <t>上が前・下が前を両方出しています。印刷したい並びの黄色いマスに ○ を入れると「印刷用」シートに出ます。</t>
        </is>
      </c>
    </row>
    <row r="4">
      <c r="A4" s="13" t="inlineStr">
        <is>
          <t>1列</t>
        </is>
      </c>
    </row>
    <row r="5">
      <c r="B5" s="9" t="inlineStr">
        <is>
          <t>上が前</t>
        </is>
      </c>
      <c r="F5" s="9" t="inlineStr">
        <is>
          <t>下が前</t>
        </is>
      </c>
    </row>
    <row r="7">
      <c r="A7" s="14">
        <f>IF(0=1,"後ろ","前")</f>
        <v/>
      </c>
      <c r="B7" s="15">
        <f>IF(ISNUMBER($A7),IFERROR(INDEX('入力シート'!$A$2:$A$41,MATCH($A7,'入力シート'!$F$2:$F$41,0)),""),"")</f>
        <v/>
      </c>
      <c r="E7" s="14">
        <f>IF(1=1,"後ろ","前")</f>
        <v/>
      </c>
      <c r="F7" s="15">
        <f>IF(ISNUMBER($E7),IFERROR(INDEX('入力シート'!$A$2:$A$41,MATCH($E7,'入力シート'!$F$2:$F$41,0)),""),"")</f>
        <v/>
      </c>
    </row>
    <row r="8">
      <c r="A8" s="14">
        <f>IF(1&lt;='入力シート'!$M$13,IF(0=1,'入力シート'!$M$13+1-1,1),IF(1='入力シート'!$M$13+1,IF(0=1,"前","後ろ"),""))</f>
        <v/>
      </c>
      <c r="B8" s="15">
        <f>IF(ISNUMBER($A8),IFERROR(INDEX('入力シート'!$A$2:$A$41,MATCH($A8,'入力シート'!$F$2:$F$41,0)),""),"")</f>
        <v/>
      </c>
      <c r="E8" s="14">
        <f>IF(1&lt;='入力シート'!$M$13,IF(1=1,'入力シート'!$M$13+1-1,1),IF(1='入力シート'!$M$13+1,IF(1=1,"前","後ろ"),""))</f>
        <v/>
      </c>
      <c r="F8" s="15">
        <f>IF(ISNUMBER($E8),IFERROR(INDEX('入力シート'!$A$2:$A$41,MATCH($E8,'入力シート'!$F$2:$F$41,0)),""),"")</f>
        <v/>
      </c>
    </row>
    <row r="9">
      <c r="A9" s="14">
        <f>IF(2&lt;='入力シート'!$M$13,IF(0=1,'入力シート'!$M$13+1-2,2),IF(2='入力シート'!$M$13+1,IF(0=1,"前","後ろ"),""))</f>
        <v/>
      </c>
      <c r="B9" s="15">
        <f>IF(ISNUMBER($A9),IFERROR(INDEX('入力シート'!$A$2:$A$41,MATCH($A9,'入力シート'!$F$2:$F$41,0)),""),"")</f>
        <v/>
      </c>
      <c r="E9" s="14">
        <f>IF(2&lt;='入力シート'!$M$13,IF(1=1,'入力シート'!$M$13+1-2,2),IF(2='入力シート'!$M$13+1,IF(1=1,"前","後ろ"),""))</f>
        <v/>
      </c>
      <c r="F9" s="15">
        <f>IF(ISNUMBER($E9),IFERROR(INDEX('入力シート'!$A$2:$A$41,MATCH($E9,'入力シート'!$F$2:$F$41,0)),""),"")</f>
        <v/>
      </c>
    </row>
    <row r="10">
      <c r="A10" s="14">
        <f>IF(3&lt;='入力シート'!$M$13,IF(0=1,'入力シート'!$M$13+1-3,3),IF(3='入力シート'!$M$13+1,IF(0=1,"前","後ろ"),""))</f>
        <v/>
      </c>
      <c r="B10" s="15">
        <f>IF(ISNUMBER($A10),IFERROR(INDEX('入力シート'!$A$2:$A$41,MATCH($A10,'入力シート'!$F$2:$F$41,0)),""),"")</f>
        <v/>
      </c>
      <c r="E10" s="14">
        <f>IF(3&lt;='入力シート'!$M$13,IF(1=1,'入力シート'!$M$13+1-3,3),IF(3='入力シート'!$M$13+1,IF(1=1,"前","後ろ"),""))</f>
        <v/>
      </c>
      <c r="F10" s="15">
        <f>IF(ISNUMBER($E10),IFERROR(INDEX('入力シート'!$A$2:$A$41,MATCH($E10,'入力シート'!$F$2:$F$41,0)),""),"")</f>
        <v/>
      </c>
    </row>
    <row r="11">
      <c r="A11" s="14">
        <f>IF(4&lt;='入力シート'!$M$13,IF(0=1,'入力シート'!$M$13+1-4,4),IF(4='入力シート'!$M$13+1,IF(0=1,"前","後ろ"),""))</f>
        <v/>
      </c>
      <c r="B11" s="15">
        <f>IF(ISNUMBER($A11),IFERROR(INDEX('入力シート'!$A$2:$A$41,MATCH($A11,'入力シート'!$F$2:$F$41,0)),""),"")</f>
        <v/>
      </c>
      <c r="E11" s="14">
        <f>IF(4&lt;='入力シート'!$M$13,IF(1=1,'入力シート'!$M$13+1-4,4),IF(4='入力シート'!$M$13+1,IF(1=1,"前","後ろ"),""))</f>
        <v/>
      </c>
      <c r="F11" s="15">
        <f>IF(ISNUMBER($E11),IFERROR(INDEX('入力シート'!$A$2:$A$41,MATCH($E11,'入力シート'!$F$2:$F$41,0)),""),"")</f>
        <v/>
      </c>
    </row>
    <row r="12">
      <c r="A12" s="14">
        <f>IF(5&lt;='入力シート'!$M$13,IF(0=1,'入力シート'!$M$13+1-5,5),IF(5='入力シート'!$M$13+1,IF(0=1,"前","後ろ"),""))</f>
        <v/>
      </c>
      <c r="B12" s="15">
        <f>IF(ISNUMBER($A12),IFERROR(INDEX('入力シート'!$A$2:$A$41,MATCH($A12,'入力シート'!$F$2:$F$41,0)),""),"")</f>
        <v/>
      </c>
      <c r="E12" s="14">
        <f>IF(5&lt;='入力シート'!$M$13,IF(1=1,'入力シート'!$M$13+1-5,5),IF(5='入力シート'!$M$13+1,IF(1=1,"前","後ろ"),""))</f>
        <v/>
      </c>
      <c r="F12" s="15">
        <f>IF(ISNUMBER($E12),IFERROR(INDEX('入力シート'!$A$2:$A$41,MATCH($E12,'入力シート'!$F$2:$F$41,0)),""),"")</f>
        <v/>
      </c>
    </row>
    <row r="13">
      <c r="A13" s="14">
        <f>IF(6&lt;='入力シート'!$M$13,IF(0=1,'入力シート'!$M$13+1-6,6),IF(6='入力シート'!$M$13+1,IF(0=1,"前","後ろ"),""))</f>
        <v/>
      </c>
      <c r="B13" s="15">
        <f>IF(ISNUMBER($A13),IFERROR(INDEX('入力シート'!$A$2:$A$41,MATCH($A13,'入力シート'!$F$2:$F$41,0)),""),"")</f>
        <v/>
      </c>
      <c r="E13" s="14">
        <f>IF(6&lt;='入力シート'!$M$13,IF(1=1,'入力シート'!$M$13+1-6,6),IF(6='入力シート'!$M$13+1,IF(1=1,"前","後ろ"),""))</f>
        <v/>
      </c>
      <c r="F13" s="15">
        <f>IF(ISNUMBER($E13),IFERROR(INDEX('入力シート'!$A$2:$A$41,MATCH($E13,'入力シート'!$F$2:$F$41,0)),""),"")</f>
        <v/>
      </c>
    </row>
    <row r="14">
      <c r="A14" s="14">
        <f>IF(7&lt;='入力シート'!$M$13,IF(0=1,'入力シート'!$M$13+1-7,7),IF(7='入力シート'!$M$13+1,IF(0=1,"前","後ろ"),""))</f>
        <v/>
      </c>
      <c r="B14" s="15">
        <f>IF(ISNUMBER($A14),IFERROR(INDEX('入力シート'!$A$2:$A$41,MATCH($A14,'入力シート'!$F$2:$F$41,0)),""),"")</f>
        <v/>
      </c>
      <c r="E14" s="14">
        <f>IF(7&lt;='入力シート'!$M$13,IF(1=1,'入力シート'!$M$13+1-7,7),IF(7='入力シート'!$M$13+1,IF(1=1,"前","後ろ"),""))</f>
        <v/>
      </c>
      <c r="F14" s="15">
        <f>IF(ISNUMBER($E14),IFERROR(INDEX('入力シート'!$A$2:$A$41,MATCH($E14,'入力シート'!$F$2:$F$41,0)),""),"")</f>
        <v/>
      </c>
    </row>
    <row r="15">
      <c r="A15" s="14">
        <f>IF(8&lt;='入力シート'!$M$13,IF(0=1,'入力シート'!$M$13+1-8,8),IF(8='入力シート'!$M$13+1,IF(0=1,"前","後ろ"),""))</f>
        <v/>
      </c>
      <c r="B15" s="15">
        <f>IF(ISNUMBER($A15),IFERROR(INDEX('入力シート'!$A$2:$A$41,MATCH($A15,'入力シート'!$F$2:$F$41,0)),""),"")</f>
        <v/>
      </c>
      <c r="E15" s="14">
        <f>IF(8&lt;='入力シート'!$M$13,IF(1=1,'入力シート'!$M$13+1-8,8),IF(8='入力シート'!$M$13+1,IF(1=1,"前","後ろ"),""))</f>
        <v/>
      </c>
      <c r="F15" s="15">
        <f>IF(ISNUMBER($E15),IFERROR(INDEX('入力シート'!$A$2:$A$41,MATCH($E15,'入力シート'!$F$2:$F$41,0)),""),"")</f>
        <v/>
      </c>
    </row>
    <row r="16">
      <c r="A16" s="14">
        <f>IF(9&lt;='入力シート'!$M$13,IF(0=1,'入力シート'!$M$13+1-9,9),IF(9='入力シート'!$M$13+1,IF(0=1,"前","後ろ"),""))</f>
        <v/>
      </c>
      <c r="B16" s="15">
        <f>IF(ISNUMBER($A16),IFERROR(INDEX('入力シート'!$A$2:$A$41,MATCH($A16,'入力シート'!$F$2:$F$41,0)),""),"")</f>
        <v/>
      </c>
      <c r="E16" s="14">
        <f>IF(9&lt;='入力シート'!$M$13,IF(1=1,'入力シート'!$M$13+1-9,9),IF(9='入力シート'!$M$13+1,IF(1=1,"前","後ろ"),""))</f>
        <v/>
      </c>
      <c r="F16" s="15">
        <f>IF(ISNUMBER($E16),IFERROR(INDEX('入力シート'!$A$2:$A$41,MATCH($E16,'入力シート'!$F$2:$F$41,0)),""),"")</f>
        <v/>
      </c>
    </row>
    <row r="17">
      <c r="A17" s="14">
        <f>IF(10&lt;='入力シート'!$M$13,IF(0=1,'入力シート'!$M$13+1-10,10),IF(10='入力シート'!$M$13+1,IF(0=1,"前","後ろ"),""))</f>
        <v/>
      </c>
      <c r="B17" s="15">
        <f>IF(ISNUMBER($A17),IFERROR(INDEX('入力シート'!$A$2:$A$41,MATCH($A17,'入力シート'!$F$2:$F$41,0)),""),"")</f>
        <v/>
      </c>
      <c r="E17" s="14">
        <f>IF(10&lt;='入力シート'!$M$13,IF(1=1,'入力シート'!$M$13+1-10,10),IF(10='入力シート'!$M$13+1,IF(1=1,"前","後ろ"),""))</f>
        <v/>
      </c>
      <c r="F17" s="15">
        <f>IF(ISNUMBER($E17),IFERROR(INDEX('入力シート'!$A$2:$A$41,MATCH($E17,'入力シート'!$F$2:$F$41,0)),""),"")</f>
        <v/>
      </c>
    </row>
    <row r="18">
      <c r="A18" s="14">
        <f>IF(11&lt;='入力シート'!$M$13,IF(0=1,'入力シート'!$M$13+1-11,11),IF(11='入力シート'!$M$13+1,IF(0=1,"前","後ろ"),""))</f>
        <v/>
      </c>
      <c r="B18" s="15">
        <f>IF(ISNUMBER($A18),IFERROR(INDEX('入力シート'!$A$2:$A$41,MATCH($A18,'入力シート'!$F$2:$F$41,0)),""),"")</f>
        <v/>
      </c>
      <c r="E18" s="14">
        <f>IF(11&lt;='入力シート'!$M$13,IF(1=1,'入力シート'!$M$13+1-11,11),IF(11='入力シート'!$M$13+1,IF(1=1,"前","後ろ"),""))</f>
        <v/>
      </c>
      <c r="F18" s="15">
        <f>IF(ISNUMBER($E18),IFERROR(INDEX('入力シート'!$A$2:$A$41,MATCH($E18,'入力シート'!$F$2:$F$41,0)),""),"")</f>
        <v/>
      </c>
    </row>
    <row r="19">
      <c r="A19" s="14">
        <f>IF(12&lt;='入力シート'!$M$13,IF(0=1,'入力シート'!$M$13+1-12,12),IF(12='入力シート'!$M$13+1,IF(0=1,"前","後ろ"),""))</f>
        <v/>
      </c>
      <c r="B19" s="15">
        <f>IF(ISNUMBER($A19),IFERROR(INDEX('入力シート'!$A$2:$A$41,MATCH($A19,'入力シート'!$F$2:$F$41,0)),""),"")</f>
        <v/>
      </c>
      <c r="E19" s="14">
        <f>IF(12&lt;='入力シート'!$M$13,IF(1=1,'入力シート'!$M$13+1-12,12),IF(12='入力シート'!$M$13+1,IF(1=1,"前","後ろ"),""))</f>
        <v/>
      </c>
      <c r="F19" s="15">
        <f>IF(ISNUMBER($E19),IFERROR(INDEX('入力シート'!$A$2:$A$41,MATCH($E19,'入力シート'!$F$2:$F$41,0)),""),"")</f>
        <v/>
      </c>
    </row>
    <row r="20">
      <c r="A20" s="14">
        <f>IF(13&lt;='入力シート'!$M$13,IF(0=1,'入力シート'!$M$13+1-13,13),IF(13='入力シート'!$M$13+1,IF(0=1,"前","後ろ"),""))</f>
        <v/>
      </c>
      <c r="B20" s="15">
        <f>IF(ISNUMBER($A20),IFERROR(INDEX('入力シート'!$A$2:$A$41,MATCH($A20,'入力シート'!$F$2:$F$41,0)),""),"")</f>
        <v/>
      </c>
      <c r="E20" s="14">
        <f>IF(13&lt;='入力シート'!$M$13,IF(1=1,'入力シート'!$M$13+1-13,13),IF(13='入力シート'!$M$13+1,IF(1=1,"前","後ろ"),""))</f>
        <v/>
      </c>
      <c r="F20" s="15">
        <f>IF(ISNUMBER($E20),IFERROR(INDEX('入力シート'!$A$2:$A$41,MATCH($E20,'入力シート'!$F$2:$F$41,0)),""),"")</f>
        <v/>
      </c>
    </row>
    <row r="21">
      <c r="A21" s="14">
        <f>IF(14&lt;='入力シート'!$M$13,IF(0=1,'入力シート'!$M$13+1-14,14),IF(14='入力シート'!$M$13+1,IF(0=1,"前","後ろ"),""))</f>
        <v/>
      </c>
      <c r="B21" s="15">
        <f>IF(ISNUMBER($A21),IFERROR(INDEX('入力シート'!$A$2:$A$41,MATCH($A21,'入力シート'!$F$2:$F$41,0)),""),"")</f>
        <v/>
      </c>
      <c r="E21" s="14">
        <f>IF(14&lt;='入力シート'!$M$13,IF(1=1,'入力シート'!$M$13+1-14,14),IF(14='入力シート'!$M$13+1,IF(1=1,"前","後ろ"),""))</f>
        <v/>
      </c>
      <c r="F21" s="15">
        <f>IF(ISNUMBER($E21),IFERROR(INDEX('入力シート'!$A$2:$A$41,MATCH($E21,'入力シート'!$F$2:$F$41,0)),""),"")</f>
        <v/>
      </c>
    </row>
    <row r="22">
      <c r="A22" s="14">
        <f>IF(15&lt;='入力シート'!$M$13,IF(0=1,'入力シート'!$M$13+1-15,15),IF(15='入力シート'!$M$13+1,IF(0=1,"前","後ろ"),""))</f>
        <v/>
      </c>
      <c r="B22" s="15">
        <f>IF(ISNUMBER($A22),IFERROR(INDEX('入力シート'!$A$2:$A$41,MATCH($A22,'入力シート'!$F$2:$F$41,0)),""),"")</f>
        <v/>
      </c>
      <c r="E22" s="14">
        <f>IF(15&lt;='入力シート'!$M$13,IF(1=1,'入力シート'!$M$13+1-15,15),IF(15='入力シート'!$M$13+1,IF(1=1,"前","後ろ"),""))</f>
        <v/>
      </c>
      <c r="F22" s="15">
        <f>IF(ISNUMBER($E22),IFERROR(INDEX('入力シート'!$A$2:$A$41,MATCH($E22,'入力シート'!$F$2:$F$41,0)),""),"")</f>
        <v/>
      </c>
    </row>
    <row r="23">
      <c r="A23" s="14">
        <f>IF(16&lt;='入力シート'!$M$13,IF(0=1,'入力シート'!$M$13+1-16,16),IF(16='入力シート'!$M$13+1,IF(0=1,"前","後ろ"),""))</f>
        <v/>
      </c>
      <c r="B23" s="15">
        <f>IF(ISNUMBER($A23),IFERROR(INDEX('入力シート'!$A$2:$A$41,MATCH($A23,'入力シート'!$F$2:$F$41,0)),""),"")</f>
        <v/>
      </c>
      <c r="E23" s="14">
        <f>IF(16&lt;='入力シート'!$M$13,IF(1=1,'入力シート'!$M$13+1-16,16),IF(16='入力シート'!$M$13+1,IF(1=1,"前","後ろ"),""))</f>
        <v/>
      </c>
      <c r="F23" s="15">
        <f>IF(ISNUMBER($E23),IFERROR(INDEX('入力シート'!$A$2:$A$41,MATCH($E23,'入力シート'!$F$2:$F$41,0)),""),"")</f>
        <v/>
      </c>
    </row>
    <row r="24">
      <c r="A24" s="14">
        <f>IF(17&lt;='入力シート'!$M$13,IF(0=1,'入力シート'!$M$13+1-17,17),IF(17='入力シート'!$M$13+1,IF(0=1,"前","後ろ"),""))</f>
        <v/>
      </c>
      <c r="B24" s="15">
        <f>IF(ISNUMBER($A24),IFERROR(INDEX('入力シート'!$A$2:$A$41,MATCH($A24,'入力シート'!$F$2:$F$41,0)),""),"")</f>
        <v/>
      </c>
      <c r="E24" s="14">
        <f>IF(17&lt;='入力シート'!$M$13,IF(1=1,'入力シート'!$M$13+1-17,17),IF(17='入力シート'!$M$13+1,IF(1=1,"前","後ろ"),""))</f>
        <v/>
      </c>
      <c r="F24" s="15">
        <f>IF(ISNUMBER($E24),IFERROR(INDEX('入力シート'!$A$2:$A$41,MATCH($E24,'入力シート'!$F$2:$F$41,0)),""),"")</f>
        <v/>
      </c>
    </row>
    <row r="25">
      <c r="A25" s="14">
        <f>IF(18&lt;='入力シート'!$M$13,IF(0=1,'入力シート'!$M$13+1-18,18),IF(18='入力シート'!$M$13+1,IF(0=1,"前","後ろ"),""))</f>
        <v/>
      </c>
      <c r="B25" s="15">
        <f>IF(ISNUMBER($A25),IFERROR(INDEX('入力シート'!$A$2:$A$41,MATCH($A25,'入力シート'!$F$2:$F$41,0)),""),"")</f>
        <v/>
      </c>
      <c r="E25" s="14">
        <f>IF(18&lt;='入力シート'!$M$13,IF(1=1,'入力シート'!$M$13+1-18,18),IF(18='入力シート'!$M$13+1,IF(1=1,"前","後ろ"),""))</f>
        <v/>
      </c>
      <c r="F25" s="15">
        <f>IF(ISNUMBER($E25),IFERROR(INDEX('入力シート'!$A$2:$A$41,MATCH($E25,'入力シート'!$F$2:$F$41,0)),""),"")</f>
        <v/>
      </c>
    </row>
    <row r="26">
      <c r="A26" s="14">
        <f>IF(19&lt;='入力シート'!$M$13,IF(0=1,'入力シート'!$M$13+1-19,19),IF(19='入力シート'!$M$13+1,IF(0=1,"前","後ろ"),""))</f>
        <v/>
      </c>
      <c r="B26" s="15">
        <f>IF(ISNUMBER($A26),IFERROR(INDEX('入力シート'!$A$2:$A$41,MATCH($A26,'入力シート'!$F$2:$F$41,0)),""),"")</f>
        <v/>
      </c>
      <c r="E26" s="14">
        <f>IF(19&lt;='入力シート'!$M$13,IF(1=1,'入力シート'!$M$13+1-19,19),IF(19='入力シート'!$M$13+1,IF(1=1,"前","後ろ"),""))</f>
        <v/>
      </c>
      <c r="F26" s="15">
        <f>IF(ISNUMBER($E26),IFERROR(INDEX('入力シート'!$A$2:$A$41,MATCH($E26,'入力シート'!$F$2:$F$41,0)),""),"")</f>
        <v/>
      </c>
    </row>
    <row r="27">
      <c r="A27" s="14">
        <f>IF(20&lt;='入力シート'!$M$13,IF(0=1,'入力シート'!$M$13+1-20,20),IF(20='入力シート'!$M$13+1,IF(0=1,"前","後ろ"),""))</f>
        <v/>
      </c>
      <c r="B27" s="15">
        <f>IF(ISNUMBER($A27),IFERROR(INDEX('入力シート'!$A$2:$A$41,MATCH($A27,'入力シート'!$F$2:$F$41,0)),""),"")</f>
        <v/>
      </c>
      <c r="E27" s="14">
        <f>IF(20&lt;='入力シート'!$M$13,IF(1=1,'入力シート'!$M$13+1-20,20),IF(20='入力シート'!$M$13+1,IF(1=1,"前","後ろ"),""))</f>
        <v/>
      </c>
      <c r="F27" s="15">
        <f>IF(ISNUMBER($E27),IFERROR(INDEX('入力シート'!$A$2:$A$41,MATCH($E27,'入力シート'!$F$2:$F$41,0)),""),"")</f>
        <v/>
      </c>
    </row>
    <row r="28">
      <c r="A28" s="14">
        <f>IF(21&lt;='入力シート'!$M$13,IF(0=1,'入力シート'!$M$13+1-21,21),IF(21='入力シート'!$M$13+1,IF(0=1,"前","後ろ"),""))</f>
        <v/>
      </c>
      <c r="B28" s="15">
        <f>IF(ISNUMBER($A28),IFERROR(INDEX('入力シート'!$A$2:$A$41,MATCH($A28,'入力シート'!$F$2:$F$41,0)),""),"")</f>
        <v/>
      </c>
      <c r="E28" s="14">
        <f>IF(21&lt;='入力シート'!$M$13,IF(1=1,'入力シート'!$M$13+1-21,21),IF(21='入力シート'!$M$13+1,IF(1=1,"前","後ろ"),""))</f>
        <v/>
      </c>
      <c r="F28" s="15">
        <f>IF(ISNUMBER($E28),IFERROR(INDEX('入力シート'!$A$2:$A$41,MATCH($E28,'入力シート'!$F$2:$F$41,0)),""),"")</f>
        <v/>
      </c>
    </row>
    <row r="29">
      <c r="A29" s="14">
        <f>IF(22&lt;='入力シート'!$M$13,IF(0=1,'入力シート'!$M$13+1-22,22),IF(22='入力シート'!$M$13+1,IF(0=1,"前","後ろ"),""))</f>
        <v/>
      </c>
      <c r="B29" s="15">
        <f>IF(ISNUMBER($A29),IFERROR(INDEX('入力シート'!$A$2:$A$41,MATCH($A29,'入力シート'!$F$2:$F$41,0)),""),"")</f>
        <v/>
      </c>
      <c r="E29" s="14">
        <f>IF(22&lt;='入力シート'!$M$13,IF(1=1,'入力シート'!$M$13+1-22,22),IF(22='入力シート'!$M$13+1,IF(1=1,"前","後ろ"),""))</f>
        <v/>
      </c>
      <c r="F29" s="15">
        <f>IF(ISNUMBER($E29),IFERROR(INDEX('入力シート'!$A$2:$A$41,MATCH($E29,'入力シート'!$F$2:$F$41,0)),""),"")</f>
        <v/>
      </c>
    </row>
    <row r="30">
      <c r="A30" s="14">
        <f>IF(23&lt;='入力シート'!$M$13,IF(0=1,'入力シート'!$M$13+1-23,23),IF(23='入力シート'!$M$13+1,IF(0=1,"前","後ろ"),""))</f>
        <v/>
      </c>
      <c r="B30" s="15">
        <f>IF(ISNUMBER($A30),IFERROR(INDEX('入力シート'!$A$2:$A$41,MATCH($A30,'入力シート'!$F$2:$F$41,0)),""),"")</f>
        <v/>
      </c>
      <c r="E30" s="14">
        <f>IF(23&lt;='入力シート'!$M$13,IF(1=1,'入力シート'!$M$13+1-23,23),IF(23='入力シート'!$M$13+1,IF(1=1,"前","後ろ"),""))</f>
        <v/>
      </c>
      <c r="F30" s="15">
        <f>IF(ISNUMBER($E30),IFERROR(INDEX('入力シート'!$A$2:$A$41,MATCH($E30,'入力シート'!$F$2:$F$41,0)),""),"")</f>
        <v/>
      </c>
    </row>
    <row r="31">
      <c r="A31" s="14">
        <f>IF(24&lt;='入力シート'!$M$13,IF(0=1,'入力シート'!$M$13+1-24,24),IF(24='入力シート'!$M$13+1,IF(0=1,"前","後ろ"),""))</f>
        <v/>
      </c>
      <c r="B31" s="15">
        <f>IF(ISNUMBER($A31),IFERROR(INDEX('入力シート'!$A$2:$A$41,MATCH($A31,'入力シート'!$F$2:$F$41,0)),""),"")</f>
        <v/>
      </c>
      <c r="E31" s="14">
        <f>IF(24&lt;='入力シート'!$M$13,IF(1=1,'入力シート'!$M$13+1-24,24),IF(24='入力シート'!$M$13+1,IF(1=1,"前","後ろ"),""))</f>
        <v/>
      </c>
      <c r="F31" s="15">
        <f>IF(ISNUMBER($E31),IFERROR(INDEX('入力シート'!$A$2:$A$41,MATCH($E31,'入力シート'!$F$2:$F$41,0)),""),"")</f>
        <v/>
      </c>
    </row>
    <row r="32">
      <c r="A32" s="14">
        <f>IF(25&lt;='入力シート'!$M$13,IF(0=1,'入力シート'!$M$13+1-25,25),IF(25='入力シート'!$M$13+1,IF(0=1,"前","後ろ"),""))</f>
        <v/>
      </c>
      <c r="B32" s="15">
        <f>IF(ISNUMBER($A32),IFERROR(INDEX('入力シート'!$A$2:$A$41,MATCH($A32,'入力シート'!$F$2:$F$41,0)),""),"")</f>
        <v/>
      </c>
      <c r="E32" s="14">
        <f>IF(25&lt;='入力シート'!$M$13,IF(1=1,'入力シート'!$M$13+1-25,25),IF(25='入力シート'!$M$13+1,IF(1=1,"前","後ろ"),""))</f>
        <v/>
      </c>
      <c r="F32" s="15">
        <f>IF(ISNUMBER($E32),IFERROR(INDEX('入力シート'!$A$2:$A$41,MATCH($E32,'入力シート'!$F$2:$F$41,0)),""),"")</f>
        <v/>
      </c>
    </row>
    <row r="33">
      <c r="A33" s="14">
        <f>IF(26&lt;='入力シート'!$M$13,IF(0=1,'入力シート'!$M$13+1-26,26),IF(26='入力シート'!$M$13+1,IF(0=1,"前","後ろ"),""))</f>
        <v/>
      </c>
      <c r="B33" s="15">
        <f>IF(ISNUMBER($A33),IFERROR(INDEX('入力シート'!$A$2:$A$41,MATCH($A33,'入力シート'!$F$2:$F$41,0)),""),"")</f>
        <v/>
      </c>
      <c r="E33" s="14">
        <f>IF(26&lt;='入力シート'!$M$13,IF(1=1,'入力シート'!$M$13+1-26,26),IF(26='入力シート'!$M$13+1,IF(1=1,"前","後ろ"),""))</f>
        <v/>
      </c>
      <c r="F33" s="15">
        <f>IF(ISNUMBER($E33),IFERROR(INDEX('入力シート'!$A$2:$A$41,MATCH($E33,'入力シート'!$F$2:$F$41,0)),""),"")</f>
        <v/>
      </c>
    </row>
    <row r="34">
      <c r="A34" s="14">
        <f>IF(27&lt;='入力シート'!$M$13,IF(0=1,'入力シート'!$M$13+1-27,27),IF(27='入力シート'!$M$13+1,IF(0=1,"前","後ろ"),""))</f>
        <v/>
      </c>
      <c r="B34" s="15">
        <f>IF(ISNUMBER($A34),IFERROR(INDEX('入力シート'!$A$2:$A$41,MATCH($A34,'入力シート'!$F$2:$F$41,0)),""),"")</f>
        <v/>
      </c>
      <c r="E34" s="14">
        <f>IF(27&lt;='入力シート'!$M$13,IF(1=1,'入力シート'!$M$13+1-27,27),IF(27='入力シート'!$M$13+1,IF(1=1,"前","後ろ"),""))</f>
        <v/>
      </c>
      <c r="F34" s="15">
        <f>IF(ISNUMBER($E34),IFERROR(INDEX('入力シート'!$A$2:$A$41,MATCH($E34,'入力シート'!$F$2:$F$41,0)),""),"")</f>
        <v/>
      </c>
    </row>
    <row r="35">
      <c r="A35" s="14">
        <f>IF(28&lt;='入力シート'!$M$13,IF(0=1,'入力シート'!$M$13+1-28,28),IF(28='入力シート'!$M$13+1,IF(0=1,"前","後ろ"),""))</f>
        <v/>
      </c>
      <c r="B35" s="15">
        <f>IF(ISNUMBER($A35),IFERROR(INDEX('入力シート'!$A$2:$A$41,MATCH($A35,'入力シート'!$F$2:$F$41,0)),""),"")</f>
        <v/>
      </c>
      <c r="E35" s="14">
        <f>IF(28&lt;='入力シート'!$M$13,IF(1=1,'入力シート'!$M$13+1-28,28),IF(28='入力シート'!$M$13+1,IF(1=1,"前","後ろ"),""))</f>
        <v/>
      </c>
      <c r="F35" s="15">
        <f>IF(ISNUMBER($E35),IFERROR(INDEX('入力シート'!$A$2:$A$41,MATCH($E35,'入力シート'!$F$2:$F$41,0)),""),"")</f>
        <v/>
      </c>
    </row>
    <row r="36">
      <c r="A36" s="14">
        <f>IF(29&lt;='入力シート'!$M$13,IF(0=1,'入力シート'!$M$13+1-29,29),IF(29='入力シート'!$M$13+1,IF(0=1,"前","後ろ"),""))</f>
        <v/>
      </c>
      <c r="B36" s="15">
        <f>IF(ISNUMBER($A36),IFERROR(INDEX('入力シート'!$A$2:$A$41,MATCH($A36,'入力シート'!$F$2:$F$41,0)),""),"")</f>
        <v/>
      </c>
      <c r="E36" s="14">
        <f>IF(29&lt;='入力シート'!$M$13,IF(1=1,'入力シート'!$M$13+1-29,29),IF(29='入力シート'!$M$13+1,IF(1=1,"前","後ろ"),""))</f>
        <v/>
      </c>
      <c r="F36" s="15">
        <f>IF(ISNUMBER($E36),IFERROR(INDEX('入力シート'!$A$2:$A$41,MATCH($E36,'入力シート'!$F$2:$F$41,0)),""),"")</f>
        <v/>
      </c>
    </row>
    <row r="37">
      <c r="A37" s="14">
        <f>IF(30&lt;='入力シート'!$M$13,IF(0=1,'入力シート'!$M$13+1-30,30),IF(30='入力シート'!$M$13+1,IF(0=1,"前","後ろ"),""))</f>
        <v/>
      </c>
      <c r="B37" s="15">
        <f>IF(ISNUMBER($A37),IFERROR(INDEX('入力シート'!$A$2:$A$41,MATCH($A37,'入力シート'!$F$2:$F$41,0)),""),"")</f>
        <v/>
      </c>
      <c r="E37" s="14">
        <f>IF(30&lt;='入力シート'!$M$13,IF(1=1,'入力シート'!$M$13+1-30,30),IF(30='入力シート'!$M$13+1,IF(1=1,"前","後ろ"),""))</f>
        <v/>
      </c>
      <c r="F37" s="15">
        <f>IF(ISNUMBER($E37),IFERROR(INDEX('入力シート'!$A$2:$A$41,MATCH($E37,'入力シート'!$F$2:$F$41,0)),""),"")</f>
        <v/>
      </c>
    </row>
    <row r="38">
      <c r="A38" s="14">
        <f>IF(31&lt;='入力シート'!$M$13,IF(0=1,'入力シート'!$M$13+1-31,31),IF(31='入力シート'!$M$13+1,IF(0=1,"前","後ろ"),""))</f>
        <v/>
      </c>
      <c r="B38" s="15">
        <f>IF(ISNUMBER($A38),IFERROR(INDEX('入力シート'!$A$2:$A$41,MATCH($A38,'入力シート'!$F$2:$F$41,0)),""),"")</f>
        <v/>
      </c>
      <c r="E38" s="14">
        <f>IF(31&lt;='入力シート'!$M$13,IF(1=1,'入力シート'!$M$13+1-31,31),IF(31='入力シート'!$M$13+1,IF(1=1,"前","後ろ"),""))</f>
        <v/>
      </c>
      <c r="F38" s="15">
        <f>IF(ISNUMBER($E38),IFERROR(INDEX('入力シート'!$A$2:$A$41,MATCH($E38,'入力シート'!$F$2:$F$41,0)),""),"")</f>
        <v/>
      </c>
    </row>
    <row r="39">
      <c r="A39" s="14">
        <f>IF(32&lt;='入力シート'!$M$13,IF(0=1,'入力シート'!$M$13+1-32,32),IF(32='入力シート'!$M$13+1,IF(0=1,"前","後ろ"),""))</f>
        <v/>
      </c>
      <c r="B39" s="15">
        <f>IF(ISNUMBER($A39),IFERROR(INDEX('入力シート'!$A$2:$A$41,MATCH($A39,'入力シート'!$F$2:$F$41,0)),""),"")</f>
        <v/>
      </c>
      <c r="E39" s="14">
        <f>IF(32&lt;='入力シート'!$M$13,IF(1=1,'入力シート'!$M$13+1-32,32),IF(32='入力シート'!$M$13+1,IF(1=1,"前","後ろ"),""))</f>
        <v/>
      </c>
      <c r="F39" s="15">
        <f>IF(ISNUMBER($E39),IFERROR(INDEX('入力シート'!$A$2:$A$41,MATCH($E39,'入力シート'!$F$2:$F$41,0)),""),"")</f>
        <v/>
      </c>
    </row>
    <row r="40">
      <c r="A40" s="14">
        <f>IF(33&lt;='入力シート'!$M$13,IF(0=1,'入力シート'!$M$13+1-33,33),IF(33='入力シート'!$M$13+1,IF(0=1,"前","後ろ"),""))</f>
        <v/>
      </c>
      <c r="B40" s="15">
        <f>IF(ISNUMBER($A40),IFERROR(INDEX('入力シート'!$A$2:$A$41,MATCH($A40,'入力シート'!$F$2:$F$41,0)),""),"")</f>
        <v/>
      </c>
      <c r="E40" s="14">
        <f>IF(33&lt;='入力シート'!$M$13,IF(1=1,'入力シート'!$M$13+1-33,33),IF(33='入力シート'!$M$13+1,IF(1=1,"前","後ろ"),""))</f>
        <v/>
      </c>
      <c r="F40" s="15">
        <f>IF(ISNUMBER($E40),IFERROR(INDEX('入力シート'!$A$2:$A$41,MATCH($E40,'入力シート'!$F$2:$F$41,0)),""),"")</f>
        <v/>
      </c>
    </row>
    <row r="41">
      <c r="A41" s="14">
        <f>IF(34&lt;='入力シート'!$M$13,IF(0=1,'入力シート'!$M$13+1-34,34),IF(34='入力シート'!$M$13+1,IF(0=1,"前","後ろ"),""))</f>
        <v/>
      </c>
      <c r="B41" s="15">
        <f>IF(ISNUMBER($A41),IFERROR(INDEX('入力シート'!$A$2:$A$41,MATCH($A41,'入力シート'!$F$2:$F$41,0)),""),"")</f>
        <v/>
      </c>
      <c r="E41" s="14">
        <f>IF(34&lt;='入力シート'!$M$13,IF(1=1,'入力シート'!$M$13+1-34,34),IF(34='入力シート'!$M$13+1,IF(1=1,"前","後ろ"),""))</f>
        <v/>
      </c>
      <c r="F41" s="15">
        <f>IF(ISNUMBER($E41),IFERROR(INDEX('入力シート'!$A$2:$A$41,MATCH($E41,'入力シート'!$F$2:$F$41,0)),""),"")</f>
        <v/>
      </c>
    </row>
    <row r="42">
      <c r="A42" s="14">
        <f>IF(35&lt;='入力シート'!$M$13,IF(0=1,'入力シート'!$M$13+1-35,35),IF(35='入力シート'!$M$13+1,IF(0=1,"前","後ろ"),""))</f>
        <v/>
      </c>
      <c r="B42" s="15">
        <f>IF(ISNUMBER($A42),IFERROR(INDEX('入力シート'!$A$2:$A$41,MATCH($A42,'入力シート'!$F$2:$F$41,0)),""),"")</f>
        <v/>
      </c>
      <c r="E42" s="14">
        <f>IF(35&lt;='入力シート'!$M$13,IF(1=1,'入力シート'!$M$13+1-35,35),IF(35='入力シート'!$M$13+1,IF(1=1,"前","後ろ"),""))</f>
        <v/>
      </c>
      <c r="F42" s="15">
        <f>IF(ISNUMBER($E42),IFERROR(INDEX('入力シート'!$A$2:$A$41,MATCH($E42,'入力シート'!$F$2:$F$41,0)),""),"")</f>
        <v/>
      </c>
    </row>
    <row r="43">
      <c r="A43" s="14">
        <f>IF(36&lt;='入力シート'!$M$13,IF(0=1,'入力シート'!$M$13+1-36,36),IF(36='入力シート'!$M$13+1,IF(0=1,"前","後ろ"),""))</f>
        <v/>
      </c>
      <c r="B43" s="15">
        <f>IF(ISNUMBER($A43),IFERROR(INDEX('入力シート'!$A$2:$A$41,MATCH($A43,'入力シート'!$F$2:$F$41,0)),""),"")</f>
        <v/>
      </c>
      <c r="E43" s="14">
        <f>IF(36&lt;='入力シート'!$M$13,IF(1=1,'入力シート'!$M$13+1-36,36),IF(36='入力シート'!$M$13+1,IF(1=1,"前","後ろ"),""))</f>
        <v/>
      </c>
      <c r="F43" s="15">
        <f>IF(ISNUMBER($E43),IFERROR(INDEX('入力シート'!$A$2:$A$41,MATCH($E43,'入力シート'!$F$2:$F$41,0)),""),"")</f>
        <v/>
      </c>
    </row>
    <row r="44">
      <c r="A44" s="14">
        <f>IF(37&lt;='入力シート'!$M$13,IF(0=1,'入力シート'!$M$13+1-37,37),IF(37='入力シート'!$M$13+1,IF(0=1,"前","後ろ"),""))</f>
        <v/>
      </c>
      <c r="B44" s="15">
        <f>IF(ISNUMBER($A44),IFERROR(INDEX('入力シート'!$A$2:$A$41,MATCH($A44,'入力シート'!$F$2:$F$41,0)),""),"")</f>
        <v/>
      </c>
      <c r="E44" s="14">
        <f>IF(37&lt;='入力シート'!$M$13,IF(1=1,'入力シート'!$M$13+1-37,37),IF(37='入力シート'!$M$13+1,IF(1=1,"前","後ろ"),""))</f>
        <v/>
      </c>
      <c r="F44" s="15">
        <f>IF(ISNUMBER($E44),IFERROR(INDEX('入力シート'!$A$2:$A$41,MATCH($E44,'入力シート'!$F$2:$F$41,0)),""),"")</f>
        <v/>
      </c>
    </row>
    <row r="45">
      <c r="A45" s="14">
        <f>IF(38&lt;='入力シート'!$M$13,IF(0=1,'入力シート'!$M$13+1-38,38),IF(38='入力シート'!$M$13+1,IF(0=1,"前","後ろ"),""))</f>
        <v/>
      </c>
      <c r="B45" s="15">
        <f>IF(ISNUMBER($A45),IFERROR(INDEX('入力シート'!$A$2:$A$41,MATCH($A45,'入力シート'!$F$2:$F$41,0)),""),"")</f>
        <v/>
      </c>
      <c r="E45" s="14">
        <f>IF(38&lt;='入力シート'!$M$13,IF(1=1,'入力シート'!$M$13+1-38,38),IF(38='入力シート'!$M$13+1,IF(1=1,"前","後ろ"),""))</f>
        <v/>
      </c>
      <c r="F45" s="15">
        <f>IF(ISNUMBER($E45),IFERROR(INDEX('入力シート'!$A$2:$A$41,MATCH($E45,'入力シート'!$F$2:$F$41,0)),""),"")</f>
        <v/>
      </c>
    </row>
    <row r="46">
      <c r="A46" s="14">
        <f>IF(39&lt;='入力シート'!$M$13,IF(0=1,'入力シート'!$M$13+1-39,39),IF(39='入力シート'!$M$13+1,IF(0=1,"前","後ろ"),""))</f>
        <v/>
      </c>
      <c r="B46" s="15">
        <f>IF(ISNUMBER($A46),IFERROR(INDEX('入力シート'!$A$2:$A$41,MATCH($A46,'入力シート'!$F$2:$F$41,0)),""),"")</f>
        <v/>
      </c>
      <c r="E46" s="14">
        <f>IF(39&lt;='入力シート'!$M$13,IF(1=1,'入力シート'!$M$13+1-39,39),IF(39='入力シート'!$M$13+1,IF(1=1,"前","後ろ"),""))</f>
        <v/>
      </c>
      <c r="F46" s="15">
        <f>IF(ISNUMBER($E46),IFERROR(INDEX('入力シート'!$A$2:$A$41,MATCH($E46,'入力シート'!$F$2:$F$41,0)),""),"")</f>
        <v/>
      </c>
    </row>
    <row r="47">
      <c r="A47" s="14">
        <f>IF(40&lt;='入力シート'!$M$13,IF(0=1,'入力シート'!$M$13+1-40,40),IF(40='入力シート'!$M$13+1,IF(0=1,"前","後ろ"),""))</f>
        <v/>
      </c>
      <c r="B47" s="15">
        <f>IF(ISNUMBER($A47),IFERROR(INDEX('入力シート'!$A$2:$A$41,MATCH($A47,'入力シート'!$F$2:$F$41,0)),""),"")</f>
        <v/>
      </c>
      <c r="E47" s="14">
        <f>IF(40&lt;='入力シート'!$M$13,IF(1=1,'入力シート'!$M$13+1-40,40),IF(40='入力シート'!$M$13+1,IF(1=1,"前","後ろ"),""))</f>
        <v/>
      </c>
      <c r="F47" s="15">
        <f>IF(ISNUMBER($E47),IFERROR(INDEX('入力シート'!$A$2:$A$41,MATCH($E47,'入力シート'!$F$2:$F$41,0)),""),"")</f>
        <v/>
      </c>
    </row>
    <row r="48">
      <c r="A48" s="14">
        <f>IF(41&lt;='入力シート'!$M$13,IF(0=1,'入力シート'!$M$13+1-41,41),IF(41='入力シート'!$M$13+1,IF(0=1,"前","後ろ"),""))</f>
        <v/>
      </c>
      <c r="B48" s="15">
        <f>IF(ISNUMBER($A48),IFERROR(INDEX('入力シート'!$A$2:$A$41,MATCH($A48,'入力シート'!$F$2:$F$41,0)),""),"")</f>
        <v/>
      </c>
      <c r="E48" s="14">
        <f>IF(41&lt;='入力シート'!$M$13,IF(1=1,'入力シート'!$M$13+1-41,41),IF(41='入力シート'!$M$13+1,IF(1=1,"前","後ろ"),""))</f>
        <v/>
      </c>
      <c r="F48" s="15">
        <f>IF(ISNUMBER($E48),IFERROR(INDEX('入力シート'!$A$2:$A$41,MATCH($E48,'入力シート'!$F$2:$F$41,0)),""),"")</f>
        <v/>
      </c>
    </row>
    <row r="49">
      <c r="A49" s="16">
        <f>IF(('入力シート'!$M$13)&gt;40,"⚠ 入りきらない子がいます ","")</f>
        <v/>
      </c>
      <c r="E49" s="16">
        <f>IF(('入力シート'!$M$13)&gt;40,"⚠ 入りきらない子がいます ","")</f>
        <v/>
      </c>
    </row>
    <row r="51">
      <c r="A51" s="13" t="inlineStr">
        <is>
          <t>2列①　Ｚ方式（1・2／3・4…）</t>
        </is>
      </c>
    </row>
    <row r="52">
      <c r="A52" s="17" t="n"/>
      <c r="B52" s="9" t="inlineStr">
        <is>
          <t>上が前　← ○で印刷</t>
        </is>
      </c>
      <c r="E52" s="17" t="n"/>
      <c r="F52" s="9" t="inlineStr">
        <is>
          <t>下が前　← ○で印刷</t>
        </is>
      </c>
    </row>
    <row r="54">
      <c r="A54" s="14">
        <f>IF(0=1,"後ろ","前")</f>
        <v/>
      </c>
      <c r="B54" s="15">
        <f>IF(ISNUMBER($A54),IFERROR(INDEX('入力シート'!$A$2:$A$41,MATCH(($A54-1)*2+1,'入力シート'!$F$2:$F$41,0)),""),"")</f>
        <v/>
      </c>
      <c r="C54" s="15">
        <f>IF(ISNUMBER($A54),IFERROR(INDEX('入力シート'!$A$2:$A$41,MATCH(($A54-1)*2+2,'入力シート'!$F$2:$F$41,0)),""),"")</f>
        <v/>
      </c>
      <c r="E54" s="14">
        <f>IF(1=1,"後ろ","前")</f>
        <v/>
      </c>
      <c r="F54" s="15">
        <f>IF(ISNUMBER($E54),IFERROR(INDEX('入力シート'!$A$2:$A$41,MATCH(($E54-1)*2+1,'入力シート'!$F$2:$F$41,0)),""),"")</f>
        <v/>
      </c>
      <c r="G54" s="15">
        <f>IF(ISNUMBER($E54),IFERROR(INDEX('入力シート'!$A$2:$A$41,MATCH(($E54-1)*2+2,'入力シート'!$F$2:$F$41,0)),""),"")</f>
        <v/>
      </c>
    </row>
    <row r="55">
      <c r="A55" s="14">
        <f>IF(1&lt;=ROUNDUP('入力シート'!$M$13/2,0),IF(0=1,ROUNDUP('入力シート'!$M$13/2,0)+1-1,1),IF(1=ROUNDUP('入力シート'!$M$13/2,0)+1,IF(0=1,"前","後ろ"),""))</f>
        <v/>
      </c>
      <c r="B55" s="15">
        <f>IF(ISNUMBER($A55),IFERROR(INDEX('入力シート'!$A$2:$A$41,MATCH(($A55-1)*2+1,'入力シート'!$F$2:$F$41,0)),""),"")</f>
        <v/>
      </c>
      <c r="C55" s="15">
        <f>IF(ISNUMBER($A55),IFERROR(INDEX('入力シート'!$A$2:$A$41,MATCH(($A55-1)*2+2,'入力シート'!$F$2:$F$41,0)),""),"")</f>
        <v/>
      </c>
      <c r="E55" s="14">
        <f>IF(1&lt;=ROUNDUP('入力シート'!$M$13/2,0),IF(1=1,ROUNDUP('入力シート'!$M$13/2,0)+1-1,1),IF(1=ROUNDUP('入力シート'!$M$13/2,0)+1,IF(1=1,"前","後ろ"),""))</f>
        <v/>
      </c>
      <c r="F55" s="15">
        <f>IF(ISNUMBER($E55),IFERROR(INDEX('入力シート'!$A$2:$A$41,MATCH(($E55-1)*2+1,'入力シート'!$F$2:$F$41,0)),""),"")</f>
        <v/>
      </c>
      <c r="G55" s="15">
        <f>IF(ISNUMBER($E55),IFERROR(INDEX('入力シート'!$A$2:$A$41,MATCH(($E55-1)*2+2,'入力シート'!$F$2:$F$41,0)),""),"")</f>
        <v/>
      </c>
    </row>
    <row r="56">
      <c r="A56" s="14">
        <f>IF(2&lt;=ROUNDUP('入力シート'!$M$13/2,0),IF(0=1,ROUNDUP('入力シート'!$M$13/2,0)+1-2,2),IF(2=ROUNDUP('入力シート'!$M$13/2,0)+1,IF(0=1,"前","後ろ"),""))</f>
        <v/>
      </c>
      <c r="B56" s="15">
        <f>IF(ISNUMBER($A56),IFERROR(INDEX('入力シート'!$A$2:$A$41,MATCH(($A56-1)*2+1,'入力シート'!$F$2:$F$41,0)),""),"")</f>
        <v/>
      </c>
      <c r="C56" s="15">
        <f>IF(ISNUMBER($A56),IFERROR(INDEX('入力シート'!$A$2:$A$41,MATCH(($A56-1)*2+2,'入力シート'!$F$2:$F$41,0)),""),"")</f>
        <v/>
      </c>
      <c r="E56" s="14">
        <f>IF(2&lt;=ROUNDUP('入力シート'!$M$13/2,0),IF(1=1,ROUNDUP('入力シート'!$M$13/2,0)+1-2,2),IF(2=ROUNDUP('入力シート'!$M$13/2,0)+1,IF(1=1,"前","後ろ"),""))</f>
        <v/>
      </c>
      <c r="F56" s="15">
        <f>IF(ISNUMBER($E56),IFERROR(INDEX('入力シート'!$A$2:$A$41,MATCH(($E56-1)*2+1,'入力シート'!$F$2:$F$41,0)),""),"")</f>
        <v/>
      </c>
      <c r="G56" s="15">
        <f>IF(ISNUMBER($E56),IFERROR(INDEX('入力シート'!$A$2:$A$41,MATCH(($E56-1)*2+2,'入力シート'!$F$2:$F$41,0)),""),"")</f>
        <v/>
      </c>
    </row>
    <row r="57">
      <c r="A57" s="14">
        <f>IF(3&lt;=ROUNDUP('入力シート'!$M$13/2,0),IF(0=1,ROUNDUP('入力シート'!$M$13/2,0)+1-3,3),IF(3=ROUNDUP('入力シート'!$M$13/2,0)+1,IF(0=1,"前","後ろ"),""))</f>
        <v/>
      </c>
      <c r="B57" s="15">
        <f>IF(ISNUMBER($A57),IFERROR(INDEX('入力シート'!$A$2:$A$41,MATCH(($A57-1)*2+1,'入力シート'!$F$2:$F$41,0)),""),"")</f>
        <v/>
      </c>
      <c r="C57" s="15">
        <f>IF(ISNUMBER($A57),IFERROR(INDEX('入力シート'!$A$2:$A$41,MATCH(($A57-1)*2+2,'入力シート'!$F$2:$F$41,0)),""),"")</f>
        <v/>
      </c>
      <c r="E57" s="14">
        <f>IF(3&lt;=ROUNDUP('入力シート'!$M$13/2,0),IF(1=1,ROUNDUP('入力シート'!$M$13/2,0)+1-3,3),IF(3=ROUNDUP('入力シート'!$M$13/2,0)+1,IF(1=1,"前","後ろ"),""))</f>
        <v/>
      </c>
      <c r="F57" s="15">
        <f>IF(ISNUMBER($E57),IFERROR(INDEX('入力シート'!$A$2:$A$41,MATCH(($E57-1)*2+1,'入力シート'!$F$2:$F$41,0)),""),"")</f>
        <v/>
      </c>
      <c r="G57" s="15">
        <f>IF(ISNUMBER($E57),IFERROR(INDEX('入力シート'!$A$2:$A$41,MATCH(($E57-1)*2+2,'入力シート'!$F$2:$F$41,0)),""),"")</f>
        <v/>
      </c>
    </row>
    <row r="58">
      <c r="A58" s="14">
        <f>IF(4&lt;=ROUNDUP('入力シート'!$M$13/2,0),IF(0=1,ROUNDUP('入力シート'!$M$13/2,0)+1-4,4),IF(4=ROUNDUP('入力シート'!$M$13/2,0)+1,IF(0=1,"前","後ろ"),""))</f>
        <v/>
      </c>
      <c r="B58" s="15">
        <f>IF(ISNUMBER($A58),IFERROR(INDEX('入力シート'!$A$2:$A$41,MATCH(($A58-1)*2+1,'入力シート'!$F$2:$F$41,0)),""),"")</f>
        <v/>
      </c>
      <c r="C58" s="15">
        <f>IF(ISNUMBER($A58),IFERROR(INDEX('入力シート'!$A$2:$A$41,MATCH(($A58-1)*2+2,'入力シート'!$F$2:$F$41,0)),""),"")</f>
        <v/>
      </c>
      <c r="E58" s="14">
        <f>IF(4&lt;=ROUNDUP('入力シート'!$M$13/2,0),IF(1=1,ROUNDUP('入力シート'!$M$13/2,0)+1-4,4),IF(4=ROUNDUP('入力シート'!$M$13/2,0)+1,IF(1=1,"前","後ろ"),""))</f>
        <v/>
      </c>
      <c r="F58" s="15">
        <f>IF(ISNUMBER($E58),IFERROR(INDEX('入力シート'!$A$2:$A$41,MATCH(($E58-1)*2+1,'入力シート'!$F$2:$F$41,0)),""),"")</f>
        <v/>
      </c>
      <c r="G58" s="15">
        <f>IF(ISNUMBER($E58),IFERROR(INDEX('入力シート'!$A$2:$A$41,MATCH(($E58-1)*2+2,'入力シート'!$F$2:$F$41,0)),""),"")</f>
        <v/>
      </c>
    </row>
    <row r="59">
      <c r="A59" s="14">
        <f>IF(5&lt;=ROUNDUP('入力シート'!$M$13/2,0),IF(0=1,ROUNDUP('入力シート'!$M$13/2,0)+1-5,5),IF(5=ROUNDUP('入力シート'!$M$13/2,0)+1,IF(0=1,"前","後ろ"),""))</f>
        <v/>
      </c>
      <c r="B59" s="15">
        <f>IF(ISNUMBER($A59),IFERROR(INDEX('入力シート'!$A$2:$A$41,MATCH(($A59-1)*2+1,'入力シート'!$F$2:$F$41,0)),""),"")</f>
        <v/>
      </c>
      <c r="C59" s="15">
        <f>IF(ISNUMBER($A59),IFERROR(INDEX('入力シート'!$A$2:$A$41,MATCH(($A59-1)*2+2,'入力シート'!$F$2:$F$41,0)),""),"")</f>
        <v/>
      </c>
      <c r="E59" s="14">
        <f>IF(5&lt;=ROUNDUP('入力シート'!$M$13/2,0),IF(1=1,ROUNDUP('入力シート'!$M$13/2,0)+1-5,5),IF(5=ROUNDUP('入力シート'!$M$13/2,0)+1,IF(1=1,"前","後ろ"),""))</f>
        <v/>
      </c>
      <c r="F59" s="15">
        <f>IF(ISNUMBER($E59),IFERROR(INDEX('入力シート'!$A$2:$A$41,MATCH(($E59-1)*2+1,'入力シート'!$F$2:$F$41,0)),""),"")</f>
        <v/>
      </c>
      <c r="G59" s="15">
        <f>IF(ISNUMBER($E59),IFERROR(INDEX('入力シート'!$A$2:$A$41,MATCH(($E59-1)*2+2,'入力シート'!$F$2:$F$41,0)),""),"")</f>
        <v/>
      </c>
    </row>
    <row r="60">
      <c r="A60" s="14">
        <f>IF(6&lt;=ROUNDUP('入力シート'!$M$13/2,0),IF(0=1,ROUNDUP('入力シート'!$M$13/2,0)+1-6,6),IF(6=ROUNDUP('入力シート'!$M$13/2,0)+1,IF(0=1,"前","後ろ"),""))</f>
        <v/>
      </c>
      <c r="B60" s="15">
        <f>IF(ISNUMBER($A60),IFERROR(INDEX('入力シート'!$A$2:$A$41,MATCH(($A60-1)*2+1,'入力シート'!$F$2:$F$41,0)),""),"")</f>
        <v/>
      </c>
      <c r="C60" s="15">
        <f>IF(ISNUMBER($A60),IFERROR(INDEX('入力シート'!$A$2:$A$41,MATCH(($A60-1)*2+2,'入力シート'!$F$2:$F$41,0)),""),"")</f>
        <v/>
      </c>
      <c r="E60" s="14">
        <f>IF(6&lt;=ROUNDUP('入力シート'!$M$13/2,0),IF(1=1,ROUNDUP('入力シート'!$M$13/2,0)+1-6,6),IF(6=ROUNDUP('入力シート'!$M$13/2,0)+1,IF(1=1,"前","後ろ"),""))</f>
        <v/>
      </c>
      <c r="F60" s="15">
        <f>IF(ISNUMBER($E60),IFERROR(INDEX('入力シート'!$A$2:$A$41,MATCH(($E60-1)*2+1,'入力シート'!$F$2:$F$41,0)),""),"")</f>
        <v/>
      </c>
      <c r="G60" s="15">
        <f>IF(ISNUMBER($E60),IFERROR(INDEX('入力シート'!$A$2:$A$41,MATCH(($E60-1)*2+2,'入力シート'!$F$2:$F$41,0)),""),"")</f>
        <v/>
      </c>
    </row>
    <row r="61">
      <c r="A61" s="14">
        <f>IF(7&lt;=ROUNDUP('入力シート'!$M$13/2,0),IF(0=1,ROUNDUP('入力シート'!$M$13/2,0)+1-7,7),IF(7=ROUNDUP('入力シート'!$M$13/2,0)+1,IF(0=1,"前","後ろ"),""))</f>
        <v/>
      </c>
      <c r="B61" s="15">
        <f>IF(ISNUMBER($A61),IFERROR(INDEX('入力シート'!$A$2:$A$41,MATCH(($A61-1)*2+1,'入力シート'!$F$2:$F$41,0)),""),"")</f>
        <v/>
      </c>
      <c r="C61" s="15">
        <f>IF(ISNUMBER($A61),IFERROR(INDEX('入力シート'!$A$2:$A$41,MATCH(($A61-1)*2+2,'入力シート'!$F$2:$F$41,0)),""),"")</f>
        <v/>
      </c>
      <c r="E61" s="14">
        <f>IF(7&lt;=ROUNDUP('入力シート'!$M$13/2,0),IF(1=1,ROUNDUP('入力シート'!$M$13/2,0)+1-7,7),IF(7=ROUNDUP('入力シート'!$M$13/2,0)+1,IF(1=1,"前","後ろ"),""))</f>
        <v/>
      </c>
      <c r="F61" s="15">
        <f>IF(ISNUMBER($E61),IFERROR(INDEX('入力シート'!$A$2:$A$41,MATCH(($E61-1)*2+1,'入力シート'!$F$2:$F$41,0)),""),"")</f>
        <v/>
      </c>
      <c r="G61" s="15">
        <f>IF(ISNUMBER($E61),IFERROR(INDEX('入力シート'!$A$2:$A$41,MATCH(($E61-1)*2+2,'入力シート'!$F$2:$F$41,0)),""),"")</f>
        <v/>
      </c>
    </row>
    <row r="62">
      <c r="A62" s="14">
        <f>IF(8&lt;=ROUNDUP('入力シート'!$M$13/2,0),IF(0=1,ROUNDUP('入力シート'!$M$13/2,0)+1-8,8),IF(8=ROUNDUP('入力シート'!$M$13/2,0)+1,IF(0=1,"前","後ろ"),""))</f>
        <v/>
      </c>
      <c r="B62" s="15">
        <f>IF(ISNUMBER($A62),IFERROR(INDEX('入力シート'!$A$2:$A$41,MATCH(($A62-1)*2+1,'入力シート'!$F$2:$F$41,0)),""),"")</f>
        <v/>
      </c>
      <c r="C62" s="15">
        <f>IF(ISNUMBER($A62),IFERROR(INDEX('入力シート'!$A$2:$A$41,MATCH(($A62-1)*2+2,'入力シート'!$F$2:$F$41,0)),""),"")</f>
        <v/>
      </c>
      <c r="E62" s="14">
        <f>IF(8&lt;=ROUNDUP('入力シート'!$M$13/2,0),IF(1=1,ROUNDUP('入力シート'!$M$13/2,0)+1-8,8),IF(8=ROUNDUP('入力シート'!$M$13/2,0)+1,IF(1=1,"前","後ろ"),""))</f>
        <v/>
      </c>
      <c r="F62" s="15">
        <f>IF(ISNUMBER($E62),IFERROR(INDEX('入力シート'!$A$2:$A$41,MATCH(($E62-1)*2+1,'入力シート'!$F$2:$F$41,0)),""),"")</f>
        <v/>
      </c>
      <c r="G62" s="15">
        <f>IF(ISNUMBER($E62),IFERROR(INDEX('入力シート'!$A$2:$A$41,MATCH(($E62-1)*2+2,'入力シート'!$F$2:$F$41,0)),""),"")</f>
        <v/>
      </c>
    </row>
    <row r="63">
      <c r="A63" s="14">
        <f>IF(9&lt;=ROUNDUP('入力シート'!$M$13/2,0),IF(0=1,ROUNDUP('入力シート'!$M$13/2,0)+1-9,9),IF(9=ROUNDUP('入力シート'!$M$13/2,0)+1,IF(0=1,"前","後ろ"),""))</f>
        <v/>
      </c>
      <c r="B63" s="15">
        <f>IF(ISNUMBER($A63),IFERROR(INDEX('入力シート'!$A$2:$A$41,MATCH(($A63-1)*2+1,'入力シート'!$F$2:$F$41,0)),""),"")</f>
        <v/>
      </c>
      <c r="C63" s="15">
        <f>IF(ISNUMBER($A63),IFERROR(INDEX('入力シート'!$A$2:$A$41,MATCH(($A63-1)*2+2,'入力シート'!$F$2:$F$41,0)),""),"")</f>
        <v/>
      </c>
      <c r="E63" s="14">
        <f>IF(9&lt;=ROUNDUP('入力シート'!$M$13/2,0),IF(1=1,ROUNDUP('入力シート'!$M$13/2,0)+1-9,9),IF(9=ROUNDUP('入力シート'!$M$13/2,0)+1,IF(1=1,"前","後ろ"),""))</f>
        <v/>
      </c>
      <c r="F63" s="15">
        <f>IF(ISNUMBER($E63),IFERROR(INDEX('入力シート'!$A$2:$A$41,MATCH(($E63-1)*2+1,'入力シート'!$F$2:$F$41,0)),""),"")</f>
        <v/>
      </c>
      <c r="G63" s="15">
        <f>IF(ISNUMBER($E63),IFERROR(INDEX('入力シート'!$A$2:$A$41,MATCH(($E63-1)*2+2,'入力シート'!$F$2:$F$41,0)),""),"")</f>
        <v/>
      </c>
    </row>
    <row r="64">
      <c r="A64" s="14">
        <f>IF(10&lt;=ROUNDUP('入力シート'!$M$13/2,0),IF(0=1,ROUNDUP('入力シート'!$M$13/2,0)+1-10,10),IF(10=ROUNDUP('入力シート'!$M$13/2,0)+1,IF(0=1,"前","後ろ"),""))</f>
        <v/>
      </c>
      <c r="B64" s="15">
        <f>IF(ISNUMBER($A64),IFERROR(INDEX('入力シート'!$A$2:$A$41,MATCH(($A64-1)*2+1,'入力シート'!$F$2:$F$41,0)),""),"")</f>
        <v/>
      </c>
      <c r="C64" s="15">
        <f>IF(ISNUMBER($A64),IFERROR(INDEX('入力シート'!$A$2:$A$41,MATCH(($A64-1)*2+2,'入力シート'!$F$2:$F$41,0)),""),"")</f>
        <v/>
      </c>
      <c r="E64" s="14">
        <f>IF(10&lt;=ROUNDUP('入力シート'!$M$13/2,0),IF(1=1,ROUNDUP('入力シート'!$M$13/2,0)+1-10,10),IF(10=ROUNDUP('入力シート'!$M$13/2,0)+1,IF(1=1,"前","後ろ"),""))</f>
        <v/>
      </c>
      <c r="F64" s="15">
        <f>IF(ISNUMBER($E64),IFERROR(INDEX('入力シート'!$A$2:$A$41,MATCH(($E64-1)*2+1,'入力シート'!$F$2:$F$41,0)),""),"")</f>
        <v/>
      </c>
      <c r="G64" s="15">
        <f>IF(ISNUMBER($E64),IFERROR(INDEX('入力シート'!$A$2:$A$41,MATCH(($E64-1)*2+2,'入力シート'!$F$2:$F$41,0)),""),"")</f>
        <v/>
      </c>
    </row>
    <row r="65">
      <c r="A65" s="14">
        <f>IF(11&lt;=ROUNDUP('入力シート'!$M$13/2,0),IF(0=1,ROUNDUP('入力シート'!$M$13/2,0)+1-11,11),IF(11=ROUNDUP('入力シート'!$M$13/2,0)+1,IF(0=1,"前","後ろ"),""))</f>
        <v/>
      </c>
      <c r="B65" s="15">
        <f>IF(ISNUMBER($A65),IFERROR(INDEX('入力シート'!$A$2:$A$41,MATCH(($A65-1)*2+1,'入力シート'!$F$2:$F$41,0)),""),"")</f>
        <v/>
      </c>
      <c r="C65" s="15">
        <f>IF(ISNUMBER($A65),IFERROR(INDEX('入力シート'!$A$2:$A$41,MATCH(($A65-1)*2+2,'入力シート'!$F$2:$F$41,0)),""),"")</f>
        <v/>
      </c>
      <c r="E65" s="14">
        <f>IF(11&lt;=ROUNDUP('入力シート'!$M$13/2,0),IF(1=1,ROUNDUP('入力シート'!$M$13/2,0)+1-11,11),IF(11=ROUNDUP('入力シート'!$M$13/2,0)+1,IF(1=1,"前","後ろ"),""))</f>
        <v/>
      </c>
      <c r="F65" s="15">
        <f>IF(ISNUMBER($E65),IFERROR(INDEX('入力シート'!$A$2:$A$41,MATCH(($E65-1)*2+1,'入力シート'!$F$2:$F$41,0)),""),"")</f>
        <v/>
      </c>
      <c r="G65" s="15">
        <f>IF(ISNUMBER($E65),IFERROR(INDEX('入力シート'!$A$2:$A$41,MATCH(($E65-1)*2+2,'入力シート'!$F$2:$F$41,0)),""),"")</f>
        <v/>
      </c>
    </row>
    <row r="66">
      <c r="A66" s="14">
        <f>IF(12&lt;=ROUNDUP('入力シート'!$M$13/2,0),IF(0=1,ROUNDUP('入力シート'!$M$13/2,0)+1-12,12),IF(12=ROUNDUP('入力シート'!$M$13/2,0)+1,IF(0=1,"前","後ろ"),""))</f>
        <v/>
      </c>
      <c r="B66" s="15">
        <f>IF(ISNUMBER($A66),IFERROR(INDEX('入力シート'!$A$2:$A$41,MATCH(($A66-1)*2+1,'入力シート'!$F$2:$F$41,0)),""),"")</f>
        <v/>
      </c>
      <c r="C66" s="15">
        <f>IF(ISNUMBER($A66),IFERROR(INDEX('入力シート'!$A$2:$A$41,MATCH(($A66-1)*2+2,'入力シート'!$F$2:$F$41,0)),""),"")</f>
        <v/>
      </c>
      <c r="E66" s="14">
        <f>IF(12&lt;=ROUNDUP('入力シート'!$M$13/2,0),IF(1=1,ROUNDUP('入力シート'!$M$13/2,0)+1-12,12),IF(12=ROUNDUP('入力シート'!$M$13/2,0)+1,IF(1=1,"前","後ろ"),""))</f>
        <v/>
      </c>
      <c r="F66" s="15">
        <f>IF(ISNUMBER($E66),IFERROR(INDEX('入力シート'!$A$2:$A$41,MATCH(($E66-1)*2+1,'入力シート'!$F$2:$F$41,0)),""),"")</f>
        <v/>
      </c>
      <c r="G66" s="15">
        <f>IF(ISNUMBER($E66),IFERROR(INDEX('入力シート'!$A$2:$A$41,MATCH(($E66-1)*2+2,'入力シート'!$F$2:$F$41,0)),""),"")</f>
        <v/>
      </c>
    </row>
    <row r="67">
      <c r="A67" s="14">
        <f>IF(13&lt;=ROUNDUP('入力シート'!$M$13/2,0),IF(0=1,ROUNDUP('入力シート'!$M$13/2,0)+1-13,13),IF(13=ROUNDUP('入力シート'!$M$13/2,0)+1,IF(0=1,"前","後ろ"),""))</f>
        <v/>
      </c>
      <c r="B67" s="15">
        <f>IF(ISNUMBER($A67),IFERROR(INDEX('入力シート'!$A$2:$A$41,MATCH(($A67-1)*2+1,'入力シート'!$F$2:$F$41,0)),""),"")</f>
        <v/>
      </c>
      <c r="C67" s="15">
        <f>IF(ISNUMBER($A67),IFERROR(INDEX('入力シート'!$A$2:$A$41,MATCH(($A67-1)*2+2,'入力シート'!$F$2:$F$41,0)),""),"")</f>
        <v/>
      </c>
      <c r="E67" s="14">
        <f>IF(13&lt;=ROUNDUP('入力シート'!$M$13/2,0),IF(1=1,ROUNDUP('入力シート'!$M$13/2,0)+1-13,13),IF(13=ROUNDUP('入力シート'!$M$13/2,0)+1,IF(1=1,"前","後ろ"),""))</f>
        <v/>
      </c>
      <c r="F67" s="15">
        <f>IF(ISNUMBER($E67),IFERROR(INDEX('入力シート'!$A$2:$A$41,MATCH(($E67-1)*2+1,'入力シート'!$F$2:$F$41,0)),""),"")</f>
        <v/>
      </c>
      <c r="G67" s="15">
        <f>IF(ISNUMBER($E67),IFERROR(INDEX('入力シート'!$A$2:$A$41,MATCH(($E67-1)*2+2,'入力シート'!$F$2:$F$41,0)),""),"")</f>
        <v/>
      </c>
    </row>
    <row r="68">
      <c r="A68" s="14">
        <f>IF(14&lt;=ROUNDUP('入力シート'!$M$13/2,0),IF(0=1,ROUNDUP('入力シート'!$M$13/2,0)+1-14,14),IF(14=ROUNDUP('入力シート'!$M$13/2,0)+1,IF(0=1,"前","後ろ"),""))</f>
        <v/>
      </c>
      <c r="B68" s="15">
        <f>IF(ISNUMBER($A68),IFERROR(INDEX('入力シート'!$A$2:$A$41,MATCH(($A68-1)*2+1,'入力シート'!$F$2:$F$41,0)),""),"")</f>
        <v/>
      </c>
      <c r="C68" s="15">
        <f>IF(ISNUMBER($A68),IFERROR(INDEX('入力シート'!$A$2:$A$41,MATCH(($A68-1)*2+2,'入力シート'!$F$2:$F$41,0)),""),"")</f>
        <v/>
      </c>
      <c r="E68" s="14">
        <f>IF(14&lt;=ROUNDUP('入力シート'!$M$13/2,0),IF(1=1,ROUNDUP('入力シート'!$M$13/2,0)+1-14,14),IF(14=ROUNDUP('入力シート'!$M$13/2,0)+1,IF(1=1,"前","後ろ"),""))</f>
        <v/>
      </c>
      <c r="F68" s="15">
        <f>IF(ISNUMBER($E68),IFERROR(INDEX('入力シート'!$A$2:$A$41,MATCH(($E68-1)*2+1,'入力シート'!$F$2:$F$41,0)),""),"")</f>
        <v/>
      </c>
      <c r="G68" s="15">
        <f>IF(ISNUMBER($E68),IFERROR(INDEX('入力シート'!$A$2:$A$41,MATCH(($E68-1)*2+2,'入力シート'!$F$2:$F$41,0)),""),"")</f>
        <v/>
      </c>
    </row>
    <row r="69">
      <c r="A69" s="14">
        <f>IF(15&lt;=ROUNDUP('入力シート'!$M$13/2,0),IF(0=1,ROUNDUP('入力シート'!$M$13/2,0)+1-15,15),IF(15=ROUNDUP('入力シート'!$M$13/2,0)+1,IF(0=1,"前","後ろ"),""))</f>
        <v/>
      </c>
      <c r="B69" s="15">
        <f>IF(ISNUMBER($A69),IFERROR(INDEX('入力シート'!$A$2:$A$41,MATCH(($A69-1)*2+1,'入力シート'!$F$2:$F$41,0)),""),"")</f>
        <v/>
      </c>
      <c r="C69" s="15">
        <f>IF(ISNUMBER($A69),IFERROR(INDEX('入力シート'!$A$2:$A$41,MATCH(($A69-1)*2+2,'入力シート'!$F$2:$F$41,0)),""),"")</f>
        <v/>
      </c>
      <c r="E69" s="14">
        <f>IF(15&lt;=ROUNDUP('入力シート'!$M$13/2,0),IF(1=1,ROUNDUP('入力シート'!$M$13/2,0)+1-15,15),IF(15=ROUNDUP('入力シート'!$M$13/2,0)+1,IF(1=1,"前","後ろ"),""))</f>
        <v/>
      </c>
      <c r="F69" s="15">
        <f>IF(ISNUMBER($E69),IFERROR(INDEX('入力シート'!$A$2:$A$41,MATCH(($E69-1)*2+1,'入力シート'!$F$2:$F$41,0)),""),"")</f>
        <v/>
      </c>
      <c r="G69" s="15">
        <f>IF(ISNUMBER($E69),IFERROR(INDEX('入力シート'!$A$2:$A$41,MATCH(($E69-1)*2+2,'入力シート'!$F$2:$F$41,0)),""),"")</f>
        <v/>
      </c>
    </row>
    <row r="70">
      <c r="A70" s="14">
        <f>IF(16&lt;=ROUNDUP('入力シート'!$M$13/2,0),IF(0=1,ROUNDUP('入力シート'!$M$13/2,0)+1-16,16),IF(16=ROUNDUP('入力シート'!$M$13/2,0)+1,IF(0=1,"前","後ろ"),""))</f>
        <v/>
      </c>
      <c r="B70" s="15">
        <f>IF(ISNUMBER($A70),IFERROR(INDEX('入力シート'!$A$2:$A$41,MATCH(($A70-1)*2+1,'入力シート'!$F$2:$F$41,0)),""),"")</f>
        <v/>
      </c>
      <c r="C70" s="15">
        <f>IF(ISNUMBER($A70),IFERROR(INDEX('入力シート'!$A$2:$A$41,MATCH(($A70-1)*2+2,'入力シート'!$F$2:$F$41,0)),""),"")</f>
        <v/>
      </c>
      <c r="E70" s="14">
        <f>IF(16&lt;=ROUNDUP('入力シート'!$M$13/2,0),IF(1=1,ROUNDUP('入力シート'!$M$13/2,0)+1-16,16),IF(16=ROUNDUP('入力シート'!$M$13/2,0)+1,IF(1=1,"前","後ろ"),""))</f>
        <v/>
      </c>
      <c r="F70" s="15">
        <f>IF(ISNUMBER($E70),IFERROR(INDEX('入力シート'!$A$2:$A$41,MATCH(($E70-1)*2+1,'入力シート'!$F$2:$F$41,0)),""),"")</f>
        <v/>
      </c>
      <c r="G70" s="15">
        <f>IF(ISNUMBER($E70),IFERROR(INDEX('入力シート'!$A$2:$A$41,MATCH(($E70-1)*2+2,'入力シート'!$F$2:$F$41,0)),""),"")</f>
        <v/>
      </c>
    </row>
    <row r="71">
      <c r="A71" s="14">
        <f>IF(17&lt;=ROUNDUP('入力シート'!$M$13/2,0),IF(0=1,ROUNDUP('入力シート'!$M$13/2,0)+1-17,17),IF(17=ROUNDUP('入力シート'!$M$13/2,0)+1,IF(0=1,"前","後ろ"),""))</f>
        <v/>
      </c>
      <c r="B71" s="15">
        <f>IF(ISNUMBER($A71),IFERROR(INDEX('入力シート'!$A$2:$A$41,MATCH(($A71-1)*2+1,'入力シート'!$F$2:$F$41,0)),""),"")</f>
        <v/>
      </c>
      <c r="C71" s="15">
        <f>IF(ISNUMBER($A71),IFERROR(INDEX('入力シート'!$A$2:$A$41,MATCH(($A71-1)*2+2,'入力シート'!$F$2:$F$41,0)),""),"")</f>
        <v/>
      </c>
      <c r="E71" s="14">
        <f>IF(17&lt;=ROUNDUP('入力シート'!$M$13/2,0),IF(1=1,ROUNDUP('入力シート'!$M$13/2,0)+1-17,17),IF(17=ROUNDUP('入力シート'!$M$13/2,0)+1,IF(1=1,"前","後ろ"),""))</f>
        <v/>
      </c>
      <c r="F71" s="15">
        <f>IF(ISNUMBER($E71),IFERROR(INDEX('入力シート'!$A$2:$A$41,MATCH(($E71-1)*2+1,'入力シート'!$F$2:$F$41,0)),""),"")</f>
        <v/>
      </c>
      <c r="G71" s="15">
        <f>IF(ISNUMBER($E71),IFERROR(INDEX('入力シート'!$A$2:$A$41,MATCH(($E71-1)*2+2,'入力シート'!$F$2:$F$41,0)),""),"")</f>
        <v/>
      </c>
    </row>
    <row r="72">
      <c r="A72" s="14">
        <f>IF(18&lt;=ROUNDUP('入力シート'!$M$13/2,0),IF(0=1,ROUNDUP('入力シート'!$M$13/2,0)+1-18,18),IF(18=ROUNDUP('入力シート'!$M$13/2,0)+1,IF(0=1,"前","後ろ"),""))</f>
        <v/>
      </c>
      <c r="B72" s="15">
        <f>IF(ISNUMBER($A72),IFERROR(INDEX('入力シート'!$A$2:$A$41,MATCH(($A72-1)*2+1,'入力シート'!$F$2:$F$41,0)),""),"")</f>
        <v/>
      </c>
      <c r="C72" s="15">
        <f>IF(ISNUMBER($A72),IFERROR(INDEX('入力シート'!$A$2:$A$41,MATCH(($A72-1)*2+2,'入力シート'!$F$2:$F$41,0)),""),"")</f>
        <v/>
      </c>
      <c r="E72" s="14">
        <f>IF(18&lt;=ROUNDUP('入力シート'!$M$13/2,0),IF(1=1,ROUNDUP('入力シート'!$M$13/2,0)+1-18,18),IF(18=ROUNDUP('入力シート'!$M$13/2,0)+1,IF(1=1,"前","後ろ"),""))</f>
        <v/>
      </c>
      <c r="F72" s="15">
        <f>IF(ISNUMBER($E72),IFERROR(INDEX('入力シート'!$A$2:$A$41,MATCH(($E72-1)*2+1,'入力シート'!$F$2:$F$41,0)),""),"")</f>
        <v/>
      </c>
      <c r="G72" s="15">
        <f>IF(ISNUMBER($E72),IFERROR(INDEX('入力シート'!$A$2:$A$41,MATCH(($E72-1)*2+2,'入力シート'!$F$2:$F$41,0)),""),"")</f>
        <v/>
      </c>
    </row>
    <row r="73">
      <c r="A73" s="14">
        <f>IF(19&lt;=ROUNDUP('入力シート'!$M$13/2,0),IF(0=1,ROUNDUP('入力シート'!$M$13/2,0)+1-19,19),IF(19=ROUNDUP('入力シート'!$M$13/2,0)+1,IF(0=1,"前","後ろ"),""))</f>
        <v/>
      </c>
      <c r="B73" s="15">
        <f>IF(ISNUMBER($A73),IFERROR(INDEX('入力シート'!$A$2:$A$41,MATCH(($A73-1)*2+1,'入力シート'!$F$2:$F$41,0)),""),"")</f>
        <v/>
      </c>
      <c r="C73" s="15">
        <f>IF(ISNUMBER($A73),IFERROR(INDEX('入力シート'!$A$2:$A$41,MATCH(($A73-1)*2+2,'入力シート'!$F$2:$F$41,0)),""),"")</f>
        <v/>
      </c>
      <c r="E73" s="14">
        <f>IF(19&lt;=ROUNDUP('入力シート'!$M$13/2,0),IF(1=1,ROUNDUP('入力シート'!$M$13/2,0)+1-19,19),IF(19=ROUNDUP('入力シート'!$M$13/2,0)+1,IF(1=1,"前","後ろ"),""))</f>
        <v/>
      </c>
      <c r="F73" s="15">
        <f>IF(ISNUMBER($E73),IFERROR(INDEX('入力シート'!$A$2:$A$41,MATCH(($E73-1)*2+1,'入力シート'!$F$2:$F$41,0)),""),"")</f>
        <v/>
      </c>
      <c r="G73" s="15">
        <f>IF(ISNUMBER($E73),IFERROR(INDEX('入力シート'!$A$2:$A$41,MATCH(($E73-1)*2+2,'入力シート'!$F$2:$F$41,0)),""),"")</f>
        <v/>
      </c>
    </row>
    <row r="74">
      <c r="A74" s="14">
        <f>IF(20&lt;=ROUNDUP('入力シート'!$M$13/2,0),IF(0=1,ROUNDUP('入力シート'!$M$13/2,0)+1-20,20),IF(20=ROUNDUP('入力シート'!$M$13/2,0)+1,IF(0=1,"前","後ろ"),""))</f>
        <v/>
      </c>
      <c r="B74" s="15">
        <f>IF(ISNUMBER($A74),IFERROR(INDEX('入力シート'!$A$2:$A$41,MATCH(($A74-1)*2+1,'入力シート'!$F$2:$F$41,0)),""),"")</f>
        <v/>
      </c>
      <c r="C74" s="15">
        <f>IF(ISNUMBER($A74),IFERROR(INDEX('入力シート'!$A$2:$A$41,MATCH(($A74-1)*2+2,'入力シート'!$F$2:$F$41,0)),""),"")</f>
        <v/>
      </c>
      <c r="E74" s="14">
        <f>IF(20&lt;=ROUNDUP('入力シート'!$M$13/2,0),IF(1=1,ROUNDUP('入力シート'!$M$13/2,0)+1-20,20),IF(20=ROUNDUP('入力シート'!$M$13/2,0)+1,IF(1=1,"前","後ろ"),""))</f>
        <v/>
      </c>
      <c r="F74" s="15">
        <f>IF(ISNUMBER($E74),IFERROR(INDEX('入力シート'!$A$2:$A$41,MATCH(($E74-1)*2+1,'入力シート'!$F$2:$F$41,0)),""),"")</f>
        <v/>
      </c>
      <c r="G74" s="15">
        <f>IF(ISNUMBER($E74),IFERROR(INDEX('入力シート'!$A$2:$A$41,MATCH(($E74-1)*2+2,'入力シート'!$F$2:$F$41,0)),""),"")</f>
        <v/>
      </c>
    </row>
    <row r="75">
      <c r="A75" s="14">
        <f>IF(21&lt;=ROUNDUP('入力シート'!$M$13/2,0),IF(0=1,ROUNDUP('入力シート'!$M$13/2,0)+1-21,21),IF(21=ROUNDUP('入力シート'!$M$13/2,0)+1,IF(0=1,"前","後ろ"),""))</f>
        <v/>
      </c>
      <c r="B75" s="15">
        <f>IF(ISNUMBER($A75),IFERROR(INDEX('入力シート'!$A$2:$A$41,MATCH(($A75-1)*2+1,'入力シート'!$F$2:$F$41,0)),""),"")</f>
        <v/>
      </c>
      <c r="C75" s="15">
        <f>IF(ISNUMBER($A75),IFERROR(INDEX('入力シート'!$A$2:$A$41,MATCH(($A75-1)*2+2,'入力シート'!$F$2:$F$41,0)),""),"")</f>
        <v/>
      </c>
      <c r="E75" s="14">
        <f>IF(21&lt;=ROUNDUP('入力シート'!$M$13/2,0),IF(1=1,ROUNDUP('入力シート'!$M$13/2,0)+1-21,21),IF(21=ROUNDUP('入力シート'!$M$13/2,0)+1,IF(1=1,"前","後ろ"),""))</f>
        <v/>
      </c>
      <c r="F75" s="15">
        <f>IF(ISNUMBER($E75),IFERROR(INDEX('入力シート'!$A$2:$A$41,MATCH(($E75-1)*2+1,'入力シート'!$F$2:$F$41,0)),""),"")</f>
        <v/>
      </c>
      <c r="G75" s="15">
        <f>IF(ISNUMBER($E75),IFERROR(INDEX('入力シート'!$A$2:$A$41,MATCH(($E75-1)*2+2,'入力シート'!$F$2:$F$41,0)),""),"")</f>
        <v/>
      </c>
    </row>
    <row r="76">
      <c r="A76" s="16">
        <f>IF((ROUNDUP('入力シート'!$M$13/2,0))&gt;20,"⚠ 入りきらない子がいます ","")</f>
        <v/>
      </c>
      <c r="E76" s="16">
        <f>IF((ROUNDUP('入力シート'!$M$13/2,0))&gt;20,"⚠ 入りきらない子がいます ","")</f>
        <v/>
      </c>
    </row>
    <row r="78">
      <c r="A78" s="13" t="inlineStr">
        <is>
          <t>2列②　男女別</t>
        </is>
      </c>
    </row>
    <row r="79">
      <c r="A79" s="17" t="n"/>
      <c r="B79" s="9" t="inlineStr">
        <is>
          <t>上が前　← ○で印刷</t>
        </is>
      </c>
      <c r="E79" s="17" t="n"/>
      <c r="F79" s="9" t="inlineStr">
        <is>
          <t>下が前　← ○で印刷</t>
        </is>
      </c>
    </row>
    <row r="80">
      <c r="B80" s="18" t="inlineStr">
        <is>
          <t>男子</t>
        </is>
      </c>
      <c r="C80" s="19" t="inlineStr">
        <is>
          <t>女子</t>
        </is>
      </c>
      <c r="F80" s="18" t="inlineStr">
        <is>
          <t>男子</t>
        </is>
      </c>
      <c r="G80" s="19" t="inlineStr">
        <is>
          <t>女子</t>
        </is>
      </c>
    </row>
    <row r="81">
      <c r="A81" s="14">
        <f>IF(0=1,"後ろ","前")</f>
        <v/>
      </c>
      <c r="B81" s="15">
        <f>IF(ISNUMBER($A81),IFERROR(INDEX('入力シート'!$A$2:$A$41,MATCH("男"&amp;($A81),'入力シート'!$I$2:$I$41,0)),""),"")</f>
        <v/>
      </c>
      <c r="C81" s="15">
        <f>IF(ISNUMBER($A81),IFERROR(INDEX('入力シート'!$A$2:$A$41,MATCH("女"&amp;($A81),'入力シート'!$I$2:$I$41,0)),""),"")</f>
        <v/>
      </c>
      <c r="E81" s="14">
        <f>IF(1=1,"後ろ","前")</f>
        <v/>
      </c>
      <c r="F81" s="15">
        <f>IF(ISNUMBER($E81),IFERROR(INDEX('入力シート'!$A$2:$A$41,MATCH("男"&amp;($E81),'入力シート'!$I$2:$I$41,0)),""),"")</f>
        <v/>
      </c>
      <c r="G81" s="15">
        <f>IF(ISNUMBER($E81),IFERROR(INDEX('入力シート'!$A$2:$A$41,MATCH("女"&amp;($E81),'入力シート'!$I$2:$I$41,0)),""),"")</f>
        <v/>
      </c>
    </row>
    <row r="82">
      <c r="A82" s="14">
        <f>IF(1&lt;=MAX('入力シート'!$M$14,'入力シート'!$M$15),IF(0=1,MAX('入力シート'!$M$14,'入力シート'!$M$15)+1-1,1),IF(1=MAX('入力シート'!$M$14,'入力シート'!$M$15)+1,IF(0=1,"前","後ろ"),""))</f>
        <v/>
      </c>
      <c r="B82" s="15">
        <f>IF(ISNUMBER($A82),IFERROR(INDEX('入力シート'!$A$2:$A$41,MATCH("男"&amp;($A82),'入力シート'!$I$2:$I$41,0)),""),"")</f>
        <v/>
      </c>
      <c r="C82" s="15">
        <f>IF(ISNUMBER($A82),IFERROR(INDEX('入力シート'!$A$2:$A$41,MATCH("女"&amp;($A82),'入力シート'!$I$2:$I$41,0)),""),"")</f>
        <v/>
      </c>
      <c r="E82" s="14">
        <f>IF(1&lt;=MAX('入力シート'!$M$14,'入力シート'!$M$15),IF(1=1,MAX('入力シート'!$M$14,'入力シート'!$M$15)+1-1,1),IF(1=MAX('入力シート'!$M$14,'入力シート'!$M$15)+1,IF(1=1,"前","後ろ"),""))</f>
        <v/>
      </c>
      <c r="F82" s="15">
        <f>IF(ISNUMBER($E82),IFERROR(INDEX('入力シート'!$A$2:$A$41,MATCH("男"&amp;($E82),'入力シート'!$I$2:$I$41,0)),""),"")</f>
        <v/>
      </c>
      <c r="G82" s="15">
        <f>IF(ISNUMBER($E82),IFERROR(INDEX('入力シート'!$A$2:$A$41,MATCH("女"&amp;($E82),'入力シート'!$I$2:$I$41,0)),""),"")</f>
        <v/>
      </c>
    </row>
    <row r="83">
      <c r="A83" s="14">
        <f>IF(2&lt;=MAX('入力シート'!$M$14,'入力シート'!$M$15),IF(0=1,MAX('入力シート'!$M$14,'入力シート'!$M$15)+1-2,2),IF(2=MAX('入力シート'!$M$14,'入力シート'!$M$15)+1,IF(0=1,"前","後ろ"),""))</f>
        <v/>
      </c>
      <c r="B83" s="15">
        <f>IF(ISNUMBER($A83),IFERROR(INDEX('入力シート'!$A$2:$A$41,MATCH("男"&amp;($A83),'入力シート'!$I$2:$I$41,0)),""),"")</f>
        <v/>
      </c>
      <c r="C83" s="15">
        <f>IF(ISNUMBER($A83),IFERROR(INDEX('入力シート'!$A$2:$A$41,MATCH("女"&amp;($A83),'入力シート'!$I$2:$I$41,0)),""),"")</f>
        <v/>
      </c>
      <c r="E83" s="14">
        <f>IF(2&lt;=MAX('入力シート'!$M$14,'入力シート'!$M$15),IF(1=1,MAX('入力シート'!$M$14,'入力シート'!$M$15)+1-2,2),IF(2=MAX('入力シート'!$M$14,'入力シート'!$M$15)+1,IF(1=1,"前","後ろ"),""))</f>
        <v/>
      </c>
      <c r="F83" s="15">
        <f>IF(ISNUMBER($E83),IFERROR(INDEX('入力シート'!$A$2:$A$41,MATCH("男"&amp;($E83),'入力シート'!$I$2:$I$41,0)),""),"")</f>
        <v/>
      </c>
      <c r="G83" s="15">
        <f>IF(ISNUMBER($E83),IFERROR(INDEX('入力シート'!$A$2:$A$41,MATCH("女"&amp;($E83),'入力シート'!$I$2:$I$41,0)),""),"")</f>
        <v/>
      </c>
    </row>
    <row r="84">
      <c r="A84" s="14">
        <f>IF(3&lt;=MAX('入力シート'!$M$14,'入力シート'!$M$15),IF(0=1,MAX('入力シート'!$M$14,'入力シート'!$M$15)+1-3,3),IF(3=MAX('入力シート'!$M$14,'入力シート'!$M$15)+1,IF(0=1,"前","後ろ"),""))</f>
        <v/>
      </c>
      <c r="B84" s="15">
        <f>IF(ISNUMBER($A84),IFERROR(INDEX('入力シート'!$A$2:$A$41,MATCH("男"&amp;($A84),'入力シート'!$I$2:$I$41,0)),""),"")</f>
        <v/>
      </c>
      <c r="C84" s="15">
        <f>IF(ISNUMBER($A84),IFERROR(INDEX('入力シート'!$A$2:$A$41,MATCH("女"&amp;($A84),'入力シート'!$I$2:$I$41,0)),""),"")</f>
        <v/>
      </c>
      <c r="E84" s="14">
        <f>IF(3&lt;=MAX('入力シート'!$M$14,'入力シート'!$M$15),IF(1=1,MAX('入力シート'!$M$14,'入力シート'!$M$15)+1-3,3),IF(3=MAX('入力シート'!$M$14,'入力シート'!$M$15)+1,IF(1=1,"前","後ろ"),""))</f>
        <v/>
      </c>
      <c r="F84" s="15">
        <f>IF(ISNUMBER($E84),IFERROR(INDEX('入力シート'!$A$2:$A$41,MATCH("男"&amp;($E84),'入力シート'!$I$2:$I$41,0)),""),"")</f>
        <v/>
      </c>
      <c r="G84" s="15">
        <f>IF(ISNUMBER($E84),IFERROR(INDEX('入力シート'!$A$2:$A$41,MATCH("女"&amp;($E84),'入力シート'!$I$2:$I$41,0)),""),"")</f>
        <v/>
      </c>
    </row>
    <row r="85">
      <c r="A85" s="14">
        <f>IF(4&lt;=MAX('入力シート'!$M$14,'入力シート'!$M$15),IF(0=1,MAX('入力シート'!$M$14,'入力シート'!$M$15)+1-4,4),IF(4=MAX('入力シート'!$M$14,'入力シート'!$M$15)+1,IF(0=1,"前","後ろ"),""))</f>
        <v/>
      </c>
      <c r="B85" s="15">
        <f>IF(ISNUMBER($A85),IFERROR(INDEX('入力シート'!$A$2:$A$41,MATCH("男"&amp;($A85),'入力シート'!$I$2:$I$41,0)),""),"")</f>
        <v/>
      </c>
      <c r="C85" s="15">
        <f>IF(ISNUMBER($A85),IFERROR(INDEX('入力シート'!$A$2:$A$41,MATCH("女"&amp;($A85),'入力シート'!$I$2:$I$41,0)),""),"")</f>
        <v/>
      </c>
      <c r="E85" s="14">
        <f>IF(4&lt;=MAX('入力シート'!$M$14,'入力シート'!$M$15),IF(1=1,MAX('入力シート'!$M$14,'入力シート'!$M$15)+1-4,4),IF(4=MAX('入力シート'!$M$14,'入力シート'!$M$15)+1,IF(1=1,"前","後ろ"),""))</f>
        <v/>
      </c>
      <c r="F85" s="15">
        <f>IF(ISNUMBER($E85),IFERROR(INDEX('入力シート'!$A$2:$A$41,MATCH("男"&amp;($E85),'入力シート'!$I$2:$I$41,0)),""),"")</f>
        <v/>
      </c>
      <c r="G85" s="15">
        <f>IF(ISNUMBER($E85),IFERROR(INDEX('入力シート'!$A$2:$A$41,MATCH("女"&amp;($E85),'入力シート'!$I$2:$I$41,0)),""),"")</f>
        <v/>
      </c>
    </row>
    <row r="86">
      <c r="A86" s="14">
        <f>IF(5&lt;=MAX('入力シート'!$M$14,'入力シート'!$M$15),IF(0=1,MAX('入力シート'!$M$14,'入力シート'!$M$15)+1-5,5),IF(5=MAX('入力シート'!$M$14,'入力シート'!$M$15)+1,IF(0=1,"前","後ろ"),""))</f>
        <v/>
      </c>
      <c r="B86" s="15">
        <f>IF(ISNUMBER($A86),IFERROR(INDEX('入力シート'!$A$2:$A$41,MATCH("男"&amp;($A86),'入力シート'!$I$2:$I$41,0)),""),"")</f>
        <v/>
      </c>
      <c r="C86" s="15">
        <f>IF(ISNUMBER($A86),IFERROR(INDEX('入力シート'!$A$2:$A$41,MATCH("女"&amp;($A86),'入力シート'!$I$2:$I$41,0)),""),"")</f>
        <v/>
      </c>
      <c r="E86" s="14">
        <f>IF(5&lt;=MAX('入力シート'!$M$14,'入力シート'!$M$15),IF(1=1,MAX('入力シート'!$M$14,'入力シート'!$M$15)+1-5,5),IF(5=MAX('入力シート'!$M$14,'入力シート'!$M$15)+1,IF(1=1,"前","後ろ"),""))</f>
        <v/>
      </c>
      <c r="F86" s="15">
        <f>IF(ISNUMBER($E86),IFERROR(INDEX('入力シート'!$A$2:$A$41,MATCH("男"&amp;($E86),'入力シート'!$I$2:$I$41,0)),""),"")</f>
        <v/>
      </c>
      <c r="G86" s="15">
        <f>IF(ISNUMBER($E86),IFERROR(INDEX('入力シート'!$A$2:$A$41,MATCH("女"&amp;($E86),'入力シート'!$I$2:$I$41,0)),""),"")</f>
        <v/>
      </c>
    </row>
    <row r="87">
      <c r="A87" s="14">
        <f>IF(6&lt;=MAX('入力シート'!$M$14,'入力シート'!$M$15),IF(0=1,MAX('入力シート'!$M$14,'入力シート'!$M$15)+1-6,6),IF(6=MAX('入力シート'!$M$14,'入力シート'!$M$15)+1,IF(0=1,"前","後ろ"),""))</f>
        <v/>
      </c>
      <c r="B87" s="15">
        <f>IF(ISNUMBER($A87),IFERROR(INDEX('入力シート'!$A$2:$A$41,MATCH("男"&amp;($A87),'入力シート'!$I$2:$I$41,0)),""),"")</f>
        <v/>
      </c>
      <c r="C87" s="15">
        <f>IF(ISNUMBER($A87),IFERROR(INDEX('入力シート'!$A$2:$A$41,MATCH("女"&amp;($A87),'入力シート'!$I$2:$I$41,0)),""),"")</f>
        <v/>
      </c>
      <c r="E87" s="14">
        <f>IF(6&lt;=MAX('入力シート'!$M$14,'入力シート'!$M$15),IF(1=1,MAX('入力シート'!$M$14,'入力シート'!$M$15)+1-6,6),IF(6=MAX('入力シート'!$M$14,'入力シート'!$M$15)+1,IF(1=1,"前","後ろ"),""))</f>
        <v/>
      </c>
      <c r="F87" s="15">
        <f>IF(ISNUMBER($E87),IFERROR(INDEX('入力シート'!$A$2:$A$41,MATCH("男"&amp;($E87),'入力シート'!$I$2:$I$41,0)),""),"")</f>
        <v/>
      </c>
      <c r="G87" s="15">
        <f>IF(ISNUMBER($E87),IFERROR(INDEX('入力シート'!$A$2:$A$41,MATCH("女"&amp;($E87),'入力シート'!$I$2:$I$41,0)),""),"")</f>
        <v/>
      </c>
    </row>
    <row r="88">
      <c r="A88" s="14">
        <f>IF(7&lt;=MAX('入力シート'!$M$14,'入力シート'!$M$15),IF(0=1,MAX('入力シート'!$M$14,'入力シート'!$M$15)+1-7,7),IF(7=MAX('入力シート'!$M$14,'入力シート'!$M$15)+1,IF(0=1,"前","後ろ"),""))</f>
        <v/>
      </c>
      <c r="B88" s="15">
        <f>IF(ISNUMBER($A88),IFERROR(INDEX('入力シート'!$A$2:$A$41,MATCH("男"&amp;($A88),'入力シート'!$I$2:$I$41,0)),""),"")</f>
        <v/>
      </c>
      <c r="C88" s="15">
        <f>IF(ISNUMBER($A88),IFERROR(INDEX('入力シート'!$A$2:$A$41,MATCH("女"&amp;($A88),'入力シート'!$I$2:$I$41,0)),""),"")</f>
        <v/>
      </c>
      <c r="E88" s="14">
        <f>IF(7&lt;=MAX('入力シート'!$M$14,'入力シート'!$M$15),IF(1=1,MAX('入力シート'!$M$14,'入力シート'!$M$15)+1-7,7),IF(7=MAX('入力シート'!$M$14,'入力シート'!$M$15)+1,IF(1=1,"前","後ろ"),""))</f>
        <v/>
      </c>
      <c r="F88" s="15">
        <f>IF(ISNUMBER($E88),IFERROR(INDEX('入力シート'!$A$2:$A$41,MATCH("男"&amp;($E88),'入力シート'!$I$2:$I$41,0)),""),"")</f>
        <v/>
      </c>
      <c r="G88" s="15">
        <f>IF(ISNUMBER($E88),IFERROR(INDEX('入力シート'!$A$2:$A$41,MATCH("女"&amp;($E88),'入力シート'!$I$2:$I$41,0)),""),"")</f>
        <v/>
      </c>
    </row>
    <row r="89">
      <c r="A89" s="14">
        <f>IF(8&lt;=MAX('入力シート'!$M$14,'入力シート'!$M$15),IF(0=1,MAX('入力シート'!$M$14,'入力シート'!$M$15)+1-8,8),IF(8=MAX('入力シート'!$M$14,'入力シート'!$M$15)+1,IF(0=1,"前","後ろ"),""))</f>
        <v/>
      </c>
      <c r="B89" s="15">
        <f>IF(ISNUMBER($A89),IFERROR(INDEX('入力シート'!$A$2:$A$41,MATCH("男"&amp;($A89),'入力シート'!$I$2:$I$41,0)),""),"")</f>
        <v/>
      </c>
      <c r="C89" s="15">
        <f>IF(ISNUMBER($A89),IFERROR(INDEX('入力シート'!$A$2:$A$41,MATCH("女"&amp;($A89),'入力シート'!$I$2:$I$41,0)),""),"")</f>
        <v/>
      </c>
      <c r="E89" s="14">
        <f>IF(8&lt;=MAX('入力シート'!$M$14,'入力シート'!$M$15),IF(1=1,MAX('入力シート'!$M$14,'入力シート'!$M$15)+1-8,8),IF(8=MAX('入力シート'!$M$14,'入力シート'!$M$15)+1,IF(1=1,"前","後ろ"),""))</f>
        <v/>
      </c>
      <c r="F89" s="15">
        <f>IF(ISNUMBER($E89),IFERROR(INDEX('入力シート'!$A$2:$A$41,MATCH("男"&amp;($E89),'入力シート'!$I$2:$I$41,0)),""),"")</f>
        <v/>
      </c>
      <c r="G89" s="15">
        <f>IF(ISNUMBER($E89),IFERROR(INDEX('入力シート'!$A$2:$A$41,MATCH("女"&amp;($E89),'入力シート'!$I$2:$I$41,0)),""),"")</f>
        <v/>
      </c>
    </row>
    <row r="90">
      <c r="A90" s="14">
        <f>IF(9&lt;=MAX('入力シート'!$M$14,'入力シート'!$M$15),IF(0=1,MAX('入力シート'!$M$14,'入力シート'!$M$15)+1-9,9),IF(9=MAX('入力シート'!$M$14,'入力シート'!$M$15)+1,IF(0=1,"前","後ろ"),""))</f>
        <v/>
      </c>
      <c r="B90" s="15">
        <f>IF(ISNUMBER($A90),IFERROR(INDEX('入力シート'!$A$2:$A$41,MATCH("男"&amp;($A90),'入力シート'!$I$2:$I$41,0)),""),"")</f>
        <v/>
      </c>
      <c r="C90" s="15">
        <f>IF(ISNUMBER($A90),IFERROR(INDEX('入力シート'!$A$2:$A$41,MATCH("女"&amp;($A90),'入力シート'!$I$2:$I$41,0)),""),"")</f>
        <v/>
      </c>
      <c r="E90" s="14">
        <f>IF(9&lt;=MAX('入力シート'!$M$14,'入力シート'!$M$15),IF(1=1,MAX('入力シート'!$M$14,'入力シート'!$M$15)+1-9,9),IF(9=MAX('入力シート'!$M$14,'入力シート'!$M$15)+1,IF(1=1,"前","後ろ"),""))</f>
        <v/>
      </c>
      <c r="F90" s="15">
        <f>IF(ISNUMBER($E90),IFERROR(INDEX('入力シート'!$A$2:$A$41,MATCH("男"&amp;($E90),'入力シート'!$I$2:$I$41,0)),""),"")</f>
        <v/>
      </c>
      <c r="G90" s="15">
        <f>IF(ISNUMBER($E90),IFERROR(INDEX('入力シート'!$A$2:$A$41,MATCH("女"&amp;($E90),'入力シート'!$I$2:$I$41,0)),""),"")</f>
        <v/>
      </c>
    </row>
    <row r="91">
      <c r="A91" s="14">
        <f>IF(10&lt;=MAX('入力シート'!$M$14,'入力シート'!$M$15),IF(0=1,MAX('入力シート'!$M$14,'入力シート'!$M$15)+1-10,10),IF(10=MAX('入力シート'!$M$14,'入力シート'!$M$15)+1,IF(0=1,"前","後ろ"),""))</f>
        <v/>
      </c>
      <c r="B91" s="15">
        <f>IF(ISNUMBER($A91),IFERROR(INDEX('入力シート'!$A$2:$A$41,MATCH("男"&amp;($A91),'入力シート'!$I$2:$I$41,0)),""),"")</f>
        <v/>
      </c>
      <c r="C91" s="15">
        <f>IF(ISNUMBER($A91),IFERROR(INDEX('入力シート'!$A$2:$A$41,MATCH("女"&amp;($A91),'入力シート'!$I$2:$I$41,0)),""),"")</f>
        <v/>
      </c>
      <c r="E91" s="14">
        <f>IF(10&lt;=MAX('入力シート'!$M$14,'入力シート'!$M$15),IF(1=1,MAX('入力シート'!$M$14,'入力シート'!$M$15)+1-10,10),IF(10=MAX('入力シート'!$M$14,'入力シート'!$M$15)+1,IF(1=1,"前","後ろ"),""))</f>
        <v/>
      </c>
      <c r="F91" s="15">
        <f>IF(ISNUMBER($E91),IFERROR(INDEX('入力シート'!$A$2:$A$41,MATCH("男"&amp;($E91),'入力シート'!$I$2:$I$41,0)),""),"")</f>
        <v/>
      </c>
      <c r="G91" s="15">
        <f>IF(ISNUMBER($E91),IFERROR(INDEX('入力シート'!$A$2:$A$41,MATCH("女"&amp;($E91),'入力シート'!$I$2:$I$41,0)),""),"")</f>
        <v/>
      </c>
    </row>
    <row r="92">
      <c r="A92" s="14">
        <f>IF(11&lt;=MAX('入力シート'!$M$14,'入力シート'!$M$15),IF(0=1,MAX('入力シート'!$M$14,'入力シート'!$M$15)+1-11,11),IF(11=MAX('入力シート'!$M$14,'入力シート'!$M$15)+1,IF(0=1,"前","後ろ"),""))</f>
        <v/>
      </c>
      <c r="B92" s="15">
        <f>IF(ISNUMBER($A92),IFERROR(INDEX('入力シート'!$A$2:$A$41,MATCH("男"&amp;($A92),'入力シート'!$I$2:$I$41,0)),""),"")</f>
        <v/>
      </c>
      <c r="C92" s="15">
        <f>IF(ISNUMBER($A92),IFERROR(INDEX('入力シート'!$A$2:$A$41,MATCH("女"&amp;($A92),'入力シート'!$I$2:$I$41,0)),""),"")</f>
        <v/>
      </c>
      <c r="E92" s="14">
        <f>IF(11&lt;=MAX('入力シート'!$M$14,'入力シート'!$M$15),IF(1=1,MAX('入力シート'!$M$14,'入力シート'!$M$15)+1-11,11),IF(11=MAX('入力シート'!$M$14,'入力シート'!$M$15)+1,IF(1=1,"前","後ろ"),""))</f>
        <v/>
      </c>
      <c r="F92" s="15">
        <f>IF(ISNUMBER($E92),IFERROR(INDEX('入力シート'!$A$2:$A$41,MATCH("男"&amp;($E92),'入力シート'!$I$2:$I$41,0)),""),"")</f>
        <v/>
      </c>
      <c r="G92" s="15">
        <f>IF(ISNUMBER($E92),IFERROR(INDEX('入力シート'!$A$2:$A$41,MATCH("女"&amp;($E92),'入力シート'!$I$2:$I$41,0)),""),"")</f>
        <v/>
      </c>
    </row>
    <row r="93">
      <c r="A93" s="14">
        <f>IF(12&lt;=MAX('入力シート'!$M$14,'入力シート'!$M$15),IF(0=1,MAX('入力シート'!$M$14,'入力シート'!$M$15)+1-12,12),IF(12=MAX('入力シート'!$M$14,'入力シート'!$M$15)+1,IF(0=1,"前","後ろ"),""))</f>
        <v/>
      </c>
      <c r="B93" s="15">
        <f>IF(ISNUMBER($A93),IFERROR(INDEX('入力シート'!$A$2:$A$41,MATCH("男"&amp;($A93),'入力シート'!$I$2:$I$41,0)),""),"")</f>
        <v/>
      </c>
      <c r="C93" s="15">
        <f>IF(ISNUMBER($A93),IFERROR(INDEX('入力シート'!$A$2:$A$41,MATCH("女"&amp;($A93),'入力シート'!$I$2:$I$41,0)),""),"")</f>
        <v/>
      </c>
      <c r="E93" s="14">
        <f>IF(12&lt;=MAX('入力シート'!$M$14,'入力シート'!$M$15),IF(1=1,MAX('入力シート'!$M$14,'入力シート'!$M$15)+1-12,12),IF(12=MAX('入力シート'!$M$14,'入力シート'!$M$15)+1,IF(1=1,"前","後ろ"),""))</f>
        <v/>
      </c>
      <c r="F93" s="15">
        <f>IF(ISNUMBER($E93),IFERROR(INDEX('入力シート'!$A$2:$A$41,MATCH("男"&amp;($E93),'入力シート'!$I$2:$I$41,0)),""),"")</f>
        <v/>
      </c>
      <c r="G93" s="15">
        <f>IF(ISNUMBER($E93),IFERROR(INDEX('入力シート'!$A$2:$A$41,MATCH("女"&amp;($E93),'入力シート'!$I$2:$I$41,0)),""),"")</f>
        <v/>
      </c>
    </row>
    <row r="94">
      <c r="A94" s="14">
        <f>IF(13&lt;=MAX('入力シート'!$M$14,'入力シート'!$M$15),IF(0=1,MAX('入力シート'!$M$14,'入力シート'!$M$15)+1-13,13),IF(13=MAX('入力シート'!$M$14,'入力シート'!$M$15)+1,IF(0=1,"前","後ろ"),""))</f>
        <v/>
      </c>
      <c r="B94" s="15">
        <f>IF(ISNUMBER($A94),IFERROR(INDEX('入力シート'!$A$2:$A$41,MATCH("男"&amp;($A94),'入力シート'!$I$2:$I$41,0)),""),"")</f>
        <v/>
      </c>
      <c r="C94" s="15">
        <f>IF(ISNUMBER($A94),IFERROR(INDEX('入力シート'!$A$2:$A$41,MATCH("女"&amp;($A94),'入力シート'!$I$2:$I$41,0)),""),"")</f>
        <v/>
      </c>
      <c r="E94" s="14">
        <f>IF(13&lt;=MAX('入力シート'!$M$14,'入力シート'!$M$15),IF(1=1,MAX('入力シート'!$M$14,'入力シート'!$M$15)+1-13,13),IF(13=MAX('入力シート'!$M$14,'入力シート'!$M$15)+1,IF(1=1,"前","後ろ"),""))</f>
        <v/>
      </c>
      <c r="F94" s="15">
        <f>IF(ISNUMBER($E94),IFERROR(INDEX('入力シート'!$A$2:$A$41,MATCH("男"&amp;($E94),'入力シート'!$I$2:$I$41,0)),""),"")</f>
        <v/>
      </c>
      <c r="G94" s="15">
        <f>IF(ISNUMBER($E94),IFERROR(INDEX('入力シート'!$A$2:$A$41,MATCH("女"&amp;($E94),'入力シート'!$I$2:$I$41,0)),""),"")</f>
        <v/>
      </c>
    </row>
    <row r="95">
      <c r="A95" s="14">
        <f>IF(14&lt;=MAX('入力シート'!$M$14,'入力シート'!$M$15),IF(0=1,MAX('入力シート'!$M$14,'入力シート'!$M$15)+1-14,14),IF(14=MAX('入力シート'!$M$14,'入力シート'!$M$15)+1,IF(0=1,"前","後ろ"),""))</f>
        <v/>
      </c>
      <c r="B95" s="15">
        <f>IF(ISNUMBER($A95),IFERROR(INDEX('入力シート'!$A$2:$A$41,MATCH("男"&amp;($A95),'入力シート'!$I$2:$I$41,0)),""),"")</f>
        <v/>
      </c>
      <c r="C95" s="15">
        <f>IF(ISNUMBER($A95),IFERROR(INDEX('入力シート'!$A$2:$A$41,MATCH("女"&amp;($A95),'入力シート'!$I$2:$I$41,0)),""),"")</f>
        <v/>
      </c>
      <c r="E95" s="14">
        <f>IF(14&lt;=MAX('入力シート'!$M$14,'入力シート'!$M$15),IF(1=1,MAX('入力シート'!$M$14,'入力シート'!$M$15)+1-14,14),IF(14=MAX('入力シート'!$M$14,'入力シート'!$M$15)+1,IF(1=1,"前","後ろ"),""))</f>
        <v/>
      </c>
      <c r="F95" s="15">
        <f>IF(ISNUMBER($E95),IFERROR(INDEX('入力シート'!$A$2:$A$41,MATCH("男"&amp;($E95),'入力シート'!$I$2:$I$41,0)),""),"")</f>
        <v/>
      </c>
      <c r="G95" s="15">
        <f>IF(ISNUMBER($E95),IFERROR(INDEX('入力シート'!$A$2:$A$41,MATCH("女"&amp;($E95),'入力シート'!$I$2:$I$41,0)),""),"")</f>
        <v/>
      </c>
    </row>
    <row r="96">
      <c r="A96" s="14">
        <f>IF(15&lt;=MAX('入力シート'!$M$14,'入力シート'!$M$15),IF(0=1,MAX('入力シート'!$M$14,'入力シート'!$M$15)+1-15,15),IF(15=MAX('入力シート'!$M$14,'入力シート'!$M$15)+1,IF(0=1,"前","後ろ"),""))</f>
        <v/>
      </c>
      <c r="B96" s="15">
        <f>IF(ISNUMBER($A96),IFERROR(INDEX('入力シート'!$A$2:$A$41,MATCH("男"&amp;($A96),'入力シート'!$I$2:$I$41,0)),""),"")</f>
        <v/>
      </c>
      <c r="C96" s="15">
        <f>IF(ISNUMBER($A96),IFERROR(INDEX('入力シート'!$A$2:$A$41,MATCH("女"&amp;($A96),'入力シート'!$I$2:$I$41,0)),""),"")</f>
        <v/>
      </c>
      <c r="E96" s="14">
        <f>IF(15&lt;=MAX('入力シート'!$M$14,'入力シート'!$M$15),IF(1=1,MAX('入力シート'!$M$14,'入力シート'!$M$15)+1-15,15),IF(15=MAX('入力シート'!$M$14,'入力シート'!$M$15)+1,IF(1=1,"前","後ろ"),""))</f>
        <v/>
      </c>
      <c r="F96" s="15">
        <f>IF(ISNUMBER($E96),IFERROR(INDEX('入力シート'!$A$2:$A$41,MATCH("男"&amp;($E96),'入力シート'!$I$2:$I$41,0)),""),"")</f>
        <v/>
      </c>
      <c r="G96" s="15">
        <f>IF(ISNUMBER($E96),IFERROR(INDEX('入力シート'!$A$2:$A$41,MATCH("女"&amp;($E96),'入力シート'!$I$2:$I$41,0)),""),"")</f>
        <v/>
      </c>
    </row>
    <row r="97">
      <c r="A97" s="14">
        <f>IF(16&lt;=MAX('入力シート'!$M$14,'入力シート'!$M$15),IF(0=1,MAX('入力シート'!$M$14,'入力シート'!$M$15)+1-16,16),IF(16=MAX('入力シート'!$M$14,'入力シート'!$M$15)+1,IF(0=1,"前","後ろ"),""))</f>
        <v/>
      </c>
      <c r="B97" s="15">
        <f>IF(ISNUMBER($A97),IFERROR(INDEX('入力シート'!$A$2:$A$41,MATCH("男"&amp;($A97),'入力シート'!$I$2:$I$41,0)),""),"")</f>
        <v/>
      </c>
      <c r="C97" s="15">
        <f>IF(ISNUMBER($A97),IFERROR(INDEX('入力シート'!$A$2:$A$41,MATCH("女"&amp;($A97),'入力シート'!$I$2:$I$41,0)),""),"")</f>
        <v/>
      </c>
      <c r="E97" s="14">
        <f>IF(16&lt;=MAX('入力シート'!$M$14,'入力シート'!$M$15),IF(1=1,MAX('入力シート'!$M$14,'入力シート'!$M$15)+1-16,16),IF(16=MAX('入力シート'!$M$14,'入力シート'!$M$15)+1,IF(1=1,"前","後ろ"),""))</f>
        <v/>
      </c>
      <c r="F97" s="15">
        <f>IF(ISNUMBER($E97),IFERROR(INDEX('入力シート'!$A$2:$A$41,MATCH("男"&amp;($E97),'入力シート'!$I$2:$I$41,0)),""),"")</f>
        <v/>
      </c>
      <c r="G97" s="15">
        <f>IF(ISNUMBER($E97),IFERROR(INDEX('入力シート'!$A$2:$A$41,MATCH("女"&amp;($E97),'入力シート'!$I$2:$I$41,0)),""),"")</f>
        <v/>
      </c>
    </row>
    <row r="98">
      <c r="A98" s="14">
        <f>IF(17&lt;=MAX('入力シート'!$M$14,'入力シート'!$M$15),IF(0=1,MAX('入力シート'!$M$14,'入力シート'!$M$15)+1-17,17),IF(17=MAX('入力シート'!$M$14,'入力シート'!$M$15)+1,IF(0=1,"前","後ろ"),""))</f>
        <v/>
      </c>
      <c r="B98" s="15">
        <f>IF(ISNUMBER($A98),IFERROR(INDEX('入力シート'!$A$2:$A$41,MATCH("男"&amp;($A98),'入力シート'!$I$2:$I$41,0)),""),"")</f>
        <v/>
      </c>
      <c r="C98" s="15">
        <f>IF(ISNUMBER($A98),IFERROR(INDEX('入力シート'!$A$2:$A$41,MATCH("女"&amp;($A98),'入力シート'!$I$2:$I$41,0)),""),"")</f>
        <v/>
      </c>
      <c r="E98" s="14">
        <f>IF(17&lt;=MAX('入力シート'!$M$14,'入力シート'!$M$15),IF(1=1,MAX('入力シート'!$M$14,'入力シート'!$M$15)+1-17,17),IF(17=MAX('入力シート'!$M$14,'入力シート'!$M$15)+1,IF(1=1,"前","後ろ"),""))</f>
        <v/>
      </c>
      <c r="F98" s="15">
        <f>IF(ISNUMBER($E98),IFERROR(INDEX('入力シート'!$A$2:$A$41,MATCH("男"&amp;($E98),'入力シート'!$I$2:$I$41,0)),""),"")</f>
        <v/>
      </c>
      <c r="G98" s="15">
        <f>IF(ISNUMBER($E98),IFERROR(INDEX('入力シート'!$A$2:$A$41,MATCH("女"&amp;($E98),'入力シート'!$I$2:$I$41,0)),""),"")</f>
        <v/>
      </c>
    </row>
    <row r="99">
      <c r="A99" s="14">
        <f>IF(18&lt;=MAX('入力シート'!$M$14,'入力シート'!$M$15),IF(0=1,MAX('入力シート'!$M$14,'入力シート'!$M$15)+1-18,18),IF(18=MAX('入力シート'!$M$14,'入力シート'!$M$15)+1,IF(0=1,"前","後ろ"),""))</f>
        <v/>
      </c>
      <c r="B99" s="15">
        <f>IF(ISNUMBER($A99),IFERROR(INDEX('入力シート'!$A$2:$A$41,MATCH("男"&amp;($A99),'入力シート'!$I$2:$I$41,0)),""),"")</f>
        <v/>
      </c>
      <c r="C99" s="15">
        <f>IF(ISNUMBER($A99),IFERROR(INDEX('入力シート'!$A$2:$A$41,MATCH("女"&amp;($A99),'入力シート'!$I$2:$I$41,0)),""),"")</f>
        <v/>
      </c>
      <c r="E99" s="14">
        <f>IF(18&lt;=MAX('入力シート'!$M$14,'入力シート'!$M$15),IF(1=1,MAX('入力シート'!$M$14,'入力シート'!$M$15)+1-18,18),IF(18=MAX('入力シート'!$M$14,'入力シート'!$M$15)+1,IF(1=1,"前","後ろ"),""))</f>
        <v/>
      </c>
      <c r="F99" s="15">
        <f>IF(ISNUMBER($E99),IFERROR(INDEX('入力シート'!$A$2:$A$41,MATCH("男"&amp;($E99),'入力シート'!$I$2:$I$41,0)),""),"")</f>
        <v/>
      </c>
      <c r="G99" s="15">
        <f>IF(ISNUMBER($E99),IFERROR(INDEX('入力シート'!$A$2:$A$41,MATCH("女"&amp;($E99),'入力シート'!$I$2:$I$41,0)),""),"")</f>
        <v/>
      </c>
    </row>
    <row r="100">
      <c r="A100" s="14">
        <f>IF(19&lt;=MAX('入力シート'!$M$14,'入力シート'!$M$15),IF(0=1,MAX('入力シート'!$M$14,'入力シート'!$M$15)+1-19,19),IF(19=MAX('入力シート'!$M$14,'入力シート'!$M$15)+1,IF(0=1,"前","後ろ"),""))</f>
        <v/>
      </c>
      <c r="B100" s="15">
        <f>IF(ISNUMBER($A100),IFERROR(INDEX('入力シート'!$A$2:$A$41,MATCH("男"&amp;($A100),'入力シート'!$I$2:$I$41,0)),""),"")</f>
        <v/>
      </c>
      <c r="C100" s="15">
        <f>IF(ISNUMBER($A100),IFERROR(INDEX('入力シート'!$A$2:$A$41,MATCH("女"&amp;($A100),'入力シート'!$I$2:$I$41,0)),""),"")</f>
        <v/>
      </c>
      <c r="E100" s="14">
        <f>IF(19&lt;=MAX('入力シート'!$M$14,'入力シート'!$M$15),IF(1=1,MAX('入力シート'!$M$14,'入力シート'!$M$15)+1-19,19),IF(19=MAX('入力シート'!$M$14,'入力シート'!$M$15)+1,IF(1=1,"前","後ろ"),""))</f>
        <v/>
      </c>
      <c r="F100" s="15">
        <f>IF(ISNUMBER($E100),IFERROR(INDEX('入力シート'!$A$2:$A$41,MATCH("男"&amp;($E100),'入力シート'!$I$2:$I$41,0)),""),"")</f>
        <v/>
      </c>
      <c r="G100" s="15">
        <f>IF(ISNUMBER($E100),IFERROR(INDEX('入力シート'!$A$2:$A$41,MATCH("女"&amp;($E100),'入力シート'!$I$2:$I$41,0)),""),"")</f>
        <v/>
      </c>
    </row>
    <row r="101">
      <c r="A101" s="14">
        <f>IF(20&lt;=MAX('入力シート'!$M$14,'入力シート'!$M$15),IF(0=1,MAX('入力シート'!$M$14,'入力シート'!$M$15)+1-20,20),IF(20=MAX('入力シート'!$M$14,'入力シート'!$M$15)+1,IF(0=1,"前","後ろ"),""))</f>
        <v/>
      </c>
      <c r="B101" s="15">
        <f>IF(ISNUMBER($A101),IFERROR(INDEX('入力シート'!$A$2:$A$41,MATCH("男"&amp;($A101),'入力シート'!$I$2:$I$41,0)),""),"")</f>
        <v/>
      </c>
      <c r="C101" s="15">
        <f>IF(ISNUMBER($A101),IFERROR(INDEX('入力シート'!$A$2:$A$41,MATCH("女"&amp;($A101),'入力シート'!$I$2:$I$41,0)),""),"")</f>
        <v/>
      </c>
      <c r="E101" s="14">
        <f>IF(20&lt;=MAX('入力シート'!$M$14,'入力シート'!$M$15),IF(1=1,MAX('入力シート'!$M$14,'入力シート'!$M$15)+1-20,20),IF(20=MAX('入力シート'!$M$14,'入力シート'!$M$15)+1,IF(1=1,"前","後ろ"),""))</f>
        <v/>
      </c>
      <c r="F101" s="15">
        <f>IF(ISNUMBER($E101),IFERROR(INDEX('入力シート'!$A$2:$A$41,MATCH("男"&amp;($E101),'入力シート'!$I$2:$I$41,0)),""),"")</f>
        <v/>
      </c>
      <c r="G101" s="15">
        <f>IF(ISNUMBER($E101),IFERROR(INDEX('入力シート'!$A$2:$A$41,MATCH("女"&amp;($E101),'入力シート'!$I$2:$I$41,0)),""),"")</f>
        <v/>
      </c>
    </row>
    <row r="102">
      <c r="A102" s="14">
        <f>IF(21&lt;=MAX('入力シート'!$M$14,'入力シート'!$M$15),IF(0=1,MAX('入力シート'!$M$14,'入力シート'!$M$15)+1-21,21),IF(21=MAX('入力シート'!$M$14,'入力シート'!$M$15)+1,IF(0=1,"前","後ろ"),""))</f>
        <v/>
      </c>
      <c r="B102" s="15">
        <f>IF(ISNUMBER($A102),IFERROR(INDEX('入力シート'!$A$2:$A$41,MATCH("男"&amp;($A102),'入力シート'!$I$2:$I$41,0)),""),"")</f>
        <v/>
      </c>
      <c r="C102" s="15">
        <f>IF(ISNUMBER($A102),IFERROR(INDEX('入力シート'!$A$2:$A$41,MATCH("女"&amp;($A102),'入力シート'!$I$2:$I$41,0)),""),"")</f>
        <v/>
      </c>
      <c r="E102" s="14">
        <f>IF(21&lt;=MAX('入力シート'!$M$14,'入力シート'!$M$15),IF(1=1,MAX('入力シート'!$M$14,'入力シート'!$M$15)+1-21,21),IF(21=MAX('入力シート'!$M$14,'入力シート'!$M$15)+1,IF(1=1,"前","後ろ"),""))</f>
        <v/>
      </c>
      <c r="F102" s="15">
        <f>IF(ISNUMBER($E102),IFERROR(INDEX('入力シート'!$A$2:$A$41,MATCH("男"&amp;($E102),'入力シート'!$I$2:$I$41,0)),""),"")</f>
        <v/>
      </c>
      <c r="G102" s="15">
        <f>IF(ISNUMBER($E102),IFERROR(INDEX('入力シート'!$A$2:$A$41,MATCH("女"&amp;($E102),'入力シート'!$I$2:$I$41,0)),""),"")</f>
        <v/>
      </c>
    </row>
    <row r="103">
      <c r="A103" s="14">
        <f>IF(22&lt;=MAX('入力シート'!$M$14,'入力シート'!$M$15),IF(0=1,MAX('入力シート'!$M$14,'入力シート'!$M$15)+1-22,22),IF(22=MAX('入力シート'!$M$14,'入力シート'!$M$15)+1,IF(0=1,"前","後ろ"),""))</f>
        <v/>
      </c>
      <c r="B103" s="15">
        <f>IF(ISNUMBER($A103),IFERROR(INDEX('入力シート'!$A$2:$A$41,MATCH("男"&amp;($A103),'入力シート'!$I$2:$I$41,0)),""),"")</f>
        <v/>
      </c>
      <c r="C103" s="15">
        <f>IF(ISNUMBER($A103),IFERROR(INDEX('入力シート'!$A$2:$A$41,MATCH("女"&amp;($A103),'入力シート'!$I$2:$I$41,0)),""),"")</f>
        <v/>
      </c>
      <c r="E103" s="14">
        <f>IF(22&lt;=MAX('入力シート'!$M$14,'入力シート'!$M$15),IF(1=1,MAX('入力シート'!$M$14,'入力シート'!$M$15)+1-22,22),IF(22=MAX('入力シート'!$M$14,'入力シート'!$M$15)+1,IF(1=1,"前","後ろ"),""))</f>
        <v/>
      </c>
      <c r="F103" s="15">
        <f>IF(ISNUMBER($E103),IFERROR(INDEX('入力シート'!$A$2:$A$41,MATCH("男"&amp;($E103),'入力シート'!$I$2:$I$41,0)),""),"")</f>
        <v/>
      </c>
      <c r="G103" s="15">
        <f>IF(ISNUMBER($E103),IFERROR(INDEX('入力シート'!$A$2:$A$41,MATCH("女"&amp;($E103),'入力シート'!$I$2:$I$41,0)),""),"")</f>
        <v/>
      </c>
    </row>
    <row r="104">
      <c r="A104" s="14">
        <f>IF(23&lt;=MAX('入力シート'!$M$14,'入力シート'!$M$15),IF(0=1,MAX('入力シート'!$M$14,'入力シート'!$M$15)+1-23,23),IF(23=MAX('入力シート'!$M$14,'入力シート'!$M$15)+1,IF(0=1,"前","後ろ"),""))</f>
        <v/>
      </c>
      <c r="B104" s="15">
        <f>IF(ISNUMBER($A104),IFERROR(INDEX('入力シート'!$A$2:$A$41,MATCH("男"&amp;($A104),'入力シート'!$I$2:$I$41,0)),""),"")</f>
        <v/>
      </c>
      <c r="C104" s="15">
        <f>IF(ISNUMBER($A104),IFERROR(INDEX('入力シート'!$A$2:$A$41,MATCH("女"&amp;($A104),'入力シート'!$I$2:$I$41,0)),""),"")</f>
        <v/>
      </c>
      <c r="E104" s="14">
        <f>IF(23&lt;=MAX('入力シート'!$M$14,'入力シート'!$M$15),IF(1=1,MAX('入力シート'!$M$14,'入力シート'!$M$15)+1-23,23),IF(23=MAX('入力シート'!$M$14,'入力シート'!$M$15)+1,IF(1=1,"前","後ろ"),""))</f>
        <v/>
      </c>
      <c r="F104" s="15">
        <f>IF(ISNUMBER($E104),IFERROR(INDEX('入力シート'!$A$2:$A$41,MATCH("男"&amp;($E104),'入力シート'!$I$2:$I$41,0)),""),"")</f>
        <v/>
      </c>
      <c r="G104" s="15">
        <f>IF(ISNUMBER($E104),IFERROR(INDEX('入力シート'!$A$2:$A$41,MATCH("女"&amp;($E104),'入力シート'!$I$2:$I$41,0)),""),"")</f>
        <v/>
      </c>
    </row>
    <row r="105">
      <c r="A105" s="14">
        <f>IF(24&lt;=MAX('入力シート'!$M$14,'入力シート'!$M$15),IF(0=1,MAX('入力シート'!$M$14,'入力シート'!$M$15)+1-24,24),IF(24=MAX('入力シート'!$M$14,'入力シート'!$M$15)+1,IF(0=1,"前","後ろ"),""))</f>
        <v/>
      </c>
      <c r="B105" s="15">
        <f>IF(ISNUMBER($A105),IFERROR(INDEX('入力シート'!$A$2:$A$41,MATCH("男"&amp;($A105),'入力シート'!$I$2:$I$41,0)),""),"")</f>
        <v/>
      </c>
      <c r="C105" s="15">
        <f>IF(ISNUMBER($A105),IFERROR(INDEX('入力シート'!$A$2:$A$41,MATCH("女"&amp;($A105),'入力シート'!$I$2:$I$41,0)),""),"")</f>
        <v/>
      </c>
      <c r="E105" s="14">
        <f>IF(24&lt;=MAX('入力シート'!$M$14,'入力シート'!$M$15),IF(1=1,MAX('入力シート'!$M$14,'入力シート'!$M$15)+1-24,24),IF(24=MAX('入力シート'!$M$14,'入力シート'!$M$15)+1,IF(1=1,"前","後ろ"),""))</f>
        <v/>
      </c>
      <c r="F105" s="15">
        <f>IF(ISNUMBER($E105),IFERROR(INDEX('入力シート'!$A$2:$A$41,MATCH("男"&amp;($E105),'入力シート'!$I$2:$I$41,0)),""),"")</f>
        <v/>
      </c>
      <c r="G105" s="15">
        <f>IF(ISNUMBER($E105),IFERROR(INDEX('入力シート'!$A$2:$A$41,MATCH("女"&amp;($E105),'入力シート'!$I$2:$I$41,0)),""),"")</f>
        <v/>
      </c>
    </row>
    <row r="106">
      <c r="A106" s="14">
        <f>IF(25&lt;=MAX('入力シート'!$M$14,'入力シート'!$M$15),IF(0=1,MAX('入力シート'!$M$14,'入力シート'!$M$15)+1-25,25),IF(25=MAX('入力シート'!$M$14,'入力シート'!$M$15)+1,IF(0=1,"前","後ろ"),""))</f>
        <v/>
      </c>
      <c r="B106" s="15">
        <f>IF(ISNUMBER($A106),IFERROR(INDEX('入力シート'!$A$2:$A$41,MATCH("男"&amp;($A106),'入力シート'!$I$2:$I$41,0)),""),"")</f>
        <v/>
      </c>
      <c r="C106" s="15">
        <f>IF(ISNUMBER($A106),IFERROR(INDEX('入力シート'!$A$2:$A$41,MATCH("女"&amp;($A106),'入力シート'!$I$2:$I$41,0)),""),"")</f>
        <v/>
      </c>
      <c r="E106" s="14">
        <f>IF(25&lt;=MAX('入力シート'!$M$14,'入力シート'!$M$15),IF(1=1,MAX('入力シート'!$M$14,'入力シート'!$M$15)+1-25,25),IF(25=MAX('入力シート'!$M$14,'入力シート'!$M$15)+1,IF(1=1,"前","後ろ"),""))</f>
        <v/>
      </c>
      <c r="F106" s="15">
        <f>IF(ISNUMBER($E106),IFERROR(INDEX('入力シート'!$A$2:$A$41,MATCH("男"&amp;($E106),'入力シート'!$I$2:$I$41,0)),""),"")</f>
        <v/>
      </c>
      <c r="G106" s="15">
        <f>IF(ISNUMBER($E106),IFERROR(INDEX('入力シート'!$A$2:$A$41,MATCH("女"&amp;($E106),'入力シート'!$I$2:$I$41,0)),""),"")</f>
        <v/>
      </c>
    </row>
    <row r="107">
      <c r="A107" s="14">
        <f>IF(26&lt;=MAX('入力シート'!$M$14,'入力シート'!$M$15),IF(0=1,MAX('入力シート'!$M$14,'入力シート'!$M$15)+1-26,26),IF(26=MAX('入力シート'!$M$14,'入力シート'!$M$15)+1,IF(0=1,"前","後ろ"),""))</f>
        <v/>
      </c>
      <c r="B107" s="15">
        <f>IF(ISNUMBER($A107),IFERROR(INDEX('入力シート'!$A$2:$A$41,MATCH("男"&amp;($A107),'入力シート'!$I$2:$I$41,0)),""),"")</f>
        <v/>
      </c>
      <c r="C107" s="15">
        <f>IF(ISNUMBER($A107),IFERROR(INDEX('入力シート'!$A$2:$A$41,MATCH("女"&amp;($A107),'入力シート'!$I$2:$I$41,0)),""),"")</f>
        <v/>
      </c>
      <c r="E107" s="14">
        <f>IF(26&lt;=MAX('入力シート'!$M$14,'入力シート'!$M$15),IF(1=1,MAX('入力シート'!$M$14,'入力シート'!$M$15)+1-26,26),IF(26=MAX('入力シート'!$M$14,'入力シート'!$M$15)+1,IF(1=1,"前","後ろ"),""))</f>
        <v/>
      </c>
      <c r="F107" s="15">
        <f>IF(ISNUMBER($E107),IFERROR(INDEX('入力シート'!$A$2:$A$41,MATCH("男"&amp;($E107),'入力シート'!$I$2:$I$41,0)),""),"")</f>
        <v/>
      </c>
      <c r="G107" s="15">
        <f>IF(ISNUMBER($E107),IFERROR(INDEX('入力シート'!$A$2:$A$41,MATCH("女"&amp;($E107),'入力シート'!$I$2:$I$41,0)),""),"")</f>
        <v/>
      </c>
    </row>
    <row r="108">
      <c r="A108" s="16">
        <f>IF((MAX('入力シート'!$M$14,'入力シート'!$M$15))&gt;25,"⚠ 入りきらない子がいます ","")&amp;IF('入力シート'!$M$16&gt;0,"⚠ 男女が未入力の子："&amp;'入力シート'!$M$16&amp;"人","")</f>
        <v/>
      </c>
      <c r="E108" s="16">
        <f>IF((MAX('入力シート'!$M$14,'入力シート'!$M$15))&gt;25,"⚠ 入りきらない子がいます ","")&amp;IF('入力シート'!$M$16&gt;0,"⚠ 男女が未入力の子："&amp;'入力シート'!$M$16&amp;"人","")</f>
        <v/>
      </c>
    </row>
  </sheetData>
  <mergeCells count="84">
    <mergeCell ref="F29:G29"/>
    <mergeCell ref="F16:G16"/>
    <mergeCell ref="F25:G25"/>
    <mergeCell ref="B22:C22"/>
    <mergeCell ref="B31:C31"/>
    <mergeCell ref="B12:C12"/>
    <mergeCell ref="B21:C21"/>
    <mergeCell ref="F15:G15"/>
    <mergeCell ref="B14:C14"/>
    <mergeCell ref="B13:C13"/>
    <mergeCell ref="B38:C38"/>
    <mergeCell ref="F23:G23"/>
    <mergeCell ref="B40:C40"/>
    <mergeCell ref="F13:G13"/>
    <mergeCell ref="F43:G43"/>
    <mergeCell ref="B24:C24"/>
    <mergeCell ref="B33:C33"/>
    <mergeCell ref="B32:C32"/>
    <mergeCell ref="B26:C26"/>
    <mergeCell ref="B41:C41"/>
    <mergeCell ref="B35:C35"/>
    <mergeCell ref="B16:C16"/>
    <mergeCell ref="B25:C25"/>
    <mergeCell ref="F10:G10"/>
    <mergeCell ref="F19:G19"/>
    <mergeCell ref="F34:G34"/>
    <mergeCell ref="B18:C18"/>
    <mergeCell ref="B27:C27"/>
    <mergeCell ref="F30:G30"/>
    <mergeCell ref="B11:C11"/>
    <mergeCell ref="F20:G20"/>
    <mergeCell ref="F18:G18"/>
    <mergeCell ref="F33:G33"/>
    <mergeCell ref="F45:G45"/>
    <mergeCell ref="F42:G42"/>
    <mergeCell ref="F17:G17"/>
    <mergeCell ref="F47:G47"/>
    <mergeCell ref="B29:C29"/>
    <mergeCell ref="B37:C37"/>
    <mergeCell ref="F31:G31"/>
    <mergeCell ref="F46:G46"/>
    <mergeCell ref="F28:G28"/>
    <mergeCell ref="F9:G9"/>
    <mergeCell ref="F39:G39"/>
    <mergeCell ref="B15:C15"/>
    <mergeCell ref="F48:G48"/>
    <mergeCell ref="B7:C7"/>
    <mergeCell ref="B43:C43"/>
    <mergeCell ref="F7:G7"/>
    <mergeCell ref="F21:G21"/>
    <mergeCell ref="B42:C42"/>
    <mergeCell ref="F36:G36"/>
    <mergeCell ref="B17:C17"/>
    <mergeCell ref="F8:G8"/>
    <mergeCell ref="B44:C44"/>
    <mergeCell ref="B19:C19"/>
    <mergeCell ref="B34:C34"/>
    <mergeCell ref="B28:C28"/>
    <mergeCell ref="F22:G22"/>
    <mergeCell ref="B9:C9"/>
    <mergeCell ref="B30:C30"/>
    <mergeCell ref="B20:C20"/>
    <mergeCell ref="B45:C45"/>
    <mergeCell ref="F14:G14"/>
    <mergeCell ref="B47:C47"/>
    <mergeCell ref="F11:G11"/>
    <mergeCell ref="B46:C46"/>
    <mergeCell ref="F40:G40"/>
    <mergeCell ref="B39:C39"/>
    <mergeCell ref="B48:C48"/>
    <mergeCell ref="F12:G12"/>
    <mergeCell ref="F24:G24"/>
    <mergeCell ref="B23:C23"/>
    <mergeCell ref="F32:G32"/>
    <mergeCell ref="F26:G26"/>
    <mergeCell ref="B8:C8"/>
    <mergeCell ref="F41:G41"/>
    <mergeCell ref="F35:G35"/>
    <mergeCell ref="F38:G38"/>
    <mergeCell ref="B10:C10"/>
    <mergeCell ref="F27:G27"/>
    <mergeCell ref="F37:G37"/>
    <mergeCell ref="B36:C36"/>
    <mergeCell ref="F44:G44"/>
  </mergeCells>
  <conditionalFormatting sqref="A7:C48">
    <cfRule type="expression" priority="1" dxfId="0">
      <formula>AND(ISTEXT($A7),$A7&lt;&gt;"")</formula>
    </cfRule>
  </conditionalFormatting>
  <conditionalFormatting sqref="B7:C48">
    <cfRule type="expression" priority="2" dxfId="1">
      <formula>AND(ISNUMBER($A7),B7&lt;&gt;"")</formula>
    </cfRule>
  </conditionalFormatting>
  <conditionalFormatting sqref="E7:G48">
    <cfRule type="expression" priority="3" dxfId="0">
      <formula>AND(ISTEXT($E7),$E7&lt;&gt;"")</formula>
    </cfRule>
  </conditionalFormatting>
  <conditionalFormatting sqref="F7:G48">
    <cfRule type="expression" priority="4" dxfId="1">
      <formula>AND(ISNUMBER($E7),F7&lt;&gt;"")</formula>
    </cfRule>
  </conditionalFormatting>
  <conditionalFormatting sqref="A54:C75">
    <cfRule type="expression" priority="5" dxfId="0">
      <formula>AND(ISTEXT($A54),$A54&lt;&gt;"")</formula>
    </cfRule>
  </conditionalFormatting>
  <conditionalFormatting sqref="B54:C75">
    <cfRule type="expression" priority="6" dxfId="1">
      <formula>AND(ISNUMBER($A54),B54&lt;&gt;"")</formula>
    </cfRule>
  </conditionalFormatting>
  <conditionalFormatting sqref="E54:G75">
    <cfRule type="expression" priority="7" dxfId="0">
      <formula>AND(ISTEXT($E54),$E54&lt;&gt;"")</formula>
    </cfRule>
  </conditionalFormatting>
  <conditionalFormatting sqref="F54:G75">
    <cfRule type="expression" priority="8" dxfId="1">
      <formula>AND(ISNUMBER($E54),F54&lt;&gt;"")</formula>
    </cfRule>
  </conditionalFormatting>
  <conditionalFormatting sqref="A81:C107">
    <cfRule type="expression" priority="9" dxfId="0">
      <formula>AND(ISTEXT($A81),$A81&lt;&gt;"")</formula>
    </cfRule>
  </conditionalFormatting>
  <conditionalFormatting sqref="B81:C107">
    <cfRule type="expression" priority="10" dxfId="1">
      <formula>AND(ISNUMBER($A81),B81&lt;&gt;"")</formula>
    </cfRule>
  </conditionalFormatting>
  <conditionalFormatting sqref="E81:G107">
    <cfRule type="expression" priority="11" dxfId="0">
      <formula>AND(ISTEXT($E81),$E81&lt;&gt;"")</formula>
    </cfRule>
  </conditionalFormatting>
  <conditionalFormatting sqref="F81:G107">
    <cfRule type="expression" priority="12" dxfId="1">
      <formula>AND(ISNUMBER($E81),F81&lt;&gt;"")</formula>
    </cfRule>
  </conditionalFormatting>
  <dataValidations count="1">
    <dataValidation sqref="A52 A79 E52 E79" showDropDown="0" showInputMessage="1" showErrorMessage="0" allowBlank="1" promptTitle="印刷用に出す" prompt="○ を入れると「印刷用」シートに出ます" type="list">
      <formula1>"○"</formula1>
    </dataValidation>
  </dataValidations>
  <pageMargins left="0.75" right="0.75" top="1" bottom="1" header="0.5" footer="0.5"/>
  <pageSetup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6" customWidth="1" min="4" max="4"/>
    <col width="16" customWidth="1" min="5" max="5"/>
    <col width="3" customWidth="1" min="6" max="6"/>
    <col width="5" customWidth="1" min="7" max="7"/>
    <col width="16" customWidth="1" min="8" max="8"/>
    <col width="16" customWidth="1" min="9" max="9"/>
    <col width="16" customWidth="1" min="10" max="10"/>
    <col width="16" customWidth="1" min="11" max="11"/>
    <col width="3" customWidth="1" min="12" max="12"/>
  </cols>
  <sheetData>
    <row r="1">
      <c r="A1" s="11" t="inlineStr">
        <is>
          <t>背の順　4列</t>
        </is>
      </c>
    </row>
    <row r="2">
      <c r="A2" s="12" t="inlineStr">
        <is>
          <t>上が前・下が前を両方出しています。印刷したい並びの黄色いマスに ○ を入れると「印刷用」シートに出ます。</t>
        </is>
      </c>
    </row>
    <row r="4">
      <c r="A4" s="13" t="inlineStr">
        <is>
          <t>4列①　横に順番（1・2・3・4／5・6・7・8）</t>
        </is>
      </c>
    </row>
    <row r="5">
      <c r="A5" s="17" t="n"/>
      <c r="B5" s="9" t="inlineStr">
        <is>
          <t>上が前　← ○で印刷</t>
        </is>
      </c>
      <c r="G5" s="17" t="n"/>
      <c r="H5" s="9" t="inlineStr">
        <is>
          <t>下が前　← ○で印刷</t>
        </is>
      </c>
    </row>
    <row r="7">
      <c r="A7" s="14">
        <f>IF(0=1,"後ろ","前")</f>
        <v/>
      </c>
      <c r="B7" s="15">
        <f>IF(ISNUMBER($A7),IFERROR(INDEX('入力シート'!$A$2:$A$41,MATCH(($A7-1)*4+1,'入力シート'!$F$2:$F$41,0)),""),"")</f>
        <v/>
      </c>
      <c r="C7" s="15">
        <f>IF(ISNUMBER($A7),IFERROR(INDEX('入力シート'!$A$2:$A$41,MATCH(($A7-1)*4+2,'入力シート'!$F$2:$F$41,0)),""),"")</f>
        <v/>
      </c>
      <c r="D7" s="15">
        <f>IF(ISNUMBER($A7),IFERROR(INDEX('入力シート'!$A$2:$A$41,MATCH(($A7-1)*4+3,'入力シート'!$F$2:$F$41,0)),""),"")</f>
        <v/>
      </c>
      <c r="E7" s="15">
        <f>IF(ISNUMBER($A7),IFERROR(INDEX('入力シート'!$A$2:$A$41,MATCH(($A7-1)*4+4,'入力シート'!$F$2:$F$41,0)),""),"")</f>
        <v/>
      </c>
      <c r="G7" s="14">
        <f>IF(1=1,"後ろ","前")</f>
        <v/>
      </c>
      <c r="H7" s="15">
        <f>IF(ISNUMBER($G7),IFERROR(INDEX('入力シート'!$A$2:$A$41,MATCH(($G7-1)*4+1,'入力シート'!$F$2:$F$41,0)),""),"")</f>
        <v/>
      </c>
      <c r="I7" s="15">
        <f>IF(ISNUMBER($G7),IFERROR(INDEX('入力シート'!$A$2:$A$41,MATCH(($G7-1)*4+2,'入力シート'!$F$2:$F$41,0)),""),"")</f>
        <v/>
      </c>
      <c r="J7" s="15">
        <f>IF(ISNUMBER($G7),IFERROR(INDEX('入力シート'!$A$2:$A$41,MATCH(($G7-1)*4+3,'入力シート'!$F$2:$F$41,0)),""),"")</f>
        <v/>
      </c>
      <c r="K7" s="15">
        <f>IF(ISNUMBER($G7),IFERROR(INDEX('入力シート'!$A$2:$A$41,MATCH(($G7-1)*4+4,'入力シート'!$F$2:$F$41,0)),""),"")</f>
        <v/>
      </c>
    </row>
    <row r="8">
      <c r="A8" s="14">
        <f>IF(1&lt;=ROUNDUP('入力シート'!$M$13/4,0),IF(0=1,ROUNDUP('入力シート'!$M$13/4,0)+1-1,1),IF(1=ROUNDUP('入力シート'!$M$13/4,0)+1,IF(0=1,"前","後ろ"),""))</f>
        <v/>
      </c>
      <c r="B8" s="15">
        <f>IF(ISNUMBER($A8),IFERROR(INDEX('入力シート'!$A$2:$A$41,MATCH(($A8-1)*4+1,'入力シート'!$F$2:$F$41,0)),""),"")</f>
        <v/>
      </c>
      <c r="C8" s="15">
        <f>IF(ISNUMBER($A8),IFERROR(INDEX('入力シート'!$A$2:$A$41,MATCH(($A8-1)*4+2,'入力シート'!$F$2:$F$41,0)),""),"")</f>
        <v/>
      </c>
      <c r="D8" s="15">
        <f>IF(ISNUMBER($A8),IFERROR(INDEX('入力シート'!$A$2:$A$41,MATCH(($A8-1)*4+3,'入力シート'!$F$2:$F$41,0)),""),"")</f>
        <v/>
      </c>
      <c r="E8" s="15">
        <f>IF(ISNUMBER($A8),IFERROR(INDEX('入力シート'!$A$2:$A$41,MATCH(($A8-1)*4+4,'入力シート'!$F$2:$F$41,0)),""),"")</f>
        <v/>
      </c>
      <c r="G8" s="14">
        <f>IF(1&lt;=ROUNDUP('入力シート'!$M$13/4,0),IF(1=1,ROUNDUP('入力シート'!$M$13/4,0)+1-1,1),IF(1=ROUNDUP('入力シート'!$M$13/4,0)+1,IF(1=1,"前","後ろ"),""))</f>
        <v/>
      </c>
      <c r="H8" s="15">
        <f>IF(ISNUMBER($G8),IFERROR(INDEX('入力シート'!$A$2:$A$41,MATCH(($G8-1)*4+1,'入力シート'!$F$2:$F$41,0)),""),"")</f>
        <v/>
      </c>
      <c r="I8" s="15">
        <f>IF(ISNUMBER($G8),IFERROR(INDEX('入力シート'!$A$2:$A$41,MATCH(($G8-1)*4+2,'入力シート'!$F$2:$F$41,0)),""),"")</f>
        <v/>
      </c>
      <c r="J8" s="15">
        <f>IF(ISNUMBER($G8),IFERROR(INDEX('入力シート'!$A$2:$A$41,MATCH(($G8-1)*4+3,'入力シート'!$F$2:$F$41,0)),""),"")</f>
        <v/>
      </c>
      <c r="K8" s="15">
        <f>IF(ISNUMBER($G8),IFERROR(INDEX('入力シート'!$A$2:$A$41,MATCH(($G8-1)*4+4,'入力シート'!$F$2:$F$41,0)),""),"")</f>
        <v/>
      </c>
    </row>
    <row r="9">
      <c r="A9" s="14">
        <f>IF(2&lt;=ROUNDUP('入力シート'!$M$13/4,0),IF(0=1,ROUNDUP('入力シート'!$M$13/4,0)+1-2,2),IF(2=ROUNDUP('入力シート'!$M$13/4,0)+1,IF(0=1,"前","後ろ"),""))</f>
        <v/>
      </c>
      <c r="B9" s="15">
        <f>IF(ISNUMBER($A9),IFERROR(INDEX('入力シート'!$A$2:$A$41,MATCH(($A9-1)*4+1,'入力シート'!$F$2:$F$41,0)),""),"")</f>
        <v/>
      </c>
      <c r="C9" s="15">
        <f>IF(ISNUMBER($A9),IFERROR(INDEX('入力シート'!$A$2:$A$41,MATCH(($A9-1)*4+2,'入力シート'!$F$2:$F$41,0)),""),"")</f>
        <v/>
      </c>
      <c r="D9" s="15">
        <f>IF(ISNUMBER($A9),IFERROR(INDEX('入力シート'!$A$2:$A$41,MATCH(($A9-1)*4+3,'入力シート'!$F$2:$F$41,0)),""),"")</f>
        <v/>
      </c>
      <c r="E9" s="15">
        <f>IF(ISNUMBER($A9),IFERROR(INDEX('入力シート'!$A$2:$A$41,MATCH(($A9-1)*4+4,'入力シート'!$F$2:$F$41,0)),""),"")</f>
        <v/>
      </c>
      <c r="G9" s="14">
        <f>IF(2&lt;=ROUNDUP('入力シート'!$M$13/4,0),IF(1=1,ROUNDUP('入力シート'!$M$13/4,0)+1-2,2),IF(2=ROUNDUP('入力シート'!$M$13/4,0)+1,IF(1=1,"前","後ろ"),""))</f>
        <v/>
      </c>
      <c r="H9" s="15">
        <f>IF(ISNUMBER($G9),IFERROR(INDEX('入力シート'!$A$2:$A$41,MATCH(($G9-1)*4+1,'入力シート'!$F$2:$F$41,0)),""),"")</f>
        <v/>
      </c>
      <c r="I9" s="15">
        <f>IF(ISNUMBER($G9),IFERROR(INDEX('入力シート'!$A$2:$A$41,MATCH(($G9-1)*4+2,'入力シート'!$F$2:$F$41,0)),""),"")</f>
        <v/>
      </c>
      <c r="J9" s="15">
        <f>IF(ISNUMBER($G9),IFERROR(INDEX('入力シート'!$A$2:$A$41,MATCH(($G9-1)*4+3,'入力シート'!$F$2:$F$41,0)),""),"")</f>
        <v/>
      </c>
      <c r="K9" s="15">
        <f>IF(ISNUMBER($G9),IFERROR(INDEX('入力シート'!$A$2:$A$41,MATCH(($G9-1)*4+4,'入力シート'!$F$2:$F$41,0)),""),"")</f>
        <v/>
      </c>
    </row>
    <row r="10">
      <c r="A10" s="14">
        <f>IF(3&lt;=ROUNDUP('入力シート'!$M$13/4,0),IF(0=1,ROUNDUP('入力シート'!$M$13/4,0)+1-3,3),IF(3=ROUNDUP('入力シート'!$M$13/4,0)+1,IF(0=1,"前","後ろ"),""))</f>
        <v/>
      </c>
      <c r="B10" s="15">
        <f>IF(ISNUMBER($A10),IFERROR(INDEX('入力シート'!$A$2:$A$41,MATCH(($A10-1)*4+1,'入力シート'!$F$2:$F$41,0)),""),"")</f>
        <v/>
      </c>
      <c r="C10" s="15">
        <f>IF(ISNUMBER($A10),IFERROR(INDEX('入力シート'!$A$2:$A$41,MATCH(($A10-1)*4+2,'入力シート'!$F$2:$F$41,0)),""),"")</f>
        <v/>
      </c>
      <c r="D10" s="15">
        <f>IF(ISNUMBER($A10),IFERROR(INDEX('入力シート'!$A$2:$A$41,MATCH(($A10-1)*4+3,'入力シート'!$F$2:$F$41,0)),""),"")</f>
        <v/>
      </c>
      <c r="E10" s="15">
        <f>IF(ISNUMBER($A10),IFERROR(INDEX('入力シート'!$A$2:$A$41,MATCH(($A10-1)*4+4,'入力シート'!$F$2:$F$41,0)),""),"")</f>
        <v/>
      </c>
      <c r="G10" s="14">
        <f>IF(3&lt;=ROUNDUP('入力シート'!$M$13/4,0),IF(1=1,ROUNDUP('入力シート'!$M$13/4,0)+1-3,3),IF(3=ROUNDUP('入力シート'!$M$13/4,0)+1,IF(1=1,"前","後ろ"),""))</f>
        <v/>
      </c>
      <c r="H10" s="15">
        <f>IF(ISNUMBER($G10),IFERROR(INDEX('入力シート'!$A$2:$A$41,MATCH(($G10-1)*4+1,'入力シート'!$F$2:$F$41,0)),""),"")</f>
        <v/>
      </c>
      <c r="I10" s="15">
        <f>IF(ISNUMBER($G10),IFERROR(INDEX('入力シート'!$A$2:$A$41,MATCH(($G10-1)*4+2,'入力シート'!$F$2:$F$41,0)),""),"")</f>
        <v/>
      </c>
      <c r="J10" s="15">
        <f>IF(ISNUMBER($G10),IFERROR(INDEX('入力シート'!$A$2:$A$41,MATCH(($G10-1)*4+3,'入力シート'!$F$2:$F$41,0)),""),"")</f>
        <v/>
      </c>
      <c r="K10" s="15">
        <f>IF(ISNUMBER($G10),IFERROR(INDEX('入力シート'!$A$2:$A$41,MATCH(($G10-1)*4+4,'入力シート'!$F$2:$F$41,0)),""),"")</f>
        <v/>
      </c>
    </row>
    <row r="11">
      <c r="A11" s="14">
        <f>IF(4&lt;=ROUNDUP('入力シート'!$M$13/4,0),IF(0=1,ROUNDUP('入力シート'!$M$13/4,0)+1-4,4),IF(4=ROUNDUP('入力シート'!$M$13/4,0)+1,IF(0=1,"前","後ろ"),""))</f>
        <v/>
      </c>
      <c r="B11" s="15">
        <f>IF(ISNUMBER($A11),IFERROR(INDEX('入力シート'!$A$2:$A$41,MATCH(($A11-1)*4+1,'入力シート'!$F$2:$F$41,0)),""),"")</f>
        <v/>
      </c>
      <c r="C11" s="15">
        <f>IF(ISNUMBER($A11),IFERROR(INDEX('入力シート'!$A$2:$A$41,MATCH(($A11-1)*4+2,'入力シート'!$F$2:$F$41,0)),""),"")</f>
        <v/>
      </c>
      <c r="D11" s="15">
        <f>IF(ISNUMBER($A11),IFERROR(INDEX('入力シート'!$A$2:$A$41,MATCH(($A11-1)*4+3,'入力シート'!$F$2:$F$41,0)),""),"")</f>
        <v/>
      </c>
      <c r="E11" s="15">
        <f>IF(ISNUMBER($A11),IFERROR(INDEX('入力シート'!$A$2:$A$41,MATCH(($A11-1)*4+4,'入力シート'!$F$2:$F$41,0)),""),"")</f>
        <v/>
      </c>
      <c r="G11" s="14">
        <f>IF(4&lt;=ROUNDUP('入力シート'!$M$13/4,0),IF(1=1,ROUNDUP('入力シート'!$M$13/4,0)+1-4,4),IF(4=ROUNDUP('入力シート'!$M$13/4,0)+1,IF(1=1,"前","後ろ"),""))</f>
        <v/>
      </c>
      <c r="H11" s="15">
        <f>IF(ISNUMBER($G11),IFERROR(INDEX('入力シート'!$A$2:$A$41,MATCH(($G11-1)*4+1,'入力シート'!$F$2:$F$41,0)),""),"")</f>
        <v/>
      </c>
      <c r="I11" s="15">
        <f>IF(ISNUMBER($G11),IFERROR(INDEX('入力シート'!$A$2:$A$41,MATCH(($G11-1)*4+2,'入力シート'!$F$2:$F$41,0)),""),"")</f>
        <v/>
      </c>
      <c r="J11" s="15">
        <f>IF(ISNUMBER($G11),IFERROR(INDEX('入力シート'!$A$2:$A$41,MATCH(($G11-1)*4+3,'入力シート'!$F$2:$F$41,0)),""),"")</f>
        <v/>
      </c>
      <c r="K11" s="15">
        <f>IF(ISNUMBER($G11),IFERROR(INDEX('入力シート'!$A$2:$A$41,MATCH(($G11-1)*4+4,'入力シート'!$F$2:$F$41,0)),""),"")</f>
        <v/>
      </c>
    </row>
    <row r="12">
      <c r="A12" s="14">
        <f>IF(5&lt;=ROUNDUP('入力シート'!$M$13/4,0),IF(0=1,ROUNDUP('入力シート'!$M$13/4,0)+1-5,5),IF(5=ROUNDUP('入力シート'!$M$13/4,0)+1,IF(0=1,"前","後ろ"),""))</f>
        <v/>
      </c>
      <c r="B12" s="15">
        <f>IF(ISNUMBER($A12),IFERROR(INDEX('入力シート'!$A$2:$A$41,MATCH(($A12-1)*4+1,'入力シート'!$F$2:$F$41,0)),""),"")</f>
        <v/>
      </c>
      <c r="C12" s="15">
        <f>IF(ISNUMBER($A12),IFERROR(INDEX('入力シート'!$A$2:$A$41,MATCH(($A12-1)*4+2,'入力シート'!$F$2:$F$41,0)),""),"")</f>
        <v/>
      </c>
      <c r="D12" s="15">
        <f>IF(ISNUMBER($A12),IFERROR(INDEX('入力シート'!$A$2:$A$41,MATCH(($A12-1)*4+3,'入力シート'!$F$2:$F$41,0)),""),"")</f>
        <v/>
      </c>
      <c r="E12" s="15">
        <f>IF(ISNUMBER($A12),IFERROR(INDEX('入力シート'!$A$2:$A$41,MATCH(($A12-1)*4+4,'入力シート'!$F$2:$F$41,0)),""),"")</f>
        <v/>
      </c>
      <c r="G12" s="14">
        <f>IF(5&lt;=ROUNDUP('入力シート'!$M$13/4,0),IF(1=1,ROUNDUP('入力シート'!$M$13/4,0)+1-5,5),IF(5=ROUNDUP('入力シート'!$M$13/4,0)+1,IF(1=1,"前","後ろ"),""))</f>
        <v/>
      </c>
      <c r="H12" s="15">
        <f>IF(ISNUMBER($G12),IFERROR(INDEX('入力シート'!$A$2:$A$41,MATCH(($G12-1)*4+1,'入力シート'!$F$2:$F$41,0)),""),"")</f>
        <v/>
      </c>
      <c r="I12" s="15">
        <f>IF(ISNUMBER($G12),IFERROR(INDEX('入力シート'!$A$2:$A$41,MATCH(($G12-1)*4+2,'入力シート'!$F$2:$F$41,0)),""),"")</f>
        <v/>
      </c>
      <c r="J12" s="15">
        <f>IF(ISNUMBER($G12),IFERROR(INDEX('入力シート'!$A$2:$A$41,MATCH(($G12-1)*4+3,'入力シート'!$F$2:$F$41,0)),""),"")</f>
        <v/>
      </c>
      <c r="K12" s="15">
        <f>IF(ISNUMBER($G12),IFERROR(INDEX('入力シート'!$A$2:$A$41,MATCH(($G12-1)*4+4,'入力シート'!$F$2:$F$41,0)),""),"")</f>
        <v/>
      </c>
    </row>
    <row r="13">
      <c r="A13" s="14">
        <f>IF(6&lt;=ROUNDUP('入力シート'!$M$13/4,0),IF(0=1,ROUNDUP('入力シート'!$M$13/4,0)+1-6,6),IF(6=ROUNDUP('入力シート'!$M$13/4,0)+1,IF(0=1,"前","後ろ"),""))</f>
        <v/>
      </c>
      <c r="B13" s="15">
        <f>IF(ISNUMBER($A13),IFERROR(INDEX('入力シート'!$A$2:$A$41,MATCH(($A13-1)*4+1,'入力シート'!$F$2:$F$41,0)),""),"")</f>
        <v/>
      </c>
      <c r="C13" s="15">
        <f>IF(ISNUMBER($A13),IFERROR(INDEX('入力シート'!$A$2:$A$41,MATCH(($A13-1)*4+2,'入力シート'!$F$2:$F$41,0)),""),"")</f>
        <v/>
      </c>
      <c r="D13" s="15">
        <f>IF(ISNUMBER($A13),IFERROR(INDEX('入力シート'!$A$2:$A$41,MATCH(($A13-1)*4+3,'入力シート'!$F$2:$F$41,0)),""),"")</f>
        <v/>
      </c>
      <c r="E13" s="15">
        <f>IF(ISNUMBER($A13),IFERROR(INDEX('入力シート'!$A$2:$A$41,MATCH(($A13-1)*4+4,'入力シート'!$F$2:$F$41,0)),""),"")</f>
        <v/>
      </c>
      <c r="G13" s="14">
        <f>IF(6&lt;=ROUNDUP('入力シート'!$M$13/4,0),IF(1=1,ROUNDUP('入力シート'!$M$13/4,0)+1-6,6),IF(6=ROUNDUP('入力シート'!$M$13/4,0)+1,IF(1=1,"前","後ろ"),""))</f>
        <v/>
      </c>
      <c r="H13" s="15">
        <f>IF(ISNUMBER($G13),IFERROR(INDEX('入力シート'!$A$2:$A$41,MATCH(($G13-1)*4+1,'入力シート'!$F$2:$F$41,0)),""),"")</f>
        <v/>
      </c>
      <c r="I13" s="15">
        <f>IF(ISNUMBER($G13),IFERROR(INDEX('入力シート'!$A$2:$A$41,MATCH(($G13-1)*4+2,'入力シート'!$F$2:$F$41,0)),""),"")</f>
        <v/>
      </c>
      <c r="J13" s="15">
        <f>IF(ISNUMBER($G13),IFERROR(INDEX('入力シート'!$A$2:$A$41,MATCH(($G13-1)*4+3,'入力シート'!$F$2:$F$41,0)),""),"")</f>
        <v/>
      </c>
      <c r="K13" s="15">
        <f>IF(ISNUMBER($G13),IFERROR(INDEX('入力シート'!$A$2:$A$41,MATCH(($G13-1)*4+4,'入力シート'!$F$2:$F$41,0)),""),"")</f>
        <v/>
      </c>
    </row>
    <row r="14">
      <c r="A14" s="14">
        <f>IF(7&lt;=ROUNDUP('入力シート'!$M$13/4,0),IF(0=1,ROUNDUP('入力シート'!$M$13/4,0)+1-7,7),IF(7=ROUNDUP('入力シート'!$M$13/4,0)+1,IF(0=1,"前","後ろ"),""))</f>
        <v/>
      </c>
      <c r="B14" s="15">
        <f>IF(ISNUMBER($A14),IFERROR(INDEX('入力シート'!$A$2:$A$41,MATCH(($A14-1)*4+1,'入力シート'!$F$2:$F$41,0)),""),"")</f>
        <v/>
      </c>
      <c r="C14" s="15">
        <f>IF(ISNUMBER($A14),IFERROR(INDEX('入力シート'!$A$2:$A$41,MATCH(($A14-1)*4+2,'入力シート'!$F$2:$F$41,0)),""),"")</f>
        <v/>
      </c>
      <c r="D14" s="15">
        <f>IF(ISNUMBER($A14),IFERROR(INDEX('入力シート'!$A$2:$A$41,MATCH(($A14-1)*4+3,'入力シート'!$F$2:$F$41,0)),""),"")</f>
        <v/>
      </c>
      <c r="E14" s="15">
        <f>IF(ISNUMBER($A14),IFERROR(INDEX('入力シート'!$A$2:$A$41,MATCH(($A14-1)*4+4,'入力シート'!$F$2:$F$41,0)),""),"")</f>
        <v/>
      </c>
      <c r="G14" s="14">
        <f>IF(7&lt;=ROUNDUP('入力シート'!$M$13/4,0),IF(1=1,ROUNDUP('入力シート'!$M$13/4,0)+1-7,7),IF(7=ROUNDUP('入力シート'!$M$13/4,0)+1,IF(1=1,"前","後ろ"),""))</f>
        <v/>
      </c>
      <c r="H14" s="15">
        <f>IF(ISNUMBER($G14),IFERROR(INDEX('入力シート'!$A$2:$A$41,MATCH(($G14-1)*4+1,'入力シート'!$F$2:$F$41,0)),""),"")</f>
        <v/>
      </c>
      <c r="I14" s="15">
        <f>IF(ISNUMBER($G14),IFERROR(INDEX('入力シート'!$A$2:$A$41,MATCH(($G14-1)*4+2,'入力シート'!$F$2:$F$41,0)),""),"")</f>
        <v/>
      </c>
      <c r="J14" s="15">
        <f>IF(ISNUMBER($G14),IFERROR(INDEX('入力シート'!$A$2:$A$41,MATCH(($G14-1)*4+3,'入力シート'!$F$2:$F$41,0)),""),"")</f>
        <v/>
      </c>
      <c r="K14" s="15">
        <f>IF(ISNUMBER($G14),IFERROR(INDEX('入力シート'!$A$2:$A$41,MATCH(($G14-1)*4+4,'入力シート'!$F$2:$F$41,0)),""),"")</f>
        <v/>
      </c>
    </row>
    <row r="15">
      <c r="A15" s="14">
        <f>IF(8&lt;=ROUNDUP('入力シート'!$M$13/4,0),IF(0=1,ROUNDUP('入力シート'!$M$13/4,0)+1-8,8),IF(8=ROUNDUP('入力シート'!$M$13/4,0)+1,IF(0=1,"前","後ろ"),""))</f>
        <v/>
      </c>
      <c r="B15" s="15">
        <f>IF(ISNUMBER($A15),IFERROR(INDEX('入力シート'!$A$2:$A$41,MATCH(($A15-1)*4+1,'入力シート'!$F$2:$F$41,0)),""),"")</f>
        <v/>
      </c>
      <c r="C15" s="15">
        <f>IF(ISNUMBER($A15),IFERROR(INDEX('入力シート'!$A$2:$A$41,MATCH(($A15-1)*4+2,'入力シート'!$F$2:$F$41,0)),""),"")</f>
        <v/>
      </c>
      <c r="D15" s="15">
        <f>IF(ISNUMBER($A15),IFERROR(INDEX('入力シート'!$A$2:$A$41,MATCH(($A15-1)*4+3,'入力シート'!$F$2:$F$41,0)),""),"")</f>
        <v/>
      </c>
      <c r="E15" s="15">
        <f>IF(ISNUMBER($A15),IFERROR(INDEX('入力シート'!$A$2:$A$41,MATCH(($A15-1)*4+4,'入力シート'!$F$2:$F$41,0)),""),"")</f>
        <v/>
      </c>
      <c r="G15" s="14">
        <f>IF(8&lt;=ROUNDUP('入力シート'!$M$13/4,0),IF(1=1,ROUNDUP('入力シート'!$M$13/4,0)+1-8,8),IF(8=ROUNDUP('入力シート'!$M$13/4,0)+1,IF(1=1,"前","後ろ"),""))</f>
        <v/>
      </c>
      <c r="H15" s="15">
        <f>IF(ISNUMBER($G15),IFERROR(INDEX('入力シート'!$A$2:$A$41,MATCH(($G15-1)*4+1,'入力シート'!$F$2:$F$41,0)),""),"")</f>
        <v/>
      </c>
      <c r="I15" s="15">
        <f>IF(ISNUMBER($G15),IFERROR(INDEX('入力シート'!$A$2:$A$41,MATCH(($G15-1)*4+2,'入力シート'!$F$2:$F$41,0)),""),"")</f>
        <v/>
      </c>
      <c r="J15" s="15">
        <f>IF(ISNUMBER($G15),IFERROR(INDEX('入力シート'!$A$2:$A$41,MATCH(($G15-1)*4+3,'入力シート'!$F$2:$F$41,0)),""),"")</f>
        <v/>
      </c>
      <c r="K15" s="15">
        <f>IF(ISNUMBER($G15),IFERROR(INDEX('入力シート'!$A$2:$A$41,MATCH(($G15-1)*4+4,'入力シート'!$F$2:$F$41,0)),""),"")</f>
        <v/>
      </c>
    </row>
    <row r="16">
      <c r="A16" s="14">
        <f>IF(9&lt;=ROUNDUP('入力シート'!$M$13/4,0),IF(0=1,ROUNDUP('入力シート'!$M$13/4,0)+1-9,9),IF(9=ROUNDUP('入力シート'!$M$13/4,0)+1,IF(0=1,"前","後ろ"),""))</f>
        <v/>
      </c>
      <c r="B16" s="15">
        <f>IF(ISNUMBER($A16),IFERROR(INDEX('入力シート'!$A$2:$A$41,MATCH(($A16-1)*4+1,'入力シート'!$F$2:$F$41,0)),""),"")</f>
        <v/>
      </c>
      <c r="C16" s="15">
        <f>IF(ISNUMBER($A16),IFERROR(INDEX('入力シート'!$A$2:$A$41,MATCH(($A16-1)*4+2,'入力シート'!$F$2:$F$41,0)),""),"")</f>
        <v/>
      </c>
      <c r="D16" s="15">
        <f>IF(ISNUMBER($A16),IFERROR(INDEX('入力シート'!$A$2:$A$41,MATCH(($A16-1)*4+3,'入力シート'!$F$2:$F$41,0)),""),"")</f>
        <v/>
      </c>
      <c r="E16" s="15">
        <f>IF(ISNUMBER($A16),IFERROR(INDEX('入力シート'!$A$2:$A$41,MATCH(($A16-1)*4+4,'入力シート'!$F$2:$F$41,0)),""),"")</f>
        <v/>
      </c>
      <c r="G16" s="14">
        <f>IF(9&lt;=ROUNDUP('入力シート'!$M$13/4,0),IF(1=1,ROUNDUP('入力シート'!$M$13/4,0)+1-9,9),IF(9=ROUNDUP('入力シート'!$M$13/4,0)+1,IF(1=1,"前","後ろ"),""))</f>
        <v/>
      </c>
      <c r="H16" s="15">
        <f>IF(ISNUMBER($G16),IFERROR(INDEX('入力シート'!$A$2:$A$41,MATCH(($G16-1)*4+1,'入力シート'!$F$2:$F$41,0)),""),"")</f>
        <v/>
      </c>
      <c r="I16" s="15">
        <f>IF(ISNUMBER($G16),IFERROR(INDEX('入力シート'!$A$2:$A$41,MATCH(($G16-1)*4+2,'入力シート'!$F$2:$F$41,0)),""),"")</f>
        <v/>
      </c>
      <c r="J16" s="15">
        <f>IF(ISNUMBER($G16),IFERROR(INDEX('入力シート'!$A$2:$A$41,MATCH(($G16-1)*4+3,'入力シート'!$F$2:$F$41,0)),""),"")</f>
        <v/>
      </c>
      <c r="K16" s="15">
        <f>IF(ISNUMBER($G16),IFERROR(INDEX('入力シート'!$A$2:$A$41,MATCH(($G16-1)*4+4,'入力シート'!$F$2:$F$41,0)),""),"")</f>
        <v/>
      </c>
    </row>
    <row r="17">
      <c r="A17" s="14">
        <f>IF(10&lt;=ROUNDUP('入力シート'!$M$13/4,0),IF(0=1,ROUNDUP('入力シート'!$M$13/4,0)+1-10,10),IF(10=ROUNDUP('入力シート'!$M$13/4,0)+1,IF(0=1,"前","後ろ"),""))</f>
        <v/>
      </c>
      <c r="B17" s="15">
        <f>IF(ISNUMBER($A17),IFERROR(INDEX('入力シート'!$A$2:$A$41,MATCH(($A17-1)*4+1,'入力シート'!$F$2:$F$41,0)),""),"")</f>
        <v/>
      </c>
      <c r="C17" s="15">
        <f>IF(ISNUMBER($A17),IFERROR(INDEX('入力シート'!$A$2:$A$41,MATCH(($A17-1)*4+2,'入力シート'!$F$2:$F$41,0)),""),"")</f>
        <v/>
      </c>
      <c r="D17" s="15">
        <f>IF(ISNUMBER($A17),IFERROR(INDEX('入力シート'!$A$2:$A$41,MATCH(($A17-1)*4+3,'入力シート'!$F$2:$F$41,0)),""),"")</f>
        <v/>
      </c>
      <c r="E17" s="15">
        <f>IF(ISNUMBER($A17),IFERROR(INDEX('入力シート'!$A$2:$A$41,MATCH(($A17-1)*4+4,'入力シート'!$F$2:$F$41,0)),""),"")</f>
        <v/>
      </c>
      <c r="G17" s="14">
        <f>IF(10&lt;=ROUNDUP('入力シート'!$M$13/4,0),IF(1=1,ROUNDUP('入力シート'!$M$13/4,0)+1-10,10),IF(10=ROUNDUP('入力シート'!$M$13/4,0)+1,IF(1=1,"前","後ろ"),""))</f>
        <v/>
      </c>
      <c r="H17" s="15">
        <f>IF(ISNUMBER($G17),IFERROR(INDEX('入力シート'!$A$2:$A$41,MATCH(($G17-1)*4+1,'入力シート'!$F$2:$F$41,0)),""),"")</f>
        <v/>
      </c>
      <c r="I17" s="15">
        <f>IF(ISNUMBER($G17),IFERROR(INDEX('入力シート'!$A$2:$A$41,MATCH(($G17-1)*4+2,'入力シート'!$F$2:$F$41,0)),""),"")</f>
        <v/>
      </c>
      <c r="J17" s="15">
        <f>IF(ISNUMBER($G17),IFERROR(INDEX('入力シート'!$A$2:$A$41,MATCH(($G17-1)*4+3,'入力シート'!$F$2:$F$41,0)),""),"")</f>
        <v/>
      </c>
      <c r="K17" s="15">
        <f>IF(ISNUMBER($G17),IFERROR(INDEX('入力シート'!$A$2:$A$41,MATCH(($G17-1)*4+4,'入力シート'!$F$2:$F$41,0)),""),"")</f>
        <v/>
      </c>
    </row>
    <row r="18">
      <c r="A18" s="14">
        <f>IF(11&lt;=ROUNDUP('入力シート'!$M$13/4,0),IF(0=1,ROUNDUP('入力シート'!$M$13/4,0)+1-11,11),IF(11=ROUNDUP('入力シート'!$M$13/4,0)+1,IF(0=1,"前","後ろ"),""))</f>
        <v/>
      </c>
      <c r="B18" s="15">
        <f>IF(ISNUMBER($A18),IFERROR(INDEX('入力シート'!$A$2:$A$41,MATCH(($A18-1)*4+1,'入力シート'!$F$2:$F$41,0)),""),"")</f>
        <v/>
      </c>
      <c r="C18" s="15">
        <f>IF(ISNUMBER($A18),IFERROR(INDEX('入力シート'!$A$2:$A$41,MATCH(($A18-1)*4+2,'入力シート'!$F$2:$F$41,0)),""),"")</f>
        <v/>
      </c>
      <c r="D18" s="15">
        <f>IF(ISNUMBER($A18),IFERROR(INDEX('入力シート'!$A$2:$A$41,MATCH(($A18-1)*4+3,'入力シート'!$F$2:$F$41,0)),""),"")</f>
        <v/>
      </c>
      <c r="E18" s="15">
        <f>IF(ISNUMBER($A18),IFERROR(INDEX('入力シート'!$A$2:$A$41,MATCH(($A18-1)*4+4,'入力シート'!$F$2:$F$41,0)),""),"")</f>
        <v/>
      </c>
      <c r="G18" s="14">
        <f>IF(11&lt;=ROUNDUP('入力シート'!$M$13/4,0),IF(1=1,ROUNDUP('入力シート'!$M$13/4,0)+1-11,11),IF(11=ROUNDUP('入力シート'!$M$13/4,0)+1,IF(1=1,"前","後ろ"),""))</f>
        <v/>
      </c>
      <c r="H18" s="15">
        <f>IF(ISNUMBER($G18),IFERROR(INDEX('入力シート'!$A$2:$A$41,MATCH(($G18-1)*4+1,'入力シート'!$F$2:$F$41,0)),""),"")</f>
        <v/>
      </c>
      <c r="I18" s="15">
        <f>IF(ISNUMBER($G18),IFERROR(INDEX('入力シート'!$A$2:$A$41,MATCH(($G18-1)*4+2,'入力シート'!$F$2:$F$41,0)),""),"")</f>
        <v/>
      </c>
      <c r="J18" s="15">
        <f>IF(ISNUMBER($G18),IFERROR(INDEX('入力シート'!$A$2:$A$41,MATCH(($G18-1)*4+3,'入力シート'!$F$2:$F$41,0)),""),"")</f>
        <v/>
      </c>
      <c r="K18" s="15">
        <f>IF(ISNUMBER($G18),IFERROR(INDEX('入力シート'!$A$2:$A$41,MATCH(($G18-1)*4+4,'入力シート'!$F$2:$F$41,0)),""),"")</f>
        <v/>
      </c>
    </row>
    <row r="19">
      <c r="A19" s="16">
        <f>IF((ROUNDUP('入力シート'!$M$13/4,0))&gt;10,"⚠ 入りきらない子がいます ","")</f>
        <v/>
      </c>
      <c r="G19" s="16">
        <f>IF((ROUNDUP('入力シート'!$M$13/4,0))&gt;10,"⚠ 入りきらない子がいます ","")</f>
        <v/>
      </c>
    </row>
    <row r="21">
      <c r="A21" s="13" t="inlineStr">
        <is>
          <t>4列②　蛇腹方式（1・2・3・4／8・7・6・5）</t>
        </is>
      </c>
    </row>
    <row r="22">
      <c r="A22" s="17" t="n"/>
      <c r="B22" s="9" t="inlineStr">
        <is>
          <t>上が前　← ○で印刷</t>
        </is>
      </c>
      <c r="G22" s="17" t="n"/>
      <c r="H22" s="9" t="inlineStr">
        <is>
          <t>下が前　← ○で印刷</t>
        </is>
      </c>
    </row>
    <row r="24">
      <c r="A24" s="14">
        <f>IF(0=1,"後ろ","前")</f>
        <v/>
      </c>
      <c r="B24" s="15">
        <f>IF(ISNUMBER($A24),IFERROR(INDEX('入力シート'!$A$2:$A$41,MATCH(IF(MOD($A24,2)=1,($A24-1)*4+1,($A24-1)*4+4),'入力シート'!$F$2:$F$41,0)),""),"")</f>
        <v/>
      </c>
      <c r="C24" s="15">
        <f>IF(ISNUMBER($A24),IFERROR(INDEX('入力シート'!$A$2:$A$41,MATCH(IF(MOD($A24,2)=1,($A24-1)*4+2,($A24-1)*4+3),'入力シート'!$F$2:$F$41,0)),""),"")</f>
        <v/>
      </c>
      <c r="D24" s="15">
        <f>IF(ISNUMBER($A24),IFERROR(INDEX('入力シート'!$A$2:$A$41,MATCH(IF(MOD($A24,2)=1,($A24-1)*4+3,($A24-1)*4+2),'入力シート'!$F$2:$F$41,0)),""),"")</f>
        <v/>
      </c>
      <c r="E24" s="15">
        <f>IF(ISNUMBER($A24),IFERROR(INDEX('入力シート'!$A$2:$A$41,MATCH(IF(MOD($A24,2)=1,($A24-1)*4+4,($A24-1)*4+1),'入力シート'!$F$2:$F$41,0)),""),"")</f>
        <v/>
      </c>
      <c r="G24" s="14">
        <f>IF(1=1,"後ろ","前")</f>
        <v/>
      </c>
      <c r="H24" s="15">
        <f>IF(ISNUMBER($G24),IFERROR(INDEX('入力シート'!$A$2:$A$41,MATCH(IF(MOD($G24,2)=1,($G24-1)*4+1,($G24-1)*4+4),'入力シート'!$F$2:$F$41,0)),""),"")</f>
        <v/>
      </c>
      <c r="I24" s="15">
        <f>IF(ISNUMBER($G24),IFERROR(INDEX('入力シート'!$A$2:$A$41,MATCH(IF(MOD($G24,2)=1,($G24-1)*4+2,($G24-1)*4+3),'入力シート'!$F$2:$F$41,0)),""),"")</f>
        <v/>
      </c>
      <c r="J24" s="15">
        <f>IF(ISNUMBER($G24),IFERROR(INDEX('入力シート'!$A$2:$A$41,MATCH(IF(MOD($G24,2)=1,($G24-1)*4+3,($G24-1)*4+2),'入力シート'!$F$2:$F$41,0)),""),"")</f>
        <v/>
      </c>
      <c r="K24" s="15">
        <f>IF(ISNUMBER($G24),IFERROR(INDEX('入力シート'!$A$2:$A$41,MATCH(IF(MOD($G24,2)=1,($G24-1)*4+4,($G24-1)*4+1),'入力シート'!$F$2:$F$41,0)),""),"")</f>
        <v/>
      </c>
    </row>
    <row r="25">
      <c r="A25" s="14">
        <f>IF(1&lt;=ROUNDUP('入力シート'!$M$13/4,0),IF(0=1,ROUNDUP('入力シート'!$M$13/4,0)+1-1,1),IF(1=ROUNDUP('入力シート'!$M$13/4,0)+1,IF(0=1,"前","後ろ"),""))</f>
        <v/>
      </c>
      <c r="B25" s="15">
        <f>IF(ISNUMBER($A25),IFERROR(INDEX('入力シート'!$A$2:$A$41,MATCH(IF(MOD($A25,2)=1,($A25-1)*4+1,($A25-1)*4+4),'入力シート'!$F$2:$F$41,0)),""),"")</f>
        <v/>
      </c>
      <c r="C25" s="15">
        <f>IF(ISNUMBER($A25),IFERROR(INDEX('入力シート'!$A$2:$A$41,MATCH(IF(MOD($A25,2)=1,($A25-1)*4+2,($A25-1)*4+3),'入力シート'!$F$2:$F$41,0)),""),"")</f>
        <v/>
      </c>
      <c r="D25" s="15">
        <f>IF(ISNUMBER($A25),IFERROR(INDEX('入力シート'!$A$2:$A$41,MATCH(IF(MOD($A25,2)=1,($A25-1)*4+3,($A25-1)*4+2),'入力シート'!$F$2:$F$41,0)),""),"")</f>
        <v/>
      </c>
      <c r="E25" s="15">
        <f>IF(ISNUMBER($A25),IFERROR(INDEX('入力シート'!$A$2:$A$41,MATCH(IF(MOD($A25,2)=1,($A25-1)*4+4,($A25-1)*4+1),'入力シート'!$F$2:$F$41,0)),""),"")</f>
        <v/>
      </c>
      <c r="G25" s="14">
        <f>IF(1&lt;=ROUNDUP('入力シート'!$M$13/4,0),IF(1=1,ROUNDUP('入力シート'!$M$13/4,0)+1-1,1),IF(1=ROUNDUP('入力シート'!$M$13/4,0)+1,IF(1=1,"前","後ろ"),""))</f>
        <v/>
      </c>
      <c r="H25" s="15">
        <f>IF(ISNUMBER($G25),IFERROR(INDEX('入力シート'!$A$2:$A$41,MATCH(IF(MOD($G25,2)=1,($G25-1)*4+1,($G25-1)*4+4),'入力シート'!$F$2:$F$41,0)),""),"")</f>
        <v/>
      </c>
      <c r="I25" s="15">
        <f>IF(ISNUMBER($G25),IFERROR(INDEX('入力シート'!$A$2:$A$41,MATCH(IF(MOD($G25,2)=1,($G25-1)*4+2,($G25-1)*4+3),'入力シート'!$F$2:$F$41,0)),""),"")</f>
        <v/>
      </c>
      <c r="J25" s="15">
        <f>IF(ISNUMBER($G25),IFERROR(INDEX('入力シート'!$A$2:$A$41,MATCH(IF(MOD($G25,2)=1,($G25-1)*4+3,($G25-1)*4+2),'入力シート'!$F$2:$F$41,0)),""),"")</f>
        <v/>
      </c>
      <c r="K25" s="15">
        <f>IF(ISNUMBER($G25),IFERROR(INDEX('入力シート'!$A$2:$A$41,MATCH(IF(MOD($G25,2)=1,($G25-1)*4+4,($G25-1)*4+1),'入力シート'!$F$2:$F$41,0)),""),"")</f>
        <v/>
      </c>
    </row>
    <row r="26">
      <c r="A26" s="14">
        <f>IF(2&lt;=ROUNDUP('入力シート'!$M$13/4,0),IF(0=1,ROUNDUP('入力シート'!$M$13/4,0)+1-2,2),IF(2=ROUNDUP('入力シート'!$M$13/4,0)+1,IF(0=1,"前","後ろ"),""))</f>
        <v/>
      </c>
      <c r="B26" s="15">
        <f>IF(ISNUMBER($A26),IFERROR(INDEX('入力シート'!$A$2:$A$41,MATCH(IF(MOD($A26,2)=1,($A26-1)*4+1,($A26-1)*4+4),'入力シート'!$F$2:$F$41,0)),""),"")</f>
        <v/>
      </c>
      <c r="C26" s="15">
        <f>IF(ISNUMBER($A26),IFERROR(INDEX('入力シート'!$A$2:$A$41,MATCH(IF(MOD($A26,2)=1,($A26-1)*4+2,($A26-1)*4+3),'入力シート'!$F$2:$F$41,0)),""),"")</f>
        <v/>
      </c>
      <c r="D26" s="15">
        <f>IF(ISNUMBER($A26),IFERROR(INDEX('入力シート'!$A$2:$A$41,MATCH(IF(MOD($A26,2)=1,($A26-1)*4+3,($A26-1)*4+2),'入力シート'!$F$2:$F$41,0)),""),"")</f>
        <v/>
      </c>
      <c r="E26" s="15">
        <f>IF(ISNUMBER($A26),IFERROR(INDEX('入力シート'!$A$2:$A$41,MATCH(IF(MOD($A26,2)=1,($A26-1)*4+4,($A26-1)*4+1),'入力シート'!$F$2:$F$41,0)),""),"")</f>
        <v/>
      </c>
      <c r="G26" s="14">
        <f>IF(2&lt;=ROUNDUP('入力シート'!$M$13/4,0),IF(1=1,ROUNDUP('入力シート'!$M$13/4,0)+1-2,2),IF(2=ROUNDUP('入力シート'!$M$13/4,0)+1,IF(1=1,"前","後ろ"),""))</f>
        <v/>
      </c>
      <c r="H26" s="15">
        <f>IF(ISNUMBER($G26),IFERROR(INDEX('入力シート'!$A$2:$A$41,MATCH(IF(MOD($G26,2)=1,($G26-1)*4+1,($G26-1)*4+4),'入力シート'!$F$2:$F$41,0)),""),"")</f>
        <v/>
      </c>
      <c r="I26" s="15">
        <f>IF(ISNUMBER($G26),IFERROR(INDEX('入力シート'!$A$2:$A$41,MATCH(IF(MOD($G26,2)=1,($G26-1)*4+2,($G26-1)*4+3),'入力シート'!$F$2:$F$41,0)),""),"")</f>
        <v/>
      </c>
      <c r="J26" s="15">
        <f>IF(ISNUMBER($G26),IFERROR(INDEX('入力シート'!$A$2:$A$41,MATCH(IF(MOD($G26,2)=1,($G26-1)*4+3,($G26-1)*4+2),'入力シート'!$F$2:$F$41,0)),""),"")</f>
        <v/>
      </c>
      <c r="K26" s="15">
        <f>IF(ISNUMBER($G26),IFERROR(INDEX('入力シート'!$A$2:$A$41,MATCH(IF(MOD($G26,2)=1,($G26-1)*4+4,($G26-1)*4+1),'入力シート'!$F$2:$F$41,0)),""),"")</f>
        <v/>
      </c>
    </row>
    <row r="27">
      <c r="A27" s="14">
        <f>IF(3&lt;=ROUNDUP('入力シート'!$M$13/4,0),IF(0=1,ROUNDUP('入力シート'!$M$13/4,0)+1-3,3),IF(3=ROUNDUP('入力シート'!$M$13/4,0)+1,IF(0=1,"前","後ろ"),""))</f>
        <v/>
      </c>
      <c r="B27" s="15">
        <f>IF(ISNUMBER($A27),IFERROR(INDEX('入力シート'!$A$2:$A$41,MATCH(IF(MOD($A27,2)=1,($A27-1)*4+1,($A27-1)*4+4),'入力シート'!$F$2:$F$41,0)),""),"")</f>
        <v/>
      </c>
      <c r="C27" s="15">
        <f>IF(ISNUMBER($A27),IFERROR(INDEX('入力シート'!$A$2:$A$41,MATCH(IF(MOD($A27,2)=1,($A27-1)*4+2,($A27-1)*4+3),'入力シート'!$F$2:$F$41,0)),""),"")</f>
        <v/>
      </c>
      <c r="D27" s="15">
        <f>IF(ISNUMBER($A27),IFERROR(INDEX('入力シート'!$A$2:$A$41,MATCH(IF(MOD($A27,2)=1,($A27-1)*4+3,($A27-1)*4+2),'入力シート'!$F$2:$F$41,0)),""),"")</f>
        <v/>
      </c>
      <c r="E27" s="15">
        <f>IF(ISNUMBER($A27),IFERROR(INDEX('入力シート'!$A$2:$A$41,MATCH(IF(MOD($A27,2)=1,($A27-1)*4+4,($A27-1)*4+1),'入力シート'!$F$2:$F$41,0)),""),"")</f>
        <v/>
      </c>
      <c r="G27" s="14">
        <f>IF(3&lt;=ROUNDUP('入力シート'!$M$13/4,0),IF(1=1,ROUNDUP('入力シート'!$M$13/4,0)+1-3,3),IF(3=ROUNDUP('入力シート'!$M$13/4,0)+1,IF(1=1,"前","後ろ"),""))</f>
        <v/>
      </c>
      <c r="H27" s="15">
        <f>IF(ISNUMBER($G27),IFERROR(INDEX('入力シート'!$A$2:$A$41,MATCH(IF(MOD($G27,2)=1,($G27-1)*4+1,($G27-1)*4+4),'入力シート'!$F$2:$F$41,0)),""),"")</f>
        <v/>
      </c>
      <c r="I27" s="15">
        <f>IF(ISNUMBER($G27),IFERROR(INDEX('入力シート'!$A$2:$A$41,MATCH(IF(MOD($G27,2)=1,($G27-1)*4+2,($G27-1)*4+3),'入力シート'!$F$2:$F$41,0)),""),"")</f>
        <v/>
      </c>
      <c r="J27" s="15">
        <f>IF(ISNUMBER($G27),IFERROR(INDEX('入力シート'!$A$2:$A$41,MATCH(IF(MOD($G27,2)=1,($G27-1)*4+3,($G27-1)*4+2),'入力シート'!$F$2:$F$41,0)),""),"")</f>
        <v/>
      </c>
      <c r="K27" s="15">
        <f>IF(ISNUMBER($G27),IFERROR(INDEX('入力シート'!$A$2:$A$41,MATCH(IF(MOD($G27,2)=1,($G27-1)*4+4,($G27-1)*4+1),'入力シート'!$F$2:$F$41,0)),""),"")</f>
        <v/>
      </c>
    </row>
    <row r="28">
      <c r="A28" s="14">
        <f>IF(4&lt;=ROUNDUP('入力シート'!$M$13/4,0),IF(0=1,ROUNDUP('入力シート'!$M$13/4,0)+1-4,4),IF(4=ROUNDUP('入力シート'!$M$13/4,0)+1,IF(0=1,"前","後ろ"),""))</f>
        <v/>
      </c>
      <c r="B28" s="15">
        <f>IF(ISNUMBER($A28),IFERROR(INDEX('入力シート'!$A$2:$A$41,MATCH(IF(MOD($A28,2)=1,($A28-1)*4+1,($A28-1)*4+4),'入力シート'!$F$2:$F$41,0)),""),"")</f>
        <v/>
      </c>
      <c r="C28" s="15">
        <f>IF(ISNUMBER($A28),IFERROR(INDEX('入力シート'!$A$2:$A$41,MATCH(IF(MOD($A28,2)=1,($A28-1)*4+2,($A28-1)*4+3),'入力シート'!$F$2:$F$41,0)),""),"")</f>
        <v/>
      </c>
      <c r="D28" s="15">
        <f>IF(ISNUMBER($A28),IFERROR(INDEX('入力シート'!$A$2:$A$41,MATCH(IF(MOD($A28,2)=1,($A28-1)*4+3,($A28-1)*4+2),'入力シート'!$F$2:$F$41,0)),""),"")</f>
        <v/>
      </c>
      <c r="E28" s="15">
        <f>IF(ISNUMBER($A28),IFERROR(INDEX('入力シート'!$A$2:$A$41,MATCH(IF(MOD($A28,2)=1,($A28-1)*4+4,($A28-1)*4+1),'入力シート'!$F$2:$F$41,0)),""),"")</f>
        <v/>
      </c>
      <c r="G28" s="14">
        <f>IF(4&lt;=ROUNDUP('入力シート'!$M$13/4,0),IF(1=1,ROUNDUP('入力シート'!$M$13/4,0)+1-4,4),IF(4=ROUNDUP('入力シート'!$M$13/4,0)+1,IF(1=1,"前","後ろ"),""))</f>
        <v/>
      </c>
      <c r="H28" s="15">
        <f>IF(ISNUMBER($G28),IFERROR(INDEX('入力シート'!$A$2:$A$41,MATCH(IF(MOD($G28,2)=1,($G28-1)*4+1,($G28-1)*4+4),'入力シート'!$F$2:$F$41,0)),""),"")</f>
        <v/>
      </c>
      <c r="I28" s="15">
        <f>IF(ISNUMBER($G28),IFERROR(INDEX('入力シート'!$A$2:$A$41,MATCH(IF(MOD($G28,2)=1,($G28-1)*4+2,($G28-1)*4+3),'入力シート'!$F$2:$F$41,0)),""),"")</f>
        <v/>
      </c>
      <c r="J28" s="15">
        <f>IF(ISNUMBER($G28),IFERROR(INDEX('入力シート'!$A$2:$A$41,MATCH(IF(MOD($G28,2)=1,($G28-1)*4+3,($G28-1)*4+2),'入力シート'!$F$2:$F$41,0)),""),"")</f>
        <v/>
      </c>
      <c r="K28" s="15">
        <f>IF(ISNUMBER($G28),IFERROR(INDEX('入力シート'!$A$2:$A$41,MATCH(IF(MOD($G28,2)=1,($G28-1)*4+4,($G28-1)*4+1),'入力シート'!$F$2:$F$41,0)),""),"")</f>
        <v/>
      </c>
    </row>
    <row r="29">
      <c r="A29" s="14">
        <f>IF(5&lt;=ROUNDUP('入力シート'!$M$13/4,0),IF(0=1,ROUNDUP('入力シート'!$M$13/4,0)+1-5,5),IF(5=ROUNDUP('入力シート'!$M$13/4,0)+1,IF(0=1,"前","後ろ"),""))</f>
        <v/>
      </c>
      <c r="B29" s="15">
        <f>IF(ISNUMBER($A29),IFERROR(INDEX('入力シート'!$A$2:$A$41,MATCH(IF(MOD($A29,2)=1,($A29-1)*4+1,($A29-1)*4+4),'入力シート'!$F$2:$F$41,0)),""),"")</f>
        <v/>
      </c>
      <c r="C29" s="15">
        <f>IF(ISNUMBER($A29),IFERROR(INDEX('入力シート'!$A$2:$A$41,MATCH(IF(MOD($A29,2)=1,($A29-1)*4+2,($A29-1)*4+3),'入力シート'!$F$2:$F$41,0)),""),"")</f>
        <v/>
      </c>
      <c r="D29" s="15">
        <f>IF(ISNUMBER($A29),IFERROR(INDEX('入力シート'!$A$2:$A$41,MATCH(IF(MOD($A29,2)=1,($A29-1)*4+3,($A29-1)*4+2),'入力シート'!$F$2:$F$41,0)),""),"")</f>
        <v/>
      </c>
      <c r="E29" s="15">
        <f>IF(ISNUMBER($A29),IFERROR(INDEX('入力シート'!$A$2:$A$41,MATCH(IF(MOD($A29,2)=1,($A29-1)*4+4,($A29-1)*4+1),'入力シート'!$F$2:$F$41,0)),""),"")</f>
        <v/>
      </c>
      <c r="G29" s="14">
        <f>IF(5&lt;=ROUNDUP('入力シート'!$M$13/4,0),IF(1=1,ROUNDUP('入力シート'!$M$13/4,0)+1-5,5),IF(5=ROUNDUP('入力シート'!$M$13/4,0)+1,IF(1=1,"前","後ろ"),""))</f>
        <v/>
      </c>
      <c r="H29" s="15">
        <f>IF(ISNUMBER($G29),IFERROR(INDEX('入力シート'!$A$2:$A$41,MATCH(IF(MOD($G29,2)=1,($G29-1)*4+1,($G29-1)*4+4),'入力シート'!$F$2:$F$41,0)),""),"")</f>
        <v/>
      </c>
      <c r="I29" s="15">
        <f>IF(ISNUMBER($G29),IFERROR(INDEX('入力シート'!$A$2:$A$41,MATCH(IF(MOD($G29,2)=1,($G29-1)*4+2,($G29-1)*4+3),'入力シート'!$F$2:$F$41,0)),""),"")</f>
        <v/>
      </c>
      <c r="J29" s="15">
        <f>IF(ISNUMBER($G29),IFERROR(INDEX('入力シート'!$A$2:$A$41,MATCH(IF(MOD($G29,2)=1,($G29-1)*4+3,($G29-1)*4+2),'入力シート'!$F$2:$F$41,0)),""),"")</f>
        <v/>
      </c>
      <c r="K29" s="15">
        <f>IF(ISNUMBER($G29),IFERROR(INDEX('入力シート'!$A$2:$A$41,MATCH(IF(MOD($G29,2)=1,($G29-1)*4+4,($G29-1)*4+1),'入力シート'!$F$2:$F$41,0)),""),"")</f>
        <v/>
      </c>
    </row>
    <row r="30">
      <c r="A30" s="14">
        <f>IF(6&lt;=ROUNDUP('入力シート'!$M$13/4,0),IF(0=1,ROUNDUP('入力シート'!$M$13/4,0)+1-6,6),IF(6=ROUNDUP('入力シート'!$M$13/4,0)+1,IF(0=1,"前","後ろ"),""))</f>
        <v/>
      </c>
      <c r="B30" s="15">
        <f>IF(ISNUMBER($A30),IFERROR(INDEX('入力シート'!$A$2:$A$41,MATCH(IF(MOD($A30,2)=1,($A30-1)*4+1,($A30-1)*4+4),'入力シート'!$F$2:$F$41,0)),""),"")</f>
        <v/>
      </c>
      <c r="C30" s="15">
        <f>IF(ISNUMBER($A30),IFERROR(INDEX('入力シート'!$A$2:$A$41,MATCH(IF(MOD($A30,2)=1,($A30-1)*4+2,($A30-1)*4+3),'入力シート'!$F$2:$F$41,0)),""),"")</f>
        <v/>
      </c>
      <c r="D30" s="15">
        <f>IF(ISNUMBER($A30),IFERROR(INDEX('入力シート'!$A$2:$A$41,MATCH(IF(MOD($A30,2)=1,($A30-1)*4+3,($A30-1)*4+2),'入力シート'!$F$2:$F$41,0)),""),"")</f>
        <v/>
      </c>
      <c r="E30" s="15">
        <f>IF(ISNUMBER($A30),IFERROR(INDEX('入力シート'!$A$2:$A$41,MATCH(IF(MOD($A30,2)=1,($A30-1)*4+4,($A30-1)*4+1),'入力シート'!$F$2:$F$41,0)),""),"")</f>
        <v/>
      </c>
      <c r="G30" s="14">
        <f>IF(6&lt;=ROUNDUP('入力シート'!$M$13/4,0),IF(1=1,ROUNDUP('入力シート'!$M$13/4,0)+1-6,6),IF(6=ROUNDUP('入力シート'!$M$13/4,0)+1,IF(1=1,"前","後ろ"),""))</f>
        <v/>
      </c>
      <c r="H30" s="15">
        <f>IF(ISNUMBER($G30),IFERROR(INDEX('入力シート'!$A$2:$A$41,MATCH(IF(MOD($G30,2)=1,($G30-1)*4+1,($G30-1)*4+4),'入力シート'!$F$2:$F$41,0)),""),"")</f>
        <v/>
      </c>
      <c r="I30" s="15">
        <f>IF(ISNUMBER($G30),IFERROR(INDEX('入力シート'!$A$2:$A$41,MATCH(IF(MOD($G30,2)=1,($G30-1)*4+2,($G30-1)*4+3),'入力シート'!$F$2:$F$41,0)),""),"")</f>
        <v/>
      </c>
      <c r="J30" s="15">
        <f>IF(ISNUMBER($G30),IFERROR(INDEX('入力シート'!$A$2:$A$41,MATCH(IF(MOD($G30,2)=1,($G30-1)*4+3,($G30-1)*4+2),'入力シート'!$F$2:$F$41,0)),""),"")</f>
        <v/>
      </c>
      <c r="K30" s="15">
        <f>IF(ISNUMBER($G30),IFERROR(INDEX('入力シート'!$A$2:$A$41,MATCH(IF(MOD($G30,2)=1,($G30-1)*4+4,($G30-1)*4+1),'入力シート'!$F$2:$F$41,0)),""),"")</f>
        <v/>
      </c>
    </row>
    <row r="31">
      <c r="A31" s="14">
        <f>IF(7&lt;=ROUNDUP('入力シート'!$M$13/4,0),IF(0=1,ROUNDUP('入力シート'!$M$13/4,0)+1-7,7),IF(7=ROUNDUP('入力シート'!$M$13/4,0)+1,IF(0=1,"前","後ろ"),""))</f>
        <v/>
      </c>
      <c r="B31" s="15">
        <f>IF(ISNUMBER($A31),IFERROR(INDEX('入力シート'!$A$2:$A$41,MATCH(IF(MOD($A31,2)=1,($A31-1)*4+1,($A31-1)*4+4),'入力シート'!$F$2:$F$41,0)),""),"")</f>
        <v/>
      </c>
      <c r="C31" s="15">
        <f>IF(ISNUMBER($A31),IFERROR(INDEX('入力シート'!$A$2:$A$41,MATCH(IF(MOD($A31,2)=1,($A31-1)*4+2,($A31-1)*4+3),'入力シート'!$F$2:$F$41,0)),""),"")</f>
        <v/>
      </c>
      <c r="D31" s="15">
        <f>IF(ISNUMBER($A31),IFERROR(INDEX('入力シート'!$A$2:$A$41,MATCH(IF(MOD($A31,2)=1,($A31-1)*4+3,($A31-1)*4+2),'入力シート'!$F$2:$F$41,0)),""),"")</f>
        <v/>
      </c>
      <c r="E31" s="15">
        <f>IF(ISNUMBER($A31),IFERROR(INDEX('入力シート'!$A$2:$A$41,MATCH(IF(MOD($A31,2)=1,($A31-1)*4+4,($A31-1)*4+1),'入力シート'!$F$2:$F$41,0)),""),"")</f>
        <v/>
      </c>
      <c r="G31" s="14">
        <f>IF(7&lt;=ROUNDUP('入力シート'!$M$13/4,0),IF(1=1,ROUNDUP('入力シート'!$M$13/4,0)+1-7,7),IF(7=ROUNDUP('入力シート'!$M$13/4,0)+1,IF(1=1,"前","後ろ"),""))</f>
        <v/>
      </c>
      <c r="H31" s="15">
        <f>IF(ISNUMBER($G31),IFERROR(INDEX('入力シート'!$A$2:$A$41,MATCH(IF(MOD($G31,2)=1,($G31-1)*4+1,($G31-1)*4+4),'入力シート'!$F$2:$F$41,0)),""),"")</f>
        <v/>
      </c>
      <c r="I31" s="15">
        <f>IF(ISNUMBER($G31),IFERROR(INDEX('入力シート'!$A$2:$A$41,MATCH(IF(MOD($G31,2)=1,($G31-1)*4+2,($G31-1)*4+3),'入力シート'!$F$2:$F$41,0)),""),"")</f>
        <v/>
      </c>
      <c r="J31" s="15">
        <f>IF(ISNUMBER($G31),IFERROR(INDEX('入力シート'!$A$2:$A$41,MATCH(IF(MOD($G31,2)=1,($G31-1)*4+3,($G31-1)*4+2),'入力シート'!$F$2:$F$41,0)),""),"")</f>
        <v/>
      </c>
      <c r="K31" s="15">
        <f>IF(ISNUMBER($G31),IFERROR(INDEX('入力シート'!$A$2:$A$41,MATCH(IF(MOD($G31,2)=1,($G31-1)*4+4,($G31-1)*4+1),'入力シート'!$F$2:$F$41,0)),""),"")</f>
        <v/>
      </c>
    </row>
    <row r="32">
      <c r="A32" s="14">
        <f>IF(8&lt;=ROUNDUP('入力シート'!$M$13/4,0),IF(0=1,ROUNDUP('入力シート'!$M$13/4,0)+1-8,8),IF(8=ROUNDUP('入力シート'!$M$13/4,0)+1,IF(0=1,"前","後ろ"),""))</f>
        <v/>
      </c>
      <c r="B32" s="15">
        <f>IF(ISNUMBER($A32),IFERROR(INDEX('入力シート'!$A$2:$A$41,MATCH(IF(MOD($A32,2)=1,($A32-1)*4+1,($A32-1)*4+4),'入力シート'!$F$2:$F$41,0)),""),"")</f>
        <v/>
      </c>
      <c r="C32" s="15">
        <f>IF(ISNUMBER($A32),IFERROR(INDEX('入力シート'!$A$2:$A$41,MATCH(IF(MOD($A32,2)=1,($A32-1)*4+2,($A32-1)*4+3),'入力シート'!$F$2:$F$41,0)),""),"")</f>
        <v/>
      </c>
      <c r="D32" s="15">
        <f>IF(ISNUMBER($A32),IFERROR(INDEX('入力シート'!$A$2:$A$41,MATCH(IF(MOD($A32,2)=1,($A32-1)*4+3,($A32-1)*4+2),'入力シート'!$F$2:$F$41,0)),""),"")</f>
        <v/>
      </c>
      <c r="E32" s="15">
        <f>IF(ISNUMBER($A32),IFERROR(INDEX('入力シート'!$A$2:$A$41,MATCH(IF(MOD($A32,2)=1,($A32-1)*4+4,($A32-1)*4+1),'入力シート'!$F$2:$F$41,0)),""),"")</f>
        <v/>
      </c>
      <c r="G32" s="14">
        <f>IF(8&lt;=ROUNDUP('入力シート'!$M$13/4,0),IF(1=1,ROUNDUP('入力シート'!$M$13/4,0)+1-8,8),IF(8=ROUNDUP('入力シート'!$M$13/4,0)+1,IF(1=1,"前","後ろ"),""))</f>
        <v/>
      </c>
      <c r="H32" s="15">
        <f>IF(ISNUMBER($G32),IFERROR(INDEX('入力シート'!$A$2:$A$41,MATCH(IF(MOD($G32,2)=1,($G32-1)*4+1,($G32-1)*4+4),'入力シート'!$F$2:$F$41,0)),""),"")</f>
        <v/>
      </c>
      <c r="I32" s="15">
        <f>IF(ISNUMBER($G32),IFERROR(INDEX('入力シート'!$A$2:$A$41,MATCH(IF(MOD($G32,2)=1,($G32-1)*4+2,($G32-1)*4+3),'入力シート'!$F$2:$F$41,0)),""),"")</f>
        <v/>
      </c>
      <c r="J32" s="15">
        <f>IF(ISNUMBER($G32),IFERROR(INDEX('入力シート'!$A$2:$A$41,MATCH(IF(MOD($G32,2)=1,($G32-1)*4+3,($G32-1)*4+2),'入力シート'!$F$2:$F$41,0)),""),"")</f>
        <v/>
      </c>
      <c r="K32" s="15">
        <f>IF(ISNUMBER($G32),IFERROR(INDEX('入力シート'!$A$2:$A$41,MATCH(IF(MOD($G32,2)=1,($G32-1)*4+4,($G32-1)*4+1),'入力シート'!$F$2:$F$41,0)),""),"")</f>
        <v/>
      </c>
    </row>
    <row r="33">
      <c r="A33" s="14">
        <f>IF(9&lt;=ROUNDUP('入力シート'!$M$13/4,0),IF(0=1,ROUNDUP('入力シート'!$M$13/4,0)+1-9,9),IF(9=ROUNDUP('入力シート'!$M$13/4,0)+1,IF(0=1,"前","後ろ"),""))</f>
        <v/>
      </c>
      <c r="B33" s="15">
        <f>IF(ISNUMBER($A33),IFERROR(INDEX('入力シート'!$A$2:$A$41,MATCH(IF(MOD($A33,2)=1,($A33-1)*4+1,($A33-1)*4+4),'入力シート'!$F$2:$F$41,0)),""),"")</f>
        <v/>
      </c>
      <c r="C33" s="15">
        <f>IF(ISNUMBER($A33),IFERROR(INDEX('入力シート'!$A$2:$A$41,MATCH(IF(MOD($A33,2)=1,($A33-1)*4+2,($A33-1)*4+3),'入力シート'!$F$2:$F$41,0)),""),"")</f>
        <v/>
      </c>
      <c r="D33" s="15">
        <f>IF(ISNUMBER($A33),IFERROR(INDEX('入力シート'!$A$2:$A$41,MATCH(IF(MOD($A33,2)=1,($A33-1)*4+3,($A33-1)*4+2),'入力シート'!$F$2:$F$41,0)),""),"")</f>
        <v/>
      </c>
      <c r="E33" s="15">
        <f>IF(ISNUMBER($A33),IFERROR(INDEX('入力シート'!$A$2:$A$41,MATCH(IF(MOD($A33,2)=1,($A33-1)*4+4,($A33-1)*4+1),'入力シート'!$F$2:$F$41,0)),""),"")</f>
        <v/>
      </c>
      <c r="G33" s="14">
        <f>IF(9&lt;=ROUNDUP('入力シート'!$M$13/4,0),IF(1=1,ROUNDUP('入力シート'!$M$13/4,0)+1-9,9),IF(9=ROUNDUP('入力シート'!$M$13/4,0)+1,IF(1=1,"前","後ろ"),""))</f>
        <v/>
      </c>
      <c r="H33" s="15">
        <f>IF(ISNUMBER($G33),IFERROR(INDEX('入力シート'!$A$2:$A$41,MATCH(IF(MOD($G33,2)=1,($G33-1)*4+1,($G33-1)*4+4),'入力シート'!$F$2:$F$41,0)),""),"")</f>
        <v/>
      </c>
      <c r="I33" s="15">
        <f>IF(ISNUMBER($G33),IFERROR(INDEX('入力シート'!$A$2:$A$41,MATCH(IF(MOD($G33,2)=1,($G33-1)*4+2,($G33-1)*4+3),'入力シート'!$F$2:$F$41,0)),""),"")</f>
        <v/>
      </c>
      <c r="J33" s="15">
        <f>IF(ISNUMBER($G33),IFERROR(INDEX('入力シート'!$A$2:$A$41,MATCH(IF(MOD($G33,2)=1,($G33-1)*4+3,($G33-1)*4+2),'入力シート'!$F$2:$F$41,0)),""),"")</f>
        <v/>
      </c>
      <c r="K33" s="15">
        <f>IF(ISNUMBER($G33),IFERROR(INDEX('入力シート'!$A$2:$A$41,MATCH(IF(MOD($G33,2)=1,($G33-1)*4+4,($G33-1)*4+1),'入力シート'!$F$2:$F$41,0)),""),"")</f>
        <v/>
      </c>
    </row>
    <row r="34">
      <c r="A34" s="14">
        <f>IF(10&lt;=ROUNDUP('入力シート'!$M$13/4,0),IF(0=1,ROUNDUP('入力シート'!$M$13/4,0)+1-10,10),IF(10=ROUNDUP('入力シート'!$M$13/4,0)+1,IF(0=1,"前","後ろ"),""))</f>
        <v/>
      </c>
      <c r="B34" s="15">
        <f>IF(ISNUMBER($A34),IFERROR(INDEX('入力シート'!$A$2:$A$41,MATCH(IF(MOD($A34,2)=1,($A34-1)*4+1,($A34-1)*4+4),'入力シート'!$F$2:$F$41,0)),""),"")</f>
        <v/>
      </c>
      <c r="C34" s="15">
        <f>IF(ISNUMBER($A34),IFERROR(INDEX('入力シート'!$A$2:$A$41,MATCH(IF(MOD($A34,2)=1,($A34-1)*4+2,($A34-1)*4+3),'入力シート'!$F$2:$F$41,0)),""),"")</f>
        <v/>
      </c>
      <c r="D34" s="15">
        <f>IF(ISNUMBER($A34),IFERROR(INDEX('入力シート'!$A$2:$A$41,MATCH(IF(MOD($A34,2)=1,($A34-1)*4+3,($A34-1)*4+2),'入力シート'!$F$2:$F$41,0)),""),"")</f>
        <v/>
      </c>
      <c r="E34" s="15">
        <f>IF(ISNUMBER($A34),IFERROR(INDEX('入力シート'!$A$2:$A$41,MATCH(IF(MOD($A34,2)=1,($A34-1)*4+4,($A34-1)*4+1),'入力シート'!$F$2:$F$41,0)),""),"")</f>
        <v/>
      </c>
      <c r="G34" s="14">
        <f>IF(10&lt;=ROUNDUP('入力シート'!$M$13/4,0),IF(1=1,ROUNDUP('入力シート'!$M$13/4,0)+1-10,10),IF(10=ROUNDUP('入力シート'!$M$13/4,0)+1,IF(1=1,"前","後ろ"),""))</f>
        <v/>
      </c>
      <c r="H34" s="15">
        <f>IF(ISNUMBER($G34),IFERROR(INDEX('入力シート'!$A$2:$A$41,MATCH(IF(MOD($G34,2)=1,($G34-1)*4+1,($G34-1)*4+4),'入力シート'!$F$2:$F$41,0)),""),"")</f>
        <v/>
      </c>
      <c r="I34" s="15">
        <f>IF(ISNUMBER($G34),IFERROR(INDEX('入力シート'!$A$2:$A$41,MATCH(IF(MOD($G34,2)=1,($G34-1)*4+2,($G34-1)*4+3),'入力シート'!$F$2:$F$41,0)),""),"")</f>
        <v/>
      </c>
      <c r="J34" s="15">
        <f>IF(ISNUMBER($G34),IFERROR(INDEX('入力シート'!$A$2:$A$41,MATCH(IF(MOD($G34,2)=1,($G34-1)*4+3,($G34-1)*4+2),'入力シート'!$F$2:$F$41,0)),""),"")</f>
        <v/>
      </c>
      <c r="K34" s="15">
        <f>IF(ISNUMBER($G34),IFERROR(INDEX('入力シート'!$A$2:$A$41,MATCH(IF(MOD($G34,2)=1,($G34-1)*4+4,($G34-1)*4+1),'入力シート'!$F$2:$F$41,0)),""),"")</f>
        <v/>
      </c>
    </row>
    <row r="35">
      <c r="A35" s="14">
        <f>IF(11&lt;=ROUNDUP('入力シート'!$M$13/4,0),IF(0=1,ROUNDUP('入力シート'!$M$13/4,0)+1-11,11),IF(11=ROUNDUP('入力シート'!$M$13/4,0)+1,IF(0=1,"前","後ろ"),""))</f>
        <v/>
      </c>
      <c r="B35" s="15">
        <f>IF(ISNUMBER($A35),IFERROR(INDEX('入力シート'!$A$2:$A$41,MATCH(IF(MOD($A35,2)=1,($A35-1)*4+1,($A35-1)*4+4),'入力シート'!$F$2:$F$41,0)),""),"")</f>
        <v/>
      </c>
      <c r="C35" s="15">
        <f>IF(ISNUMBER($A35),IFERROR(INDEX('入力シート'!$A$2:$A$41,MATCH(IF(MOD($A35,2)=1,($A35-1)*4+2,($A35-1)*4+3),'入力シート'!$F$2:$F$41,0)),""),"")</f>
        <v/>
      </c>
      <c r="D35" s="15">
        <f>IF(ISNUMBER($A35),IFERROR(INDEX('入力シート'!$A$2:$A$41,MATCH(IF(MOD($A35,2)=1,($A35-1)*4+3,($A35-1)*4+2),'入力シート'!$F$2:$F$41,0)),""),"")</f>
        <v/>
      </c>
      <c r="E35" s="15">
        <f>IF(ISNUMBER($A35),IFERROR(INDEX('入力シート'!$A$2:$A$41,MATCH(IF(MOD($A35,2)=1,($A35-1)*4+4,($A35-1)*4+1),'入力シート'!$F$2:$F$41,0)),""),"")</f>
        <v/>
      </c>
      <c r="G35" s="14">
        <f>IF(11&lt;=ROUNDUP('入力シート'!$M$13/4,0),IF(1=1,ROUNDUP('入力シート'!$M$13/4,0)+1-11,11),IF(11=ROUNDUP('入力シート'!$M$13/4,0)+1,IF(1=1,"前","後ろ"),""))</f>
        <v/>
      </c>
      <c r="H35" s="15">
        <f>IF(ISNUMBER($G35),IFERROR(INDEX('入力シート'!$A$2:$A$41,MATCH(IF(MOD($G35,2)=1,($G35-1)*4+1,($G35-1)*4+4),'入力シート'!$F$2:$F$41,0)),""),"")</f>
        <v/>
      </c>
      <c r="I35" s="15">
        <f>IF(ISNUMBER($G35),IFERROR(INDEX('入力シート'!$A$2:$A$41,MATCH(IF(MOD($G35,2)=1,($G35-1)*4+2,($G35-1)*4+3),'入力シート'!$F$2:$F$41,0)),""),"")</f>
        <v/>
      </c>
      <c r="J35" s="15">
        <f>IF(ISNUMBER($G35),IFERROR(INDEX('入力シート'!$A$2:$A$41,MATCH(IF(MOD($G35,2)=1,($G35-1)*4+3,($G35-1)*4+2),'入力シート'!$F$2:$F$41,0)),""),"")</f>
        <v/>
      </c>
      <c r="K35" s="15">
        <f>IF(ISNUMBER($G35),IFERROR(INDEX('入力シート'!$A$2:$A$41,MATCH(IF(MOD($G35,2)=1,($G35-1)*4+4,($G35-1)*4+1),'入力シート'!$F$2:$F$41,0)),""),"")</f>
        <v/>
      </c>
    </row>
    <row r="36">
      <c r="A36" s="16">
        <f>IF((ROUNDUP('入力シート'!$M$13/4,0))&gt;10,"⚠ 入りきらない子がいます ","")</f>
        <v/>
      </c>
      <c r="G36" s="16">
        <f>IF((ROUNDUP('入力シート'!$M$13/4,0))&gt;10,"⚠ 入りきらない子がいます ","")</f>
        <v/>
      </c>
    </row>
    <row r="38">
      <c r="A38" s="13" t="inlineStr">
        <is>
          <t>4列③　2列から広げる（3・1・2・4／7・5・6・8）</t>
        </is>
      </c>
    </row>
    <row r="39">
      <c r="A39" s="17" t="n"/>
      <c r="B39" s="9" t="inlineStr">
        <is>
          <t>上が前　← ○で印刷</t>
        </is>
      </c>
      <c r="G39" s="17" t="n"/>
      <c r="H39" s="9" t="inlineStr">
        <is>
          <t>下が前　← ○で印刷</t>
        </is>
      </c>
    </row>
    <row r="41">
      <c r="A41" s="14">
        <f>IF(0=1,"後ろ","前")</f>
        <v/>
      </c>
      <c r="B41" s="15">
        <f>IF(ISNUMBER($A41),IFERROR(INDEX('入力シート'!$A$2:$A$41,MATCH(($A41-1)*4+3,'入力シート'!$F$2:$F$41,0)),""),"")</f>
        <v/>
      </c>
      <c r="C41" s="15">
        <f>IF(ISNUMBER($A41),IFERROR(INDEX('入力シート'!$A$2:$A$41,MATCH(($A41-1)*4+1,'入力シート'!$F$2:$F$41,0)),""),"")</f>
        <v/>
      </c>
      <c r="D41" s="15">
        <f>IF(ISNUMBER($A41),IFERROR(INDEX('入力シート'!$A$2:$A$41,MATCH(($A41-1)*4+2,'入力シート'!$F$2:$F$41,0)),""),"")</f>
        <v/>
      </c>
      <c r="E41" s="15">
        <f>IF(ISNUMBER($A41),IFERROR(INDEX('入力シート'!$A$2:$A$41,MATCH(($A41-1)*4+4,'入力シート'!$F$2:$F$41,0)),""),"")</f>
        <v/>
      </c>
      <c r="G41" s="14">
        <f>IF(1=1,"後ろ","前")</f>
        <v/>
      </c>
      <c r="H41" s="15">
        <f>IF(ISNUMBER($G41),IFERROR(INDEX('入力シート'!$A$2:$A$41,MATCH(($G41-1)*4+3,'入力シート'!$F$2:$F$41,0)),""),"")</f>
        <v/>
      </c>
      <c r="I41" s="15">
        <f>IF(ISNUMBER($G41),IFERROR(INDEX('入力シート'!$A$2:$A$41,MATCH(($G41-1)*4+1,'入力シート'!$F$2:$F$41,0)),""),"")</f>
        <v/>
      </c>
      <c r="J41" s="15">
        <f>IF(ISNUMBER($G41),IFERROR(INDEX('入力シート'!$A$2:$A$41,MATCH(($G41-1)*4+2,'入力シート'!$F$2:$F$41,0)),""),"")</f>
        <v/>
      </c>
      <c r="K41" s="15">
        <f>IF(ISNUMBER($G41),IFERROR(INDEX('入力シート'!$A$2:$A$41,MATCH(($G41-1)*4+4,'入力シート'!$F$2:$F$41,0)),""),"")</f>
        <v/>
      </c>
    </row>
    <row r="42">
      <c r="A42" s="14">
        <f>IF(1&lt;=ROUNDUP('入力シート'!$M$13/4,0),IF(0=1,ROUNDUP('入力シート'!$M$13/4,0)+1-1,1),IF(1=ROUNDUP('入力シート'!$M$13/4,0)+1,IF(0=1,"前","後ろ"),""))</f>
        <v/>
      </c>
      <c r="B42" s="15">
        <f>IF(ISNUMBER($A42),IFERROR(INDEX('入力シート'!$A$2:$A$41,MATCH(($A42-1)*4+3,'入力シート'!$F$2:$F$41,0)),""),"")</f>
        <v/>
      </c>
      <c r="C42" s="15">
        <f>IF(ISNUMBER($A42),IFERROR(INDEX('入力シート'!$A$2:$A$41,MATCH(($A42-1)*4+1,'入力シート'!$F$2:$F$41,0)),""),"")</f>
        <v/>
      </c>
      <c r="D42" s="15">
        <f>IF(ISNUMBER($A42),IFERROR(INDEX('入力シート'!$A$2:$A$41,MATCH(($A42-1)*4+2,'入力シート'!$F$2:$F$41,0)),""),"")</f>
        <v/>
      </c>
      <c r="E42" s="15">
        <f>IF(ISNUMBER($A42),IFERROR(INDEX('入力シート'!$A$2:$A$41,MATCH(($A42-1)*4+4,'入力シート'!$F$2:$F$41,0)),""),"")</f>
        <v/>
      </c>
      <c r="G42" s="14">
        <f>IF(1&lt;=ROUNDUP('入力シート'!$M$13/4,0),IF(1=1,ROUNDUP('入力シート'!$M$13/4,0)+1-1,1),IF(1=ROUNDUP('入力シート'!$M$13/4,0)+1,IF(1=1,"前","後ろ"),""))</f>
        <v/>
      </c>
      <c r="H42" s="15">
        <f>IF(ISNUMBER($G42),IFERROR(INDEX('入力シート'!$A$2:$A$41,MATCH(($G42-1)*4+3,'入力シート'!$F$2:$F$41,0)),""),"")</f>
        <v/>
      </c>
      <c r="I42" s="15">
        <f>IF(ISNUMBER($G42),IFERROR(INDEX('入力シート'!$A$2:$A$41,MATCH(($G42-1)*4+1,'入力シート'!$F$2:$F$41,0)),""),"")</f>
        <v/>
      </c>
      <c r="J42" s="15">
        <f>IF(ISNUMBER($G42),IFERROR(INDEX('入力シート'!$A$2:$A$41,MATCH(($G42-1)*4+2,'入力シート'!$F$2:$F$41,0)),""),"")</f>
        <v/>
      </c>
      <c r="K42" s="15">
        <f>IF(ISNUMBER($G42),IFERROR(INDEX('入力シート'!$A$2:$A$41,MATCH(($G42-1)*4+4,'入力シート'!$F$2:$F$41,0)),""),"")</f>
        <v/>
      </c>
    </row>
    <row r="43">
      <c r="A43" s="14">
        <f>IF(2&lt;=ROUNDUP('入力シート'!$M$13/4,0),IF(0=1,ROUNDUP('入力シート'!$M$13/4,0)+1-2,2),IF(2=ROUNDUP('入力シート'!$M$13/4,0)+1,IF(0=1,"前","後ろ"),""))</f>
        <v/>
      </c>
      <c r="B43" s="15">
        <f>IF(ISNUMBER($A43),IFERROR(INDEX('入力シート'!$A$2:$A$41,MATCH(($A43-1)*4+3,'入力シート'!$F$2:$F$41,0)),""),"")</f>
        <v/>
      </c>
      <c r="C43" s="15">
        <f>IF(ISNUMBER($A43),IFERROR(INDEX('入力シート'!$A$2:$A$41,MATCH(($A43-1)*4+1,'入力シート'!$F$2:$F$41,0)),""),"")</f>
        <v/>
      </c>
      <c r="D43" s="15">
        <f>IF(ISNUMBER($A43),IFERROR(INDEX('入力シート'!$A$2:$A$41,MATCH(($A43-1)*4+2,'入力シート'!$F$2:$F$41,0)),""),"")</f>
        <v/>
      </c>
      <c r="E43" s="15">
        <f>IF(ISNUMBER($A43),IFERROR(INDEX('入力シート'!$A$2:$A$41,MATCH(($A43-1)*4+4,'入力シート'!$F$2:$F$41,0)),""),"")</f>
        <v/>
      </c>
      <c r="G43" s="14">
        <f>IF(2&lt;=ROUNDUP('入力シート'!$M$13/4,0),IF(1=1,ROUNDUP('入力シート'!$M$13/4,0)+1-2,2),IF(2=ROUNDUP('入力シート'!$M$13/4,0)+1,IF(1=1,"前","後ろ"),""))</f>
        <v/>
      </c>
      <c r="H43" s="15">
        <f>IF(ISNUMBER($G43),IFERROR(INDEX('入力シート'!$A$2:$A$41,MATCH(($G43-1)*4+3,'入力シート'!$F$2:$F$41,0)),""),"")</f>
        <v/>
      </c>
      <c r="I43" s="15">
        <f>IF(ISNUMBER($G43),IFERROR(INDEX('入力シート'!$A$2:$A$41,MATCH(($G43-1)*4+1,'入力シート'!$F$2:$F$41,0)),""),"")</f>
        <v/>
      </c>
      <c r="J43" s="15">
        <f>IF(ISNUMBER($G43),IFERROR(INDEX('入力シート'!$A$2:$A$41,MATCH(($G43-1)*4+2,'入力シート'!$F$2:$F$41,0)),""),"")</f>
        <v/>
      </c>
      <c r="K43" s="15">
        <f>IF(ISNUMBER($G43),IFERROR(INDEX('入力シート'!$A$2:$A$41,MATCH(($G43-1)*4+4,'入力シート'!$F$2:$F$41,0)),""),"")</f>
        <v/>
      </c>
    </row>
    <row r="44">
      <c r="A44" s="14">
        <f>IF(3&lt;=ROUNDUP('入力シート'!$M$13/4,0),IF(0=1,ROUNDUP('入力シート'!$M$13/4,0)+1-3,3),IF(3=ROUNDUP('入力シート'!$M$13/4,0)+1,IF(0=1,"前","後ろ"),""))</f>
        <v/>
      </c>
      <c r="B44" s="15">
        <f>IF(ISNUMBER($A44),IFERROR(INDEX('入力シート'!$A$2:$A$41,MATCH(($A44-1)*4+3,'入力シート'!$F$2:$F$41,0)),""),"")</f>
        <v/>
      </c>
      <c r="C44" s="15">
        <f>IF(ISNUMBER($A44),IFERROR(INDEX('入力シート'!$A$2:$A$41,MATCH(($A44-1)*4+1,'入力シート'!$F$2:$F$41,0)),""),"")</f>
        <v/>
      </c>
      <c r="D44" s="15">
        <f>IF(ISNUMBER($A44),IFERROR(INDEX('入力シート'!$A$2:$A$41,MATCH(($A44-1)*4+2,'入力シート'!$F$2:$F$41,0)),""),"")</f>
        <v/>
      </c>
      <c r="E44" s="15">
        <f>IF(ISNUMBER($A44),IFERROR(INDEX('入力シート'!$A$2:$A$41,MATCH(($A44-1)*4+4,'入力シート'!$F$2:$F$41,0)),""),"")</f>
        <v/>
      </c>
      <c r="G44" s="14">
        <f>IF(3&lt;=ROUNDUP('入力シート'!$M$13/4,0),IF(1=1,ROUNDUP('入力シート'!$M$13/4,0)+1-3,3),IF(3=ROUNDUP('入力シート'!$M$13/4,0)+1,IF(1=1,"前","後ろ"),""))</f>
        <v/>
      </c>
      <c r="H44" s="15">
        <f>IF(ISNUMBER($G44),IFERROR(INDEX('入力シート'!$A$2:$A$41,MATCH(($G44-1)*4+3,'入力シート'!$F$2:$F$41,0)),""),"")</f>
        <v/>
      </c>
      <c r="I44" s="15">
        <f>IF(ISNUMBER($G44),IFERROR(INDEX('入力シート'!$A$2:$A$41,MATCH(($G44-1)*4+1,'入力シート'!$F$2:$F$41,0)),""),"")</f>
        <v/>
      </c>
      <c r="J44" s="15">
        <f>IF(ISNUMBER($G44),IFERROR(INDEX('入力シート'!$A$2:$A$41,MATCH(($G44-1)*4+2,'入力シート'!$F$2:$F$41,0)),""),"")</f>
        <v/>
      </c>
      <c r="K44" s="15">
        <f>IF(ISNUMBER($G44),IFERROR(INDEX('入力シート'!$A$2:$A$41,MATCH(($G44-1)*4+4,'入力シート'!$F$2:$F$41,0)),""),"")</f>
        <v/>
      </c>
    </row>
    <row r="45">
      <c r="A45" s="14">
        <f>IF(4&lt;=ROUNDUP('入力シート'!$M$13/4,0),IF(0=1,ROUNDUP('入力シート'!$M$13/4,0)+1-4,4),IF(4=ROUNDUP('入力シート'!$M$13/4,0)+1,IF(0=1,"前","後ろ"),""))</f>
        <v/>
      </c>
      <c r="B45" s="15">
        <f>IF(ISNUMBER($A45),IFERROR(INDEX('入力シート'!$A$2:$A$41,MATCH(($A45-1)*4+3,'入力シート'!$F$2:$F$41,0)),""),"")</f>
        <v/>
      </c>
      <c r="C45" s="15">
        <f>IF(ISNUMBER($A45),IFERROR(INDEX('入力シート'!$A$2:$A$41,MATCH(($A45-1)*4+1,'入力シート'!$F$2:$F$41,0)),""),"")</f>
        <v/>
      </c>
      <c r="D45" s="15">
        <f>IF(ISNUMBER($A45),IFERROR(INDEX('入力シート'!$A$2:$A$41,MATCH(($A45-1)*4+2,'入力シート'!$F$2:$F$41,0)),""),"")</f>
        <v/>
      </c>
      <c r="E45" s="15">
        <f>IF(ISNUMBER($A45),IFERROR(INDEX('入力シート'!$A$2:$A$41,MATCH(($A45-1)*4+4,'入力シート'!$F$2:$F$41,0)),""),"")</f>
        <v/>
      </c>
      <c r="G45" s="14">
        <f>IF(4&lt;=ROUNDUP('入力シート'!$M$13/4,0),IF(1=1,ROUNDUP('入力シート'!$M$13/4,0)+1-4,4),IF(4=ROUNDUP('入力シート'!$M$13/4,0)+1,IF(1=1,"前","後ろ"),""))</f>
        <v/>
      </c>
      <c r="H45" s="15">
        <f>IF(ISNUMBER($G45),IFERROR(INDEX('入力シート'!$A$2:$A$41,MATCH(($G45-1)*4+3,'入力シート'!$F$2:$F$41,0)),""),"")</f>
        <v/>
      </c>
      <c r="I45" s="15">
        <f>IF(ISNUMBER($G45),IFERROR(INDEX('入力シート'!$A$2:$A$41,MATCH(($G45-1)*4+1,'入力シート'!$F$2:$F$41,0)),""),"")</f>
        <v/>
      </c>
      <c r="J45" s="15">
        <f>IF(ISNUMBER($G45),IFERROR(INDEX('入力シート'!$A$2:$A$41,MATCH(($G45-1)*4+2,'入力シート'!$F$2:$F$41,0)),""),"")</f>
        <v/>
      </c>
      <c r="K45" s="15">
        <f>IF(ISNUMBER($G45),IFERROR(INDEX('入力シート'!$A$2:$A$41,MATCH(($G45-1)*4+4,'入力シート'!$F$2:$F$41,0)),""),"")</f>
        <v/>
      </c>
    </row>
    <row r="46">
      <c r="A46" s="14">
        <f>IF(5&lt;=ROUNDUP('入力シート'!$M$13/4,0),IF(0=1,ROUNDUP('入力シート'!$M$13/4,0)+1-5,5),IF(5=ROUNDUP('入力シート'!$M$13/4,0)+1,IF(0=1,"前","後ろ"),""))</f>
        <v/>
      </c>
      <c r="B46" s="15">
        <f>IF(ISNUMBER($A46),IFERROR(INDEX('入力シート'!$A$2:$A$41,MATCH(($A46-1)*4+3,'入力シート'!$F$2:$F$41,0)),""),"")</f>
        <v/>
      </c>
      <c r="C46" s="15">
        <f>IF(ISNUMBER($A46),IFERROR(INDEX('入力シート'!$A$2:$A$41,MATCH(($A46-1)*4+1,'入力シート'!$F$2:$F$41,0)),""),"")</f>
        <v/>
      </c>
      <c r="D46" s="15">
        <f>IF(ISNUMBER($A46),IFERROR(INDEX('入力シート'!$A$2:$A$41,MATCH(($A46-1)*4+2,'入力シート'!$F$2:$F$41,0)),""),"")</f>
        <v/>
      </c>
      <c r="E46" s="15">
        <f>IF(ISNUMBER($A46),IFERROR(INDEX('入力シート'!$A$2:$A$41,MATCH(($A46-1)*4+4,'入力シート'!$F$2:$F$41,0)),""),"")</f>
        <v/>
      </c>
      <c r="G46" s="14">
        <f>IF(5&lt;=ROUNDUP('入力シート'!$M$13/4,0),IF(1=1,ROUNDUP('入力シート'!$M$13/4,0)+1-5,5),IF(5=ROUNDUP('入力シート'!$M$13/4,0)+1,IF(1=1,"前","後ろ"),""))</f>
        <v/>
      </c>
      <c r="H46" s="15">
        <f>IF(ISNUMBER($G46),IFERROR(INDEX('入力シート'!$A$2:$A$41,MATCH(($G46-1)*4+3,'入力シート'!$F$2:$F$41,0)),""),"")</f>
        <v/>
      </c>
      <c r="I46" s="15">
        <f>IF(ISNUMBER($G46),IFERROR(INDEX('入力シート'!$A$2:$A$41,MATCH(($G46-1)*4+1,'入力シート'!$F$2:$F$41,0)),""),"")</f>
        <v/>
      </c>
      <c r="J46" s="15">
        <f>IF(ISNUMBER($G46),IFERROR(INDEX('入力シート'!$A$2:$A$41,MATCH(($G46-1)*4+2,'入力シート'!$F$2:$F$41,0)),""),"")</f>
        <v/>
      </c>
      <c r="K46" s="15">
        <f>IF(ISNUMBER($G46),IFERROR(INDEX('入力シート'!$A$2:$A$41,MATCH(($G46-1)*4+4,'入力シート'!$F$2:$F$41,0)),""),"")</f>
        <v/>
      </c>
    </row>
    <row r="47">
      <c r="A47" s="14">
        <f>IF(6&lt;=ROUNDUP('入力シート'!$M$13/4,0),IF(0=1,ROUNDUP('入力シート'!$M$13/4,0)+1-6,6),IF(6=ROUNDUP('入力シート'!$M$13/4,0)+1,IF(0=1,"前","後ろ"),""))</f>
        <v/>
      </c>
      <c r="B47" s="15">
        <f>IF(ISNUMBER($A47),IFERROR(INDEX('入力シート'!$A$2:$A$41,MATCH(($A47-1)*4+3,'入力シート'!$F$2:$F$41,0)),""),"")</f>
        <v/>
      </c>
      <c r="C47" s="15">
        <f>IF(ISNUMBER($A47),IFERROR(INDEX('入力シート'!$A$2:$A$41,MATCH(($A47-1)*4+1,'入力シート'!$F$2:$F$41,0)),""),"")</f>
        <v/>
      </c>
      <c r="D47" s="15">
        <f>IF(ISNUMBER($A47),IFERROR(INDEX('入力シート'!$A$2:$A$41,MATCH(($A47-1)*4+2,'入力シート'!$F$2:$F$41,0)),""),"")</f>
        <v/>
      </c>
      <c r="E47" s="15">
        <f>IF(ISNUMBER($A47),IFERROR(INDEX('入力シート'!$A$2:$A$41,MATCH(($A47-1)*4+4,'入力シート'!$F$2:$F$41,0)),""),"")</f>
        <v/>
      </c>
      <c r="G47" s="14">
        <f>IF(6&lt;=ROUNDUP('入力シート'!$M$13/4,0),IF(1=1,ROUNDUP('入力シート'!$M$13/4,0)+1-6,6),IF(6=ROUNDUP('入力シート'!$M$13/4,0)+1,IF(1=1,"前","後ろ"),""))</f>
        <v/>
      </c>
      <c r="H47" s="15">
        <f>IF(ISNUMBER($G47),IFERROR(INDEX('入力シート'!$A$2:$A$41,MATCH(($G47-1)*4+3,'入力シート'!$F$2:$F$41,0)),""),"")</f>
        <v/>
      </c>
      <c r="I47" s="15">
        <f>IF(ISNUMBER($G47),IFERROR(INDEX('入力シート'!$A$2:$A$41,MATCH(($G47-1)*4+1,'入力シート'!$F$2:$F$41,0)),""),"")</f>
        <v/>
      </c>
      <c r="J47" s="15">
        <f>IF(ISNUMBER($G47),IFERROR(INDEX('入力シート'!$A$2:$A$41,MATCH(($G47-1)*4+2,'入力シート'!$F$2:$F$41,0)),""),"")</f>
        <v/>
      </c>
      <c r="K47" s="15">
        <f>IF(ISNUMBER($G47),IFERROR(INDEX('入力シート'!$A$2:$A$41,MATCH(($G47-1)*4+4,'入力シート'!$F$2:$F$41,0)),""),"")</f>
        <v/>
      </c>
    </row>
    <row r="48">
      <c r="A48" s="14">
        <f>IF(7&lt;=ROUNDUP('入力シート'!$M$13/4,0),IF(0=1,ROUNDUP('入力シート'!$M$13/4,0)+1-7,7),IF(7=ROUNDUP('入力シート'!$M$13/4,0)+1,IF(0=1,"前","後ろ"),""))</f>
        <v/>
      </c>
      <c r="B48" s="15">
        <f>IF(ISNUMBER($A48),IFERROR(INDEX('入力シート'!$A$2:$A$41,MATCH(($A48-1)*4+3,'入力シート'!$F$2:$F$41,0)),""),"")</f>
        <v/>
      </c>
      <c r="C48" s="15">
        <f>IF(ISNUMBER($A48),IFERROR(INDEX('入力シート'!$A$2:$A$41,MATCH(($A48-1)*4+1,'入力シート'!$F$2:$F$41,0)),""),"")</f>
        <v/>
      </c>
      <c r="D48" s="15">
        <f>IF(ISNUMBER($A48),IFERROR(INDEX('入力シート'!$A$2:$A$41,MATCH(($A48-1)*4+2,'入力シート'!$F$2:$F$41,0)),""),"")</f>
        <v/>
      </c>
      <c r="E48" s="15">
        <f>IF(ISNUMBER($A48),IFERROR(INDEX('入力シート'!$A$2:$A$41,MATCH(($A48-1)*4+4,'入力シート'!$F$2:$F$41,0)),""),"")</f>
        <v/>
      </c>
      <c r="G48" s="14">
        <f>IF(7&lt;=ROUNDUP('入力シート'!$M$13/4,0),IF(1=1,ROUNDUP('入力シート'!$M$13/4,0)+1-7,7),IF(7=ROUNDUP('入力シート'!$M$13/4,0)+1,IF(1=1,"前","後ろ"),""))</f>
        <v/>
      </c>
      <c r="H48" s="15">
        <f>IF(ISNUMBER($G48),IFERROR(INDEX('入力シート'!$A$2:$A$41,MATCH(($G48-1)*4+3,'入力シート'!$F$2:$F$41,0)),""),"")</f>
        <v/>
      </c>
      <c r="I48" s="15">
        <f>IF(ISNUMBER($G48),IFERROR(INDEX('入力シート'!$A$2:$A$41,MATCH(($G48-1)*4+1,'入力シート'!$F$2:$F$41,0)),""),"")</f>
        <v/>
      </c>
      <c r="J48" s="15">
        <f>IF(ISNUMBER($G48),IFERROR(INDEX('入力シート'!$A$2:$A$41,MATCH(($G48-1)*4+2,'入力シート'!$F$2:$F$41,0)),""),"")</f>
        <v/>
      </c>
      <c r="K48" s="15">
        <f>IF(ISNUMBER($G48),IFERROR(INDEX('入力シート'!$A$2:$A$41,MATCH(($G48-1)*4+4,'入力シート'!$F$2:$F$41,0)),""),"")</f>
        <v/>
      </c>
    </row>
    <row r="49">
      <c r="A49" s="14">
        <f>IF(8&lt;=ROUNDUP('入力シート'!$M$13/4,0),IF(0=1,ROUNDUP('入力シート'!$M$13/4,0)+1-8,8),IF(8=ROUNDUP('入力シート'!$M$13/4,0)+1,IF(0=1,"前","後ろ"),""))</f>
        <v/>
      </c>
      <c r="B49" s="15">
        <f>IF(ISNUMBER($A49),IFERROR(INDEX('入力シート'!$A$2:$A$41,MATCH(($A49-1)*4+3,'入力シート'!$F$2:$F$41,0)),""),"")</f>
        <v/>
      </c>
      <c r="C49" s="15">
        <f>IF(ISNUMBER($A49),IFERROR(INDEX('入力シート'!$A$2:$A$41,MATCH(($A49-1)*4+1,'入力シート'!$F$2:$F$41,0)),""),"")</f>
        <v/>
      </c>
      <c r="D49" s="15">
        <f>IF(ISNUMBER($A49),IFERROR(INDEX('入力シート'!$A$2:$A$41,MATCH(($A49-1)*4+2,'入力シート'!$F$2:$F$41,0)),""),"")</f>
        <v/>
      </c>
      <c r="E49" s="15">
        <f>IF(ISNUMBER($A49),IFERROR(INDEX('入力シート'!$A$2:$A$41,MATCH(($A49-1)*4+4,'入力シート'!$F$2:$F$41,0)),""),"")</f>
        <v/>
      </c>
      <c r="G49" s="14">
        <f>IF(8&lt;=ROUNDUP('入力シート'!$M$13/4,0),IF(1=1,ROUNDUP('入力シート'!$M$13/4,0)+1-8,8),IF(8=ROUNDUP('入力シート'!$M$13/4,0)+1,IF(1=1,"前","後ろ"),""))</f>
        <v/>
      </c>
      <c r="H49" s="15">
        <f>IF(ISNUMBER($G49),IFERROR(INDEX('入力シート'!$A$2:$A$41,MATCH(($G49-1)*4+3,'入力シート'!$F$2:$F$41,0)),""),"")</f>
        <v/>
      </c>
      <c r="I49" s="15">
        <f>IF(ISNUMBER($G49),IFERROR(INDEX('入力シート'!$A$2:$A$41,MATCH(($G49-1)*4+1,'入力シート'!$F$2:$F$41,0)),""),"")</f>
        <v/>
      </c>
      <c r="J49" s="15">
        <f>IF(ISNUMBER($G49),IFERROR(INDEX('入力シート'!$A$2:$A$41,MATCH(($G49-1)*4+2,'入力シート'!$F$2:$F$41,0)),""),"")</f>
        <v/>
      </c>
      <c r="K49" s="15">
        <f>IF(ISNUMBER($G49),IFERROR(INDEX('入力シート'!$A$2:$A$41,MATCH(($G49-1)*4+4,'入力シート'!$F$2:$F$41,0)),""),"")</f>
        <v/>
      </c>
    </row>
    <row r="50">
      <c r="A50" s="14">
        <f>IF(9&lt;=ROUNDUP('入力シート'!$M$13/4,0),IF(0=1,ROUNDUP('入力シート'!$M$13/4,0)+1-9,9),IF(9=ROUNDUP('入力シート'!$M$13/4,0)+1,IF(0=1,"前","後ろ"),""))</f>
        <v/>
      </c>
      <c r="B50" s="15">
        <f>IF(ISNUMBER($A50),IFERROR(INDEX('入力シート'!$A$2:$A$41,MATCH(($A50-1)*4+3,'入力シート'!$F$2:$F$41,0)),""),"")</f>
        <v/>
      </c>
      <c r="C50" s="15">
        <f>IF(ISNUMBER($A50),IFERROR(INDEX('入力シート'!$A$2:$A$41,MATCH(($A50-1)*4+1,'入力シート'!$F$2:$F$41,0)),""),"")</f>
        <v/>
      </c>
      <c r="D50" s="15">
        <f>IF(ISNUMBER($A50),IFERROR(INDEX('入力シート'!$A$2:$A$41,MATCH(($A50-1)*4+2,'入力シート'!$F$2:$F$41,0)),""),"")</f>
        <v/>
      </c>
      <c r="E50" s="15">
        <f>IF(ISNUMBER($A50),IFERROR(INDEX('入力シート'!$A$2:$A$41,MATCH(($A50-1)*4+4,'入力シート'!$F$2:$F$41,0)),""),"")</f>
        <v/>
      </c>
      <c r="G50" s="14">
        <f>IF(9&lt;=ROUNDUP('入力シート'!$M$13/4,0),IF(1=1,ROUNDUP('入力シート'!$M$13/4,0)+1-9,9),IF(9=ROUNDUP('入力シート'!$M$13/4,0)+1,IF(1=1,"前","後ろ"),""))</f>
        <v/>
      </c>
      <c r="H50" s="15">
        <f>IF(ISNUMBER($G50),IFERROR(INDEX('入力シート'!$A$2:$A$41,MATCH(($G50-1)*4+3,'入力シート'!$F$2:$F$41,0)),""),"")</f>
        <v/>
      </c>
      <c r="I50" s="15">
        <f>IF(ISNUMBER($G50),IFERROR(INDEX('入力シート'!$A$2:$A$41,MATCH(($G50-1)*4+1,'入力シート'!$F$2:$F$41,0)),""),"")</f>
        <v/>
      </c>
      <c r="J50" s="15">
        <f>IF(ISNUMBER($G50),IFERROR(INDEX('入力シート'!$A$2:$A$41,MATCH(($G50-1)*4+2,'入力シート'!$F$2:$F$41,0)),""),"")</f>
        <v/>
      </c>
      <c r="K50" s="15">
        <f>IF(ISNUMBER($G50),IFERROR(INDEX('入力シート'!$A$2:$A$41,MATCH(($G50-1)*4+4,'入力シート'!$F$2:$F$41,0)),""),"")</f>
        <v/>
      </c>
    </row>
    <row r="51">
      <c r="A51" s="14">
        <f>IF(10&lt;=ROUNDUP('入力シート'!$M$13/4,0),IF(0=1,ROUNDUP('入力シート'!$M$13/4,0)+1-10,10),IF(10=ROUNDUP('入力シート'!$M$13/4,0)+1,IF(0=1,"前","後ろ"),""))</f>
        <v/>
      </c>
      <c r="B51" s="15">
        <f>IF(ISNUMBER($A51),IFERROR(INDEX('入力シート'!$A$2:$A$41,MATCH(($A51-1)*4+3,'入力シート'!$F$2:$F$41,0)),""),"")</f>
        <v/>
      </c>
      <c r="C51" s="15">
        <f>IF(ISNUMBER($A51),IFERROR(INDEX('入力シート'!$A$2:$A$41,MATCH(($A51-1)*4+1,'入力シート'!$F$2:$F$41,0)),""),"")</f>
        <v/>
      </c>
      <c r="D51" s="15">
        <f>IF(ISNUMBER($A51),IFERROR(INDEX('入力シート'!$A$2:$A$41,MATCH(($A51-1)*4+2,'入力シート'!$F$2:$F$41,0)),""),"")</f>
        <v/>
      </c>
      <c r="E51" s="15">
        <f>IF(ISNUMBER($A51),IFERROR(INDEX('入力シート'!$A$2:$A$41,MATCH(($A51-1)*4+4,'入力シート'!$F$2:$F$41,0)),""),"")</f>
        <v/>
      </c>
      <c r="G51" s="14">
        <f>IF(10&lt;=ROUNDUP('入力シート'!$M$13/4,0),IF(1=1,ROUNDUP('入力シート'!$M$13/4,0)+1-10,10),IF(10=ROUNDUP('入力シート'!$M$13/4,0)+1,IF(1=1,"前","後ろ"),""))</f>
        <v/>
      </c>
      <c r="H51" s="15">
        <f>IF(ISNUMBER($G51),IFERROR(INDEX('入力シート'!$A$2:$A$41,MATCH(($G51-1)*4+3,'入力シート'!$F$2:$F$41,0)),""),"")</f>
        <v/>
      </c>
      <c r="I51" s="15">
        <f>IF(ISNUMBER($G51),IFERROR(INDEX('入力シート'!$A$2:$A$41,MATCH(($G51-1)*4+1,'入力シート'!$F$2:$F$41,0)),""),"")</f>
        <v/>
      </c>
      <c r="J51" s="15">
        <f>IF(ISNUMBER($G51),IFERROR(INDEX('入力シート'!$A$2:$A$41,MATCH(($G51-1)*4+2,'入力シート'!$F$2:$F$41,0)),""),"")</f>
        <v/>
      </c>
      <c r="K51" s="15">
        <f>IF(ISNUMBER($G51),IFERROR(INDEX('入力シート'!$A$2:$A$41,MATCH(($G51-1)*4+4,'入力シート'!$F$2:$F$41,0)),""),"")</f>
        <v/>
      </c>
    </row>
    <row r="52">
      <c r="A52" s="14">
        <f>IF(11&lt;=ROUNDUP('入力シート'!$M$13/4,0),IF(0=1,ROUNDUP('入力シート'!$M$13/4,0)+1-11,11),IF(11=ROUNDUP('入力シート'!$M$13/4,0)+1,IF(0=1,"前","後ろ"),""))</f>
        <v/>
      </c>
      <c r="B52" s="15">
        <f>IF(ISNUMBER($A52),IFERROR(INDEX('入力シート'!$A$2:$A$41,MATCH(($A52-1)*4+3,'入力シート'!$F$2:$F$41,0)),""),"")</f>
        <v/>
      </c>
      <c r="C52" s="15">
        <f>IF(ISNUMBER($A52),IFERROR(INDEX('入力シート'!$A$2:$A$41,MATCH(($A52-1)*4+1,'入力シート'!$F$2:$F$41,0)),""),"")</f>
        <v/>
      </c>
      <c r="D52" s="15">
        <f>IF(ISNUMBER($A52),IFERROR(INDEX('入力シート'!$A$2:$A$41,MATCH(($A52-1)*4+2,'入力シート'!$F$2:$F$41,0)),""),"")</f>
        <v/>
      </c>
      <c r="E52" s="15">
        <f>IF(ISNUMBER($A52),IFERROR(INDEX('入力シート'!$A$2:$A$41,MATCH(($A52-1)*4+4,'入力シート'!$F$2:$F$41,0)),""),"")</f>
        <v/>
      </c>
      <c r="G52" s="14">
        <f>IF(11&lt;=ROUNDUP('入力シート'!$M$13/4,0),IF(1=1,ROUNDUP('入力シート'!$M$13/4,0)+1-11,11),IF(11=ROUNDUP('入力シート'!$M$13/4,0)+1,IF(1=1,"前","後ろ"),""))</f>
        <v/>
      </c>
      <c r="H52" s="15">
        <f>IF(ISNUMBER($G52),IFERROR(INDEX('入力シート'!$A$2:$A$41,MATCH(($G52-1)*4+3,'入力シート'!$F$2:$F$41,0)),""),"")</f>
        <v/>
      </c>
      <c r="I52" s="15">
        <f>IF(ISNUMBER($G52),IFERROR(INDEX('入力シート'!$A$2:$A$41,MATCH(($G52-1)*4+1,'入力シート'!$F$2:$F$41,0)),""),"")</f>
        <v/>
      </c>
      <c r="J52" s="15">
        <f>IF(ISNUMBER($G52),IFERROR(INDEX('入力シート'!$A$2:$A$41,MATCH(($G52-1)*4+2,'入力シート'!$F$2:$F$41,0)),""),"")</f>
        <v/>
      </c>
      <c r="K52" s="15">
        <f>IF(ISNUMBER($G52),IFERROR(INDEX('入力シート'!$A$2:$A$41,MATCH(($G52-1)*4+4,'入力シート'!$F$2:$F$41,0)),""),"")</f>
        <v/>
      </c>
    </row>
    <row r="53">
      <c r="A53" s="16">
        <f>IF((ROUNDUP('入力シート'!$M$13/4,0))&gt;10,"⚠ 入りきらない子がいます ","")</f>
        <v/>
      </c>
      <c r="G53" s="16">
        <f>IF((ROUNDUP('入力シート'!$M$13/4,0))&gt;10,"⚠ 入りきらない子がいます ","")</f>
        <v/>
      </c>
    </row>
    <row r="55">
      <c r="A55" s="13" t="inlineStr">
        <is>
          <t>4列④　男子2列・女子2列</t>
        </is>
      </c>
    </row>
    <row r="56">
      <c r="A56" s="17" t="n"/>
      <c r="B56" s="9" t="inlineStr">
        <is>
          <t>上が前　← ○で印刷</t>
        </is>
      </c>
      <c r="G56" s="17" t="n"/>
      <c r="H56" s="9" t="inlineStr">
        <is>
          <t>下が前　← ○で印刷</t>
        </is>
      </c>
    </row>
    <row r="57">
      <c r="B57" s="18" t="inlineStr">
        <is>
          <t>男子</t>
        </is>
      </c>
      <c r="C57" s="18" t="inlineStr">
        <is>
          <t>男子</t>
        </is>
      </c>
      <c r="D57" s="19" t="inlineStr">
        <is>
          <t>女子</t>
        </is>
      </c>
      <c r="E57" s="19" t="inlineStr">
        <is>
          <t>女子</t>
        </is>
      </c>
      <c r="H57" s="18" t="inlineStr">
        <is>
          <t>男子</t>
        </is>
      </c>
      <c r="I57" s="18" t="inlineStr">
        <is>
          <t>男子</t>
        </is>
      </c>
      <c r="J57" s="19" t="inlineStr">
        <is>
          <t>女子</t>
        </is>
      </c>
      <c r="K57" s="19" t="inlineStr">
        <is>
          <t>女子</t>
        </is>
      </c>
    </row>
    <row r="58">
      <c r="A58" s="14">
        <f>IF(0=1,"後ろ","前")</f>
        <v/>
      </c>
      <c r="B58" s="15">
        <f>IF(ISNUMBER($A58),IFERROR(INDEX('入力シート'!$A$2:$A$41,MATCH("男"&amp;(($A58-1)*2+1),'入力シート'!$I$2:$I$41,0)),""),"")</f>
        <v/>
      </c>
      <c r="C58" s="15">
        <f>IF(ISNUMBER($A58),IFERROR(INDEX('入力シート'!$A$2:$A$41,MATCH("男"&amp;(($A58-1)*2+2),'入力シート'!$I$2:$I$41,0)),""),"")</f>
        <v/>
      </c>
      <c r="D58" s="15">
        <f>IF(ISNUMBER($A58),IFERROR(INDEX('入力シート'!$A$2:$A$41,MATCH("女"&amp;(($A58-1)*2+1),'入力シート'!$I$2:$I$41,0)),""),"")</f>
        <v/>
      </c>
      <c r="E58" s="15">
        <f>IF(ISNUMBER($A58),IFERROR(INDEX('入力シート'!$A$2:$A$41,MATCH("女"&amp;(($A58-1)*2+2),'入力シート'!$I$2:$I$41,0)),""),"")</f>
        <v/>
      </c>
      <c r="G58" s="14">
        <f>IF(1=1,"後ろ","前")</f>
        <v/>
      </c>
      <c r="H58" s="15">
        <f>IF(ISNUMBER($G58),IFERROR(INDEX('入力シート'!$A$2:$A$41,MATCH("男"&amp;(($G58-1)*2+1),'入力シート'!$I$2:$I$41,0)),""),"")</f>
        <v/>
      </c>
      <c r="I58" s="15">
        <f>IF(ISNUMBER($G58),IFERROR(INDEX('入力シート'!$A$2:$A$41,MATCH("男"&amp;(($G58-1)*2+2),'入力シート'!$I$2:$I$41,0)),""),"")</f>
        <v/>
      </c>
      <c r="J58" s="15">
        <f>IF(ISNUMBER($G58),IFERROR(INDEX('入力シート'!$A$2:$A$41,MATCH("女"&amp;(($G58-1)*2+1),'入力シート'!$I$2:$I$41,0)),""),"")</f>
        <v/>
      </c>
      <c r="K58" s="15">
        <f>IF(ISNUMBER($G58),IFERROR(INDEX('入力シート'!$A$2:$A$41,MATCH("女"&amp;(($G58-1)*2+2),'入力シート'!$I$2:$I$41,0)),""),"")</f>
        <v/>
      </c>
    </row>
    <row r="59">
      <c r="A59" s="14">
        <f>IF(1&lt;=MAX(ROUNDUP('入力シート'!$M$14/2,0),ROUNDUP('入力シート'!$M$15/2,0)),IF(0=1,MAX(ROUNDUP('入力シート'!$M$14/2,0),ROUNDUP('入力シート'!$M$15/2,0))+1-1,1),IF(1=MAX(ROUNDUP('入力シート'!$M$14/2,0),ROUNDUP('入力シート'!$M$15/2,0))+1,IF(0=1,"前","後ろ"),""))</f>
        <v/>
      </c>
      <c r="B59" s="15">
        <f>IF(ISNUMBER($A59),IFERROR(INDEX('入力シート'!$A$2:$A$41,MATCH("男"&amp;(($A59-1)*2+1),'入力シート'!$I$2:$I$41,0)),""),"")</f>
        <v/>
      </c>
      <c r="C59" s="15">
        <f>IF(ISNUMBER($A59),IFERROR(INDEX('入力シート'!$A$2:$A$41,MATCH("男"&amp;(($A59-1)*2+2),'入力シート'!$I$2:$I$41,0)),""),"")</f>
        <v/>
      </c>
      <c r="D59" s="15">
        <f>IF(ISNUMBER($A59),IFERROR(INDEX('入力シート'!$A$2:$A$41,MATCH("女"&amp;(($A59-1)*2+1),'入力シート'!$I$2:$I$41,0)),""),"")</f>
        <v/>
      </c>
      <c r="E59" s="15">
        <f>IF(ISNUMBER($A59),IFERROR(INDEX('入力シート'!$A$2:$A$41,MATCH("女"&amp;(($A59-1)*2+2),'入力シート'!$I$2:$I$41,0)),""),"")</f>
        <v/>
      </c>
      <c r="G59" s="14">
        <f>IF(1&lt;=MAX(ROUNDUP('入力シート'!$M$14/2,0),ROUNDUP('入力シート'!$M$15/2,0)),IF(1=1,MAX(ROUNDUP('入力シート'!$M$14/2,0),ROUNDUP('入力シート'!$M$15/2,0))+1-1,1),IF(1=MAX(ROUNDUP('入力シート'!$M$14/2,0),ROUNDUP('入力シート'!$M$15/2,0))+1,IF(1=1,"前","後ろ"),""))</f>
        <v/>
      </c>
      <c r="H59" s="15">
        <f>IF(ISNUMBER($G59),IFERROR(INDEX('入力シート'!$A$2:$A$41,MATCH("男"&amp;(($G59-1)*2+1),'入力シート'!$I$2:$I$41,0)),""),"")</f>
        <v/>
      </c>
      <c r="I59" s="15">
        <f>IF(ISNUMBER($G59),IFERROR(INDEX('入力シート'!$A$2:$A$41,MATCH("男"&amp;(($G59-1)*2+2),'入力シート'!$I$2:$I$41,0)),""),"")</f>
        <v/>
      </c>
      <c r="J59" s="15">
        <f>IF(ISNUMBER($G59),IFERROR(INDEX('入力シート'!$A$2:$A$41,MATCH("女"&amp;(($G59-1)*2+1),'入力シート'!$I$2:$I$41,0)),""),"")</f>
        <v/>
      </c>
      <c r="K59" s="15">
        <f>IF(ISNUMBER($G59),IFERROR(INDEX('入力シート'!$A$2:$A$41,MATCH("女"&amp;(($G59-1)*2+2),'入力シート'!$I$2:$I$41,0)),""),"")</f>
        <v/>
      </c>
    </row>
    <row r="60">
      <c r="A60" s="14">
        <f>IF(2&lt;=MAX(ROUNDUP('入力シート'!$M$14/2,0),ROUNDUP('入力シート'!$M$15/2,0)),IF(0=1,MAX(ROUNDUP('入力シート'!$M$14/2,0),ROUNDUP('入力シート'!$M$15/2,0))+1-2,2),IF(2=MAX(ROUNDUP('入力シート'!$M$14/2,0),ROUNDUP('入力シート'!$M$15/2,0))+1,IF(0=1,"前","後ろ"),""))</f>
        <v/>
      </c>
      <c r="B60" s="15">
        <f>IF(ISNUMBER($A60),IFERROR(INDEX('入力シート'!$A$2:$A$41,MATCH("男"&amp;(($A60-1)*2+1),'入力シート'!$I$2:$I$41,0)),""),"")</f>
        <v/>
      </c>
      <c r="C60" s="15">
        <f>IF(ISNUMBER($A60),IFERROR(INDEX('入力シート'!$A$2:$A$41,MATCH("男"&amp;(($A60-1)*2+2),'入力シート'!$I$2:$I$41,0)),""),"")</f>
        <v/>
      </c>
      <c r="D60" s="15">
        <f>IF(ISNUMBER($A60),IFERROR(INDEX('入力シート'!$A$2:$A$41,MATCH("女"&amp;(($A60-1)*2+1),'入力シート'!$I$2:$I$41,0)),""),"")</f>
        <v/>
      </c>
      <c r="E60" s="15">
        <f>IF(ISNUMBER($A60),IFERROR(INDEX('入力シート'!$A$2:$A$41,MATCH("女"&amp;(($A60-1)*2+2),'入力シート'!$I$2:$I$41,0)),""),"")</f>
        <v/>
      </c>
      <c r="G60" s="14">
        <f>IF(2&lt;=MAX(ROUNDUP('入力シート'!$M$14/2,0),ROUNDUP('入力シート'!$M$15/2,0)),IF(1=1,MAX(ROUNDUP('入力シート'!$M$14/2,0),ROUNDUP('入力シート'!$M$15/2,0))+1-2,2),IF(2=MAX(ROUNDUP('入力シート'!$M$14/2,0),ROUNDUP('入力シート'!$M$15/2,0))+1,IF(1=1,"前","後ろ"),""))</f>
        <v/>
      </c>
      <c r="H60" s="15">
        <f>IF(ISNUMBER($G60),IFERROR(INDEX('入力シート'!$A$2:$A$41,MATCH("男"&amp;(($G60-1)*2+1),'入力シート'!$I$2:$I$41,0)),""),"")</f>
        <v/>
      </c>
      <c r="I60" s="15">
        <f>IF(ISNUMBER($G60),IFERROR(INDEX('入力シート'!$A$2:$A$41,MATCH("男"&amp;(($G60-1)*2+2),'入力シート'!$I$2:$I$41,0)),""),"")</f>
        <v/>
      </c>
      <c r="J60" s="15">
        <f>IF(ISNUMBER($G60),IFERROR(INDEX('入力シート'!$A$2:$A$41,MATCH("女"&amp;(($G60-1)*2+1),'入力シート'!$I$2:$I$41,0)),""),"")</f>
        <v/>
      </c>
      <c r="K60" s="15">
        <f>IF(ISNUMBER($G60),IFERROR(INDEX('入力シート'!$A$2:$A$41,MATCH("女"&amp;(($G60-1)*2+2),'入力シート'!$I$2:$I$41,0)),""),"")</f>
        <v/>
      </c>
    </row>
    <row r="61">
      <c r="A61" s="14">
        <f>IF(3&lt;=MAX(ROUNDUP('入力シート'!$M$14/2,0),ROUNDUP('入力シート'!$M$15/2,0)),IF(0=1,MAX(ROUNDUP('入力シート'!$M$14/2,0),ROUNDUP('入力シート'!$M$15/2,0))+1-3,3),IF(3=MAX(ROUNDUP('入力シート'!$M$14/2,0),ROUNDUP('入力シート'!$M$15/2,0))+1,IF(0=1,"前","後ろ"),""))</f>
        <v/>
      </c>
      <c r="B61" s="15">
        <f>IF(ISNUMBER($A61),IFERROR(INDEX('入力シート'!$A$2:$A$41,MATCH("男"&amp;(($A61-1)*2+1),'入力シート'!$I$2:$I$41,0)),""),"")</f>
        <v/>
      </c>
      <c r="C61" s="15">
        <f>IF(ISNUMBER($A61),IFERROR(INDEX('入力シート'!$A$2:$A$41,MATCH("男"&amp;(($A61-1)*2+2),'入力シート'!$I$2:$I$41,0)),""),"")</f>
        <v/>
      </c>
      <c r="D61" s="15">
        <f>IF(ISNUMBER($A61),IFERROR(INDEX('入力シート'!$A$2:$A$41,MATCH("女"&amp;(($A61-1)*2+1),'入力シート'!$I$2:$I$41,0)),""),"")</f>
        <v/>
      </c>
      <c r="E61" s="15">
        <f>IF(ISNUMBER($A61),IFERROR(INDEX('入力シート'!$A$2:$A$41,MATCH("女"&amp;(($A61-1)*2+2),'入力シート'!$I$2:$I$41,0)),""),"")</f>
        <v/>
      </c>
      <c r="G61" s="14">
        <f>IF(3&lt;=MAX(ROUNDUP('入力シート'!$M$14/2,0),ROUNDUP('入力シート'!$M$15/2,0)),IF(1=1,MAX(ROUNDUP('入力シート'!$M$14/2,0),ROUNDUP('入力シート'!$M$15/2,0))+1-3,3),IF(3=MAX(ROUNDUP('入力シート'!$M$14/2,0),ROUNDUP('入力シート'!$M$15/2,0))+1,IF(1=1,"前","後ろ"),""))</f>
        <v/>
      </c>
      <c r="H61" s="15">
        <f>IF(ISNUMBER($G61),IFERROR(INDEX('入力シート'!$A$2:$A$41,MATCH("男"&amp;(($G61-1)*2+1),'入力シート'!$I$2:$I$41,0)),""),"")</f>
        <v/>
      </c>
      <c r="I61" s="15">
        <f>IF(ISNUMBER($G61),IFERROR(INDEX('入力シート'!$A$2:$A$41,MATCH("男"&amp;(($G61-1)*2+2),'入力シート'!$I$2:$I$41,0)),""),"")</f>
        <v/>
      </c>
      <c r="J61" s="15">
        <f>IF(ISNUMBER($G61),IFERROR(INDEX('入力シート'!$A$2:$A$41,MATCH("女"&amp;(($G61-1)*2+1),'入力シート'!$I$2:$I$41,0)),""),"")</f>
        <v/>
      </c>
      <c r="K61" s="15">
        <f>IF(ISNUMBER($G61),IFERROR(INDEX('入力シート'!$A$2:$A$41,MATCH("女"&amp;(($G61-1)*2+2),'入力シート'!$I$2:$I$41,0)),""),"")</f>
        <v/>
      </c>
    </row>
    <row r="62">
      <c r="A62" s="14">
        <f>IF(4&lt;=MAX(ROUNDUP('入力シート'!$M$14/2,0),ROUNDUP('入力シート'!$M$15/2,0)),IF(0=1,MAX(ROUNDUP('入力シート'!$M$14/2,0),ROUNDUP('入力シート'!$M$15/2,0))+1-4,4),IF(4=MAX(ROUNDUP('入力シート'!$M$14/2,0),ROUNDUP('入力シート'!$M$15/2,0))+1,IF(0=1,"前","後ろ"),""))</f>
        <v/>
      </c>
      <c r="B62" s="15">
        <f>IF(ISNUMBER($A62),IFERROR(INDEX('入力シート'!$A$2:$A$41,MATCH("男"&amp;(($A62-1)*2+1),'入力シート'!$I$2:$I$41,0)),""),"")</f>
        <v/>
      </c>
      <c r="C62" s="15">
        <f>IF(ISNUMBER($A62),IFERROR(INDEX('入力シート'!$A$2:$A$41,MATCH("男"&amp;(($A62-1)*2+2),'入力シート'!$I$2:$I$41,0)),""),"")</f>
        <v/>
      </c>
      <c r="D62" s="15">
        <f>IF(ISNUMBER($A62),IFERROR(INDEX('入力シート'!$A$2:$A$41,MATCH("女"&amp;(($A62-1)*2+1),'入力シート'!$I$2:$I$41,0)),""),"")</f>
        <v/>
      </c>
      <c r="E62" s="15">
        <f>IF(ISNUMBER($A62),IFERROR(INDEX('入力シート'!$A$2:$A$41,MATCH("女"&amp;(($A62-1)*2+2),'入力シート'!$I$2:$I$41,0)),""),"")</f>
        <v/>
      </c>
      <c r="G62" s="14">
        <f>IF(4&lt;=MAX(ROUNDUP('入力シート'!$M$14/2,0),ROUNDUP('入力シート'!$M$15/2,0)),IF(1=1,MAX(ROUNDUP('入力シート'!$M$14/2,0),ROUNDUP('入力シート'!$M$15/2,0))+1-4,4),IF(4=MAX(ROUNDUP('入力シート'!$M$14/2,0),ROUNDUP('入力シート'!$M$15/2,0))+1,IF(1=1,"前","後ろ"),""))</f>
        <v/>
      </c>
      <c r="H62" s="15">
        <f>IF(ISNUMBER($G62),IFERROR(INDEX('入力シート'!$A$2:$A$41,MATCH("男"&amp;(($G62-1)*2+1),'入力シート'!$I$2:$I$41,0)),""),"")</f>
        <v/>
      </c>
      <c r="I62" s="15">
        <f>IF(ISNUMBER($G62),IFERROR(INDEX('入力シート'!$A$2:$A$41,MATCH("男"&amp;(($G62-1)*2+2),'入力シート'!$I$2:$I$41,0)),""),"")</f>
        <v/>
      </c>
      <c r="J62" s="15">
        <f>IF(ISNUMBER($G62),IFERROR(INDEX('入力シート'!$A$2:$A$41,MATCH("女"&amp;(($G62-1)*2+1),'入力シート'!$I$2:$I$41,0)),""),"")</f>
        <v/>
      </c>
      <c r="K62" s="15">
        <f>IF(ISNUMBER($G62),IFERROR(INDEX('入力シート'!$A$2:$A$41,MATCH("女"&amp;(($G62-1)*2+2),'入力シート'!$I$2:$I$41,0)),""),"")</f>
        <v/>
      </c>
    </row>
    <row r="63">
      <c r="A63" s="14">
        <f>IF(5&lt;=MAX(ROUNDUP('入力シート'!$M$14/2,0),ROUNDUP('入力シート'!$M$15/2,0)),IF(0=1,MAX(ROUNDUP('入力シート'!$M$14/2,0),ROUNDUP('入力シート'!$M$15/2,0))+1-5,5),IF(5=MAX(ROUNDUP('入力シート'!$M$14/2,0),ROUNDUP('入力シート'!$M$15/2,0))+1,IF(0=1,"前","後ろ"),""))</f>
        <v/>
      </c>
      <c r="B63" s="15">
        <f>IF(ISNUMBER($A63),IFERROR(INDEX('入力シート'!$A$2:$A$41,MATCH("男"&amp;(($A63-1)*2+1),'入力シート'!$I$2:$I$41,0)),""),"")</f>
        <v/>
      </c>
      <c r="C63" s="15">
        <f>IF(ISNUMBER($A63),IFERROR(INDEX('入力シート'!$A$2:$A$41,MATCH("男"&amp;(($A63-1)*2+2),'入力シート'!$I$2:$I$41,0)),""),"")</f>
        <v/>
      </c>
      <c r="D63" s="15">
        <f>IF(ISNUMBER($A63),IFERROR(INDEX('入力シート'!$A$2:$A$41,MATCH("女"&amp;(($A63-1)*2+1),'入力シート'!$I$2:$I$41,0)),""),"")</f>
        <v/>
      </c>
      <c r="E63" s="15">
        <f>IF(ISNUMBER($A63),IFERROR(INDEX('入力シート'!$A$2:$A$41,MATCH("女"&amp;(($A63-1)*2+2),'入力シート'!$I$2:$I$41,0)),""),"")</f>
        <v/>
      </c>
      <c r="G63" s="14">
        <f>IF(5&lt;=MAX(ROUNDUP('入力シート'!$M$14/2,0),ROUNDUP('入力シート'!$M$15/2,0)),IF(1=1,MAX(ROUNDUP('入力シート'!$M$14/2,0),ROUNDUP('入力シート'!$M$15/2,0))+1-5,5),IF(5=MAX(ROUNDUP('入力シート'!$M$14/2,0),ROUNDUP('入力シート'!$M$15/2,0))+1,IF(1=1,"前","後ろ"),""))</f>
        <v/>
      </c>
      <c r="H63" s="15">
        <f>IF(ISNUMBER($G63),IFERROR(INDEX('入力シート'!$A$2:$A$41,MATCH("男"&amp;(($G63-1)*2+1),'入力シート'!$I$2:$I$41,0)),""),"")</f>
        <v/>
      </c>
      <c r="I63" s="15">
        <f>IF(ISNUMBER($G63),IFERROR(INDEX('入力シート'!$A$2:$A$41,MATCH("男"&amp;(($G63-1)*2+2),'入力シート'!$I$2:$I$41,0)),""),"")</f>
        <v/>
      </c>
      <c r="J63" s="15">
        <f>IF(ISNUMBER($G63),IFERROR(INDEX('入力シート'!$A$2:$A$41,MATCH("女"&amp;(($G63-1)*2+1),'入力シート'!$I$2:$I$41,0)),""),"")</f>
        <v/>
      </c>
      <c r="K63" s="15">
        <f>IF(ISNUMBER($G63),IFERROR(INDEX('入力シート'!$A$2:$A$41,MATCH("女"&amp;(($G63-1)*2+2),'入力シート'!$I$2:$I$41,0)),""),"")</f>
        <v/>
      </c>
    </row>
    <row r="64">
      <c r="A64" s="14">
        <f>IF(6&lt;=MAX(ROUNDUP('入力シート'!$M$14/2,0),ROUNDUP('入力シート'!$M$15/2,0)),IF(0=1,MAX(ROUNDUP('入力シート'!$M$14/2,0),ROUNDUP('入力シート'!$M$15/2,0))+1-6,6),IF(6=MAX(ROUNDUP('入力シート'!$M$14/2,0),ROUNDUP('入力シート'!$M$15/2,0))+1,IF(0=1,"前","後ろ"),""))</f>
        <v/>
      </c>
      <c r="B64" s="15">
        <f>IF(ISNUMBER($A64),IFERROR(INDEX('入力シート'!$A$2:$A$41,MATCH("男"&amp;(($A64-1)*2+1),'入力シート'!$I$2:$I$41,0)),""),"")</f>
        <v/>
      </c>
      <c r="C64" s="15">
        <f>IF(ISNUMBER($A64),IFERROR(INDEX('入力シート'!$A$2:$A$41,MATCH("男"&amp;(($A64-1)*2+2),'入力シート'!$I$2:$I$41,0)),""),"")</f>
        <v/>
      </c>
      <c r="D64" s="15">
        <f>IF(ISNUMBER($A64),IFERROR(INDEX('入力シート'!$A$2:$A$41,MATCH("女"&amp;(($A64-1)*2+1),'入力シート'!$I$2:$I$41,0)),""),"")</f>
        <v/>
      </c>
      <c r="E64" s="15">
        <f>IF(ISNUMBER($A64),IFERROR(INDEX('入力シート'!$A$2:$A$41,MATCH("女"&amp;(($A64-1)*2+2),'入力シート'!$I$2:$I$41,0)),""),"")</f>
        <v/>
      </c>
      <c r="G64" s="14">
        <f>IF(6&lt;=MAX(ROUNDUP('入力シート'!$M$14/2,0),ROUNDUP('入力シート'!$M$15/2,0)),IF(1=1,MAX(ROUNDUP('入力シート'!$M$14/2,0),ROUNDUP('入力シート'!$M$15/2,0))+1-6,6),IF(6=MAX(ROUNDUP('入力シート'!$M$14/2,0),ROUNDUP('入力シート'!$M$15/2,0))+1,IF(1=1,"前","後ろ"),""))</f>
        <v/>
      </c>
      <c r="H64" s="15">
        <f>IF(ISNUMBER($G64),IFERROR(INDEX('入力シート'!$A$2:$A$41,MATCH("男"&amp;(($G64-1)*2+1),'入力シート'!$I$2:$I$41,0)),""),"")</f>
        <v/>
      </c>
      <c r="I64" s="15">
        <f>IF(ISNUMBER($G64),IFERROR(INDEX('入力シート'!$A$2:$A$41,MATCH("男"&amp;(($G64-1)*2+2),'入力シート'!$I$2:$I$41,0)),""),"")</f>
        <v/>
      </c>
      <c r="J64" s="15">
        <f>IF(ISNUMBER($G64),IFERROR(INDEX('入力シート'!$A$2:$A$41,MATCH("女"&amp;(($G64-1)*2+1),'入力シート'!$I$2:$I$41,0)),""),"")</f>
        <v/>
      </c>
      <c r="K64" s="15">
        <f>IF(ISNUMBER($G64),IFERROR(INDEX('入力シート'!$A$2:$A$41,MATCH("女"&amp;(($G64-1)*2+2),'入力シート'!$I$2:$I$41,0)),""),"")</f>
        <v/>
      </c>
    </row>
    <row r="65">
      <c r="A65" s="14">
        <f>IF(7&lt;=MAX(ROUNDUP('入力シート'!$M$14/2,0),ROUNDUP('入力シート'!$M$15/2,0)),IF(0=1,MAX(ROUNDUP('入力シート'!$M$14/2,0),ROUNDUP('入力シート'!$M$15/2,0))+1-7,7),IF(7=MAX(ROUNDUP('入力シート'!$M$14/2,0),ROUNDUP('入力シート'!$M$15/2,0))+1,IF(0=1,"前","後ろ"),""))</f>
        <v/>
      </c>
      <c r="B65" s="15">
        <f>IF(ISNUMBER($A65),IFERROR(INDEX('入力シート'!$A$2:$A$41,MATCH("男"&amp;(($A65-1)*2+1),'入力シート'!$I$2:$I$41,0)),""),"")</f>
        <v/>
      </c>
      <c r="C65" s="15">
        <f>IF(ISNUMBER($A65),IFERROR(INDEX('入力シート'!$A$2:$A$41,MATCH("男"&amp;(($A65-1)*2+2),'入力シート'!$I$2:$I$41,0)),""),"")</f>
        <v/>
      </c>
      <c r="D65" s="15">
        <f>IF(ISNUMBER($A65),IFERROR(INDEX('入力シート'!$A$2:$A$41,MATCH("女"&amp;(($A65-1)*2+1),'入力シート'!$I$2:$I$41,0)),""),"")</f>
        <v/>
      </c>
      <c r="E65" s="15">
        <f>IF(ISNUMBER($A65),IFERROR(INDEX('入力シート'!$A$2:$A$41,MATCH("女"&amp;(($A65-1)*2+2),'入力シート'!$I$2:$I$41,0)),""),"")</f>
        <v/>
      </c>
      <c r="G65" s="14">
        <f>IF(7&lt;=MAX(ROUNDUP('入力シート'!$M$14/2,0),ROUNDUP('入力シート'!$M$15/2,0)),IF(1=1,MAX(ROUNDUP('入力シート'!$M$14/2,0),ROUNDUP('入力シート'!$M$15/2,0))+1-7,7),IF(7=MAX(ROUNDUP('入力シート'!$M$14/2,0),ROUNDUP('入力シート'!$M$15/2,0))+1,IF(1=1,"前","後ろ"),""))</f>
        <v/>
      </c>
      <c r="H65" s="15">
        <f>IF(ISNUMBER($G65),IFERROR(INDEX('入力シート'!$A$2:$A$41,MATCH("男"&amp;(($G65-1)*2+1),'入力シート'!$I$2:$I$41,0)),""),"")</f>
        <v/>
      </c>
      <c r="I65" s="15">
        <f>IF(ISNUMBER($G65),IFERROR(INDEX('入力シート'!$A$2:$A$41,MATCH("男"&amp;(($G65-1)*2+2),'入力シート'!$I$2:$I$41,0)),""),"")</f>
        <v/>
      </c>
      <c r="J65" s="15">
        <f>IF(ISNUMBER($G65),IFERROR(INDEX('入力シート'!$A$2:$A$41,MATCH("女"&amp;(($G65-1)*2+1),'入力シート'!$I$2:$I$41,0)),""),"")</f>
        <v/>
      </c>
      <c r="K65" s="15">
        <f>IF(ISNUMBER($G65),IFERROR(INDEX('入力シート'!$A$2:$A$41,MATCH("女"&amp;(($G65-1)*2+2),'入力シート'!$I$2:$I$41,0)),""),"")</f>
        <v/>
      </c>
    </row>
    <row r="66">
      <c r="A66" s="14">
        <f>IF(8&lt;=MAX(ROUNDUP('入力シート'!$M$14/2,0),ROUNDUP('入力シート'!$M$15/2,0)),IF(0=1,MAX(ROUNDUP('入力シート'!$M$14/2,0),ROUNDUP('入力シート'!$M$15/2,0))+1-8,8),IF(8=MAX(ROUNDUP('入力シート'!$M$14/2,0),ROUNDUP('入力シート'!$M$15/2,0))+1,IF(0=1,"前","後ろ"),""))</f>
        <v/>
      </c>
      <c r="B66" s="15">
        <f>IF(ISNUMBER($A66),IFERROR(INDEX('入力シート'!$A$2:$A$41,MATCH("男"&amp;(($A66-1)*2+1),'入力シート'!$I$2:$I$41,0)),""),"")</f>
        <v/>
      </c>
      <c r="C66" s="15">
        <f>IF(ISNUMBER($A66),IFERROR(INDEX('入力シート'!$A$2:$A$41,MATCH("男"&amp;(($A66-1)*2+2),'入力シート'!$I$2:$I$41,0)),""),"")</f>
        <v/>
      </c>
      <c r="D66" s="15">
        <f>IF(ISNUMBER($A66),IFERROR(INDEX('入力シート'!$A$2:$A$41,MATCH("女"&amp;(($A66-1)*2+1),'入力シート'!$I$2:$I$41,0)),""),"")</f>
        <v/>
      </c>
      <c r="E66" s="15">
        <f>IF(ISNUMBER($A66),IFERROR(INDEX('入力シート'!$A$2:$A$41,MATCH("女"&amp;(($A66-1)*2+2),'入力シート'!$I$2:$I$41,0)),""),"")</f>
        <v/>
      </c>
      <c r="G66" s="14">
        <f>IF(8&lt;=MAX(ROUNDUP('入力シート'!$M$14/2,0),ROUNDUP('入力シート'!$M$15/2,0)),IF(1=1,MAX(ROUNDUP('入力シート'!$M$14/2,0),ROUNDUP('入力シート'!$M$15/2,0))+1-8,8),IF(8=MAX(ROUNDUP('入力シート'!$M$14/2,0),ROUNDUP('入力シート'!$M$15/2,0))+1,IF(1=1,"前","後ろ"),""))</f>
        <v/>
      </c>
      <c r="H66" s="15">
        <f>IF(ISNUMBER($G66),IFERROR(INDEX('入力シート'!$A$2:$A$41,MATCH("男"&amp;(($G66-1)*2+1),'入力シート'!$I$2:$I$41,0)),""),"")</f>
        <v/>
      </c>
      <c r="I66" s="15">
        <f>IF(ISNUMBER($G66),IFERROR(INDEX('入力シート'!$A$2:$A$41,MATCH("男"&amp;(($G66-1)*2+2),'入力シート'!$I$2:$I$41,0)),""),"")</f>
        <v/>
      </c>
      <c r="J66" s="15">
        <f>IF(ISNUMBER($G66),IFERROR(INDEX('入力シート'!$A$2:$A$41,MATCH("女"&amp;(($G66-1)*2+1),'入力シート'!$I$2:$I$41,0)),""),"")</f>
        <v/>
      </c>
      <c r="K66" s="15">
        <f>IF(ISNUMBER($G66),IFERROR(INDEX('入力シート'!$A$2:$A$41,MATCH("女"&amp;(($G66-1)*2+2),'入力シート'!$I$2:$I$41,0)),""),"")</f>
        <v/>
      </c>
    </row>
    <row r="67">
      <c r="A67" s="14">
        <f>IF(9&lt;=MAX(ROUNDUP('入力シート'!$M$14/2,0),ROUNDUP('入力シート'!$M$15/2,0)),IF(0=1,MAX(ROUNDUP('入力シート'!$M$14/2,0),ROUNDUP('入力シート'!$M$15/2,0))+1-9,9),IF(9=MAX(ROUNDUP('入力シート'!$M$14/2,0),ROUNDUP('入力シート'!$M$15/2,0))+1,IF(0=1,"前","後ろ"),""))</f>
        <v/>
      </c>
      <c r="B67" s="15">
        <f>IF(ISNUMBER($A67),IFERROR(INDEX('入力シート'!$A$2:$A$41,MATCH("男"&amp;(($A67-1)*2+1),'入力シート'!$I$2:$I$41,0)),""),"")</f>
        <v/>
      </c>
      <c r="C67" s="15">
        <f>IF(ISNUMBER($A67),IFERROR(INDEX('入力シート'!$A$2:$A$41,MATCH("男"&amp;(($A67-1)*2+2),'入力シート'!$I$2:$I$41,0)),""),"")</f>
        <v/>
      </c>
      <c r="D67" s="15">
        <f>IF(ISNUMBER($A67),IFERROR(INDEX('入力シート'!$A$2:$A$41,MATCH("女"&amp;(($A67-1)*2+1),'入力シート'!$I$2:$I$41,0)),""),"")</f>
        <v/>
      </c>
      <c r="E67" s="15">
        <f>IF(ISNUMBER($A67),IFERROR(INDEX('入力シート'!$A$2:$A$41,MATCH("女"&amp;(($A67-1)*2+2),'入力シート'!$I$2:$I$41,0)),""),"")</f>
        <v/>
      </c>
      <c r="G67" s="14">
        <f>IF(9&lt;=MAX(ROUNDUP('入力シート'!$M$14/2,0),ROUNDUP('入力シート'!$M$15/2,0)),IF(1=1,MAX(ROUNDUP('入力シート'!$M$14/2,0),ROUNDUP('入力シート'!$M$15/2,0))+1-9,9),IF(9=MAX(ROUNDUP('入力シート'!$M$14/2,0),ROUNDUP('入力シート'!$M$15/2,0))+1,IF(1=1,"前","後ろ"),""))</f>
        <v/>
      </c>
      <c r="H67" s="15">
        <f>IF(ISNUMBER($G67),IFERROR(INDEX('入力シート'!$A$2:$A$41,MATCH("男"&amp;(($G67-1)*2+1),'入力シート'!$I$2:$I$41,0)),""),"")</f>
        <v/>
      </c>
      <c r="I67" s="15">
        <f>IF(ISNUMBER($G67),IFERROR(INDEX('入力シート'!$A$2:$A$41,MATCH("男"&amp;(($G67-1)*2+2),'入力シート'!$I$2:$I$41,0)),""),"")</f>
        <v/>
      </c>
      <c r="J67" s="15">
        <f>IF(ISNUMBER($G67),IFERROR(INDEX('入力シート'!$A$2:$A$41,MATCH("女"&amp;(($G67-1)*2+1),'入力シート'!$I$2:$I$41,0)),""),"")</f>
        <v/>
      </c>
      <c r="K67" s="15">
        <f>IF(ISNUMBER($G67),IFERROR(INDEX('入力シート'!$A$2:$A$41,MATCH("女"&amp;(($G67-1)*2+2),'入力シート'!$I$2:$I$41,0)),""),"")</f>
        <v/>
      </c>
    </row>
    <row r="68">
      <c r="A68" s="14">
        <f>IF(10&lt;=MAX(ROUNDUP('入力シート'!$M$14/2,0),ROUNDUP('入力シート'!$M$15/2,0)),IF(0=1,MAX(ROUNDUP('入力シート'!$M$14/2,0),ROUNDUP('入力シート'!$M$15/2,0))+1-10,10),IF(10=MAX(ROUNDUP('入力シート'!$M$14/2,0),ROUNDUP('入力シート'!$M$15/2,0))+1,IF(0=1,"前","後ろ"),""))</f>
        <v/>
      </c>
      <c r="B68" s="15">
        <f>IF(ISNUMBER($A68),IFERROR(INDEX('入力シート'!$A$2:$A$41,MATCH("男"&amp;(($A68-1)*2+1),'入力シート'!$I$2:$I$41,0)),""),"")</f>
        <v/>
      </c>
      <c r="C68" s="15">
        <f>IF(ISNUMBER($A68),IFERROR(INDEX('入力シート'!$A$2:$A$41,MATCH("男"&amp;(($A68-1)*2+2),'入力シート'!$I$2:$I$41,0)),""),"")</f>
        <v/>
      </c>
      <c r="D68" s="15">
        <f>IF(ISNUMBER($A68),IFERROR(INDEX('入力シート'!$A$2:$A$41,MATCH("女"&amp;(($A68-1)*2+1),'入力シート'!$I$2:$I$41,0)),""),"")</f>
        <v/>
      </c>
      <c r="E68" s="15">
        <f>IF(ISNUMBER($A68),IFERROR(INDEX('入力シート'!$A$2:$A$41,MATCH("女"&amp;(($A68-1)*2+2),'入力シート'!$I$2:$I$41,0)),""),"")</f>
        <v/>
      </c>
      <c r="G68" s="14">
        <f>IF(10&lt;=MAX(ROUNDUP('入力シート'!$M$14/2,0),ROUNDUP('入力シート'!$M$15/2,0)),IF(1=1,MAX(ROUNDUP('入力シート'!$M$14/2,0),ROUNDUP('入力シート'!$M$15/2,0))+1-10,10),IF(10=MAX(ROUNDUP('入力シート'!$M$14/2,0),ROUNDUP('入力シート'!$M$15/2,0))+1,IF(1=1,"前","後ろ"),""))</f>
        <v/>
      </c>
      <c r="H68" s="15">
        <f>IF(ISNUMBER($G68),IFERROR(INDEX('入力シート'!$A$2:$A$41,MATCH("男"&amp;(($G68-1)*2+1),'入力シート'!$I$2:$I$41,0)),""),"")</f>
        <v/>
      </c>
      <c r="I68" s="15">
        <f>IF(ISNUMBER($G68),IFERROR(INDEX('入力シート'!$A$2:$A$41,MATCH("男"&amp;(($G68-1)*2+2),'入力シート'!$I$2:$I$41,0)),""),"")</f>
        <v/>
      </c>
      <c r="J68" s="15">
        <f>IF(ISNUMBER($G68),IFERROR(INDEX('入力シート'!$A$2:$A$41,MATCH("女"&amp;(($G68-1)*2+1),'入力シート'!$I$2:$I$41,0)),""),"")</f>
        <v/>
      </c>
      <c r="K68" s="15">
        <f>IF(ISNUMBER($G68),IFERROR(INDEX('入力シート'!$A$2:$A$41,MATCH("女"&amp;(($G68-1)*2+2),'入力シート'!$I$2:$I$41,0)),""),"")</f>
        <v/>
      </c>
    </row>
    <row r="69">
      <c r="A69" s="14">
        <f>IF(11&lt;=MAX(ROUNDUP('入力シート'!$M$14/2,0),ROUNDUP('入力シート'!$M$15/2,0)),IF(0=1,MAX(ROUNDUP('入力シート'!$M$14/2,0),ROUNDUP('入力シート'!$M$15/2,0))+1-11,11),IF(11=MAX(ROUNDUP('入力シート'!$M$14/2,0),ROUNDUP('入力シート'!$M$15/2,0))+1,IF(0=1,"前","後ろ"),""))</f>
        <v/>
      </c>
      <c r="B69" s="15">
        <f>IF(ISNUMBER($A69),IFERROR(INDEX('入力シート'!$A$2:$A$41,MATCH("男"&amp;(($A69-1)*2+1),'入力シート'!$I$2:$I$41,0)),""),"")</f>
        <v/>
      </c>
      <c r="C69" s="15">
        <f>IF(ISNUMBER($A69),IFERROR(INDEX('入力シート'!$A$2:$A$41,MATCH("男"&amp;(($A69-1)*2+2),'入力シート'!$I$2:$I$41,0)),""),"")</f>
        <v/>
      </c>
      <c r="D69" s="15">
        <f>IF(ISNUMBER($A69),IFERROR(INDEX('入力シート'!$A$2:$A$41,MATCH("女"&amp;(($A69-1)*2+1),'入力シート'!$I$2:$I$41,0)),""),"")</f>
        <v/>
      </c>
      <c r="E69" s="15">
        <f>IF(ISNUMBER($A69),IFERROR(INDEX('入力シート'!$A$2:$A$41,MATCH("女"&amp;(($A69-1)*2+2),'入力シート'!$I$2:$I$41,0)),""),"")</f>
        <v/>
      </c>
      <c r="G69" s="14">
        <f>IF(11&lt;=MAX(ROUNDUP('入力シート'!$M$14/2,0),ROUNDUP('入力シート'!$M$15/2,0)),IF(1=1,MAX(ROUNDUP('入力シート'!$M$14/2,0),ROUNDUP('入力シート'!$M$15/2,0))+1-11,11),IF(11=MAX(ROUNDUP('入力シート'!$M$14/2,0),ROUNDUP('入力シート'!$M$15/2,0))+1,IF(1=1,"前","後ろ"),""))</f>
        <v/>
      </c>
      <c r="H69" s="15">
        <f>IF(ISNUMBER($G69),IFERROR(INDEX('入力シート'!$A$2:$A$41,MATCH("男"&amp;(($G69-1)*2+1),'入力シート'!$I$2:$I$41,0)),""),"")</f>
        <v/>
      </c>
      <c r="I69" s="15">
        <f>IF(ISNUMBER($G69),IFERROR(INDEX('入力シート'!$A$2:$A$41,MATCH("男"&amp;(($G69-1)*2+2),'入力シート'!$I$2:$I$41,0)),""),"")</f>
        <v/>
      </c>
      <c r="J69" s="15">
        <f>IF(ISNUMBER($G69),IFERROR(INDEX('入力シート'!$A$2:$A$41,MATCH("女"&amp;(($G69-1)*2+1),'入力シート'!$I$2:$I$41,0)),""),"")</f>
        <v/>
      </c>
      <c r="K69" s="15">
        <f>IF(ISNUMBER($G69),IFERROR(INDEX('入力シート'!$A$2:$A$41,MATCH("女"&amp;(($G69-1)*2+2),'入力シート'!$I$2:$I$41,0)),""),"")</f>
        <v/>
      </c>
    </row>
    <row r="70">
      <c r="A70" s="14">
        <f>IF(12&lt;=MAX(ROUNDUP('入力シート'!$M$14/2,0),ROUNDUP('入力シート'!$M$15/2,0)),IF(0=1,MAX(ROUNDUP('入力シート'!$M$14/2,0),ROUNDUP('入力シート'!$M$15/2,0))+1-12,12),IF(12=MAX(ROUNDUP('入力シート'!$M$14/2,0),ROUNDUP('入力シート'!$M$15/2,0))+1,IF(0=1,"前","後ろ"),""))</f>
        <v/>
      </c>
      <c r="B70" s="15">
        <f>IF(ISNUMBER($A70),IFERROR(INDEX('入力シート'!$A$2:$A$41,MATCH("男"&amp;(($A70-1)*2+1),'入力シート'!$I$2:$I$41,0)),""),"")</f>
        <v/>
      </c>
      <c r="C70" s="15">
        <f>IF(ISNUMBER($A70),IFERROR(INDEX('入力シート'!$A$2:$A$41,MATCH("男"&amp;(($A70-1)*2+2),'入力シート'!$I$2:$I$41,0)),""),"")</f>
        <v/>
      </c>
      <c r="D70" s="15">
        <f>IF(ISNUMBER($A70),IFERROR(INDEX('入力シート'!$A$2:$A$41,MATCH("女"&amp;(($A70-1)*2+1),'入力シート'!$I$2:$I$41,0)),""),"")</f>
        <v/>
      </c>
      <c r="E70" s="15">
        <f>IF(ISNUMBER($A70),IFERROR(INDEX('入力シート'!$A$2:$A$41,MATCH("女"&amp;(($A70-1)*2+2),'入力シート'!$I$2:$I$41,0)),""),"")</f>
        <v/>
      </c>
      <c r="G70" s="14">
        <f>IF(12&lt;=MAX(ROUNDUP('入力シート'!$M$14/2,0),ROUNDUP('入力シート'!$M$15/2,0)),IF(1=1,MAX(ROUNDUP('入力シート'!$M$14/2,0),ROUNDUP('入力シート'!$M$15/2,0))+1-12,12),IF(12=MAX(ROUNDUP('入力シート'!$M$14/2,0),ROUNDUP('入力シート'!$M$15/2,0))+1,IF(1=1,"前","後ろ"),""))</f>
        <v/>
      </c>
      <c r="H70" s="15">
        <f>IF(ISNUMBER($G70),IFERROR(INDEX('入力シート'!$A$2:$A$41,MATCH("男"&amp;(($G70-1)*2+1),'入力シート'!$I$2:$I$41,0)),""),"")</f>
        <v/>
      </c>
      <c r="I70" s="15">
        <f>IF(ISNUMBER($G70),IFERROR(INDEX('入力シート'!$A$2:$A$41,MATCH("男"&amp;(($G70-1)*2+2),'入力シート'!$I$2:$I$41,0)),""),"")</f>
        <v/>
      </c>
      <c r="J70" s="15">
        <f>IF(ISNUMBER($G70),IFERROR(INDEX('入力シート'!$A$2:$A$41,MATCH("女"&amp;(($G70-1)*2+1),'入力シート'!$I$2:$I$41,0)),""),"")</f>
        <v/>
      </c>
      <c r="K70" s="15">
        <f>IF(ISNUMBER($G70),IFERROR(INDEX('入力シート'!$A$2:$A$41,MATCH("女"&amp;(($G70-1)*2+2),'入力シート'!$I$2:$I$41,0)),""),"")</f>
        <v/>
      </c>
    </row>
    <row r="71">
      <c r="A71" s="14">
        <f>IF(13&lt;=MAX(ROUNDUP('入力シート'!$M$14/2,0),ROUNDUP('入力シート'!$M$15/2,0)),IF(0=1,MAX(ROUNDUP('入力シート'!$M$14/2,0),ROUNDUP('入力シート'!$M$15/2,0))+1-13,13),IF(13=MAX(ROUNDUP('入力シート'!$M$14/2,0),ROUNDUP('入力シート'!$M$15/2,0))+1,IF(0=1,"前","後ろ"),""))</f>
        <v/>
      </c>
      <c r="B71" s="15">
        <f>IF(ISNUMBER($A71),IFERROR(INDEX('入力シート'!$A$2:$A$41,MATCH("男"&amp;(($A71-1)*2+1),'入力シート'!$I$2:$I$41,0)),""),"")</f>
        <v/>
      </c>
      <c r="C71" s="15">
        <f>IF(ISNUMBER($A71),IFERROR(INDEX('入力シート'!$A$2:$A$41,MATCH("男"&amp;(($A71-1)*2+2),'入力シート'!$I$2:$I$41,0)),""),"")</f>
        <v/>
      </c>
      <c r="D71" s="15">
        <f>IF(ISNUMBER($A71),IFERROR(INDEX('入力シート'!$A$2:$A$41,MATCH("女"&amp;(($A71-1)*2+1),'入力シート'!$I$2:$I$41,0)),""),"")</f>
        <v/>
      </c>
      <c r="E71" s="15">
        <f>IF(ISNUMBER($A71),IFERROR(INDEX('入力シート'!$A$2:$A$41,MATCH("女"&amp;(($A71-1)*2+2),'入力シート'!$I$2:$I$41,0)),""),"")</f>
        <v/>
      </c>
      <c r="G71" s="14">
        <f>IF(13&lt;=MAX(ROUNDUP('入力シート'!$M$14/2,0),ROUNDUP('入力シート'!$M$15/2,0)),IF(1=1,MAX(ROUNDUP('入力シート'!$M$14/2,0),ROUNDUP('入力シート'!$M$15/2,0))+1-13,13),IF(13=MAX(ROUNDUP('入力シート'!$M$14/2,0),ROUNDUP('入力シート'!$M$15/2,0))+1,IF(1=1,"前","後ろ"),""))</f>
        <v/>
      </c>
      <c r="H71" s="15">
        <f>IF(ISNUMBER($G71),IFERROR(INDEX('入力シート'!$A$2:$A$41,MATCH("男"&amp;(($G71-1)*2+1),'入力シート'!$I$2:$I$41,0)),""),"")</f>
        <v/>
      </c>
      <c r="I71" s="15">
        <f>IF(ISNUMBER($G71),IFERROR(INDEX('入力シート'!$A$2:$A$41,MATCH("男"&amp;(($G71-1)*2+2),'入力シート'!$I$2:$I$41,0)),""),"")</f>
        <v/>
      </c>
      <c r="J71" s="15">
        <f>IF(ISNUMBER($G71),IFERROR(INDEX('入力シート'!$A$2:$A$41,MATCH("女"&amp;(($G71-1)*2+1),'入力シート'!$I$2:$I$41,0)),""),"")</f>
        <v/>
      </c>
      <c r="K71" s="15">
        <f>IF(ISNUMBER($G71),IFERROR(INDEX('入力シート'!$A$2:$A$41,MATCH("女"&amp;(($G71-1)*2+2),'入力シート'!$I$2:$I$41,0)),""),"")</f>
        <v/>
      </c>
    </row>
    <row r="72">
      <c r="A72" s="14">
        <f>IF(14&lt;=MAX(ROUNDUP('入力シート'!$M$14/2,0),ROUNDUP('入力シート'!$M$15/2,0)),IF(0=1,MAX(ROUNDUP('入力シート'!$M$14/2,0),ROUNDUP('入力シート'!$M$15/2,0))+1-14,14),IF(14=MAX(ROUNDUP('入力シート'!$M$14/2,0),ROUNDUP('入力シート'!$M$15/2,0))+1,IF(0=1,"前","後ろ"),""))</f>
        <v/>
      </c>
      <c r="B72" s="15">
        <f>IF(ISNUMBER($A72),IFERROR(INDEX('入力シート'!$A$2:$A$41,MATCH("男"&amp;(($A72-1)*2+1),'入力シート'!$I$2:$I$41,0)),""),"")</f>
        <v/>
      </c>
      <c r="C72" s="15">
        <f>IF(ISNUMBER($A72),IFERROR(INDEX('入力シート'!$A$2:$A$41,MATCH("男"&amp;(($A72-1)*2+2),'入力シート'!$I$2:$I$41,0)),""),"")</f>
        <v/>
      </c>
      <c r="D72" s="15">
        <f>IF(ISNUMBER($A72),IFERROR(INDEX('入力シート'!$A$2:$A$41,MATCH("女"&amp;(($A72-1)*2+1),'入力シート'!$I$2:$I$41,0)),""),"")</f>
        <v/>
      </c>
      <c r="E72" s="15">
        <f>IF(ISNUMBER($A72),IFERROR(INDEX('入力シート'!$A$2:$A$41,MATCH("女"&amp;(($A72-1)*2+2),'入力シート'!$I$2:$I$41,0)),""),"")</f>
        <v/>
      </c>
      <c r="G72" s="14">
        <f>IF(14&lt;=MAX(ROUNDUP('入力シート'!$M$14/2,0),ROUNDUP('入力シート'!$M$15/2,0)),IF(1=1,MAX(ROUNDUP('入力シート'!$M$14/2,0),ROUNDUP('入力シート'!$M$15/2,0))+1-14,14),IF(14=MAX(ROUNDUP('入力シート'!$M$14/2,0),ROUNDUP('入力シート'!$M$15/2,0))+1,IF(1=1,"前","後ろ"),""))</f>
        <v/>
      </c>
      <c r="H72" s="15">
        <f>IF(ISNUMBER($G72),IFERROR(INDEX('入力シート'!$A$2:$A$41,MATCH("男"&amp;(($G72-1)*2+1),'入力シート'!$I$2:$I$41,0)),""),"")</f>
        <v/>
      </c>
      <c r="I72" s="15">
        <f>IF(ISNUMBER($G72),IFERROR(INDEX('入力シート'!$A$2:$A$41,MATCH("男"&amp;(($G72-1)*2+2),'入力シート'!$I$2:$I$41,0)),""),"")</f>
        <v/>
      </c>
      <c r="J72" s="15">
        <f>IF(ISNUMBER($G72),IFERROR(INDEX('入力シート'!$A$2:$A$41,MATCH("女"&amp;(($G72-1)*2+1),'入力シート'!$I$2:$I$41,0)),""),"")</f>
        <v/>
      </c>
      <c r="K72" s="15">
        <f>IF(ISNUMBER($G72),IFERROR(INDEX('入力シート'!$A$2:$A$41,MATCH("女"&amp;(($G72-1)*2+2),'入力シート'!$I$2:$I$41,0)),""),"")</f>
        <v/>
      </c>
    </row>
    <row r="73">
      <c r="A73" s="16">
        <f>IF((MAX(ROUNDUP('入力シート'!$M$14/2,0),ROUNDUP('入力シート'!$M$15/2,0)))&gt;13,"⚠ 入りきらない子がいます ","")&amp;IF('入力シート'!$M$16&gt;0,"⚠ 男女が未入力の子："&amp;'入力シート'!$M$16&amp;"人","")</f>
        <v/>
      </c>
      <c r="G73" s="16">
        <f>IF((MAX(ROUNDUP('入力シート'!$M$14/2,0),ROUNDUP('入力シート'!$M$15/2,0)))&gt;13,"⚠ 入りきらない子がいます ","")&amp;IF('入力シート'!$M$16&gt;0,"⚠ 男女が未入力の子："&amp;'入力シート'!$M$16&amp;"人","")</f>
        <v/>
      </c>
    </row>
  </sheetData>
  <conditionalFormatting sqref="A7:E18">
    <cfRule type="expression" priority="1" dxfId="0">
      <formula>AND(ISTEXT($A7),$A7&lt;&gt;"")</formula>
    </cfRule>
  </conditionalFormatting>
  <conditionalFormatting sqref="B7:E18">
    <cfRule type="expression" priority="2" dxfId="1">
      <formula>AND(ISNUMBER($A7),B7&lt;&gt;"")</formula>
    </cfRule>
  </conditionalFormatting>
  <conditionalFormatting sqref="G7:K18">
    <cfRule type="expression" priority="3" dxfId="0">
      <formula>AND(ISTEXT($G7),$G7&lt;&gt;"")</formula>
    </cfRule>
  </conditionalFormatting>
  <conditionalFormatting sqref="H7:K18">
    <cfRule type="expression" priority="4" dxfId="1">
      <formula>AND(ISNUMBER($G7),H7&lt;&gt;"")</formula>
    </cfRule>
  </conditionalFormatting>
  <conditionalFormatting sqref="A24:E35">
    <cfRule type="expression" priority="5" dxfId="0">
      <formula>AND(ISTEXT($A24),$A24&lt;&gt;"")</formula>
    </cfRule>
  </conditionalFormatting>
  <conditionalFormatting sqref="B24:E35">
    <cfRule type="expression" priority="6" dxfId="1">
      <formula>AND(ISNUMBER($A24),B24&lt;&gt;"")</formula>
    </cfRule>
  </conditionalFormatting>
  <conditionalFormatting sqref="G24:K35">
    <cfRule type="expression" priority="7" dxfId="0">
      <formula>AND(ISTEXT($G24),$G24&lt;&gt;"")</formula>
    </cfRule>
  </conditionalFormatting>
  <conditionalFormatting sqref="H24:K35">
    <cfRule type="expression" priority="8" dxfId="1">
      <formula>AND(ISNUMBER($G24),H24&lt;&gt;"")</formula>
    </cfRule>
  </conditionalFormatting>
  <conditionalFormatting sqref="A41:E52">
    <cfRule type="expression" priority="9" dxfId="0">
      <formula>AND(ISTEXT($A41),$A41&lt;&gt;"")</formula>
    </cfRule>
  </conditionalFormatting>
  <conditionalFormatting sqref="B41:E52">
    <cfRule type="expression" priority="10" dxfId="1">
      <formula>AND(ISNUMBER($A41),B41&lt;&gt;"")</formula>
    </cfRule>
  </conditionalFormatting>
  <conditionalFormatting sqref="G41:K52">
    <cfRule type="expression" priority="11" dxfId="0">
      <formula>AND(ISTEXT($G41),$G41&lt;&gt;"")</formula>
    </cfRule>
  </conditionalFormatting>
  <conditionalFormatting sqref="H41:K52">
    <cfRule type="expression" priority="12" dxfId="1">
      <formula>AND(ISNUMBER($G41),H41&lt;&gt;"")</formula>
    </cfRule>
  </conditionalFormatting>
  <conditionalFormatting sqref="A58:E72">
    <cfRule type="expression" priority="13" dxfId="0">
      <formula>AND(ISTEXT($A58),$A58&lt;&gt;"")</formula>
    </cfRule>
  </conditionalFormatting>
  <conditionalFormatting sqref="B58:E72">
    <cfRule type="expression" priority="14" dxfId="1">
      <formula>AND(ISNUMBER($A58),B58&lt;&gt;"")</formula>
    </cfRule>
  </conditionalFormatting>
  <conditionalFormatting sqref="G58:K72">
    <cfRule type="expression" priority="15" dxfId="0">
      <formula>AND(ISTEXT($G58),$G58&lt;&gt;"")</formula>
    </cfRule>
  </conditionalFormatting>
  <conditionalFormatting sqref="H58:K72">
    <cfRule type="expression" priority="16" dxfId="1">
      <formula>AND(ISNUMBER($G58),H58&lt;&gt;"")</formula>
    </cfRule>
  </conditionalFormatting>
  <dataValidations count="1">
    <dataValidation sqref="A5 A22 A39 A56 G5 G22 G39 G56" showDropDown="0" showInputMessage="1" showErrorMessage="0" allowBlank="1" promptTitle="印刷用に出す" prompt="○ を入れると「印刷用」シートに出ます" type="list">
      <formula1>"○"</formula1>
    </dataValidation>
  </dataValidations>
  <pageMargins left="0.75" right="0.75" top="1" bottom="1" header="0.5" footer="0.5"/>
  <pageSetup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68"/>
  <sheetViews>
    <sheetView workbookViewId="0">
      <selection activeCell="A1" sqref="A1"/>
    </sheetView>
  </sheetViews>
  <sheetFormatPr baseColWidth="8" defaultRowHeight="15"/>
  <cols>
    <col width="4.5" customWidth="1" min="1" max="1"/>
    <col width="12" customWidth="1" min="2" max="2"/>
    <col width="12" customWidth="1" min="3" max="3"/>
    <col width="12" customWidth="1" min="4" max="4"/>
    <col width="12" customWidth="1" min="5" max="5"/>
    <col width="2" customWidth="1" min="6" max="6"/>
    <col width="4.5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1" t="inlineStr">
        <is>
          <t>背の順</t>
        </is>
      </c>
    </row>
    <row r="2">
      <c r="A2" s="10">
        <f>IF('設定'!$B$23+'設定'!$B$24=0,"「1・2列」「4列」シートの黄色いマスに ○ を入れると、ここに出ます","")&amp;IF('設定'!$B$23&gt;2,"⚠ 2列は2つまでです（今 "&amp;'設定'!$B$23&amp;" つ選ばれています） ","")&amp;IF('設定'!$B$24&gt;4,"⚠ 4列は4つまでです（今 "&amp;'設定'!$B$24&amp;" つ選ばれています）","")</f>
        <v/>
      </c>
    </row>
    <row r="4" ht="15" customHeight="1">
      <c r="A4" s="2">
        <f>'設定'!$G$16</f>
        <v/>
      </c>
      <c r="G4" s="2">
        <f>'設定'!$G$17</f>
        <v/>
      </c>
    </row>
    <row r="5" ht="15" customHeight="1">
      <c r="B5" s="20">
        <f>IF('設定'!$D$16=3,"男子","")</f>
        <v/>
      </c>
      <c r="D5" s="20">
        <f>IF('設定'!$D$16=3,"女子","")</f>
        <v/>
      </c>
      <c r="H5" s="20">
        <f>IF('設定'!$D$17=3,"男子","")</f>
        <v/>
      </c>
      <c r="J5" s="20">
        <f>IF('設定'!$D$17=3,"女子","")</f>
        <v/>
      </c>
    </row>
    <row r="6" ht="15" customHeight="1">
      <c r="A6" s="14">
        <f>IF('設定'!$C$16&gt;0,IF('設定'!$E$16=1,"後ろ","前"),"")</f>
        <v/>
      </c>
      <c r="B6" s="21">
        <f>IF(ISNUMBER($A6),IFERROR(CHOOSE('設定'!$D$16-1,IFERROR(INDEX('入力シート'!$A$2:$A$41,MATCH(($A6-1)*2+1,'入力シート'!$F$2:$F$41,0)),""),IFERROR(INDEX('入力シート'!$A$2:$A$41,MATCH("男"&amp;($A6),'入力シート'!$I$2:$I$41,0)),"")),""),"")</f>
        <v/>
      </c>
      <c r="D6" s="21">
        <f>IF(ISNUMBER($A6),IFERROR(CHOOSE('設定'!$D$16-1,IFERROR(INDEX('入力シート'!$A$2:$A$41,MATCH(($A6-1)*2+2,'入力シート'!$F$2:$F$41,0)),""),IFERROR(INDEX('入力シート'!$A$2:$A$41,MATCH("女"&amp;($A6),'入力シート'!$I$2:$I$41,0)),"")),""),"")</f>
        <v/>
      </c>
      <c r="G6" s="14">
        <f>IF('設定'!$C$17&gt;0,IF('設定'!$E$17=1,"後ろ","前"),"")</f>
        <v/>
      </c>
      <c r="H6" s="21">
        <f>IF(ISNUMBER($G6),IFERROR(CHOOSE('設定'!$D$17-1,IFERROR(INDEX('入力シート'!$A$2:$A$41,MATCH(($G6-1)*2+1,'入力シート'!$F$2:$F$41,0)),""),IFERROR(INDEX('入力シート'!$A$2:$A$41,MATCH("男"&amp;($G6),'入力シート'!$I$2:$I$41,0)),"")),""),"")</f>
        <v/>
      </c>
      <c r="J6" s="21">
        <f>IF(ISNUMBER($G6),IFERROR(CHOOSE('設定'!$D$17-1,IFERROR(INDEX('入力シート'!$A$2:$A$41,MATCH(($G6-1)*2+2,'入力シート'!$F$2:$F$41,0)),""),IFERROR(INDEX('入力シート'!$A$2:$A$41,MATCH("女"&amp;($G6),'入力シート'!$I$2:$I$41,0)),"")),""),"")</f>
        <v/>
      </c>
    </row>
    <row r="7" ht="15" customHeight="1">
      <c r="A7" s="14">
        <f>IF('設定'!$C$16&gt;0,IF(1&lt;='設定'!$F$16,IF('設定'!$E$16=1,'設定'!$F$16+1-1,1),IF(1='設定'!$F$16+1,IF('設定'!$E$16=1,"前","後ろ"),"")),"")</f>
        <v/>
      </c>
      <c r="B7" s="21">
        <f>IF(ISNUMBER($A7),IFERROR(CHOOSE('設定'!$D$16-1,IFERROR(INDEX('入力シート'!$A$2:$A$41,MATCH(($A7-1)*2+1,'入力シート'!$F$2:$F$41,0)),""),IFERROR(INDEX('入力シート'!$A$2:$A$41,MATCH("男"&amp;($A7),'入力シート'!$I$2:$I$41,0)),"")),""),"")</f>
        <v/>
      </c>
      <c r="D7" s="21">
        <f>IF(ISNUMBER($A7),IFERROR(CHOOSE('設定'!$D$16-1,IFERROR(INDEX('入力シート'!$A$2:$A$41,MATCH(($A7-1)*2+2,'入力シート'!$F$2:$F$41,0)),""),IFERROR(INDEX('入力シート'!$A$2:$A$41,MATCH("女"&amp;($A7),'入力シート'!$I$2:$I$41,0)),"")),""),"")</f>
        <v/>
      </c>
      <c r="G7" s="14">
        <f>IF('設定'!$C$17&gt;0,IF(1&lt;='設定'!$F$17,IF('設定'!$E$17=1,'設定'!$F$17+1-1,1),IF(1='設定'!$F$17+1,IF('設定'!$E$17=1,"前","後ろ"),"")),"")</f>
        <v/>
      </c>
      <c r="H7" s="21">
        <f>IF(ISNUMBER($G7),IFERROR(CHOOSE('設定'!$D$17-1,IFERROR(INDEX('入力シート'!$A$2:$A$41,MATCH(($G7-1)*2+1,'入力シート'!$F$2:$F$41,0)),""),IFERROR(INDEX('入力シート'!$A$2:$A$41,MATCH("男"&amp;($G7),'入力シート'!$I$2:$I$41,0)),"")),""),"")</f>
        <v/>
      </c>
      <c r="J7" s="21">
        <f>IF(ISNUMBER($G7),IFERROR(CHOOSE('設定'!$D$17-1,IFERROR(INDEX('入力シート'!$A$2:$A$41,MATCH(($G7-1)*2+2,'入力シート'!$F$2:$F$41,0)),""),IFERROR(INDEX('入力シート'!$A$2:$A$41,MATCH("女"&amp;($G7),'入力シート'!$I$2:$I$41,0)),"")),""),"")</f>
        <v/>
      </c>
    </row>
    <row r="8" ht="15" customHeight="1">
      <c r="A8" s="14">
        <f>IF('設定'!$C$16&gt;0,IF(2&lt;='設定'!$F$16,IF('設定'!$E$16=1,'設定'!$F$16+1-2,2),IF(2='設定'!$F$16+1,IF('設定'!$E$16=1,"前","後ろ"),"")),"")</f>
        <v/>
      </c>
      <c r="B8" s="21">
        <f>IF(ISNUMBER($A8),IFERROR(CHOOSE('設定'!$D$16-1,IFERROR(INDEX('入力シート'!$A$2:$A$41,MATCH(($A8-1)*2+1,'入力シート'!$F$2:$F$41,0)),""),IFERROR(INDEX('入力シート'!$A$2:$A$41,MATCH("男"&amp;($A8),'入力シート'!$I$2:$I$41,0)),"")),""),"")</f>
        <v/>
      </c>
      <c r="D8" s="21">
        <f>IF(ISNUMBER($A8),IFERROR(CHOOSE('設定'!$D$16-1,IFERROR(INDEX('入力シート'!$A$2:$A$41,MATCH(($A8-1)*2+2,'入力シート'!$F$2:$F$41,0)),""),IFERROR(INDEX('入力シート'!$A$2:$A$41,MATCH("女"&amp;($A8),'入力シート'!$I$2:$I$41,0)),"")),""),"")</f>
        <v/>
      </c>
      <c r="G8" s="14">
        <f>IF('設定'!$C$17&gt;0,IF(2&lt;='設定'!$F$17,IF('設定'!$E$17=1,'設定'!$F$17+1-2,2),IF(2='設定'!$F$17+1,IF('設定'!$E$17=1,"前","後ろ"),"")),"")</f>
        <v/>
      </c>
      <c r="H8" s="21">
        <f>IF(ISNUMBER($G8),IFERROR(CHOOSE('設定'!$D$17-1,IFERROR(INDEX('入力シート'!$A$2:$A$41,MATCH(($G8-1)*2+1,'入力シート'!$F$2:$F$41,0)),""),IFERROR(INDEX('入力シート'!$A$2:$A$41,MATCH("男"&amp;($G8),'入力シート'!$I$2:$I$41,0)),"")),""),"")</f>
        <v/>
      </c>
      <c r="J8" s="21">
        <f>IF(ISNUMBER($G8),IFERROR(CHOOSE('設定'!$D$17-1,IFERROR(INDEX('入力シート'!$A$2:$A$41,MATCH(($G8-1)*2+2,'入力シート'!$F$2:$F$41,0)),""),IFERROR(INDEX('入力シート'!$A$2:$A$41,MATCH("女"&amp;($G8),'入力シート'!$I$2:$I$41,0)),"")),""),"")</f>
        <v/>
      </c>
    </row>
    <row r="9" ht="15" customHeight="1">
      <c r="A9" s="14">
        <f>IF('設定'!$C$16&gt;0,IF(3&lt;='設定'!$F$16,IF('設定'!$E$16=1,'設定'!$F$16+1-3,3),IF(3='設定'!$F$16+1,IF('設定'!$E$16=1,"前","後ろ"),"")),"")</f>
        <v/>
      </c>
      <c r="B9" s="21">
        <f>IF(ISNUMBER($A9),IFERROR(CHOOSE('設定'!$D$16-1,IFERROR(INDEX('入力シート'!$A$2:$A$41,MATCH(($A9-1)*2+1,'入力シート'!$F$2:$F$41,0)),""),IFERROR(INDEX('入力シート'!$A$2:$A$41,MATCH("男"&amp;($A9),'入力シート'!$I$2:$I$41,0)),"")),""),"")</f>
        <v/>
      </c>
      <c r="D9" s="21">
        <f>IF(ISNUMBER($A9),IFERROR(CHOOSE('設定'!$D$16-1,IFERROR(INDEX('入力シート'!$A$2:$A$41,MATCH(($A9-1)*2+2,'入力シート'!$F$2:$F$41,0)),""),IFERROR(INDEX('入力シート'!$A$2:$A$41,MATCH("女"&amp;($A9),'入力シート'!$I$2:$I$41,0)),"")),""),"")</f>
        <v/>
      </c>
      <c r="G9" s="14">
        <f>IF('設定'!$C$17&gt;0,IF(3&lt;='設定'!$F$17,IF('設定'!$E$17=1,'設定'!$F$17+1-3,3),IF(3='設定'!$F$17+1,IF('設定'!$E$17=1,"前","後ろ"),"")),"")</f>
        <v/>
      </c>
      <c r="H9" s="21">
        <f>IF(ISNUMBER($G9),IFERROR(CHOOSE('設定'!$D$17-1,IFERROR(INDEX('入力シート'!$A$2:$A$41,MATCH(($G9-1)*2+1,'入力シート'!$F$2:$F$41,0)),""),IFERROR(INDEX('入力シート'!$A$2:$A$41,MATCH("男"&amp;($G9),'入力シート'!$I$2:$I$41,0)),"")),""),"")</f>
        <v/>
      </c>
      <c r="J9" s="21">
        <f>IF(ISNUMBER($G9),IFERROR(CHOOSE('設定'!$D$17-1,IFERROR(INDEX('入力シート'!$A$2:$A$41,MATCH(($G9-1)*2+2,'入力シート'!$F$2:$F$41,0)),""),IFERROR(INDEX('入力シート'!$A$2:$A$41,MATCH("女"&amp;($G9),'入力シート'!$I$2:$I$41,0)),"")),""),"")</f>
        <v/>
      </c>
    </row>
    <row r="10" ht="15" customHeight="1">
      <c r="A10" s="14">
        <f>IF('設定'!$C$16&gt;0,IF(4&lt;='設定'!$F$16,IF('設定'!$E$16=1,'設定'!$F$16+1-4,4),IF(4='設定'!$F$16+1,IF('設定'!$E$16=1,"前","後ろ"),"")),"")</f>
        <v/>
      </c>
      <c r="B10" s="21">
        <f>IF(ISNUMBER($A10),IFERROR(CHOOSE('設定'!$D$16-1,IFERROR(INDEX('入力シート'!$A$2:$A$41,MATCH(($A10-1)*2+1,'入力シート'!$F$2:$F$41,0)),""),IFERROR(INDEX('入力シート'!$A$2:$A$41,MATCH("男"&amp;($A10),'入力シート'!$I$2:$I$41,0)),"")),""),"")</f>
        <v/>
      </c>
      <c r="D10" s="21">
        <f>IF(ISNUMBER($A10),IFERROR(CHOOSE('設定'!$D$16-1,IFERROR(INDEX('入力シート'!$A$2:$A$41,MATCH(($A10-1)*2+2,'入力シート'!$F$2:$F$41,0)),""),IFERROR(INDEX('入力シート'!$A$2:$A$41,MATCH("女"&amp;($A10),'入力シート'!$I$2:$I$41,0)),"")),""),"")</f>
        <v/>
      </c>
      <c r="G10" s="14">
        <f>IF('設定'!$C$17&gt;0,IF(4&lt;='設定'!$F$17,IF('設定'!$E$17=1,'設定'!$F$17+1-4,4),IF(4='設定'!$F$17+1,IF('設定'!$E$17=1,"前","後ろ"),"")),"")</f>
        <v/>
      </c>
      <c r="H10" s="21">
        <f>IF(ISNUMBER($G10),IFERROR(CHOOSE('設定'!$D$17-1,IFERROR(INDEX('入力シート'!$A$2:$A$41,MATCH(($G10-1)*2+1,'入力シート'!$F$2:$F$41,0)),""),IFERROR(INDEX('入力シート'!$A$2:$A$41,MATCH("男"&amp;($G10),'入力シート'!$I$2:$I$41,0)),"")),""),"")</f>
        <v/>
      </c>
      <c r="J10" s="21">
        <f>IF(ISNUMBER($G10),IFERROR(CHOOSE('設定'!$D$17-1,IFERROR(INDEX('入力シート'!$A$2:$A$41,MATCH(($G10-1)*2+2,'入力シート'!$F$2:$F$41,0)),""),IFERROR(INDEX('入力シート'!$A$2:$A$41,MATCH("女"&amp;($G10),'入力シート'!$I$2:$I$41,0)),"")),""),"")</f>
        <v/>
      </c>
    </row>
    <row r="11" ht="15" customHeight="1">
      <c r="A11" s="14">
        <f>IF('設定'!$C$16&gt;0,IF(5&lt;='設定'!$F$16,IF('設定'!$E$16=1,'設定'!$F$16+1-5,5),IF(5='設定'!$F$16+1,IF('設定'!$E$16=1,"前","後ろ"),"")),"")</f>
        <v/>
      </c>
      <c r="B11" s="21">
        <f>IF(ISNUMBER($A11),IFERROR(CHOOSE('設定'!$D$16-1,IFERROR(INDEX('入力シート'!$A$2:$A$41,MATCH(($A11-1)*2+1,'入力シート'!$F$2:$F$41,0)),""),IFERROR(INDEX('入力シート'!$A$2:$A$41,MATCH("男"&amp;($A11),'入力シート'!$I$2:$I$41,0)),"")),""),"")</f>
        <v/>
      </c>
      <c r="D11" s="21">
        <f>IF(ISNUMBER($A11),IFERROR(CHOOSE('設定'!$D$16-1,IFERROR(INDEX('入力シート'!$A$2:$A$41,MATCH(($A11-1)*2+2,'入力シート'!$F$2:$F$41,0)),""),IFERROR(INDEX('入力シート'!$A$2:$A$41,MATCH("女"&amp;($A11),'入力シート'!$I$2:$I$41,0)),"")),""),"")</f>
        <v/>
      </c>
      <c r="G11" s="14">
        <f>IF('設定'!$C$17&gt;0,IF(5&lt;='設定'!$F$17,IF('設定'!$E$17=1,'設定'!$F$17+1-5,5),IF(5='設定'!$F$17+1,IF('設定'!$E$17=1,"前","後ろ"),"")),"")</f>
        <v/>
      </c>
      <c r="H11" s="21">
        <f>IF(ISNUMBER($G11),IFERROR(CHOOSE('設定'!$D$17-1,IFERROR(INDEX('入力シート'!$A$2:$A$41,MATCH(($G11-1)*2+1,'入力シート'!$F$2:$F$41,0)),""),IFERROR(INDEX('入力シート'!$A$2:$A$41,MATCH("男"&amp;($G11),'入力シート'!$I$2:$I$41,0)),"")),""),"")</f>
        <v/>
      </c>
      <c r="J11" s="21">
        <f>IF(ISNUMBER($G11),IFERROR(CHOOSE('設定'!$D$17-1,IFERROR(INDEX('入力シート'!$A$2:$A$41,MATCH(($G11-1)*2+2,'入力シート'!$F$2:$F$41,0)),""),IFERROR(INDEX('入力シート'!$A$2:$A$41,MATCH("女"&amp;($G11),'入力シート'!$I$2:$I$41,0)),"")),""),"")</f>
        <v/>
      </c>
    </row>
    <row r="12" ht="15" customHeight="1">
      <c r="A12" s="14">
        <f>IF('設定'!$C$16&gt;0,IF(6&lt;='設定'!$F$16,IF('設定'!$E$16=1,'設定'!$F$16+1-6,6),IF(6='設定'!$F$16+1,IF('設定'!$E$16=1,"前","後ろ"),"")),"")</f>
        <v/>
      </c>
      <c r="B12" s="21">
        <f>IF(ISNUMBER($A12),IFERROR(CHOOSE('設定'!$D$16-1,IFERROR(INDEX('入力シート'!$A$2:$A$41,MATCH(($A12-1)*2+1,'入力シート'!$F$2:$F$41,0)),""),IFERROR(INDEX('入力シート'!$A$2:$A$41,MATCH("男"&amp;($A12),'入力シート'!$I$2:$I$41,0)),"")),""),"")</f>
        <v/>
      </c>
      <c r="D12" s="21">
        <f>IF(ISNUMBER($A12),IFERROR(CHOOSE('設定'!$D$16-1,IFERROR(INDEX('入力シート'!$A$2:$A$41,MATCH(($A12-1)*2+2,'入力シート'!$F$2:$F$41,0)),""),IFERROR(INDEX('入力シート'!$A$2:$A$41,MATCH("女"&amp;($A12),'入力シート'!$I$2:$I$41,0)),"")),""),"")</f>
        <v/>
      </c>
      <c r="G12" s="14">
        <f>IF('設定'!$C$17&gt;0,IF(6&lt;='設定'!$F$17,IF('設定'!$E$17=1,'設定'!$F$17+1-6,6),IF(6='設定'!$F$17+1,IF('設定'!$E$17=1,"前","後ろ"),"")),"")</f>
        <v/>
      </c>
      <c r="H12" s="21">
        <f>IF(ISNUMBER($G12),IFERROR(CHOOSE('設定'!$D$17-1,IFERROR(INDEX('入力シート'!$A$2:$A$41,MATCH(($G12-1)*2+1,'入力シート'!$F$2:$F$41,0)),""),IFERROR(INDEX('入力シート'!$A$2:$A$41,MATCH("男"&amp;($G12),'入力シート'!$I$2:$I$41,0)),"")),""),"")</f>
        <v/>
      </c>
      <c r="J12" s="21">
        <f>IF(ISNUMBER($G12),IFERROR(CHOOSE('設定'!$D$17-1,IFERROR(INDEX('入力シート'!$A$2:$A$41,MATCH(($G12-1)*2+2,'入力シート'!$F$2:$F$41,0)),""),IFERROR(INDEX('入力シート'!$A$2:$A$41,MATCH("女"&amp;($G12),'入力シート'!$I$2:$I$41,0)),"")),""),"")</f>
        <v/>
      </c>
    </row>
    <row r="13" ht="15" customHeight="1">
      <c r="A13" s="14">
        <f>IF('設定'!$C$16&gt;0,IF(7&lt;='設定'!$F$16,IF('設定'!$E$16=1,'設定'!$F$16+1-7,7),IF(7='設定'!$F$16+1,IF('設定'!$E$16=1,"前","後ろ"),"")),"")</f>
        <v/>
      </c>
      <c r="B13" s="21">
        <f>IF(ISNUMBER($A13),IFERROR(CHOOSE('設定'!$D$16-1,IFERROR(INDEX('入力シート'!$A$2:$A$41,MATCH(($A13-1)*2+1,'入力シート'!$F$2:$F$41,0)),""),IFERROR(INDEX('入力シート'!$A$2:$A$41,MATCH("男"&amp;($A13),'入力シート'!$I$2:$I$41,0)),"")),""),"")</f>
        <v/>
      </c>
      <c r="D13" s="21">
        <f>IF(ISNUMBER($A13),IFERROR(CHOOSE('設定'!$D$16-1,IFERROR(INDEX('入力シート'!$A$2:$A$41,MATCH(($A13-1)*2+2,'入力シート'!$F$2:$F$41,0)),""),IFERROR(INDEX('入力シート'!$A$2:$A$41,MATCH("女"&amp;($A13),'入力シート'!$I$2:$I$41,0)),"")),""),"")</f>
        <v/>
      </c>
      <c r="G13" s="14">
        <f>IF('設定'!$C$17&gt;0,IF(7&lt;='設定'!$F$17,IF('設定'!$E$17=1,'設定'!$F$17+1-7,7),IF(7='設定'!$F$17+1,IF('設定'!$E$17=1,"前","後ろ"),"")),"")</f>
        <v/>
      </c>
      <c r="H13" s="21">
        <f>IF(ISNUMBER($G13),IFERROR(CHOOSE('設定'!$D$17-1,IFERROR(INDEX('入力シート'!$A$2:$A$41,MATCH(($G13-1)*2+1,'入力シート'!$F$2:$F$41,0)),""),IFERROR(INDEX('入力シート'!$A$2:$A$41,MATCH("男"&amp;($G13),'入力シート'!$I$2:$I$41,0)),"")),""),"")</f>
        <v/>
      </c>
      <c r="J13" s="21">
        <f>IF(ISNUMBER($G13),IFERROR(CHOOSE('設定'!$D$17-1,IFERROR(INDEX('入力シート'!$A$2:$A$41,MATCH(($G13-1)*2+2,'入力シート'!$F$2:$F$41,0)),""),IFERROR(INDEX('入力シート'!$A$2:$A$41,MATCH("女"&amp;($G13),'入力シート'!$I$2:$I$41,0)),"")),""),"")</f>
        <v/>
      </c>
    </row>
    <row r="14" ht="15" customHeight="1">
      <c r="A14" s="14">
        <f>IF('設定'!$C$16&gt;0,IF(8&lt;='設定'!$F$16,IF('設定'!$E$16=1,'設定'!$F$16+1-8,8),IF(8='設定'!$F$16+1,IF('設定'!$E$16=1,"前","後ろ"),"")),"")</f>
        <v/>
      </c>
      <c r="B14" s="21">
        <f>IF(ISNUMBER($A14),IFERROR(CHOOSE('設定'!$D$16-1,IFERROR(INDEX('入力シート'!$A$2:$A$41,MATCH(($A14-1)*2+1,'入力シート'!$F$2:$F$41,0)),""),IFERROR(INDEX('入力シート'!$A$2:$A$41,MATCH("男"&amp;($A14),'入力シート'!$I$2:$I$41,0)),"")),""),"")</f>
        <v/>
      </c>
      <c r="D14" s="21">
        <f>IF(ISNUMBER($A14),IFERROR(CHOOSE('設定'!$D$16-1,IFERROR(INDEX('入力シート'!$A$2:$A$41,MATCH(($A14-1)*2+2,'入力シート'!$F$2:$F$41,0)),""),IFERROR(INDEX('入力シート'!$A$2:$A$41,MATCH("女"&amp;($A14),'入力シート'!$I$2:$I$41,0)),"")),""),"")</f>
        <v/>
      </c>
      <c r="G14" s="14">
        <f>IF('設定'!$C$17&gt;0,IF(8&lt;='設定'!$F$17,IF('設定'!$E$17=1,'設定'!$F$17+1-8,8),IF(8='設定'!$F$17+1,IF('設定'!$E$17=1,"前","後ろ"),"")),"")</f>
        <v/>
      </c>
      <c r="H14" s="21">
        <f>IF(ISNUMBER($G14),IFERROR(CHOOSE('設定'!$D$17-1,IFERROR(INDEX('入力シート'!$A$2:$A$41,MATCH(($G14-1)*2+1,'入力シート'!$F$2:$F$41,0)),""),IFERROR(INDEX('入力シート'!$A$2:$A$41,MATCH("男"&amp;($G14),'入力シート'!$I$2:$I$41,0)),"")),""),"")</f>
        <v/>
      </c>
      <c r="J14" s="21">
        <f>IF(ISNUMBER($G14),IFERROR(CHOOSE('設定'!$D$17-1,IFERROR(INDEX('入力シート'!$A$2:$A$41,MATCH(($G14-1)*2+2,'入力シート'!$F$2:$F$41,0)),""),IFERROR(INDEX('入力シート'!$A$2:$A$41,MATCH("女"&amp;($G14),'入力シート'!$I$2:$I$41,0)),"")),""),"")</f>
        <v/>
      </c>
    </row>
    <row r="15" ht="15" customHeight="1">
      <c r="A15" s="14">
        <f>IF('設定'!$C$16&gt;0,IF(9&lt;='設定'!$F$16,IF('設定'!$E$16=1,'設定'!$F$16+1-9,9),IF(9='設定'!$F$16+1,IF('設定'!$E$16=1,"前","後ろ"),"")),"")</f>
        <v/>
      </c>
      <c r="B15" s="21">
        <f>IF(ISNUMBER($A15),IFERROR(CHOOSE('設定'!$D$16-1,IFERROR(INDEX('入力シート'!$A$2:$A$41,MATCH(($A15-1)*2+1,'入力シート'!$F$2:$F$41,0)),""),IFERROR(INDEX('入力シート'!$A$2:$A$41,MATCH("男"&amp;($A15),'入力シート'!$I$2:$I$41,0)),"")),""),"")</f>
        <v/>
      </c>
      <c r="D15" s="21">
        <f>IF(ISNUMBER($A15),IFERROR(CHOOSE('設定'!$D$16-1,IFERROR(INDEX('入力シート'!$A$2:$A$41,MATCH(($A15-1)*2+2,'入力シート'!$F$2:$F$41,0)),""),IFERROR(INDEX('入力シート'!$A$2:$A$41,MATCH("女"&amp;($A15),'入力シート'!$I$2:$I$41,0)),"")),""),"")</f>
        <v/>
      </c>
      <c r="G15" s="14">
        <f>IF('設定'!$C$17&gt;0,IF(9&lt;='設定'!$F$17,IF('設定'!$E$17=1,'設定'!$F$17+1-9,9),IF(9='設定'!$F$17+1,IF('設定'!$E$17=1,"前","後ろ"),"")),"")</f>
        <v/>
      </c>
      <c r="H15" s="21">
        <f>IF(ISNUMBER($G15),IFERROR(CHOOSE('設定'!$D$17-1,IFERROR(INDEX('入力シート'!$A$2:$A$41,MATCH(($G15-1)*2+1,'入力シート'!$F$2:$F$41,0)),""),IFERROR(INDEX('入力シート'!$A$2:$A$41,MATCH("男"&amp;($G15),'入力シート'!$I$2:$I$41,0)),"")),""),"")</f>
        <v/>
      </c>
      <c r="J15" s="21">
        <f>IF(ISNUMBER($G15),IFERROR(CHOOSE('設定'!$D$17-1,IFERROR(INDEX('入力シート'!$A$2:$A$41,MATCH(($G15-1)*2+2,'入力シート'!$F$2:$F$41,0)),""),IFERROR(INDEX('入力シート'!$A$2:$A$41,MATCH("女"&amp;($G15),'入力シート'!$I$2:$I$41,0)),"")),""),"")</f>
        <v/>
      </c>
    </row>
    <row r="16" ht="15" customHeight="1">
      <c r="A16" s="14">
        <f>IF('設定'!$C$16&gt;0,IF(10&lt;='設定'!$F$16,IF('設定'!$E$16=1,'設定'!$F$16+1-10,10),IF(10='設定'!$F$16+1,IF('設定'!$E$16=1,"前","後ろ"),"")),"")</f>
        <v/>
      </c>
      <c r="B16" s="21">
        <f>IF(ISNUMBER($A16),IFERROR(CHOOSE('設定'!$D$16-1,IFERROR(INDEX('入力シート'!$A$2:$A$41,MATCH(($A16-1)*2+1,'入力シート'!$F$2:$F$41,0)),""),IFERROR(INDEX('入力シート'!$A$2:$A$41,MATCH("男"&amp;($A16),'入力シート'!$I$2:$I$41,0)),"")),""),"")</f>
        <v/>
      </c>
      <c r="D16" s="21">
        <f>IF(ISNUMBER($A16),IFERROR(CHOOSE('設定'!$D$16-1,IFERROR(INDEX('入力シート'!$A$2:$A$41,MATCH(($A16-1)*2+2,'入力シート'!$F$2:$F$41,0)),""),IFERROR(INDEX('入力シート'!$A$2:$A$41,MATCH("女"&amp;($A16),'入力シート'!$I$2:$I$41,0)),"")),""),"")</f>
        <v/>
      </c>
      <c r="G16" s="14">
        <f>IF('設定'!$C$17&gt;0,IF(10&lt;='設定'!$F$17,IF('設定'!$E$17=1,'設定'!$F$17+1-10,10),IF(10='設定'!$F$17+1,IF('設定'!$E$17=1,"前","後ろ"),"")),"")</f>
        <v/>
      </c>
      <c r="H16" s="21">
        <f>IF(ISNUMBER($G16),IFERROR(CHOOSE('設定'!$D$17-1,IFERROR(INDEX('入力シート'!$A$2:$A$41,MATCH(($G16-1)*2+1,'入力シート'!$F$2:$F$41,0)),""),IFERROR(INDEX('入力シート'!$A$2:$A$41,MATCH("男"&amp;($G16),'入力シート'!$I$2:$I$41,0)),"")),""),"")</f>
        <v/>
      </c>
      <c r="J16" s="21">
        <f>IF(ISNUMBER($G16),IFERROR(CHOOSE('設定'!$D$17-1,IFERROR(INDEX('入力シート'!$A$2:$A$41,MATCH(($G16-1)*2+2,'入力シート'!$F$2:$F$41,0)),""),IFERROR(INDEX('入力シート'!$A$2:$A$41,MATCH("女"&amp;($G16),'入力シート'!$I$2:$I$41,0)),"")),""),"")</f>
        <v/>
      </c>
    </row>
    <row r="17" ht="15" customHeight="1">
      <c r="A17" s="14">
        <f>IF('設定'!$C$16&gt;0,IF(11&lt;='設定'!$F$16,IF('設定'!$E$16=1,'設定'!$F$16+1-11,11),IF(11='設定'!$F$16+1,IF('設定'!$E$16=1,"前","後ろ"),"")),"")</f>
        <v/>
      </c>
      <c r="B17" s="21">
        <f>IF(ISNUMBER($A17),IFERROR(CHOOSE('設定'!$D$16-1,IFERROR(INDEX('入力シート'!$A$2:$A$41,MATCH(($A17-1)*2+1,'入力シート'!$F$2:$F$41,0)),""),IFERROR(INDEX('入力シート'!$A$2:$A$41,MATCH("男"&amp;($A17),'入力シート'!$I$2:$I$41,0)),"")),""),"")</f>
        <v/>
      </c>
      <c r="D17" s="21">
        <f>IF(ISNUMBER($A17),IFERROR(CHOOSE('設定'!$D$16-1,IFERROR(INDEX('入力シート'!$A$2:$A$41,MATCH(($A17-1)*2+2,'入力シート'!$F$2:$F$41,0)),""),IFERROR(INDEX('入力シート'!$A$2:$A$41,MATCH("女"&amp;($A17),'入力シート'!$I$2:$I$41,0)),"")),""),"")</f>
        <v/>
      </c>
      <c r="G17" s="14">
        <f>IF('設定'!$C$17&gt;0,IF(11&lt;='設定'!$F$17,IF('設定'!$E$17=1,'設定'!$F$17+1-11,11),IF(11='設定'!$F$17+1,IF('設定'!$E$17=1,"前","後ろ"),"")),"")</f>
        <v/>
      </c>
      <c r="H17" s="21">
        <f>IF(ISNUMBER($G17),IFERROR(CHOOSE('設定'!$D$17-1,IFERROR(INDEX('入力シート'!$A$2:$A$41,MATCH(($G17-1)*2+1,'入力シート'!$F$2:$F$41,0)),""),IFERROR(INDEX('入力シート'!$A$2:$A$41,MATCH("男"&amp;($G17),'入力シート'!$I$2:$I$41,0)),"")),""),"")</f>
        <v/>
      </c>
      <c r="J17" s="21">
        <f>IF(ISNUMBER($G17),IFERROR(CHOOSE('設定'!$D$17-1,IFERROR(INDEX('入力シート'!$A$2:$A$41,MATCH(($G17-1)*2+2,'入力シート'!$F$2:$F$41,0)),""),IFERROR(INDEX('入力シート'!$A$2:$A$41,MATCH("女"&amp;($G17),'入力シート'!$I$2:$I$41,0)),"")),""),"")</f>
        <v/>
      </c>
    </row>
    <row r="18" ht="15" customHeight="1">
      <c r="A18" s="14">
        <f>IF('設定'!$C$16&gt;0,IF(12&lt;='設定'!$F$16,IF('設定'!$E$16=1,'設定'!$F$16+1-12,12),IF(12='設定'!$F$16+1,IF('設定'!$E$16=1,"前","後ろ"),"")),"")</f>
        <v/>
      </c>
      <c r="B18" s="21">
        <f>IF(ISNUMBER($A18),IFERROR(CHOOSE('設定'!$D$16-1,IFERROR(INDEX('入力シート'!$A$2:$A$41,MATCH(($A18-1)*2+1,'入力シート'!$F$2:$F$41,0)),""),IFERROR(INDEX('入力シート'!$A$2:$A$41,MATCH("男"&amp;($A18),'入力シート'!$I$2:$I$41,0)),"")),""),"")</f>
        <v/>
      </c>
      <c r="D18" s="21">
        <f>IF(ISNUMBER($A18),IFERROR(CHOOSE('設定'!$D$16-1,IFERROR(INDEX('入力シート'!$A$2:$A$41,MATCH(($A18-1)*2+2,'入力シート'!$F$2:$F$41,0)),""),IFERROR(INDEX('入力シート'!$A$2:$A$41,MATCH("女"&amp;($A18),'入力シート'!$I$2:$I$41,0)),"")),""),"")</f>
        <v/>
      </c>
      <c r="G18" s="14">
        <f>IF('設定'!$C$17&gt;0,IF(12&lt;='設定'!$F$17,IF('設定'!$E$17=1,'設定'!$F$17+1-12,12),IF(12='設定'!$F$17+1,IF('設定'!$E$17=1,"前","後ろ"),"")),"")</f>
        <v/>
      </c>
      <c r="H18" s="21">
        <f>IF(ISNUMBER($G18),IFERROR(CHOOSE('設定'!$D$17-1,IFERROR(INDEX('入力シート'!$A$2:$A$41,MATCH(($G18-1)*2+1,'入力シート'!$F$2:$F$41,0)),""),IFERROR(INDEX('入力シート'!$A$2:$A$41,MATCH("男"&amp;($G18),'入力シート'!$I$2:$I$41,0)),"")),""),"")</f>
        <v/>
      </c>
      <c r="J18" s="21">
        <f>IF(ISNUMBER($G18),IFERROR(CHOOSE('設定'!$D$17-1,IFERROR(INDEX('入力シート'!$A$2:$A$41,MATCH(($G18-1)*2+2,'入力シート'!$F$2:$F$41,0)),""),IFERROR(INDEX('入力シート'!$A$2:$A$41,MATCH("女"&amp;($G18),'入力シート'!$I$2:$I$41,0)),"")),""),"")</f>
        <v/>
      </c>
    </row>
    <row r="19" ht="15" customHeight="1">
      <c r="A19" s="14">
        <f>IF('設定'!$C$16&gt;0,IF(13&lt;='設定'!$F$16,IF('設定'!$E$16=1,'設定'!$F$16+1-13,13),IF(13='設定'!$F$16+1,IF('設定'!$E$16=1,"前","後ろ"),"")),"")</f>
        <v/>
      </c>
      <c r="B19" s="21">
        <f>IF(ISNUMBER($A19),IFERROR(CHOOSE('設定'!$D$16-1,IFERROR(INDEX('入力シート'!$A$2:$A$41,MATCH(($A19-1)*2+1,'入力シート'!$F$2:$F$41,0)),""),IFERROR(INDEX('入力シート'!$A$2:$A$41,MATCH("男"&amp;($A19),'入力シート'!$I$2:$I$41,0)),"")),""),"")</f>
        <v/>
      </c>
      <c r="D19" s="21">
        <f>IF(ISNUMBER($A19),IFERROR(CHOOSE('設定'!$D$16-1,IFERROR(INDEX('入力シート'!$A$2:$A$41,MATCH(($A19-1)*2+2,'入力シート'!$F$2:$F$41,0)),""),IFERROR(INDEX('入力シート'!$A$2:$A$41,MATCH("女"&amp;($A19),'入力シート'!$I$2:$I$41,0)),"")),""),"")</f>
        <v/>
      </c>
      <c r="G19" s="14">
        <f>IF('設定'!$C$17&gt;0,IF(13&lt;='設定'!$F$17,IF('設定'!$E$17=1,'設定'!$F$17+1-13,13),IF(13='設定'!$F$17+1,IF('設定'!$E$17=1,"前","後ろ"),"")),"")</f>
        <v/>
      </c>
      <c r="H19" s="21">
        <f>IF(ISNUMBER($G19),IFERROR(CHOOSE('設定'!$D$17-1,IFERROR(INDEX('入力シート'!$A$2:$A$41,MATCH(($G19-1)*2+1,'入力シート'!$F$2:$F$41,0)),""),IFERROR(INDEX('入力シート'!$A$2:$A$41,MATCH("男"&amp;($G19),'入力シート'!$I$2:$I$41,0)),"")),""),"")</f>
        <v/>
      </c>
      <c r="J19" s="21">
        <f>IF(ISNUMBER($G19),IFERROR(CHOOSE('設定'!$D$17-1,IFERROR(INDEX('入力シート'!$A$2:$A$41,MATCH(($G19-1)*2+2,'入力シート'!$F$2:$F$41,0)),""),IFERROR(INDEX('入力シート'!$A$2:$A$41,MATCH("女"&amp;($G19),'入力シート'!$I$2:$I$41,0)),"")),""),"")</f>
        <v/>
      </c>
    </row>
    <row r="20" ht="15" customHeight="1">
      <c r="A20" s="14">
        <f>IF('設定'!$C$16&gt;0,IF(14&lt;='設定'!$F$16,IF('設定'!$E$16=1,'設定'!$F$16+1-14,14),IF(14='設定'!$F$16+1,IF('設定'!$E$16=1,"前","後ろ"),"")),"")</f>
        <v/>
      </c>
      <c r="B20" s="21">
        <f>IF(ISNUMBER($A20),IFERROR(CHOOSE('設定'!$D$16-1,IFERROR(INDEX('入力シート'!$A$2:$A$41,MATCH(($A20-1)*2+1,'入力シート'!$F$2:$F$41,0)),""),IFERROR(INDEX('入力シート'!$A$2:$A$41,MATCH("男"&amp;($A20),'入力シート'!$I$2:$I$41,0)),"")),""),"")</f>
        <v/>
      </c>
      <c r="D20" s="21">
        <f>IF(ISNUMBER($A20),IFERROR(CHOOSE('設定'!$D$16-1,IFERROR(INDEX('入力シート'!$A$2:$A$41,MATCH(($A20-1)*2+2,'入力シート'!$F$2:$F$41,0)),""),IFERROR(INDEX('入力シート'!$A$2:$A$41,MATCH("女"&amp;($A20),'入力シート'!$I$2:$I$41,0)),"")),""),"")</f>
        <v/>
      </c>
      <c r="G20" s="14">
        <f>IF('設定'!$C$17&gt;0,IF(14&lt;='設定'!$F$17,IF('設定'!$E$17=1,'設定'!$F$17+1-14,14),IF(14='設定'!$F$17+1,IF('設定'!$E$17=1,"前","後ろ"),"")),"")</f>
        <v/>
      </c>
      <c r="H20" s="21">
        <f>IF(ISNUMBER($G20),IFERROR(CHOOSE('設定'!$D$17-1,IFERROR(INDEX('入力シート'!$A$2:$A$41,MATCH(($G20-1)*2+1,'入力シート'!$F$2:$F$41,0)),""),IFERROR(INDEX('入力シート'!$A$2:$A$41,MATCH("男"&amp;($G20),'入力シート'!$I$2:$I$41,0)),"")),""),"")</f>
        <v/>
      </c>
      <c r="J20" s="21">
        <f>IF(ISNUMBER($G20),IFERROR(CHOOSE('設定'!$D$17-1,IFERROR(INDEX('入力シート'!$A$2:$A$41,MATCH(($G20-1)*2+2,'入力シート'!$F$2:$F$41,0)),""),IFERROR(INDEX('入力シート'!$A$2:$A$41,MATCH("女"&amp;($G20),'入力シート'!$I$2:$I$41,0)),"")),""),"")</f>
        <v/>
      </c>
    </row>
    <row r="21" ht="15" customHeight="1">
      <c r="A21" s="14">
        <f>IF('設定'!$C$16&gt;0,IF(15&lt;='設定'!$F$16,IF('設定'!$E$16=1,'設定'!$F$16+1-15,15),IF(15='設定'!$F$16+1,IF('設定'!$E$16=1,"前","後ろ"),"")),"")</f>
        <v/>
      </c>
      <c r="B21" s="21">
        <f>IF(ISNUMBER($A21),IFERROR(CHOOSE('設定'!$D$16-1,IFERROR(INDEX('入力シート'!$A$2:$A$41,MATCH(($A21-1)*2+1,'入力シート'!$F$2:$F$41,0)),""),IFERROR(INDEX('入力シート'!$A$2:$A$41,MATCH("男"&amp;($A21),'入力シート'!$I$2:$I$41,0)),"")),""),"")</f>
        <v/>
      </c>
      <c r="D21" s="21">
        <f>IF(ISNUMBER($A21),IFERROR(CHOOSE('設定'!$D$16-1,IFERROR(INDEX('入力シート'!$A$2:$A$41,MATCH(($A21-1)*2+2,'入力シート'!$F$2:$F$41,0)),""),IFERROR(INDEX('入力シート'!$A$2:$A$41,MATCH("女"&amp;($A21),'入力シート'!$I$2:$I$41,0)),"")),""),"")</f>
        <v/>
      </c>
      <c r="G21" s="14">
        <f>IF('設定'!$C$17&gt;0,IF(15&lt;='設定'!$F$17,IF('設定'!$E$17=1,'設定'!$F$17+1-15,15),IF(15='設定'!$F$17+1,IF('設定'!$E$17=1,"前","後ろ"),"")),"")</f>
        <v/>
      </c>
      <c r="H21" s="21">
        <f>IF(ISNUMBER($G21),IFERROR(CHOOSE('設定'!$D$17-1,IFERROR(INDEX('入力シート'!$A$2:$A$41,MATCH(($G21-1)*2+1,'入力シート'!$F$2:$F$41,0)),""),IFERROR(INDEX('入力シート'!$A$2:$A$41,MATCH("男"&amp;($G21),'入力シート'!$I$2:$I$41,0)),"")),""),"")</f>
        <v/>
      </c>
      <c r="J21" s="21">
        <f>IF(ISNUMBER($G21),IFERROR(CHOOSE('設定'!$D$17-1,IFERROR(INDEX('入力シート'!$A$2:$A$41,MATCH(($G21-1)*2+2,'入力シート'!$F$2:$F$41,0)),""),IFERROR(INDEX('入力シート'!$A$2:$A$41,MATCH("女"&amp;($G21),'入力シート'!$I$2:$I$41,0)),"")),""),"")</f>
        <v/>
      </c>
    </row>
    <row r="22" ht="15" customHeight="1">
      <c r="A22" s="14">
        <f>IF('設定'!$C$16&gt;0,IF(16&lt;='設定'!$F$16,IF('設定'!$E$16=1,'設定'!$F$16+1-16,16),IF(16='設定'!$F$16+1,IF('設定'!$E$16=1,"前","後ろ"),"")),"")</f>
        <v/>
      </c>
      <c r="B22" s="21">
        <f>IF(ISNUMBER($A22),IFERROR(CHOOSE('設定'!$D$16-1,IFERROR(INDEX('入力シート'!$A$2:$A$41,MATCH(($A22-1)*2+1,'入力シート'!$F$2:$F$41,0)),""),IFERROR(INDEX('入力シート'!$A$2:$A$41,MATCH("男"&amp;($A22),'入力シート'!$I$2:$I$41,0)),"")),""),"")</f>
        <v/>
      </c>
      <c r="D22" s="21">
        <f>IF(ISNUMBER($A22),IFERROR(CHOOSE('設定'!$D$16-1,IFERROR(INDEX('入力シート'!$A$2:$A$41,MATCH(($A22-1)*2+2,'入力シート'!$F$2:$F$41,0)),""),IFERROR(INDEX('入力シート'!$A$2:$A$41,MATCH("女"&amp;($A22),'入力シート'!$I$2:$I$41,0)),"")),""),"")</f>
        <v/>
      </c>
      <c r="G22" s="14">
        <f>IF('設定'!$C$17&gt;0,IF(16&lt;='設定'!$F$17,IF('設定'!$E$17=1,'設定'!$F$17+1-16,16),IF(16='設定'!$F$17+1,IF('設定'!$E$17=1,"前","後ろ"),"")),"")</f>
        <v/>
      </c>
      <c r="H22" s="21">
        <f>IF(ISNUMBER($G22),IFERROR(CHOOSE('設定'!$D$17-1,IFERROR(INDEX('入力シート'!$A$2:$A$41,MATCH(($G22-1)*2+1,'入力シート'!$F$2:$F$41,0)),""),IFERROR(INDEX('入力シート'!$A$2:$A$41,MATCH("男"&amp;($G22),'入力シート'!$I$2:$I$41,0)),"")),""),"")</f>
        <v/>
      </c>
      <c r="J22" s="21">
        <f>IF(ISNUMBER($G22),IFERROR(CHOOSE('設定'!$D$17-1,IFERROR(INDEX('入力シート'!$A$2:$A$41,MATCH(($G22-1)*2+2,'入力シート'!$F$2:$F$41,0)),""),IFERROR(INDEX('入力シート'!$A$2:$A$41,MATCH("女"&amp;($G22),'入力シート'!$I$2:$I$41,0)),"")),""),"")</f>
        <v/>
      </c>
    </row>
    <row r="23" ht="15" customHeight="1">
      <c r="A23" s="14">
        <f>IF('設定'!$C$16&gt;0,IF(17&lt;='設定'!$F$16,IF('設定'!$E$16=1,'設定'!$F$16+1-17,17),IF(17='設定'!$F$16+1,IF('設定'!$E$16=1,"前","後ろ"),"")),"")</f>
        <v/>
      </c>
      <c r="B23" s="21">
        <f>IF(ISNUMBER($A23),IFERROR(CHOOSE('設定'!$D$16-1,IFERROR(INDEX('入力シート'!$A$2:$A$41,MATCH(($A23-1)*2+1,'入力シート'!$F$2:$F$41,0)),""),IFERROR(INDEX('入力シート'!$A$2:$A$41,MATCH("男"&amp;($A23),'入力シート'!$I$2:$I$41,0)),"")),""),"")</f>
        <v/>
      </c>
      <c r="D23" s="21">
        <f>IF(ISNUMBER($A23),IFERROR(CHOOSE('設定'!$D$16-1,IFERROR(INDEX('入力シート'!$A$2:$A$41,MATCH(($A23-1)*2+2,'入力シート'!$F$2:$F$41,0)),""),IFERROR(INDEX('入力シート'!$A$2:$A$41,MATCH("女"&amp;($A23),'入力シート'!$I$2:$I$41,0)),"")),""),"")</f>
        <v/>
      </c>
      <c r="G23" s="14">
        <f>IF('設定'!$C$17&gt;0,IF(17&lt;='設定'!$F$17,IF('設定'!$E$17=1,'設定'!$F$17+1-17,17),IF(17='設定'!$F$17+1,IF('設定'!$E$17=1,"前","後ろ"),"")),"")</f>
        <v/>
      </c>
      <c r="H23" s="21">
        <f>IF(ISNUMBER($G23),IFERROR(CHOOSE('設定'!$D$17-1,IFERROR(INDEX('入力シート'!$A$2:$A$41,MATCH(($G23-1)*2+1,'入力シート'!$F$2:$F$41,0)),""),IFERROR(INDEX('入力シート'!$A$2:$A$41,MATCH("男"&amp;($G23),'入力シート'!$I$2:$I$41,0)),"")),""),"")</f>
        <v/>
      </c>
      <c r="J23" s="21">
        <f>IF(ISNUMBER($G23),IFERROR(CHOOSE('設定'!$D$17-1,IFERROR(INDEX('入力シート'!$A$2:$A$41,MATCH(($G23-1)*2+2,'入力シート'!$F$2:$F$41,0)),""),IFERROR(INDEX('入力シート'!$A$2:$A$41,MATCH("女"&amp;($G23),'入力シート'!$I$2:$I$41,0)),"")),""),"")</f>
        <v/>
      </c>
    </row>
    <row r="24" ht="15" customHeight="1">
      <c r="A24" s="14">
        <f>IF('設定'!$C$16&gt;0,IF(18&lt;='設定'!$F$16,IF('設定'!$E$16=1,'設定'!$F$16+1-18,18),IF(18='設定'!$F$16+1,IF('設定'!$E$16=1,"前","後ろ"),"")),"")</f>
        <v/>
      </c>
      <c r="B24" s="21">
        <f>IF(ISNUMBER($A24),IFERROR(CHOOSE('設定'!$D$16-1,IFERROR(INDEX('入力シート'!$A$2:$A$41,MATCH(($A24-1)*2+1,'入力シート'!$F$2:$F$41,0)),""),IFERROR(INDEX('入力シート'!$A$2:$A$41,MATCH("男"&amp;($A24),'入力シート'!$I$2:$I$41,0)),"")),""),"")</f>
        <v/>
      </c>
      <c r="D24" s="21">
        <f>IF(ISNUMBER($A24),IFERROR(CHOOSE('設定'!$D$16-1,IFERROR(INDEX('入力シート'!$A$2:$A$41,MATCH(($A24-1)*2+2,'入力シート'!$F$2:$F$41,0)),""),IFERROR(INDEX('入力シート'!$A$2:$A$41,MATCH("女"&amp;($A24),'入力シート'!$I$2:$I$41,0)),"")),""),"")</f>
        <v/>
      </c>
      <c r="G24" s="14">
        <f>IF('設定'!$C$17&gt;0,IF(18&lt;='設定'!$F$17,IF('設定'!$E$17=1,'設定'!$F$17+1-18,18),IF(18='設定'!$F$17+1,IF('設定'!$E$17=1,"前","後ろ"),"")),"")</f>
        <v/>
      </c>
      <c r="H24" s="21">
        <f>IF(ISNUMBER($G24),IFERROR(CHOOSE('設定'!$D$17-1,IFERROR(INDEX('入力シート'!$A$2:$A$41,MATCH(($G24-1)*2+1,'入力シート'!$F$2:$F$41,0)),""),IFERROR(INDEX('入力シート'!$A$2:$A$41,MATCH("男"&amp;($G24),'入力シート'!$I$2:$I$41,0)),"")),""),"")</f>
        <v/>
      </c>
      <c r="J24" s="21">
        <f>IF(ISNUMBER($G24),IFERROR(CHOOSE('設定'!$D$17-1,IFERROR(INDEX('入力シート'!$A$2:$A$41,MATCH(($G24-1)*2+2,'入力シート'!$F$2:$F$41,0)),""),IFERROR(INDEX('入力シート'!$A$2:$A$41,MATCH("女"&amp;($G24),'入力シート'!$I$2:$I$41,0)),"")),""),"")</f>
        <v/>
      </c>
    </row>
    <row r="25" ht="15" customHeight="1">
      <c r="A25" s="14">
        <f>IF('設定'!$C$16&gt;0,IF(19&lt;='設定'!$F$16,IF('設定'!$E$16=1,'設定'!$F$16+1-19,19),IF(19='設定'!$F$16+1,IF('設定'!$E$16=1,"前","後ろ"),"")),"")</f>
        <v/>
      </c>
      <c r="B25" s="21">
        <f>IF(ISNUMBER($A25),IFERROR(CHOOSE('設定'!$D$16-1,IFERROR(INDEX('入力シート'!$A$2:$A$41,MATCH(($A25-1)*2+1,'入力シート'!$F$2:$F$41,0)),""),IFERROR(INDEX('入力シート'!$A$2:$A$41,MATCH("男"&amp;($A25),'入力シート'!$I$2:$I$41,0)),"")),""),"")</f>
        <v/>
      </c>
      <c r="D25" s="21">
        <f>IF(ISNUMBER($A25),IFERROR(CHOOSE('設定'!$D$16-1,IFERROR(INDEX('入力シート'!$A$2:$A$41,MATCH(($A25-1)*2+2,'入力シート'!$F$2:$F$41,0)),""),IFERROR(INDEX('入力シート'!$A$2:$A$41,MATCH("女"&amp;($A25),'入力シート'!$I$2:$I$41,0)),"")),""),"")</f>
        <v/>
      </c>
      <c r="G25" s="14">
        <f>IF('設定'!$C$17&gt;0,IF(19&lt;='設定'!$F$17,IF('設定'!$E$17=1,'設定'!$F$17+1-19,19),IF(19='設定'!$F$17+1,IF('設定'!$E$17=1,"前","後ろ"),"")),"")</f>
        <v/>
      </c>
      <c r="H25" s="21">
        <f>IF(ISNUMBER($G25),IFERROR(CHOOSE('設定'!$D$17-1,IFERROR(INDEX('入力シート'!$A$2:$A$41,MATCH(($G25-1)*2+1,'入力シート'!$F$2:$F$41,0)),""),IFERROR(INDEX('入力シート'!$A$2:$A$41,MATCH("男"&amp;($G25),'入力シート'!$I$2:$I$41,0)),"")),""),"")</f>
        <v/>
      </c>
      <c r="J25" s="21">
        <f>IF(ISNUMBER($G25),IFERROR(CHOOSE('設定'!$D$17-1,IFERROR(INDEX('入力シート'!$A$2:$A$41,MATCH(($G25-1)*2+2,'入力シート'!$F$2:$F$41,0)),""),IFERROR(INDEX('入力シート'!$A$2:$A$41,MATCH("女"&amp;($G25),'入力シート'!$I$2:$I$41,0)),"")),""),"")</f>
        <v/>
      </c>
    </row>
    <row r="26" ht="15" customHeight="1">
      <c r="A26" s="14">
        <f>IF('設定'!$C$16&gt;0,IF(20&lt;='設定'!$F$16,IF('設定'!$E$16=1,'設定'!$F$16+1-20,20),IF(20='設定'!$F$16+1,IF('設定'!$E$16=1,"前","後ろ"),"")),"")</f>
        <v/>
      </c>
      <c r="B26" s="21">
        <f>IF(ISNUMBER($A26),IFERROR(CHOOSE('設定'!$D$16-1,IFERROR(INDEX('入力シート'!$A$2:$A$41,MATCH(($A26-1)*2+1,'入力シート'!$F$2:$F$41,0)),""),IFERROR(INDEX('入力シート'!$A$2:$A$41,MATCH("男"&amp;($A26),'入力シート'!$I$2:$I$41,0)),"")),""),"")</f>
        <v/>
      </c>
      <c r="D26" s="21">
        <f>IF(ISNUMBER($A26),IFERROR(CHOOSE('設定'!$D$16-1,IFERROR(INDEX('入力シート'!$A$2:$A$41,MATCH(($A26-1)*2+2,'入力シート'!$F$2:$F$41,0)),""),IFERROR(INDEX('入力シート'!$A$2:$A$41,MATCH("女"&amp;($A26),'入力シート'!$I$2:$I$41,0)),"")),""),"")</f>
        <v/>
      </c>
      <c r="G26" s="14">
        <f>IF('設定'!$C$17&gt;0,IF(20&lt;='設定'!$F$17,IF('設定'!$E$17=1,'設定'!$F$17+1-20,20),IF(20='設定'!$F$17+1,IF('設定'!$E$17=1,"前","後ろ"),"")),"")</f>
        <v/>
      </c>
      <c r="H26" s="21">
        <f>IF(ISNUMBER($G26),IFERROR(CHOOSE('設定'!$D$17-1,IFERROR(INDEX('入力シート'!$A$2:$A$41,MATCH(($G26-1)*2+1,'入力シート'!$F$2:$F$41,0)),""),IFERROR(INDEX('入力シート'!$A$2:$A$41,MATCH("男"&amp;($G26),'入力シート'!$I$2:$I$41,0)),"")),""),"")</f>
        <v/>
      </c>
      <c r="J26" s="21">
        <f>IF(ISNUMBER($G26),IFERROR(CHOOSE('設定'!$D$17-1,IFERROR(INDEX('入力シート'!$A$2:$A$41,MATCH(($G26-1)*2+2,'入力シート'!$F$2:$F$41,0)),""),IFERROR(INDEX('入力シート'!$A$2:$A$41,MATCH("女"&amp;($G26),'入力シート'!$I$2:$I$41,0)),"")),""),"")</f>
        <v/>
      </c>
    </row>
    <row r="27" ht="15" customHeight="1">
      <c r="A27" s="14">
        <f>IF('設定'!$C$16&gt;0,IF(21&lt;='設定'!$F$16,IF('設定'!$E$16=1,'設定'!$F$16+1-21,21),IF(21='設定'!$F$16+1,IF('設定'!$E$16=1,"前","後ろ"),"")),"")</f>
        <v/>
      </c>
      <c r="B27" s="21">
        <f>IF(ISNUMBER($A27),IFERROR(CHOOSE('設定'!$D$16-1,IFERROR(INDEX('入力シート'!$A$2:$A$41,MATCH(($A27-1)*2+1,'入力シート'!$F$2:$F$41,0)),""),IFERROR(INDEX('入力シート'!$A$2:$A$41,MATCH("男"&amp;($A27),'入力シート'!$I$2:$I$41,0)),"")),""),"")</f>
        <v/>
      </c>
      <c r="D27" s="21">
        <f>IF(ISNUMBER($A27),IFERROR(CHOOSE('設定'!$D$16-1,IFERROR(INDEX('入力シート'!$A$2:$A$41,MATCH(($A27-1)*2+2,'入力シート'!$F$2:$F$41,0)),""),IFERROR(INDEX('入力シート'!$A$2:$A$41,MATCH("女"&amp;($A27),'入力シート'!$I$2:$I$41,0)),"")),""),"")</f>
        <v/>
      </c>
      <c r="G27" s="14">
        <f>IF('設定'!$C$17&gt;0,IF(21&lt;='設定'!$F$17,IF('設定'!$E$17=1,'設定'!$F$17+1-21,21),IF(21='設定'!$F$17+1,IF('設定'!$E$17=1,"前","後ろ"),"")),"")</f>
        <v/>
      </c>
      <c r="H27" s="21">
        <f>IF(ISNUMBER($G27),IFERROR(CHOOSE('設定'!$D$17-1,IFERROR(INDEX('入力シート'!$A$2:$A$41,MATCH(($G27-1)*2+1,'入力シート'!$F$2:$F$41,0)),""),IFERROR(INDEX('入力シート'!$A$2:$A$41,MATCH("男"&amp;($G27),'入力シート'!$I$2:$I$41,0)),"")),""),"")</f>
        <v/>
      </c>
      <c r="J27" s="21">
        <f>IF(ISNUMBER($G27),IFERROR(CHOOSE('設定'!$D$17-1,IFERROR(INDEX('入力シート'!$A$2:$A$41,MATCH(($G27-1)*2+2,'入力シート'!$F$2:$F$41,0)),""),IFERROR(INDEX('入力シート'!$A$2:$A$41,MATCH("女"&amp;($G27),'入力シート'!$I$2:$I$41,0)),"")),""),"")</f>
        <v/>
      </c>
    </row>
    <row r="28" ht="15" customHeight="1">
      <c r="A28" s="14">
        <f>IF('設定'!$C$16&gt;0,IF(22&lt;='設定'!$F$16,IF('設定'!$E$16=1,'設定'!$F$16+1-22,22),IF(22='設定'!$F$16+1,IF('設定'!$E$16=1,"前","後ろ"),"")),"")</f>
        <v/>
      </c>
      <c r="B28" s="21">
        <f>IF(ISNUMBER($A28),IFERROR(CHOOSE('設定'!$D$16-1,IFERROR(INDEX('入力シート'!$A$2:$A$41,MATCH(($A28-1)*2+1,'入力シート'!$F$2:$F$41,0)),""),IFERROR(INDEX('入力シート'!$A$2:$A$41,MATCH("男"&amp;($A28),'入力シート'!$I$2:$I$41,0)),"")),""),"")</f>
        <v/>
      </c>
      <c r="D28" s="21">
        <f>IF(ISNUMBER($A28),IFERROR(CHOOSE('設定'!$D$16-1,IFERROR(INDEX('入力シート'!$A$2:$A$41,MATCH(($A28-1)*2+2,'入力シート'!$F$2:$F$41,0)),""),IFERROR(INDEX('入力シート'!$A$2:$A$41,MATCH("女"&amp;($A28),'入力シート'!$I$2:$I$41,0)),"")),""),"")</f>
        <v/>
      </c>
      <c r="G28" s="14">
        <f>IF('設定'!$C$17&gt;0,IF(22&lt;='設定'!$F$17,IF('設定'!$E$17=1,'設定'!$F$17+1-22,22),IF(22='設定'!$F$17+1,IF('設定'!$E$17=1,"前","後ろ"),"")),"")</f>
        <v/>
      </c>
      <c r="H28" s="21">
        <f>IF(ISNUMBER($G28),IFERROR(CHOOSE('設定'!$D$17-1,IFERROR(INDEX('入力シート'!$A$2:$A$41,MATCH(($G28-1)*2+1,'入力シート'!$F$2:$F$41,0)),""),IFERROR(INDEX('入力シート'!$A$2:$A$41,MATCH("男"&amp;($G28),'入力シート'!$I$2:$I$41,0)),"")),""),"")</f>
        <v/>
      </c>
      <c r="J28" s="21">
        <f>IF(ISNUMBER($G28),IFERROR(CHOOSE('設定'!$D$17-1,IFERROR(INDEX('入力シート'!$A$2:$A$41,MATCH(($G28-1)*2+2,'入力シート'!$F$2:$F$41,0)),""),IFERROR(INDEX('入力シート'!$A$2:$A$41,MATCH("女"&amp;($G28),'入力シート'!$I$2:$I$41,0)),"")),""),"")</f>
        <v/>
      </c>
    </row>
    <row r="29" ht="15" customHeight="1">
      <c r="A29" s="14">
        <f>IF('設定'!$C$16&gt;0,IF(23&lt;='設定'!$F$16,IF('設定'!$E$16=1,'設定'!$F$16+1-23,23),IF(23='設定'!$F$16+1,IF('設定'!$E$16=1,"前","後ろ"),"")),"")</f>
        <v/>
      </c>
      <c r="B29" s="21">
        <f>IF(ISNUMBER($A29),IFERROR(CHOOSE('設定'!$D$16-1,IFERROR(INDEX('入力シート'!$A$2:$A$41,MATCH(($A29-1)*2+1,'入力シート'!$F$2:$F$41,0)),""),IFERROR(INDEX('入力シート'!$A$2:$A$41,MATCH("男"&amp;($A29),'入力シート'!$I$2:$I$41,0)),"")),""),"")</f>
        <v/>
      </c>
      <c r="D29" s="21">
        <f>IF(ISNUMBER($A29),IFERROR(CHOOSE('設定'!$D$16-1,IFERROR(INDEX('入力シート'!$A$2:$A$41,MATCH(($A29-1)*2+2,'入力シート'!$F$2:$F$41,0)),""),IFERROR(INDEX('入力シート'!$A$2:$A$41,MATCH("女"&amp;($A29),'入力シート'!$I$2:$I$41,0)),"")),""),"")</f>
        <v/>
      </c>
      <c r="G29" s="14">
        <f>IF('設定'!$C$17&gt;0,IF(23&lt;='設定'!$F$17,IF('設定'!$E$17=1,'設定'!$F$17+1-23,23),IF(23='設定'!$F$17+1,IF('設定'!$E$17=1,"前","後ろ"),"")),"")</f>
        <v/>
      </c>
      <c r="H29" s="21">
        <f>IF(ISNUMBER($G29),IFERROR(CHOOSE('設定'!$D$17-1,IFERROR(INDEX('入力シート'!$A$2:$A$41,MATCH(($G29-1)*2+1,'入力シート'!$F$2:$F$41,0)),""),IFERROR(INDEX('入力シート'!$A$2:$A$41,MATCH("男"&amp;($G29),'入力シート'!$I$2:$I$41,0)),"")),""),"")</f>
        <v/>
      </c>
      <c r="J29" s="21">
        <f>IF(ISNUMBER($G29),IFERROR(CHOOSE('設定'!$D$17-1,IFERROR(INDEX('入力シート'!$A$2:$A$41,MATCH(($G29-1)*2+2,'入力シート'!$F$2:$F$41,0)),""),IFERROR(INDEX('入力シート'!$A$2:$A$41,MATCH("女"&amp;($G29),'入力シート'!$I$2:$I$41,0)),"")),""),"")</f>
        <v/>
      </c>
    </row>
    <row r="30" ht="15" customHeight="1">
      <c r="A30" s="16">
        <f>IF('設定'!$C$16&gt;0,IF(('設定'!$F$16)&gt;22,"⚠ 入りきらない子がいます ","")&amp;IF(AND('設定'!$H$16,'入力シート'!$M$16&gt;0),"⚠ 男女が未入力の子："&amp;'入力シート'!$M$16&amp;"人",""),"")</f>
        <v/>
      </c>
      <c r="G30" s="16">
        <f>IF('設定'!$C$17&gt;0,IF(('設定'!$F$17)&gt;22,"⚠ 入りきらない子がいます ","")&amp;IF(AND('設定'!$H$17,'入力シート'!$M$16&gt;0),"⚠ 男女が未入力の子："&amp;'入力シート'!$M$16&amp;"人",""),"")</f>
        <v/>
      </c>
    </row>
    <row r="31" ht="15" customHeight="1"/>
    <row r="32" ht="15" customHeight="1">
      <c r="A32" s="2">
        <f>'設定'!$G$18</f>
        <v/>
      </c>
      <c r="G32" s="2">
        <f>'設定'!$G$19</f>
        <v/>
      </c>
    </row>
    <row r="33" ht="15" customHeight="1">
      <c r="B33" s="20">
        <f>IF('設定'!$D$18=7,"男子","")</f>
        <v/>
      </c>
      <c r="C33" s="20">
        <f>IF('設定'!$D$18=7,"男子","")</f>
        <v/>
      </c>
      <c r="D33" s="20">
        <f>IF('設定'!$D$18=7,"女子","")</f>
        <v/>
      </c>
      <c r="E33" s="20">
        <f>IF('設定'!$D$18=7,"女子","")</f>
        <v/>
      </c>
      <c r="H33" s="20">
        <f>IF('設定'!$D$19=7,"男子","")</f>
        <v/>
      </c>
      <c r="I33" s="20">
        <f>IF('設定'!$D$19=7,"男子","")</f>
        <v/>
      </c>
      <c r="J33" s="20">
        <f>IF('設定'!$D$19=7,"女子","")</f>
        <v/>
      </c>
      <c r="K33" s="20">
        <f>IF('設定'!$D$19=7,"女子","")</f>
        <v/>
      </c>
    </row>
    <row r="34" ht="15" customHeight="1">
      <c r="A34" s="14">
        <f>IF('設定'!$C$18&gt;0,IF('設定'!$E$18=1,"後ろ","前"),"")</f>
        <v/>
      </c>
      <c r="B34" s="21">
        <f>IF(ISNUMBER($A34),IFERROR(CHOOSE('設定'!$D$18-3,IFERROR(INDEX('入力シート'!$A$2:$A$41,MATCH(($A34-1)*4+1,'入力シート'!$F$2:$F$41,0)),""),IFERROR(INDEX('入力シート'!$A$2:$A$41,MATCH(IF(MOD($A34,2)=1,($A34-1)*4+1,($A34-1)*4+4),'入力シート'!$F$2:$F$41,0)),""),IFERROR(INDEX('入力シート'!$A$2:$A$41,MATCH(($A34-1)*4+3,'入力シート'!$F$2:$F$41,0)),""),IFERROR(INDEX('入力シート'!$A$2:$A$41,MATCH("男"&amp;(($A34-1)*2+1),'入力シート'!$I$2:$I$41,0)),"")),""),"")</f>
        <v/>
      </c>
      <c r="C34" s="21">
        <f>IF(ISNUMBER($A34),IFERROR(CHOOSE('設定'!$D$18-3,IFERROR(INDEX('入力シート'!$A$2:$A$41,MATCH(($A34-1)*4+2,'入力シート'!$F$2:$F$41,0)),""),IFERROR(INDEX('入力シート'!$A$2:$A$41,MATCH(IF(MOD($A34,2)=1,($A34-1)*4+2,($A34-1)*4+3),'入力シート'!$F$2:$F$41,0)),""),IFERROR(INDEX('入力シート'!$A$2:$A$41,MATCH(($A34-1)*4+1,'入力シート'!$F$2:$F$41,0)),""),IFERROR(INDEX('入力シート'!$A$2:$A$41,MATCH("男"&amp;(($A34-1)*2+2),'入力シート'!$I$2:$I$41,0)),"")),""),"")</f>
        <v/>
      </c>
      <c r="D34" s="21">
        <f>IF(ISNUMBER($A34),IFERROR(CHOOSE('設定'!$D$18-3,IFERROR(INDEX('入力シート'!$A$2:$A$41,MATCH(($A34-1)*4+3,'入力シート'!$F$2:$F$41,0)),""),IFERROR(INDEX('入力シート'!$A$2:$A$41,MATCH(IF(MOD($A34,2)=1,($A34-1)*4+3,($A34-1)*4+2),'入力シート'!$F$2:$F$41,0)),""),IFERROR(INDEX('入力シート'!$A$2:$A$41,MATCH(($A34-1)*4+2,'入力シート'!$F$2:$F$41,0)),""),IFERROR(INDEX('入力シート'!$A$2:$A$41,MATCH("女"&amp;(($A34-1)*2+1),'入力シート'!$I$2:$I$41,0)),"")),""),"")</f>
        <v/>
      </c>
      <c r="E34" s="21">
        <f>IF(ISNUMBER($A34),IFERROR(CHOOSE('設定'!$D$18-3,IFERROR(INDEX('入力シート'!$A$2:$A$41,MATCH(($A34-1)*4+4,'入力シート'!$F$2:$F$41,0)),""),IFERROR(INDEX('入力シート'!$A$2:$A$41,MATCH(IF(MOD($A34,2)=1,($A34-1)*4+4,($A34-1)*4+1),'入力シート'!$F$2:$F$41,0)),""),IFERROR(INDEX('入力シート'!$A$2:$A$41,MATCH(($A34-1)*4+4,'入力シート'!$F$2:$F$41,0)),""),IFERROR(INDEX('入力シート'!$A$2:$A$41,MATCH("女"&amp;(($A34-1)*2+2),'入力シート'!$I$2:$I$41,0)),"")),""),"")</f>
        <v/>
      </c>
      <c r="G34" s="14">
        <f>IF('設定'!$C$19&gt;0,IF('設定'!$E$19=1,"後ろ","前"),"")</f>
        <v/>
      </c>
      <c r="H34" s="21">
        <f>IF(ISNUMBER($G34),IFERROR(CHOOSE('設定'!$D$19-3,IFERROR(INDEX('入力シート'!$A$2:$A$41,MATCH(($G34-1)*4+1,'入力シート'!$F$2:$F$41,0)),""),IFERROR(INDEX('入力シート'!$A$2:$A$41,MATCH(IF(MOD($G34,2)=1,($G34-1)*4+1,($G34-1)*4+4),'入力シート'!$F$2:$F$41,0)),""),IFERROR(INDEX('入力シート'!$A$2:$A$41,MATCH(($G34-1)*4+3,'入力シート'!$F$2:$F$41,0)),""),IFERROR(INDEX('入力シート'!$A$2:$A$41,MATCH("男"&amp;(($G34-1)*2+1),'入力シート'!$I$2:$I$41,0)),"")),""),"")</f>
        <v/>
      </c>
      <c r="I34" s="21">
        <f>IF(ISNUMBER($G34),IFERROR(CHOOSE('設定'!$D$19-3,IFERROR(INDEX('入力シート'!$A$2:$A$41,MATCH(($G34-1)*4+2,'入力シート'!$F$2:$F$41,0)),""),IFERROR(INDEX('入力シート'!$A$2:$A$41,MATCH(IF(MOD($G34,2)=1,($G34-1)*4+2,($G34-1)*4+3),'入力シート'!$F$2:$F$41,0)),""),IFERROR(INDEX('入力シート'!$A$2:$A$41,MATCH(($G34-1)*4+1,'入力シート'!$F$2:$F$41,0)),""),IFERROR(INDEX('入力シート'!$A$2:$A$41,MATCH("男"&amp;(($G34-1)*2+2),'入力シート'!$I$2:$I$41,0)),"")),""),"")</f>
        <v/>
      </c>
      <c r="J34" s="21">
        <f>IF(ISNUMBER($G34),IFERROR(CHOOSE('設定'!$D$19-3,IFERROR(INDEX('入力シート'!$A$2:$A$41,MATCH(($G34-1)*4+3,'入力シート'!$F$2:$F$41,0)),""),IFERROR(INDEX('入力シート'!$A$2:$A$41,MATCH(IF(MOD($G34,2)=1,($G34-1)*4+3,($G34-1)*4+2),'入力シート'!$F$2:$F$41,0)),""),IFERROR(INDEX('入力シート'!$A$2:$A$41,MATCH(($G34-1)*4+2,'入力シート'!$F$2:$F$41,0)),""),IFERROR(INDEX('入力シート'!$A$2:$A$41,MATCH("女"&amp;(($G34-1)*2+1),'入力シート'!$I$2:$I$41,0)),"")),""),"")</f>
        <v/>
      </c>
      <c r="K34" s="21">
        <f>IF(ISNUMBER($G34),IFERROR(CHOOSE('設定'!$D$19-3,IFERROR(INDEX('入力シート'!$A$2:$A$41,MATCH(($G34-1)*4+4,'入力シート'!$F$2:$F$41,0)),""),IFERROR(INDEX('入力シート'!$A$2:$A$41,MATCH(IF(MOD($G34,2)=1,($G34-1)*4+4,($G34-1)*4+1),'入力シート'!$F$2:$F$41,0)),""),IFERROR(INDEX('入力シート'!$A$2:$A$41,MATCH(($G34-1)*4+4,'入力シート'!$F$2:$F$41,0)),""),IFERROR(INDEX('入力シート'!$A$2:$A$41,MATCH("女"&amp;(($G34-1)*2+2),'入力シート'!$I$2:$I$41,0)),"")),""),"")</f>
        <v/>
      </c>
    </row>
    <row r="35" ht="15" customHeight="1">
      <c r="A35" s="14">
        <f>IF('設定'!$C$18&gt;0,IF(1&lt;='設定'!$F$18,IF('設定'!$E$18=1,'設定'!$F$18+1-1,1),IF(1='設定'!$F$18+1,IF('設定'!$E$18=1,"前","後ろ"),"")),"")</f>
        <v/>
      </c>
      <c r="B35" s="21">
        <f>IF(ISNUMBER($A35),IFERROR(CHOOSE('設定'!$D$18-3,IFERROR(INDEX('入力シート'!$A$2:$A$41,MATCH(($A35-1)*4+1,'入力シート'!$F$2:$F$41,0)),""),IFERROR(INDEX('入力シート'!$A$2:$A$41,MATCH(IF(MOD($A35,2)=1,($A35-1)*4+1,($A35-1)*4+4),'入力シート'!$F$2:$F$41,0)),""),IFERROR(INDEX('入力シート'!$A$2:$A$41,MATCH(($A35-1)*4+3,'入力シート'!$F$2:$F$41,0)),""),IFERROR(INDEX('入力シート'!$A$2:$A$41,MATCH("男"&amp;(($A35-1)*2+1),'入力シート'!$I$2:$I$41,0)),"")),""),"")</f>
        <v/>
      </c>
      <c r="C35" s="21">
        <f>IF(ISNUMBER($A35),IFERROR(CHOOSE('設定'!$D$18-3,IFERROR(INDEX('入力シート'!$A$2:$A$41,MATCH(($A35-1)*4+2,'入力シート'!$F$2:$F$41,0)),""),IFERROR(INDEX('入力シート'!$A$2:$A$41,MATCH(IF(MOD($A35,2)=1,($A35-1)*4+2,($A35-1)*4+3),'入力シート'!$F$2:$F$41,0)),""),IFERROR(INDEX('入力シート'!$A$2:$A$41,MATCH(($A35-1)*4+1,'入力シート'!$F$2:$F$41,0)),""),IFERROR(INDEX('入力シート'!$A$2:$A$41,MATCH("男"&amp;(($A35-1)*2+2),'入力シート'!$I$2:$I$41,0)),"")),""),"")</f>
        <v/>
      </c>
      <c r="D35" s="21">
        <f>IF(ISNUMBER($A35),IFERROR(CHOOSE('設定'!$D$18-3,IFERROR(INDEX('入力シート'!$A$2:$A$41,MATCH(($A35-1)*4+3,'入力シート'!$F$2:$F$41,0)),""),IFERROR(INDEX('入力シート'!$A$2:$A$41,MATCH(IF(MOD($A35,2)=1,($A35-1)*4+3,($A35-1)*4+2),'入力シート'!$F$2:$F$41,0)),""),IFERROR(INDEX('入力シート'!$A$2:$A$41,MATCH(($A35-1)*4+2,'入力シート'!$F$2:$F$41,0)),""),IFERROR(INDEX('入力シート'!$A$2:$A$41,MATCH("女"&amp;(($A35-1)*2+1),'入力シート'!$I$2:$I$41,0)),"")),""),"")</f>
        <v/>
      </c>
      <c r="E35" s="21">
        <f>IF(ISNUMBER($A35),IFERROR(CHOOSE('設定'!$D$18-3,IFERROR(INDEX('入力シート'!$A$2:$A$41,MATCH(($A35-1)*4+4,'入力シート'!$F$2:$F$41,0)),""),IFERROR(INDEX('入力シート'!$A$2:$A$41,MATCH(IF(MOD($A35,2)=1,($A35-1)*4+4,($A35-1)*4+1),'入力シート'!$F$2:$F$41,0)),""),IFERROR(INDEX('入力シート'!$A$2:$A$41,MATCH(($A35-1)*4+4,'入力シート'!$F$2:$F$41,0)),""),IFERROR(INDEX('入力シート'!$A$2:$A$41,MATCH("女"&amp;(($A35-1)*2+2),'入力シート'!$I$2:$I$41,0)),"")),""),"")</f>
        <v/>
      </c>
      <c r="G35" s="14">
        <f>IF('設定'!$C$19&gt;0,IF(1&lt;='設定'!$F$19,IF('設定'!$E$19=1,'設定'!$F$19+1-1,1),IF(1='設定'!$F$19+1,IF('設定'!$E$19=1,"前","後ろ"),"")),"")</f>
        <v/>
      </c>
      <c r="H35" s="21">
        <f>IF(ISNUMBER($G35),IFERROR(CHOOSE('設定'!$D$19-3,IFERROR(INDEX('入力シート'!$A$2:$A$41,MATCH(($G35-1)*4+1,'入力シート'!$F$2:$F$41,0)),""),IFERROR(INDEX('入力シート'!$A$2:$A$41,MATCH(IF(MOD($G35,2)=1,($G35-1)*4+1,($G35-1)*4+4),'入力シート'!$F$2:$F$41,0)),""),IFERROR(INDEX('入力シート'!$A$2:$A$41,MATCH(($G35-1)*4+3,'入力シート'!$F$2:$F$41,0)),""),IFERROR(INDEX('入力シート'!$A$2:$A$41,MATCH("男"&amp;(($G35-1)*2+1),'入力シート'!$I$2:$I$41,0)),"")),""),"")</f>
        <v/>
      </c>
      <c r="I35" s="21">
        <f>IF(ISNUMBER($G35),IFERROR(CHOOSE('設定'!$D$19-3,IFERROR(INDEX('入力シート'!$A$2:$A$41,MATCH(($G35-1)*4+2,'入力シート'!$F$2:$F$41,0)),""),IFERROR(INDEX('入力シート'!$A$2:$A$41,MATCH(IF(MOD($G35,2)=1,($G35-1)*4+2,($G35-1)*4+3),'入力シート'!$F$2:$F$41,0)),""),IFERROR(INDEX('入力シート'!$A$2:$A$41,MATCH(($G35-1)*4+1,'入力シート'!$F$2:$F$41,0)),""),IFERROR(INDEX('入力シート'!$A$2:$A$41,MATCH("男"&amp;(($G35-1)*2+2),'入力シート'!$I$2:$I$41,0)),"")),""),"")</f>
        <v/>
      </c>
      <c r="J35" s="21">
        <f>IF(ISNUMBER($G35),IFERROR(CHOOSE('設定'!$D$19-3,IFERROR(INDEX('入力シート'!$A$2:$A$41,MATCH(($G35-1)*4+3,'入力シート'!$F$2:$F$41,0)),""),IFERROR(INDEX('入力シート'!$A$2:$A$41,MATCH(IF(MOD($G35,2)=1,($G35-1)*4+3,($G35-1)*4+2),'入力シート'!$F$2:$F$41,0)),""),IFERROR(INDEX('入力シート'!$A$2:$A$41,MATCH(($G35-1)*4+2,'入力シート'!$F$2:$F$41,0)),""),IFERROR(INDEX('入力シート'!$A$2:$A$41,MATCH("女"&amp;(($G35-1)*2+1),'入力シート'!$I$2:$I$41,0)),"")),""),"")</f>
        <v/>
      </c>
      <c r="K35" s="21">
        <f>IF(ISNUMBER($G35),IFERROR(CHOOSE('設定'!$D$19-3,IFERROR(INDEX('入力シート'!$A$2:$A$41,MATCH(($G35-1)*4+4,'入力シート'!$F$2:$F$41,0)),""),IFERROR(INDEX('入力シート'!$A$2:$A$41,MATCH(IF(MOD($G35,2)=1,($G35-1)*4+4,($G35-1)*4+1),'入力シート'!$F$2:$F$41,0)),""),IFERROR(INDEX('入力シート'!$A$2:$A$41,MATCH(($G35-1)*4+4,'入力シート'!$F$2:$F$41,0)),""),IFERROR(INDEX('入力シート'!$A$2:$A$41,MATCH("女"&amp;(($G35-1)*2+2),'入力シート'!$I$2:$I$41,0)),"")),""),"")</f>
        <v/>
      </c>
    </row>
    <row r="36" ht="15" customHeight="1">
      <c r="A36" s="14">
        <f>IF('設定'!$C$18&gt;0,IF(2&lt;='設定'!$F$18,IF('設定'!$E$18=1,'設定'!$F$18+1-2,2),IF(2='設定'!$F$18+1,IF('設定'!$E$18=1,"前","後ろ"),"")),"")</f>
        <v/>
      </c>
      <c r="B36" s="21">
        <f>IF(ISNUMBER($A36),IFERROR(CHOOSE('設定'!$D$18-3,IFERROR(INDEX('入力シート'!$A$2:$A$41,MATCH(($A36-1)*4+1,'入力シート'!$F$2:$F$41,0)),""),IFERROR(INDEX('入力シート'!$A$2:$A$41,MATCH(IF(MOD($A36,2)=1,($A36-1)*4+1,($A36-1)*4+4),'入力シート'!$F$2:$F$41,0)),""),IFERROR(INDEX('入力シート'!$A$2:$A$41,MATCH(($A36-1)*4+3,'入力シート'!$F$2:$F$41,0)),""),IFERROR(INDEX('入力シート'!$A$2:$A$41,MATCH("男"&amp;(($A36-1)*2+1),'入力シート'!$I$2:$I$41,0)),"")),""),"")</f>
        <v/>
      </c>
      <c r="C36" s="21">
        <f>IF(ISNUMBER($A36),IFERROR(CHOOSE('設定'!$D$18-3,IFERROR(INDEX('入力シート'!$A$2:$A$41,MATCH(($A36-1)*4+2,'入力シート'!$F$2:$F$41,0)),""),IFERROR(INDEX('入力シート'!$A$2:$A$41,MATCH(IF(MOD($A36,2)=1,($A36-1)*4+2,($A36-1)*4+3),'入力シート'!$F$2:$F$41,0)),""),IFERROR(INDEX('入力シート'!$A$2:$A$41,MATCH(($A36-1)*4+1,'入力シート'!$F$2:$F$41,0)),""),IFERROR(INDEX('入力シート'!$A$2:$A$41,MATCH("男"&amp;(($A36-1)*2+2),'入力シート'!$I$2:$I$41,0)),"")),""),"")</f>
        <v/>
      </c>
      <c r="D36" s="21">
        <f>IF(ISNUMBER($A36),IFERROR(CHOOSE('設定'!$D$18-3,IFERROR(INDEX('入力シート'!$A$2:$A$41,MATCH(($A36-1)*4+3,'入力シート'!$F$2:$F$41,0)),""),IFERROR(INDEX('入力シート'!$A$2:$A$41,MATCH(IF(MOD($A36,2)=1,($A36-1)*4+3,($A36-1)*4+2),'入力シート'!$F$2:$F$41,0)),""),IFERROR(INDEX('入力シート'!$A$2:$A$41,MATCH(($A36-1)*4+2,'入力シート'!$F$2:$F$41,0)),""),IFERROR(INDEX('入力シート'!$A$2:$A$41,MATCH("女"&amp;(($A36-1)*2+1),'入力シート'!$I$2:$I$41,0)),"")),""),"")</f>
        <v/>
      </c>
      <c r="E36" s="21">
        <f>IF(ISNUMBER($A36),IFERROR(CHOOSE('設定'!$D$18-3,IFERROR(INDEX('入力シート'!$A$2:$A$41,MATCH(($A36-1)*4+4,'入力シート'!$F$2:$F$41,0)),""),IFERROR(INDEX('入力シート'!$A$2:$A$41,MATCH(IF(MOD($A36,2)=1,($A36-1)*4+4,($A36-1)*4+1),'入力シート'!$F$2:$F$41,0)),""),IFERROR(INDEX('入力シート'!$A$2:$A$41,MATCH(($A36-1)*4+4,'入力シート'!$F$2:$F$41,0)),""),IFERROR(INDEX('入力シート'!$A$2:$A$41,MATCH("女"&amp;(($A36-1)*2+2),'入力シート'!$I$2:$I$41,0)),"")),""),"")</f>
        <v/>
      </c>
      <c r="G36" s="14">
        <f>IF('設定'!$C$19&gt;0,IF(2&lt;='設定'!$F$19,IF('設定'!$E$19=1,'設定'!$F$19+1-2,2),IF(2='設定'!$F$19+1,IF('設定'!$E$19=1,"前","後ろ"),"")),"")</f>
        <v/>
      </c>
      <c r="H36" s="21">
        <f>IF(ISNUMBER($G36),IFERROR(CHOOSE('設定'!$D$19-3,IFERROR(INDEX('入力シート'!$A$2:$A$41,MATCH(($G36-1)*4+1,'入力シート'!$F$2:$F$41,0)),""),IFERROR(INDEX('入力シート'!$A$2:$A$41,MATCH(IF(MOD($G36,2)=1,($G36-1)*4+1,($G36-1)*4+4),'入力シート'!$F$2:$F$41,0)),""),IFERROR(INDEX('入力シート'!$A$2:$A$41,MATCH(($G36-1)*4+3,'入力シート'!$F$2:$F$41,0)),""),IFERROR(INDEX('入力シート'!$A$2:$A$41,MATCH("男"&amp;(($G36-1)*2+1),'入力シート'!$I$2:$I$41,0)),"")),""),"")</f>
        <v/>
      </c>
      <c r="I36" s="21">
        <f>IF(ISNUMBER($G36),IFERROR(CHOOSE('設定'!$D$19-3,IFERROR(INDEX('入力シート'!$A$2:$A$41,MATCH(($G36-1)*4+2,'入力シート'!$F$2:$F$41,0)),""),IFERROR(INDEX('入力シート'!$A$2:$A$41,MATCH(IF(MOD($G36,2)=1,($G36-1)*4+2,($G36-1)*4+3),'入力シート'!$F$2:$F$41,0)),""),IFERROR(INDEX('入力シート'!$A$2:$A$41,MATCH(($G36-1)*4+1,'入力シート'!$F$2:$F$41,0)),""),IFERROR(INDEX('入力シート'!$A$2:$A$41,MATCH("男"&amp;(($G36-1)*2+2),'入力シート'!$I$2:$I$41,0)),"")),""),"")</f>
        <v/>
      </c>
      <c r="J36" s="21">
        <f>IF(ISNUMBER($G36),IFERROR(CHOOSE('設定'!$D$19-3,IFERROR(INDEX('入力シート'!$A$2:$A$41,MATCH(($G36-1)*4+3,'入力シート'!$F$2:$F$41,0)),""),IFERROR(INDEX('入力シート'!$A$2:$A$41,MATCH(IF(MOD($G36,2)=1,($G36-1)*4+3,($G36-1)*4+2),'入力シート'!$F$2:$F$41,0)),""),IFERROR(INDEX('入力シート'!$A$2:$A$41,MATCH(($G36-1)*4+2,'入力シート'!$F$2:$F$41,0)),""),IFERROR(INDEX('入力シート'!$A$2:$A$41,MATCH("女"&amp;(($G36-1)*2+1),'入力シート'!$I$2:$I$41,0)),"")),""),"")</f>
        <v/>
      </c>
      <c r="K36" s="21">
        <f>IF(ISNUMBER($G36),IFERROR(CHOOSE('設定'!$D$19-3,IFERROR(INDEX('入力シート'!$A$2:$A$41,MATCH(($G36-1)*4+4,'入力シート'!$F$2:$F$41,0)),""),IFERROR(INDEX('入力シート'!$A$2:$A$41,MATCH(IF(MOD($G36,2)=1,($G36-1)*4+4,($G36-1)*4+1),'入力シート'!$F$2:$F$41,0)),""),IFERROR(INDEX('入力シート'!$A$2:$A$41,MATCH(($G36-1)*4+4,'入力シート'!$F$2:$F$41,0)),""),IFERROR(INDEX('入力シート'!$A$2:$A$41,MATCH("女"&amp;(($G36-1)*2+2),'入力シート'!$I$2:$I$41,0)),"")),""),"")</f>
        <v/>
      </c>
    </row>
    <row r="37" ht="15" customHeight="1">
      <c r="A37" s="14">
        <f>IF('設定'!$C$18&gt;0,IF(3&lt;='設定'!$F$18,IF('設定'!$E$18=1,'設定'!$F$18+1-3,3),IF(3='設定'!$F$18+1,IF('設定'!$E$18=1,"前","後ろ"),"")),"")</f>
        <v/>
      </c>
      <c r="B37" s="21">
        <f>IF(ISNUMBER($A37),IFERROR(CHOOSE('設定'!$D$18-3,IFERROR(INDEX('入力シート'!$A$2:$A$41,MATCH(($A37-1)*4+1,'入力シート'!$F$2:$F$41,0)),""),IFERROR(INDEX('入力シート'!$A$2:$A$41,MATCH(IF(MOD($A37,2)=1,($A37-1)*4+1,($A37-1)*4+4),'入力シート'!$F$2:$F$41,0)),""),IFERROR(INDEX('入力シート'!$A$2:$A$41,MATCH(($A37-1)*4+3,'入力シート'!$F$2:$F$41,0)),""),IFERROR(INDEX('入力シート'!$A$2:$A$41,MATCH("男"&amp;(($A37-1)*2+1),'入力シート'!$I$2:$I$41,0)),"")),""),"")</f>
        <v/>
      </c>
      <c r="C37" s="21">
        <f>IF(ISNUMBER($A37),IFERROR(CHOOSE('設定'!$D$18-3,IFERROR(INDEX('入力シート'!$A$2:$A$41,MATCH(($A37-1)*4+2,'入力シート'!$F$2:$F$41,0)),""),IFERROR(INDEX('入力シート'!$A$2:$A$41,MATCH(IF(MOD($A37,2)=1,($A37-1)*4+2,($A37-1)*4+3),'入力シート'!$F$2:$F$41,0)),""),IFERROR(INDEX('入力シート'!$A$2:$A$41,MATCH(($A37-1)*4+1,'入力シート'!$F$2:$F$41,0)),""),IFERROR(INDEX('入力シート'!$A$2:$A$41,MATCH("男"&amp;(($A37-1)*2+2),'入力シート'!$I$2:$I$41,0)),"")),""),"")</f>
        <v/>
      </c>
      <c r="D37" s="21">
        <f>IF(ISNUMBER($A37),IFERROR(CHOOSE('設定'!$D$18-3,IFERROR(INDEX('入力シート'!$A$2:$A$41,MATCH(($A37-1)*4+3,'入力シート'!$F$2:$F$41,0)),""),IFERROR(INDEX('入力シート'!$A$2:$A$41,MATCH(IF(MOD($A37,2)=1,($A37-1)*4+3,($A37-1)*4+2),'入力シート'!$F$2:$F$41,0)),""),IFERROR(INDEX('入力シート'!$A$2:$A$41,MATCH(($A37-1)*4+2,'入力シート'!$F$2:$F$41,0)),""),IFERROR(INDEX('入力シート'!$A$2:$A$41,MATCH("女"&amp;(($A37-1)*2+1),'入力シート'!$I$2:$I$41,0)),"")),""),"")</f>
        <v/>
      </c>
      <c r="E37" s="21">
        <f>IF(ISNUMBER($A37),IFERROR(CHOOSE('設定'!$D$18-3,IFERROR(INDEX('入力シート'!$A$2:$A$41,MATCH(($A37-1)*4+4,'入力シート'!$F$2:$F$41,0)),""),IFERROR(INDEX('入力シート'!$A$2:$A$41,MATCH(IF(MOD($A37,2)=1,($A37-1)*4+4,($A37-1)*4+1),'入力シート'!$F$2:$F$41,0)),""),IFERROR(INDEX('入力シート'!$A$2:$A$41,MATCH(($A37-1)*4+4,'入力シート'!$F$2:$F$41,0)),""),IFERROR(INDEX('入力シート'!$A$2:$A$41,MATCH("女"&amp;(($A37-1)*2+2),'入力シート'!$I$2:$I$41,0)),"")),""),"")</f>
        <v/>
      </c>
      <c r="G37" s="14">
        <f>IF('設定'!$C$19&gt;0,IF(3&lt;='設定'!$F$19,IF('設定'!$E$19=1,'設定'!$F$19+1-3,3),IF(3='設定'!$F$19+1,IF('設定'!$E$19=1,"前","後ろ"),"")),"")</f>
        <v/>
      </c>
      <c r="H37" s="21">
        <f>IF(ISNUMBER($G37),IFERROR(CHOOSE('設定'!$D$19-3,IFERROR(INDEX('入力シート'!$A$2:$A$41,MATCH(($G37-1)*4+1,'入力シート'!$F$2:$F$41,0)),""),IFERROR(INDEX('入力シート'!$A$2:$A$41,MATCH(IF(MOD($G37,2)=1,($G37-1)*4+1,($G37-1)*4+4),'入力シート'!$F$2:$F$41,0)),""),IFERROR(INDEX('入力シート'!$A$2:$A$41,MATCH(($G37-1)*4+3,'入力シート'!$F$2:$F$41,0)),""),IFERROR(INDEX('入力シート'!$A$2:$A$41,MATCH("男"&amp;(($G37-1)*2+1),'入力シート'!$I$2:$I$41,0)),"")),""),"")</f>
        <v/>
      </c>
      <c r="I37" s="21">
        <f>IF(ISNUMBER($G37),IFERROR(CHOOSE('設定'!$D$19-3,IFERROR(INDEX('入力シート'!$A$2:$A$41,MATCH(($G37-1)*4+2,'入力シート'!$F$2:$F$41,0)),""),IFERROR(INDEX('入力シート'!$A$2:$A$41,MATCH(IF(MOD($G37,2)=1,($G37-1)*4+2,($G37-1)*4+3),'入力シート'!$F$2:$F$41,0)),""),IFERROR(INDEX('入力シート'!$A$2:$A$41,MATCH(($G37-1)*4+1,'入力シート'!$F$2:$F$41,0)),""),IFERROR(INDEX('入力シート'!$A$2:$A$41,MATCH("男"&amp;(($G37-1)*2+2),'入力シート'!$I$2:$I$41,0)),"")),""),"")</f>
        <v/>
      </c>
      <c r="J37" s="21">
        <f>IF(ISNUMBER($G37),IFERROR(CHOOSE('設定'!$D$19-3,IFERROR(INDEX('入力シート'!$A$2:$A$41,MATCH(($G37-1)*4+3,'入力シート'!$F$2:$F$41,0)),""),IFERROR(INDEX('入力シート'!$A$2:$A$41,MATCH(IF(MOD($G37,2)=1,($G37-1)*4+3,($G37-1)*4+2),'入力シート'!$F$2:$F$41,0)),""),IFERROR(INDEX('入力シート'!$A$2:$A$41,MATCH(($G37-1)*4+2,'入力シート'!$F$2:$F$41,0)),""),IFERROR(INDEX('入力シート'!$A$2:$A$41,MATCH("女"&amp;(($G37-1)*2+1),'入力シート'!$I$2:$I$41,0)),"")),""),"")</f>
        <v/>
      </c>
      <c r="K37" s="21">
        <f>IF(ISNUMBER($G37),IFERROR(CHOOSE('設定'!$D$19-3,IFERROR(INDEX('入力シート'!$A$2:$A$41,MATCH(($G37-1)*4+4,'入力シート'!$F$2:$F$41,0)),""),IFERROR(INDEX('入力シート'!$A$2:$A$41,MATCH(IF(MOD($G37,2)=1,($G37-1)*4+4,($G37-1)*4+1),'入力シート'!$F$2:$F$41,0)),""),IFERROR(INDEX('入力シート'!$A$2:$A$41,MATCH(($G37-1)*4+4,'入力シート'!$F$2:$F$41,0)),""),IFERROR(INDEX('入力シート'!$A$2:$A$41,MATCH("女"&amp;(($G37-1)*2+2),'入力シート'!$I$2:$I$41,0)),"")),""),"")</f>
        <v/>
      </c>
    </row>
    <row r="38" ht="15" customHeight="1">
      <c r="A38" s="14">
        <f>IF('設定'!$C$18&gt;0,IF(4&lt;='設定'!$F$18,IF('設定'!$E$18=1,'設定'!$F$18+1-4,4),IF(4='設定'!$F$18+1,IF('設定'!$E$18=1,"前","後ろ"),"")),"")</f>
        <v/>
      </c>
      <c r="B38" s="21">
        <f>IF(ISNUMBER($A38),IFERROR(CHOOSE('設定'!$D$18-3,IFERROR(INDEX('入力シート'!$A$2:$A$41,MATCH(($A38-1)*4+1,'入力シート'!$F$2:$F$41,0)),""),IFERROR(INDEX('入力シート'!$A$2:$A$41,MATCH(IF(MOD($A38,2)=1,($A38-1)*4+1,($A38-1)*4+4),'入力シート'!$F$2:$F$41,0)),""),IFERROR(INDEX('入力シート'!$A$2:$A$41,MATCH(($A38-1)*4+3,'入力シート'!$F$2:$F$41,0)),""),IFERROR(INDEX('入力シート'!$A$2:$A$41,MATCH("男"&amp;(($A38-1)*2+1),'入力シート'!$I$2:$I$41,0)),"")),""),"")</f>
        <v/>
      </c>
      <c r="C38" s="21">
        <f>IF(ISNUMBER($A38),IFERROR(CHOOSE('設定'!$D$18-3,IFERROR(INDEX('入力シート'!$A$2:$A$41,MATCH(($A38-1)*4+2,'入力シート'!$F$2:$F$41,0)),""),IFERROR(INDEX('入力シート'!$A$2:$A$41,MATCH(IF(MOD($A38,2)=1,($A38-1)*4+2,($A38-1)*4+3),'入力シート'!$F$2:$F$41,0)),""),IFERROR(INDEX('入力シート'!$A$2:$A$41,MATCH(($A38-1)*4+1,'入力シート'!$F$2:$F$41,0)),""),IFERROR(INDEX('入力シート'!$A$2:$A$41,MATCH("男"&amp;(($A38-1)*2+2),'入力シート'!$I$2:$I$41,0)),"")),""),"")</f>
        <v/>
      </c>
      <c r="D38" s="21">
        <f>IF(ISNUMBER($A38),IFERROR(CHOOSE('設定'!$D$18-3,IFERROR(INDEX('入力シート'!$A$2:$A$41,MATCH(($A38-1)*4+3,'入力シート'!$F$2:$F$41,0)),""),IFERROR(INDEX('入力シート'!$A$2:$A$41,MATCH(IF(MOD($A38,2)=1,($A38-1)*4+3,($A38-1)*4+2),'入力シート'!$F$2:$F$41,0)),""),IFERROR(INDEX('入力シート'!$A$2:$A$41,MATCH(($A38-1)*4+2,'入力シート'!$F$2:$F$41,0)),""),IFERROR(INDEX('入力シート'!$A$2:$A$41,MATCH("女"&amp;(($A38-1)*2+1),'入力シート'!$I$2:$I$41,0)),"")),""),"")</f>
        <v/>
      </c>
      <c r="E38" s="21">
        <f>IF(ISNUMBER($A38),IFERROR(CHOOSE('設定'!$D$18-3,IFERROR(INDEX('入力シート'!$A$2:$A$41,MATCH(($A38-1)*4+4,'入力シート'!$F$2:$F$41,0)),""),IFERROR(INDEX('入力シート'!$A$2:$A$41,MATCH(IF(MOD($A38,2)=1,($A38-1)*4+4,($A38-1)*4+1),'入力シート'!$F$2:$F$41,0)),""),IFERROR(INDEX('入力シート'!$A$2:$A$41,MATCH(($A38-1)*4+4,'入力シート'!$F$2:$F$41,0)),""),IFERROR(INDEX('入力シート'!$A$2:$A$41,MATCH("女"&amp;(($A38-1)*2+2),'入力シート'!$I$2:$I$41,0)),"")),""),"")</f>
        <v/>
      </c>
      <c r="G38" s="14">
        <f>IF('設定'!$C$19&gt;0,IF(4&lt;='設定'!$F$19,IF('設定'!$E$19=1,'設定'!$F$19+1-4,4),IF(4='設定'!$F$19+1,IF('設定'!$E$19=1,"前","後ろ"),"")),"")</f>
        <v/>
      </c>
      <c r="H38" s="21">
        <f>IF(ISNUMBER($G38),IFERROR(CHOOSE('設定'!$D$19-3,IFERROR(INDEX('入力シート'!$A$2:$A$41,MATCH(($G38-1)*4+1,'入力シート'!$F$2:$F$41,0)),""),IFERROR(INDEX('入力シート'!$A$2:$A$41,MATCH(IF(MOD($G38,2)=1,($G38-1)*4+1,($G38-1)*4+4),'入力シート'!$F$2:$F$41,0)),""),IFERROR(INDEX('入力シート'!$A$2:$A$41,MATCH(($G38-1)*4+3,'入力シート'!$F$2:$F$41,0)),""),IFERROR(INDEX('入力シート'!$A$2:$A$41,MATCH("男"&amp;(($G38-1)*2+1),'入力シート'!$I$2:$I$41,0)),"")),""),"")</f>
        <v/>
      </c>
      <c r="I38" s="21">
        <f>IF(ISNUMBER($G38),IFERROR(CHOOSE('設定'!$D$19-3,IFERROR(INDEX('入力シート'!$A$2:$A$41,MATCH(($G38-1)*4+2,'入力シート'!$F$2:$F$41,0)),""),IFERROR(INDEX('入力シート'!$A$2:$A$41,MATCH(IF(MOD($G38,2)=1,($G38-1)*4+2,($G38-1)*4+3),'入力シート'!$F$2:$F$41,0)),""),IFERROR(INDEX('入力シート'!$A$2:$A$41,MATCH(($G38-1)*4+1,'入力シート'!$F$2:$F$41,0)),""),IFERROR(INDEX('入力シート'!$A$2:$A$41,MATCH("男"&amp;(($G38-1)*2+2),'入力シート'!$I$2:$I$41,0)),"")),""),"")</f>
        <v/>
      </c>
      <c r="J38" s="21">
        <f>IF(ISNUMBER($G38),IFERROR(CHOOSE('設定'!$D$19-3,IFERROR(INDEX('入力シート'!$A$2:$A$41,MATCH(($G38-1)*4+3,'入力シート'!$F$2:$F$41,0)),""),IFERROR(INDEX('入力シート'!$A$2:$A$41,MATCH(IF(MOD($G38,2)=1,($G38-1)*4+3,($G38-1)*4+2),'入力シート'!$F$2:$F$41,0)),""),IFERROR(INDEX('入力シート'!$A$2:$A$41,MATCH(($G38-1)*4+2,'入力シート'!$F$2:$F$41,0)),""),IFERROR(INDEX('入力シート'!$A$2:$A$41,MATCH("女"&amp;(($G38-1)*2+1),'入力シート'!$I$2:$I$41,0)),"")),""),"")</f>
        <v/>
      </c>
      <c r="K38" s="21">
        <f>IF(ISNUMBER($G38),IFERROR(CHOOSE('設定'!$D$19-3,IFERROR(INDEX('入力シート'!$A$2:$A$41,MATCH(($G38-1)*4+4,'入力シート'!$F$2:$F$41,0)),""),IFERROR(INDEX('入力シート'!$A$2:$A$41,MATCH(IF(MOD($G38,2)=1,($G38-1)*4+4,($G38-1)*4+1),'入力シート'!$F$2:$F$41,0)),""),IFERROR(INDEX('入力シート'!$A$2:$A$41,MATCH(($G38-1)*4+4,'入力シート'!$F$2:$F$41,0)),""),IFERROR(INDEX('入力シート'!$A$2:$A$41,MATCH("女"&amp;(($G38-1)*2+2),'入力シート'!$I$2:$I$41,0)),"")),""),"")</f>
        <v/>
      </c>
    </row>
    <row r="39" ht="15" customHeight="1">
      <c r="A39" s="14">
        <f>IF('設定'!$C$18&gt;0,IF(5&lt;='設定'!$F$18,IF('設定'!$E$18=1,'設定'!$F$18+1-5,5),IF(5='設定'!$F$18+1,IF('設定'!$E$18=1,"前","後ろ"),"")),"")</f>
        <v/>
      </c>
      <c r="B39" s="21">
        <f>IF(ISNUMBER($A39),IFERROR(CHOOSE('設定'!$D$18-3,IFERROR(INDEX('入力シート'!$A$2:$A$41,MATCH(($A39-1)*4+1,'入力シート'!$F$2:$F$41,0)),""),IFERROR(INDEX('入力シート'!$A$2:$A$41,MATCH(IF(MOD($A39,2)=1,($A39-1)*4+1,($A39-1)*4+4),'入力シート'!$F$2:$F$41,0)),""),IFERROR(INDEX('入力シート'!$A$2:$A$41,MATCH(($A39-1)*4+3,'入力シート'!$F$2:$F$41,0)),""),IFERROR(INDEX('入力シート'!$A$2:$A$41,MATCH("男"&amp;(($A39-1)*2+1),'入力シート'!$I$2:$I$41,0)),"")),""),"")</f>
        <v/>
      </c>
      <c r="C39" s="21">
        <f>IF(ISNUMBER($A39),IFERROR(CHOOSE('設定'!$D$18-3,IFERROR(INDEX('入力シート'!$A$2:$A$41,MATCH(($A39-1)*4+2,'入力シート'!$F$2:$F$41,0)),""),IFERROR(INDEX('入力シート'!$A$2:$A$41,MATCH(IF(MOD($A39,2)=1,($A39-1)*4+2,($A39-1)*4+3),'入力シート'!$F$2:$F$41,0)),""),IFERROR(INDEX('入力シート'!$A$2:$A$41,MATCH(($A39-1)*4+1,'入力シート'!$F$2:$F$41,0)),""),IFERROR(INDEX('入力シート'!$A$2:$A$41,MATCH("男"&amp;(($A39-1)*2+2),'入力シート'!$I$2:$I$41,0)),"")),""),"")</f>
        <v/>
      </c>
      <c r="D39" s="21">
        <f>IF(ISNUMBER($A39),IFERROR(CHOOSE('設定'!$D$18-3,IFERROR(INDEX('入力シート'!$A$2:$A$41,MATCH(($A39-1)*4+3,'入力シート'!$F$2:$F$41,0)),""),IFERROR(INDEX('入力シート'!$A$2:$A$41,MATCH(IF(MOD($A39,2)=1,($A39-1)*4+3,($A39-1)*4+2),'入力シート'!$F$2:$F$41,0)),""),IFERROR(INDEX('入力シート'!$A$2:$A$41,MATCH(($A39-1)*4+2,'入力シート'!$F$2:$F$41,0)),""),IFERROR(INDEX('入力シート'!$A$2:$A$41,MATCH("女"&amp;(($A39-1)*2+1),'入力シート'!$I$2:$I$41,0)),"")),""),"")</f>
        <v/>
      </c>
      <c r="E39" s="21">
        <f>IF(ISNUMBER($A39),IFERROR(CHOOSE('設定'!$D$18-3,IFERROR(INDEX('入力シート'!$A$2:$A$41,MATCH(($A39-1)*4+4,'入力シート'!$F$2:$F$41,0)),""),IFERROR(INDEX('入力シート'!$A$2:$A$41,MATCH(IF(MOD($A39,2)=1,($A39-1)*4+4,($A39-1)*4+1),'入力シート'!$F$2:$F$41,0)),""),IFERROR(INDEX('入力シート'!$A$2:$A$41,MATCH(($A39-1)*4+4,'入力シート'!$F$2:$F$41,0)),""),IFERROR(INDEX('入力シート'!$A$2:$A$41,MATCH("女"&amp;(($A39-1)*2+2),'入力シート'!$I$2:$I$41,0)),"")),""),"")</f>
        <v/>
      </c>
      <c r="G39" s="14">
        <f>IF('設定'!$C$19&gt;0,IF(5&lt;='設定'!$F$19,IF('設定'!$E$19=1,'設定'!$F$19+1-5,5),IF(5='設定'!$F$19+1,IF('設定'!$E$19=1,"前","後ろ"),"")),"")</f>
        <v/>
      </c>
      <c r="H39" s="21">
        <f>IF(ISNUMBER($G39),IFERROR(CHOOSE('設定'!$D$19-3,IFERROR(INDEX('入力シート'!$A$2:$A$41,MATCH(($G39-1)*4+1,'入力シート'!$F$2:$F$41,0)),""),IFERROR(INDEX('入力シート'!$A$2:$A$41,MATCH(IF(MOD($G39,2)=1,($G39-1)*4+1,($G39-1)*4+4),'入力シート'!$F$2:$F$41,0)),""),IFERROR(INDEX('入力シート'!$A$2:$A$41,MATCH(($G39-1)*4+3,'入力シート'!$F$2:$F$41,0)),""),IFERROR(INDEX('入力シート'!$A$2:$A$41,MATCH("男"&amp;(($G39-1)*2+1),'入力シート'!$I$2:$I$41,0)),"")),""),"")</f>
        <v/>
      </c>
      <c r="I39" s="21">
        <f>IF(ISNUMBER($G39),IFERROR(CHOOSE('設定'!$D$19-3,IFERROR(INDEX('入力シート'!$A$2:$A$41,MATCH(($G39-1)*4+2,'入力シート'!$F$2:$F$41,0)),""),IFERROR(INDEX('入力シート'!$A$2:$A$41,MATCH(IF(MOD($G39,2)=1,($G39-1)*4+2,($G39-1)*4+3),'入力シート'!$F$2:$F$41,0)),""),IFERROR(INDEX('入力シート'!$A$2:$A$41,MATCH(($G39-1)*4+1,'入力シート'!$F$2:$F$41,0)),""),IFERROR(INDEX('入力シート'!$A$2:$A$41,MATCH("男"&amp;(($G39-1)*2+2),'入力シート'!$I$2:$I$41,0)),"")),""),"")</f>
        <v/>
      </c>
      <c r="J39" s="21">
        <f>IF(ISNUMBER($G39),IFERROR(CHOOSE('設定'!$D$19-3,IFERROR(INDEX('入力シート'!$A$2:$A$41,MATCH(($G39-1)*4+3,'入力シート'!$F$2:$F$41,0)),""),IFERROR(INDEX('入力シート'!$A$2:$A$41,MATCH(IF(MOD($G39,2)=1,($G39-1)*4+3,($G39-1)*4+2),'入力シート'!$F$2:$F$41,0)),""),IFERROR(INDEX('入力シート'!$A$2:$A$41,MATCH(($G39-1)*4+2,'入力シート'!$F$2:$F$41,0)),""),IFERROR(INDEX('入力シート'!$A$2:$A$41,MATCH("女"&amp;(($G39-1)*2+1),'入力シート'!$I$2:$I$41,0)),"")),""),"")</f>
        <v/>
      </c>
      <c r="K39" s="21">
        <f>IF(ISNUMBER($G39),IFERROR(CHOOSE('設定'!$D$19-3,IFERROR(INDEX('入力シート'!$A$2:$A$41,MATCH(($G39-1)*4+4,'入力シート'!$F$2:$F$41,0)),""),IFERROR(INDEX('入力シート'!$A$2:$A$41,MATCH(IF(MOD($G39,2)=1,($G39-1)*4+4,($G39-1)*4+1),'入力シート'!$F$2:$F$41,0)),""),IFERROR(INDEX('入力シート'!$A$2:$A$41,MATCH(($G39-1)*4+4,'入力シート'!$F$2:$F$41,0)),""),IFERROR(INDEX('入力シート'!$A$2:$A$41,MATCH("女"&amp;(($G39-1)*2+2),'入力シート'!$I$2:$I$41,0)),"")),""),"")</f>
        <v/>
      </c>
    </row>
    <row r="40" ht="15" customHeight="1">
      <c r="A40" s="14">
        <f>IF('設定'!$C$18&gt;0,IF(6&lt;='設定'!$F$18,IF('設定'!$E$18=1,'設定'!$F$18+1-6,6),IF(6='設定'!$F$18+1,IF('設定'!$E$18=1,"前","後ろ"),"")),"")</f>
        <v/>
      </c>
      <c r="B40" s="21">
        <f>IF(ISNUMBER($A40),IFERROR(CHOOSE('設定'!$D$18-3,IFERROR(INDEX('入力シート'!$A$2:$A$41,MATCH(($A40-1)*4+1,'入力シート'!$F$2:$F$41,0)),""),IFERROR(INDEX('入力シート'!$A$2:$A$41,MATCH(IF(MOD($A40,2)=1,($A40-1)*4+1,($A40-1)*4+4),'入力シート'!$F$2:$F$41,0)),""),IFERROR(INDEX('入力シート'!$A$2:$A$41,MATCH(($A40-1)*4+3,'入力シート'!$F$2:$F$41,0)),""),IFERROR(INDEX('入力シート'!$A$2:$A$41,MATCH("男"&amp;(($A40-1)*2+1),'入力シート'!$I$2:$I$41,0)),"")),""),"")</f>
        <v/>
      </c>
      <c r="C40" s="21">
        <f>IF(ISNUMBER($A40),IFERROR(CHOOSE('設定'!$D$18-3,IFERROR(INDEX('入力シート'!$A$2:$A$41,MATCH(($A40-1)*4+2,'入力シート'!$F$2:$F$41,0)),""),IFERROR(INDEX('入力シート'!$A$2:$A$41,MATCH(IF(MOD($A40,2)=1,($A40-1)*4+2,($A40-1)*4+3),'入力シート'!$F$2:$F$41,0)),""),IFERROR(INDEX('入力シート'!$A$2:$A$41,MATCH(($A40-1)*4+1,'入力シート'!$F$2:$F$41,0)),""),IFERROR(INDEX('入力シート'!$A$2:$A$41,MATCH("男"&amp;(($A40-1)*2+2),'入力シート'!$I$2:$I$41,0)),"")),""),"")</f>
        <v/>
      </c>
      <c r="D40" s="21">
        <f>IF(ISNUMBER($A40),IFERROR(CHOOSE('設定'!$D$18-3,IFERROR(INDEX('入力シート'!$A$2:$A$41,MATCH(($A40-1)*4+3,'入力シート'!$F$2:$F$41,0)),""),IFERROR(INDEX('入力シート'!$A$2:$A$41,MATCH(IF(MOD($A40,2)=1,($A40-1)*4+3,($A40-1)*4+2),'入力シート'!$F$2:$F$41,0)),""),IFERROR(INDEX('入力シート'!$A$2:$A$41,MATCH(($A40-1)*4+2,'入力シート'!$F$2:$F$41,0)),""),IFERROR(INDEX('入力シート'!$A$2:$A$41,MATCH("女"&amp;(($A40-1)*2+1),'入力シート'!$I$2:$I$41,0)),"")),""),"")</f>
        <v/>
      </c>
      <c r="E40" s="21">
        <f>IF(ISNUMBER($A40),IFERROR(CHOOSE('設定'!$D$18-3,IFERROR(INDEX('入力シート'!$A$2:$A$41,MATCH(($A40-1)*4+4,'入力シート'!$F$2:$F$41,0)),""),IFERROR(INDEX('入力シート'!$A$2:$A$41,MATCH(IF(MOD($A40,2)=1,($A40-1)*4+4,($A40-1)*4+1),'入力シート'!$F$2:$F$41,0)),""),IFERROR(INDEX('入力シート'!$A$2:$A$41,MATCH(($A40-1)*4+4,'入力シート'!$F$2:$F$41,0)),""),IFERROR(INDEX('入力シート'!$A$2:$A$41,MATCH("女"&amp;(($A40-1)*2+2),'入力シート'!$I$2:$I$41,0)),"")),""),"")</f>
        <v/>
      </c>
      <c r="G40" s="14">
        <f>IF('設定'!$C$19&gt;0,IF(6&lt;='設定'!$F$19,IF('設定'!$E$19=1,'設定'!$F$19+1-6,6),IF(6='設定'!$F$19+1,IF('設定'!$E$19=1,"前","後ろ"),"")),"")</f>
        <v/>
      </c>
      <c r="H40" s="21">
        <f>IF(ISNUMBER($G40),IFERROR(CHOOSE('設定'!$D$19-3,IFERROR(INDEX('入力シート'!$A$2:$A$41,MATCH(($G40-1)*4+1,'入力シート'!$F$2:$F$41,0)),""),IFERROR(INDEX('入力シート'!$A$2:$A$41,MATCH(IF(MOD($G40,2)=1,($G40-1)*4+1,($G40-1)*4+4),'入力シート'!$F$2:$F$41,0)),""),IFERROR(INDEX('入力シート'!$A$2:$A$41,MATCH(($G40-1)*4+3,'入力シート'!$F$2:$F$41,0)),""),IFERROR(INDEX('入力シート'!$A$2:$A$41,MATCH("男"&amp;(($G40-1)*2+1),'入力シート'!$I$2:$I$41,0)),"")),""),"")</f>
        <v/>
      </c>
      <c r="I40" s="21">
        <f>IF(ISNUMBER($G40),IFERROR(CHOOSE('設定'!$D$19-3,IFERROR(INDEX('入力シート'!$A$2:$A$41,MATCH(($G40-1)*4+2,'入力シート'!$F$2:$F$41,0)),""),IFERROR(INDEX('入力シート'!$A$2:$A$41,MATCH(IF(MOD($G40,2)=1,($G40-1)*4+2,($G40-1)*4+3),'入力シート'!$F$2:$F$41,0)),""),IFERROR(INDEX('入力シート'!$A$2:$A$41,MATCH(($G40-1)*4+1,'入力シート'!$F$2:$F$41,0)),""),IFERROR(INDEX('入力シート'!$A$2:$A$41,MATCH("男"&amp;(($G40-1)*2+2),'入力シート'!$I$2:$I$41,0)),"")),""),"")</f>
        <v/>
      </c>
      <c r="J40" s="21">
        <f>IF(ISNUMBER($G40),IFERROR(CHOOSE('設定'!$D$19-3,IFERROR(INDEX('入力シート'!$A$2:$A$41,MATCH(($G40-1)*4+3,'入力シート'!$F$2:$F$41,0)),""),IFERROR(INDEX('入力シート'!$A$2:$A$41,MATCH(IF(MOD($G40,2)=1,($G40-1)*4+3,($G40-1)*4+2),'入力シート'!$F$2:$F$41,0)),""),IFERROR(INDEX('入力シート'!$A$2:$A$41,MATCH(($G40-1)*4+2,'入力シート'!$F$2:$F$41,0)),""),IFERROR(INDEX('入力シート'!$A$2:$A$41,MATCH("女"&amp;(($G40-1)*2+1),'入力シート'!$I$2:$I$41,0)),"")),""),"")</f>
        <v/>
      </c>
      <c r="K40" s="21">
        <f>IF(ISNUMBER($G40),IFERROR(CHOOSE('設定'!$D$19-3,IFERROR(INDEX('入力シート'!$A$2:$A$41,MATCH(($G40-1)*4+4,'入力シート'!$F$2:$F$41,0)),""),IFERROR(INDEX('入力シート'!$A$2:$A$41,MATCH(IF(MOD($G40,2)=1,($G40-1)*4+4,($G40-1)*4+1),'入力シート'!$F$2:$F$41,0)),""),IFERROR(INDEX('入力シート'!$A$2:$A$41,MATCH(($G40-1)*4+4,'入力シート'!$F$2:$F$41,0)),""),IFERROR(INDEX('入力シート'!$A$2:$A$41,MATCH("女"&amp;(($G40-1)*2+2),'入力シート'!$I$2:$I$41,0)),"")),""),"")</f>
        <v/>
      </c>
    </row>
    <row r="41" ht="15" customHeight="1">
      <c r="A41" s="14">
        <f>IF('設定'!$C$18&gt;0,IF(7&lt;='設定'!$F$18,IF('設定'!$E$18=1,'設定'!$F$18+1-7,7),IF(7='設定'!$F$18+1,IF('設定'!$E$18=1,"前","後ろ"),"")),"")</f>
        <v/>
      </c>
      <c r="B41" s="21">
        <f>IF(ISNUMBER($A41),IFERROR(CHOOSE('設定'!$D$18-3,IFERROR(INDEX('入力シート'!$A$2:$A$41,MATCH(($A41-1)*4+1,'入力シート'!$F$2:$F$41,0)),""),IFERROR(INDEX('入力シート'!$A$2:$A$41,MATCH(IF(MOD($A41,2)=1,($A41-1)*4+1,($A41-1)*4+4),'入力シート'!$F$2:$F$41,0)),""),IFERROR(INDEX('入力シート'!$A$2:$A$41,MATCH(($A41-1)*4+3,'入力シート'!$F$2:$F$41,0)),""),IFERROR(INDEX('入力シート'!$A$2:$A$41,MATCH("男"&amp;(($A41-1)*2+1),'入力シート'!$I$2:$I$41,0)),"")),""),"")</f>
        <v/>
      </c>
      <c r="C41" s="21">
        <f>IF(ISNUMBER($A41),IFERROR(CHOOSE('設定'!$D$18-3,IFERROR(INDEX('入力シート'!$A$2:$A$41,MATCH(($A41-1)*4+2,'入力シート'!$F$2:$F$41,0)),""),IFERROR(INDEX('入力シート'!$A$2:$A$41,MATCH(IF(MOD($A41,2)=1,($A41-1)*4+2,($A41-1)*4+3),'入力シート'!$F$2:$F$41,0)),""),IFERROR(INDEX('入力シート'!$A$2:$A$41,MATCH(($A41-1)*4+1,'入力シート'!$F$2:$F$41,0)),""),IFERROR(INDEX('入力シート'!$A$2:$A$41,MATCH("男"&amp;(($A41-1)*2+2),'入力シート'!$I$2:$I$41,0)),"")),""),"")</f>
        <v/>
      </c>
      <c r="D41" s="21">
        <f>IF(ISNUMBER($A41),IFERROR(CHOOSE('設定'!$D$18-3,IFERROR(INDEX('入力シート'!$A$2:$A$41,MATCH(($A41-1)*4+3,'入力シート'!$F$2:$F$41,0)),""),IFERROR(INDEX('入力シート'!$A$2:$A$41,MATCH(IF(MOD($A41,2)=1,($A41-1)*4+3,($A41-1)*4+2),'入力シート'!$F$2:$F$41,0)),""),IFERROR(INDEX('入力シート'!$A$2:$A$41,MATCH(($A41-1)*4+2,'入力シート'!$F$2:$F$41,0)),""),IFERROR(INDEX('入力シート'!$A$2:$A$41,MATCH("女"&amp;(($A41-1)*2+1),'入力シート'!$I$2:$I$41,0)),"")),""),"")</f>
        <v/>
      </c>
      <c r="E41" s="21">
        <f>IF(ISNUMBER($A41),IFERROR(CHOOSE('設定'!$D$18-3,IFERROR(INDEX('入力シート'!$A$2:$A$41,MATCH(($A41-1)*4+4,'入力シート'!$F$2:$F$41,0)),""),IFERROR(INDEX('入力シート'!$A$2:$A$41,MATCH(IF(MOD($A41,2)=1,($A41-1)*4+4,($A41-1)*4+1),'入力シート'!$F$2:$F$41,0)),""),IFERROR(INDEX('入力シート'!$A$2:$A$41,MATCH(($A41-1)*4+4,'入力シート'!$F$2:$F$41,0)),""),IFERROR(INDEX('入力シート'!$A$2:$A$41,MATCH("女"&amp;(($A41-1)*2+2),'入力シート'!$I$2:$I$41,0)),"")),""),"")</f>
        <v/>
      </c>
      <c r="G41" s="14">
        <f>IF('設定'!$C$19&gt;0,IF(7&lt;='設定'!$F$19,IF('設定'!$E$19=1,'設定'!$F$19+1-7,7),IF(7='設定'!$F$19+1,IF('設定'!$E$19=1,"前","後ろ"),"")),"")</f>
        <v/>
      </c>
      <c r="H41" s="21">
        <f>IF(ISNUMBER($G41),IFERROR(CHOOSE('設定'!$D$19-3,IFERROR(INDEX('入力シート'!$A$2:$A$41,MATCH(($G41-1)*4+1,'入力シート'!$F$2:$F$41,0)),""),IFERROR(INDEX('入力シート'!$A$2:$A$41,MATCH(IF(MOD($G41,2)=1,($G41-1)*4+1,($G41-1)*4+4),'入力シート'!$F$2:$F$41,0)),""),IFERROR(INDEX('入力シート'!$A$2:$A$41,MATCH(($G41-1)*4+3,'入力シート'!$F$2:$F$41,0)),""),IFERROR(INDEX('入力シート'!$A$2:$A$41,MATCH("男"&amp;(($G41-1)*2+1),'入力シート'!$I$2:$I$41,0)),"")),""),"")</f>
        <v/>
      </c>
      <c r="I41" s="21">
        <f>IF(ISNUMBER($G41),IFERROR(CHOOSE('設定'!$D$19-3,IFERROR(INDEX('入力シート'!$A$2:$A$41,MATCH(($G41-1)*4+2,'入力シート'!$F$2:$F$41,0)),""),IFERROR(INDEX('入力シート'!$A$2:$A$41,MATCH(IF(MOD($G41,2)=1,($G41-1)*4+2,($G41-1)*4+3),'入力シート'!$F$2:$F$41,0)),""),IFERROR(INDEX('入力シート'!$A$2:$A$41,MATCH(($G41-1)*4+1,'入力シート'!$F$2:$F$41,0)),""),IFERROR(INDEX('入力シート'!$A$2:$A$41,MATCH("男"&amp;(($G41-1)*2+2),'入力シート'!$I$2:$I$41,0)),"")),""),"")</f>
        <v/>
      </c>
      <c r="J41" s="21">
        <f>IF(ISNUMBER($G41),IFERROR(CHOOSE('設定'!$D$19-3,IFERROR(INDEX('入力シート'!$A$2:$A$41,MATCH(($G41-1)*4+3,'入力シート'!$F$2:$F$41,0)),""),IFERROR(INDEX('入力シート'!$A$2:$A$41,MATCH(IF(MOD($G41,2)=1,($G41-1)*4+3,($G41-1)*4+2),'入力シート'!$F$2:$F$41,0)),""),IFERROR(INDEX('入力シート'!$A$2:$A$41,MATCH(($G41-1)*4+2,'入力シート'!$F$2:$F$41,0)),""),IFERROR(INDEX('入力シート'!$A$2:$A$41,MATCH("女"&amp;(($G41-1)*2+1),'入力シート'!$I$2:$I$41,0)),"")),""),"")</f>
        <v/>
      </c>
      <c r="K41" s="21">
        <f>IF(ISNUMBER($G41),IFERROR(CHOOSE('設定'!$D$19-3,IFERROR(INDEX('入力シート'!$A$2:$A$41,MATCH(($G41-1)*4+4,'入力シート'!$F$2:$F$41,0)),""),IFERROR(INDEX('入力シート'!$A$2:$A$41,MATCH(IF(MOD($G41,2)=1,($G41-1)*4+4,($G41-1)*4+1),'入力シート'!$F$2:$F$41,0)),""),IFERROR(INDEX('入力シート'!$A$2:$A$41,MATCH(($G41-1)*4+4,'入力シート'!$F$2:$F$41,0)),""),IFERROR(INDEX('入力シート'!$A$2:$A$41,MATCH("女"&amp;(($G41-1)*2+2),'入力シート'!$I$2:$I$41,0)),"")),""),"")</f>
        <v/>
      </c>
    </row>
    <row r="42" ht="15" customHeight="1">
      <c r="A42" s="14">
        <f>IF('設定'!$C$18&gt;0,IF(8&lt;='設定'!$F$18,IF('設定'!$E$18=1,'設定'!$F$18+1-8,8),IF(8='設定'!$F$18+1,IF('設定'!$E$18=1,"前","後ろ"),"")),"")</f>
        <v/>
      </c>
      <c r="B42" s="21">
        <f>IF(ISNUMBER($A42),IFERROR(CHOOSE('設定'!$D$18-3,IFERROR(INDEX('入力シート'!$A$2:$A$41,MATCH(($A42-1)*4+1,'入力シート'!$F$2:$F$41,0)),""),IFERROR(INDEX('入力シート'!$A$2:$A$41,MATCH(IF(MOD($A42,2)=1,($A42-1)*4+1,($A42-1)*4+4),'入力シート'!$F$2:$F$41,0)),""),IFERROR(INDEX('入力シート'!$A$2:$A$41,MATCH(($A42-1)*4+3,'入力シート'!$F$2:$F$41,0)),""),IFERROR(INDEX('入力シート'!$A$2:$A$41,MATCH("男"&amp;(($A42-1)*2+1),'入力シート'!$I$2:$I$41,0)),"")),""),"")</f>
        <v/>
      </c>
      <c r="C42" s="21">
        <f>IF(ISNUMBER($A42),IFERROR(CHOOSE('設定'!$D$18-3,IFERROR(INDEX('入力シート'!$A$2:$A$41,MATCH(($A42-1)*4+2,'入力シート'!$F$2:$F$41,0)),""),IFERROR(INDEX('入力シート'!$A$2:$A$41,MATCH(IF(MOD($A42,2)=1,($A42-1)*4+2,($A42-1)*4+3),'入力シート'!$F$2:$F$41,0)),""),IFERROR(INDEX('入力シート'!$A$2:$A$41,MATCH(($A42-1)*4+1,'入力シート'!$F$2:$F$41,0)),""),IFERROR(INDEX('入力シート'!$A$2:$A$41,MATCH("男"&amp;(($A42-1)*2+2),'入力シート'!$I$2:$I$41,0)),"")),""),"")</f>
        <v/>
      </c>
      <c r="D42" s="21">
        <f>IF(ISNUMBER($A42),IFERROR(CHOOSE('設定'!$D$18-3,IFERROR(INDEX('入力シート'!$A$2:$A$41,MATCH(($A42-1)*4+3,'入力シート'!$F$2:$F$41,0)),""),IFERROR(INDEX('入力シート'!$A$2:$A$41,MATCH(IF(MOD($A42,2)=1,($A42-1)*4+3,($A42-1)*4+2),'入力シート'!$F$2:$F$41,0)),""),IFERROR(INDEX('入力シート'!$A$2:$A$41,MATCH(($A42-1)*4+2,'入力シート'!$F$2:$F$41,0)),""),IFERROR(INDEX('入力シート'!$A$2:$A$41,MATCH("女"&amp;(($A42-1)*2+1),'入力シート'!$I$2:$I$41,0)),"")),""),"")</f>
        <v/>
      </c>
      <c r="E42" s="21">
        <f>IF(ISNUMBER($A42),IFERROR(CHOOSE('設定'!$D$18-3,IFERROR(INDEX('入力シート'!$A$2:$A$41,MATCH(($A42-1)*4+4,'入力シート'!$F$2:$F$41,0)),""),IFERROR(INDEX('入力シート'!$A$2:$A$41,MATCH(IF(MOD($A42,2)=1,($A42-1)*4+4,($A42-1)*4+1),'入力シート'!$F$2:$F$41,0)),""),IFERROR(INDEX('入力シート'!$A$2:$A$41,MATCH(($A42-1)*4+4,'入力シート'!$F$2:$F$41,0)),""),IFERROR(INDEX('入力シート'!$A$2:$A$41,MATCH("女"&amp;(($A42-1)*2+2),'入力シート'!$I$2:$I$41,0)),"")),""),"")</f>
        <v/>
      </c>
      <c r="G42" s="14">
        <f>IF('設定'!$C$19&gt;0,IF(8&lt;='設定'!$F$19,IF('設定'!$E$19=1,'設定'!$F$19+1-8,8),IF(8='設定'!$F$19+1,IF('設定'!$E$19=1,"前","後ろ"),"")),"")</f>
        <v/>
      </c>
      <c r="H42" s="21">
        <f>IF(ISNUMBER($G42),IFERROR(CHOOSE('設定'!$D$19-3,IFERROR(INDEX('入力シート'!$A$2:$A$41,MATCH(($G42-1)*4+1,'入力シート'!$F$2:$F$41,0)),""),IFERROR(INDEX('入力シート'!$A$2:$A$41,MATCH(IF(MOD($G42,2)=1,($G42-1)*4+1,($G42-1)*4+4),'入力シート'!$F$2:$F$41,0)),""),IFERROR(INDEX('入力シート'!$A$2:$A$41,MATCH(($G42-1)*4+3,'入力シート'!$F$2:$F$41,0)),""),IFERROR(INDEX('入力シート'!$A$2:$A$41,MATCH("男"&amp;(($G42-1)*2+1),'入力シート'!$I$2:$I$41,0)),"")),""),"")</f>
        <v/>
      </c>
      <c r="I42" s="21">
        <f>IF(ISNUMBER($G42),IFERROR(CHOOSE('設定'!$D$19-3,IFERROR(INDEX('入力シート'!$A$2:$A$41,MATCH(($G42-1)*4+2,'入力シート'!$F$2:$F$41,0)),""),IFERROR(INDEX('入力シート'!$A$2:$A$41,MATCH(IF(MOD($G42,2)=1,($G42-1)*4+2,($G42-1)*4+3),'入力シート'!$F$2:$F$41,0)),""),IFERROR(INDEX('入力シート'!$A$2:$A$41,MATCH(($G42-1)*4+1,'入力シート'!$F$2:$F$41,0)),""),IFERROR(INDEX('入力シート'!$A$2:$A$41,MATCH("男"&amp;(($G42-1)*2+2),'入力シート'!$I$2:$I$41,0)),"")),""),"")</f>
        <v/>
      </c>
      <c r="J42" s="21">
        <f>IF(ISNUMBER($G42),IFERROR(CHOOSE('設定'!$D$19-3,IFERROR(INDEX('入力シート'!$A$2:$A$41,MATCH(($G42-1)*4+3,'入力シート'!$F$2:$F$41,0)),""),IFERROR(INDEX('入力シート'!$A$2:$A$41,MATCH(IF(MOD($G42,2)=1,($G42-1)*4+3,($G42-1)*4+2),'入力シート'!$F$2:$F$41,0)),""),IFERROR(INDEX('入力シート'!$A$2:$A$41,MATCH(($G42-1)*4+2,'入力シート'!$F$2:$F$41,0)),""),IFERROR(INDEX('入力シート'!$A$2:$A$41,MATCH("女"&amp;(($G42-1)*2+1),'入力シート'!$I$2:$I$41,0)),"")),""),"")</f>
        <v/>
      </c>
      <c r="K42" s="21">
        <f>IF(ISNUMBER($G42),IFERROR(CHOOSE('設定'!$D$19-3,IFERROR(INDEX('入力シート'!$A$2:$A$41,MATCH(($G42-1)*4+4,'入力シート'!$F$2:$F$41,0)),""),IFERROR(INDEX('入力シート'!$A$2:$A$41,MATCH(IF(MOD($G42,2)=1,($G42-1)*4+4,($G42-1)*4+1),'入力シート'!$F$2:$F$41,0)),""),IFERROR(INDEX('入力シート'!$A$2:$A$41,MATCH(($G42-1)*4+4,'入力シート'!$F$2:$F$41,0)),""),IFERROR(INDEX('入力シート'!$A$2:$A$41,MATCH("女"&amp;(($G42-1)*2+2),'入力シート'!$I$2:$I$41,0)),"")),""),"")</f>
        <v/>
      </c>
    </row>
    <row r="43" ht="15" customHeight="1">
      <c r="A43" s="14">
        <f>IF('設定'!$C$18&gt;0,IF(9&lt;='設定'!$F$18,IF('設定'!$E$18=1,'設定'!$F$18+1-9,9),IF(9='設定'!$F$18+1,IF('設定'!$E$18=1,"前","後ろ"),"")),"")</f>
        <v/>
      </c>
      <c r="B43" s="21">
        <f>IF(ISNUMBER($A43),IFERROR(CHOOSE('設定'!$D$18-3,IFERROR(INDEX('入力シート'!$A$2:$A$41,MATCH(($A43-1)*4+1,'入力シート'!$F$2:$F$41,0)),""),IFERROR(INDEX('入力シート'!$A$2:$A$41,MATCH(IF(MOD($A43,2)=1,($A43-1)*4+1,($A43-1)*4+4),'入力シート'!$F$2:$F$41,0)),""),IFERROR(INDEX('入力シート'!$A$2:$A$41,MATCH(($A43-1)*4+3,'入力シート'!$F$2:$F$41,0)),""),IFERROR(INDEX('入力シート'!$A$2:$A$41,MATCH("男"&amp;(($A43-1)*2+1),'入力シート'!$I$2:$I$41,0)),"")),""),"")</f>
        <v/>
      </c>
      <c r="C43" s="21">
        <f>IF(ISNUMBER($A43),IFERROR(CHOOSE('設定'!$D$18-3,IFERROR(INDEX('入力シート'!$A$2:$A$41,MATCH(($A43-1)*4+2,'入力シート'!$F$2:$F$41,0)),""),IFERROR(INDEX('入力シート'!$A$2:$A$41,MATCH(IF(MOD($A43,2)=1,($A43-1)*4+2,($A43-1)*4+3),'入力シート'!$F$2:$F$41,0)),""),IFERROR(INDEX('入力シート'!$A$2:$A$41,MATCH(($A43-1)*4+1,'入力シート'!$F$2:$F$41,0)),""),IFERROR(INDEX('入力シート'!$A$2:$A$41,MATCH("男"&amp;(($A43-1)*2+2),'入力シート'!$I$2:$I$41,0)),"")),""),"")</f>
        <v/>
      </c>
      <c r="D43" s="21">
        <f>IF(ISNUMBER($A43),IFERROR(CHOOSE('設定'!$D$18-3,IFERROR(INDEX('入力シート'!$A$2:$A$41,MATCH(($A43-1)*4+3,'入力シート'!$F$2:$F$41,0)),""),IFERROR(INDEX('入力シート'!$A$2:$A$41,MATCH(IF(MOD($A43,2)=1,($A43-1)*4+3,($A43-1)*4+2),'入力シート'!$F$2:$F$41,0)),""),IFERROR(INDEX('入力シート'!$A$2:$A$41,MATCH(($A43-1)*4+2,'入力シート'!$F$2:$F$41,0)),""),IFERROR(INDEX('入力シート'!$A$2:$A$41,MATCH("女"&amp;(($A43-1)*2+1),'入力シート'!$I$2:$I$41,0)),"")),""),"")</f>
        <v/>
      </c>
      <c r="E43" s="21">
        <f>IF(ISNUMBER($A43),IFERROR(CHOOSE('設定'!$D$18-3,IFERROR(INDEX('入力シート'!$A$2:$A$41,MATCH(($A43-1)*4+4,'入力シート'!$F$2:$F$41,0)),""),IFERROR(INDEX('入力シート'!$A$2:$A$41,MATCH(IF(MOD($A43,2)=1,($A43-1)*4+4,($A43-1)*4+1),'入力シート'!$F$2:$F$41,0)),""),IFERROR(INDEX('入力シート'!$A$2:$A$41,MATCH(($A43-1)*4+4,'入力シート'!$F$2:$F$41,0)),""),IFERROR(INDEX('入力シート'!$A$2:$A$41,MATCH("女"&amp;(($A43-1)*2+2),'入力シート'!$I$2:$I$41,0)),"")),""),"")</f>
        <v/>
      </c>
      <c r="G43" s="14">
        <f>IF('設定'!$C$19&gt;0,IF(9&lt;='設定'!$F$19,IF('設定'!$E$19=1,'設定'!$F$19+1-9,9),IF(9='設定'!$F$19+1,IF('設定'!$E$19=1,"前","後ろ"),"")),"")</f>
        <v/>
      </c>
      <c r="H43" s="21">
        <f>IF(ISNUMBER($G43),IFERROR(CHOOSE('設定'!$D$19-3,IFERROR(INDEX('入力シート'!$A$2:$A$41,MATCH(($G43-1)*4+1,'入力シート'!$F$2:$F$41,0)),""),IFERROR(INDEX('入力シート'!$A$2:$A$41,MATCH(IF(MOD($G43,2)=1,($G43-1)*4+1,($G43-1)*4+4),'入力シート'!$F$2:$F$41,0)),""),IFERROR(INDEX('入力シート'!$A$2:$A$41,MATCH(($G43-1)*4+3,'入力シート'!$F$2:$F$41,0)),""),IFERROR(INDEX('入力シート'!$A$2:$A$41,MATCH("男"&amp;(($G43-1)*2+1),'入力シート'!$I$2:$I$41,0)),"")),""),"")</f>
        <v/>
      </c>
      <c r="I43" s="21">
        <f>IF(ISNUMBER($G43),IFERROR(CHOOSE('設定'!$D$19-3,IFERROR(INDEX('入力シート'!$A$2:$A$41,MATCH(($G43-1)*4+2,'入力シート'!$F$2:$F$41,0)),""),IFERROR(INDEX('入力シート'!$A$2:$A$41,MATCH(IF(MOD($G43,2)=1,($G43-1)*4+2,($G43-1)*4+3),'入力シート'!$F$2:$F$41,0)),""),IFERROR(INDEX('入力シート'!$A$2:$A$41,MATCH(($G43-1)*4+1,'入力シート'!$F$2:$F$41,0)),""),IFERROR(INDEX('入力シート'!$A$2:$A$41,MATCH("男"&amp;(($G43-1)*2+2),'入力シート'!$I$2:$I$41,0)),"")),""),"")</f>
        <v/>
      </c>
      <c r="J43" s="21">
        <f>IF(ISNUMBER($G43),IFERROR(CHOOSE('設定'!$D$19-3,IFERROR(INDEX('入力シート'!$A$2:$A$41,MATCH(($G43-1)*4+3,'入力シート'!$F$2:$F$41,0)),""),IFERROR(INDEX('入力シート'!$A$2:$A$41,MATCH(IF(MOD($G43,2)=1,($G43-1)*4+3,($G43-1)*4+2),'入力シート'!$F$2:$F$41,0)),""),IFERROR(INDEX('入力シート'!$A$2:$A$41,MATCH(($G43-1)*4+2,'入力シート'!$F$2:$F$41,0)),""),IFERROR(INDEX('入力シート'!$A$2:$A$41,MATCH("女"&amp;(($G43-1)*2+1),'入力シート'!$I$2:$I$41,0)),"")),""),"")</f>
        <v/>
      </c>
      <c r="K43" s="21">
        <f>IF(ISNUMBER($G43),IFERROR(CHOOSE('設定'!$D$19-3,IFERROR(INDEX('入力シート'!$A$2:$A$41,MATCH(($G43-1)*4+4,'入力シート'!$F$2:$F$41,0)),""),IFERROR(INDEX('入力シート'!$A$2:$A$41,MATCH(IF(MOD($G43,2)=1,($G43-1)*4+4,($G43-1)*4+1),'入力シート'!$F$2:$F$41,0)),""),IFERROR(INDEX('入力シート'!$A$2:$A$41,MATCH(($G43-1)*4+4,'入力シート'!$F$2:$F$41,0)),""),IFERROR(INDEX('入力シート'!$A$2:$A$41,MATCH("女"&amp;(($G43-1)*2+2),'入力シート'!$I$2:$I$41,0)),"")),""),"")</f>
        <v/>
      </c>
    </row>
    <row r="44" ht="15" customHeight="1">
      <c r="A44" s="14">
        <f>IF('設定'!$C$18&gt;0,IF(10&lt;='設定'!$F$18,IF('設定'!$E$18=1,'設定'!$F$18+1-10,10),IF(10='設定'!$F$18+1,IF('設定'!$E$18=1,"前","後ろ"),"")),"")</f>
        <v/>
      </c>
      <c r="B44" s="21">
        <f>IF(ISNUMBER($A44),IFERROR(CHOOSE('設定'!$D$18-3,IFERROR(INDEX('入力シート'!$A$2:$A$41,MATCH(($A44-1)*4+1,'入力シート'!$F$2:$F$41,0)),""),IFERROR(INDEX('入力シート'!$A$2:$A$41,MATCH(IF(MOD($A44,2)=1,($A44-1)*4+1,($A44-1)*4+4),'入力シート'!$F$2:$F$41,0)),""),IFERROR(INDEX('入力シート'!$A$2:$A$41,MATCH(($A44-1)*4+3,'入力シート'!$F$2:$F$41,0)),""),IFERROR(INDEX('入力シート'!$A$2:$A$41,MATCH("男"&amp;(($A44-1)*2+1),'入力シート'!$I$2:$I$41,0)),"")),""),"")</f>
        <v/>
      </c>
      <c r="C44" s="21">
        <f>IF(ISNUMBER($A44),IFERROR(CHOOSE('設定'!$D$18-3,IFERROR(INDEX('入力シート'!$A$2:$A$41,MATCH(($A44-1)*4+2,'入力シート'!$F$2:$F$41,0)),""),IFERROR(INDEX('入力シート'!$A$2:$A$41,MATCH(IF(MOD($A44,2)=1,($A44-1)*4+2,($A44-1)*4+3),'入力シート'!$F$2:$F$41,0)),""),IFERROR(INDEX('入力シート'!$A$2:$A$41,MATCH(($A44-1)*4+1,'入力シート'!$F$2:$F$41,0)),""),IFERROR(INDEX('入力シート'!$A$2:$A$41,MATCH("男"&amp;(($A44-1)*2+2),'入力シート'!$I$2:$I$41,0)),"")),""),"")</f>
        <v/>
      </c>
      <c r="D44" s="21">
        <f>IF(ISNUMBER($A44),IFERROR(CHOOSE('設定'!$D$18-3,IFERROR(INDEX('入力シート'!$A$2:$A$41,MATCH(($A44-1)*4+3,'入力シート'!$F$2:$F$41,0)),""),IFERROR(INDEX('入力シート'!$A$2:$A$41,MATCH(IF(MOD($A44,2)=1,($A44-1)*4+3,($A44-1)*4+2),'入力シート'!$F$2:$F$41,0)),""),IFERROR(INDEX('入力シート'!$A$2:$A$41,MATCH(($A44-1)*4+2,'入力シート'!$F$2:$F$41,0)),""),IFERROR(INDEX('入力シート'!$A$2:$A$41,MATCH("女"&amp;(($A44-1)*2+1),'入力シート'!$I$2:$I$41,0)),"")),""),"")</f>
        <v/>
      </c>
      <c r="E44" s="21">
        <f>IF(ISNUMBER($A44),IFERROR(CHOOSE('設定'!$D$18-3,IFERROR(INDEX('入力シート'!$A$2:$A$41,MATCH(($A44-1)*4+4,'入力シート'!$F$2:$F$41,0)),""),IFERROR(INDEX('入力シート'!$A$2:$A$41,MATCH(IF(MOD($A44,2)=1,($A44-1)*4+4,($A44-1)*4+1),'入力シート'!$F$2:$F$41,0)),""),IFERROR(INDEX('入力シート'!$A$2:$A$41,MATCH(($A44-1)*4+4,'入力シート'!$F$2:$F$41,0)),""),IFERROR(INDEX('入力シート'!$A$2:$A$41,MATCH("女"&amp;(($A44-1)*2+2),'入力シート'!$I$2:$I$41,0)),"")),""),"")</f>
        <v/>
      </c>
      <c r="G44" s="14">
        <f>IF('設定'!$C$19&gt;0,IF(10&lt;='設定'!$F$19,IF('設定'!$E$19=1,'設定'!$F$19+1-10,10),IF(10='設定'!$F$19+1,IF('設定'!$E$19=1,"前","後ろ"),"")),"")</f>
        <v/>
      </c>
      <c r="H44" s="21">
        <f>IF(ISNUMBER($G44),IFERROR(CHOOSE('設定'!$D$19-3,IFERROR(INDEX('入力シート'!$A$2:$A$41,MATCH(($G44-1)*4+1,'入力シート'!$F$2:$F$41,0)),""),IFERROR(INDEX('入力シート'!$A$2:$A$41,MATCH(IF(MOD($G44,2)=1,($G44-1)*4+1,($G44-1)*4+4),'入力シート'!$F$2:$F$41,0)),""),IFERROR(INDEX('入力シート'!$A$2:$A$41,MATCH(($G44-1)*4+3,'入力シート'!$F$2:$F$41,0)),""),IFERROR(INDEX('入力シート'!$A$2:$A$41,MATCH("男"&amp;(($G44-1)*2+1),'入力シート'!$I$2:$I$41,0)),"")),""),"")</f>
        <v/>
      </c>
      <c r="I44" s="21">
        <f>IF(ISNUMBER($G44),IFERROR(CHOOSE('設定'!$D$19-3,IFERROR(INDEX('入力シート'!$A$2:$A$41,MATCH(($G44-1)*4+2,'入力シート'!$F$2:$F$41,0)),""),IFERROR(INDEX('入力シート'!$A$2:$A$41,MATCH(IF(MOD($G44,2)=1,($G44-1)*4+2,($G44-1)*4+3),'入力シート'!$F$2:$F$41,0)),""),IFERROR(INDEX('入力シート'!$A$2:$A$41,MATCH(($G44-1)*4+1,'入力シート'!$F$2:$F$41,0)),""),IFERROR(INDEX('入力シート'!$A$2:$A$41,MATCH("男"&amp;(($G44-1)*2+2),'入力シート'!$I$2:$I$41,0)),"")),""),"")</f>
        <v/>
      </c>
      <c r="J44" s="21">
        <f>IF(ISNUMBER($G44),IFERROR(CHOOSE('設定'!$D$19-3,IFERROR(INDEX('入力シート'!$A$2:$A$41,MATCH(($G44-1)*4+3,'入力シート'!$F$2:$F$41,0)),""),IFERROR(INDEX('入力シート'!$A$2:$A$41,MATCH(IF(MOD($G44,2)=1,($G44-1)*4+3,($G44-1)*4+2),'入力シート'!$F$2:$F$41,0)),""),IFERROR(INDEX('入力シート'!$A$2:$A$41,MATCH(($G44-1)*4+2,'入力シート'!$F$2:$F$41,0)),""),IFERROR(INDEX('入力シート'!$A$2:$A$41,MATCH("女"&amp;(($G44-1)*2+1),'入力シート'!$I$2:$I$41,0)),"")),""),"")</f>
        <v/>
      </c>
      <c r="K44" s="21">
        <f>IF(ISNUMBER($G44),IFERROR(CHOOSE('設定'!$D$19-3,IFERROR(INDEX('入力シート'!$A$2:$A$41,MATCH(($G44-1)*4+4,'入力シート'!$F$2:$F$41,0)),""),IFERROR(INDEX('入力シート'!$A$2:$A$41,MATCH(IF(MOD($G44,2)=1,($G44-1)*4+4,($G44-1)*4+1),'入力シート'!$F$2:$F$41,0)),""),IFERROR(INDEX('入力シート'!$A$2:$A$41,MATCH(($G44-1)*4+4,'入力シート'!$F$2:$F$41,0)),""),IFERROR(INDEX('入力シート'!$A$2:$A$41,MATCH("女"&amp;(($G44-1)*2+2),'入力シート'!$I$2:$I$41,0)),"")),""),"")</f>
        <v/>
      </c>
    </row>
    <row r="45" ht="15" customHeight="1">
      <c r="A45" s="14">
        <f>IF('設定'!$C$18&gt;0,IF(11&lt;='設定'!$F$18,IF('設定'!$E$18=1,'設定'!$F$18+1-11,11),IF(11='設定'!$F$18+1,IF('設定'!$E$18=1,"前","後ろ"),"")),"")</f>
        <v/>
      </c>
      <c r="B45" s="21">
        <f>IF(ISNUMBER($A45),IFERROR(CHOOSE('設定'!$D$18-3,IFERROR(INDEX('入力シート'!$A$2:$A$41,MATCH(($A45-1)*4+1,'入力シート'!$F$2:$F$41,0)),""),IFERROR(INDEX('入力シート'!$A$2:$A$41,MATCH(IF(MOD($A45,2)=1,($A45-1)*4+1,($A45-1)*4+4),'入力シート'!$F$2:$F$41,0)),""),IFERROR(INDEX('入力シート'!$A$2:$A$41,MATCH(($A45-1)*4+3,'入力シート'!$F$2:$F$41,0)),""),IFERROR(INDEX('入力シート'!$A$2:$A$41,MATCH("男"&amp;(($A45-1)*2+1),'入力シート'!$I$2:$I$41,0)),"")),""),"")</f>
        <v/>
      </c>
      <c r="C45" s="21">
        <f>IF(ISNUMBER($A45),IFERROR(CHOOSE('設定'!$D$18-3,IFERROR(INDEX('入力シート'!$A$2:$A$41,MATCH(($A45-1)*4+2,'入力シート'!$F$2:$F$41,0)),""),IFERROR(INDEX('入力シート'!$A$2:$A$41,MATCH(IF(MOD($A45,2)=1,($A45-1)*4+2,($A45-1)*4+3),'入力シート'!$F$2:$F$41,0)),""),IFERROR(INDEX('入力シート'!$A$2:$A$41,MATCH(($A45-1)*4+1,'入力シート'!$F$2:$F$41,0)),""),IFERROR(INDEX('入力シート'!$A$2:$A$41,MATCH("男"&amp;(($A45-1)*2+2),'入力シート'!$I$2:$I$41,0)),"")),""),"")</f>
        <v/>
      </c>
      <c r="D45" s="21">
        <f>IF(ISNUMBER($A45),IFERROR(CHOOSE('設定'!$D$18-3,IFERROR(INDEX('入力シート'!$A$2:$A$41,MATCH(($A45-1)*4+3,'入力シート'!$F$2:$F$41,0)),""),IFERROR(INDEX('入力シート'!$A$2:$A$41,MATCH(IF(MOD($A45,2)=1,($A45-1)*4+3,($A45-1)*4+2),'入力シート'!$F$2:$F$41,0)),""),IFERROR(INDEX('入力シート'!$A$2:$A$41,MATCH(($A45-1)*4+2,'入力シート'!$F$2:$F$41,0)),""),IFERROR(INDEX('入力シート'!$A$2:$A$41,MATCH("女"&amp;(($A45-1)*2+1),'入力シート'!$I$2:$I$41,0)),"")),""),"")</f>
        <v/>
      </c>
      <c r="E45" s="21">
        <f>IF(ISNUMBER($A45),IFERROR(CHOOSE('設定'!$D$18-3,IFERROR(INDEX('入力シート'!$A$2:$A$41,MATCH(($A45-1)*4+4,'入力シート'!$F$2:$F$41,0)),""),IFERROR(INDEX('入力シート'!$A$2:$A$41,MATCH(IF(MOD($A45,2)=1,($A45-1)*4+4,($A45-1)*4+1),'入力シート'!$F$2:$F$41,0)),""),IFERROR(INDEX('入力シート'!$A$2:$A$41,MATCH(($A45-1)*4+4,'入力シート'!$F$2:$F$41,0)),""),IFERROR(INDEX('入力シート'!$A$2:$A$41,MATCH("女"&amp;(($A45-1)*2+2),'入力シート'!$I$2:$I$41,0)),"")),""),"")</f>
        <v/>
      </c>
      <c r="G45" s="14">
        <f>IF('設定'!$C$19&gt;0,IF(11&lt;='設定'!$F$19,IF('設定'!$E$19=1,'設定'!$F$19+1-11,11),IF(11='設定'!$F$19+1,IF('設定'!$E$19=1,"前","後ろ"),"")),"")</f>
        <v/>
      </c>
      <c r="H45" s="21">
        <f>IF(ISNUMBER($G45),IFERROR(CHOOSE('設定'!$D$19-3,IFERROR(INDEX('入力シート'!$A$2:$A$41,MATCH(($G45-1)*4+1,'入力シート'!$F$2:$F$41,0)),""),IFERROR(INDEX('入力シート'!$A$2:$A$41,MATCH(IF(MOD($G45,2)=1,($G45-1)*4+1,($G45-1)*4+4),'入力シート'!$F$2:$F$41,0)),""),IFERROR(INDEX('入力シート'!$A$2:$A$41,MATCH(($G45-1)*4+3,'入力シート'!$F$2:$F$41,0)),""),IFERROR(INDEX('入力シート'!$A$2:$A$41,MATCH("男"&amp;(($G45-1)*2+1),'入力シート'!$I$2:$I$41,0)),"")),""),"")</f>
        <v/>
      </c>
      <c r="I45" s="21">
        <f>IF(ISNUMBER($G45),IFERROR(CHOOSE('設定'!$D$19-3,IFERROR(INDEX('入力シート'!$A$2:$A$41,MATCH(($G45-1)*4+2,'入力シート'!$F$2:$F$41,0)),""),IFERROR(INDEX('入力シート'!$A$2:$A$41,MATCH(IF(MOD($G45,2)=1,($G45-1)*4+2,($G45-1)*4+3),'入力シート'!$F$2:$F$41,0)),""),IFERROR(INDEX('入力シート'!$A$2:$A$41,MATCH(($G45-1)*4+1,'入力シート'!$F$2:$F$41,0)),""),IFERROR(INDEX('入力シート'!$A$2:$A$41,MATCH("男"&amp;(($G45-1)*2+2),'入力シート'!$I$2:$I$41,0)),"")),""),"")</f>
        <v/>
      </c>
      <c r="J45" s="21">
        <f>IF(ISNUMBER($G45),IFERROR(CHOOSE('設定'!$D$19-3,IFERROR(INDEX('入力シート'!$A$2:$A$41,MATCH(($G45-1)*4+3,'入力シート'!$F$2:$F$41,0)),""),IFERROR(INDEX('入力シート'!$A$2:$A$41,MATCH(IF(MOD($G45,2)=1,($G45-1)*4+3,($G45-1)*4+2),'入力シート'!$F$2:$F$41,0)),""),IFERROR(INDEX('入力シート'!$A$2:$A$41,MATCH(($G45-1)*4+2,'入力シート'!$F$2:$F$41,0)),""),IFERROR(INDEX('入力シート'!$A$2:$A$41,MATCH("女"&amp;(($G45-1)*2+1),'入力シート'!$I$2:$I$41,0)),"")),""),"")</f>
        <v/>
      </c>
      <c r="K45" s="21">
        <f>IF(ISNUMBER($G45),IFERROR(CHOOSE('設定'!$D$19-3,IFERROR(INDEX('入力シート'!$A$2:$A$41,MATCH(($G45-1)*4+4,'入力シート'!$F$2:$F$41,0)),""),IFERROR(INDEX('入力シート'!$A$2:$A$41,MATCH(IF(MOD($G45,2)=1,($G45-1)*4+4,($G45-1)*4+1),'入力シート'!$F$2:$F$41,0)),""),IFERROR(INDEX('入力シート'!$A$2:$A$41,MATCH(($G45-1)*4+4,'入力シート'!$F$2:$F$41,0)),""),IFERROR(INDEX('入力シート'!$A$2:$A$41,MATCH("女"&amp;(($G45-1)*2+2),'入力シート'!$I$2:$I$41,0)),"")),""),"")</f>
        <v/>
      </c>
    </row>
    <row r="46" ht="15" customHeight="1">
      <c r="A46" s="14">
        <f>IF('設定'!$C$18&gt;0,IF(12&lt;='設定'!$F$18,IF('設定'!$E$18=1,'設定'!$F$18+1-12,12),IF(12='設定'!$F$18+1,IF('設定'!$E$18=1,"前","後ろ"),"")),"")</f>
        <v/>
      </c>
      <c r="B46" s="21">
        <f>IF(ISNUMBER($A46),IFERROR(CHOOSE('設定'!$D$18-3,IFERROR(INDEX('入力シート'!$A$2:$A$41,MATCH(($A46-1)*4+1,'入力シート'!$F$2:$F$41,0)),""),IFERROR(INDEX('入力シート'!$A$2:$A$41,MATCH(IF(MOD($A46,2)=1,($A46-1)*4+1,($A46-1)*4+4),'入力シート'!$F$2:$F$41,0)),""),IFERROR(INDEX('入力シート'!$A$2:$A$41,MATCH(($A46-1)*4+3,'入力シート'!$F$2:$F$41,0)),""),IFERROR(INDEX('入力シート'!$A$2:$A$41,MATCH("男"&amp;(($A46-1)*2+1),'入力シート'!$I$2:$I$41,0)),"")),""),"")</f>
        <v/>
      </c>
      <c r="C46" s="21">
        <f>IF(ISNUMBER($A46),IFERROR(CHOOSE('設定'!$D$18-3,IFERROR(INDEX('入力シート'!$A$2:$A$41,MATCH(($A46-1)*4+2,'入力シート'!$F$2:$F$41,0)),""),IFERROR(INDEX('入力シート'!$A$2:$A$41,MATCH(IF(MOD($A46,2)=1,($A46-1)*4+2,($A46-1)*4+3),'入力シート'!$F$2:$F$41,0)),""),IFERROR(INDEX('入力シート'!$A$2:$A$41,MATCH(($A46-1)*4+1,'入力シート'!$F$2:$F$41,0)),""),IFERROR(INDEX('入力シート'!$A$2:$A$41,MATCH("男"&amp;(($A46-1)*2+2),'入力シート'!$I$2:$I$41,0)),"")),""),"")</f>
        <v/>
      </c>
      <c r="D46" s="21">
        <f>IF(ISNUMBER($A46),IFERROR(CHOOSE('設定'!$D$18-3,IFERROR(INDEX('入力シート'!$A$2:$A$41,MATCH(($A46-1)*4+3,'入力シート'!$F$2:$F$41,0)),""),IFERROR(INDEX('入力シート'!$A$2:$A$41,MATCH(IF(MOD($A46,2)=1,($A46-1)*4+3,($A46-1)*4+2),'入力シート'!$F$2:$F$41,0)),""),IFERROR(INDEX('入力シート'!$A$2:$A$41,MATCH(($A46-1)*4+2,'入力シート'!$F$2:$F$41,0)),""),IFERROR(INDEX('入力シート'!$A$2:$A$41,MATCH("女"&amp;(($A46-1)*2+1),'入力シート'!$I$2:$I$41,0)),"")),""),"")</f>
        <v/>
      </c>
      <c r="E46" s="21">
        <f>IF(ISNUMBER($A46),IFERROR(CHOOSE('設定'!$D$18-3,IFERROR(INDEX('入力シート'!$A$2:$A$41,MATCH(($A46-1)*4+4,'入力シート'!$F$2:$F$41,0)),""),IFERROR(INDEX('入力シート'!$A$2:$A$41,MATCH(IF(MOD($A46,2)=1,($A46-1)*4+4,($A46-1)*4+1),'入力シート'!$F$2:$F$41,0)),""),IFERROR(INDEX('入力シート'!$A$2:$A$41,MATCH(($A46-1)*4+4,'入力シート'!$F$2:$F$41,0)),""),IFERROR(INDEX('入力シート'!$A$2:$A$41,MATCH("女"&amp;(($A46-1)*2+2),'入力シート'!$I$2:$I$41,0)),"")),""),"")</f>
        <v/>
      </c>
      <c r="G46" s="14">
        <f>IF('設定'!$C$19&gt;0,IF(12&lt;='設定'!$F$19,IF('設定'!$E$19=1,'設定'!$F$19+1-12,12),IF(12='設定'!$F$19+1,IF('設定'!$E$19=1,"前","後ろ"),"")),"")</f>
        <v/>
      </c>
      <c r="H46" s="21">
        <f>IF(ISNUMBER($G46),IFERROR(CHOOSE('設定'!$D$19-3,IFERROR(INDEX('入力シート'!$A$2:$A$41,MATCH(($G46-1)*4+1,'入力シート'!$F$2:$F$41,0)),""),IFERROR(INDEX('入力シート'!$A$2:$A$41,MATCH(IF(MOD($G46,2)=1,($G46-1)*4+1,($G46-1)*4+4),'入力シート'!$F$2:$F$41,0)),""),IFERROR(INDEX('入力シート'!$A$2:$A$41,MATCH(($G46-1)*4+3,'入力シート'!$F$2:$F$41,0)),""),IFERROR(INDEX('入力シート'!$A$2:$A$41,MATCH("男"&amp;(($G46-1)*2+1),'入力シート'!$I$2:$I$41,0)),"")),""),"")</f>
        <v/>
      </c>
      <c r="I46" s="21">
        <f>IF(ISNUMBER($G46),IFERROR(CHOOSE('設定'!$D$19-3,IFERROR(INDEX('入力シート'!$A$2:$A$41,MATCH(($G46-1)*4+2,'入力シート'!$F$2:$F$41,0)),""),IFERROR(INDEX('入力シート'!$A$2:$A$41,MATCH(IF(MOD($G46,2)=1,($G46-1)*4+2,($G46-1)*4+3),'入力シート'!$F$2:$F$41,0)),""),IFERROR(INDEX('入力シート'!$A$2:$A$41,MATCH(($G46-1)*4+1,'入力シート'!$F$2:$F$41,0)),""),IFERROR(INDEX('入力シート'!$A$2:$A$41,MATCH("男"&amp;(($G46-1)*2+2),'入力シート'!$I$2:$I$41,0)),"")),""),"")</f>
        <v/>
      </c>
      <c r="J46" s="21">
        <f>IF(ISNUMBER($G46),IFERROR(CHOOSE('設定'!$D$19-3,IFERROR(INDEX('入力シート'!$A$2:$A$41,MATCH(($G46-1)*4+3,'入力シート'!$F$2:$F$41,0)),""),IFERROR(INDEX('入力シート'!$A$2:$A$41,MATCH(IF(MOD($G46,2)=1,($G46-1)*4+3,($G46-1)*4+2),'入力シート'!$F$2:$F$41,0)),""),IFERROR(INDEX('入力シート'!$A$2:$A$41,MATCH(($G46-1)*4+2,'入力シート'!$F$2:$F$41,0)),""),IFERROR(INDEX('入力シート'!$A$2:$A$41,MATCH("女"&amp;(($G46-1)*2+1),'入力シート'!$I$2:$I$41,0)),"")),""),"")</f>
        <v/>
      </c>
      <c r="K46" s="21">
        <f>IF(ISNUMBER($G46),IFERROR(CHOOSE('設定'!$D$19-3,IFERROR(INDEX('入力シート'!$A$2:$A$41,MATCH(($G46-1)*4+4,'入力シート'!$F$2:$F$41,0)),""),IFERROR(INDEX('入力シート'!$A$2:$A$41,MATCH(IF(MOD($G46,2)=1,($G46-1)*4+4,($G46-1)*4+1),'入力シート'!$F$2:$F$41,0)),""),IFERROR(INDEX('入力シート'!$A$2:$A$41,MATCH(($G46-1)*4+4,'入力シート'!$F$2:$F$41,0)),""),IFERROR(INDEX('入力シート'!$A$2:$A$41,MATCH("女"&amp;(($G46-1)*2+2),'入力シート'!$I$2:$I$41,0)),"")),""),"")</f>
        <v/>
      </c>
    </row>
    <row r="47" ht="15" customHeight="1">
      <c r="A47" s="14">
        <f>IF('設定'!$C$18&gt;0,IF(13&lt;='設定'!$F$18,IF('設定'!$E$18=1,'設定'!$F$18+1-13,13),IF(13='設定'!$F$18+1,IF('設定'!$E$18=1,"前","後ろ"),"")),"")</f>
        <v/>
      </c>
      <c r="B47" s="21">
        <f>IF(ISNUMBER($A47),IFERROR(CHOOSE('設定'!$D$18-3,IFERROR(INDEX('入力シート'!$A$2:$A$41,MATCH(($A47-1)*4+1,'入力シート'!$F$2:$F$41,0)),""),IFERROR(INDEX('入力シート'!$A$2:$A$41,MATCH(IF(MOD($A47,2)=1,($A47-1)*4+1,($A47-1)*4+4),'入力シート'!$F$2:$F$41,0)),""),IFERROR(INDEX('入力シート'!$A$2:$A$41,MATCH(($A47-1)*4+3,'入力シート'!$F$2:$F$41,0)),""),IFERROR(INDEX('入力シート'!$A$2:$A$41,MATCH("男"&amp;(($A47-1)*2+1),'入力シート'!$I$2:$I$41,0)),"")),""),"")</f>
        <v/>
      </c>
      <c r="C47" s="21">
        <f>IF(ISNUMBER($A47),IFERROR(CHOOSE('設定'!$D$18-3,IFERROR(INDEX('入力シート'!$A$2:$A$41,MATCH(($A47-1)*4+2,'入力シート'!$F$2:$F$41,0)),""),IFERROR(INDEX('入力シート'!$A$2:$A$41,MATCH(IF(MOD($A47,2)=1,($A47-1)*4+2,($A47-1)*4+3),'入力シート'!$F$2:$F$41,0)),""),IFERROR(INDEX('入力シート'!$A$2:$A$41,MATCH(($A47-1)*4+1,'入力シート'!$F$2:$F$41,0)),""),IFERROR(INDEX('入力シート'!$A$2:$A$41,MATCH("男"&amp;(($A47-1)*2+2),'入力シート'!$I$2:$I$41,0)),"")),""),"")</f>
        <v/>
      </c>
      <c r="D47" s="21">
        <f>IF(ISNUMBER($A47),IFERROR(CHOOSE('設定'!$D$18-3,IFERROR(INDEX('入力シート'!$A$2:$A$41,MATCH(($A47-1)*4+3,'入力シート'!$F$2:$F$41,0)),""),IFERROR(INDEX('入力シート'!$A$2:$A$41,MATCH(IF(MOD($A47,2)=1,($A47-1)*4+3,($A47-1)*4+2),'入力シート'!$F$2:$F$41,0)),""),IFERROR(INDEX('入力シート'!$A$2:$A$41,MATCH(($A47-1)*4+2,'入力シート'!$F$2:$F$41,0)),""),IFERROR(INDEX('入力シート'!$A$2:$A$41,MATCH("女"&amp;(($A47-1)*2+1),'入力シート'!$I$2:$I$41,0)),"")),""),"")</f>
        <v/>
      </c>
      <c r="E47" s="21">
        <f>IF(ISNUMBER($A47),IFERROR(CHOOSE('設定'!$D$18-3,IFERROR(INDEX('入力シート'!$A$2:$A$41,MATCH(($A47-1)*4+4,'入力シート'!$F$2:$F$41,0)),""),IFERROR(INDEX('入力シート'!$A$2:$A$41,MATCH(IF(MOD($A47,2)=1,($A47-1)*4+4,($A47-1)*4+1),'入力シート'!$F$2:$F$41,0)),""),IFERROR(INDEX('入力シート'!$A$2:$A$41,MATCH(($A47-1)*4+4,'入力シート'!$F$2:$F$41,0)),""),IFERROR(INDEX('入力シート'!$A$2:$A$41,MATCH("女"&amp;(($A47-1)*2+2),'入力シート'!$I$2:$I$41,0)),"")),""),"")</f>
        <v/>
      </c>
      <c r="G47" s="14">
        <f>IF('設定'!$C$19&gt;0,IF(13&lt;='設定'!$F$19,IF('設定'!$E$19=1,'設定'!$F$19+1-13,13),IF(13='設定'!$F$19+1,IF('設定'!$E$19=1,"前","後ろ"),"")),"")</f>
        <v/>
      </c>
      <c r="H47" s="21">
        <f>IF(ISNUMBER($G47),IFERROR(CHOOSE('設定'!$D$19-3,IFERROR(INDEX('入力シート'!$A$2:$A$41,MATCH(($G47-1)*4+1,'入力シート'!$F$2:$F$41,0)),""),IFERROR(INDEX('入力シート'!$A$2:$A$41,MATCH(IF(MOD($G47,2)=1,($G47-1)*4+1,($G47-1)*4+4),'入力シート'!$F$2:$F$41,0)),""),IFERROR(INDEX('入力シート'!$A$2:$A$41,MATCH(($G47-1)*4+3,'入力シート'!$F$2:$F$41,0)),""),IFERROR(INDEX('入力シート'!$A$2:$A$41,MATCH("男"&amp;(($G47-1)*2+1),'入力シート'!$I$2:$I$41,0)),"")),""),"")</f>
        <v/>
      </c>
      <c r="I47" s="21">
        <f>IF(ISNUMBER($G47),IFERROR(CHOOSE('設定'!$D$19-3,IFERROR(INDEX('入力シート'!$A$2:$A$41,MATCH(($G47-1)*4+2,'入力シート'!$F$2:$F$41,0)),""),IFERROR(INDEX('入力シート'!$A$2:$A$41,MATCH(IF(MOD($G47,2)=1,($G47-1)*4+2,($G47-1)*4+3),'入力シート'!$F$2:$F$41,0)),""),IFERROR(INDEX('入力シート'!$A$2:$A$41,MATCH(($G47-1)*4+1,'入力シート'!$F$2:$F$41,0)),""),IFERROR(INDEX('入力シート'!$A$2:$A$41,MATCH("男"&amp;(($G47-1)*2+2),'入力シート'!$I$2:$I$41,0)),"")),""),"")</f>
        <v/>
      </c>
      <c r="J47" s="21">
        <f>IF(ISNUMBER($G47),IFERROR(CHOOSE('設定'!$D$19-3,IFERROR(INDEX('入力シート'!$A$2:$A$41,MATCH(($G47-1)*4+3,'入力シート'!$F$2:$F$41,0)),""),IFERROR(INDEX('入力シート'!$A$2:$A$41,MATCH(IF(MOD($G47,2)=1,($G47-1)*4+3,($G47-1)*4+2),'入力シート'!$F$2:$F$41,0)),""),IFERROR(INDEX('入力シート'!$A$2:$A$41,MATCH(($G47-1)*4+2,'入力シート'!$F$2:$F$41,0)),""),IFERROR(INDEX('入力シート'!$A$2:$A$41,MATCH("女"&amp;(($G47-1)*2+1),'入力シート'!$I$2:$I$41,0)),"")),""),"")</f>
        <v/>
      </c>
      <c r="K47" s="21">
        <f>IF(ISNUMBER($G47),IFERROR(CHOOSE('設定'!$D$19-3,IFERROR(INDEX('入力シート'!$A$2:$A$41,MATCH(($G47-1)*4+4,'入力シート'!$F$2:$F$41,0)),""),IFERROR(INDEX('入力シート'!$A$2:$A$41,MATCH(IF(MOD($G47,2)=1,($G47-1)*4+4,($G47-1)*4+1),'入力シート'!$F$2:$F$41,0)),""),IFERROR(INDEX('入力シート'!$A$2:$A$41,MATCH(($G47-1)*4+4,'入力シート'!$F$2:$F$41,0)),""),IFERROR(INDEX('入力シート'!$A$2:$A$41,MATCH("女"&amp;(($G47-1)*2+2),'入力シート'!$I$2:$I$41,0)),"")),""),"")</f>
        <v/>
      </c>
    </row>
    <row r="48" ht="15" customHeight="1">
      <c r="A48" s="14">
        <f>IF('設定'!$C$18&gt;0,IF(14&lt;='設定'!$F$18,IF('設定'!$E$18=1,'設定'!$F$18+1-14,14),IF(14='設定'!$F$18+1,IF('設定'!$E$18=1,"前","後ろ"),"")),"")</f>
        <v/>
      </c>
      <c r="B48" s="21">
        <f>IF(ISNUMBER($A48),IFERROR(CHOOSE('設定'!$D$18-3,IFERROR(INDEX('入力シート'!$A$2:$A$41,MATCH(($A48-1)*4+1,'入力シート'!$F$2:$F$41,0)),""),IFERROR(INDEX('入力シート'!$A$2:$A$41,MATCH(IF(MOD($A48,2)=1,($A48-1)*4+1,($A48-1)*4+4),'入力シート'!$F$2:$F$41,0)),""),IFERROR(INDEX('入力シート'!$A$2:$A$41,MATCH(($A48-1)*4+3,'入力シート'!$F$2:$F$41,0)),""),IFERROR(INDEX('入力シート'!$A$2:$A$41,MATCH("男"&amp;(($A48-1)*2+1),'入力シート'!$I$2:$I$41,0)),"")),""),"")</f>
        <v/>
      </c>
      <c r="C48" s="21">
        <f>IF(ISNUMBER($A48),IFERROR(CHOOSE('設定'!$D$18-3,IFERROR(INDEX('入力シート'!$A$2:$A$41,MATCH(($A48-1)*4+2,'入力シート'!$F$2:$F$41,0)),""),IFERROR(INDEX('入力シート'!$A$2:$A$41,MATCH(IF(MOD($A48,2)=1,($A48-1)*4+2,($A48-1)*4+3),'入力シート'!$F$2:$F$41,0)),""),IFERROR(INDEX('入力シート'!$A$2:$A$41,MATCH(($A48-1)*4+1,'入力シート'!$F$2:$F$41,0)),""),IFERROR(INDEX('入力シート'!$A$2:$A$41,MATCH("男"&amp;(($A48-1)*2+2),'入力シート'!$I$2:$I$41,0)),"")),""),"")</f>
        <v/>
      </c>
      <c r="D48" s="21">
        <f>IF(ISNUMBER($A48),IFERROR(CHOOSE('設定'!$D$18-3,IFERROR(INDEX('入力シート'!$A$2:$A$41,MATCH(($A48-1)*4+3,'入力シート'!$F$2:$F$41,0)),""),IFERROR(INDEX('入力シート'!$A$2:$A$41,MATCH(IF(MOD($A48,2)=1,($A48-1)*4+3,($A48-1)*4+2),'入力シート'!$F$2:$F$41,0)),""),IFERROR(INDEX('入力シート'!$A$2:$A$41,MATCH(($A48-1)*4+2,'入力シート'!$F$2:$F$41,0)),""),IFERROR(INDEX('入力シート'!$A$2:$A$41,MATCH("女"&amp;(($A48-1)*2+1),'入力シート'!$I$2:$I$41,0)),"")),""),"")</f>
        <v/>
      </c>
      <c r="E48" s="21">
        <f>IF(ISNUMBER($A48),IFERROR(CHOOSE('設定'!$D$18-3,IFERROR(INDEX('入力シート'!$A$2:$A$41,MATCH(($A48-1)*4+4,'入力シート'!$F$2:$F$41,0)),""),IFERROR(INDEX('入力シート'!$A$2:$A$41,MATCH(IF(MOD($A48,2)=1,($A48-1)*4+4,($A48-1)*4+1),'入力シート'!$F$2:$F$41,0)),""),IFERROR(INDEX('入力シート'!$A$2:$A$41,MATCH(($A48-1)*4+4,'入力シート'!$F$2:$F$41,0)),""),IFERROR(INDEX('入力シート'!$A$2:$A$41,MATCH("女"&amp;(($A48-1)*2+2),'入力シート'!$I$2:$I$41,0)),"")),""),"")</f>
        <v/>
      </c>
      <c r="G48" s="14">
        <f>IF('設定'!$C$19&gt;0,IF(14&lt;='設定'!$F$19,IF('設定'!$E$19=1,'設定'!$F$19+1-14,14),IF(14='設定'!$F$19+1,IF('設定'!$E$19=1,"前","後ろ"),"")),"")</f>
        <v/>
      </c>
      <c r="H48" s="21">
        <f>IF(ISNUMBER($G48),IFERROR(CHOOSE('設定'!$D$19-3,IFERROR(INDEX('入力シート'!$A$2:$A$41,MATCH(($G48-1)*4+1,'入力シート'!$F$2:$F$41,0)),""),IFERROR(INDEX('入力シート'!$A$2:$A$41,MATCH(IF(MOD($G48,2)=1,($G48-1)*4+1,($G48-1)*4+4),'入力シート'!$F$2:$F$41,0)),""),IFERROR(INDEX('入力シート'!$A$2:$A$41,MATCH(($G48-1)*4+3,'入力シート'!$F$2:$F$41,0)),""),IFERROR(INDEX('入力シート'!$A$2:$A$41,MATCH("男"&amp;(($G48-1)*2+1),'入力シート'!$I$2:$I$41,0)),"")),""),"")</f>
        <v/>
      </c>
      <c r="I48" s="21">
        <f>IF(ISNUMBER($G48),IFERROR(CHOOSE('設定'!$D$19-3,IFERROR(INDEX('入力シート'!$A$2:$A$41,MATCH(($G48-1)*4+2,'入力シート'!$F$2:$F$41,0)),""),IFERROR(INDEX('入力シート'!$A$2:$A$41,MATCH(IF(MOD($G48,2)=1,($G48-1)*4+2,($G48-1)*4+3),'入力シート'!$F$2:$F$41,0)),""),IFERROR(INDEX('入力シート'!$A$2:$A$41,MATCH(($G48-1)*4+1,'入力シート'!$F$2:$F$41,0)),""),IFERROR(INDEX('入力シート'!$A$2:$A$41,MATCH("男"&amp;(($G48-1)*2+2),'入力シート'!$I$2:$I$41,0)),"")),""),"")</f>
        <v/>
      </c>
      <c r="J48" s="21">
        <f>IF(ISNUMBER($G48),IFERROR(CHOOSE('設定'!$D$19-3,IFERROR(INDEX('入力シート'!$A$2:$A$41,MATCH(($G48-1)*4+3,'入力シート'!$F$2:$F$41,0)),""),IFERROR(INDEX('入力シート'!$A$2:$A$41,MATCH(IF(MOD($G48,2)=1,($G48-1)*4+3,($G48-1)*4+2),'入力シート'!$F$2:$F$41,0)),""),IFERROR(INDEX('入力シート'!$A$2:$A$41,MATCH(($G48-1)*4+2,'入力シート'!$F$2:$F$41,0)),""),IFERROR(INDEX('入力シート'!$A$2:$A$41,MATCH("女"&amp;(($G48-1)*2+1),'入力シート'!$I$2:$I$41,0)),"")),""),"")</f>
        <v/>
      </c>
      <c r="K48" s="21">
        <f>IF(ISNUMBER($G48),IFERROR(CHOOSE('設定'!$D$19-3,IFERROR(INDEX('入力シート'!$A$2:$A$41,MATCH(($G48-1)*4+4,'入力シート'!$F$2:$F$41,0)),""),IFERROR(INDEX('入力シート'!$A$2:$A$41,MATCH(IF(MOD($G48,2)=1,($G48-1)*4+4,($G48-1)*4+1),'入力シート'!$F$2:$F$41,0)),""),IFERROR(INDEX('入力シート'!$A$2:$A$41,MATCH(($G48-1)*4+4,'入力シート'!$F$2:$F$41,0)),""),IFERROR(INDEX('入力シート'!$A$2:$A$41,MATCH("女"&amp;(($G48-1)*2+2),'入力シート'!$I$2:$I$41,0)),"")),""),"")</f>
        <v/>
      </c>
    </row>
    <row r="49" ht="15" customHeight="1">
      <c r="A49" s="16">
        <f>IF('設定'!$C$18&gt;0,IF(('設定'!$F$18)&gt;13,"⚠ 入りきらない子がいます ","")&amp;IF(AND('設定'!$H$18,'入力シート'!$M$16&gt;0),"⚠ 男女が未入力の子："&amp;'入力シート'!$M$16&amp;"人",""),"")</f>
        <v/>
      </c>
      <c r="G49" s="16">
        <f>IF('設定'!$C$19&gt;0,IF(('設定'!$F$19)&gt;13,"⚠ 入りきらない子がいます ","")&amp;IF(AND('設定'!$H$19,'入力シート'!$M$16&gt;0),"⚠ 男女が未入力の子："&amp;'入力シート'!$M$16&amp;"人",""),"")</f>
        <v/>
      </c>
    </row>
    <row r="50" ht="15" customHeight="1"/>
    <row r="51" ht="15" customHeight="1">
      <c r="A51" s="2">
        <f>'設定'!$G$20</f>
        <v/>
      </c>
      <c r="G51" s="2">
        <f>'設定'!$G$21</f>
        <v/>
      </c>
    </row>
    <row r="52" ht="15" customHeight="1">
      <c r="B52" s="20">
        <f>IF('設定'!$D$20=7,"男子","")</f>
        <v/>
      </c>
      <c r="C52" s="20">
        <f>IF('設定'!$D$20=7,"男子","")</f>
        <v/>
      </c>
      <c r="D52" s="20">
        <f>IF('設定'!$D$20=7,"女子","")</f>
        <v/>
      </c>
      <c r="E52" s="20">
        <f>IF('設定'!$D$20=7,"女子","")</f>
        <v/>
      </c>
      <c r="H52" s="20">
        <f>IF('設定'!$D$21=7,"男子","")</f>
        <v/>
      </c>
      <c r="I52" s="20">
        <f>IF('設定'!$D$21=7,"男子","")</f>
        <v/>
      </c>
      <c r="J52" s="20">
        <f>IF('設定'!$D$21=7,"女子","")</f>
        <v/>
      </c>
      <c r="K52" s="20">
        <f>IF('設定'!$D$21=7,"女子","")</f>
        <v/>
      </c>
    </row>
    <row r="53" ht="15" customHeight="1">
      <c r="A53" s="14">
        <f>IF('設定'!$C$20&gt;0,IF('設定'!$E$20=1,"後ろ","前"),"")</f>
        <v/>
      </c>
      <c r="B53" s="21">
        <f>IF(ISNUMBER($A53),IFERROR(CHOOSE('設定'!$D$20-3,IFERROR(INDEX('入力シート'!$A$2:$A$41,MATCH(($A53-1)*4+1,'入力シート'!$F$2:$F$41,0)),""),IFERROR(INDEX('入力シート'!$A$2:$A$41,MATCH(IF(MOD($A53,2)=1,($A53-1)*4+1,($A53-1)*4+4),'入力シート'!$F$2:$F$41,0)),""),IFERROR(INDEX('入力シート'!$A$2:$A$41,MATCH(($A53-1)*4+3,'入力シート'!$F$2:$F$41,0)),""),IFERROR(INDEX('入力シート'!$A$2:$A$41,MATCH("男"&amp;(($A53-1)*2+1),'入力シート'!$I$2:$I$41,0)),"")),""),"")</f>
        <v/>
      </c>
      <c r="C53" s="21">
        <f>IF(ISNUMBER($A53),IFERROR(CHOOSE('設定'!$D$20-3,IFERROR(INDEX('入力シート'!$A$2:$A$41,MATCH(($A53-1)*4+2,'入力シート'!$F$2:$F$41,0)),""),IFERROR(INDEX('入力シート'!$A$2:$A$41,MATCH(IF(MOD($A53,2)=1,($A53-1)*4+2,($A53-1)*4+3),'入力シート'!$F$2:$F$41,0)),""),IFERROR(INDEX('入力シート'!$A$2:$A$41,MATCH(($A53-1)*4+1,'入力シート'!$F$2:$F$41,0)),""),IFERROR(INDEX('入力シート'!$A$2:$A$41,MATCH("男"&amp;(($A53-1)*2+2),'入力シート'!$I$2:$I$41,0)),"")),""),"")</f>
        <v/>
      </c>
      <c r="D53" s="21">
        <f>IF(ISNUMBER($A53),IFERROR(CHOOSE('設定'!$D$20-3,IFERROR(INDEX('入力シート'!$A$2:$A$41,MATCH(($A53-1)*4+3,'入力シート'!$F$2:$F$41,0)),""),IFERROR(INDEX('入力シート'!$A$2:$A$41,MATCH(IF(MOD($A53,2)=1,($A53-1)*4+3,($A53-1)*4+2),'入力シート'!$F$2:$F$41,0)),""),IFERROR(INDEX('入力シート'!$A$2:$A$41,MATCH(($A53-1)*4+2,'入力シート'!$F$2:$F$41,0)),""),IFERROR(INDEX('入力シート'!$A$2:$A$41,MATCH("女"&amp;(($A53-1)*2+1),'入力シート'!$I$2:$I$41,0)),"")),""),"")</f>
        <v/>
      </c>
      <c r="E53" s="21">
        <f>IF(ISNUMBER($A53),IFERROR(CHOOSE('設定'!$D$20-3,IFERROR(INDEX('入力シート'!$A$2:$A$41,MATCH(($A53-1)*4+4,'入力シート'!$F$2:$F$41,0)),""),IFERROR(INDEX('入力シート'!$A$2:$A$41,MATCH(IF(MOD($A53,2)=1,($A53-1)*4+4,($A53-1)*4+1),'入力シート'!$F$2:$F$41,0)),""),IFERROR(INDEX('入力シート'!$A$2:$A$41,MATCH(($A53-1)*4+4,'入力シート'!$F$2:$F$41,0)),""),IFERROR(INDEX('入力シート'!$A$2:$A$41,MATCH("女"&amp;(($A53-1)*2+2),'入力シート'!$I$2:$I$41,0)),"")),""),"")</f>
        <v/>
      </c>
      <c r="G53" s="14">
        <f>IF('設定'!$C$21&gt;0,IF('設定'!$E$21=1,"後ろ","前"),"")</f>
        <v/>
      </c>
      <c r="H53" s="21">
        <f>IF(ISNUMBER($G53),IFERROR(CHOOSE('設定'!$D$21-3,IFERROR(INDEX('入力シート'!$A$2:$A$41,MATCH(($G53-1)*4+1,'入力シート'!$F$2:$F$41,0)),""),IFERROR(INDEX('入力シート'!$A$2:$A$41,MATCH(IF(MOD($G53,2)=1,($G53-1)*4+1,($G53-1)*4+4),'入力シート'!$F$2:$F$41,0)),""),IFERROR(INDEX('入力シート'!$A$2:$A$41,MATCH(($G53-1)*4+3,'入力シート'!$F$2:$F$41,0)),""),IFERROR(INDEX('入力シート'!$A$2:$A$41,MATCH("男"&amp;(($G53-1)*2+1),'入力シート'!$I$2:$I$41,0)),"")),""),"")</f>
        <v/>
      </c>
      <c r="I53" s="21">
        <f>IF(ISNUMBER($G53),IFERROR(CHOOSE('設定'!$D$21-3,IFERROR(INDEX('入力シート'!$A$2:$A$41,MATCH(($G53-1)*4+2,'入力シート'!$F$2:$F$41,0)),""),IFERROR(INDEX('入力シート'!$A$2:$A$41,MATCH(IF(MOD($G53,2)=1,($G53-1)*4+2,($G53-1)*4+3),'入力シート'!$F$2:$F$41,0)),""),IFERROR(INDEX('入力シート'!$A$2:$A$41,MATCH(($G53-1)*4+1,'入力シート'!$F$2:$F$41,0)),""),IFERROR(INDEX('入力シート'!$A$2:$A$41,MATCH("男"&amp;(($G53-1)*2+2),'入力シート'!$I$2:$I$41,0)),"")),""),"")</f>
        <v/>
      </c>
      <c r="J53" s="21">
        <f>IF(ISNUMBER($G53),IFERROR(CHOOSE('設定'!$D$21-3,IFERROR(INDEX('入力シート'!$A$2:$A$41,MATCH(($G53-1)*4+3,'入力シート'!$F$2:$F$41,0)),""),IFERROR(INDEX('入力シート'!$A$2:$A$41,MATCH(IF(MOD($G53,2)=1,($G53-1)*4+3,($G53-1)*4+2),'入力シート'!$F$2:$F$41,0)),""),IFERROR(INDEX('入力シート'!$A$2:$A$41,MATCH(($G53-1)*4+2,'入力シート'!$F$2:$F$41,0)),""),IFERROR(INDEX('入力シート'!$A$2:$A$41,MATCH("女"&amp;(($G53-1)*2+1),'入力シート'!$I$2:$I$41,0)),"")),""),"")</f>
        <v/>
      </c>
      <c r="K53" s="21">
        <f>IF(ISNUMBER($G53),IFERROR(CHOOSE('設定'!$D$21-3,IFERROR(INDEX('入力シート'!$A$2:$A$41,MATCH(($G53-1)*4+4,'入力シート'!$F$2:$F$41,0)),""),IFERROR(INDEX('入力シート'!$A$2:$A$41,MATCH(IF(MOD($G53,2)=1,($G53-1)*4+4,($G53-1)*4+1),'入力シート'!$F$2:$F$41,0)),""),IFERROR(INDEX('入力シート'!$A$2:$A$41,MATCH(($G53-1)*4+4,'入力シート'!$F$2:$F$41,0)),""),IFERROR(INDEX('入力シート'!$A$2:$A$41,MATCH("女"&amp;(($G53-1)*2+2),'入力シート'!$I$2:$I$41,0)),"")),""),"")</f>
        <v/>
      </c>
    </row>
    <row r="54" ht="15" customHeight="1">
      <c r="A54" s="14">
        <f>IF('設定'!$C$20&gt;0,IF(1&lt;='設定'!$F$20,IF('設定'!$E$20=1,'設定'!$F$20+1-1,1),IF(1='設定'!$F$20+1,IF('設定'!$E$20=1,"前","後ろ"),"")),"")</f>
        <v/>
      </c>
      <c r="B54" s="21">
        <f>IF(ISNUMBER($A54),IFERROR(CHOOSE('設定'!$D$20-3,IFERROR(INDEX('入力シート'!$A$2:$A$41,MATCH(($A54-1)*4+1,'入力シート'!$F$2:$F$41,0)),""),IFERROR(INDEX('入力シート'!$A$2:$A$41,MATCH(IF(MOD($A54,2)=1,($A54-1)*4+1,($A54-1)*4+4),'入力シート'!$F$2:$F$41,0)),""),IFERROR(INDEX('入力シート'!$A$2:$A$41,MATCH(($A54-1)*4+3,'入力シート'!$F$2:$F$41,0)),""),IFERROR(INDEX('入力シート'!$A$2:$A$41,MATCH("男"&amp;(($A54-1)*2+1),'入力シート'!$I$2:$I$41,0)),"")),""),"")</f>
        <v/>
      </c>
      <c r="C54" s="21">
        <f>IF(ISNUMBER($A54),IFERROR(CHOOSE('設定'!$D$20-3,IFERROR(INDEX('入力シート'!$A$2:$A$41,MATCH(($A54-1)*4+2,'入力シート'!$F$2:$F$41,0)),""),IFERROR(INDEX('入力シート'!$A$2:$A$41,MATCH(IF(MOD($A54,2)=1,($A54-1)*4+2,($A54-1)*4+3),'入力シート'!$F$2:$F$41,0)),""),IFERROR(INDEX('入力シート'!$A$2:$A$41,MATCH(($A54-1)*4+1,'入力シート'!$F$2:$F$41,0)),""),IFERROR(INDEX('入力シート'!$A$2:$A$41,MATCH("男"&amp;(($A54-1)*2+2),'入力シート'!$I$2:$I$41,0)),"")),""),"")</f>
        <v/>
      </c>
      <c r="D54" s="21">
        <f>IF(ISNUMBER($A54),IFERROR(CHOOSE('設定'!$D$20-3,IFERROR(INDEX('入力シート'!$A$2:$A$41,MATCH(($A54-1)*4+3,'入力シート'!$F$2:$F$41,0)),""),IFERROR(INDEX('入力シート'!$A$2:$A$41,MATCH(IF(MOD($A54,2)=1,($A54-1)*4+3,($A54-1)*4+2),'入力シート'!$F$2:$F$41,0)),""),IFERROR(INDEX('入力シート'!$A$2:$A$41,MATCH(($A54-1)*4+2,'入力シート'!$F$2:$F$41,0)),""),IFERROR(INDEX('入力シート'!$A$2:$A$41,MATCH("女"&amp;(($A54-1)*2+1),'入力シート'!$I$2:$I$41,0)),"")),""),"")</f>
        <v/>
      </c>
      <c r="E54" s="21">
        <f>IF(ISNUMBER($A54),IFERROR(CHOOSE('設定'!$D$20-3,IFERROR(INDEX('入力シート'!$A$2:$A$41,MATCH(($A54-1)*4+4,'入力シート'!$F$2:$F$41,0)),""),IFERROR(INDEX('入力シート'!$A$2:$A$41,MATCH(IF(MOD($A54,2)=1,($A54-1)*4+4,($A54-1)*4+1),'入力シート'!$F$2:$F$41,0)),""),IFERROR(INDEX('入力シート'!$A$2:$A$41,MATCH(($A54-1)*4+4,'入力シート'!$F$2:$F$41,0)),""),IFERROR(INDEX('入力シート'!$A$2:$A$41,MATCH("女"&amp;(($A54-1)*2+2),'入力シート'!$I$2:$I$41,0)),"")),""),"")</f>
        <v/>
      </c>
      <c r="G54" s="14">
        <f>IF('設定'!$C$21&gt;0,IF(1&lt;='設定'!$F$21,IF('設定'!$E$21=1,'設定'!$F$21+1-1,1),IF(1='設定'!$F$21+1,IF('設定'!$E$21=1,"前","後ろ"),"")),"")</f>
        <v/>
      </c>
      <c r="H54" s="21">
        <f>IF(ISNUMBER($G54),IFERROR(CHOOSE('設定'!$D$21-3,IFERROR(INDEX('入力シート'!$A$2:$A$41,MATCH(($G54-1)*4+1,'入力シート'!$F$2:$F$41,0)),""),IFERROR(INDEX('入力シート'!$A$2:$A$41,MATCH(IF(MOD($G54,2)=1,($G54-1)*4+1,($G54-1)*4+4),'入力シート'!$F$2:$F$41,0)),""),IFERROR(INDEX('入力シート'!$A$2:$A$41,MATCH(($G54-1)*4+3,'入力シート'!$F$2:$F$41,0)),""),IFERROR(INDEX('入力シート'!$A$2:$A$41,MATCH("男"&amp;(($G54-1)*2+1),'入力シート'!$I$2:$I$41,0)),"")),""),"")</f>
        <v/>
      </c>
      <c r="I54" s="21">
        <f>IF(ISNUMBER($G54),IFERROR(CHOOSE('設定'!$D$21-3,IFERROR(INDEX('入力シート'!$A$2:$A$41,MATCH(($G54-1)*4+2,'入力シート'!$F$2:$F$41,0)),""),IFERROR(INDEX('入力シート'!$A$2:$A$41,MATCH(IF(MOD($G54,2)=1,($G54-1)*4+2,($G54-1)*4+3),'入力シート'!$F$2:$F$41,0)),""),IFERROR(INDEX('入力シート'!$A$2:$A$41,MATCH(($G54-1)*4+1,'入力シート'!$F$2:$F$41,0)),""),IFERROR(INDEX('入力シート'!$A$2:$A$41,MATCH("男"&amp;(($G54-1)*2+2),'入力シート'!$I$2:$I$41,0)),"")),""),"")</f>
        <v/>
      </c>
      <c r="J54" s="21">
        <f>IF(ISNUMBER($G54),IFERROR(CHOOSE('設定'!$D$21-3,IFERROR(INDEX('入力シート'!$A$2:$A$41,MATCH(($G54-1)*4+3,'入力シート'!$F$2:$F$41,0)),""),IFERROR(INDEX('入力シート'!$A$2:$A$41,MATCH(IF(MOD($G54,2)=1,($G54-1)*4+3,($G54-1)*4+2),'入力シート'!$F$2:$F$41,0)),""),IFERROR(INDEX('入力シート'!$A$2:$A$41,MATCH(($G54-1)*4+2,'入力シート'!$F$2:$F$41,0)),""),IFERROR(INDEX('入力シート'!$A$2:$A$41,MATCH("女"&amp;(($G54-1)*2+1),'入力シート'!$I$2:$I$41,0)),"")),""),"")</f>
        <v/>
      </c>
      <c r="K54" s="21">
        <f>IF(ISNUMBER($G54),IFERROR(CHOOSE('設定'!$D$21-3,IFERROR(INDEX('入力シート'!$A$2:$A$41,MATCH(($G54-1)*4+4,'入力シート'!$F$2:$F$41,0)),""),IFERROR(INDEX('入力シート'!$A$2:$A$41,MATCH(IF(MOD($G54,2)=1,($G54-1)*4+4,($G54-1)*4+1),'入力シート'!$F$2:$F$41,0)),""),IFERROR(INDEX('入力シート'!$A$2:$A$41,MATCH(($G54-1)*4+4,'入力シート'!$F$2:$F$41,0)),""),IFERROR(INDEX('入力シート'!$A$2:$A$41,MATCH("女"&amp;(($G54-1)*2+2),'入力シート'!$I$2:$I$41,0)),"")),""),"")</f>
        <v/>
      </c>
    </row>
    <row r="55" ht="15" customHeight="1">
      <c r="A55" s="14">
        <f>IF('設定'!$C$20&gt;0,IF(2&lt;='設定'!$F$20,IF('設定'!$E$20=1,'設定'!$F$20+1-2,2),IF(2='設定'!$F$20+1,IF('設定'!$E$20=1,"前","後ろ"),"")),"")</f>
        <v/>
      </c>
      <c r="B55" s="21">
        <f>IF(ISNUMBER($A55),IFERROR(CHOOSE('設定'!$D$20-3,IFERROR(INDEX('入力シート'!$A$2:$A$41,MATCH(($A55-1)*4+1,'入力シート'!$F$2:$F$41,0)),""),IFERROR(INDEX('入力シート'!$A$2:$A$41,MATCH(IF(MOD($A55,2)=1,($A55-1)*4+1,($A55-1)*4+4),'入力シート'!$F$2:$F$41,0)),""),IFERROR(INDEX('入力シート'!$A$2:$A$41,MATCH(($A55-1)*4+3,'入力シート'!$F$2:$F$41,0)),""),IFERROR(INDEX('入力シート'!$A$2:$A$41,MATCH("男"&amp;(($A55-1)*2+1),'入力シート'!$I$2:$I$41,0)),"")),""),"")</f>
        <v/>
      </c>
      <c r="C55" s="21">
        <f>IF(ISNUMBER($A55),IFERROR(CHOOSE('設定'!$D$20-3,IFERROR(INDEX('入力シート'!$A$2:$A$41,MATCH(($A55-1)*4+2,'入力シート'!$F$2:$F$41,0)),""),IFERROR(INDEX('入力シート'!$A$2:$A$41,MATCH(IF(MOD($A55,2)=1,($A55-1)*4+2,($A55-1)*4+3),'入力シート'!$F$2:$F$41,0)),""),IFERROR(INDEX('入力シート'!$A$2:$A$41,MATCH(($A55-1)*4+1,'入力シート'!$F$2:$F$41,0)),""),IFERROR(INDEX('入力シート'!$A$2:$A$41,MATCH("男"&amp;(($A55-1)*2+2),'入力シート'!$I$2:$I$41,0)),"")),""),"")</f>
        <v/>
      </c>
      <c r="D55" s="21">
        <f>IF(ISNUMBER($A55),IFERROR(CHOOSE('設定'!$D$20-3,IFERROR(INDEX('入力シート'!$A$2:$A$41,MATCH(($A55-1)*4+3,'入力シート'!$F$2:$F$41,0)),""),IFERROR(INDEX('入力シート'!$A$2:$A$41,MATCH(IF(MOD($A55,2)=1,($A55-1)*4+3,($A55-1)*4+2),'入力シート'!$F$2:$F$41,0)),""),IFERROR(INDEX('入力シート'!$A$2:$A$41,MATCH(($A55-1)*4+2,'入力シート'!$F$2:$F$41,0)),""),IFERROR(INDEX('入力シート'!$A$2:$A$41,MATCH("女"&amp;(($A55-1)*2+1),'入力シート'!$I$2:$I$41,0)),"")),""),"")</f>
        <v/>
      </c>
      <c r="E55" s="21">
        <f>IF(ISNUMBER($A55),IFERROR(CHOOSE('設定'!$D$20-3,IFERROR(INDEX('入力シート'!$A$2:$A$41,MATCH(($A55-1)*4+4,'入力シート'!$F$2:$F$41,0)),""),IFERROR(INDEX('入力シート'!$A$2:$A$41,MATCH(IF(MOD($A55,2)=1,($A55-1)*4+4,($A55-1)*4+1),'入力シート'!$F$2:$F$41,0)),""),IFERROR(INDEX('入力シート'!$A$2:$A$41,MATCH(($A55-1)*4+4,'入力シート'!$F$2:$F$41,0)),""),IFERROR(INDEX('入力シート'!$A$2:$A$41,MATCH("女"&amp;(($A55-1)*2+2),'入力シート'!$I$2:$I$41,0)),"")),""),"")</f>
        <v/>
      </c>
      <c r="G55" s="14">
        <f>IF('設定'!$C$21&gt;0,IF(2&lt;='設定'!$F$21,IF('設定'!$E$21=1,'設定'!$F$21+1-2,2),IF(2='設定'!$F$21+1,IF('設定'!$E$21=1,"前","後ろ"),"")),"")</f>
        <v/>
      </c>
      <c r="H55" s="21">
        <f>IF(ISNUMBER($G55),IFERROR(CHOOSE('設定'!$D$21-3,IFERROR(INDEX('入力シート'!$A$2:$A$41,MATCH(($G55-1)*4+1,'入力シート'!$F$2:$F$41,0)),""),IFERROR(INDEX('入力シート'!$A$2:$A$41,MATCH(IF(MOD($G55,2)=1,($G55-1)*4+1,($G55-1)*4+4),'入力シート'!$F$2:$F$41,0)),""),IFERROR(INDEX('入力シート'!$A$2:$A$41,MATCH(($G55-1)*4+3,'入力シート'!$F$2:$F$41,0)),""),IFERROR(INDEX('入力シート'!$A$2:$A$41,MATCH("男"&amp;(($G55-1)*2+1),'入力シート'!$I$2:$I$41,0)),"")),""),"")</f>
        <v/>
      </c>
      <c r="I55" s="21">
        <f>IF(ISNUMBER($G55),IFERROR(CHOOSE('設定'!$D$21-3,IFERROR(INDEX('入力シート'!$A$2:$A$41,MATCH(($G55-1)*4+2,'入力シート'!$F$2:$F$41,0)),""),IFERROR(INDEX('入力シート'!$A$2:$A$41,MATCH(IF(MOD($G55,2)=1,($G55-1)*4+2,($G55-1)*4+3),'入力シート'!$F$2:$F$41,0)),""),IFERROR(INDEX('入力シート'!$A$2:$A$41,MATCH(($G55-1)*4+1,'入力シート'!$F$2:$F$41,0)),""),IFERROR(INDEX('入力シート'!$A$2:$A$41,MATCH("男"&amp;(($G55-1)*2+2),'入力シート'!$I$2:$I$41,0)),"")),""),"")</f>
        <v/>
      </c>
      <c r="J55" s="21">
        <f>IF(ISNUMBER($G55),IFERROR(CHOOSE('設定'!$D$21-3,IFERROR(INDEX('入力シート'!$A$2:$A$41,MATCH(($G55-1)*4+3,'入力シート'!$F$2:$F$41,0)),""),IFERROR(INDEX('入力シート'!$A$2:$A$41,MATCH(IF(MOD($G55,2)=1,($G55-1)*4+3,($G55-1)*4+2),'入力シート'!$F$2:$F$41,0)),""),IFERROR(INDEX('入力シート'!$A$2:$A$41,MATCH(($G55-1)*4+2,'入力シート'!$F$2:$F$41,0)),""),IFERROR(INDEX('入力シート'!$A$2:$A$41,MATCH("女"&amp;(($G55-1)*2+1),'入力シート'!$I$2:$I$41,0)),"")),""),"")</f>
        <v/>
      </c>
      <c r="K55" s="21">
        <f>IF(ISNUMBER($G55),IFERROR(CHOOSE('設定'!$D$21-3,IFERROR(INDEX('入力シート'!$A$2:$A$41,MATCH(($G55-1)*4+4,'入力シート'!$F$2:$F$41,0)),""),IFERROR(INDEX('入力シート'!$A$2:$A$41,MATCH(IF(MOD($G55,2)=1,($G55-1)*4+4,($G55-1)*4+1),'入力シート'!$F$2:$F$41,0)),""),IFERROR(INDEX('入力シート'!$A$2:$A$41,MATCH(($G55-1)*4+4,'入力シート'!$F$2:$F$41,0)),""),IFERROR(INDEX('入力シート'!$A$2:$A$41,MATCH("女"&amp;(($G55-1)*2+2),'入力シート'!$I$2:$I$41,0)),"")),""),"")</f>
        <v/>
      </c>
    </row>
    <row r="56" ht="15" customHeight="1">
      <c r="A56" s="14">
        <f>IF('設定'!$C$20&gt;0,IF(3&lt;='設定'!$F$20,IF('設定'!$E$20=1,'設定'!$F$20+1-3,3),IF(3='設定'!$F$20+1,IF('設定'!$E$20=1,"前","後ろ"),"")),"")</f>
        <v/>
      </c>
      <c r="B56" s="21">
        <f>IF(ISNUMBER($A56),IFERROR(CHOOSE('設定'!$D$20-3,IFERROR(INDEX('入力シート'!$A$2:$A$41,MATCH(($A56-1)*4+1,'入力シート'!$F$2:$F$41,0)),""),IFERROR(INDEX('入力シート'!$A$2:$A$41,MATCH(IF(MOD($A56,2)=1,($A56-1)*4+1,($A56-1)*4+4),'入力シート'!$F$2:$F$41,0)),""),IFERROR(INDEX('入力シート'!$A$2:$A$41,MATCH(($A56-1)*4+3,'入力シート'!$F$2:$F$41,0)),""),IFERROR(INDEX('入力シート'!$A$2:$A$41,MATCH("男"&amp;(($A56-1)*2+1),'入力シート'!$I$2:$I$41,0)),"")),""),"")</f>
        <v/>
      </c>
      <c r="C56" s="21">
        <f>IF(ISNUMBER($A56),IFERROR(CHOOSE('設定'!$D$20-3,IFERROR(INDEX('入力シート'!$A$2:$A$41,MATCH(($A56-1)*4+2,'入力シート'!$F$2:$F$41,0)),""),IFERROR(INDEX('入力シート'!$A$2:$A$41,MATCH(IF(MOD($A56,2)=1,($A56-1)*4+2,($A56-1)*4+3),'入力シート'!$F$2:$F$41,0)),""),IFERROR(INDEX('入力シート'!$A$2:$A$41,MATCH(($A56-1)*4+1,'入力シート'!$F$2:$F$41,0)),""),IFERROR(INDEX('入力シート'!$A$2:$A$41,MATCH("男"&amp;(($A56-1)*2+2),'入力シート'!$I$2:$I$41,0)),"")),""),"")</f>
        <v/>
      </c>
      <c r="D56" s="21">
        <f>IF(ISNUMBER($A56),IFERROR(CHOOSE('設定'!$D$20-3,IFERROR(INDEX('入力シート'!$A$2:$A$41,MATCH(($A56-1)*4+3,'入力シート'!$F$2:$F$41,0)),""),IFERROR(INDEX('入力シート'!$A$2:$A$41,MATCH(IF(MOD($A56,2)=1,($A56-1)*4+3,($A56-1)*4+2),'入力シート'!$F$2:$F$41,0)),""),IFERROR(INDEX('入力シート'!$A$2:$A$41,MATCH(($A56-1)*4+2,'入力シート'!$F$2:$F$41,0)),""),IFERROR(INDEX('入力シート'!$A$2:$A$41,MATCH("女"&amp;(($A56-1)*2+1),'入力シート'!$I$2:$I$41,0)),"")),""),"")</f>
        <v/>
      </c>
      <c r="E56" s="21">
        <f>IF(ISNUMBER($A56),IFERROR(CHOOSE('設定'!$D$20-3,IFERROR(INDEX('入力シート'!$A$2:$A$41,MATCH(($A56-1)*4+4,'入力シート'!$F$2:$F$41,0)),""),IFERROR(INDEX('入力シート'!$A$2:$A$41,MATCH(IF(MOD($A56,2)=1,($A56-1)*4+4,($A56-1)*4+1),'入力シート'!$F$2:$F$41,0)),""),IFERROR(INDEX('入力シート'!$A$2:$A$41,MATCH(($A56-1)*4+4,'入力シート'!$F$2:$F$41,0)),""),IFERROR(INDEX('入力シート'!$A$2:$A$41,MATCH("女"&amp;(($A56-1)*2+2),'入力シート'!$I$2:$I$41,0)),"")),""),"")</f>
        <v/>
      </c>
      <c r="G56" s="14">
        <f>IF('設定'!$C$21&gt;0,IF(3&lt;='設定'!$F$21,IF('設定'!$E$21=1,'設定'!$F$21+1-3,3),IF(3='設定'!$F$21+1,IF('設定'!$E$21=1,"前","後ろ"),"")),"")</f>
        <v/>
      </c>
      <c r="H56" s="21">
        <f>IF(ISNUMBER($G56),IFERROR(CHOOSE('設定'!$D$21-3,IFERROR(INDEX('入力シート'!$A$2:$A$41,MATCH(($G56-1)*4+1,'入力シート'!$F$2:$F$41,0)),""),IFERROR(INDEX('入力シート'!$A$2:$A$41,MATCH(IF(MOD($G56,2)=1,($G56-1)*4+1,($G56-1)*4+4),'入力シート'!$F$2:$F$41,0)),""),IFERROR(INDEX('入力シート'!$A$2:$A$41,MATCH(($G56-1)*4+3,'入力シート'!$F$2:$F$41,0)),""),IFERROR(INDEX('入力シート'!$A$2:$A$41,MATCH("男"&amp;(($G56-1)*2+1),'入力シート'!$I$2:$I$41,0)),"")),""),"")</f>
        <v/>
      </c>
      <c r="I56" s="21">
        <f>IF(ISNUMBER($G56),IFERROR(CHOOSE('設定'!$D$21-3,IFERROR(INDEX('入力シート'!$A$2:$A$41,MATCH(($G56-1)*4+2,'入力シート'!$F$2:$F$41,0)),""),IFERROR(INDEX('入力シート'!$A$2:$A$41,MATCH(IF(MOD($G56,2)=1,($G56-1)*4+2,($G56-1)*4+3),'入力シート'!$F$2:$F$41,0)),""),IFERROR(INDEX('入力シート'!$A$2:$A$41,MATCH(($G56-1)*4+1,'入力シート'!$F$2:$F$41,0)),""),IFERROR(INDEX('入力シート'!$A$2:$A$41,MATCH("男"&amp;(($G56-1)*2+2),'入力シート'!$I$2:$I$41,0)),"")),""),"")</f>
        <v/>
      </c>
      <c r="J56" s="21">
        <f>IF(ISNUMBER($G56),IFERROR(CHOOSE('設定'!$D$21-3,IFERROR(INDEX('入力シート'!$A$2:$A$41,MATCH(($G56-1)*4+3,'入力シート'!$F$2:$F$41,0)),""),IFERROR(INDEX('入力シート'!$A$2:$A$41,MATCH(IF(MOD($G56,2)=1,($G56-1)*4+3,($G56-1)*4+2),'入力シート'!$F$2:$F$41,0)),""),IFERROR(INDEX('入力シート'!$A$2:$A$41,MATCH(($G56-1)*4+2,'入力シート'!$F$2:$F$41,0)),""),IFERROR(INDEX('入力シート'!$A$2:$A$41,MATCH("女"&amp;(($G56-1)*2+1),'入力シート'!$I$2:$I$41,0)),"")),""),"")</f>
        <v/>
      </c>
      <c r="K56" s="21">
        <f>IF(ISNUMBER($G56),IFERROR(CHOOSE('設定'!$D$21-3,IFERROR(INDEX('入力シート'!$A$2:$A$41,MATCH(($G56-1)*4+4,'入力シート'!$F$2:$F$41,0)),""),IFERROR(INDEX('入力シート'!$A$2:$A$41,MATCH(IF(MOD($G56,2)=1,($G56-1)*4+4,($G56-1)*4+1),'入力シート'!$F$2:$F$41,0)),""),IFERROR(INDEX('入力シート'!$A$2:$A$41,MATCH(($G56-1)*4+4,'入力シート'!$F$2:$F$41,0)),""),IFERROR(INDEX('入力シート'!$A$2:$A$41,MATCH("女"&amp;(($G56-1)*2+2),'入力シート'!$I$2:$I$41,0)),"")),""),"")</f>
        <v/>
      </c>
    </row>
    <row r="57" ht="15" customHeight="1">
      <c r="A57" s="14">
        <f>IF('設定'!$C$20&gt;0,IF(4&lt;='設定'!$F$20,IF('設定'!$E$20=1,'設定'!$F$20+1-4,4),IF(4='設定'!$F$20+1,IF('設定'!$E$20=1,"前","後ろ"),"")),"")</f>
        <v/>
      </c>
      <c r="B57" s="21">
        <f>IF(ISNUMBER($A57),IFERROR(CHOOSE('設定'!$D$20-3,IFERROR(INDEX('入力シート'!$A$2:$A$41,MATCH(($A57-1)*4+1,'入力シート'!$F$2:$F$41,0)),""),IFERROR(INDEX('入力シート'!$A$2:$A$41,MATCH(IF(MOD($A57,2)=1,($A57-1)*4+1,($A57-1)*4+4),'入力シート'!$F$2:$F$41,0)),""),IFERROR(INDEX('入力シート'!$A$2:$A$41,MATCH(($A57-1)*4+3,'入力シート'!$F$2:$F$41,0)),""),IFERROR(INDEX('入力シート'!$A$2:$A$41,MATCH("男"&amp;(($A57-1)*2+1),'入力シート'!$I$2:$I$41,0)),"")),""),"")</f>
        <v/>
      </c>
      <c r="C57" s="21">
        <f>IF(ISNUMBER($A57),IFERROR(CHOOSE('設定'!$D$20-3,IFERROR(INDEX('入力シート'!$A$2:$A$41,MATCH(($A57-1)*4+2,'入力シート'!$F$2:$F$41,0)),""),IFERROR(INDEX('入力シート'!$A$2:$A$41,MATCH(IF(MOD($A57,2)=1,($A57-1)*4+2,($A57-1)*4+3),'入力シート'!$F$2:$F$41,0)),""),IFERROR(INDEX('入力シート'!$A$2:$A$41,MATCH(($A57-1)*4+1,'入力シート'!$F$2:$F$41,0)),""),IFERROR(INDEX('入力シート'!$A$2:$A$41,MATCH("男"&amp;(($A57-1)*2+2),'入力シート'!$I$2:$I$41,0)),"")),""),"")</f>
        <v/>
      </c>
      <c r="D57" s="21">
        <f>IF(ISNUMBER($A57),IFERROR(CHOOSE('設定'!$D$20-3,IFERROR(INDEX('入力シート'!$A$2:$A$41,MATCH(($A57-1)*4+3,'入力シート'!$F$2:$F$41,0)),""),IFERROR(INDEX('入力シート'!$A$2:$A$41,MATCH(IF(MOD($A57,2)=1,($A57-1)*4+3,($A57-1)*4+2),'入力シート'!$F$2:$F$41,0)),""),IFERROR(INDEX('入力シート'!$A$2:$A$41,MATCH(($A57-1)*4+2,'入力シート'!$F$2:$F$41,0)),""),IFERROR(INDEX('入力シート'!$A$2:$A$41,MATCH("女"&amp;(($A57-1)*2+1),'入力シート'!$I$2:$I$41,0)),"")),""),"")</f>
        <v/>
      </c>
      <c r="E57" s="21">
        <f>IF(ISNUMBER($A57),IFERROR(CHOOSE('設定'!$D$20-3,IFERROR(INDEX('入力シート'!$A$2:$A$41,MATCH(($A57-1)*4+4,'入力シート'!$F$2:$F$41,0)),""),IFERROR(INDEX('入力シート'!$A$2:$A$41,MATCH(IF(MOD($A57,2)=1,($A57-1)*4+4,($A57-1)*4+1),'入力シート'!$F$2:$F$41,0)),""),IFERROR(INDEX('入力シート'!$A$2:$A$41,MATCH(($A57-1)*4+4,'入力シート'!$F$2:$F$41,0)),""),IFERROR(INDEX('入力シート'!$A$2:$A$41,MATCH("女"&amp;(($A57-1)*2+2),'入力シート'!$I$2:$I$41,0)),"")),""),"")</f>
        <v/>
      </c>
      <c r="G57" s="14">
        <f>IF('設定'!$C$21&gt;0,IF(4&lt;='設定'!$F$21,IF('設定'!$E$21=1,'設定'!$F$21+1-4,4),IF(4='設定'!$F$21+1,IF('設定'!$E$21=1,"前","後ろ"),"")),"")</f>
        <v/>
      </c>
      <c r="H57" s="21">
        <f>IF(ISNUMBER($G57),IFERROR(CHOOSE('設定'!$D$21-3,IFERROR(INDEX('入力シート'!$A$2:$A$41,MATCH(($G57-1)*4+1,'入力シート'!$F$2:$F$41,0)),""),IFERROR(INDEX('入力シート'!$A$2:$A$41,MATCH(IF(MOD($G57,2)=1,($G57-1)*4+1,($G57-1)*4+4),'入力シート'!$F$2:$F$41,0)),""),IFERROR(INDEX('入力シート'!$A$2:$A$41,MATCH(($G57-1)*4+3,'入力シート'!$F$2:$F$41,0)),""),IFERROR(INDEX('入力シート'!$A$2:$A$41,MATCH("男"&amp;(($G57-1)*2+1),'入力シート'!$I$2:$I$41,0)),"")),""),"")</f>
        <v/>
      </c>
      <c r="I57" s="21">
        <f>IF(ISNUMBER($G57),IFERROR(CHOOSE('設定'!$D$21-3,IFERROR(INDEX('入力シート'!$A$2:$A$41,MATCH(($G57-1)*4+2,'入力シート'!$F$2:$F$41,0)),""),IFERROR(INDEX('入力シート'!$A$2:$A$41,MATCH(IF(MOD($G57,2)=1,($G57-1)*4+2,($G57-1)*4+3),'入力シート'!$F$2:$F$41,0)),""),IFERROR(INDEX('入力シート'!$A$2:$A$41,MATCH(($G57-1)*4+1,'入力シート'!$F$2:$F$41,0)),""),IFERROR(INDEX('入力シート'!$A$2:$A$41,MATCH("男"&amp;(($G57-1)*2+2),'入力シート'!$I$2:$I$41,0)),"")),""),"")</f>
        <v/>
      </c>
      <c r="J57" s="21">
        <f>IF(ISNUMBER($G57),IFERROR(CHOOSE('設定'!$D$21-3,IFERROR(INDEX('入力シート'!$A$2:$A$41,MATCH(($G57-1)*4+3,'入力シート'!$F$2:$F$41,0)),""),IFERROR(INDEX('入力シート'!$A$2:$A$41,MATCH(IF(MOD($G57,2)=1,($G57-1)*4+3,($G57-1)*4+2),'入力シート'!$F$2:$F$41,0)),""),IFERROR(INDEX('入力シート'!$A$2:$A$41,MATCH(($G57-1)*4+2,'入力シート'!$F$2:$F$41,0)),""),IFERROR(INDEX('入力シート'!$A$2:$A$41,MATCH("女"&amp;(($G57-1)*2+1),'入力シート'!$I$2:$I$41,0)),"")),""),"")</f>
        <v/>
      </c>
      <c r="K57" s="21">
        <f>IF(ISNUMBER($G57),IFERROR(CHOOSE('設定'!$D$21-3,IFERROR(INDEX('入力シート'!$A$2:$A$41,MATCH(($G57-1)*4+4,'入力シート'!$F$2:$F$41,0)),""),IFERROR(INDEX('入力シート'!$A$2:$A$41,MATCH(IF(MOD($G57,2)=1,($G57-1)*4+4,($G57-1)*4+1),'入力シート'!$F$2:$F$41,0)),""),IFERROR(INDEX('入力シート'!$A$2:$A$41,MATCH(($G57-1)*4+4,'入力シート'!$F$2:$F$41,0)),""),IFERROR(INDEX('入力シート'!$A$2:$A$41,MATCH("女"&amp;(($G57-1)*2+2),'入力シート'!$I$2:$I$41,0)),"")),""),"")</f>
        <v/>
      </c>
    </row>
    <row r="58" ht="15" customHeight="1">
      <c r="A58" s="14">
        <f>IF('設定'!$C$20&gt;0,IF(5&lt;='設定'!$F$20,IF('設定'!$E$20=1,'設定'!$F$20+1-5,5),IF(5='設定'!$F$20+1,IF('設定'!$E$20=1,"前","後ろ"),"")),"")</f>
        <v/>
      </c>
      <c r="B58" s="21">
        <f>IF(ISNUMBER($A58),IFERROR(CHOOSE('設定'!$D$20-3,IFERROR(INDEX('入力シート'!$A$2:$A$41,MATCH(($A58-1)*4+1,'入力シート'!$F$2:$F$41,0)),""),IFERROR(INDEX('入力シート'!$A$2:$A$41,MATCH(IF(MOD($A58,2)=1,($A58-1)*4+1,($A58-1)*4+4),'入力シート'!$F$2:$F$41,0)),""),IFERROR(INDEX('入力シート'!$A$2:$A$41,MATCH(($A58-1)*4+3,'入力シート'!$F$2:$F$41,0)),""),IFERROR(INDEX('入力シート'!$A$2:$A$41,MATCH("男"&amp;(($A58-1)*2+1),'入力シート'!$I$2:$I$41,0)),"")),""),"")</f>
        <v/>
      </c>
      <c r="C58" s="21">
        <f>IF(ISNUMBER($A58),IFERROR(CHOOSE('設定'!$D$20-3,IFERROR(INDEX('入力シート'!$A$2:$A$41,MATCH(($A58-1)*4+2,'入力シート'!$F$2:$F$41,0)),""),IFERROR(INDEX('入力シート'!$A$2:$A$41,MATCH(IF(MOD($A58,2)=1,($A58-1)*4+2,($A58-1)*4+3),'入力シート'!$F$2:$F$41,0)),""),IFERROR(INDEX('入力シート'!$A$2:$A$41,MATCH(($A58-1)*4+1,'入力シート'!$F$2:$F$41,0)),""),IFERROR(INDEX('入力シート'!$A$2:$A$41,MATCH("男"&amp;(($A58-1)*2+2),'入力シート'!$I$2:$I$41,0)),"")),""),"")</f>
        <v/>
      </c>
      <c r="D58" s="21">
        <f>IF(ISNUMBER($A58),IFERROR(CHOOSE('設定'!$D$20-3,IFERROR(INDEX('入力シート'!$A$2:$A$41,MATCH(($A58-1)*4+3,'入力シート'!$F$2:$F$41,0)),""),IFERROR(INDEX('入力シート'!$A$2:$A$41,MATCH(IF(MOD($A58,2)=1,($A58-1)*4+3,($A58-1)*4+2),'入力シート'!$F$2:$F$41,0)),""),IFERROR(INDEX('入力シート'!$A$2:$A$41,MATCH(($A58-1)*4+2,'入力シート'!$F$2:$F$41,0)),""),IFERROR(INDEX('入力シート'!$A$2:$A$41,MATCH("女"&amp;(($A58-1)*2+1),'入力シート'!$I$2:$I$41,0)),"")),""),"")</f>
        <v/>
      </c>
      <c r="E58" s="21">
        <f>IF(ISNUMBER($A58),IFERROR(CHOOSE('設定'!$D$20-3,IFERROR(INDEX('入力シート'!$A$2:$A$41,MATCH(($A58-1)*4+4,'入力シート'!$F$2:$F$41,0)),""),IFERROR(INDEX('入力シート'!$A$2:$A$41,MATCH(IF(MOD($A58,2)=1,($A58-1)*4+4,($A58-1)*4+1),'入力シート'!$F$2:$F$41,0)),""),IFERROR(INDEX('入力シート'!$A$2:$A$41,MATCH(($A58-1)*4+4,'入力シート'!$F$2:$F$41,0)),""),IFERROR(INDEX('入力シート'!$A$2:$A$41,MATCH("女"&amp;(($A58-1)*2+2),'入力シート'!$I$2:$I$41,0)),"")),""),"")</f>
        <v/>
      </c>
      <c r="G58" s="14">
        <f>IF('設定'!$C$21&gt;0,IF(5&lt;='設定'!$F$21,IF('設定'!$E$21=1,'設定'!$F$21+1-5,5),IF(5='設定'!$F$21+1,IF('設定'!$E$21=1,"前","後ろ"),"")),"")</f>
        <v/>
      </c>
      <c r="H58" s="21">
        <f>IF(ISNUMBER($G58),IFERROR(CHOOSE('設定'!$D$21-3,IFERROR(INDEX('入力シート'!$A$2:$A$41,MATCH(($G58-1)*4+1,'入力シート'!$F$2:$F$41,0)),""),IFERROR(INDEX('入力シート'!$A$2:$A$41,MATCH(IF(MOD($G58,2)=1,($G58-1)*4+1,($G58-1)*4+4),'入力シート'!$F$2:$F$41,0)),""),IFERROR(INDEX('入力シート'!$A$2:$A$41,MATCH(($G58-1)*4+3,'入力シート'!$F$2:$F$41,0)),""),IFERROR(INDEX('入力シート'!$A$2:$A$41,MATCH("男"&amp;(($G58-1)*2+1),'入力シート'!$I$2:$I$41,0)),"")),""),"")</f>
        <v/>
      </c>
      <c r="I58" s="21">
        <f>IF(ISNUMBER($G58),IFERROR(CHOOSE('設定'!$D$21-3,IFERROR(INDEX('入力シート'!$A$2:$A$41,MATCH(($G58-1)*4+2,'入力シート'!$F$2:$F$41,0)),""),IFERROR(INDEX('入力シート'!$A$2:$A$41,MATCH(IF(MOD($G58,2)=1,($G58-1)*4+2,($G58-1)*4+3),'入力シート'!$F$2:$F$41,0)),""),IFERROR(INDEX('入力シート'!$A$2:$A$41,MATCH(($G58-1)*4+1,'入力シート'!$F$2:$F$41,0)),""),IFERROR(INDEX('入力シート'!$A$2:$A$41,MATCH("男"&amp;(($G58-1)*2+2),'入力シート'!$I$2:$I$41,0)),"")),""),"")</f>
        <v/>
      </c>
      <c r="J58" s="21">
        <f>IF(ISNUMBER($G58),IFERROR(CHOOSE('設定'!$D$21-3,IFERROR(INDEX('入力シート'!$A$2:$A$41,MATCH(($G58-1)*4+3,'入力シート'!$F$2:$F$41,0)),""),IFERROR(INDEX('入力シート'!$A$2:$A$41,MATCH(IF(MOD($G58,2)=1,($G58-1)*4+3,($G58-1)*4+2),'入力シート'!$F$2:$F$41,0)),""),IFERROR(INDEX('入力シート'!$A$2:$A$41,MATCH(($G58-1)*4+2,'入力シート'!$F$2:$F$41,0)),""),IFERROR(INDEX('入力シート'!$A$2:$A$41,MATCH("女"&amp;(($G58-1)*2+1),'入力シート'!$I$2:$I$41,0)),"")),""),"")</f>
        <v/>
      </c>
      <c r="K58" s="21">
        <f>IF(ISNUMBER($G58),IFERROR(CHOOSE('設定'!$D$21-3,IFERROR(INDEX('入力シート'!$A$2:$A$41,MATCH(($G58-1)*4+4,'入力シート'!$F$2:$F$41,0)),""),IFERROR(INDEX('入力シート'!$A$2:$A$41,MATCH(IF(MOD($G58,2)=1,($G58-1)*4+4,($G58-1)*4+1),'入力シート'!$F$2:$F$41,0)),""),IFERROR(INDEX('入力シート'!$A$2:$A$41,MATCH(($G58-1)*4+4,'入力シート'!$F$2:$F$41,0)),""),IFERROR(INDEX('入力シート'!$A$2:$A$41,MATCH("女"&amp;(($G58-1)*2+2),'入力シート'!$I$2:$I$41,0)),"")),""),"")</f>
        <v/>
      </c>
    </row>
    <row r="59" ht="15" customHeight="1">
      <c r="A59" s="14">
        <f>IF('設定'!$C$20&gt;0,IF(6&lt;='設定'!$F$20,IF('設定'!$E$20=1,'設定'!$F$20+1-6,6),IF(6='設定'!$F$20+1,IF('設定'!$E$20=1,"前","後ろ"),"")),"")</f>
        <v/>
      </c>
      <c r="B59" s="21">
        <f>IF(ISNUMBER($A59),IFERROR(CHOOSE('設定'!$D$20-3,IFERROR(INDEX('入力シート'!$A$2:$A$41,MATCH(($A59-1)*4+1,'入力シート'!$F$2:$F$41,0)),""),IFERROR(INDEX('入力シート'!$A$2:$A$41,MATCH(IF(MOD($A59,2)=1,($A59-1)*4+1,($A59-1)*4+4),'入力シート'!$F$2:$F$41,0)),""),IFERROR(INDEX('入力シート'!$A$2:$A$41,MATCH(($A59-1)*4+3,'入力シート'!$F$2:$F$41,0)),""),IFERROR(INDEX('入力シート'!$A$2:$A$41,MATCH("男"&amp;(($A59-1)*2+1),'入力シート'!$I$2:$I$41,0)),"")),""),"")</f>
        <v/>
      </c>
      <c r="C59" s="21">
        <f>IF(ISNUMBER($A59),IFERROR(CHOOSE('設定'!$D$20-3,IFERROR(INDEX('入力シート'!$A$2:$A$41,MATCH(($A59-1)*4+2,'入力シート'!$F$2:$F$41,0)),""),IFERROR(INDEX('入力シート'!$A$2:$A$41,MATCH(IF(MOD($A59,2)=1,($A59-1)*4+2,($A59-1)*4+3),'入力シート'!$F$2:$F$41,0)),""),IFERROR(INDEX('入力シート'!$A$2:$A$41,MATCH(($A59-1)*4+1,'入力シート'!$F$2:$F$41,0)),""),IFERROR(INDEX('入力シート'!$A$2:$A$41,MATCH("男"&amp;(($A59-1)*2+2),'入力シート'!$I$2:$I$41,0)),"")),""),"")</f>
        <v/>
      </c>
      <c r="D59" s="21">
        <f>IF(ISNUMBER($A59),IFERROR(CHOOSE('設定'!$D$20-3,IFERROR(INDEX('入力シート'!$A$2:$A$41,MATCH(($A59-1)*4+3,'入力シート'!$F$2:$F$41,0)),""),IFERROR(INDEX('入力シート'!$A$2:$A$41,MATCH(IF(MOD($A59,2)=1,($A59-1)*4+3,($A59-1)*4+2),'入力シート'!$F$2:$F$41,0)),""),IFERROR(INDEX('入力シート'!$A$2:$A$41,MATCH(($A59-1)*4+2,'入力シート'!$F$2:$F$41,0)),""),IFERROR(INDEX('入力シート'!$A$2:$A$41,MATCH("女"&amp;(($A59-1)*2+1),'入力シート'!$I$2:$I$41,0)),"")),""),"")</f>
        <v/>
      </c>
      <c r="E59" s="21">
        <f>IF(ISNUMBER($A59),IFERROR(CHOOSE('設定'!$D$20-3,IFERROR(INDEX('入力シート'!$A$2:$A$41,MATCH(($A59-1)*4+4,'入力シート'!$F$2:$F$41,0)),""),IFERROR(INDEX('入力シート'!$A$2:$A$41,MATCH(IF(MOD($A59,2)=1,($A59-1)*4+4,($A59-1)*4+1),'入力シート'!$F$2:$F$41,0)),""),IFERROR(INDEX('入力シート'!$A$2:$A$41,MATCH(($A59-1)*4+4,'入力シート'!$F$2:$F$41,0)),""),IFERROR(INDEX('入力シート'!$A$2:$A$41,MATCH("女"&amp;(($A59-1)*2+2),'入力シート'!$I$2:$I$41,0)),"")),""),"")</f>
        <v/>
      </c>
      <c r="G59" s="14">
        <f>IF('設定'!$C$21&gt;0,IF(6&lt;='設定'!$F$21,IF('設定'!$E$21=1,'設定'!$F$21+1-6,6),IF(6='設定'!$F$21+1,IF('設定'!$E$21=1,"前","後ろ"),"")),"")</f>
        <v/>
      </c>
      <c r="H59" s="21">
        <f>IF(ISNUMBER($G59),IFERROR(CHOOSE('設定'!$D$21-3,IFERROR(INDEX('入力シート'!$A$2:$A$41,MATCH(($G59-1)*4+1,'入力シート'!$F$2:$F$41,0)),""),IFERROR(INDEX('入力シート'!$A$2:$A$41,MATCH(IF(MOD($G59,2)=1,($G59-1)*4+1,($G59-1)*4+4),'入力シート'!$F$2:$F$41,0)),""),IFERROR(INDEX('入力シート'!$A$2:$A$41,MATCH(($G59-1)*4+3,'入力シート'!$F$2:$F$41,0)),""),IFERROR(INDEX('入力シート'!$A$2:$A$41,MATCH("男"&amp;(($G59-1)*2+1),'入力シート'!$I$2:$I$41,0)),"")),""),"")</f>
        <v/>
      </c>
      <c r="I59" s="21">
        <f>IF(ISNUMBER($G59),IFERROR(CHOOSE('設定'!$D$21-3,IFERROR(INDEX('入力シート'!$A$2:$A$41,MATCH(($G59-1)*4+2,'入力シート'!$F$2:$F$41,0)),""),IFERROR(INDEX('入力シート'!$A$2:$A$41,MATCH(IF(MOD($G59,2)=1,($G59-1)*4+2,($G59-1)*4+3),'入力シート'!$F$2:$F$41,0)),""),IFERROR(INDEX('入力シート'!$A$2:$A$41,MATCH(($G59-1)*4+1,'入力シート'!$F$2:$F$41,0)),""),IFERROR(INDEX('入力シート'!$A$2:$A$41,MATCH("男"&amp;(($G59-1)*2+2),'入力シート'!$I$2:$I$41,0)),"")),""),"")</f>
        <v/>
      </c>
      <c r="J59" s="21">
        <f>IF(ISNUMBER($G59),IFERROR(CHOOSE('設定'!$D$21-3,IFERROR(INDEX('入力シート'!$A$2:$A$41,MATCH(($G59-1)*4+3,'入力シート'!$F$2:$F$41,0)),""),IFERROR(INDEX('入力シート'!$A$2:$A$41,MATCH(IF(MOD($G59,2)=1,($G59-1)*4+3,($G59-1)*4+2),'入力シート'!$F$2:$F$41,0)),""),IFERROR(INDEX('入力シート'!$A$2:$A$41,MATCH(($G59-1)*4+2,'入力シート'!$F$2:$F$41,0)),""),IFERROR(INDEX('入力シート'!$A$2:$A$41,MATCH("女"&amp;(($G59-1)*2+1),'入力シート'!$I$2:$I$41,0)),"")),""),"")</f>
        <v/>
      </c>
      <c r="K59" s="21">
        <f>IF(ISNUMBER($G59),IFERROR(CHOOSE('設定'!$D$21-3,IFERROR(INDEX('入力シート'!$A$2:$A$41,MATCH(($G59-1)*4+4,'入力シート'!$F$2:$F$41,0)),""),IFERROR(INDEX('入力シート'!$A$2:$A$41,MATCH(IF(MOD($G59,2)=1,($G59-1)*4+4,($G59-1)*4+1),'入力シート'!$F$2:$F$41,0)),""),IFERROR(INDEX('入力シート'!$A$2:$A$41,MATCH(($G59-1)*4+4,'入力シート'!$F$2:$F$41,0)),""),IFERROR(INDEX('入力シート'!$A$2:$A$41,MATCH("女"&amp;(($G59-1)*2+2),'入力シート'!$I$2:$I$41,0)),"")),""),"")</f>
        <v/>
      </c>
    </row>
    <row r="60" ht="15" customHeight="1">
      <c r="A60" s="14">
        <f>IF('設定'!$C$20&gt;0,IF(7&lt;='設定'!$F$20,IF('設定'!$E$20=1,'設定'!$F$20+1-7,7),IF(7='設定'!$F$20+1,IF('設定'!$E$20=1,"前","後ろ"),"")),"")</f>
        <v/>
      </c>
      <c r="B60" s="21">
        <f>IF(ISNUMBER($A60),IFERROR(CHOOSE('設定'!$D$20-3,IFERROR(INDEX('入力シート'!$A$2:$A$41,MATCH(($A60-1)*4+1,'入力シート'!$F$2:$F$41,0)),""),IFERROR(INDEX('入力シート'!$A$2:$A$41,MATCH(IF(MOD($A60,2)=1,($A60-1)*4+1,($A60-1)*4+4),'入力シート'!$F$2:$F$41,0)),""),IFERROR(INDEX('入力シート'!$A$2:$A$41,MATCH(($A60-1)*4+3,'入力シート'!$F$2:$F$41,0)),""),IFERROR(INDEX('入力シート'!$A$2:$A$41,MATCH("男"&amp;(($A60-1)*2+1),'入力シート'!$I$2:$I$41,0)),"")),""),"")</f>
        <v/>
      </c>
      <c r="C60" s="21">
        <f>IF(ISNUMBER($A60),IFERROR(CHOOSE('設定'!$D$20-3,IFERROR(INDEX('入力シート'!$A$2:$A$41,MATCH(($A60-1)*4+2,'入力シート'!$F$2:$F$41,0)),""),IFERROR(INDEX('入力シート'!$A$2:$A$41,MATCH(IF(MOD($A60,2)=1,($A60-1)*4+2,($A60-1)*4+3),'入力シート'!$F$2:$F$41,0)),""),IFERROR(INDEX('入力シート'!$A$2:$A$41,MATCH(($A60-1)*4+1,'入力シート'!$F$2:$F$41,0)),""),IFERROR(INDEX('入力シート'!$A$2:$A$41,MATCH("男"&amp;(($A60-1)*2+2),'入力シート'!$I$2:$I$41,0)),"")),""),"")</f>
        <v/>
      </c>
      <c r="D60" s="21">
        <f>IF(ISNUMBER($A60),IFERROR(CHOOSE('設定'!$D$20-3,IFERROR(INDEX('入力シート'!$A$2:$A$41,MATCH(($A60-1)*4+3,'入力シート'!$F$2:$F$41,0)),""),IFERROR(INDEX('入力シート'!$A$2:$A$41,MATCH(IF(MOD($A60,2)=1,($A60-1)*4+3,($A60-1)*4+2),'入力シート'!$F$2:$F$41,0)),""),IFERROR(INDEX('入力シート'!$A$2:$A$41,MATCH(($A60-1)*4+2,'入力シート'!$F$2:$F$41,0)),""),IFERROR(INDEX('入力シート'!$A$2:$A$41,MATCH("女"&amp;(($A60-1)*2+1),'入力シート'!$I$2:$I$41,0)),"")),""),"")</f>
        <v/>
      </c>
      <c r="E60" s="21">
        <f>IF(ISNUMBER($A60),IFERROR(CHOOSE('設定'!$D$20-3,IFERROR(INDEX('入力シート'!$A$2:$A$41,MATCH(($A60-1)*4+4,'入力シート'!$F$2:$F$41,0)),""),IFERROR(INDEX('入力シート'!$A$2:$A$41,MATCH(IF(MOD($A60,2)=1,($A60-1)*4+4,($A60-1)*4+1),'入力シート'!$F$2:$F$41,0)),""),IFERROR(INDEX('入力シート'!$A$2:$A$41,MATCH(($A60-1)*4+4,'入力シート'!$F$2:$F$41,0)),""),IFERROR(INDEX('入力シート'!$A$2:$A$41,MATCH("女"&amp;(($A60-1)*2+2),'入力シート'!$I$2:$I$41,0)),"")),""),"")</f>
        <v/>
      </c>
      <c r="G60" s="14">
        <f>IF('設定'!$C$21&gt;0,IF(7&lt;='設定'!$F$21,IF('設定'!$E$21=1,'設定'!$F$21+1-7,7),IF(7='設定'!$F$21+1,IF('設定'!$E$21=1,"前","後ろ"),"")),"")</f>
        <v/>
      </c>
      <c r="H60" s="21">
        <f>IF(ISNUMBER($G60),IFERROR(CHOOSE('設定'!$D$21-3,IFERROR(INDEX('入力シート'!$A$2:$A$41,MATCH(($G60-1)*4+1,'入力シート'!$F$2:$F$41,0)),""),IFERROR(INDEX('入力シート'!$A$2:$A$41,MATCH(IF(MOD($G60,2)=1,($G60-1)*4+1,($G60-1)*4+4),'入力シート'!$F$2:$F$41,0)),""),IFERROR(INDEX('入力シート'!$A$2:$A$41,MATCH(($G60-1)*4+3,'入力シート'!$F$2:$F$41,0)),""),IFERROR(INDEX('入力シート'!$A$2:$A$41,MATCH("男"&amp;(($G60-1)*2+1),'入力シート'!$I$2:$I$41,0)),"")),""),"")</f>
        <v/>
      </c>
      <c r="I60" s="21">
        <f>IF(ISNUMBER($G60),IFERROR(CHOOSE('設定'!$D$21-3,IFERROR(INDEX('入力シート'!$A$2:$A$41,MATCH(($G60-1)*4+2,'入力シート'!$F$2:$F$41,0)),""),IFERROR(INDEX('入力シート'!$A$2:$A$41,MATCH(IF(MOD($G60,2)=1,($G60-1)*4+2,($G60-1)*4+3),'入力シート'!$F$2:$F$41,0)),""),IFERROR(INDEX('入力シート'!$A$2:$A$41,MATCH(($G60-1)*4+1,'入力シート'!$F$2:$F$41,0)),""),IFERROR(INDEX('入力シート'!$A$2:$A$41,MATCH("男"&amp;(($G60-1)*2+2),'入力シート'!$I$2:$I$41,0)),"")),""),"")</f>
        <v/>
      </c>
      <c r="J60" s="21">
        <f>IF(ISNUMBER($G60),IFERROR(CHOOSE('設定'!$D$21-3,IFERROR(INDEX('入力シート'!$A$2:$A$41,MATCH(($G60-1)*4+3,'入力シート'!$F$2:$F$41,0)),""),IFERROR(INDEX('入力シート'!$A$2:$A$41,MATCH(IF(MOD($G60,2)=1,($G60-1)*4+3,($G60-1)*4+2),'入力シート'!$F$2:$F$41,0)),""),IFERROR(INDEX('入力シート'!$A$2:$A$41,MATCH(($G60-1)*4+2,'入力シート'!$F$2:$F$41,0)),""),IFERROR(INDEX('入力シート'!$A$2:$A$41,MATCH("女"&amp;(($G60-1)*2+1),'入力シート'!$I$2:$I$41,0)),"")),""),"")</f>
        <v/>
      </c>
      <c r="K60" s="21">
        <f>IF(ISNUMBER($G60),IFERROR(CHOOSE('設定'!$D$21-3,IFERROR(INDEX('入力シート'!$A$2:$A$41,MATCH(($G60-1)*4+4,'入力シート'!$F$2:$F$41,0)),""),IFERROR(INDEX('入力シート'!$A$2:$A$41,MATCH(IF(MOD($G60,2)=1,($G60-1)*4+4,($G60-1)*4+1),'入力シート'!$F$2:$F$41,0)),""),IFERROR(INDEX('入力シート'!$A$2:$A$41,MATCH(($G60-1)*4+4,'入力シート'!$F$2:$F$41,0)),""),IFERROR(INDEX('入力シート'!$A$2:$A$41,MATCH("女"&amp;(($G60-1)*2+2),'入力シート'!$I$2:$I$41,0)),"")),""),"")</f>
        <v/>
      </c>
    </row>
    <row r="61" ht="15" customHeight="1">
      <c r="A61" s="14">
        <f>IF('設定'!$C$20&gt;0,IF(8&lt;='設定'!$F$20,IF('設定'!$E$20=1,'設定'!$F$20+1-8,8),IF(8='設定'!$F$20+1,IF('設定'!$E$20=1,"前","後ろ"),"")),"")</f>
        <v/>
      </c>
      <c r="B61" s="21">
        <f>IF(ISNUMBER($A61),IFERROR(CHOOSE('設定'!$D$20-3,IFERROR(INDEX('入力シート'!$A$2:$A$41,MATCH(($A61-1)*4+1,'入力シート'!$F$2:$F$41,0)),""),IFERROR(INDEX('入力シート'!$A$2:$A$41,MATCH(IF(MOD($A61,2)=1,($A61-1)*4+1,($A61-1)*4+4),'入力シート'!$F$2:$F$41,0)),""),IFERROR(INDEX('入力シート'!$A$2:$A$41,MATCH(($A61-1)*4+3,'入力シート'!$F$2:$F$41,0)),""),IFERROR(INDEX('入力シート'!$A$2:$A$41,MATCH("男"&amp;(($A61-1)*2+1),'入力シート'!$I$2:$I$41,0)),"")),""),"")</f>
        <v/>
      </c>
      <c r="C61" s="21">
        <f>IF(ISNUMBER($A61),IFERROR(CHOOSE('設定'!$D$20-3,IFERROR(INDEX('入力シート'!$A$2:$A$41,MATCH(($A61-1)*4+2,'入力シート'!$F$2:$F$41,0)),""),IFERROR(INDEX('入力シート'!$A$2:$A$41,MATCH(IF(MOD($A61,2)=1,($A61-1)*4+2,($A61-1)*4+3),'入力シート'!$F$2:$F$41,0)),""),IFERROR(INDEX('入力シート'!$A$2:$A$41,MATCH(($A61-1)*4+1,'入力シート'!$F$2:$F$41,0)),""),IFERROR(INDEX('入力シート'!$A$2:$A$41,MATCH("男"&amp;(($A61-1)*2+2),'入力シート'!$I$2:$I$41,0)),"")),""),"")</f>
        <v/>
      </c>
      <c r="D61" s="21">
        <f>IF(ISNUMBER($A61),IFERROR(CHOOSE('設定'!$D$20-3,IFERROR(INDEX('入力シート'!$A$2:$A$41,MATCH(($A61-1)*4+3,'入力シート'!$F$2:$F$41,0)),""),IFERROR(INDEX('入力シート'!$A$2:$A$41,MATCH(IF(MOD($A61,2)=1,($A61-1)*4+3,($A61-1)*4+2),'入力シート'!$F$2:$F$41,0)),""),IFERROR(INDEX('入力シート'!$A$2:$A$41,MATCH(($A61-1)*4+2,'入力シート'!$F$2:$F$41,0)),""),IFERROR(INDEX('入力シート'!$A$2:$A$41,MATCH("女"&amp;(($A61-1)*2+1),'入力シート'!$I$2:$I$41,0)),"")),""),"")</f>
        <v/>
      </c>
      <c r="E61" s="21">
        <f>IF(ISNUMBER($A61),IFERROR(CHOOSE('設定'!$D$20-3,IFERROR(INDEX('入力シート'!$A$2:$A$41,MATCH(($A61-1)*4+4,'入力シート'!$F$2:$F$41,0)),""),IFERROR(INDEX('入力シート'!$A$2:$A$41,MATCH(IF(MOD($A61,2)=1,($A61-1)*4+4,($A61-1)*4+1),'入力シート'!$F$2:$F$41,0)),""),IFERROR(INDEX('入力シート'!$A$2:$A$41,MATCH(($A61-1)*4+4,'入力シート'!$F$2:$F$41,0)),""),IFERROR(INDEX('入力シート'!$A$2:$A$41,MATCH("女"&amp;(($A61-1)*2+2),'入力シート'!$I$2:$I$41,0)),"")),""),"")</f>
        <v/>
      </c>
      <c r="G61" s="14">
        <f>IF('設定'!$C$21&gt;0,IF(8&lt;='設定'!$F$21,IF('設定'!$E$21=1,'設定'!$F$21+1-8,8),IF(8='設定'!$F$21+1,IF('設定'!$E$21=1,"前","後ろ"),"")),"")</f>
        <v/>
      </c>
      <c r="H61" s="21">
        <f>IF(ISNUMBER($G61),IFERROR(CHOOSE('設定'!$D$21-3,IFERROR(INDEX('入力シート'!$A$2:$A$41,MATCH(($G61-1)*4+1,'入力シート'!$F$2:$F$41,0)),""),IFERROR(INDEX('入力シート'!$A$2:$A$41,MATCH(IF(MOD($G61,2)=1,($G61-1)*4+1,($G61-1)*4+4),'入力シート'!$F$2:$F$41,0)),""),IFERROR(INDEX('入力シート'!$A$2:$A$41,MATCH(($G61-1)*4+3,'入力シート'!$F$2:$F$41,0)),""),IFERROR(INDEX('入力シート'!$A$2:$A$41,MATCH("男"&amp;(($G61-1)*2+1),'入力シート'!$I$2:$I$41,0)),"")),""),"")</f>
        <v/>
      </c>
      <c r="I61" s="21">
        <f>IF(ISNUMBER($G61),IFERROR(CHOOSE('設定'!$D$21-3,IFERROR(INDEX('入力シート'!$A$2:$A$41,MATCH(($G61-1)*4+2,'入力シート'!$F$2:$F$41,0)),""),IFERROR(INDEX('入力シート'!$A$2:$A$41,MATCH(IF(MOD($G61,2)=1,($G61-1)*4+2,($G61-1)*4+3),'入力シート'!$F$2:$F$41,0)),""),IFERROR(INDEX('入力シート'!$A$2:$A$41,MATCH(($G61-1)*4+1,'入力シート'!$F$2:$F$41,0)),""),IFERROR(INDEX('入力シート'!$A$2:$A$41,MATCH("男"&amp;(($G61-1)*2+2),'入力シート'!$I$2:$I$41,0)),"")),""),"")</f>
        <v/>
      </c>
      <c r="J61" s="21">
        <f>IF(ISNUMBER($G61),IFERROR(CHOOSE('設定'!$D$21-3,IFERROR(INDEX('入力シート'!$A$2:$A$41,MATCH(($G61-1)*4+3,'入力シート'!$F$2:$F$41,0)),""),IFERROR(INDEX('入力シート'!$A$2:$A$41,MATCH(IF(MOD($G61,2)=1,($G61-1)*4+3,($G61-1)*4+2),'入力シート'!$F$2:$F$41,0)),""),IFERROR(INDEX('入力シート'!$A$2:$A$41,MATCH(($G61-1)*4+2,'入力シート'!$F$2:$F$41,0)),""),IFERROR(INDEX('入力シート'!$A$2:$A$41,MATCH("女"&amp;(($G61-1)*2+1),'入力シート'!$I$2:$I$41,0)),"")),""),"")</f>
        <v/>
      </c>
      <c r="K61" s="21">
        <f>IF(ISNUMBER($G61),IFERROR(CHOOSE('設定'!$D$21-3,IFERROR(INDEX('入力シート'!$A$2:$A$41,MATCH(($G61-1)*4+4,'入力シート'!$F$2:$F$41,0)),""),IFERROR(INDEX('入力シート'!$A$2:$A$41,MATCH(IF(MOD($G61,2)=1,($G61-1)*4+4,($G61-1)*4+1),'入力シート'!$F$2:$F$41,0)),""),IFERROR(INDEX('入力シート'!$A$2:$A$41,MATCH(($G61-1)*4+4,'入力シート'!$F$2:$F$41,0)),""),IFERROR(INDEX('入力シート'!$A$2:$A$41,MATCH("女"&amp;(($G61-1)*2+2),'入力シート'!$I$2:$I$41,0)),"")),""),"")</f>
        <v/>
      </c>
    </row>
    <row r="62" ht="15" customHeight="1">
      <c r="A62" s="14">
        <f>IF('設定'!$C$20&gt;0,IF(9&lt;='設定'!$F$20,IF('設定'!$E$20=1,'設定'!$F$20+1-9,9),IF(9='設定'!$F$20+1,IF('設定'!$E$20=1,"前","後ろ"),"")),"")</f>
        <v/>
      </c>
      <c r="B62" s="21">
        <f>IF(ISNUMBER($A62),IFERROR(CHOOSE('設定'!$D$20-3,IFERROR(INDEX('入力シート'!$A$2:$A$41,MATCH(($A62-1)*4+1,'入力シート'!$F$2:$F$41,0)),""),IFERROR(INDEX('入力シート'!$A$2:$A$41,MATCH(IF(MOD($A62,2)=1,($A62-1)*4+1,($A62-1)*4+4),'入力シート'!$F$2:$F$41,0)),""),IFERROR(INDEX('入力シート'!$A$2:$A$41,MATCH(($A62-1)*4+3,'入力シート'!$F$2:$F$41,0)),""),IFERROR(INDEX('入力シート'!$A$2:$A$41,MATCH("男"&amp;(($A62-1)*2+1),'入力シート'!$I$2:$I$41,0)),"")),""),"")</f>
        <v/>
      </c>
      <c r="C62" s="21">
        <f>IF(ISNUMBER($A62),IFERROR(CHOOSE('設定'!$D$20-3,IFERROR(INDEX('入力シート'!$A$2:$A$41,MATCH(($A62-1)*4+2,'入力シート'!$F$2:$F$41,0)),""),IFERROR(INDEX('入力シート'!$A$2:$A$41,MATCH(IF(MOD($A62,2)=1,($A62-1)*4+2,($A62-1)*4+3),'入力シート'!$F$2:$F$41,0)),""),IFERROR(INDEX('入力シート'!$A$2:$A$41,MATCH(($A62-1)*4+1,'入力シート'!$F$2:$F$41,0)),""),IFERROR(INDEX('入力シート'!$A$2:$A$41,MATCH("男"&amp;(($A62-1)*2+2),'入力シート'!$I$2:$I$41,0)),"")),""),"")</f>
        <v/>
      </c>
      <c r="D62" s="21">
        <f>IF(ISNUMBER($A62),IFERROR(CHOOSE('設定'!$D$20-3,IFERROR(INDEX('入力シート'!$A$2:$A$41,MATCH(($A62-1)*4+3,'入力シート'!$F$2:$F$41,0)),""),IFERROR(INDEX('入力シート'!$A$2:$A$41,MATCH(IF(MOD($A62,2)=1,($A62-1)*4+3,($A62-1)*4+2),'入力シート'!$F$2:$F$41,0)),""),IFERROR(INDEX('入力シート'!$A$2:$A$41,MATCH(($A62-1)*4+2,'入力シート'!$F$2:$F$41,0)),""),IFERROR(INDEX('入力シート'!$A$2:$A$41,MATCH("女"&amp;(($A62-1)*2+1),'入力シート'!$I$2:$I$41,0)),"")),""),"")</f>
        <v/>
      </c>
      <c r="E62" s="21">
        <f>IF(ISNUMBER($A62),IFERROR(CHOOSE('設定'!$D$20-3,IFERROR(INDEX('入力シート'!$A$2:$A$41,MATCH(($A62-1)*4+4,'入力シート'!$F$2:$F$41,0)),""),IFERROR(INDEX('入力シート'!$A$2:$A$41,MATCH(IF(MOD($A62,2)=1,($A62-1)*4+4,($A62-1)*4+1),'入力シート'!$F$2:$F$41,0)),""),IFERROR(INDEX('入力シート'!$A$2:$A$41,MATCH(($A62-1)*4+4,'入力シート'!$F$2:$F$41,0)),""),IFERROR(INDEX('入力シート'!$A$2:$A$41,MATCH("女"&amp;(($A62-1)*2+2),'入力シート'!$I$2:$I$41,0)),"")),""),"")</f>
        <v/>
      </c>
      <c r="G62" s="14">
        <f>IF('設定'!$C$21&gt;0,IF(9&lt;='設定'!$F$21,IF('設定'!$E$21=1,'設定'!$F$21+1-9,9),IF(9='設定'!$F$21+1,IF('設定'!$E$21=1,"前","後ろ"),"")),"")</f>
        <v/>
      </c>
      <c r="H62" s="21">
        <f>IF(ISNUMBER($G62),IFERROR(CHOOSE('設定'!$D$21-3,IFERROR(INDEX('入力シート'!$A$2:$A$41,MATCH(($G62-1)*4+1,'入力シート'!$F$2:$F$41,0)),""),IFERROR(INDEX('入力シート'!$A$2:$A$41,MATCH(IF(MOD($G62,2)=1,($G62-1)*4+1,($G62-1)*4+4),'入力シート'!$F$2:$F$41,0)),""),IFERROR(INDEX('入力シート'!$A$2:$A$41,MATCH(($G62-1)*4+3,'入力シート'!$F$2:$F$41,0)),""),IFERROR(INDEX('入力シート'!$A$2:$A$41,MATCH("男"&amp;(($G62-1)*2+1),'入力シート'!$I$2:$I$41,0)),"")),""),"")</f>
        <v/>
      </c>
      <c r="I62" s="21">
        <f>IF(ISNUMBER($G62),IFERROR(CHOOSE('設定'!$D$21-3,IFERROR(INDEX('入力シート'!$A$2:$A$41,MATCH(($G62-1)*4+2,'入力シート'!$F$2:$F$41,0)),""),IFERROR(INDEX('入力シート'!$A$2:$A$41,MATCH(IF(MOD($G62,2)=1,($G62-1)*4+2,($G62-1)*4+3),'入力シート'!$F$2:$F$41,0)),""),IFERROR(INDEX('入力シート'!$A$2:$A$41,MATCH(($G62-1)*4+1,'入力シート'!$F$2:$F$41,0)),""),IFERROR(INDEX('入力シート'!$A$2:$A$41,MATCH("男"&amp;(($G62-1)*2+2),'入力シート'!$I$2:$I$41,0)),"")),""),"")</f>
        <v/>
      </c>
      <c r="J62" s="21">
        <f>IF(ISNUMBER($G62),IFERROR(CHOOSE('設定'!$D$21-3,IFERROR(INDEX('入力シート'!$A$2:$A$41,MATCH(($G62-1)*4+3,'入力シート'!$F$2:$F$41,0)),""),IFERROR(INDEX('入力シート'!$A$2:$A$41,MATCH(IF(MOD($G62,2)=1,($G62-1)*4+3,($G62-1)*4+2),'入力シート'!$F$2:$F$41,0)),""),IFERROR(INDEX('入力シート'!$A$2:$A$41,MATCH(($G62-1)*4+2,'入力シート'!$F$2:$F$41,0)),""),IFERROR(INDEX('入力シート'!$A$2:$A$41,MATCH("女"&amp;(($G62-1)*2+1),'入力シート'!$I$2:$I$41,0)),"")),""),"")</f>
        <v/>
      </c>
      <c r="K62" s="21">
        <f>IF(ISNUMBER($G62),IFERROR(CHOOSE('設定'!$D$21-3,IFERROR(INDEX('入力シート'!$A$2:$A$41,MATCH(($G62-1)*4+4,'入力シート'!$F$2:$F$41,0)),""),IFERROR(INDEX('入力シート'!$A$2:$A$41,MATCH(IF(MOD($G62,2)=1,($G62-1)*4+4,($G62-1)*4+1),'入力シート'!$F$2:$F$41,0)),""),IFERROR(INDEX('入力シート'!$A$2:$A$41,MATCH(($G62-1)*4+4,'入力シート'!$F$2:$F$41,0)),""),IFERROR(INDEX('入力シート'!$A$2:$A$41,MATCH("女"&amp;(($G62-1)*2+2),'入力シート'!$I$2:$I$41,0)),"")),""),"")</f>
        <v/>
      </c>
    </row>
    <row r="63" ht="15" customHeight="1">
      <c r="A63" s="14">
        <f>IF('設定'!$C$20&gt;0,IF(10&lt;='設定'!$F$20,IF('設定'!$E$20=1,'設定'!$F$20+1-10,10),IF(10='設定'!$F$20+1,IF('設定'!$E$20=1,"前","後ろ"),"")),"")</f>
        <v/>
      </c>
      <c r="B63" s="21">
        <f>IF(ISNUMBER($A63),IFERROR(CHOOSE('設定'!$D$20-3,IFERROR(INDEX('入力シート'!$A$2:$A$41,MATCH(($A63-1)*4+1,'入力シート'!$F$2:$F$41,0)),""),IFERROR(INDEX('入力シート'!$A$2:$A$41,MATCH(IF(MOD($A63,2)=1,($A63-1)*4+1,($A63-1)*4+4),'入力シート'!$F$2:$F$41,0)),""),IFERROR(INDEX('入力シート'!$A$2:$A$41,MATCH(($A63-1)*4+3,'入力シート'!$F$2:$F$41,0)),""),IFERROR(INDEX('入力シート'!$A$2:$A$41,MATCH("男"&amp;(($A63-1)*2+1),'入力シート'!$I$2:$I$41,0)),"")),""),"")</f>
        <v/>
      </c>
      <c r="C63" s="21">
        <f>IF(ISNUMBER($A63),IFERROR(CHOOSE('設定'!$D$20-3,IFERROR(INDEX('入力シート'!$A$2:$A$41,MATCH(($A63-1)*4+2,'入力シート'!$F$2:$F$41,0)),""),IFERROR(INDEX('入力シート'!$A$2:$A$41,MATCH(IF(MOD($A63,2)=1,($A63-1)*4+2,($A63-1)*4+3),'入力シート'!$F$2:$F$41,0)),""),IFERROR(INDEX('入力シート'!$A$2:$A$41,MATCH(($A63-1)*4+1,'入力シート'!$F$2:$F$41,0)),""),IFERROR(INDEX('入力シート'!$A$2:$A$41,MATCH("男"&amp;(($A63-1)*2+2),'入力シート'!$I$2:$I$41,0)),"")),""),"")</f>
        <v/>
      </c>
      <c r="D63" s="21">
        <f>IF(ISNUMBER($A63),IFERROR(CHOOSE('設定'!$D$20-3,IFERROR(INDEX('入力シート'!$A$2:$A$41,MATCH(($A63-1)*4+3,'入力シート'!$F$2:$F$41,0)),""),IFERROR(INDEX('入力シート'!$A$2:$A$41,MATCH(IF(MOD($A63,2)=1,($A63-1)*4+3,($A63-1)*4+2),'入力シート'!$F$2:$F$41,0)),""),IFERROR(INDEX('入力シート'!$A$2:$A$41,MATCH(($A63-1)*4+2,'入力シート'!$F$2:$F$41,0)),""),IFERROR(INDEX('入力シート'!$A$2:$A$41,MATCH("女"&amp;(($A63-1)*2+1),'入力シート'!$I$2:$I$41,0)),"")),""),"")</f>
        <v/>
      </c>
      <c r="E63" s="21">
        <f>IF(ISNUMBER($A63),IFERROR(CHOOSE('設定'!$D$20-3,IFERROR(INDEX('入力シート'!$A$2:$A$41,MATCH(($A63-1)*4+4,'入力シート'!$F$2:$F$41,0)),""),IFERROR(INDEX('入力シート'!$A$2:$A$41,MATCH(IF(MOD($A63,2)=1,($A63-1)*4+4,($A63-1)*4+1),'入力シート'!$F$2:$F$41,0)),""),IFERROR(INDEX('入力シート'!$A$2:$A$41,MATCH(($A63-1)*4+4,'入力シート'!$F$2:$F$41,0)),""),IFERROR(INDEX('入力シート'!$A$2:$A$41,MATCH("女"&amp;(($A63-1)*2+2),'入力シート'!$I$2:$I$41,0)),"")),""),"")</f>
        <v/>
      </c>
      <c r="G63" s="14">
        <f>IF('設定'!$C$21&gt;0,IF(10&lt;='設定'!$F$21,IF('設定'!$E$21=1,'設定'!$F$21+1-10,10),IF(10='設定'!$F$21+1,IF('設定'!$E$21=1,"前","後ろ"),"")),"")</f>
        <v/>
      </c>
      <c r="H63" s="21">
        <f>IF(ISNUMBER($G63),IFERROR(CHOOSE('設定'!$D$21-3,IFERROR(INDEX('入力シート'!$A$2:$A$41,MATCH(($G63-1)*4+1,'入力シート'!$F$2:$F$41,0)),""),IFERROR(INDEX('入力シート'!$A$2:$A$41,MATCH(IF(MOD($G63,2)=1,($G63-1)*4+1,($G63-1)*4+4),'入力シート'!$F$2:$F$41,0)),""),IFERROR(INDEX('入力シート'!$A$2:$A$41,MATCH(($G63-1)*4+3,'入力シート'!$F$2:$F$41,0)),""),IFERROR(INDEX('入力シート'!$A$2:$A$41,MATCH("男"&amp;(($G63-1)*2+1),'入力シート'!$I$2:$I$41,0)),"")),""),"")</f>
        <v/>
      </c>
      <c r="I63" s="21">
        <f>IF(ISNUMBER($G63),IFERROR(CHOOSE('設定'!$D$21-3,IFERROR(INDEX('入力シート'!$A$2:$A$41,MATCH(($G63-1)*4+2,'入力シート'!$F$2:$F$41,0)),""),IFERROR(INDEX('入力シート'!$A$2:$A$41,MATCH(IF(MOD($G63,2)=1,($G63-1)*4+2,($G63-1)*4+3),'入力シート'!$F$2:$F$41,0)),""),IFERROR(INDEX('入力シート'!$A$2:$A$41,MATCH(($G63-1)*4+1,'入力シート'!$F$2:$F$41,0)),""),IFERROR(INDEX('入力シート'!$A$2:$A$41,MATCH("男"&amp;(($G63-1)*2+2),'入力シート'!$I$2:$I$41,0)),"")),""),"")</f>
        <v/>
      </c>
      <c r="J63" s="21">
        <f>IF(ISNUMBER($G63),IFERROR(CHOOSE('設定'!$D$21-3,IFERROR(INDEX('入力シート'!$A$2:$A$41,MATCH(($G63-1)*4+3,'入力シート'!$F$2:$F$41,0)),""),IFERROR(INDEX('入力シート'!$A$2:$A$41,MATCH(IF(MOD($G63,2)=1,($G63-1)*4+3,($G63-1)*4+2),'入力シート'!$F$2:$F$41,0)),""),IFERROR(INDEX('入力シート'!$A$2:$A$41,MATCH(($G63-1)*4+2,'入力シート'!$F$2:$F$41,0)),""),IFERROR(INDEX('入力シート'!$A$2:$A$41,MATCH("女"&amp;(($G63-1)*2+1),'入力シート'!$I$2:$I$41,0)),"")),""),"")</f>
        <v/>
      </c>
      <c r="K63" s="21">
        <f>IF(ISNUMBER($G63),IFERROR(CHOOSE('設定'!$D$21-3,IFERROR(INDEX('入力シート'!$A$2:$A$41,MATCH(($G63-1)*4+4,'入力シート'!$F$2:$F$41,0)),""),IFERROR(INDEX('入力シート'!$A$2:$A$41,MATCH(IF(MOD($G63,2)=1,($G63-1)*4+4,($G63-1)*4+1),'入力シート'!$F$2:$F$41,0)),""),IFERROR(INDEX('入力シート'!$A$2:$A$41,MATCH(($G63-1)*4+4,'入力シート'!$F$2:$F$41,0)),""),IFERROR(INDEX('入力シート'!$A$2:$A$41,MATCH("女"&amp;(($G63-1)*2+2),'入力シート'!$I$2:$I$41,0)),"")),""),"")</f>
        <v/>
      </c>
    </row>
    <row r="64" ht="15" customHeight="1">
      <c r="A64" s="14">
        <f>IF('設定'!$C$20&gt;0,IF(11&lt;='設定'!$F$20,IF('設定'!$E$20=1,'設定'!$F$20+1-11,11),IF(11='設定'!$F$20+1,IF('設定'!$E$20=1,"前","後ろ"),"")),"")</f>
        <v/>
      </c>
      <c r="B64" s="21">
        <f>IF(ISNUMBER($A64),IFERROR(CHOOSE('設定'!$D$20-3,IFERROR(INDEX('入力シート'!$A$2:$A$41,MATCH(($A64-1)*4+1,'入力シート'!$F$2:$F$41,0)),""),IFERROR(INDEX('入力シート'!$A$2:$A$41,MATCH(IF(MOD($A64,2)=1,($A64-1)*4+1,($A64-1)*4+4),'入力シート'!$F$2:$F$41,0)),""),IFERROR(INDEX('入力シート'!$A$2:$A$41,MATCH(($A64-1)*4+3,'入力シート'!$F$2:$F$41,0)),""),IFERROR(INDEX('入力シート'!$A$2:$A$41,MATCH("男"&amp;(($A64-1)*2+1),'入力シート'!$I$2:$I$41,0)),"")),""),"")</f>
        <v/>
      </c>
      <c r="C64" s="21">
        <f>IF(ISNUMBER($A64),IFERROR(CHOOSE('設定'!$D$20-3,IFERROR(INDEX('入力シート'!$A$2:$A$41,MATCH(($A64-1)*4+2,'入力シート'!$F$2:$F$41,0)),""),IFERROR(INDEX('入力シート'!$A$2:$A$41,MATCH(IF(MOD($A64,2)=1,($A64-1)*4+2,($A64-1)*4+3),'入力シート'!$F$2:$F$41,0)),""),IFERROR(INDEX('入力シート'!$A$2:$A$41,MATCH(($A64-1)*4+1,'入力シート'!$F$2:$F$41,0)),""),IFERROR(INDEX('入力シート'!$A$2:$A$41,MATCH("男"&amp;(($A64-1)*2+2),'入力シート'!$I$2:$I$41,0)),"")),""),"")</f>
        <v/>
      </c>
      <c r="D64" s="21">
        <f>IF(ISNUMBER($A64),IFERROR(CHOOSE('設定'!$D$20-3,IFERROR(INDEX('入力シート'!$A$2:$A$41,MATCH(($A64-1)*4+3,'入力シート'!$F$2:$F$41,0)),""),IFERROR(INDEX('入力シート'!$A$2:$A$41,MATCH(IF(MOD($A64,2)=1,($A64-1)*4+3,($A64-1)*4+2),'入力シート'!$F$2:$F$41,0)),""),IFERROR(INDEX('入力シート'!$A$2:$A$41,MATCH(($A64-1)*4+2,'入力シート'!$F$2:$F$41,0)),""),IFERROR(INDEX('入力シート'!$A$2:$A$41,MATCH("女"&amp;(($A64-1)*2+1),'入力シート'!$I$2:$I$41,0)),"")),""),"")</f>
        <v/>
      </c>
      <c r="E64" s="21">
        <f>IF(ISNUMBER($A64),IFERROR(CHOOSE('設定'!$D$20-3,IFERROR(INDEX('入力シート'!$A$2:$A$41,MATCH(($A64-1)*4+4,'入力シート'!$F$2:$F$41,0)),""),IFERROR(INDEX('入力シート'!$A$2:$A$41,MATCH(IF(MOD($A64,2)=1,($A64-1)*4+4,($A64-1)*4+1),'入力シート'!$F$2:$F$41,0)),""),IFERROR(INDEX('入力シート'!$A$2:$A$41,MATCH(($A64-1)*4+4,'入力シート'!$F$2:$F$41,0)),""),IFERROR(INDEX('入力シート'!$A$2:$A$41,MATCH("女"&amp;(($A64-1)*2+2),'入力シート'!$I$2:$I$41,0)),"")),""),"")</f>
        <v/>
      </c>
      <c r="G64" s="14">
        <f>IF('設定'!$C$21&gt;0,IF(11&lt;='設定'!$F$21,IF('設定'!$E$21=1,'設定'!$F$21+1-11,11),IF(11='設定'!$F$21+1,IF('設定'!$E$21=1,"前","後ろ"),"")),"")</f>
        <v/>
      </c>
      <c r="H64" s="21">
        <f>IF(ISNUMBER($G64),IFERROR(CHOOSE('設定'!$D$21-3,IFERROR(INDEX('入力シート'!$A$2:$A$41,MATCH(($G64-1)*4+1,'入力シート'!$F$2:$F$41,0)),""),IFERROR(INDEX('入力シート'!$A$2:$A$41,MATCH(IF(MOD($G64,2)=1,($G64-1)*4+1,($G64-1)*4+4),'入力シート'!$F$2:$F$41,0)),""),IFERROR(INDEX('入力シート'!$A$2:$A$41,MATCH(($G64-1)*4+3,'入力シート'!$F$2:$F$41,0)),""),IFERROR(INDEX('入力シート'!$A$2:$A$41,MATCH("男"&amp;(($G64-1)*2+1),'入力シート'!$I$2:$I$41,0)),"")),""),"")</f>
        <v/>
      </c>
      <c r="I64" s="21">
        <f>IF(ISNUMBER($G64),IFERROR(CHOOSE('設定'!$D$21-3,IFERROR(INDEX('入力シート'!$A$2:$A$41,MATCH(($G64-1)*4+2,'入力シート'!$F$2:$F$41,0)),""),IFERROR(INDEX('入力シート'!$A$2:$A$41,MATCH(IF(MOD($G64,2)=1,($G64-1)*4+2,($G64-1)*4+3),'入力シート'!$F$2:$F$41,0)),""),IFERROR(INDEX('入力シート'!$A$2:$A$41,MATCH(($G64-1)*4+1,'入力シート'!$F$2:$F$41,0)),""),IFERROR(INDEX('入力シート'!$A$2:$A$41,MATCH("男"&amp;(($G64-1)*2+2),'入力シート'!$I$2:$I$41,0)),"")),""),"")</f>
        <v/>
      </c>
      <c r="J64" s="21">
        <f>IF(ISNUMBER($G64),IFERROR(CHOOSE('設定'!$D$21-3,IFERROR(INDEX('入力シート'!$A$2:$A$41,MATCH(($G64-1)*4+3,'入力シート'!$F$2:$F$41,0)),""),IFERROR(INDEX('入力シート'!$A$2:$A$41,MATCH(IF(MOD($G64,2)=1,($G64-1)*4+3,($G64-1)*4+2),'入力シート'!$F$2:$F$41,0)),""),IFERROR(INDEX('入力シート'!$A$2:$A$41,MATCH(($G64-1)*4+2,'入力シート'!$F$2:$F$41,0)),""),IFERROR(INDEX('入力シート'!$A$2:$A$41,MATCH("女"&amp;(($G64-1)*2+1),'入力シート'!$I$2:$I$41,0)),"")),""),"")</f>
        <v/>
      </c>
      <c r="K64" s="21">
        <f>IF(ISNUMBER($G64),IFERROR(CHOOSE('設定'!$D$21-3,IFERROR(INDEX('入力シート'!$A$2:$A$41,MATCH(($G64-1)*4+4,'入力シート'!$F$2:$F$41,0)),""),IFERROR(INDEX('入力シート'!$A$2:$A$41,MATCH(IF(MOD($G64,2)=1,($G64-1)*4+4,($G64-1)*4+1),'入力シート'!$F$2:$F$41,0)),""),IFERROR(INDEX('入力シート'!$A$2:$A$41,MATCH(($G64-1)*4+4,'入力シート'!$F$2:$F$41,0)),""),IFERROR(INDEX('入力シート'!$A$2:$A$41,MATCH("女"&amp;(($G64-1)*2+2),'入力シート'!$I$2:$I$41,0)),"")),""),"")</f>
        <v/>
      </c>
    </row>
    <row r="65" ht="15" customHeight="1">
      <c r="A65" s="14">
        <f>IF('設定'!$C$20&gt;0,IF(12&lt;='設定'!$F$20,IF('設定'!$E$20=1,'設定'!$F$20+1-12,12),IF(12='設定'!$F$20+1,IF('設定'!$E$20=1,"前","後ろ"),"")),"")</f>
        <v/>
      </c>
      <c r="B65" s="21">
        <f>IF(ISNUMBER($A65),IFERROR(CHOOSE('設定'!$D$20-3,IFERROR(INDEX('入力シート'!$A$2:$A$41,MATCH(($A65-1)*4+1,'入力シート'!$F$2:$F$41,0)),""),IFERROR(INDEX('入力シート'!$A$2:$A$41,MATCH(IF(MOD($A65,2)=1,($A65-1)*4+1,($A65-1)*4+4),'入力シート'!$F$2:$F$41,0)),""),IFERROR(INDEX('入力シート'!$A$2:$A$41,MATCH(($A65-1)*4+3,'入力シート'!$F$2:$F$41,0)),""),IFERROR(INDEX('入力シート'!$A$2:$A$41,MATCH("男"&amp;(($A65-1)*2+1),'入力シート'!$I$2:$I$41,0)),"")),""),"")</f>
        <v/>
      </c>
      <c r="C65" s="21">
        <f>IF(ISNUMBER($A65),IFERROR(CHOOSE('設定'!$D$20-3,IFERROR(INDEX('入力シート'!$A$2:$A$41,MATCH(($A65-1)*4+2,'入力シート'!$F$2:$F$41,0)),""),IFERROR(INDEX('入力シート'!$A$2:$A$41,MATCH(IF(MOD($A65,2)=1,($A65-1)*4+2,($A65-1)*4+3),'入力シート'!$F$2:$F$41,0)),""),IFERROR(INDEX('入力シート'!$A$2:$A$41,MATCH(($A65-1)*4+1,'入力シート'!$F$2:$F$41,0)),""),IFERROR(INDEX('入力シート'!$A$2:$A$41,MATCH("男"&amp;(($A65-1)*2+2),'入力シート'!$I$2:$I$41,0)),"")),""),"")</f>
        <v/>
      </c>
      <c r="D65" s="21">
        <f>IF(ISNUMBER($A65),IFERROR(CHOOSE('設定'!$D$20-3,IFERROR(INDEX('入力シート'!$A$2:$A$41,MATCH(($A65-1)*4+3,'入力シート'!$F$2:$F$41,0)),""),IFERROR(INDEX('入力シート'!$A$2:$A$41,MATCH(IF(MOD($A65,2)=1,($A65-1)*4+3,($A65-1)*4+2),'入力シート'!$F$2:$F$41,0)),""),IFERROR(INDEX('入力シート'!$A$2:$A$41,MATCH(($A65-1)*4+2,'入力シート'!$F$2:$F$41,0)),""),IFERROR(INDEX('入力シート'!$A$2:$A$41,MATCH("女"&amp;(($A65-1)*2+1),'入力シート'!$I$2:$I$41,0)),"")),""),"")</f>
        <v/>
      </c>
      <c r="E65" s="21">
        <f>IF(ISNUMBER($A65),IFERROR(CHOOSE('設定'!$D$20-3,IFERROR(INDEX('入力シート'!$A$2:$A$41,MATCH(($A65-1)*4+4,'入力シート'!$F$2:$F$41,0)),""),IFERROR(INDEX('入力シート'!$A$2:$A$41,MATCH(IF(MOD($A65,2)=1,($A65-1)*4+4,($A65-1)*4+1),'入力シート'!$F$2:$F$41,0)),""),IFERROR(INDEX('入力シート'!$A$2:$A$41,MATCH(($A65-1)*4+4,'入力シート'!$F$2:$F$41,0)),""),IFERROR(INDEX('入力シート'!$A$2:$A$41,MATCH("女"&amp;(($A65-1)*2+2),'入力シート'!$I$2:$I$41,0)),"")),""),"")</f>
        <v/>
      </c>
      <c r="G65" s="14">
        <f>IF('設定'!$C$21&gt;0,IF(12&lt;='設定'!$F$21,IF('設定'!$E$21=1,'設定'!$F$21+1-12,12),IF(12='設定'!$F$21+1,IF('設定'!$E$21=1,"前","後ろ"),"")),"")</f>
        <v/>
      </c>
      <c r="H65" s="21">
        <f>IF(ISNUMBER($G65),IFERROR(CHOOSE('設定'!$D$21-3,IFERROR(INDEX('入力シート'!$A$2:$A$41,MATCH(($G65-1)*4+1,'入力シート'!$F$2:$F$41,0)),""),IFERROR(INDEX('入力シート'!$A$2:$A$41,MATCH(IF(MOD($G65,2)=1,($G65-1)*4+1,($G65-1)*4+4),'入力シート'!$F$2:$F$41,0)),""),IFERROR(INDEX('入力シート'!$A$2:$A$41,MATCH(($G65-1)*4+3,'入力シート'!$F$2:$F$41,0)),""),IFERROR(INDEX('入力シート'!$A$2:$A$41,MATCH("男"&amp;(($G65-1)*2+1),'入力シート'!$I$2:$I$41,0)),"")),""),"")</f>
        <v/>
      </c>
      <c r="I65" s="21">
        <f>IF(ISNUMBER($G65),IFERROR(CHOOSE('設定'!$D$21-3,IFERROR(INDEX('入力シート'!$A$2:$A$41,MATCH(($G65-1)*4+2,'入力シート'!$F$2:$F$41,0)),""),IFERROR(INDEX('入力シート'!$A$2:$A$41,MATCH(IF(MOD($G65,2)=1,($G65-1)*4+2,($G65-1)*4+3),'入力シート'!$F$2:$F$41,0)),""),IFERROR(INDEX('入力シート'!$A$2:$A$41,MATCH(($G65-1)*4+1,'入力シート'!$F$2:$F$41,0)),""),IFERROR(INDEX('入力シート'!$A$2:$A$41,MATCH("男"&amp;(($G65-1)*2+2),'入力シート'!$I$2:$I$41,0)),"")),""),"")</f>
        <v/>
      </c>
      <c r="J65" s="21">
        <f>IF(ISNUMBER($G65),IFERROR(CHOOSE('設定'!$D$21-3,IFERROR(INDEX('入力シート'!$A$2:$A$41,MATCH(($G65-1)*4+3,'入力シート'!$F$2:$F$41,0)),""),IFERROR(INDEX('入力シート'!$A$2:$A$41,MATCH(IF(MOD($G65,2)=1,($G65-1)*4+3,($G65-1)*4+2),'入力シート'!$F$2:$F$41,0)),""),IFERROR(INDEX('入力シート'!$A$2:$A$41,MATCH(($G65-1)*4+2,'入力シート'!$F$2:$F$41,0)),""),IFERROR(INDEX('入力シート'!$A$2:$A$41,MATCH("女"&amp;(($G65-1)*2+1),'入力シート'!$I$2:$I$41,0)),"")),""),"")</f>
        <v/>
      </c>
      <c r="K65" s="21">
        <f>IF(ISNUMBER($G65),IFERROR(CHOOSE('設定'!$D$21-3,IFERROR(INDEX('入力シート'!$A$2:$A$41,MATCH(($G65-1)*4+4,'入力シート'!$F$2:$F$41,0)),""),IFERROR(INDEX('入力シート'!$A$2:$A$41,MATCH(IF(MOD($G65,2)=1,($G65-1)*4+4,($G65-1)*4+1),'入力シート'!$F$2:$F$41,0)),""),IFERROR(INDEX('入力シート'!$A$2:$A$41,MATCH(($G65-1)*4+4,'入力シート'!$F$2:$F$41,0)),""),IFERROR(INDEX('入力シート'!$A$2:$A$41,MATCH("女"&amp;(($G65-1)*2+2),'入力シート'!$I$2:$I$41,0)),"")),""),"")</f>
        <v/>
      </c>
    </row>
    <row r="66" ht="15" customHeight="1">
      <c r="A66" s="14">
        <f>IF('設定'!$C$20&gt;0,IF(13&lt;='設定'!$F$20,IF('設定'!$E$20=1,'設定'!$F$20+1-13,13),IF(13='設定'!$F$20+1,IF('設定'!$E$20=1,"前","後ろ"),"")),"")</f>
        <v/>
      </c>
      <c r="B66" s="21">
        <f>IF(ISNUMBER($A66),IFERROR(CHOOSE('設定'!$D$20-3,IFERROR(INDEX('入力シート'!$A$2:$A$41,MATCH(($A66-1)*4+1,'入力シート'!$F$2:$F$41,0)),""),IFERROR(INDEX('入力シート'!$A$2:$A$41,MATCH(IF(MOD($A66,2)=1,($A66-1)*4+1,($A66-1)*4+4),'入力シート'!$F$2:$F$41,0)),""),IFERROR(INDEX('入力シート'!$A$2:$A$41,MATCH(($A66-1)*4+3,'入力シート'!$F$2:$F$41,0)),""),IFERROR(INDEX('入力シート'!$A$2:$A$41,MATCH("男"&amp;(($A66-1)*2+1),'入力シート'!$I$2:$I$41,0)),"")),""),"")</f>
        <v/>
      </c>
      <c r="C66" s="21">
        <f>IF(ISNUMBER($A66),IFERROR(CHOOSE('設定'!$D$20-3,IFERROR(INDEX('入力シート'!$A$2:$A$41,MATCH(($A66-1)*4+2,'入力シート'!$F$2:$F$41,0)),""),IFERROR(INDEX('入力シート'!$A$2:$A$41,MATCH(IF(MOD($A66,2)=1,($A66-1)*4+2,($A66-1)*4+3),'入力シート'!$F$2:$F$41,0)),""),IFERROR(INDEX('入力シート'!$A$2:$A$41,MATCH(($A66-1)*4+1,'入力シート'!$F$2:$F$41,0)),""),IFERROR(INDEX('入力シート'!$A$2:$A$41,MATCH("男"&amp;(($A66-1)*2+2),'入力シート'!$I$2:$I$41,0)),"")),""),"")</f>
        <v/>
      </c>
      <c r="D66" s="21">
        <f>IF(ISNUMBER($A66),IFERROR(CHOOSE('設定'!$D$20-3,IFERROR(INDEX('入力シート'!$A$2:$A$41,MATCH(($A66-1)*4+3,'入力シート'!$F$2:$F$41,0)),""),IFERROR(INDEX('入力シート'!$A$2:$A$41,MATCH(IF(MOD($A66,2)=1,($A66-1)*4+3,($A66-1)*4+2),'入力シート'!$F$2:$F$41,0)),""),IFERROR(INDEX('入力シート'!$A$2:$A$41,MATCH(($A66-1)*4+2,'入力シート'!$F$2:$F$41,0)),""),IFERROR(INDEX('入力シート'!$A$2:$A$41,MATCH("女"&amp;(($A66-1)*2+1),'入力シート'!$I$2:$I$41,0)),"")),""),"")</f>
        <v/>
      </c>
      <c r="E66" s="21">
        <f>IF(ISNUMBER($A66),IFERROR(CHOOSE('設定'!$D$20-3,IFERROR(INDEX('入力シート'!$A$2:$A$41,MATCH(($A66-1)*4+4,'入力シート'!$F$2:$F$41,0)),""),IFERROR(INDEX('入力シート'!$A$2:$A$41,MATCH(IF(MOD($A66,2)=1,($A66-1)*4+4,($A66-1)*4+1),'入力シート'!$F$2:$F$41,0)),""),IFERROR(INDEX('入力シート'!$A$2:$A$41,MATCH(($A66-1)*4+4,'入力シート'!$F$2:$F$41,0)),""),IFERROR(INDEX('入力シート'!$A$2:$A$41,MATCH("女"&amp;(($A66-1)*2+2),'入力シート'!$I$2:$I$41,0)),"")),""),"")</f>
        <v/>
      </c>
      <c r="G66" s="14">
        <f>IF('設定'!$C$21&gt;0,IF(13&lt;='設定'!$F$21,IF('設定'!$E$21=1,'設定'!$F$21+1-13,13),IF(13='設定'!$F$21+1,IF('設定'!$E$21=1,"前","後ろ"),"")),"")</f>
        <v/>
      </c>
      <c r="H66" s="21">
        <f>IF(ISNUMBER($G66),IFERROR(CHOOSE('設定'!$D$21-3,IFERROR(INDEX('入力シート'!$A$2:$A$41,MATCH(($G66-1)*4+1,'入力シート'!$F$2:$F$41,0)),""),IFERROR(INDEX('入力シート'!$A$2:$A$41,MATCH(IF(MOD($G66,2)=1,($G66-1)*4+1,($G66-1)*4+4),'入力シート'!$F$2:$F$41,0)),""),IFERROR(INDEX('入力シート'!$A$2:$A$41,MATCH(($G66-1)*4+3,'入力シート'!$F$2:$F$41,0)),""),IFERROR(INDEX('入力シート'!$A$2:$A$41,MATCH("男"&amp;(($G66-1)*2+1),'入力シート'!$I$2:$I$41,0)),"")),""),"")</f>
        <v/>
      </c>
      <c r="I66" s="21">
        <f>IF(ISNUMBER($G66),IFERROR(CHOOSE('設定'!$D$21-3,IFERROR(INDEX('入力シート'!$A$2:$A$41,MATCH(($G66-1)*4+2,'入力シート'!$F$2:$F$41,0)),""),IFERROR(INDEX('入力シート'!$A$2:$A$41,MATCH(IF(MOD($G66,2)=1,($G66-1)*4+2,($G66-1)*4+3),'入力シート'!$F$2:$F$41,0)),""),IFERROR(INDEX('入力シート'!$A$2:$A$41,MATCH(($G66-1)*4+1,'入力シート'!$F$2:$F$41,0)),""),IFERROR(INDEX('入力シート'!$A$2:$A$41,MATCH("男"&amp;(($G66-1)*2+2),'入力シート'!$I$2:$I$41,0)),"")),""),"")</f>
        <v/>
      </c>
      <c r="J66" s="21">
        <f>IF(ISNUMBER($G66),IFERROR(CHOOSE('設定'!$D$21-3,IFERROR(INDEX('入力シート'!$A$2:$A$41,MATCH(($G66-1)*4+3,'入力シート'!$F$2:$F$41,0)),""),IFERROR(INDEX('入力シート'!$A$2:$A$41,MATCH(IF(MOD($G66,2)=1,($G66-1)*4+3,($G66-1)*4+2),'入力シート'!$F$2:$F$41,0)),""),IFERROR(INDEX('入力シート'!$A$2:$A$41,MATCH(($G66-1)*4+2,'入力シート'!$F$2:$F$41,0)),""),IFERROR(INDEX('入力シート'!$A$2:$A$41,MATCH("女"&amp;(($G66-1)*2+1),'入力シート'!$I$2:$I$41,0)),"")),""),"")</f>
        <v/>
      </c>
      <c r="K66" s="21">
        <f>IF(ISNUMBER($G66),IFERROR(CHOOSE('設定'!$D$21-3,IFERROR(INDEX('入力シート'!$A$2:$A$41,MATCH(($G66-1)*4+4,'入力シート'!$F$2:$F$41,0)),""),IFERROR(INDEX('入力シート'!$A$2:$A$41,MATCH(IF(MOD($G66,2)=1,($G66-1)*4+4,($G66-1)*4+1),'入力シート'!$F$2:$F$41,0)),""),IFERROR(INDEX('入力シート'!$A$2:$A$41,MATCH(($G66-1)*4+4,'入力シート'!$F$2:$F$41,0)),""),IFERROR(INDEX('入力シート'!$A$2:$A$41,MATCH("女"&amp;(($G66-1)*2+2),'入力シート'!$I$2:$I$41,0)),"")),""),"")</f>
        <v/>
      </c>
    </row>
    <row r="67" ht="15" customHeight="1">
      <c r="A67" s="14">
        <f>IF('設定'!$C$20&gt;0,IF(14&lt;='設定'!$F$20,IF('設定'!$E$20=1,'設定'!$F$20+1-14,14),IF(14='設定'!$F$20+1,IF('設定'!$E$20=1,"前","後ろ"),"")),"")</f>
        <v/>
      </c>
      <c r="B67" s="21">
        <f>IF(ISNUMBER($A67),IFERROR(CHOOSE('設定'!$D$20-3,IFERROR(INDEX('入力シート'!$A$2:$A$41,MATCH(($A67-1)*4+1,'入力シート'!$F$2:$F$41,0)),""),IFERROR(INDEX('入力シート'!$A$2:$A$41,MATCH(IF(MOD($A67,2)=1,($A67-1)*4+1,($A67-1)*4+4),'入力シート'!$F$2:$F$41,0)),""),IFERROR(INDEX('入力シート'!$A$2:$A$41,MATCH(($A67-1)*4+3,'入力シート'!$F$2:$F$41,0)),""),IFERROR(INDEX('入力シート'!$A$2:$A$41,MATCH("男"&amp;(($A67-1)*2+1),'入力シート'!$I$2:$I$41,0)),"")),""),"")</f>
        <v/>
      </c>
      <c r="C67" s="21">
        <f>IF(ISNUMBER($A67),IFERROR(CHOOSE('設定'!$D$20-3,IFERROR(INDEX('入力シート'!$A$2:$A$41,MATCH(($A67-1)*4+2,'入力シート'!$F$2:$F$41,0)),""),IFERROR(INDEX('入力シート'!$A$2:$A$41,MATCH(IF(MOD($A67,2)=1,($A67-1)*4+2,($A67-1)*4+3),'入力シート'!$F$2:$F$41,0)),""),IFERROR(INDEX('入力シート'!$A$2:$A$41,MATCH(($A67-1)*4+1,'入力シート'!$F$2:$F$41,0)),""),IFERROR(INDEX('入力シート'!$A$2:$A$41,MATCH("男"&amp;(($A67-1)*2+2),'入力シート'!$I$2:$I$41,0)),"")),""),"")</f>
        <v/>
      </c>
      <c r="D67" s="21">
        <f>IF(ISNUMBER($A67),IFERROR(CHOOSE('設定'!$D$20-3,IFERROR(INDEX('入力シート'!$A$2:$A$41,MATCH(($A67-1)*4+3,'入力シート'!$F$2:$F$41,0)),""),IFERROR(INDEX('入力シート'!$A$2:$A$41,MATCH(IF(MOD($A67,2)=1,($A67-1)*4+3,($A67-1)*4+2),'入力シート'!$F$2:$F$41,0)),""),IFERROR(INDEX('入力シート'!$A$2:$A$41,MATCH(($A67-1)*4+2,'入力シート'!$F$2:$F$41,0)),""),IFERROR(INDEX('入力シート'!$A$2:$A$41,MATCH("女"&amp;(($A67-1)*2+1),'入力シート'!$I$2:$I$41,0)),"")),""),"")</f>
        <v/>
      </c>
      <c r="E67" s="21">
        <f>IF(ISNUMBER($A67),IFERROR(CHOOSE('設定'!$D$20-3,IFERROR(INDEX('入力シート'!$A$2:$A$41,MATCH(($A67-1)*4+4,'入力シート'!$F$2:$F$41,0)),""),IFERROR(INDEX('入力シート'!$A$2:$A$41,MATCH(IF(MOD($A67,2)=1,($A67-1)*4+4,($A67-1)*4+1),'入力シート'!$F$2:$F$41,0)),""),IFERROR(INDEX('入力シート'!$A$2:$A$41,MATCH(($A67-1)*4+4,'入力シート'!$F$2:$F$41,0)),""),IFERROR(INDEX('入力シート'!$A$2:$A$41,MATCH("女"&amp;(($A67-1)*2+2),'入力シート'!$I$2:$I$41,0)),"")),""),"")</f>
        <v/>
      </c>
      <c r="G67" s="14">
        <f>IF('設定'!$C$21&gt;0,IF(14&lt;='設定'!$F$21,IF('設定'!$E$21=1,'設定'!$F$21+1-14,14),IF(14='設定'!$F$21+1,IF('設定'!$E$21=1,"前","後ろ"),"")),"")</f>
        <v/>
      </c>
      <c r="H67" s="21">
        <f>IF(ISNUMBER($G67),IFERROR(CHOOSE('設定'!$D$21-3,IFERROR(INDEX('入力シート'!$A$2:$A$41,MATCH(($G67-1)*4+1,'入力シート'!$F$2:$F$41,0)),""),IFERROR(INDEX('入力シート'!$A$2:$A$41,MATCH(IF(MOD($G67,2)=1,($G67-1)*4+1,($G67-1)*4+4),'入力シート'!$F$2:$F$41,0)),""),IFERROR(INDEX('入力シート'!$A$2:$A$41,MATCH(($G67-1)*4+3,'入力シート'!$F$2:$F$41,0)),""),IFERROR(INDEX('入力シート'!$A$2:$A$41,MATCH("男"&amp;(($G67-1)*2+1),'入力シート'!$I$2:$I$41,0)),"")),""),"")</f>
        <v/>
      </c>
      <c r="I67" s="21">
        <f>IF(ISNUMBER($G67),IFERROR(CHOOSE('設定'!$D$21-3,IFERROR(INDEX('入力シート'!$A$2:$A$41,MATCH(($G67-1)*4+2,'入力シート'!$F$2:$F$41,0)),""),IFERROR(INDEX('入力シート'!$A$2:$A$41,MATCH(IF(MOD($G67,2)=1,($G67-1)*4+2,($G67-1)*4+3),'入力シート'!$F$2:$F$41,0)),""),IFERROR(INDEX('入力シート'!$A$2:$A$41,MATCH(($G67-1)*4+1,'入力シート'!$F$2:$F$41,0)),""),IFERROR(INDEX('入力シート'!$A$2:$A$41,MATCH("男"&amp;(($G67-1)*2+2),'入力シート'!$I$2:$I$41,0)),"")),""),"")</f>
        <v/>
      </c>
      <c r="J67" s="21">
        <f>IF(ISNUMBER($G67),IFERROR(CHOOSE('設定'!$D$21-3,IFERROR(INDEX('入力シート'!$A$2:$A$41,MATCH(($G67-1)*4+3,'入力シート'!$F$2:$F$41,0)),""),IFERROR(INDEX('入力シート'!$A$2:$A$41,MATCH(IF(MOD($G67,2)=1,($G67-1)*4+3,($G67-1)*4+2),'入力シート'!$F$2:$F$41,0)),""),IFERROR(INDEX('入力シート'!$A$2:$A$41,MATCH(($G67-1)*4+2,'入力シート'!$F$2:$F$41,0)),""),IFERROR(INDEX('入力シート'!$A$2:$A$41,MATCH("女"&amp;(($G67-1)*2+1),'入力シート'!$I$2:$I$41,0)),"")),""),"")</f>
        <v/>
      </c>
      <c r="K67" s="21">
        <f>IF(ISNUMBER($G67),IFERROR(CHOOSE('設定'!$D$21-3,IFERROR(INDEX('入力シート'!$A$2:$A$41,MATCH(($G67-1)*4+4,'入力シート'!$F$2:$F$41,0)),""),IFERROR(INDEX('入力シート'!$A$2:$A$41,MATCH(IF(MOD($G67,2)=1,($G67-1)*4+4,($G67-1)*4+1),'入力シート'!$F$2:$F$41,0)),""),IFERROR(INDEX('入力シート'!$A$2:$A$41,MATCH(($G67-1)*4+4,'入力シート'!$F$2:$F$41,0)),""),IFERROR(INDEX('入力シート'!$A$2:$A$41,MATCH("女"&amp;(($G67-1)*2+2),'入力シート'!$I$2:$I$41,0)),"")),""),"")</f>
        <v/>
      </c>
    </row>
    <row r="68" ht="15" customHeight="1">
      <c r="A68" s="16">
        <f>IF('設定'!$C$20&gt;0,IF(('設定'!$F$20)&gt;13,"⚠ 入りきらない子がいます ","")&amp;IF(AND('設定'!$H$20,'入力シート'!$M$16&gt;0),"⚠ 男女が未入力の子："&amp;'入力シート'!$M$16&amp;"人",""),"")</f>
        <v/>
      </c>
      <c r="G68" s="16">
        <f>IF('設定'!$C$21&gt;0,IF(('設定'!$F$21)&gt;13,"⚠ 入りきらない子がいます ","")&amp;IF(AND('設定'!$H$21,'入力シート'!$M$16&gt;0),"⚠ 男女が未入力の子："&amp;'入力シート'!$M$16&amp;"人",""),"")</f>
        <v/>
      </c>
    </row>
  </sheetData>
  <mergeCells count="100">
    <mergeCell ref="D20:E20"/>
    <mergeCell ref="H10:I10"/>
    <mergeCell ref="J10:K10"/>
    <mergeCell ref="B22:C22"/>
    <mergeCell ref="J19:K19"/>
    <mergeCell ref="D22:E22"/>
    <mergeCell ref="J28:K28"/>
    <mergeCell ref="H9:I9"/>
    <mergeCell ref="B12:C12"/>
    <mergeCell ref="J9:K9"/>
    <mergeCell ref="D6:E6"/>
    <mergeCell ref="B21:C21"/>
    <mergeCell ref="D13:E13"/>
    <mergeCell ref="B14:C14"/>
    <mergeCell ref="B13:C13"/>
    <mergeCell ref="D7:E7"/>
    <mergeCell ref="H13:I13"/>
    <mergeCell ref="B24:C24"/>
    <mergeCell ref="J21:K21"/>
    <mergeCell ref="D24:E24"/>
    <mergeCell ref="H15:I15"/>
    <mergeCell ref="H23:I23"/>
    <mergeCell ref="B26:C26"/>
    <mergeCell ref="J23:K23"/>
    <mergeCell ref="D26:E26"/>
    <mergeCell ref="B16:C16"/>
    <mergeCell ref="D10:E10"/>
    <mergeCell ref="B25:C25"/>
    <mergeCell ref="D19:E19"/>
    <mergeCell ref="B18:C18"/>
    <mergeCell ref="B27:C27"/>
    <mergeCell ref="H25:I25"/>
    <mergeCell ref="B11:C11"/>
    <mergeCell ref="D11:E11"/>
    <mergeCell ref="J27:K27"/>
    <mergeCell ref="H17:I17"/>
    <mergeCell ref="H11:I11"/>
    <mergeCell ref="J11:K11"/>
    <mergeCell ref="B29:C29"/>
    <mergeCell ref="J20:K20"/>
    <mergeCell ref="H19:I19"/>
    <mergeCell ref="H28:I28"/>
    <mergeCell ref="J22:K22"/>
    <mergeCell ref="D9:E9"/>
    <mergeCell ref="B6:C6"/>
    <mergeCell ref="H12:I12"/>
    <mergeCell ref="B15:C15"/>
    <mergeCell ref="J12:K12"/>
    <mergeCell ref="D15:E15"/>
    <mergeCell ref="D29:E29"/>
    <mergeCell ref="D23:E23"/>
    <mergeCell ref="H5:I5"/>
    <mergeCell ref="H14:I14"/>
    <mergeCell ref="J29:K29"/>
    <mergeCell ref="B7:C7"/>
    <mergeCell ref="H21:I21"/>
    <mergeCell ref="J24:K24"/>
    <mergeCell ref="D27:E27"/>
    <mergeCell ref="B17:C17"/>
    <mergeCell ref="D17:E17"/>
    <mergeCell ref="J26:K26"/>
    <mergeCell ref="H16:I16"/>
    <mergeCell ref="B19:C19"/>
    <mergeCell ref="J16:K16"/>
    <mergeCell ref="B28:C28"/>
    <mergeCell ref="J25:K25"/>
    <mergeCell ref="D28:E28"/>
    <mergeCell ref="H22:I22"/>
    <mergeCell ref="B9:C9"/>
    <mergeCell ref="D12:E12"/>
    <mergeCell ref="D25:E25"/>
    <mergeCell ref="B5:C5"/>
    <mergeCell ref="B20:C20"/>
    <mergeCell ref="D5:E5"/>
    <mergeCell ref="D14:E14"/>
    <mergeCell ref="H20:I20"/>
    <mergeCell ref="J5:K5"/>
    <mergeCell ref="H29:I29"/>
    <mergeCell ref="J14:K14"/>
    <mergeCell ref="J13:K13"/>
    <mergeCell ref="D21:E21"/>
    <mergeCell ref="H6:I6"/>
    <mergeCell ref="J6:K6"/>
    <mergeCell ref="J15:K15"/>
    <mergeCell ref="B23:C23"/>
    <mergeCell ref="B8:C8"/>
    <mergeCell ref="D16:E16"/>
    <mergeCell ref="H7:I7"/>
    <mergeCell ref="B10:C10"/>
    <mergeCell ref="J7:K7"/>
    <mergeCell ref="D18:E18"/>
    <mergeCell ref="H27:I27"/>
    <mergeCell ref="D8:E8"/>
    <mergeCell ref="H24:I24"/>
    <mergeCell ref="H18:I18"/>
    <mergeCell ref="J18:K18"/>
    <mergeCell ref="H8:I8"/>
    <mergeCell ref="J8:K8"/>
    <mergeCell ref="J17:K17"/>
    <mergeCell ref="H26:I26"/>
  </mergeCells>
  <conditionalFormatting sqref="A6:E29">
    <cfRule type="expression" priority="1" dxfId="0">
      <formula>AND(ISTEXT($A6),$A6&lt;&gt;"")</formula>
    </cfRule>
  </conditionalFormatting>
  <conditionalFormatting sqref="B6:E29">
    <cfRule type="expression" priority="2" dxfId="1">
      <formula>AND(ISNUMBER($A6),B6&lt;&gt;"")</formula>
    </cfRule>
  </conditionalFormatting>
  <conditionalFormatting sqref="G6:K29">
    <cfRule type="expression" priority="3" dxfId="0">
      <formula>AND(ISTEXT($G6),$G6&lt;&gt;"")</formula>
    </cfRule>
  </conditionalFormatting>
  <conditionalFormatting sqref="H6:K29">
    <cfRule type="expression" priority="4" dxfId="1">
      <formula>AND(ISNUMBER($G6),H6&lt;&gt;"")</formula>
    </cfRule>
  </conditionalFormatting>
  <conditionalFormatting sqref="A34:E48">
    <cfRule type="expression" priority="5" dxfId="0">
      <formula>AND(ISTEXT($A34),$A34&lt;&gt;"")</formula>
    </cfRule>
  </conditionalFormatting>
  <conditionalFormatting sqref="B34:E48">
    <cfRule type="expression" priority="6" dxfId="1">
      <formula>AND(ISNUMBER($A34),B34&lt;&gt;"")</formula>
    </cfRule>
  </conditionalFormatting>
  <conditionalFormatting sqref="G34:K48">
    <cfRule type="expression" priority="7" dxfId="0">
      <formula>AND(ISTEXT($G34),$G34&lt;&gt;"")</formula>
    </cfRule>
  </conditionalFormatting>
  <conditionalFormatting sqref="H34:K48">
    <cfRule type="expression" priority="8" dxfId="1">
      <formula>AND(ISNUMBER($G34),H34&lt;&gt;"")</formula>
    </cfRule>
  </conditionalFormatting>
  <conditionalFormatting sqref="A53:E67">
    <cfRule type="expression" priority="9" dxfId="0">
      <formula>AND(ISTEXT($A53),$A53&lt;&gt;"")</formula>
    </cfRule>
  </conditionalFormatting>
  <conditionalFormatting sqref="B53:E67">
    <cfRule type="expression" priority="10" dxfId="1">
      <formula>AND(ISNUMBER($A53),B53&lt;&gt;"")</formula>
    </cfRule>
  </conditionalFormatting>
  <conditionalFormatting sqref="G53:K67">
    <cfRule type="expression" priority="11" dxfId="0">
      <formula>AND(ISTEXT($G53),$G53&lt;&gt;"")</formula>
    </cfRule>
  </conditionalFormatting>
  <conditionalFormatting sqref="H53:K67">
    <cfRule type="expression" priority="12" dxfId="1">
      <formula>AND(ISNUMBER($G53),H53&lt;&gt;"")</formula>
    </cfRule>
  </conditionalFormatting>
  <printOptions horizontalCentered="1"/>
  <pageMargins left="0.4" right="0.4" top="0.5" bottom="0.5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区分</t>
        </is>
      </c>
      <c r="B1" t="inlineStr">
        <is>
          <t>並び</t>
        </is>
      </c>
      <c r="C1" t="inlineStr">
        <is>
          <t>向き(1=下が前)</t>
        </is>
      </c>
      <c r="D1" t="inlineStr">
        <is>
          <t>名前</t>
        </is>
      </c>
      <c r="E1" t="inlineStr">
        <is>
          <t>○</t>
        </is>
      </c>
      <c r="F1" t="inlineStr">
        <is>
          <t>選んだ順</t>
        </is>
      </c>
      <c r="G1" t="inlineStr">
        <is>
          <t>キー</t>
        </is>
      </c>
    </row>
    <row r="2">
      <c r="A2" t="inlineStr">
        <is>
          <t>A</t>
        </is>
      </c>
      <c r="B2" t="n">
        <v>2</v>
      </c>
      <c r="C2" t="n">
        <v>0</v>
      </c>
      <c r="D2" t="inlineStr">
        <is>
          <t>2列①Ｚ方式</t>
        </is>
      </c>
      <c r="E2">
        <f>IF('1・2列'!$A$52&lt;&gt;"",1,0)</f>
        <v/>
      </c>
      <c r="F2">
        <f>IF(E2=1,COUNTIFS($A$2:A2,A2,$E$2:E2,1),"")</f>
        <v/>
      </c>
      <c r="G2">
        <f>IF(F2="","",A2&amp;F2)</f>
        <v/>
      </c>
    </row>
    <row r="3">
      <c r="A3" t="inlineStr">
        <is>
          <t>A</t>
        </is>
      </c>
      <c r="B3" t="n">
        <v>2</v>
      </c>
      <c r="C3" t="n">
        <v>1</v>
      </c>
      <c r="D3" t="inlineStr">
        <is>
          <t>2列①Ｚ方式</t>
        </is>
      </c>
      <c r="E3">
        <f>IF('1・2列'!$E$52&lt;&gt;"",1,0)</f>
        <v/>
      </c>
      <c r="F3">
        <f>IF(E3=1,COUNTIFS($A$2:A3,A3,$E$2:E3,1),"")</f>
        <v/>
      </c>
      <c r="G3">
        <f>IF(F3="","",A3&amp;F3)</f>
        <v/>
      </c>
    </row>
    <row r="4">
      <c r="A4" t="inlineStr">
        <is>
          <t>A</t>
        </is>
      </c>
      <c r="B4" t="n">
        <v>3</v>
      </c>
      <c r="C4" t="n">
        <v>0</v>
      </c>
      <c r="D4" t="inlineStr">
        <is>
          <t>2列②男女別</t>
        </is>
      </c>
      <c r="E4">
        <f>IF('1・2列'!$A$79&lt;&gt;"",1,0)</f>
        <v/>
      </c>
      <c r="F4">
        <f>IF(E4=1,COUNTIFS($A$2:A4,A4,$E$2:E4,1),"")</f>
        <v/>
      </c>
      <c r="G4">
        <f>IF(F4="","",A4&amp;F4)</f>
        <v/>
      </c>
    </row>
    <row r="5">
      <c r="A5" t="inlineStr">
        <is>
          <t>A</t>
        </is>
      </c>
      <c r="B5" t="n">
        <v>3</v>
      </c>
      <c r="C5" t="n">
        <v>1</v>
      </c>
      <c r="D5" t="inlineStr">
        <is>
          <t>2列②男女別</t>
        </is>
      </c>
      <c r="E5">
        <f>IF('1・2列'!$E$79&lt;&gt;"",1,0)</f>
        <v/>
      </c>
      <c r="F5">
        <f>IF(E5=1,COUNTIFS($A$2:A5,A5,$E$2:E5,1),"")</f>
        <v/>
      </c>
      <c r="G5">
        <f>IF(F5="","",A5&amp;F5)</f>
        <v/>
      </c>
    </row>
    <row r="6">
      <c r="A6" t="inlineStr">
        <is>
          <t>B</t>
        </is>
      </c>
      <c r="B6" t="n">
        <v>4</v>
      </c>
      <c r="C6" t="n">
        <v>0</v>
      </c>
      <c r="D6" t="inlineStr">
        <is>
          <t>4列①横に順番</t>
        </is>
      </c>
      <c r="E6">
        <f>IF('4列'!$A$5&lt;&gt;"",1,0)</f>
        <v/>
      </c>
      <c r="F6">
        <f>IF(E6=1,COUNTIFS($A$2:A6,A6,$E$2:E6,1),"")</f>
        <v/>
      </c>
      <c r="G6">
        <f>IF(F6="","",A6&amp;F6)</f>
        <v/>
      </c>
    </row>
    <row r="7">
      <c r="A7" t="inlineStr">
        <is>
          <t>B</t>
        </is>
      </c>
      <c r="B7" t="n">
        <v>4</v>
      </c>
      <c r="C7" t="n">
        <v>1</v>
      </c>
      <c r="D7" t="inlineStr">
        <is>
          <t>4列①横に順番</t>
        </is>
      </c>
      <c r="E7">
        <f>IF('4列'!$G$5&lt;&gt;"",1,0)</f>
        <v/>
      </c>
      <c r="F7">
        <f>IF(E7=1,COUNTIFS($A$2:A7,A7,$E$2:E7,1),"")</f>
        <v/>
      </c>
      <c r="G7">
        <f>IF(F7="","",A7&amp;F7)</f>
        <v/>
      </c>
    </row>
    <row r="8">
      <c r="A8" t="inlineStr">
        <is>
          <t>B</t>
        </is>
      </c>
      <c r="B8" t="n">
        <v>5</v>
      </c>
      <c r="C8" t="n">
        <v>0</v>
      </c>
      <c r="D8" t="inlineStr">
        <is>
          <t>4列②蛇腹方式</t>
        </is>
      </c>
      <c r="E8">
        <f>IF('4列'!$A$22&lt;&gt;"",1,0)</f>
        <v/>
      </c>
      <c r="F8">
        <f>IF(E8=1,COUNTIFS($A$2:A8,A8,$E$2:E8,1),"")</f>
        <v/>
      </c>
      <c r="G8">
        <f>IF(F8="","",A8&amp;F8)</f>
        <v/>
      </c>
    </row>
    <row r="9">
      <c r="A9" t="inlineStr">
        <is>
          <t>B</t>
        </is>
      </c>
      <c r="B9" t="n">
        <v>5</v>
      </c>
      <c r="C9" t="n">
        <v>1</v>
      </c>
      <c r="D9" t="inlineStr">
        <is>
          <t>4列②蛇腹方式</t>
        </is>
      </c>
      <c r="E9">
        <f>IF('4列'!$G$22&lt;&gt;"",1,0)</f>
        <v/>
      </c>
      <c r="F9">
        <f>IF(E9=1,COUNTIFS($A$2:A9,A9,$E$2:E9,1),"")</f>
        <v/>
      </c>
      <c r="G9">
        <f>IF(F9="","",A9&amp;F9)</f>
        <v/>
      </c>
    </row>
    <row r="10">
      <c r="A10" t="inlineStr">
        <is>
          <t>B</t>
        </is>
      </c>
      <c r="B10" t="n">
        <v>6</v>
      </c>
      <c r="C10" t="n">
        <v>0</v>
      </c>
      <c r="D10" t="inlineStr">
        <is>
          <t>4列③2列から広げる</t>
        </is>
      </c>
      <c r="E10">
        <f>IF('4列'!$A$39&lt;&gt;"",1,0)</f>
        <v/>
      </c>
      <c r="F10">
        <f>IF(E10=1,COUNTIFS($A$2:A10,A10,$E$2:E10,1),"")</f>
        <v/>
      </c>
      <c r="G10">
        <f>IF(F10="","",A10&amp;F10)</f>
        <v/>
      </c>
    </row>
    <row r="11">
      <c r="A11" t="inlineStr">
        <is>
          <t>B</t>
        </is>
      </c>
      <c r="B11" t="n">
        <v>6</v>
      </c>
      <c r="C11" t="n">
        <v>1</v>
      </c>
      <c r="D11" t="inlineStr">
        <is>
          <t>4列③2列から広げる</t>
        </is>
      </c>
      <c r="E11">
        <f>IF('4列'!$G$39&lt;&gt;"",1,0)</f>
        <v/>
      </c>
      <c r="F11">
        <f>IF(E11=1,COUNTIFS($A$2:A11,A11,$E$2:E11,1),"")</f>
        <v/>
      </c>
      <c r="G11">
        <f>IF(F11="","",A11&amp;F11)</f>
        <v/>
      </c>
    </row>
    <row r="12">
      <c r="A12" t="inlineStr">
        <is>
          <t>B</t>
        </is>
      </c>
      <c r="B12" t="n">
        <v>7</v>
      </c>
      <c r="C12" t="n">
        <v>0</v>
      </c>
      <c r="D12" t="inlineStr">
        <is>
          <t>4列④男子2列・女子2列</t>
        </is>
      </c>
      <c r="E12">
        <f>IF('4列'!$A$56&lt;&gt;"",1,0)</f>
        <v/>
      </c>
      <c r="F12">
        <f>IF(E12=1,COUNTIFS($A$2:A12,A12,$E$2:E12,1),"")</f>
        <v/>
      </c>
      <c r="G12">
        <f>IF(F12="","",A12&amp;F12)</f>
        <v/>
      </c>
    </row>
    <row r="13">
      <c r="A13" t="inlineStr">
        <is>
          <t>B</t>
        </is>
      </c>
      <c r="B13" t="n">
        <v>7</v>
      </c>
      <c r="C13" t="n">
        <v>1</v>
      </c>
      <c r="D13" t="inlineStr">
        <is>
          <t>4列④男子2列・女子2列</t>
        </is>
      </c>
      <c r="E13">
        <f>IF('4列'!$G$56&lt;&gt;"",1,0)</f>
        <v/>
      </c>
      <c r="F13">
        <f>IF(E13=1,COUNTIFS($A$2:A13,A13,$E$2:E13,1),"")</f>
        <v/>
      </c>
      <c r="G13">
        <f>IF(F13="","",A13&amp;F13)</f>
        <v/>
      </c>
    </row>
    <row r="15">
      <c r="A15" t="inlineStr">
        <is>
          <t>印刷の枠</t>
        </is>
      </c>
      <c r="C15" t="inlineStr">
        <is>
          <t>行</t>
        </is>
      </c>
      <c r="D15" t="inlineStr">
        <is>
          <t>並び</t>
        </is>
      </c>
      <c r="E15" t="inlineStr">
        <is>
          <t>向き</t>
        </is>
      </c>
      <c r="F15" t="inlineStr">
        <is>
          <t>行数</t>
        </is>
      </c>
      <c r="G15" t="inlineStr">
        <is>
          <t>見出し</t>
        </is>
      </c>
      <c r="H15" t="inlineStr">
        <is>
          <t>男女</t>
        </is>
      </c>
    </row>
    <row r="16">
      <c r="A16" t="inlineStr">
        <is>
          <t>A</t>
        </is>
      </c>
      <c r="B16" t="n">
        <v>1</v>
      </c>
      <c r="C16">
        <f>IFERROR(MATCH(A16&amp;B16,$G$2:$G$13,0),0)</f>
        <v/>
      </c>
      <c r="D16">
        <f>IF(C16=0,0,INDEX($B$2:$B$13,C16))</f>
        <v/>
      </c>
      <c r="E16">
        <f>IF(C16=0,0,INDEX($C$2:$C$13,C16))</f>
        <v/>
      </c>
      <c r="F16">
        <f>IF(D16=0,0,CHOOSE(D16,'入力シート'!$M$13,ROUNDUP('入力シート'!$M$13/2,0),MAX('入力シート'!$M$14,'入力シート'!$M$15),ROUNDUP('入力シート'!$M$13/4,0),ROUNDUP('入力シート'!$M$13/4,0),ROUNDUP('入力シート'!$M$13/4,0),MAX(ROUNDUP('入力シート'!$M$14/2,0),ROUNDUP('入力シート'!$M$15/2,0))))</f>
        <v/>
      </c>
      <c r="G16">
        <f>IF(C16=0,"",INDEX($D$2:$D$13,C16)&amp;"（"&amp;IF(E16=1,"下が前","上が前")&amp;"）")</f>
        <v/>
      </c>
      <c r="H16">
        <f>OR(D16=3,D16=7)</f>
        <v/>
      </c>
    </row>
    <row r="17">
      <c r="A17" t="inlineStr">
        <is>
          <t>A</t>
        </is>
      </c>
      <c r="B17" t="n">
        <v>2</v>
      </c>
      <c r="C17">
        <f>IFERROR(MATCH(A17&amp;B17,$G$2:$G$13,0),0)</f>
        <v/>
      </c>
      <c r="D17">
        <f>IF(C17=0,0,INDEX($B$2:$B$13,C17))</f>
        <v/>
      </c>
      <c r="E17">
        <f>IF(C17=0,0,INDEX($C$2:$C$13,C17))</f>
        <v/>
      </c>
      <c r="F17">
        <f>IF(D17=0,0,CHOOSE(D17,'入力シート'!$M$13,ROUNDUP('入力シート'!$M$13/2,0),MAX('入力シート'!$M$14,'入力シート'!$M$15),ROUNDUP('入力シート'!$M$13/4,0),ROUNDUP('入力シート'!$M$13/4,0),ROUNDUP('入力シート'!$M$13/4,0),MAX(ROUNDUP('入力シート'!$M$14/2,0),ROUNDUP('入力シート'!$M$15/2,0))))</f>
        <v/>
      </c>
      <c r="G17">
        <f>IF(C17=0,"",INDEX($D$2:$D$13,C17)&amp;"（"&amp;IF(E17=1,"下が前","上が前")&amp;"）")</f>
        <v/>
      </c>
      <c r="H17">
        <f>OR(D17=3,D17=7)</f>
        <v/>
      </c>
    </row>
    <row r="18">
      <c r="A18" t="inlineStr">
        <is>
          <t>B</t>
        </is>
      </c>
      <c r="B18" t="n">
        <v>1</v>
      </c>
      <c r="C18">
        <f>IFERROR(MATCH(A18&amp;B18,$G$2:$G$13,0),0)</f>
        <v/>
      </c>
      <c r="D18">
        <f>IF(C18=0,0,INDEX($B$2:$B$13,C18))</f>
        <v/>
      </c>
      <c r="E18">
        <f>IF(C18=0,0,INDEX($C$2:$C$13,C18))</f>
        <v/>
      </c>
      <c r="F18">
        <f>IF(D18=0,0,CHOOSE(D18,'入力シート'!$M$13,ROUNDUP('入力シート'!$M$13/2,0),MAX('入力シート'!$M$14,'入力シート'!$M$15),ROUNDUP('入力シート'!$M$13/4,0),ROUNDUP('入力シート'!$M$13/4,0),ROUNDUP('入力シート'!$M$13/4,0),MAX(ROUNDUP('入力シート'!$M$14/2,0),ROUNDUP('入力シート'!$M$15/2,0))))</f>
        <v/>
      </c>
      <c r="G18">
        <f>IF(C18=0,"",INDEX($D$2:$D$13,C18)&amp;"（"&amp;IF(E18=1,"下が前","上が前")&amp;"）")</f>
        <v/>
      </c>
      <c r="H18">
        <f>OR(D18=3,D18=7)</f>
        <v/>
      </c>
    </row>
    <row r="19">
      <c r="A19" t="inlineStr">
        <is>
          <t>B</t>
        </is>
      </c>
      <c r="B19" t="n">
        <v>2</v>
      </c>
      <c r="C19">
        <f>IFERROR(MATCH(A19&amp;B19,$G$2:$G$13,0),0)</f>
        <v/>
      </c>
      <c r="D19">
        <f>IF(C19=0,0,INDEX($B$2:$B$13,C19))</f>
        <v/>
      </c>
      <c r="E19">
        <f>IF(C19=0,0,INDEX($C$2:$C$13,C19))</f>
        <v/>
      </c>
      <c r="F19">
        <f>IF(D19=0,0,CHOOSE(D19,'入力シート'!$M$13,ROUNDUP('入力シート'!$M$13/2,0),MAX('入力シート'!$M$14,'入力シート'!$M$15),ROUNDUP('入力シート'!$M$13/4,0),ROUNDUP('入力シート'!$M$13/4,0),ROUNDUP('入力シート'!$M$13/4,0),MAX(ROUNDUP('入力シート'!$M$14/2,0),ROUNDUP('入力シート'!$M$15/2,0))))</f>
        <v/>
      </c>
      <c r="G19">
        <f>IF(C19=0,"",INDEX($D$2:$D$13,C19)&amp;"（"&amp;IF(E19=1,"下が前","上が前")&amp;"）")</f>
        <v/>
      </c>
      <c r="H19">
        <f>OR(D19=3,D19=7)</f>
        <v/>
      </c>
    </row>
    <row r="20">
      <c r="A20" t="inlineStr">
        <is>
          <t>B</t>
        </is>
      </c>
      <c r="B20" t="n">
        <v>3</v>
      </c>
      <c r="C20">
        <f>IFERROR(MATCH(A20&amp;B20,$G$2:$G$13,0),0)</f>
        <v/>
      </c>
      <c r="D20">
        <f>IF(C20=0,0,INDEX($B$2:$B$13,C20))</f>
        <v/>
      </c>
      <c r="E20">
        <f>IF(C20=0,0,INDEX($C$2:$C$13,C20))</f>
        <v/>
      </c>
      <c r="F20">
        <f>IF(D20=0,0,CHOOSE(D20,'入力シート'!$M$13,ROUNDUP('入力シート'!$M$13/2,0),MAX('入力シート'!$M$14,'入力シート'!$M$15),ROUNDUP('入力シート'!$M$13/4,0),ROUNDUP('入力シート'!$M$13/4,0),ROUNDUP('入力シート'!$M$13/4,0),MAX(ROUNDUP('入力シート'!$M$14/2,0),ROUNDUP('入力シート'!$M$15/2,0))))</f>
        <v/>
      </c>
      <c r="G20">
        <f>IF(C20=0,"",INDEX($D$2:$D$13,C20)&amp;"（"&amp;IF(E20=1,"下が前","上が前")&amp;"）")</f>
        <v/>
      </c>
      <c r="H20">
        <f>OR(D20=3,D20=7)</f>
        <v/>
      </c>
    </row>
    <row r="21">
      <c r="A21" t="inlineStr">
        <is>
          <t>B</t>
        </is>
      </c>
      <c r="B21" t="n">
        <v>4</v>
      </c>
      <c r="C21">
        <f>IFERROR(MATCH(A21&amp;B21,$G$2:$G$13,0),0)</f>
        <v/>
      </c>
      <c r="D21">
        <f>IF(C21=0,0,INDEX($B$2:$B$13,C21))</f>
        <v/>
      </c>
      <c r="E21">
        <f>IF(C21=0,0,INDEX($C$2:$C$13,C21))</f>
        <v/>
      </c>
      <c r="F21">
        <f>IF(D21=0,0,CHOOSE(D21,'入力シート'!$M$13,ROUNDUP('入力シート'!$M$13/2,0),MAX('入力シート'!$M$14,'入力シート'!$M$15),ROUNDUP('入力シート'!$M$13/4,0),ROUNDUP('入力シート'!$M$13/4,0),ROUNDUP('入力シート'!$M$13/4,0),MAX(ROUNDUP('入力シート'!$M$14/2,0),ROUNDUP('入力シート'!$M$15/2,0))))</f>
        <v/>
      </c>
      <c r="G21">
        <f>IF(C21=0,"",INDEX($D$2:$D$13,C21)&amp;"（"&amp;IF(E21=1,"下が前","上が前")&amp;"）")</f>
        <v/>
      </c>
      <c r="H21">
        <f>OR(D21=3,D21=7)</f>
        <v/>
      </c>
    </row>
    <row r="23">
      <c r="A23" t="inlineStr">
        <is>
          <t>2列の数</t>
        </is>
      </c>
      <c r="B23">
        <f>COUNTIFS($A$2:$A$13,"A",$E$2:$E$13,1)</f>
        <v/>
      </c>
    </row>
    <row r="24">
      <c r="A24" t="inlineStr">
        <is>
          <t>4列の数</t>
        </is>
      </c>
      <c r="B24">
        <f>COUNTIFS($A$2:$A$13,"B",$E$2:$E$13,1)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2026-09-29T22:26:04Z</dcterms:created>
  <dcterms:modified xsi:type="dcterms:W3CDTF">2026-09-29T22:26:05Z</dcterms:modified>
</cp:coreProperties>
</file>